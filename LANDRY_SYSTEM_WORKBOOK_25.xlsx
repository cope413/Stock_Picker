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ables/table10.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Override PartName="/xl/styles.xml" ContentType="application/vnd.openxmlformats-officedocument.spreadsheetml.styles+xml"/>
  <Override PartName="/xl/comments18.xml" ContentType="application/vnd.openxmlformats-officedocument.spreadsheetml.comments+xml"/>
  <Override PartName="/xl/comments11.xml" ContentType="application/vnd.openxmlformats-officedocument.spreadsheetml.comments+xml"/>
  <Override PartName="/xl/comments3.xml" ContentType="application/vnd.openxmlformats-officedocument.spreadsheetml.comments+xml"/>
  <Override PartName="/xl/comments19.xml" ContentType="application/vnd.openxmlformats-officedocument.spreadsheetml.comments+xml"/>
  <Override PartName="/xl/theme/theme1.xml" ContentType="application/vnd.openxmlformats-officedocument.theme+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harts/style1.xml" ContentType="application/vnd.ms-office.chartstyle+xml"/>
  <Override PartName="/xl/charts/style2.xml" ContentType="application/vnd.ms-office.chartstyle+xml"/>
  <Override PartName="/xl/charts/style13.xml" ContentType="application/vnd.ms-office.chartstyle+xml"/>
  <Override PartName="/xl/charts/style14.xml" ContentType="application/vnd.ms-office.chartstyle+xml"/>
  <Override PartName="/xl/charts/chart7.xml" ContentType="application/vnd.openxmlformats-officedocument.drawingml.chart+xml"/>
  <Override PartName="/xl/charts/colors19.xml" ContentType="application/vnd.ms-office.chartcolorstyle+xml"/>
  <Override PartName="/xl/charts/style3.xml" ContentType="application/vnd.ms-office.chartstyle+xml"/>
  <Override PartName="/xl/charts/chart8.xml" ContentType="application/vnd.openxmlformats-officedocument.drawingml.chart+xml"/>
  <Override PartName="/xl/charts/colors9.xml" ContentType="application/vnd.ms-office.chartcolorstyle+xml"/>
  <Override PartName="/xl/charts/chart1.xml" ContentType="application/vnd.openxmlformats-officedocument.drawingml.chart+xml"/>
  <Override PartName="/xl/charts/chart11.xml" ContentType="application/vnd.openxmlformats-officedocument.drawingml.chart+xml"/>
  <Override PartName="/xl/charts/colors5.xml" ContentType="application/vnd.ms-office.chartcolorstyle+xml"/>
  <Override PartName="/xl/charts/colors16.xml" ContentType="application/vnd.ms-office.chartcolorstyle+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chart17.xml" ContentType="application/vnd.openxmlformats-officedocument.drawingml.chart+xml"/>
  <Override PartName="/xl/charts/colors7.xml" ContentType="application/vnd.ms-office.chartcolorstyle+xml"/>
  <Override PartName="/xl/charts/chart6.xml" ContentType="application/vnd.openxmlformats-officedocument.drawingml.chart+xml"/>
  <Override PartName="/xl/charts/colors11.xml" ContentType="application/vnd.ms-office.chartcolorstyle+xml"/>
  <Override PartName="/xl/charts/style9.xml" ContentType="application/vnd.ms-office.chartstyle+xml"/>
  <Override PartName="/xl/charts/chart10.xml" ContentType="application/vnd.openxmlformats-officedocument.drawingml.chart+xml"/>
  <Override PartName="/xl/charts/colors17.xml" ContentType="application/vnd.ms-office.chartcolorstyle+xml"/>
  <Override PartName="/xl/charts/style7.xml" ContentType="application/vnd.ms-office.chartstyle+xml"/>
  <Override PartName="/xl/charts/chart14.xml" ContentType="application/vnd.openxmlformats-officedocument.drawingml.chart+xml"/>
  <Override PartName="/xl/charts/chart12.xml" ContentType="application/vnd.openxmlformats-officedocument.drawingml.chart+xml"/>
  <Override PartName="/xl/charts/style16.xml" ContentType="application/vnd.ms-office.chartstyle+xml"/>
  <Override PartName="/xl/charts/chart18.xml" ContentType="application/vnd.openxmlformats-officedocument.drawingml.chart+xml"/>
  <Override PartName="/xl/charts/colors12.xml" ContentType="application/vnd.ms-office.chartcolorstyle+xml"/>
  <Override PartName="/xl/charts/style11.xml" ContentType="application/vnd.ms-office.chartstyle+xml"/>
  <Override PartName="/xl/charts/colors10.xml" ContentType="application/vnd.ms-office.chartcolorstyle+xml"/>
  <Override PartName="/xl/charts/colors18.xml" ContentType="application/vnd.ms-office.chartcolorstyle+xml"/>
  <Override PartName="/xl/charts/chart4.xml" ContentType="application/vnd.openxmlformats-officedocument.drawingml.chart+xml"/>
  <Override PartName="/xl/charts/colors1.xml" ContentType="application/vnd.ms-office.chartcolorstyle+xml"/>
  <Override PartName="/xl/charts/style15.xml" ContentType="application/vnd.ms-office.chartstyle+xml"/>
  <Override PartName="/xl/charts/colors14.xml" ContentType="application/vnd.ms-office.chartcolorstyle+xml"/>
  <Override PartName="/xl/charts/colors4.xml" ContentType="application/vnd.ms-office.chartcolorstyle+xml"/>
  <Override PartName="/xl/charts/colors2.xml" ContentType="application/vnd.ms-office.chartcolorstyle+xml"/>
  <Override PartName="/xl/charts/chart2.xml" ContentType="application/vnd.openxmlformats-officedocument.drawingml.chart+xml"/>
  <Override PartName="/xl/charts/colors3.xml" ContentType="application/vnd.ms-office.chartcolorstyle+xml"/>
  <Override PartName="/xl/charts/chart15.xml" ContentType="application/vnd.openxmlformats-officedocument.drawingml.chart+xml"/>
  <Override PartName="/xl/charts/style8.xml" ContentType="application/vnd.ms-office.chartstyle+xml"/>
  <Override PartName="/xl/charts/style4.xml" ContentType="application/vnd.ms-office.chartstyle+xml"/>
  <Override PartName="/xl/charts/chart9.xml" ContentType="application/vnd.openxmlformats-officedocument.drawingml.chart+xml"/>
  <Override PartName="/xl/charts/style12.xml" ContentType="application/vnd.ms-office.chartstyle+xml"/>
  <Override PartName="/xl/charts/chart13.xml" ContentType="application/vnd.openxmlformats-officedocument.drawingml.chart+xml"/>
  <Override PartName="/xl/charts/colors8.xml" ContentType="application/vnd.ms-office.chartcolorstyle+xml"/>
  <Override PartName="/xl/charts/chart3.xml" ContentType="application/vnd.openxmlformats-officedocument.drawingml.chart+xml"/>
  <Override PartName="/xl/charts/style17.xml" ContentType="application/vnd.ms-office.chartstyle+xml"/>
  <Override PartName="/xl/charts/style19.xml" ContentType="application/vnd.ms-office.chartstyle+xml"/>
  <Override PartName="/xl/charts/colors15.xml" ContentType="application/vnd.ms-office.chartcolorstyle+xml"/>
  <Override PartName="/xl/charts/chart16.xml" ContentType="application/vnd.openxmlformats-officedocument.drawingml.chart+xml"/>
  <Override PartName="/xl/charts/style5.xml" ContentType="application/vnd.ms-office.chartstyle+xml"/>
  <Override PartName="/xl/charts/style10.xml" ContentType="application/vnd.ms-office.chartstyle+xml"/>
  <Override PartName="/xl/charts/colors13.xml" ContentType="application/vnd.ms-office.chartcolorstyle+xml"/>
  <Override PartName="/xl/charts/chart19.xml" ContentType="application/vnd.openxmlformats-officedocument.drawingml.chart+xml"/>
  <Override PartName="/xl/charts/style18.xml" ContentType="application/vnd.ms-office.chart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0"/>
  </bookViews>
  <sheets>
    <sheet name="Instructions" sheetId="1" state="visible" r:id="rId3"/>
    <sheet name="Action Items" sheetId="2" state="visible" r:id="rId4"/>
    <sheet name="Current Positions" sheetId="3" state="visible" r:id="rId5"/>
    <sheet name="Monitor &amp; Recheck Triggers" sheetId="4" state="visible" r:id="rId6"/>
    <sheet name="Price History" sheetId="5" state="visible" r:id="rId7"/>
    <sheet name="Dashboard" sheetId="6" state="visible" r:id="rId8"/>
    <sheet name="Scoring" sheetId="7" state="visible" r:id="rId9"/>
    <sheet name="Entry Checklist" sheetId="8" state="visible" r:id="rId10"/>
    <sheet name="Market Data" sheetId="9" state="visible" r:id="rId11"/>
    <sheet name="Returns (Calc)" sheetId="10" state="visible" r:id="rId12"/>
    <sheet name="Correlation Matrix" sheetId="11" state="visible" r:id="rId13"/>
    <sheet name="Portfolio Drawdown Log" sheetId="12" state="visible" r:id="rId14"/>
    <sheet name="Watch List Tracker" sheetId="13" state="visible" r:id="rId15"/>
    <sheet name="Implied-Return Calculator" sheetId="14" state="visible" r:id="rId16"/>
    <sheet name="Holding Monitor" sheetId="15" state="visible" r:id="rId17"/>
    <sheet name="Performance Tracking" sheetId="16" state="visible" r:id="rId18"/>
    <sheet name="Journal" sheetId="17" state="visible" r:id="rId19"/>
    <sheet name="Process Checklist" sheetId="18" state="visible" r:id="rId20"/>
    <sheet name="Open Items" sheetId="19" state="visible" r:id="rId21"/>
    <sheet name="Schema Reference" sheetId="20" state="visible" r:id="rId22"/>
    <sheet name="Scratchpad (disregard)" sheetId="21" state="visible" r:id="rId23"/>
  </sheets>
  <definedNames>
    <definedName function="false" hidden="false" localSheetId="16" name="_xlnm.Print_Area" vbProcedure="false">Journal!$A$1:$C$302</definedName>
    <definedName function="false" hidden="true" localSheetId="8" name="_xlnm._FilterDatabase" vbProcedure="false">'Market Data'!$A$2:$I$44</definedName>
    <definedName function="false" hidden="true" localSheetId="6" name="_xlnm._FilterDatabase" vbProcedure="false">Scoring!$A$2:$AS$62</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Claude</author>
  </authors>
  <commentList>
    <comment ref="F2" authorId="0">
      <text>
        <r>
          <rPr>
            <sz val="10"/>
            <rFont val="Arial"/>
            <family val="2"/>
          </rPr>
          <t xml:space="preserve">Live-wired to Monitor &amp; Recheck Triggers' Current Price (col H, a STOCKHISTORY formula) when this ticker is tracked there (i.e. a scored Landry position). Falls back to the last manually-refreshed price if Monitor doesn't have this ticker (dry-powder ETFs) or if STOCKHISTORY can't resolve (e.g. this session's LibreOffice-based recalc, which cannot evaluate STOCKHISTORY -- verify live pricing by opening in real Excel, not by local recalc). Added 9/8/26.</t>
        </r>
      </text>
    </comment>
  </commentList>
</comments>
</file>

<file path=xl/comments11.xml><?xml version="1.0" encoding="utf-8"?>
<comments xmlns="http://schemas.openxmlformats.org/spreadsheetml/2006/main" xmlns:xdr="http://schemas.openxmlformats.org/drawingml/2006/spreadsheetDrawing">
  <authors>
    <author>Claude</author>
  </authors>
  <commentList>
    <comment ref="AG5" authorId="0">
      <text>
        <r>
          <rPr>
            <sz val="10"/>
            <rFont val="Arial"/>
            <family val="2"/>
          </rPr>
          <t xml:space="preserve">10 blank columns are reserved to the left (cols W-AF) so new tickers can be added without relocating this column. When they run out: extend the buffer, move this column further right, and update the two summary formulas above (row 2/3) plus Action Items' references to them.</t>
        </r>
      </text>
    </comment>
  </commentList>
</comments>
</file>

<file path=xl/comments18.xml><?xml version="1.0" encoding="utf-8"?>
<comments xmlns="http://schemas.openxmlformats.org/spreadsheetml/2006/main" xmlns:xdr="http://schemas.openxmlformats.org/drawingml/2006/spreadsheetDrawing">
  <authors>
    <author>Claude</author>
  </authors>
  <commentList>
    <comment ref="A4" authorId="0">
      <text>
        <r>
          <rPr>
            <sz val="10"/>
            <rFont val="Arial"/>
            <family val="2"/>
          </rPr>
          <t xml:space="preserve">Event must match a value in Journal col B exactly (case-sensitive) for the Event Due Date lookup to resolve -- e.g. 'DCA-CATCHUP-7', not 'Catchup 7' or 'DCA CATCHUP 7'. If Journal's event codes ever get renamed, update here too.</t>
        </r>
      </text>
    </comment>
  </commentList>
</comments>
</file>

<file path=xl/comments19.xml><?xml version="1.0" encoding="utf-8"?>
<comments xmlns="http://schemas.openxmlformats.org/spreadsheetml/2006/main" xmlns:xdr="http://schemas.openxmlformats.org/drawingml/2006/spreadsheetDrawing">
  <authors>
    <author>Claude</author>
  </authors>
  <commentList>
    <comment ref="A4" authorId="0">
      <text>
        <r>
          <rPr>
            <sz val="10"/>
            <rFont val="Arial"/>
            <family val="2"/>
          </rPr>
          <t xml:space="preserve">Priority order, not a stable ticket ID -- fine to renumber when priorities change or a new item gets inserted partway down the list.</t>
        </r>
      </text>
    </comment>
  </commentList>
</comments>
</file>

<file path=xl/sharedStrings.xml><?xml version="1.0" encoding="utf-8"?>
<sst xmlns="http://schemas.openxmlformats.org/spreadsheetml/2006/main" count="2052" uniqueCount="784">
  <si>
    <t xml:space="preserve">THE LANDRY FAMILY EQUITY INVESTMENT OPERATING SYSTEM — 
STOCK SCORING &amp; PORTFOLIO RISK WORKBOOK</t>
  </si>
  <si>
    <t xml:space="preserve">Companion workbook to Landry System v1.03. Aligned to: Version 1.03 (50 Hard Rules, Parts 1–12).</t>
  </si>
  <si>
    <t xml:space="preserve">If the Word document's rule numbers ever change in a future revision, check this line and the rule</t>
  </si>
  <si>
    <t xml:space="preserve">references throughout this workbook before relying on them.</t>
  </si>
  <si>
    <t xml:space="preserve">HOW TO USE THIS WORKBOOK</t>
  </si>
  <si>
    <t xml:space="preserve">1. Market Data tab — enter or refresh price, volume, market cap, P/E, 52-week range, and dividend</t>
  </si>
  <si>
    <t xml:space="preserve">yield for each tracked ticker. Blue cells only. See that tab's note on optional live-data refresh.</t>
  </si>
  <si>
    <t xml:space="preserve">2. Scoring tab — during a scoring session, enter each Tier 1/2/3 indicator's score (1–5) and Confidence</t>
  </si>
  <si>
    <t xml:space="preserve">tag (H/M/L) per Part 2's rubrics. The Composite Score, decision classification, and hard-rule flags</t>
  </si>
  <si>
    <t xml:space="preserve">(Rules 1–4) calculate automatically.</t>
  </si>
  <si>
    <t xml:space="preserve">3. Dashboard tab — read-only summary of every tracked stock, sortable by Composite Score.</t>
  </si>
  <si>
    <t xml:space="preserve">4. Price History / Returns (Calc) / Correlation Matrix tabs — enter weekly closing prices for current</t>
  </si>
  <si>
    <t xml:space="preserve">holdings (ex-cash-sweep); pairwise correlation and the Rule 36 per-position violation flag calculate automatically.</t>
  </si>
  <si>
    <t xml:space="preserve">5. Portfolio Drawdown Log tab — enter portfolio value at each review date; running peak, drawdown %,</t>
  </si>
  <si>
    <t xml:space="preserve">and the Part 7 response status (Normal/Elevated/Severe/Critical) calculate automatically.</t>
  </si>
  <si>
    <t xml:space="preserve">RULE REFERENCE (Landry System v1.03)</t>
  </si>
  <si>
    <t xml:space="preserve">Rules 1–4 (Part 3) — Tier 1 floor of 3.0, mandatory review of any Tier 1 score of 1, automatic Avoid if</t>
  </si>
  <si>
    <t xml:space="preserve">two or more Tier 1 indicators score 2.0 or below, and the Strong Buy cap when two or more Tier 1</t>
  </si>
  <si>
    <t xml:space="preserve">indicators are tagged Low Confidence.</t>
  </si>
  <si>
    <t xml:space="preserve">Rule 36 (Part 7) — Correlation Cap: no position may carry pairwise correlation above 0.70 with more</t>
  </si>
  <si>
    <t xml:space="preserve">than one other holding at the same time.</t>
  </si>
  <si>
    <t xml:space="preserve">Rule 37 (Part 7) — Portfolio drawdown response levels apply automatically; only a documented Tier 1</t>
  </si>
  <si>
    <t xml:space="preserve">re-score restores normal sizing for an affected security.</t>
  </si>
  <si>
    <t xml:space="preserve">Rule 33 (Part 6, added 2026-09-13) — Early Partial Trim: a holding in Probationary Hold (50–64) whose</t>
  </si>
  <si>
    <t xml:space="preserve">triggering indicator(s) are reconfirmed unimproved before the 90-day re-score is trimmed by one-third; may recur up to 3x.</t>
  </si>
  <si>
    <t xml:space="preserve">Decision thresholds (Part 3): 80–100 Strong Buy | 65–79 Buy | 50–64 Watch List | 35–49 Avoid | &lt;35 Pass.</t>
  </si>
  <si>
    <t xml:space="preserve">Drawdown response (Part 7): 0–10% Normal | 10–20% Elevated | 20–30% Severe | 30%+ Critical.</t>
  </si>
  <si>
    <t xml:space="preserve">COLOR LEGEND</t>
  </si>
  <si>
    <t xml:space="preserve">Dark blue text on light blue fill = input cell (type here). Black text, no fill = calculated (do not overwrite -- formulas live here). Colored fill on Decision/Status/Recheck cells reflects the classification band (green/yellow/orange/red), separate from the input/formula distinction above.</t>
  </si>
  <si>
    <t xml:space="preserve">reflects the classification band.</t>
  </si>
  <si>
    <t xml:space="preserve">SCHEMA REFERENCE</t>
  </si>
  <si>
    <t xml:space="preserve">See the Schema Reference tab (last tab) for the exact column layout of every tab -- built for handoff to Claude Code or any future programmatic access.</t>
  </si>
  <si>
    <t xml:space="preserve">WORKFLOW POLICY (established 8/12/26)</t>
  </si>
  <si>
    <t xml:space="preserve">Watch List Tracker: entries added when a scored position (owned or candidate) lands in Probationary</t>
  </si>
  <si>
    <t xml:space="preserve">Hold/Exit Review, or an owned position's re-score triggers Rule 3. Claude flags it; the analyst confirms</t>
  </si>
  <si>
    <t xml:space="preserve">the classification and any remediation decision.</t>
  </si>
  <si>
    <t xml:space="preserve">Implied-Return Calculator: populated when a candidate moves from screened toward actual entry</t>
  </si>
  <si>
    <t xml:space="preserve">consideration (Rules 11-13 prep).</t>
  </si>
  <si>
    <t xml:space="preserve">Holding Monitor: populated during scheduled quarterly reviews / fundamental refreshes (see Journal for</t>
  </si>
  <si>
    <t xml:space="preserve">the standing calendar).</t>
  </si>
  <si>
    <t xml:space="preserve">Performance Tracking: populated the same moment a confirmed trade updates Current Positions.</t>
  </si>
  <si>
    <t xml:space="preserve">Journal: for decisions, reasoning, and corrections that don't have a natural home in a structured tab -- not a duplicate of what the Scoring/Correlation/Drawdown tabs already record as data.</t>
  </si>
  <si>
    <t xml:space="preserve">Market Data: Claude-populated via yfinance (landry.data_auto.market_snapshot), refreshed periodically, not a live formula -- corrected 2026-08-26; the STOCKHISTORY/Stocks-data-type approach previously documented here was never actually implemented (the tab sat empty). Scope: current holdings (excluding cash-sweep vehicles FZDXX/FZFXX/VMFXX/QACDS) plus any candidate that has cleared Tier 1 and is sitting on the bench -- not names already screened out.</t>
  </si>
  <si>
    <t xml:space="preserve">Monitor &amp; Recheck Triggers: col G (Price at Last Score) is stamped every time a ticker is re-scored on the Scoring tab -- not tied to a fixed review cadence, since re-scores happen for reasons beyond scheduled reviews (see Journal, e.g. VRTX 8/7/26). Col H (Current Price) is a live</t>
  </si>
  <si>
    <t xml:space="preserve">STOCKHISTORY formula, manual recalc. Col J (Next Earnings Date) is Claude-populated via yfinance on the same cadence as Price History, since Excel has no native earnings-date field without a 3rd-party add-in (confirmed 2026-08-26).</t>
  </si>
  <si>
    <t xml:space="preserve">Price History: ticker list tracks current holdings (ex-cash-sweep) exactly, added/removed when a</t>
  </si>
  <si>
    <t xml:space="preserve">position opens/fully exits. Weekly closes are Claude-populated (fetch_daily/weekly_closes in</t>
  </si>
  <si>
    <t xml:space="preserve">landry.data_auto, same tooling as Market Data) as of 2026-08-26 -- previously Alan pulled via</t>
  </si>
  <si>
    <t xml:space="preserve">yFinance and handed it to Claude to enter; now Claude fetches and writes directly, refreshed</t>
  </si>
  <si>
    <t xml:space="preserve">periodically, not live. Only write fully-completed weeks (week-ending Friday has occurred) --</t>
  </si>
  <si>
    <t xml:space="preserve">a partial current week resamples to a misleading "Friday" label before Friday actually happens.</t>
  </si>
  <si>
    <t xml:space="preserve">ACTION ITEMS — everything requiring your decision, pulled live from every other tab. Everything else in this workbook is reference; this is what to open.</t>
  </si>
  <si>
    <t xml:space="preserve">Refresh by opening the workbook (F9 recalculates); all cells below are live formulas, nothing here is typed.</t>
  </si>
  <si>
    <t xml:space="preserve">1. WATCH LIST — Rules 31-34 (see Watch List Tracker tab for detail)</t>
  </si>
  <si>
    <t xml:space="preserve">Deadlines passed (sell required within 30 days):</t>
  </si>
  <si>
    <t xml:space="preserve">Deadlines approaching (within 14 days):</t>
  </si>
  <si>
    <t xml:space="preserve">Recovered — ready to remove/reclassify:</t>
  </si>
  <si>
    <t xml:space="preserve">2. ACTIVE SELL TRIGGERS — Rules 21-30 (see Holding Monitor tab for detail)</t>
  </si>
  <si>
    <t xml:space="preserve">Holdings with action required within 30 days:</t>
  </si>
  <si>
    <t xml:space="preserve">Holdings under Hold Through (monitor only, no action):</t>
  </si>
  <si>
    <t xml:space="preserve">3. CORRELATION CAP — Rule 36 (see Correlation Matrix tab for detail)</t>
  </si>
  <si>
    <t xml:space="preserve">Rule 36 status:</t>
  </si>
  <si>
    <t xml:space="preserve">Positions exceeding cap:</t>
  </si>
  <si>
    <t xml:space="preserve">4. PORTFOLIO DRAWDOWN STATUS — Rule 37 (see Portfolio Drawdown Log tab for detail)</t>
  </si>
  <si>
    <t xml:space="preserve">Most recent recorded status:</t>
  </si>
  <si>
    <t xml:space="preserve">Most recent drawdown %:</t>
  </si>
  <si>
    <t xml:space="preserve">Required cash floor at this level:</t>
  </si>
  <si>
    <t xml:space="preserve">5. CANDIDATE SCORING FLAGS — Rules 1-4 (see Scoring tab for detail)</t>
  </si>
  <si>
    <t xml:space="preserve">Candidates failing the Tier 1 floor, 3.0 (Rule 1):</t>
  </si>
  <si>
    <t xml:space="preserve">Candidates auto-classified Avoid (Rule 3):</t>
  </si>
  <si>
    <t xml:space="preserve">Candidates flagged for mandatory Tier 1 review (Rule 2):</t>
  </si>
  <si>
    <t xml:space="preserve">Candidates capped at Buy despite Strong Buy score (Rule 4):</t>
  </si>
  <si>
    <t xml:space="preserve">6. ENTRY AUTHORIZATION — Rules 5-13 (see Entry Checklist tab for detail)</t>
  </si>
  <si>
    <t xml:space="preserve">Candidates NOT authorized to enter (failing one or more Entry Rules):</t>
  </si>
  <si>
    <t xml:space="preserve">Candidates authorized, staged at reduced size (50%, per Rules 8-9):</t>
  </si>
  <si>
    <t xml:space="preserve">7. PIOTROSKI CROSS-CHECKS -- RETIRED 9/11/26. Tested on an 8-ticker diagnostic batch, dropped as redundant for how this system is actually used (see Journal row 42-43). Historical data left in place at Scoring cols AN-AS as a record of the experiment; no longer live-tallied here.</t>
  </si>
  <si>
    <t xml:space="preserve">Candidates flagged LOW CONF on Accruals (CFO does not exceed Net Income):</t>
  </si>
  <si>
    <t xml:space="preserve">Candidates with Debt/FCF trending up year-over-year:</t>
  </si>
  <si>
    <t xml:space="preserve">Combined current positions, both accounts, as of 09/08/2026 (DCA-TRANCHE-2 executed) -- JT ULTRA (Fidelity); Self-Directed, Chase — cash sweep custodied at Schwab, swept to VMFXX for yield. 
Source: uploaded brokerage exports + confirmed trade executions, aggregated by ticker. 
Update this tab at each quarterly/annual review; use it with Part 5 sizing modifiers and the Holding Monitor tab to prescribe classifications and follow-up actions.</t>
  </si>
  <si>
    <t xml:space="preserve">TAX-LOSS CARRYFORWARD (update annually)</t>
  </si>
  <si>
    <t xml:space="preserve">Account</t>
  </si>
  <si>
    <t xml:space="preserve">Ticker</t>
  </si>
  <si>
    <t xml:space="preserve">Description</t>
  </si>
  <si>
    <t xml:space="preserve">Asset Class</t>
  </si>
  <si>
    <t xml:space="preserve">Quantity</t>
  </si>
  <si>
    <t xml:space="preserve">Price
($)</t>
  </si>
  <si>
    <t xml:space="preserve">Market Value
($)</t>
  </si>
  <si>
    <t xml:space="preserve">Cost Basis
($)</t>
  </si>
  <si>
    <t xml:space="preserve">Unrealized G/L ($)</t>
  </si>
  <si>
    <t xml:space="preserve">Unrealized G/L (%)</t>
  </si>
  <si>
    <t xml:space="preserve">% of Account</t>
  </si>
  <si>
    <t xml:space="preserve">% of Combined Portfolio</t>
  </si>
  <si>
    <t xml:space="preserve">Classification / Notes (fill at review)</t>
  </si>
  <si>
    <t xml:space="preserve">Short-Term Loss Carryforward:</t>
  </si>
  <si>
    <t xml:space="preserve">JT ULTRA (Fidelity)</t>
  </si>
  <si>
    <t xml:space="preserve">ADBE</t>
  </si>
  <si>
    <t xml:space="preserve">Adobe Inc.</t>
  </si>
  <si>
    <t xml:space="preserve">Equity</t>
  </si>
  <si>
    <t xml:space="preserve">BOUGHT +20sh 8/7/26 @ $266.38 -- DCA tranche 1 diversifier add</t>
  </si>
  <si>
    <t xml:space="preserve">Long-Term Loss Carryforward:</t>
  </si>
  <si>
    <t xml:space="preserve">ANET</t>
  </si>
  <si>
    <t xml:space="preserve">Arista Networks</t>
  </si>
  <si>
    <t xml:space="preserve">ASML</t>
  </si>
  <si>
    <t xml:space="preserve">ASML Holding</t>
  </si>
  <si>
    <t xml:space="preserve">CRWD</t>
  </si>
  <si>
    <t xml:space="preserve">CrowdStrike Holdings</t>
  </si>
  <si>
    <t xml:space="preserve">KLAC</t>
  </si>
  <si>
    <t xml:space="preserve">KLA Corporation</t>
  </si>
  <si>
    <t xml:space="preserve">MU</t>
  </si>
  <si>
    <t xml:space="preserve">Micron Technology</t>
  </si>
  <si>
    <t xml:space="preserve">NVDA</t>
  </si>
  <si>
    <t xml:space="preserve">NVIDIA Corporation</t>
  </si>
  <si>
    <t xml:space="preserve">PLTR</t>
  </si>
  <si>
    <t xml:space="preserve">Palantir Technologies</t>
  </si>
  <si>
    <t xml:space="preserve">TSM</t>
  </si>
  <si>
    <t xml:space="preserve">Taiwan Semiconductor</t>
  </si>
  <si>
    <t xml:space="preserve">VRT</t>
  </si>
  <si>
    <t xml:space="preserve">Vertiv Holdings</t>
  </si>
  <si>
    <t xml:space="preserve">V</t>
  </si>
  <si>
    <t xml:space="preserve">Visa Inc.</t>
  </si>
  <si>
    <t xml:space="preserve">NEW position 9/8/26 -- DCA-TRANCHE-2, opened per Entry Checklist authorization (Composite 86.4, STRONG BUY). 2 lots: 25sh @ $368.38 + 25sh @ $369.565.</t>
  </si>
  <si>
    <t xml:space="preserve">FZDXX</t>
  </si>
  <si>
    <t xml:space="preserve">Fidelity Money Market Premium</t>
  </si>
  <si>
    <t xml:space="preserve">Cash</t>
  </si>
  <si>
    <t xml:space="preserve">FZFXX</t>
  </si>
  <si>
    <t xml:space="preserve">Fidelity Core Money Market</t>
  </si>
  <si>
    <t xml:space="preserve">DVY</t>
  </si>
  <si>
    <t xml:space="preserve">iShares Select Dividend ETF</t>
  </si>
  <si>
    <t xml:space="preserve">NEW position since 8/5/26 -- cash/dry powder per Alan 9/7/26, not a scored Landry position.</t>
  </si>
  <si>
    <t xml:space="preserve">VFLO</t>
  </si>
  <si>
    <t xml:space="preserve">VictoryShares Free Cash Flow ETF</t>
  </si>
  <si>
    <t xml:space="preserve">NEW to this account since 8/5/26 (already held in Self-Directed) -- cash/dry powder per Alan 9/7/26, not a scored Landry position.</t>
  </si>
  <si>
    <t xml:space="preserve">SCHD</t>
  </si>
  <si>
    <t xml:space="preserve">Schwab US Dividend Equity ETF</t>
  </si>
  <si>
    <t xml:space="preserve">VYM</t>
  </si>
  <si>
    <t xml:space="preserve">Vanguard High Dividend Yield ETF</t>
  </si>
  <si>
    <t xml:space="preserve">MLPI</t>
  </si>
  <si>
    <t xml:space="preserve">NEOS MLP &amp; Energy Income ETF</t>
  </si>
  <si>
    <t xml:space="preserve">SPMO</t>
  </si>
  <si>
    <t xml:space="preserve">Invesco S&amp;P 500 Momentum ETF</t>
  </si>
  <si>
    <t xml:space="preserve">GE</t>
  </si>
  <si>
    <t xml:space="preserve">GE Aerospace</t>
  </si>
  <si>
    <t xml:space="preserve">NEW position 9/30/26 -- DCA-CATCHUP-1, opened per Composite 84.2 STRONG BUY (rescored 9/13/26, reconfirmed fresh 9/29/26, zero Tier 1 drift). 75sh @ $314.71.</t>
  </si>
  <si>
    <t xml:space="preserve">NFLX</t>
  </si>
  <si>
    <t xml:space="preserve">Netflix, Inc.</t>
  </si>
  <si>
    <t xml:space="preserve">NEW position 9/30/26 -- DCA-CATCHUP-1, opened per Composite 83.8 STRONG BUY (rescored 9/13/26, reconfirmed fresh 9/29/26, zero Tier 1 drift). 300sh @ $69.795.</t>
  </si>
  <si>
    <t xml:space="preserve">Positions</t>
  </si>
  <si>
    <t xml:space="preserve">JT ULTRA (Fidelity) SUBTOTAL</t>
  </si>
  <si>
    <t xml:space="preserve">Excluding Cash</t>
  </si>
  <si>
    <t xml:space="preserve">Self-Directed (Chase)</t>
  </si>
  <si>
    <t xml:space="preserve">VMFXX</t>
  </si>
  <si>
    <t xml:space="preserve">Vanguard Federal Money Market</t>
  </si>
  <si>
    <t xml:space="preserve">JEPQ</t>
  </si>
  <si>
    <t xml:space="preserve">JPMorgan Nasdaq Equity Premium Income ETF</t>
  </si>
  <si>
    <t xml:space="preserve">Alternative Assets</t>
  </si>
  <si>
    <t xml:space="preserve">Qty 840.4-&gt;850.4sh since 8/5, likely DRIP reinvestment. Reclassified as cash/dry powder per Alan 9/7/26, not a scored Landry position.</t>
  </si>
  <si>
    <t xml:space="preserve">AVUV</t>
  </si>
  <si>
    <t xml:space="preserve">Avantis US Small Cap Value ETF</t>
  </si>
  <si>
    <t xml:space="preserve">BOUGHT +193.58sh 8/7/26 @ $126.66 -- consolidation target from CALF</t>
  </si>
  <si>
    <t xml:space="preserve">CALF</t>
  </si>
  <si>
    <t xml:space="preserve">Pacer US Small Cap Cash Cows ETF</t>
  </si>
  <si>
    <t xml:space="preserve">SOLD 8/7/26 -- confirmed: -409.55sh, $23,016.52 proceeds. Consolidated into AVUV.</t>
  </si>
  <si>
    <t xml:space="preserve">HELO</t>
  </si>
  <si>
    <t xml:space="preserve">JPMorgan Hedged Equity Laddered Overlay ETF</t>
  </si>
  <si>
    <t xml:space="preserve">BOUGHT +200sh since 8/5 (300-&gt;500sh) -- expanding income sleeve. Reclassified as cash/dry powder per Alan 9/7/26, not a scored Landry position.</t>
  </si>
  <si>
    <t xml:space="preserve">AVGO</t>
  </si>
  <si>
    <t xml:space="preserve">Broadcom Inc.</t>
  </si>
  <si>
    <t xml:space="preserve">VRTX</t>
  </si>
  <si>
    <t xml:space="preserve">Vertex Pharmaceuticals</t>
  </si>
  <si>
    <t xml:space="preserve">BOUGHT +15sh 9/8/26 @ ~$527.47 ($7,912.09) -- DCA-TRANCHE-2 diversifier add.</t>
  </si>
  <si>
    <t xml:space="preserve">PLD</t>
  </si>
  <si>
    <t xml:space="preserve">Prologis Inc.</t>
  </si>
  <si>
    <t xml:space="preserve">BOUGHT +64sh 8/7/26 @ $139.92 -- DCA tranche 1 diversifier add</t>
  </si>
  <si>
    <t xml:space="preserve">SFM</t>
  </si>
  <si>
    <t xml:space="preserve">Sprouts Farmers Market</t>
  </si>
  <si>
    <t xml:space="preserve">SOLD 08/07/26 -- confirmed: -65 sh, $5,601.58 proceeds. Rule 3 Avoid. Proceeds added to VMFXX.</t>
  </si>
  <si>
    <t xml:space="preserve">TSLA</t>
  </si>
  <si>
    <t xml:space="preserve">Tesla Inc.</t>
  </si>
  <si>
    <t xml:space="preserve">SOLD 08/07/26 -- confirmed: -15 sh, $4,783.25 proceeds. Rule 3 Avoid. Proceeds added to VMFXX.</t>
  </si>
  <si>
    <t xml:space="preserve">VGT</t>
  </si>
  <si>
    <t xml:space="preserve">Vanguard Information Technology ETF</t>
  </si>
  <si>
    <t xml:space="preserve">SOLD 8/7/26 -- confirmed: -40.18sh, $4,851.48 proceeds. Worst correlation offender (5 violations), cleared per plan.</t>
  </si>
  <si>
    <t xml:space="preserve">QACDS</t>
  </si>
  <si>
    <t xml:space="preserve">Schwab Cash Features (Sweep)</t>
  </si>
  <si>
    <t xml:space="preserve">ONON</t>
  </si>
  <si>
    <t xml:space="preserve">On Holding AG</t>
  </si>
  <si>
    <t xml:space="preserve">SOLD 08/07/26 -- confirmed: -100 sh, $3,764.92 proceeds. Rule 3 Avoid. Proceeds added to VMFXX.</t>
  </si>
  <si>
    <t xml:space="preserve">JEPI</t>
  </si>
  <si>
    <t xml:space="preserve">JPMorgan Equity Premium Income ETF</t>
  </si>
  <si>
    <t xml:space="preserve">Self-Directed (Chase) SUBTOTAL</t>
  </si>
  <si>
    <t xml:space="preserve">Cash / Cash Equivalents</t>
  </si>
  <si>
    <t xml:space="preserve">Actual cash (FZDXX+FZFXX+VMFXX+QACDS) + temporary yield-bearing cash buckets (AVUV, SPMO x2, VFLO x2, DVY, SCHD, VYM, MLPI, JEPQ, HELO, JEPI) held for liquidity/dry powder, not scored as long-term Landry positions. Policy confirmed by Alan 9/7/26. V (Visa) is NOT in this bucket -- it's a real, Entry-Checklist-authorized Landry position (Composite 86.4, STRONG BUY).</t>
  </si>
  <si>
    <t xml:space="preserve">NOTE: JT ULTRA's ASML/PLTR/MU quantities reflect trims already executed from the earlier rebalance session; 
SWAN is not currently held in this export (flagging in case that wasn't intentional). 
9/7/26: refreshed both accounts from fresh Fidelity/Chase exports (as of 9/4/26 close). Alan confirmed the new/expanded positions (DVY, SCHD, VYM, MLPI, JEPI, plus additions to HELO/JEPQ and VFLO/SPMO now in both accounts) are a deliberate move of idle cash into better-paying temporary buckets -- no strategy change. See Journal and [[price_history_ownership]]/[[etf_scope_todo]] memory for context.
9/8/26: DCA-TRANCHE-2 executed. VRTX +15sh @ ~$527.47 ($7,912.09, Chase). V (Visa) opened new, 50sh across 2 lots ($9,209.50 + $9,239.13 = $18,448.63, Fidelity). PLD skipped this tranche -- Fidelity's Equity Summary Score (LSEG StarMine) showed Very Bearish (0.7/10) with 2 recent Sell opinions; traditional sell-side consensus stayed clean, but Alan chose to wait/watch rather than add. Total tranche $26,360.72 vs. $24,000 target. See Journal 9/8/26.</t>
  </si>
  <si>
    <t xml:space="preserve">Recheck triggers for every name that's been scored, not just Watch List holdings. Current Price, Insider Activity, and Analyst Shift are Claude-populated (STOCKHISTORY formula + manual recalc for price; SEC EDGAR and yfinance consensus data for the other two, refreshed periodically, not live). Recheck Status calculates automatically from all signals together.</t>
  </si>
  <si>
    <t xml:space="preserve">Category</t>
  </si>
  <si>
    <t xml:space="preserve">Last Score
Date</t>
  </si>
  <si>
    <t xml:space="preserve">Last
Composite</t>
  </si>
  <si>
    <t xml:space="preserve">Last Tier 1
Wtd Avg</t>
  </si>
  <si>
    <t xml:space="preserve">Last
Decision</t>
  </si>
  <si>
    <t xml:space="preserve">Price at
Last Score</t>
  </si>
  <si>
    <t xml:space="preserve">Current
Price</t>
  </si>
  <si>
    <t xml:space="preserve">% Price
Change</t>
  </si>
  <si>
    <t xml:space="preserve">Next/Last
Earnings Date</t>
  </si>
  <si>
    <t xml:space="preserve">Insider
Activity? (Y/N)</t>
  </si>
  <si>
    <t xml:space="preserve">Insider Note</t>
  </si>
  <si>
    <t xml:space="preserve">Analyst
Shift? (Y/N)</t>
  </si>
  <si>
    <t xml:space="preserve">Analyst Shift
Note</t>
  </si>
  <si>
    <t xml:space="preserve">Days Since
Last Score</t>
  </si>
  <si>
    <t xml:space="preserve">Recheck Status</t>
  </si>
  <si>
    <t xml:space="preserve">Notes</t>
  </si>
  <si>
    <t xml:space="preserve">Owned</t>
  </si>
  <si>
    <t xml:space="preserve">STRONG BUY</t>
  </si>
  <si>
    <t xml:space="preserve">N</t>
  </si>
  <si>
    <t xml:space="preserve">Y</t>
  </si>
  <si>
    <t xml:space="preserve">2026-09-03: Breithaupt Chantelle Yvette (Senior Vice President, CFO) sold $119,811, 1% of holding (+55 more in last 30d)</t>
  </si>
  <si>
    <t xml:space="preserve">BUY</t>
  </si>
  <si>
    <t xml:space="preserve">2026-09-04: Kurtz George (PRESIDENT AND CEO) sold $472,759, 0% of holding (+126 more in last 30d)</t>
  </si>
  <si>
    <t xml:space="preserve">2026-08-14: Lorig Brian (EVP, KLA Global Services) sold $12,401,634, 43% of holding (+7 more in last 30d)</t>
  </si>
  <si>
    <t xml:space="preserve">2026-08-25: MEHROTRA SANJAY (President and CEO) sold $138,116, 0% of holding (+26 more in last 30d)</t>
  </si>
  <si>
    <t xml:space="preserve">2026-09-02: STEVENS MARK A (Director) sold $98,470,906, 9% of holding (+9 more in last 30d)</t>
  </si>
  <si>
    <t xml:space="preserve">2026-09-03: Stat Lauren Elaina Friedman (Director) sold $244,915, 2% of holding (+20 more in last 30d)</t>
  </si>
  <si>
    <t xml:space="preserve">2026-09-04: Fang Shu-Hua (SVP and GC) bought $77,090, 16% of holding (+11 more in last 30d)</t>
  </si>
  <si>
    <t xml:space="preserve">2026-09-02: MONSER EDWARD L (Director) sold $219,497, 3% of holding (+7 more in last 30d)</t>
  </si>
  <si>
    <t xml:space="preserve">Re-scored 8/7/26: original Avoid was bad source data, corrected. See Journal.</t>
  </si>
  <si>
    <t xml:space="preserve">AAP</t>
  </si>
  <si>
    <t xml:space="preserve">Tier-1 Avoid (external)</t>
  </si>
  <si>
    <t xml:space="preserve">BABA</t>
  </si>
  <si>
    <t xml:space="preserve">2026-08-25: Tsai Joseph C (Other) bought $10,418,400, 1% of holding (+2 more in last 30d)</t>
  </si>
  <si>
    <t xml:space="preserve">CE</t>
  </si>
  <si>
    <t xml:space="preserve">CLF</t>
  </si>
  <si>
    <t xml:space="preserve">CMG</t>
  </si>
  <si>
    <t xml:space="preserve">Watch List</t>
  </si>
  <si>
    <t xml:space="preserve">COST</t>
  </si>
  <si>
    <t xml:space="preserve">CRK</t>
  </si>
  <si>
    <t xml:space="preserve">DEO</t>
  </si>
  <si>
    <t xml:space="preserve">DIS</t>
  </si>
  <si>
    <t xml:space="preserve">2026-08-20: Roeder Paul M (Sr EVP and Chief Comm Officer) sold $382,327, 100% of holding (+1 more in last 30d)</t>
  </si>
  <si>
    <t xml:space="preserve">DPZ</t>
  </si>
  <si>
    <t xml:space="preserve">EL</t>
  </si>
  <si>
    <t xml:space="preserve">2026-08-25: La Lande Rashida (Exec VP &amp; General Counsel) sold $553,896, 100% of holding</t>
  </si>
  <si>
    <t xml:space="preserve">ET</t>
  </si>
  <si>
    <t xml:space="preserve">2026-08-20: WARREN KELCY L (Other) bought $7,487,721, 0% of holding (+2 more in last 30d)</t>
  </si>
  <si>
    <t xml:space="preserve">ETN</t>
  </si>
  <si>
    <t xml:space="preserve">2026-08-13: Monesmith Heath B. (See Remarks below.) sold $8,261,224, 26% of holding (+1 more in last 30d)</t>
  </si>
  <si>
    <t xml:space="preserve">ETSY</t>
  </si>
  <si>
    <t xml:space="preserve">2026-08-19: Buckley Merilee (CHIEF ACCOUNTING OFFICER) sold $18,850, 59% of holding (+9 more in last 30d)</t>
  </si>
  <si>
    <t xml:space="preserve">2026-08-12: Giglietti Robert M. (Vice President) sold $1,976,639, 18% of holding (+7 more in last 30d)</t>
  </si>
  <si>
    <t xml:space="preserve">GOOS</t>
  </si>
  <si>
    <t xml:space="preserve">HRL</t>
  </si>
  <si>
    <t xml:space="preserve">LBRT</t>
  </si>
  <si>
    <t xml:space="preserve">2026-07-30: Murti Arjun N (Director) bought $250,009, 51% of holding</t>
  </si>
  <si>
    <t xml:space="preserve">LIN</t>
  </si>
  <si>
    <t xml:space="preserve">2026-08-19: Reynolds Paula Rosput (Director) bought $47,912, 14% of holding</t>
  </si>
  <si>
    <t xml:space="preserve">NEE</t>
  </si>
  <si>
    <t xml:space="preserve">2026-08-10: Neumann Spencer Adam (Chief Financial Officer) sold $700,907, 11% of holding (+6 more in last 30d)</t>
  </si>
  <si>
    <t xml:space="preserve">NKE</t>
  </si>
  <si>
    <t xml:space="preserve">2026-08-11: Montagne Amy (PRESIDENT, NIKE) sold $204,657, 8% of holding (+1 more in last 30d)</t>
  </si>
  <si>
    <t xml:space="preserve">Consensus declined 0.19 (1-5 scale) over 3 months (3.39 -&gt; 3.21, 39 analysts currently)</t>
  </si>
  <si>
    <t xml:space="preserve">NOV</t>
  </si>
  <si>
    <t xml:space="preserve">2026-07-31: HARRISON DAVID D (Other) sold $184,301, 7% of holding</t>
  </si>
  <si>
    <t xml:space="preserve">Consensus improved 0.21 (1-5 scale) over 3 months (3.19 -&gt; 3.40, 20 analysts currently)</t>
  </si>
  <si>
    <t xml:space="preserve">2026-08-17: Bernhard Olivier (Executive Officer) bought $1,993,790, 1% of holding (+1 more in last 30d)</t>
  </si>
  <si>
    <t xml:space="preserve">PG</t>
  </si>
  <si>
    <t xml:space="preserve">2026-08-24: Janzaruk Matthew W. (SVP - Chief Accounting Officer) sold $52,141, 22% of holding (+12 more in last 30d)</t>
  </si>
  <si>
    <t xml:space="preserve">PH</t>
  </si>
  <si>
    <t xml:space="preserve">2026-08-19: Scott Patrick (VP &amp; Pres-Fluid Conn. Grp.) sold $1,294,800, 25% of holding (+12 more in last 30d)</t>
  </si>
  <si>
    <t xml:space="preserve">PZZA</t>
  </si>
  <si>
    <t xml:space="preserve">Consensus declined 0.29 (1-5 scale) over 3 months (3.29 -&gt; 3.00, 14 analysts currently)</t>
  </si>
  <si>
    <t xml:space="preserve">2026-08-17: O'Leary Joseph D (Director) sold $214,440, 15% of holding (+2 more in last 30d)</t>
  </si>
  <si>
    <t xml:space="preserve">2026-09-02: MCINERNEY RYAN (Chief Executive Officer) sold $2,230,444, 28% of holding (+3 more in last 30d)</t>
  </si>
  <si>
    <t xml:space="preserve">VFC</t>
  </si>
  <si>
    <t xml:space="preserve">2026-08-17: Carucci Richard (Director) bought $294,600, 6% of holding (+1 more in last 30d)</t>
  </si>
  <si>
    <t xml:space="preserve">YUM</t>
  </si>
  <si>
    <t xml:space="preserve">2026-08-24: Skeans Tracy L (COO and CPO) sold $552,052, 100% of holding (+2 more in last 30d)</t>
  </si>
  <si>
    <t xml:space="preserve">KGS</t>
  </si>
  <si>
    <t xml:space="preserve">Diversification candidate (Energy -- gas compression services, contract-based revenue, not upstream E&amp;P). Fresh Tier 1 quant screen 9/11/26; Moat/Rev Visibility not yet assessed (Part 12).</t>
  </si>
  <si>
    <t xml:space="preserve">Weekly closing price ($), week-ending Friday (Rule 36: weekly total returns, 24-month target, 12-month minimum, 36-month max). 20 slots: 13 stocks + 7 held ETFs + headroom.</t>
  </si>
  <si>
    <t xml:space="preserve">Week Ending</t>
  </si>
  <si>
    <t xml:space="preserve">Weeks</t>
  </si>
  <si>
    <t xml:space="preserve">Company</t>
  </si>
  <si>
    <t xml:space="preserve">Date Scored</t>
  </si>
  <si>
    <t xml:space="preserve">Tier 1 Wtd Avg</t>
  </si>
  <si>
    <t xml:space="preserve">Composite Score</t>
  </si>
  <si>
    <t xml:space="preserve">Decision</t>
  </si>
  <si>
    <t xml:space="preserve">Rule 1</t>
  </si>
  <si>
    <t xml:space="preserve">Rule 2</t>
  </si>
  <si>
    <t xml:space="preserve">Rule 3</t>
  </si>
  <si>
    <t xml:space="preserve">Rule 4</t>
  </si>
  <si>
    <t xml:space="preserve">This tab mirrors the Scoring tab automatically — do not type here. You can sort this tab directly (Data &gt; Sort by Composite Score); Excel moves whole rows, so each row's links stay correct.</t>
  </si>
  <si>
    <t xml:space="preserve">Tickers</t>
  </si>
  <si>
    <t xml:space="preserve">TIER 1 — 70% of Decision</t>
  </si>
  <si>
    <t xml:space="preserve">TIER 2 — 25% of Decision</t>
  </si>
  <si>
    <t xml:space="preserve">TIER 3 — 5% of Decision</t>
  </si>
  <si>
    <t xml:space="preserve">RULE FLAGS (1–4)</t>
  </si>
  <si>
    <t xml:space="preserve">CLASSIFICATION</t>
  </si>
  <si>
    <t xml:space="preserve">PIOTROSKI-DERIVED CROSS-CHECKS 
(confidence-tagging inputs only — do not feed Composite Score)</t>
  </si>
  <si>
    <t xml:space="preserve">Date
Scored</t>
  </si>
  <si>
    <t xml:space="preserve">FCF Yield &amp;
Trend (20%)
Score</t>
  </si>
  <si>
    <t xml:space="preserve">Conf
(H/M/L)</t>
  </si>
  <si>
    <t xml:space="preserve">Rev Growth
Consist. (15%)
Score</t>
  </si>
  <si>
    <t xml:space="preserve">Moat
Quality (15%)
Score</t>
  </si>
  <si>
    <t xml:space="preserve">Rev
Visibility (10%)
Score</t>
  </si>
  <si>
    <t xml:space="preserve">FCF Margin
Trend (10%)
Score</t>
  </si>
  <si>
    <t xml:space="preserve">Confidence
(H/M/L)</t>
  </si>
  <si>
    <t xml:space="preserve">Tier 1
Wtd Avg
(÷0.70)</t>
  </si>
  <si>
    <t xml:space="preserve">Tier 1
Contrib.</t>
  </si>
  <si>
    <t xml:space="preserve">Mgmt Quality
&amp; Cap Alloc (8%)
Score</t>
  </si>
  <si>
    <t xml:space="preserve">ROIC vs
WACC (6%)
Score</t>
  </si>
  <si>
    <t xml:space="preserve">Rel Strength
vs SPY (3%)
Score</t>
  </si>
  <si>
    <t xml:space="preserve">Valuation
Multiples (8%)
Score</t>
  </si>
  <si>
    <t xml:space="preserve">Tier 2
Contrib.</t>
  </si>
  <si>
    <t xml:space="preserve">Technical
Trend (2%)
Score</t>
  </si>
  <si>
    <t xml:space="preserve">Analyst
Consensus (2%)
Score</t>
  </si>
  <si>
    <t xml:space="preserve">Volume &amp;
Accum. (1%)
Score</t>
  </si>
  <si>
    <t xml:space="preserve">Tier 3
Contrib.</t>
  </si>
  <si>
    <t xml:space="preserve">Composite
Score</t>
  </si>
  <si>
    <t xml:space="preserve">Rule 1
Tier1&lt;3.0</t>
  </si>
  <si>
    <t xml:space="preserve">Rule 2
Any=1</t>
  </si>
  <si>
    <t xml:space="preserve">Rule 3
2+≤2=
Avoid</t>
  </si>
  <si>
    <t xml:space="preserve">Rule 4
2+Low=
Cap Buy</t>
  </si>
  <si>
    <t xml:space="preserve">Sector</t>
  </si>
  <si>
    <t xml:space="preserve">Industry</t>
  </si>
  <si>
    <t xml:space="preserve">CFO
($)</t>
  </si>
  <si>
    <t xml:space="preserve">Net Income
($)</t>
  </si>
  <si>
    <t xml:space="preserve">Accruals
Check</t>
  </si>
  <si>
    <t xml:space="preserve">Debt/FCF
(current)</t>
  </si>
  <si>
    <t xml:space="preserve">Debt/FCF
(prior yr)</t>
  </si>
  <si>
    <t xml:space="preserve">Leverage
Trajectory</t>
  </si>
  <si>
    <t xml:space="preserve">M</t>
  </si>
  <si>
    <t xml:space="preserve">H</t>
  </si>
  <si>
    <t xml:space="preserve">L</t>
  </si>
  <si>
    <t xml:space="preserve">Technology</t>
  </si>
  <si>
    <t xml:space="preserve">Semiconductors</t>
  </si>
  <si>
    <t xml:space="preserve">Software - Infrastructure</t>
  </si>
  <si>
    <t xml:space="preserve">Healthcare</t>
  </si>
  <si>
    <t xml:space="preserve">Biotechnology</t>
  </si>
  <si>
    <t xml:space="preserve">Prologis Inc. (REIT-adapted)</t>
  </si>
  <si>
    <t xml:space="preserve">Real Estate</t>
  </si>
  <si>
    <t xml:space="preserve">REIT - Industrial</t>
  </si>
  <si>
    <t xml:space="preserve">Consumer Defensive</t>
  </si>
  <si>
    <t xml:space="preserve">Grocery Stores</t>
  </si>
  <si>
    <t xml:space="preserve">Consumer Cyclical</t>
  </si>
  <si>
    <t xml:space="preserve">Footwear &amp; Accessories</t>
  </si>
  <si>
    <t xml:space="preserve">Auto Manufacturers</t>
  </si>
  <si>
    <t xml:space="preserve">Software - Application</t>
  </si>
  <si>
    <t xml:space="preserve">Computer Hardware</t>
  </si>
  <si>
    <t xml:space="preserve">Semiconductor Equipment &amp; Materials</t>
  </si>
  <si>
    <t xml:space="preserve">Taiwan Semiconductor Mfg.</t>
  </si>
  <si>
    <t xml:space="preserve">Industrials</t>
  </si>
  <si>
    <t xml:space="preserve">Electrical Equipment &amp; Parts</t>
  </si>
  <si>
    <t xml:space="preserve">Costco Wholesale Corp.</t>
  </si>
  <si>
    <t xml:space="preserve">Discount Stores</t>
  </si>
  <si>
    <t xml:space="preserve">Financial Services</t>
  </si>
  <si>
    <t xml:space="preserve">Credit Services</t>
  </si>
  <si>
    <t xml:space="preserve">NextEra Energy Inc.</t>
  </si>
  <si>
    <t xml:space="preserve">Utilities</t>
  </si>
  <si>
    <t xml:space="preserve">Utilities - Regulated Electric</t>
  </si>
  <si>
    <t xml:space="preserve">Comstock Resources Inc.</t>
  </si>
  <si>
    <t xml:space="preserve">Energy</t>
  </si>
  <si>
    <t xml:space="preserve">Oil &amp; Gas E&amp;P</t>
  </si>
  <si>
    <t xml:space="preserve">Energy Transfer LP</t>
  </si>
  <si>
    <t xml:space="preserve">Oil &amp; Gas Midstream</t>
  </si>
  <si>
    <t xml:space="preserve">Liberty Energy Inc.</t>
  </si>
  <si>
    <t xml:space="preserve">Oil &amp; Gas Equipment &amp; Services</t>
  </si>
  <si>
    <t xml:space="preserve">NOV Inc.</t>
  </si>
  <si>
    <t xml:space="preserve">Celanese Corp.</t>
  </si>
  <si>
    <t xml:space="preserve">Basic Materials</t>
  </si>
  <si>
    <t xml:space="preserve">Chemicals</t>
  </si>
  <si>
    <t xml:space="preserve">Cleveland-Cliffs Inc.</t>
  </si>
  <si>
    <t xml:space="preserve">Steel</t>
  </si>
  <si>
    <t xml:space="preserve">Linde plc</t>
  </si>
  <si>
    <t xml:space="preserve">Specialty Chemicals</t>
  </si>
  <si>
    <t xml:space="preserve">Diageo plc</t>
  </si>
  <si>
    <t xml:space="preserve">Beverages - Wineries &amp; Distilleries</t>
  </si>
  <si>
    <t xml:space="preserve">Estee Lauder Companies</t>
  </si>
  <si>
    <t xml:space="preserve">Household &amp; Personal Products</t>
  </si>
  <si>
    <t xml:space="preserve">Hormel Foods Corp.</t>
  </si>
  <si>
    <t xml:space="preserve">Packaged Foods</t>
  </si>
  <si>
    <t xml:space="preserve">Procter &amp; Gamble Co.</t>
  </si>
  <si>
    <t xml:space="preserve">Chipotle Mexican Grill</t>
  </si>
  <si>
    <t xml:space="preserve">Restaurants</t>
  </si>
  <si>
    <t xml:space="preserve">Domino's Pizza Inc.</t>
  </si>
  <si>
    <t xml:space="preserve">Papa John's Intl.</t>
  </si>
  <si>
    <t xml:space="preserve">Yum! Brands Inc.</t>
  </si>
  <si>
    <t xml:space="preserve">Nike Inc.</t>
  </si>
  <si>
    <t xml:space="preserve">V.F. Corporation</t>
  </si>
  <si>
    <t xml:space="preserve">Apparel Manufacturing</t>
  </si>
  <si>
    <t xml:space="preserve">Canada Goose Holdings</t>
  </si>
  <si>
    <t xml:space="preserve">Advance Auto Parts Inc.</t>
  </si>
  <si>
    <t xml:space="preserve">Auto Parts</t>
  </si>
  <si>
    <t xml:space="preserve">Alibaba Group Holding Ltd.</t>
  </si>
  <si>
    <t xml:space="preserve">Internet Retail</t>
  </si>
  <si>
    <t xml:space="preserve">Etsy Inc.</t>
  </si>
  <si>
    <t xml:space="preserve">Aerospace &amp; Defense</t>
  </si>
  <si>
    <t xml:space="preserve">Parker-Hannifin Corporation</t>
  </si>
  <si>
    <t xml:space="preserve">Specialty Industrial Machinery</t>
  </si>
  <si>
    <t xml:space="preserve">Eaton Corporation plc</t>
  </si>
  <si>
    <t xml:space="preserve">The Walt Disney Company</t>
  </si>
  <si>
    <t xml:space="preserve">Communication Services</t>
  </si>
  <si>
    <t xml:space="preserve">Entertainment</t>
  </si>
  <si>
    <t xml:space="preserve">Kodiak Gas Services, Inc.</t>
  </si>
  <si>
    <t xml:space="preserve">ABT</t>
  </si>
  <si>
    <t xml:space="preserve">Abbott Laboratories</t>
  </si>
  <si>
    <t xml:space="preserve">Medical Devices</t>
  </si>
  <si>
    <t xml:space="preserve">SLB</t>
  </si>
  <si>
    <t xml:space="preserve">SLB N.V.</t>
  </si>
  <si>
    <t xml:space="preserve">Part 4 Entry Rules (5-10, 13). Rules 5-7 pull from the Scoring tab; Rules 11-12 pull from the Implied-Return Calculator; Rules 8-9-10-13 are entered here. Keep this tab's row order matching Scoring/Dashboard/Implied-Return Calculator for the same stock (row 3 = same stock across all four).</t>
  </si>
  <si>
    <t xml:space="preserve">Rule 5
Composite
≥65?</t>
  </si>
  <si>
    <t xml:space="preserve">Rule 6
Tier1
≥3.0?</t>
  </si>
  <si>
    <t xml:space="preserve">Rule 7
No Tier1
=1?</t>
  </si>
  <si>
    <t xml:space="preserve">Rule 8
Above / reclaimed
200-wk MA?
(Y/N)</t>
  </si>
  <si>
    <t xml:space="preserve">Rule 9
Monthly MACD
positive / turning?
(Y/N)</t>
  </si>
  <si>
    <t xml:space="preserve">Staging
Result
(Rules 8-9)</t>
  </si>
  <si>
    <t xml:space="preserve">Rule 10
Binary event
risk present?
(Y/N)</t>
  </si>
  <si>
    <t xml:space="preserve">Risk included
in thesis?
(Y/N)</t>
  </si>
  <si>
    <t xml:space="preserve">Rule 10
Result</t>
  </si>
  <si>
    <t xml:space="preserve">Base Case
&gt;10%?</t>
  </si>
  <si>
    <t xml:space="preserve">Rule 11
Bear Case
≥0%?</t>
  </si>
  <si>
    <t xml:space="preserve">Rule 12
Scenario tags
OK?</t>
  </si>
  <si>
    <t xml:space="preserve">P/FCF
(current)</t>
  </si>
  <si>
    <t xml:space="preserve">Consensus FCF
growth, 2-yr
annualized</t>
  </si>
  <si>
    <t xml:space="preserve">Rule 13
Valuation
Ceiling</t>
  </si>
  <si>
    <t xml:space="preserve">ENTRY
AUTHORIZED?</t>
  </si>
  <si>
    <t xml:space="preserve">Recommended Action</t>
  </si>
  <si>
    <t xml:space="preserve">Market Data -- Claude-populated via yfinance (landry.data_auto.market_snapshot), refreshed periodically, not live. Scope: current holdings (excluding cash-sweep vehicles) plus any Scoring candidate that has cleared Tier 1 and is sitting on the bench -- not names already screened out. See Instructions WORKFLOW POLICY for detail.</t>
  </si>
  <si>
    <t xml:space="preserve">Price ($)</t>
  </si>
  <si>
    <t xml:space="preserve">Volume</t>
  </si>
  <si>
    <t xml:space="preserve">Market Cap ($M)</t>
  </si>
  <si>
    <t xml:space="preserve">P/E</t>
  </si>
  <si>
    <t xml:space="preserve">52-Wk Low</t>
  </si>
  <si>
    <t xml:space="preserve">52-Wk High</t>
  </si>
  <si>
    <t xml:space="preserve">Div Yield (%)</t>
  </si>
  <si>
    <t xml:space="preserve">Weekly return, calculated from Price History. Do not edit — formulas only.</t>
  </si>
  <si>
    <t xml:space="preserve">ADBE trend</t>
  </si>
  <si>
    <t xml:space="preserve">ANET trend</t>
  </si>
  <si>
    <t xml:space="preserve">ASML trend</t>
  </si>
  <si>
    <t xml:space="preserve">AVGO trend</t>
  </si>
  <si>
    <t xml:space="preserve">CRWD trend</t>
  </si>
  <si>
    <t xml:space="preserve">KLAC trend</t>
  </si>
  <si>
    <t xml:space="preserve">MU trend</t>
  </si>
  <si>
    <t xml:space="preserve">NVDA trend</t>
  </si>
  <si>
    <t xml:space="preserve">PLD trend</t>
  </si>
  <si>
    <t xml:space="preserve">PLTR trend</t>
  </si>
  <si>
    <t xml:space="preserve">TSM trend</t>
  </si>
  <si>
    <t xml:space="preserve">VRT trend</t>
  </si>
  <si>
    <t xml:space="preserve">VRTX trend</t>
  </si>
  <si>
    <t xml:space="preserve">AVUV trend</t>
  </si>
  <si>
    <t xml:space="preserve">HELO trend</t>
  </si>
  <si>
    <t xml:space="preserve">JEPQ trend</t>
  </si>
  <si>
    <t xml:space="preserve">SPMO trend</t>
  </si>
  <si>
    <t xml:space="preserve">VFLO trend</t>
  </si>
  <si>
    <t xml:space="preserve">V trend</t>
  </si>
  <si>
    <t xml:space="preserve">Pairwise correlation of weekly returns, 12-36 month window (Rule 36, Part 7). Covers stocks and held ETFs together. Recalculate quarterly.</t>
  </si>
  <si>
    <t xml:space="preserve">Positions exceeding cap (correlated &gt;0.70 with 2+ other holdings):</t>
  </si>
  <si>
    <t xml:space="preserve">Rule 36 status (no position may exceed 0.70 with more than one other holding):</t>
  </si>
  <si>
    <t xml:space="preserve">Positions &gt;0.70 with</t>
  </si>
  <si>
    <t xml:space="preserve">Portfolio-level drawdown tracking (Part 7, Rules 36-37). Enter Date and Portfolio Value; all other columns calculate automatically.</t>
  </si>
  <si>
    <t xml:space="preserve">Date</t>
  </si>
  <si>
    <t xml:space="preserve">Portfolio Value ($)</t>
  </si>
  <si>
    <t xml:space="preserve">Running Peak ($)</t>
  </si>
  <si>
    <t xml:space="preserve">Drawdown %</t>
  </si>
  <si>
    <t xml:space="preserve">Status</t>
  </si>
  <si>
    <t xml:space="preserve">Required Cash Floor</t>
  </si>
  <si>
    <t xml:space="preserve">New Position Initiation</t>
  </si>
  <si>
    <t xml:space="preserve">DCA-TRANCHE-2 prerequisite check, 9/7/26 -- see Journal.</t>
  </si>
  <si>
    <t xml:space="preserve">Tracks every holding in Probationary Hold (50-64) or Exit Review (35-49) per Part 6. The 90-day deadline and its consequence are calculated automatically — this tab is what makes Rules 31-34 enforceable rather than a manual judgment call.</t>
  </si>
  <si>
    <t xml:space="preserve">Status
(Probationary/
Exit Review)</t>
  </si>
  <si>
    <t xml:space="preserve">Entry Date
(band entered)</t>
  </si>
  <si>
    <t xml:space="preserve">Entry
Score</t>
  </si>
  <si>
    <t xml:space="preserve">Current
Score</t>
  </si>
  <si>
    <t xml:space="preserve">Current Score
Date</t>
  </si>
  <si>
    <t xml:space="preserve">Credible
Remediation Plan?
(Y/N)</t>
  </si>
  <si>
    <t xml:space="preserve">90-Day
Deadline</t>
  </si>
  <si>
    <t xml:space="preserve">Days
Remaining</t>
  </si>
  <si>
    <t xml:space="preserve">Action Status</t>
  </si>
  <si>
    <t xml:space="preserve">Remediation Plan Notes</t>
  </si>
  <si>
    <t xml:space="preserve">Trims Taken
(0-3, Rule 33)</t>
  </si>
  <si>
    <t xml:space="preserve">Probationary Hold</t>
  </si>
  <si>
    <t xml:space="preserve">Rule 33 (Early Partial Trim) now applies -- next reconfirmation of FCF Margin Trend/ROIC (via a new filing or scheduled re-score) before 12/12/26 with no improvement triggers a 1/3 trim. Not yet triggered; entry itself does not count. Alan: market already pricing this in (CRWD down 10-15% over prior 2 weeks) -- deserves watching, not an immediate action. Credible Remediation Plan not yet assessed.</t>
  </si>
  <si>
    <t xml:space="preserve">Standardized Implied-Return Methodology (Rule 11, Part 4): Expected annualized return = [(Year-5 equity value + cumulative distributions) ÷ current equity value]^(1/5) − 1. Run Base, Bear, and Bull cases together (Rule 12) — exactly one gets the Likely tag.</t>
  </si>
  <si>
    <t xml:space="preserve">BASE CASE</t>
  </si>
  <si>
    <t xml:space="preserve">BEAR CASE</t>
  </si>
  <si>
    <t xml:space="preserve">BULL CASE</t>
  </si>
  <si>
    <t xml:space="preserve">RULE 11 / 12 CHECKS</t>
  </si>
  <si>
    <t xml:space="preserve">Current
Price ($)</t>
  </si>
  <si>
    <t xml:space="preserve">Yr-5 FCF
/sh ($)</t>
  </si>
  <si>
    <t xml:space="preserve">Terminal
P/FCF</t>
  </si>
  <si>
    <t xml:space="preserve">Cum.
Distrib/sh</t>
  </si>
  <si>
    <t xml:space="preserve">Implied
Annual Return</t>
  </si>
  <si>
    <t xml:space="preserve">Tag (L/P/U)</t>
  </si>
  <si>
    <t xml:space="preserve">Base&gt;10%?</t>
  </si>
  <si>
    <t xml:space="preserve">Bear≥0%?</t>
  </si>
  <si>
    <t xml:space="preserve">Exactly 1
Likely?</t>
  </si>
  <si>
    <t xml:space="preserve">Costco Wholesale Corporation</t>
  </si>
  <si>
    <t xml:space="preserve">Possible</t>
  </si>
  <si>
    <t xml:space="preserve">Likely</t>
  </si>
  <si>
    <t xml:space="preserve">For positions actually held (not screening candidates). Tracks Part 6's ten sell triggers (Rules 21-30). Enter this-period and prior-period Tier 1 sub-scores to auto-detect the 'two consecutive periods' fundamental triggers; enter current valuation/position metrics for the rest. Any trigger firing without a Hold Through condition applying requires action within 30 days. </t>
  </si>
  <si>
    <t xml:space="preserve">FUNDAMENTAL TRIGGERS (Rules 21-25) — flags if declined 2 consecutive periods</t>
  </si>
  <si>
    <t xml:space="preserve">VALUATION / SIZING TRIGGERS (Rules 26-30)</t>
  </si>
  <si>
    <t xml:space="preserve">Position Pct</t>
  </si>
  <si>
    <t xml:space="preserve">Max Full Pct</t>
  </si>
  <si>
    <t xml:space="preserve">FCF Yield
Prior</t>
  </si>
  <si>
    <t xml:space="preserve">FCF Yield
Current</t>
  </si>
  <si>
    <t xml:space="preserve">Flag</t>
  </si>
  <si>
    <t xml:space="preserve">Moat
Prior</t>
  </si>
  <si>
    <t xml:space="preserve">Moat
Current</t>
  </si>
  <si>
    <t xml:space="preserve">ROIC-WACC
Spread
Prior</t>
  </si>
  <si>
    <t xml:space="preserve">ROIC-WACC
Spread
Current</t>
  </si>
  <si>
    <t xml:space="preserve">Mgmt
Quality
Prior</t>
  </si>
  <si>
    <t xml:space="preserve">Mgmt
Quality
Current</t>
  </si>
  <si>
    <t xml:space="preserve">Rev Growth
Prior</t>
  </si>
  <si>
    <t xml:space="preserve">Rev Growth
Current</t>
  </si>
  <si>
    <t xml:space="preserve">Debt/FCF
(&gt;6x=
trigger)</t>
  </si>
  <si>
    <t xml:space="preserve">P/FCF
(&gt;50x+gr
&lt;15%)</t>
  </si>
  <si>
    <t xml:space="preserve">FCF Growth
%</t>
  </si>
  <si>
    <t xml:space="preserve">Implied Return
(&lt;7%=
trigger)</t>
  </si>
  <si>
    <t xml:space="preserve">Current
Tier</t>
  </si>
  <si>
    <t xml:space="preserve">Prior
Tier</t>
  </si>
  <si>
    <t xml:space="preserve">Valuation
Flags</t>
  </si>
  <si>
    <t xml:space="preserve">Hold Through
Applies? (Y/N)</t>
  </si>
  <si>
    <t xml:space="preserve">Every initiated position from entry date forward, per Part 9 -- including still-held positions, not only exited ones (avoids the exit-only selection bias the System was specifically built to prevent). Feeds the Rule-46 cohort review once 10+ entries in a decision band reach five years. Legacy positions (held before the System existed, retained because they currently conform on ongoing review rather than because they were originally scored/selected through it) are deliberately NOT backfilled with a fabricated entry score -- that would feed the cohort review with invented history. If a legacy position is ever entered here, leave Entry Score/Confidence/Decision Band blank rather than guess; a blank Decision Band naturally excludes it from Rule-46's per-band cohort grouping. (Agreed with Alan 2026-08-26.)</t>
  </si>
  <si>
    <t xml:space="preserve">Entry
Date</t>
  </si>
  <si>
    <t xml:space="preserve">Entry
Price</t>
  </si>
  <si>
    <t xml:space="preserve">Entry
Confidence</t>
  </si>
  <si>
    <t xml:space="preserve">Entry
Decision Band</t>
  </si>
  <si>
    <t xml:space="preserve">SPY Price
at Entry</t>
  </si>
  <si>
    <t xml:space="preserve">Status
(Held/Exited)</t>
  </si>
  <si>
    <t xml:space="preserve">Exit
Date</t>
  </si>
  <si>
    <t xml:space="preserve">Exit
Price</t>
  </si>
  <si>
    <t xml:space="preserve">Exit
Reason</t>
  </si>
  <si>
    <t xml:space="preserve">Current/
Exit Price</t>
  </si>
  <si>
    <t xml:space="preserve">SPY Price
(current/exit)</t>
  </si>
  <si>
    <t xml:space="preserve">Total Return
Since Entry</t>
  </si>
  <si>
    <t xml:space="preserve">SPY Return
Same Period</t>
  </si>
  <si>
    <t xml:space="preserve">Excess
Return</t>
  </si>
  <si>
    <t xml:space="preserve">Strong Buy</t>
  </si>
  <si>
    <t xml:space="preserve">Held</t>
  </si>
  <si>
    <t xml:space="preserve">Buy</t>
  </si>
  <si>
    <t xml:space="preserve">Total Return Since Entry is a simple price return (excludes dividends unless you fold them into Current/Exit Price manually). At each annual review, snapshot the return here rather than trying to back-calculate historical 1/3/5-year prices Excel doesn't have.</t>
  </si>
  <si>
    <t xml:space="preserve">Freeform notes log — no required structure or length. Date and Ticker are there so you can sort or filter (Data &gt; Filter, or click the column dropdown arrows) by symbol or date range. 
Leave Ticker blank for portfolio-level or general notes.</t>
  </si>
  <si>
    <t xml:space="preserve">Sold -- Rule 3 Avoid (same-store sales growth collapsed 11.5%-&gt;1.6% YoY, FCF margin compressed), small gain, no credible remediation path identified.</t>
  </si>
  <si>
    <t xml:space="preserve">Sold -- Rule 3 Avoid confirmed on 2nd consecutive scoring pass. FCF negative funding AI/robotics capex; not the profile this System rewards. Small gain.</t>
  </si>
  <si>
    <t xml:space="preserve">Sold -- small position, clearing the deck rather than carrying a Tier 1 Avoid. Small gain, FCF trend declining despite strong revenue growth.</t>
  </si>
  <si>
    <t xml:space="preserve">RE-SCORED, NOT sold. Original Avoid call (8/6/26) was based on unreliable FCF data from MacroTrends. Reconstructed actual cash-flow-statement FCF: $3.19B (2024), $3.71B (2025), growing, ~31% margin -- 2023 was a one-year dip, not a trend. Corrected Composite = 75.6, BUY. Holding.</t>
  </si>
  <si>
    <t xml:space="preserve">SFM,TSLA,ONON</t>
  </si>
  <si>
    <t xml:space="preserve">Sells confirmed executed. Removed from Current Positions (qty/cost basis zeroed) and Monitor &amp; Recheck Triggers (marked Closed). Sale proceeds shown as estimates using last known market price -- true up cash balances with next fresh account export.</t>
  </si>
  <si>
    <t xml:space="preserve">Confirmed actual proceeds: ONON -100sh $3,764.92 | SFM -65sh $5,601.58 | TSLA -15sh $4,783.25. Total $14,149.75 added to VMFXX. Combined portfolio now $700,739.19.</t>
  </si>
  <si>
    <t xml:space="preserve">VGT,CALF,AVUV</t>
  </si>
  <si>
    <t xml:space="preserve">ETF cleanup executed: VGT sold (-40.18sh, $4,851.48, worst correlation offender). CALF sold (-409.55sh, $23,016.52), consolidated into AVUV (+193.58sh, $24,518.64) per correlation/flow/quality comparison. AVUV now 400.0sh, $51,496 combined value.</t>
  </si>
  <si>
    <t xml:space="preserve">PLD,VRTX,ADBE</t>
  </si>
  <si>
    <t xml:space="preserve">DCA tranche 1 executed, weighted toward diversifiers: PLD +64sh $8,954.88, VRTX +25sh $12,219.25, ADBE +20sh $5,327.60. Total $26,501.73 (target was $24,000, actual fills ran slightly over).</t>
  </si>
  <si>
    <t xml:space="preserve">Label corrected: VFLO is VictoryShares Free Cash Flow ETF (large-cap FCF-focused), not Vanguard US Multifactor ETF as previously mislabeled. Not redundant with AVUV/CALF as originally framed -- different market-cap segment. Kept on its own merits.</t>
  </si>
  <si>
    <t xml:space="preserve">DCA-TRANCHE-2</t>
  </si>
  <si>
    <t xml:space="preserve">Target: ~$24,000. PREREQUISITES before executing: (1) Pull fresh prices for all held positions -- update Current Positions col F and Monitor &amp; Recheck Triggers col H. (2) Log this month's total portfolio value into Portfolio Drawdown Log -- regime determines whether tranche proceeds at all: Normal=full tranche, Elevated=Strong-Buy-only, Severe/Critical=SKIP and hold cash per Rule 18. (3) Scan Monitor &amp; Recheck Triggers Recheck Status for anything DUE -- re-score before adding to it, not after. (4) Check remaining diversifier headroom (VRTX/PLD/ADBE) against tranche size -- ~$64,174 left after Tranche 1, should still be sufficient here. (5) Confirm Correlation Matrix status hasn't moved unfavorably. [Rescheduled from 9/7 to 9/8: 9/7/2026 is Labor Day, a market holiday -- no trading. Kept the ~7-day-after-month-end spacing, shifted to the next trading day.]</t>
  </si>
  <si>
    <t xml:space="preserve">QTR-REVIEW-1</t>
  </si>
  <si>
    <t xml:space="preserve">Standardized quarterly review, calendar quarter-end (price/date-driven items only -- no benefit to delaying these). ACTIONS: (1) Portfolio Drawdown Log -- log quarter-end portfolio value, confirm regime. (2) Correlation Matrix -- full refresh with latest Price History data, confirm Rule 36 status. (3) Watch List Tracker -- check all 90-day deadlines (Rule 33), flag any DEADLINE PASSED / APPROACHING. (4) Begin COST/Visa prep for Tranche 3 headroom gap (see 10/7 note) -- populate Price History with 12+ months weekly closes, run Entry Checklist Rules 8-13 for both.</t>
  </si>
  <si>
    <t xml:space="preserve">DCA-TRANCHE-3</t>
  </si>
  <si>
    <t xml:space="preserve">Target: ~$24,000. Same 5-step prerequisite checklist as Tranche 2 (fresh prices, Drawdown Log regime check, Monitor DUE scan, headroom check, Correlation Matrix confirm). IMPORTANT: diversifier headroom (VRTX/PLD/ADBE) likely runs thin around this tranche (~$64,174 remaining after Tranche 1, minus Tranche 2). If insufficient, this is where COST and/or Visa enter the deployment -- confirm both have completed Price History population and Entry Checklist authorization (started at 9/30 review) before allocating to either. SUPERSEDED 9/7/26 -- see DCA-CATCHUP-PLAN (9/7/26 entry below) for the revised ~$33,413/tranche, twice-monthly schedule.</t>
  </si>
  <si>
    <t xml:space="preserve">FUND-REFRESH-1</t>
  </si>
  <si>
    <t xml:space="preserve">Fundamental refresh, ~3-4 weeks after Sep 30 quarter-end to allow Q3 earnings to land. ACTIONS: (1) Re-score Tier 1 indicators (FCF Yield, Revenue Growth, Moat, Rev Visibility, FCF Margin) for existing holdings using new Q3 results -- update Scoring tab for anything material, not a full re-research unless flagged by Monitor &amp; Recheck Triggers. (2) Complete COST/Visa Entry Checklist work if not finished at 9/30 review. (3) Holding Monitor -- for each held ticker, snapshot pre-refresh Tier 1 sub-scores (FCF Yield, Moat, ROIC-WACC Spread, Mgmt Quality, Rev Growth) into the Prior columns, then populate Current columns with the post-refresh values; also populate Position Pct, Max Full Pct, Debt/FCF, P/FCF, FCF Growth%, Implied Return, and Current/Prior Tier. First cycle, so Prior = pre-refresh baseline, not a true prior period. NOTE: Costco's fiscal year ends in August, not December -- its earnings won't align with this calendar-quarter cadence; don't expect a fresh COST report here.</t>
  </si>
  <si>
    <t xml:space="preserve">DCA-TRANCHE-4</t>
  </si>
  <si>
    <t xml:space="preserve">Target: ~$24,000. Same 5-step prerequisite checklist as prior tranches (fresh prices, Drawdown Log regime check, Monitor DUE scan, headroom check, Correlation Matrix confirm). By this point COST and/or Visa should be live deployment candidates if diversifier headroom ran out at Tranche 3. [Rescheduled from 11/7 to 11/9: 11/7/2026 is a Saturday. Kept the ~7-day-after-month-end spacing, shifted to the next trading day.] SUPERSEDED 9/7/26 -- see DCA-CATCHUP-PLAN (9/7/26 entry below) for the revised ~$33,413/tranche, twice-monthly schedule.</t>
  </si>
  <si>
    <t xml:space="preserve">QTR-REVIEW-2</t>
  </si>
  <si>
    <t xml:space="preserve">Standardized quarterly review, calendar quarter-end. Same actions as 9/30 (QTR-REVIEW-1): Portfolio Drawdown Log entry, Correlation Matrix refresh, Watch List 90-day deadline check.</t>
  </si>
  <si>
    <t xml:space="preserve">FUND-REFRESH-2</t>
  </si>
  <si>
    <t xml:space="preserve">Fundamental refresh, ~3-4 weeks after Dec 31 quarter-end. Re-score Tier 1 indicators using Q4/FY results. Holding Monitor: shift each held ticker's Current columns into Prior, then populate Current with the newly re-scored Tier 1 sub-scores and refreshed valuation/sizing metrics (Debt/FCF, P/FCF, FCF Growth%, Implied Return, Current/Prior Tier, Position Pct, Max Full Pct); review any resulting TRIGGER/ACTION REQUIRED flags. NOTE: Q4/full-year earnings tend to land later than other quarters (audited annuals, proxy statements) -- may catch fewer names fully reported than the October refresh does; some re-scoring may need to wait into February.</t>
  </si>
  <si>
    <t xml:space="preserve">DARRYL-SCREEN-METHOD</t>
  </si>
  <si>
    <t xml:space="preserve">Darryl-list screening used GICS-sector Tier A/B/C categorization (from the original candidate-sequencing plan) as a proxy for diversification value -- e.g. Utilities called "zero AI capex exposure." NRG/VST screening (8/18) showed this doesn't hold: both are AI-power-narrative names that correlate 0.74 with EACH OTHER and sold off together on AI-capex-overbuild concerns -- the sector label was never the System's real diversification test. Built correlation_vs_holdings() (landry/data_auto.py) to run the actual Rule 36 test -- correlation vs REAL current holdings, not a sector-label assumption -- automatically on every `landry draft`. Backfilled it for every already-screened Darryl candidate plus NRG/VST: none flag against real holdings (highest is VST at 0.61 vs VRT, under the 0.70 threshold). Going forward: sector labels are a sequencing convenience only -- Rule 36 vs actual holdings is what decides diversification value.</t>
  </si>
  <si>
    <t xml:space="preserve">ETF-CASH-BUCKET-TODO</t>
  </si>
  <si>
    <t xml:space="preserve">AVUV, SPMO, VFLO are held as temporary cash buckets (liquidity reserve to be drawn on when cash is needed), not as scored Landry positions -- they sit outside the system's scope (Part 1.3 excludes ETFs) and have no Scoring tab entry. Added a "Cash / Cash Equivalents" row to Current Positions (row 39, under the Combined Portfolio Total) rolling up actual cash plus these three ETFs: $398,882 combined, 56.9% of the $700,751 portfolio, with $9,533 of embedded unrealized gain in the ETF portion (a real tax cost if liquidated). TO DO: formalize how ETFs should be treated as portfolio positions -- current treatment (temporary cash proxy, outside Landry scoring) is a working assumption, not a documented rule.</t>
  </si>
  <si>
    <t xml:space="preserve">PRE-TRANCHE-SCORING-TODO</t>
  </si>
  <si>
    <t xml:space="preserve">Reviewed Current Positions' note flagging 12 Self-Directed (Chase) tickers as unscored -- it was stale. Checked each against the current Scoring tab and actual holdings: VRTX, PLD, SFM, ONON, and TSLA are already scored (VRTX/PLD as diversifiers, SFM/ONON/TSLA as historical entries on now-zero positions); AVUV, SPMO, and VFLO are ETF cash-buckets, correctly out of Landry scope per Part 1.3 (see ETF-CASH-BUCKET-TODO, 8/24); CALF and VGT are zero-quantity, no longer held. Only JEPQ ($50,056) and HELO ($20,877) are real, currently-held positions with zero Scoring tab presence -- score both before DCA-TRANCHE-2 (9/8/2026). Separately, lower priority: added a PENDING fallback to Dashboard col F (Decision) for any ticker that cleared Tier 1 but has no Composite Score yet -- this surfaced 10 such tickers (ET, LIN, PG, CMG, DPZ, YUM, ETSY, GE, PH, ETN, NFLX), none of which are currently held, so none block the tranche. Worth finishing their Tier 2/3 scoring at some point, just not before 9/8.</t>
  </si>
  <si>
    <t xml:space="preserve">DCA-CATCHUP-PLAN-V1</t>
  </si>
  <si>
    <t xml:space="preserve">Agreed with Alan: blend increased cadence with an explicit catch-up amount to address dry-powder buildup, rather than just resuming flat $24K tranches. Diagnosis: combined portfolio $751,223 (9/4/26), cash/dry-powder $513,634 (68.4%) -- the $24K target was sized against a much smaller cash base and was never rescaled; at that pace, full deployment would take 20+ months. Plan: (1) 6-month catch-up phase, twice-monthly tranches. Excess over Part 5's 15% cash ceiling (15% of $751,223 = $112,683) is $400,950; split across 12 tranches = ~$33,413 each (see DCA-CATCHUP-1 through -12 below; dates approximate, shift for weekends/holidays same as prior tranches). (2) After the catch-up completes (~March 2027), downshift to steady-state twice-monthly tranches sized as a % of portfolio rather than a flat $, so this doesn't go stale again. Guardrail: pace does NOT override the Composite&gt;=65 / Tier 1 qualifying-candidate gate (Part 5 -- insufficient qualifying candidates means hold the difference in cash, don't lower the bar). Each catch-up tranche still runs the full 5-step prerequisite checklist. DCA-TRANCHE-2 (9/8/26, $24K) proceeds as already planned/checklisted -- this new cadence starts with the first tranche after it, not with Tranche 2 itself. Rationale for accelerating now, per Alan: no acute macro threat identified (election uncertainty noted but not treated as a reason to slow bottom-up deployment -- consistent with Part 7's macro-overlay guidance that macro views are a temporary modifier, not an override). SUPERSEDED 9/11/26 -- see DCA-CATCHUP-PLAN-2 for the revised ~4-month/8-tranche, $40K-$50K/tranche schedule.</t>
  </si>
  <si>
    <t xml:space="preserve">DCA-CATCHUP-1-V1</t>
  </si>
  <si>
    <t xml:space="preserve">Target: ~$33,413 (catch-up plan, see DCA-CATCHUP-PLAN 9/7/26). Same 5-step prerequisite checklist as prior tranches (fresh prices, Drawdown Log regime check, Monitor DUE scan, headroom check, Correlation Matrix confirm). Date approximate -- confirm against actual trading calendar and shift for weekends/holidays, same convention as Tranches 1-2. SUPERSEDED 9/11/26 -- see DCA-CATCHUP-PLAN-2 for the revised ~4-month/8-tranche, $40K-$50K/tranche schedule.</t>
  </si>
  <si>
    <t xml:space="preserve">DCA-CATCHUP-2-V1</t>
  </si>
  <si>
    <t xml:space="preserve">DCA-CATCHUP-3-V1</t>
  </si>
  <si>
    <t xml:space="preserve">DCA-CATCHUP-4-V1</t>
  </si>
  <si>
    <t xml:space="preserve">DCA-CATCHUP-5-V1</t>
  </si>
  <si>
    <t xml:space="preserve">DCA-CATCHUP-6-V1</t>
  </si>
  <si>
    <t xml:space="preserve">DCA-CATCHUP-7-V1</t>
  </si>
  <si>
    <t xml:space="preserve">DCA-CATCHUP-8-V1</t>
  </si>
  <si>
    <t xml:space="preserve">DCA-CATCHUP-9-V1</t>
  </si>
  <si>
    <t xml:space="preserve">DCA-CATCHUP-10-V1</t>
  </si>
  <si>
    <t xml:space="preserve">DCA-CATCHUP-11-V1</t>
  </si>
  <si>
    <t xml:space="preserve">DCA-CATCHUP-12-V1</t>
  </si>
  <si>
    <t xml:space="preserve">Target: ~$33,413 (catch-up plan, see DCA-CATCHUP-PLAN 9/7/26). Same 5-step prerequisite checklist as prior tranches (fresh prices, Drawdown Log regime check, Monitor DUE scan, headroom check, Correlation Matrix confirm). Date approximate -- confirm against actual trading calendar and shift for weekends/holidays, same convention as Tranches 1-2. Last catch-up tranche -- after this, downshift to steady-state cadence per DCA-CATCHUP-PLAN. SUPERSEDED 9/11/26 -- see DCA-CATCHUP-PLAN-2 for the revised ~4-month/8-tranche, $40K-$50K/tranche schedule.</t>
  </si>
  <si>
    <t xml:space="preserve">VRTX,V,PLD</t>
  </si>
  <si>
    <t xml:space="preserve">DCA-TRANCHE-2 executed. VRTX +15sh @ ~$527.47 ($7,912.09, Chase) -- diversifier add, now 65sh total. V (Visa) opened as a brand-new position: 50sh across 2 lots, $9,209.50 @ $368.38 + $9,239.13 @ $369.565 = $18,448.63 (Fidelity) -- Entry Checklist authorized (Composite 86.4, STRONG BUY), zero prior Financial Services exposure, correlation checked clean against all current holdings (max 0.46 vs VFLO, live CORREL formula) before buying. PLD skipped this tranche -- Fidelity's Equity Summary Score (LSEG StarMine) showed Very Bearish (0.7/10) with 2 recent Sell opinions (Trading Central 9/4, McLean Capital Mgmt 9/6) against 3 Neutral and 2 Buy; traditional sell-side consensus stayed clean (0 Sell ratings, improving vs 3mo ago) -- Alan chose to wait/watch rather than add given the split signal. Total tranche $26,360.72 vs. $24,000 target (ran over, same pattern as Tranche 1). Source: Tranche_EXECUTIONS.xlsx (Alan's new standing execution-log file, updated each tranche going forward). Recorded in Current Positions, Performance Tracking (V, new row), Price History + Returns (Calc) + Correlation Matrix (V added as a new tracked ticker, live formulas throughout).</t>
  </si>
  <si>
    <t xml:space="preserve">DCA-ACCELERATION-POLICY</t>
  </si>
  <si>
    <t xml:space="preserve">DCA acceleration policy for the current dry-powder pile (tactical, NOT a Part 7 rule change) -- source: "Landry System DOLLAR COST AVERAGING Strategy.docx" (docs/, added 9/11/26), proposing DCA tranche-size acceleration tiered to the S&amp;P 500's distance from its all-time high: Routine Pullback (-5% to -9%) = baseline/0%, Market Correction (-10% to -14%) = +25%, Severe Correction (-15% to -19%) = +50%, Bear Market (-20%+) = +100% (double). This runs in tension with Part 7's existing Portfolio Drawdown Response (Elevated=Strong-Buy-only, Severe/Critical=skip), since one measures the S&amp;P's condition and the other measures the portfolio's own -- they usually move together but don't have to. RECONCILED 9/11/26: for the DCA-CATCHUP-1 through 12 tranches specifically (the $337,606 ETF dry-powder pile, ~43.5% of the portfolio as of this date), apply the S&amp;P-ATH acceleration tier to set tranche size, UNLESS the Portfolio Drawdown Log's own regime is Severe or worse, which overrides and skips the tranche regardless of the S&amp;P tier; if the portfolio regime is Elevated, the acceleration still applies to size but new entries stay restricted to Strong-Buy-quality names only (matching Part 7's existing Elevated rule). This is a near-term, tactical application to the current pile -- not a change to Part 7's Hard Rule text or the Instructions tab. Grounding numbers at the time of this decision: S&amp;P 500 at 7676.09, only -1.58% from its recent ATH (7798.99, 8/13/26) -- this tier framework is not currently active (baseline pace applies today); this is policy for later, not a live override. Process Checklist's DCA-CATCHUP step list updated same day to apply this.</t>
  </si>
  <si>
    <t xml:space="preserve">ETF-CASH-BUCKET-TODO,PRE-TRANCHE-SCORING-TODO</t>
  </si>
  <si>
    <t xml:space="preserve">CLARIFIED 9/11/26 (during Journal review -- corrects an overstated "RESOLVED" framing written moments earlier in a first pass at this same entry): the 8/24 ETF-CASH-BUCKET-TODO ("formalize how ETFs should be treated as portfolio positions") is NOT resolved -- it remains a genuine open To-Do, grouped with DB development as a "later" item per Alan (9/11/26). What IS settled, narrowly: the specific 8/26 tactical question (score JEPQ/HELO before DCA-TRANCHE-2?). These 10 yield ETFs (AVUV, SPMO, VFLO, DVY, SCHD, VYM, MLPI, JEPQ, HELO, JEPI) are being treated as temporary cash-equivalents, outside Landry's scoring scope, for now -- confirmed JEPQ/HELO are still absent from the Scoring tab, consistent with this temporary treatment. This is a stopgap working assumption, not the formal ETF policy the original TODO asked for -- that formalization is still pending, no target date set.</t>
  </si>
  <si>
    <t xml:space="preserve">WILDCARD-ALLOCATION-TODO</t>
  </si>
  <si>
    <t xml:space="preserve">Alan raised for future consideration -- not decided, not scoped, no target date: a 5%-10% portfolio allocation to a "wild card" sleeve -- rule-disregarding, or governed by a new/separate rule set still to be defined -- for exceptional opportunities that fall outside the current Landry Strategy's normal Entry Checklist / Tier 1-3 scoring gates. Genuinely undefined at this stage (his own framing): what qualifies as "exceptional," how it would be sized and tracked separately from the scored portfolio, whether it needs its own sell discipline, and how it interacts with Part 5's existing position/sector caps and Part 7's drawdown response. Grouped with the other standing To-Dos (ETF treatment policy, DB migration) as a future discussion item, not active work.</t>
  </si>
  <si>
    <t xml:space="preserve">PIOTROSKI-DIAGNOSTIC-BATCH</t>
  </si>
  <si>
    <t xml:space="preserve">Ran the agreed 4-ticker validity test (SFM, TSLA, ONON, VRTX) against real, dated cash-flow-statement data (not a third-party aggregator). Results: Accruals Check diverged from existing FCF-Yield confidence for VRTX only (existing=High, Accruals=LOW CONF -- FY2025 CFO .63B came in below Net Income .95B); SFM/TSLA/ONON's Accruals agreed with existing state (no new signal). Leverage Trajectory could NOT be evaluated for any of the 4 -- none has a Management Quality score on record to compare the flag against (SFM/ONON/TSLA were all sold before reaching that stage of scoring). NOT a final verdict -- sample is too thin, especially on Leverage Trajectory (0 of 4 testable). Plan: add 1-2 currently-held, fully-scored tickers to get real Leverage Trajectory signal before deciding keep/drop; investigate why VRTX's CFO&lt;NI happened (one-time item vs. genuine quality concern) before treating that divergence as conclusive on its own. If kept: fold AN-AS population into the standing FUND-REFRESH checklist for every held ticker, not just diagnostic-batch ones. If dropped: stop populating, leave the historical data in place as a record of the experiment. Also resolved in this pass: TSLA's "FCF negative" sell rationale (row 4, 8/7/26) doesn't match today's data (FCF was solidly positive both FY2024 and FY2025) -- Alan's separate 7/31/26 analysis (possibly predating the chat-to-code migration, exact methodology now uncertain per his own recollection) independently confirms the actual trigger was a Tier 1 floor failure (1.71 vs 3.0 minimum), most likely driven by low FCF YIELD given Tesla's enormous market cap rather than negative FCF in dollar terms -- the sell decision looks solidly grounded, the write-up's phrasing was just imprecise. Data now populated in Scoring cols AN-AS for all 4 tickers (rows 7, 9, 10, 11).</t>
  </si>
  <si>
    <t xml:space="preserve">Extended the batch with 2 currently-held, Management-Quality-scored tickers (MU, VRT) specifically to make the Leverage Trajectory check testable -- the first 4 (SFM/TSLA/ONON/VRTX) left it untestable for 3 of 4. Picked capital-intensive businesses with real debt dynamics rather than low-debt software names; skipped PLD (REIT, no standard CapEx line item -- "Purchase of Investment Properties" isn't a clean analog) and TSM/ASML (foreign issuers reporting in local currency -- caught TSM's figures were in Taiwan dollars, trillions not billions, before writing anything). Results: MU Accruals=OK, Leverage=Decreased (existing Mgmt Quality 4/M -- consistent, no divergence). VRT Accruals=OK, Leverage=Decreased (existing Mgmt Quality 4/M -- same, consistent). Note: MU's fiscal year ends August 31, not December -- same non-calendar-FYE quirk as COST, worth remembering for FUND-REFRESH timing. Running batch tally, 6 tickers total: Accruals testable for all 6, 1 divergence (VRTX only), 5 agree. Leverage Trajectory now testable for 3 of 6 (VRTX, MU, VRT), 0 divergences -- all three agree with existing Mgmt Quality. Still not a final verdict -- 0 divergences on Leverage Trajectory could mean it's redundant (per the original decision rule) or just that 3 data points isn't enough yet; leaning toward needing a few more before calling it either way.</t>
  </si>
  <si>
    <t xml:space="preserve">Diagnosed the Piotroski Accruals divergence flagged in the diagnostic batch (FY2025 CFO .63B under Net Income .95B). Traced the full cash-flow reconciliation: every non-cash addback points the normal direction (D&amp;A +.8M, stock comp +.9M, asset impairment +.0M all push CFO above NI, as usual), but a ,199.1M working-capital consumption overwhelms them -- concentrated in inventory (-.2M), prepaid assets (-.0M), and receivables (-.3M). Revenue grew a real 8.9% YoY (.02B-&gt;.00B) over the same period, and this coincides with the Journavx (suzetrigine) launch, VRTX's first non-opioid pain drug -- inventory build ahead of a major launch and receivables growth from ramping sales are the expected pattern, not a red flag on their own. One thing worth actually watching, not alarming: receivables grew about 35% as fast as revenue, somewhat more than stable collection terms alone would suggest -- check whether this normalizes over the next quarter or two. CONCLUSION: reads as growth/launch-driven working capital consumption, not a hidden earnings-quality problem. The Accruals check did its job -- it correctly flagged a real, mechanically-true divergence -- but interpreting it needed a human read, consistent with how the check is designed to work (confidence-tagging only, not an automatic verdict). Status: diagnosed, monitor the receivables trend at the next fundamental refresh, not currently treated as a red flag on VRTX's BUY classification.</t>
  </si>
  <si>
    <t xml:space="preserve">Added KLAC and V specifically to test worsening leverage -- the 5 prior testable cases were all "Decreased" (improving), leaving the more diagnostic scenario (leverage worsening despite an already-good score) untested. Results: KLAC Accruals=LOW CONF (existing FCF-Yield conf=M -- a mild divergence, not yet diagnosed), Leverage=Increased but essentially flat (1.625-&gt;1.633, existing Mgmt Quality=4/H). V Accruals=OK (agrees), Leverage=Increased and real (1.115-&gt;1.167, existing Mgmt Quality=4/M). FINAL TALLY, 8 tickers: Accruals testable for all 8, 2 divergences (VRTX -- diagnosed benign, growth/launch-driven; KLAC -- not yet diagnosed but same profile as a growing semiconductor-equipment maker), 6 agree. Leverage Trajectory testable for 5 of 8, 2 show "Increased" but both against already-imperfect scores (4, not 5) rather than contradicting a high-confidence claim -- neither is the clean "caught something the existing score missed" case the test was designed to find, and one (KLAC) is economically trivial rather than a real deterioration. Assessment: across 8 tickers, the mechanism has correctly detected real mechanical divergences twice, but in the one case fully diagnosed (VRTX) the underlying cause was benign, normal business activity, not something that should have lowered confidence -- meaning the check adds diagnostic overhead without changing the conclusion. Leverage Trajectory has never once produced a result that meaningfully contradicts an existing assessment. Leaning toward DROP as redundant for how this system is actually used, per the original decision rule -- Alan's own expectation going into this last check. Awaiting his final call.</t>
  </si>
  <si>
    <t xml:space="preserve">PIOTROSKI-VERDICT</t>
  </si>
  <si>
    <t xml:space="preserve">FINAL DECISION: DROP. Alan confirmed 9/11/26 ("Yes, proceed - well done") after reviewing the complete 8-ticker diagnostic batch (VRTX, SFM, ONON, TSLA, MU, VRT, KLAC, V). The two Piotroski cross-checks (Accruals Quality, Leverage Trajectory) do not add reliable signal beyond the existing Confidence-tagging process, per the decision rule agreed 9/8/26. Reasoning: Accruals Check correctly detected 2 real mechanical divergences (VRTX, KLAC) across 8 tickers, but the one fully diagnosed (VRTX) turned out to be benign, growth/launch-driven working-capital consumption, not a genuine earnings-quality concern -- the flag creates diagnostic overhead without changing the conclusion. Leverage Trajectory was tested against 5 tickers with an existing Management Quality baseline and never once produced a result that meaningfully contradicted the existing assessment -- both "Increased" results were against already-imperfect (4, not 5) scores, and one (KLAC) was economically trivial (a 0.008 change in the ratio, essentially noise). Also confirmed before finalizing: the Accruals flag (Scoring col AP) was never actually wired into any live formula -- Rule 4's cap only counts the original Tier 1/2 confidence columns (E:M), not AP -- so this decision changes nothing about any ticker's current classification; it was a pure documentation/annotation column this whole time. DISPOSITION: stop populating Scoring cols AN-AS for any further tickers. Historical data for the 8 tested tickers stays in place as a record of the experiment, not scrubbed. Action Items' Piotroski tally section (rows 31-33) retired same day, in place of becoming a permanently-stale, partial-coverage counter in a tab meant to reflect live state. The rubric additions remain documented in Landry System v1.02 as a tested-and-retired enhancement, not erased from the record.</t>
  </si>
  <si>
    <t xml:space="preserve">DCA-CATCHUP-PLAN-2</t>
  </si>
  <si>
    <t xml:space="preserve">Revised catch-up cadence, replacing the 9/7/26 plan (rows 22-34, now superseded). Agreed with Alan after discussing Vanguard's lump-sum-vs-DCA research (lump sum beats DCA ~67-75% of the time) against his stated discomfort with current macro uncertainty (elections, war, politics). Reasoning for leaning accelerated despite that discomfort: (1) this is already-committed capital that's been sitting idle specifically because the original pace was too slow, so the time-in-market argument applies more cleanly than to a fresh lump-sum decision; (2) the system already has reactive protection against bad timing that doesn't depend on slow pacing -- Part 7's Drawdown Response can pause/shrink tranches if things actually deteriorate, and the 9/11/26 S&amp;P-ATH acceleration policy actually leans into weakness rather than avoiding it; (3) DCA's real value is regret minimization, not expected return, so some smoothing still makes sense given Alan's stated discomfort is about comfort, not a market-timing thesis. NEW PLAN: 4 months, 8 tranches (down from 6 months/12), twice monthly on the 7th and 22nd (not 15th/31st -- avoids month-end index/institutional rebalancing noise and stays consistent with the original plan's early-month/mid-month spirit). Target $40,000-$50,000/tranche, deliberately a loose range rather than a precise figure (a precise calc -- excess over Part 5's 15% cash ceiling, less a planned $20,000 personal withdrawal, /8 -- comes out to ~$47,517 as of 9/11/26, comfortably inside the range). Same 5-step-plus prerequisite checklist as before every tranche (now tracked in Process Checklist). Guardrail unchanged: pace never overrides the Composite&gt;=65/Tier-1-qualifying-candidate gate.</t>
  </si>
  <si>
    <t xml:space="preserve">DCA-CATCHUP-1</t>
  </si>
  <si>
    <t xml:space="preserve">Target: $40,000-$50,000 (see DCA-CATCHUP-PLAN-2). Shifted from 9/22 (the plan's regular cadence date) to 9/30 -- Alan traveling abroad last week of September, no market access. Same prerequisite checklist as prior tranches.</t>
  </si>
  <si>
    <t xml:space="preserve">DCA-CATCHUP-2</t>
  </si>
  <si>
    <t xml:space="preserve">Target: $40,000-$50,000 (see DCA-CATCHUP-PLAN-2). Only 7 days after DCA-CATCHUP-1 (which itself shifted to 9/30) -- a shorter-than-usual gap, kept as-is rather than reflowing the whole schedule, same convention as prior holiday/weekend shifts. Same prerequisite checklist as prior tranches.</t>
  </si>
  <si>
    <t xml:space="preserve">DCA-CATCHUP-3</t>
  </si>
  <si>
    <t xml:space="preserve">Target: $40,000-$50,000 (see DCA-CATCHUP-PLAN-2). Same prerequisite checklist as prior tranches.</t>
  </si>
  <si>
    <t xml:space="preserve">DCA-CATCHUP-4</t>
  </si>
  <si>
    <t xml:space="preserve">Target: $40,000-$50,000 (see DCA-CATCHUP-PLAN-2). Rescheduled from 11/7 to 11/9: 11/7/2026 is a Saturday. Same prerequisite checklist as prior tranches.</t>
  </si>
  <si>
    <t xml:space="preserve">DCA-CATCHUP-5</t>
  </si>
  <si>
    <t xml:space="preserve">Target: $40,000-$50,000 (see DCA-CATCHUP-PLAN-2). Rescheduled from 11/22 to 11/23: 11/22/2026 is a Sunday. Same prerequisite checklist as prior tranches.</t>
  </si>
  <si>
    <t xml:space="preserve">DCA-CATCHUP-6</t>
  </si>
  <si>
    <t xml:space="preserve">DCA-CATCHUP-7</t>
  </si>
  <si>
    <t xml:space="preserve">DCA-CATCHUP-8</t>
  </si>
  <si>
    <t xml:space="preserve">Target: $40,000-$50,000 (see DCA-CATCHUP-PLAN-2). Last tranche of the revised catch-up cadence -- after this, downshift to steady-state twice-monthly tranches sized as a % of portfolio, same as originally planned. Same prerequisite checklist as prior tranches.</t>
  </si>
  <si>
    <t xml:space="preserve">LIN,ET,KGS</t>
  </si>
  <si>
    <t xml:space="preserve">Started the Scoring completion queue with LIN (see scoring_completion_queue) -- refreshed Tier 1 via the auto-draft pipeline since the 8/11/26 scores were a month old. Found real deterioration: Tier 1 Wtd Avg fell from 4.5 to 3.07 (Revenue Growth Consistency 4-&gt;2, FCF Margin Trend 5-&gt;2, driven by a genuine ~0.6% 3-year revenue CAGR and FCF margin compression from a heavy CapEx cycle -- verified directly against real revenue/CFO/CapEx figures, not a data glitch). Checked ET (same 8/11 batch) for the same issue on a hunch and found the identical pattern: 4.0 -&gt; 3.07 (Revenue Growth Consistency 4-&gt;1 on a newly-negative CAGR, FCF Margin Trend 4-&gt;2). Both approved and written into Scoring at their rescored values. Alan's call for both: leave them rescored, don't advance further right now -- below the ~4.0 bar he's using for what's worth prioritizing this early. Worth rechecking DPZ, PG, and GE (same 8/11-13 batch, still fully untouched) before trusting their recorded scores -- the auto-draft pipeline matured after 8/11 (confirmed via git history the same day), so this may not be company-specific deterioration so much as the original batch having been scored with something less rigorous than what's available now. Added to Open Items.
Separately, picked 2 diversification candidates and began tracking: ET (already tracked, now rescored) and KGS (Kodiak Gas Services, Energy -- gas compression services, contract-based revenue, not upstream E&amp;P). Energy is the one sector genuinely untouched by both current holdings and the rest of the Scoring queue. KGS screened clean: Tier 1 quant = 4.0 on its 3 known indicators (Moat/Rev Visibility not yet assessed, Part 12), relative strength +78.6% over 12mo, analyst consensus 15/15 buy-equivalent, correlation vs holdings only 0.48 (vs AVUV) -- genuinely diversifying, not just a different label (same check that caught the NRG/VST correlation trap). One caution: ROIC vs WACC is negative (-2.0pp), not currently earning its cost of capital -- may be structural to compression-equipment economics, worth watching not ignoring. Added to Scoring (row 48) and Monitor &amp; Recheck Triggers (Watch List, row 48); Candidates pipeline status updated to "Ready for Tier 1".
Real bug found and fixed in passing: Scoring's Tier 1 Wtd Avg formula only handled "all 5 indicators populated" or "none" correctly -- KGS's partial state (3 of 5) exposed that missing indicators were silently treated as zero rather than excluded, which would have shown KGS failing Tier 1 at 2.57 instead of its honest 4.0. Fixed across all 45 rows, verified zero regressions on every already-complete ticker. Also fixed: extending Monitor &amp; Recheck Triggers to row 48 (for KGS) left all 35 of Current Positions' live-price lookup formulas one row short of the new boundary -- extended, verified no held position's resolved price changed.</t>
  </si>
  <si>
    <t xml:space="preserve">DPZ,PG,GE</t>
  </si>
  <si>
    <t xml:space="preserve">Rescored DPZ and PG through the current auto-draft pipeline (same treatment as LIN/ET, 9/11/26) -- both show real divergence from their 8/11/26 scores, in the same direction as LIN/ET (weaker Rev Growth Consistency and FCF Margin Trend on fresh data). DPZ Tier 1 Wtd Avg 4.86-&gt;3.93 (Rev Growth 5-&gt;2 on CAGR 2.9%/CV 1.02, FCF Margin 5-&gt;3). PG Tier 1 Wtd Avg 4.21-&gt;4.00 (Rev Growth 4-&gt;3 on CAGR 2.0%/CV 0.63; FCF Yield/Margin held). Both approved into landry_scores.json and written into Scoring at the rescored values; Alan's call: leave both parked, same as LIN/ET, below/at the ~4.0 bar. GE rescored the same way but diverged the OTHER direction -- Tier 1 Wtd Avg 3.86-&gt;4.14 (FCF Yield 3-&gt;4 on an expanding trend despite a modest 2.2% yield; Rev Growth/FCF Margin held) -- the first name in this whole batch (LIN/ET/DPZ/PG) to improve rather than deteriorate on rereview, evidence the pipeline isn't just systematically pessimistic. Given GE cleared the 4.0 bar, advanced it through full Tier 2/3: all 9 quant indicators (ROIC vs WACC, Relative Strength, Valuation Multiples, Technical Trend, Analyst Consensus, Volume &amp; Accumulation, plus the 3 Tier 1 quant ones) auto-drafted and approved. Management Quality &amp; Capital Allocation (Part 12 -- qualitative, not auto-drafted) researched via web search and approved by Alan: score 5/H, based on GE Aerospace's capital return framework (70-75% of available funds targeted via dividends+buybacks, ~90% of FCF actually returned in 2025; $4.2B buybacks + $873M dividends in H1 2026 alone under a new $20B authorization; dividend +30.6% Feb 2026; 2026 FCF guidance raised, not cut) and Larry Culp's track record (&gt;$100B debt reduction, executed the 3-way GEHC/GEV/GE-Aerospace breakup, committed through 2027). Noted but not weighted against the score: 500+ suppliers straining under backlog demand -- read as an industry-wide constraint being proactively managed, not a governance or capital-allocation flag. Result: GE Composite 84.2, STRONG BUY -- first-ever completion out of the original 5-name queue (LIN, NFLX, DPZ, PG, GE) besides the two now-parked names. NFLX remains the one name in that original 5 never touched this round.
Two real bugs found and fixed in the process, both in landry/export.py, both the same root cause as the recurring "hardcoded row bound never updated as a tab grew" class (see CLAUDE.md): (1) the Composite Score gate (Scoring!AF) considered a tier "ready" once its contribution cell was merely non-blank, but that cell goes non-blank as soon as ANY ONE of its 3-4 inputs is filled -- would have silently computed GE's Composite using 0 for Management Quality if that indicator had been written before the others. Fixed the gate to require full population of all 5/4/3 indicators per tier, tab-wide (safe/backward-compatible: only changes behavior for a genuinely-partial row, which had never existed before GE). (2) export --scores's ticker-to-row lookup (and the identical pattern for Market Data) only scanned rows 3-27, a stale bound from when the tab was smaller -- DPZ/PG/GE (rows 32/34/43) were silently skipped entirely on the first export attempt, no data written, no error. Fixed to scan the sheet's actual extent. Side effect caught and corrected: because that first (broken) export still processed the WHOLE approved-score store, not just today's changes, it re-stamped V and ET's Date Scored to today even though neither was touched -- reverted both back to their correct dates (V: 8/11/26, ET: 9/11/26) after each export run. This will recur on any future export --scores run since the CLI always passes today's date for every approved ticker in the store, not just newly-changed ones -- a real but lower-priority follow-up, logged in CLAUDE.md rather than fixed now.</t>
  </si>
  <si>
    <t xml:space="preserve">NFLX,YUM</t>
  </si>
  <si>
    <t xml:space="preserve">Closed out the original 5-name scoring completion queue (LIN, NFLX, DPZ, PG, GE) and checked one more. NFLX rechecked through the current auto-draft pipeline: Tier 1 Wtd Avg held exactly at 4.21 -- the first name in this whole exercise (LIN/ET/DPZ/PG/GE) where the fresh reread produced IDENTICAL scores to the 8/24/26 original, no deterioration and no surprise improvement. Notably, NFLX also shows a very large relative-strength gap vs SPY (-43.6% blended, -52.4% 12mo) despite stable-not-deteriorating fundamentals -- a clean real example of the divergence-direction idea discussed with Alan the same day (weak RS + stable fundamentals is the 'market hasn't caught up' case, unlike DPZ/PG where RS weakness tracked genuine fundamental decline). Since Tier 1 cleared the bar cleanly, advanced NFLX through full Tier 2/3: all 9 quant indicators approved, and Management Quality &amp; Capital Allocation (Part 12, researched via web search, approved by Alan at the same 5/H tier as GE) based on a disciplined reinvest-then-return capital framework (new $25B buyback authorization Apr 2026 on top of a Dec 2024 one; record $4.7B single-quarter repurchase in Q2 2026 alongside 12% FX-neutral revenue growth) and a stable co-CEO structure (Sarandos/content, Peters/ops) since Jan 2023 with an actual succession precedent already demonstrated (Reed Hastings's smooth transition to non-exec Chairman). Caveat noted, not weighted against the score: content spend rising ~10% in 2026, worth watching for discipline slippage but not a current issue. Result: NFLX Composite 83.8, STRONG BUY.
Also rechecked YUM (one of the 6 PENDING tickers originally excluded from this round) at Alan's direction -- 'only YUM worth a revisit at this point' among CMG/YUM/ETSY/PH/ETN. Same weakening pattern as DPZ/PG/LIN/ET: Tier 1 Wtd Avg 4.29-&gt;3.79 (FCF Yield 5-&gt;4, Revenue Growth Consistency 4-&gt;3, both losing H confidence -&gt; M on fresh data). Approved into the audit trail and written into Scoring at the rescored value; parked below the ~4.0 bar, not advanced, same treatment as the others. CMG, ETSY, PH, and ETN remain untouched -- Alan's explicit call, not an oversight; logged as Open Items #12 so it reads as a decision, not a gap.
Current state, this queue: GE and NFLX fully completed (STRONG BUY, 84.2 and 83.8). LIN, ET, DPZ, PG, and now YUM all parked below/at the ~4.0 bar on rescore. CMG, ETSY, PH, ETN deliberately not rechecked.</t>
  </si>
  <si>
    <t xml:space="preserve">V,SCORING-VERIFICATION-AUDIT</t>
  </si>
  <si>
    <t xml:space="preserve">Alan noticed YUM/LIN/DPZ all failed on verified rescore and asked whether other Darryl-list names were missed. Traced provenance via Screen_Candidates' Source column: LIN, NFLX, CMG, DPZ, ETSY, YUM, PG, ET, and V are all Darryl-sourced (PH and ETN are not, despite being in the same 'other 6 PENDING' group). Of those rechecked, 4 of 6 clearly failed (LIN, ET, DPZ, YUM), one sits exactly at the bar (PG), one held steady (NFLX) -- and GE, the sole improvement, is NOT Darryl-sourced. V (Visa, a live $18K+ STRONG BUY position bought 9/8/26) is also Darryl-sourced, also dated 8/11/26, and had never been rechecked -- rechecked it: Tier 1 Wtd Avg 4.57-&gt;3.64 (FCF Margin Trend 5-&gt;2, the 51.7% margin itself is excellent but the trend is contracting; Revenue Growth Consistency 5-&gt;4; FCF Yield 4-&gt;3). Recomputed Composite 86.4-&gt;73.4: STRONG BUY -&gt; BUY. Approved into the audit trail and written into Scoring at Alan's direction.
Root-caused how this happened, not just that it did. Checked landry_scores.json's git history: it wasn't tracked until 2026-08-18, and at that point LIN/ET/DPZ/PG/YUM/V/NFLX/GE/CMG/ETSY were ALL absent -- none of their original Tier 1 scores were ever produced by landry draft. Found the actual source: the 8/11/26 commit that added these Scoring rows also added Darryl_List_Analysis_v1.docx, a saved transcript of a conversational chat-based analysis, ticker by ticker. Read it -- it's genuinely careful work (real citations, real sector-vs-business differentiation reasoning, e.g. why ET passed and CRK/LBRT/NOV in the same GICS sector didn't), not sloppy. But it predates roic_vs_wacc even existing as a capability (added 8/17), predates the ScoreStore audit trail (added 8/18), and predates the whole propose-then-approve discipline CLAUDE.md now documents. Best read: not an error being corrected, but a fresh quarter of real data (Q2 2026 earnings, reported after 8/11 for most of these names) now baked into the rescore that simply didn't exist originally -- genuine drift, not a mistake.
V has a second wrinkle on top: its Tier 2/3 scores were never independently re-verified either. Found all 9 of its non-Tier-1-quant indicators (competitive_moat, revenue_visibility, management_quality, roic_vs_wacc, relative_strength, valuation_multiples, technical_trend, analyst_consensus, volume_accumulation) share the IDENTICAL approved_at timestamp to the second (2026-09-09T00:13:54) -- the fingerprint of a mechanical import_scores() backfill (copying whatever was already in the workbook), not real one-at-a-time review. This is the exact incident CLAUDE.md already flagged ('V, Sept 2026') but as a bookkeeping gap -- it wasn't previously understood that the underlying numbers were never actually re-derived, only notarized into the audit trail nine days after the position was bought.
Built the fix Alan asked for: a new landry audit check, scoring_verification, with two signals -- (1) any Scoring ticker with a real Tier 1 Wtd Avg but zero approved landry_scores.json entries at all (one consolidated finding, currently ~38 tickers -- most of the workbook predates this discipline, expected to shrink over time, not a one-sitting fix), and (2) 3+ indicators approved with source=manual sharing one identical timestamp (the bulk-import fingerprint). Had to restrict signal (2) to source=manual specifically after it first flagged today's own legitimate scripted approve-loops (GE/NFLX/YUM all landed multiple real quant_draft approvals in the same wall-clock second, which is fast review, not a copy) -- verified against the actual pytest suite afterward (4 pre-existing, unrelated failures found -- a stale KGS partial-Tier1 edge case, a stale equity-weight threshold, a stale performance-tab-emptiness assertion, and a data-hygiene caching test -- none caused by today's changes, logged for whenever someone works through test staleness separately). Full detail in CLAUDE.md's new 'Standing gap' section.</t>
  </si>
  <si>
    <t xml:space="preserve">NVDA,SPMO-SEQUENCING</t>
  </si>
  <si>
    <t xml:space="preserve">Started working through the held-position verification queue (largest first): NVDA rechecked. Tier 1 Wtd Avg 4.57-&gt;4.29 (FCF Yield 4-&gt;3, yield still ~1.7% but confidence eased; Revenue Growth and FCF Margin held their scores exactly with confidence easing H-&gt;M) -- much milder than the DPZ/PG/YUM/V pattern, Composite 93.2-&gt;89.2, stays STRONG BUY comfortably. Approved and written in.
The auto-draft's Rule 36 correlation check also flagged NVDA at 0.75 vs SPMO (&gt;0.70 cap) -- a portfolio-construction finding, separate from NVDA's own quality. Pulled SPMO's full row from Correlation Matrix: it's not just NVDA -- JEPQ (0.88), NVDA (0.74), and AVGO (0.73) all exceed the 0.70 cap, with TSM (0.69), KLAC (0.67), MU (0.66), VRT (0.66), ANET (0.64), and ASML (0.61) close behind. SPMO (S&amp;P 500 Momentum) is effectively a concentrated re-expression of the same AI/semiconductor momentum trade that already dominates the real stock book, not a diversifying use of dry powder.
DECISION (Alan, 9/13/26): given SPMO is already treated as temporary dry powder (see ETF-CASH-BUCKET-TODO, 8/24/26) and can be liquidated as needed, sequence it FIRST among the 10 dry-powder ETF positions when funding upcoming DCA-CATCHUP tranches -- it's the least diversifying of the group, so drawing it down first gives up the least. This is a funding-source sequencing decision, not a change to which NEW positions get bought or to Rule 36 itself. Added to Process Checklist's diversifier-headroom step across all 8 DCA-CATCHUP-N events so it's visible at the point of actually executing a tranche, not just here.</t>
  </si>
  <si>
    <t xml:space="preserve">VRTX,ANET,KLAC,CRWD,ADBE,PLD,PLTR,AVGO,ASML,TSM,VRT,MU</t>
  </si>
  <si>
    <t xml:space="preserve">Closed out the held-position verification queue (see [[held_position_verification]]) -- rechecked the remaining 12 of 14 real stock holdings (V and NVDA done earlier same day), largest-to-smallest per Alan's instruction. Refreshed only the 3 Tier 1 quant indicators per ticker (fcf_yield_trend, revenue_growth_consistency, fcf_margin_trend); Tier 2/3 left as recorded, same policy as V/NVDA.
Results (Tier 1 Wtd Avg / Composite / Decision, before -&gt; after): VRTX 3.79-&gt;3.14 / 75.6-&gt;66.6 / BUY (weaker, close to Watch List). ANET 4.57-&gt;4.29 / 85-&gt;81 / STRONG BUY holds. KLAC 3.43-&gt;3.71 / 68.6-&gt;72.6 / BUY improves. CRWD 4.00-&gt;3.50 / 70.4-&gt;63.4 / BUY -&gt; WATCH LIST (see below). ADBE unchanged on all 3 quant indicators -- zero drift, same as NFLX earlier. PLD 4.36-&gt;3.93 / 82-&gt;76 / STRONG BUY -&gt; BUY, but only Revenue Growth Consistency could be refreshed (PLD is a REIT with no standard CapEx line item -- FCF Yield and FCF Margin Trend can't be auto-drafted this way, stay at recorded values pending a real REIT-adapted reassessment). PLTR 4.00-&gt;4.07 / 75.2-&gt;76.2 / BUY holds. AVGO 4.07-&gt;3.14 / 80.8-&gt;67.8 / STRONG BUY -&gt; BUY. ASML 3.57-&gt;3.86 / 73.2-&gt;77.2 / BUY improves. TSM 4.00-&gt;4.21 / 81-&gt;84 / STRONG BUY improves despite Revenue Growth Consistency cratering (5-&gt;2) -- CAGR is fine (18.9%) but erratic quarter to quarter (CV 0.87), and FCF Yield/Margin gains more than offset it. VRT 4.36-&gt;3.93 / 82.8-&gt;76.8 / STRONG BUY -&gt; BUY. MU 3.64-&gt;3.36 / 71.8-&gt;67.8 / BUY holds. All approved into landry_scores.json and written into Scoring.
CRWD is the one that matters most: FCF Margin Trend collapsed to a 2 (margin now just 3.0%, contracting, down hard from whatever supported its original 5), and the Tier 2 draft shows ROIC at -323.7% vs WACC -- a real profitability problem, not statistical noise. First position in this whole exercise to actually cross out of BUY into WATCH LIST. Alan's read: the market is already on to this -- CRWD's price has declined significantly over the past two weeks -- so this isn't a surprise divergence to investigate, it's confirmed and deserves watching. Added to Watch List Tracker (previously empty -- first entry ever) per the tab's own Rule 31-34 mechanism: Probationary Hold, entered 9/13/26 at score 63.4, 90-day deadline 12/12/26, currently ON TRACK. Credible Remediation Plan (col H) not yet assessed -- doesn't gate the Action Status formula for Probationary Hold (only matters for Exit Review), but worth a real look before the deadline.
Second real finding, independent of SPMO: KLAC and ASML correlate 0.77 with EACH OTHER (both semiconductor-equipment makers) -- a genuine Rule 36 violation between two actual scored holdings, not a dry-powder ETF. AVGO also reconfirmed 0.73 vs SPMO (already known), and TSM sits exactly at the 0.70 boundary. Not acted on yet -- logged for whenever position-sizing/correlation gets a real look, since unlike SPMO neither KLAC nor ASML is a temporary/liquidatable position.
This closes the held-position verification queue Alan opened after noticing YUM/LIN/DPZ's pattern -- all 14 real stock holdings now have a genuine, dated Tier 1 rescore backing them (V's Tier 2/3 still flagged bulk-imported, not yet re-derived). 25 tickers remain in `landry audit`'s no_audit_trail list, all bench candidates or previously-sold positions, not held.</t>
  </si>
  <si>
    <t xml:space="preserve">RULE-33-EARLY-PARTIAL-TRIM</t>
  </si>
  <si>
    <t xml:space="preserve">New Hard Rule added to the Landry System governing document, prompted directly by CRWD's entry into Probationary Hold the same day (see Journal row 58). Alan's question: the existing Probationary Hold mechanism is all-or-nothing for 90 days -- recover to 65+ or get sold at the deadline -- with nothing in between, even for a position whose fundamentals have reconfirmed-deteriorating and whose price is already falling fast (CRWD down 10-15% over the prior two weeks). Is there a way to reduce exposure earlier without reintroducing the kind of reactive, price-driven selling the system's own Hold Through provision exists to prevent?
Pulled the exact Part 6 text from LANDRY_SYSTEM_v1-02_FINAL.docx before drafting anything, rather than work from the workbook's condensed summary -- confirmed the existing Hold Through list already protects against price alone ('Short-term price decline of 20-30% with no change in Tier 1/2 fundamentals -- this is noise'), so any new rule had to trigger on a fresh FUNDAMENTAL reconfirmation, not on the stock continuing to fall, or it would quietly undercut that existing protection.
Agreed rule (Alan's parameters): Early Partial Trim, scoped to Probationary Hold only (not Exit Review). If, before the 90-day re-score, the same Tier 1/2 indicator(s) that caused Probationary Hold entry are reconfirmed unimproved or worse by a later filing, scheduled re-score, or equivalent documented evidence, trim one-third of the share count held at entry. May recur up to twice more in the same window on further reconfirmation -- up to 3 trims total, full liquidation in the worst case, avoiding a full 90-day ride to the bottom on a name with confirmed, ongoing deterioration while still preserving the position (and any profit) if it genuinely recovers first. Alan's own framing, explicitly: this is a first pass, not a final calibration -- trim size/scope may get tightened once more positions have gone through Probationary Hold and a real pattern (not one case) suggests which metric combinations actually predict non-recovery, consistent with Part 9's existing caution against reactive rule changes after a single case.
Implemented as Rule 33 (Part 6, Hard Rules: Sell Triggers -- Valuation) -- inserted directly into the numbered, bordered Hard Rules list in LANDRY_SYSTEM_v1-02_FINAL.docx (both the Part 6 body and its restatement in the Master Rule Register), which correctly auto-renumbered the old Rule 33 ('Composite Score falls below 35...') to Rule 34 and everything auto-recalculates from there -- confirmed by rendering to PDF and inspecting the actual page, not just trusting the XML edit; first attempt used a plain paragraph and silently broke out of both the numbered list and the bordered box, caught by that same render check. Version bumped v1.02-&gt;v1.03, Hard Rule count 49-&gt;50, with a full Revision History entry following the exact precedent format of the 2026-08-25 Piotroski entry -- unlike that one, this DOES cross Part 9's Change Control threshold for a Hard Rule revision, which is why this one gets a version bump and that one didn't.
Cascaded into the workbook: Instructions tab's version/count line and RULE REFERENCE section updated (new Rule 33 quick-reference callout added). Watch List Tracker gets a new 'Trims Taken (0-3, Rule 33)' column (table extended to A2:M22) so this is tracked the same auditable way everything else on that tab is -- not a formula-driven auto-check like the 90-day deadline (a 'did the fundamentals reconfirm' judgment can't be a spreadsheet formula the way date arithmetic can), but a visible, standing record. CRWD's row: Trims Taken=0 (today's Probationary Hold entry does not itself count as a trim event -- only a LATER reconfirmation does), Remediation Plan Notes updated to flag that Rule 33 now applies pending the next real data point.</t>
  </si>
  <si>
    <t xml:space="preserve">PYPL,XRAY,GXO</t>
  </si>
  <si>
    <t xml:space="preserve">Screened 3 more Darryl-list candidates, one from each of the three sectors that had never been touched at all (Financial Services, Healthcare, Industrials) -- confirmed via the Darryl_List_Candidates ranking tab that none of the three had even a coarse prior verdict. PYPL is the only other Financial Services name on the list besides V (already held); flagged the payments-on-payments overlap before screening, but correlation came back clean (max 0.39 vs any current holding, so vs V specifically is even lower) -- different business models (card network vs. digital wallet) apparently don't move together much.
Initial quant screen: PYPL clears the Tier 1 floor comfortably on the 3 quant indicators alone (FCF Yield 5, Rev Growth 3, FCF Margin 3, quant-only ~3.89) -- strong FCF yield (9.9%, expanding), solid ROIC (25.2% vs 9.8% WACC), reasonable valuation (PEG 0.95). XRAY fails decisively (quant-only ~1.67: revenue actually shrinking at -2.1% CAGR, FCF margin just 1.9% and contracting, ROIC negative). GXO fails too (quant-only ~2.67: FCF margin near-zero at 0.5% and contracting, weak ROIC 2.3% vs 6.3% WACC -- no sector adaptation exists for asset-light 3PL margin structure, so it's scored on the same terms as everything else). Both rejected per Part 1.4 (Tier 1 below 3.0, stop and reject), same treatment as CRK/LBRT/NOV in the original Darryl forays -- no further research warranted.
PYPL's own picture was more complicated than the quant numbers alone suggested. Researched why analyst consensus was so weak (16% buy-equivalent) and relative strength so negative (-36% over 12mo) before doing Moat/Revenue Visibility research -- found PayPal is an ACTIVE ACQUISITION TARGET: Stripe and Advent International made a joint $60.50/share offer (~$53B, a 28% premium to pre-offer price) in July 2026, following an earlier approach in April, confirmed across Reuters/CNBC/WSJ. As of the most recent reporting, PayPal hasn't responded and talks are ongoing.
DECISION (Alan, 9/13/26): drop PYPL for now, not scored further. Rationale: an active M&amp;A target is out of scope for this system regardless of how the fundamentals look -- Part 1.3 explicitly excludes sub-12-month time horizons, and a stock trading on deal speculation has its near-term price driven by deal probability and terms, not the Tier 1-3 business-quality signals this framework measures. Current valuation/technical/relative-strength readings are likely deal-distorted rather than clean fundamental signals -- the moat-erosion narrative that likely contributed to PayPal becoming a target in the first place (Stripe growing TPV 3-4x faster, Apple Pay/Google Pay checkout pressure) may be real, but it can't be cleanly separated from deal dynamics right now. Revisit as a fresh candidate only after the situation resolves (deal completes, falls through, or goes stale) -- not before.
All 3 tickers' pending drafts formally rejected in landry_scores.json with documented reasons (not left in limbo). None of the 3 ever touched the Scoring tab -- pure screening exercise, no workbook cleanup needed. Sector coverage note: Financial Services (2 names total, both now resolved: V held, PYPL dropped for M&amp;A), Healthcare and Industrials both have several untouched names left if either sector gets revisited (Healthcare: ABT, AZN, BAX, BSX, ICLR, NTRA, PFE, UNH, VEEV; Industrials: BE, MIR, QXO, SMR, SUNB, SWK, UPS -- note BE and SMR were already flagged in the original Darryl analysis as secretly AI-datacenter-power plays despite the Industrials label, worth deprioritizing if Industrials comes up again).</t>
  </si>
  <si>
    <t xml:space="preserve">ABT,SLB,CCI,SCORING-EXPORT-BUGS</t>
  </si>
  <si>
    <t xml:space="preserve">Continued the Darryl-list screening round (2nd batch of 3 after PYPL/XRAY/GXO): one from each of the most underrepresented sectors -- Real Estate (CCI), Healthcare (ABT), Energy (SLB). SLB and ABT both cleared the Tier 1 floor and went through full research to Composite. CCI's headline Revenue Growth Consistency (-15.2% CAGR) turned out to be a mix of a deliberate fiber/small-cell divestiture (closed May 2026, $8.4B to Zayo/Arium) AND genuine unresolved litigation -- DISH allegedly defaulted on tower lease payments, Crown Castle terminated and is suing for over $3.5B, DISH counters with a force majeure claim already through an appeals court. A tower REIT's whole thesis depends on durable, visible lease revenue; this is live, unresolved uncertainty on exactly that, not an artifact more research would resolve. Rejected rather than scored further.
SLB: Moat=4 (undisputed #1 in oilfield services, $35.9B revenue ~$14B ahead of Halliburton; Delfi/Lumi digital platforms, ~30% share in drilling equipment; Digital segment ARR &gt;$1B, +15% YoY, 21% margin -- highest-margin segment in the company). Revenue Visibility=3 (capex-cycle-driven core, partially offset by growing Digital ARR and offshore backlogs). Management Quality=4 (3.5% dividend increase for 2026, &gt;$4B targeted shareholder returns, stable CEO tenure since 2019). Result: Composite 72.4, BUY. Scoring row 50.
ABT: Moat=5 (FreeStyle Libre ~40% global CGM share, $5.3B+ annual sales, 6M+ users -- genuine recurring consumables model with real switching costs; June 2026 Dexcom cross-licensing settlement removed a real patent-litigation overhang for a decade; diversified across 4 segments, 60% international revenue). Revenue Visibility=4 (recurring consumables plus diversification). Management Quality=5 (Dividend King, 54 consecutive years of increases, ~60% FCF payout ratio leaving real room, clearly articulated capital priorities). Note: raw Rev Growth Consistency score (2) is mechanically correct but driven by a 2023 COVID-testing-revenue rolloff inside the 3-year CAGR/CV window -- recent quarters (2025-2026) show clean, steady growth ($10.36B-&gt;$11.14B-&gt;$11.37B-&gt;$11.46B-&gt;$11.16B); left the raw score as computed rather than override it, flagged for context. Result: Composite 70.8, BUY. Scoring row 49.
Alan asked to validate/verify everything into and out of the Scoring tab while placing these two new tickers -- turned up four real, previously-unknown or unfixed bugs, not just the two new scores:
(1) landry/export.py's new-ticker placement logic treated the Scoring tab's SUBTOTAL ticker-count footer as if it were a real ticker (its column-A value is a bare number under data_only=True, but the formula TEXT ITSELF -- still a string -- under data_only=False, which export_workbook must use to avoid wiping every other formula in the workbook on save). This corrupted where ABT got placed (row 63, past the footer, no Company name) and silently dropped SLB entirely -- a second, independent bug in the same block only ever allowed exactly one new ticker to be appended per export call. Both fixed: excluded non-string AND formula-text values from the row-detection scan, and let the free-row counter increment per new ticker instead of capping at one.
(2) A genuine openpyxl gotcha cost real time diagnosing this: ws.cell(row=r, column=c, value=None) does NOT clear an existing cell -- the constructor only assigns a value when one is truthy/not-None, so this call is a silent no-op on a cell that already has content. Every 'clear' attempt using this pattern did nothing; the fix is explicit attribute assignment (cell = ws.cell(row, column); cell.value = None).
(3) landry/xlsx_io.py's read_scoring_tab (used by both `landry pending`/scoring and export.py's own import_scores) had NO max_row bound at all on main and only checked bare truthiness of column A -- meaning it was ALSO silently reading the SUBTOTAL footer as a real 49th ticker (literally named after whatever the current visible count was) on every single call, this whole session and presumably long before it. This is the third occurrence of the unbounded-reader-treats-a-footer-as-data bug class in this codebase's history -- CLAUDE.md already documented a max_row=60 fix for this exact function, but it was made on the abandoned db-migration-prep branch and never ported to main. Fixed properly this time with a content-based guard (exclude non-string values) rather than a hardcoded row bound, so it can't go stale as the tab grows the way a magic-number bound already has three times.
(4) Dashboard's row-by-row mirror formulas (=IF(Scoring!A47="","",Scoring!A47) pattern) only extended through Scoring row 47 (NFLX) -- KGS (added 9/11, row 48) was ALREADY invisible on Dashboard before today, and ABT/SLB would have been too. Extended Dashboard's mirror rows through Scoring row 50, moved its note and SUBTOTAL footer down to match, extended DashboardTable's Table ref (A1:J46-&gt;A1:J49, caught by `landry audit`'s table_ref check), and corrected Schema Reference's now-stale Dashboard row-range entry (also caught by audit). Verified rows 47-49 aren't accidentally row-hidden (unlike the 19 Rule-3-Avoid rows that are deliberately hidden elsewhere on that tab).
Full pytest suite run twice during this process: same 4 pre-existing, unrelated stale-test failures throughout, plus one NEW expected failure (test_import_seeds_store_and_reproduces_composite hardcodes NVDA's Composite as 93.2, its value before today's legitimate rescore to 89.2 -- test drift from real work, not a bug). None of the four fixes above caused any new failure. `landry audit` clean at the usual 2-pre-existing-plus-scoring-verification-baseline throughout, confirming CANDIDATES LIST.xlsx and the workbook itself both correctly reflect ABT/SLB/CCI's outcomes.</t>
  </si>
  <si>
    <t xml:space="preserve">DCA-CATCHUP-1-PREP</t>
  </si>
  <si>
    <t xml:space="preserve">Alan back from travel, ran the DCA-CATCHUP-1 prerequisite checklist a day early (due 9/30, he wanted to get ahead of it). Environment note: system Python was blocked by an unaccepted Xcode license (likely an OS/Xcode update during his travel-prep device refresh) -- fixed with a dedicated venv (/Users/Alan/.venvs/stock_picker), no action needed from Alan. See CLAUDE.md.
REAL CORRECTION: the '$1.55M portfolio, ETF sleeve = 21.7%' figures quoted to Alan on 9/13 (during the still-paused ETF-sleeve design conversation) were wrong -- an ad hoc inline script summed Current Positions market values without excluding zero-quantity legacy rows, landing at exactly double the real figure. Confirmed via the actual landry.xlsx_io.total_portfolio_value() library function: true total is $776,662.72, consistent with $751,223 on 9/7 plus Tranche 2's ~$26K and normal drift. The 10-ETF sleeve ($337,606) is therefore ~43.5% of the portfolio, not 21.7% -- a materially different starting point whenever the ETF-sleeve conversation resumes. Also found: Current Positions' own Price column can't be refreshed by this tooling at all (depends on an Excel-only STOCKHISTORY formula) -- Market Data (yfinance-refreshed) is the reliable source going forward. Both logged in CLAUDE.md.
Prerequisite checklist results: portfolio at a new high (~$777K vs $751K prior peak) -&gt; Drawdown regime Normal, full tranche proceeds. S&amp;P 500 -1.64% from ATH -&gt; baseline tier, no acceleration multiplier. Target stays $40,000-$50,000 per DCA-CATCHUP-PLAN-2.
NEW finding: landry refresh's Rule 36 cluster check flagged AVUV/DVY/SCHD/VFLO/VYM (5 of the 10 ETFs) at 20.76% aggregate exposure, over the docx's own 20% cluster cap (pairwise correlations 0.73-0.89 -- DVY/SCHD/VYM are the tightest at 0.86-0.89, essentially redundant large-cap dividend funds; AVUV/VFLO are more loosely tied at 0.73-0.79). Per the rule's own text this is a risk-review trigger requiring documentation of the shared risk driver (a common Value-factor tilt) and written approval to continue above 20%, not an automatic forced sale. Not yet resolved -- tied to the still-paused ETF-sleeve conversation. Logged as Open Items #13.
Diversifier headroom check: Alan's own read is that VRTX, PLD, AND ADBE (all three of the usual diversifier trio) have shown significant weakness over the past few weeks. Confirmed for VRTX via a fresh (unapproved) draft peek: FCF Yield and FCF Margin both now drafting lower (contracting on both), a real change from the 9/13 recheck -- PLD and ADBE not independently re-verified today, only Alan's observation. Given this, pulled the full field of qualified (Composite&gt;=65), not-yet-held candidates instead: GE (84.2, STRONG BUY) and NFLX (83.8, STRONG BUY) both re-verified fresh today with ZERO Tier 1 drift since 9/13 (genuinely stable), clean correlation (max 0.61 and 0.41 respectively, both vs SPMO), and zero current sector exposure (Industrials, Communication Services) -- COST (77.4) was available but its 8/11 score predates the pipeline maturity that caused ~70% of that same batch to fail on recheck, so not trusted without a fresh look; SLB/ABT (72.4, 70.8) are solid but lower-tier than GE/NFLX.
DECISION: split the tranche half-and-half between GE (~60-75sh at $334.91) and NFLX (~260-325sh at $76.77), roughly $20-25K each. Funding: SPMO first per the standing 9/13 sequencing decision (covers roughly half-to-two-thirds on its own, $26,491 combined); for the remainder, suggested drawing from DVY/SCHD/VYM specifically (the most redundant sub-cluster) as a way to also chip into the 20.76% cluster-cap breach above -- not yet confirmed by Alan, his call when he executes. Alan will execute at the broker 9/30 and report back actual fills for recording.
Not yet done, flagged for follow-up: a formal (approved, not just drafted) recheck of PLD and ADBE to match VRTX's fresh data point; VRTX/PLD/ADBE weren't touched beyond the one VRTX peek. See Open Items.</t>
  </si>
  <si>
    <t xml:space="preserve">PROCESS-CHECKLIST-FRESH-CHECK-STEP</t>
  </si>
  <si>
    <t xml:space="preserve">Agreed with Alan: starting with DCA-CATCHUP-2 (10/7, not retroactive to -1 which is already past prep), add a standing prep step -- before finalizing a tranche's buy target(s), run a fresh landry draft Tier 1 reread for every candidate under consideration, not just the usual diversifier names, and deprioritize anything showing new price-trend weakness or a stale (30+ day, or pre-8/18/26) Date Scored. Directly prompted by today's DCA-CATCHUP-1 prep (see row 62): VRTX/PLD/ADBE, the default trio, had all weakened since 9/13 with nothing flagging it, while GE/NFLX turned out stronger on a fresh check. Alan's own note: this kind of staleness tracking is exactly the sort of thing a real database would do more systematically -- not a request to resume DB migration work (still paused per Alan's standing instruction), just an observation for whenever that resumes.
Rebuilt Process Checklist to add this as a new step on DCA-CATCHUP-2 through -8 (each now 10 steps, was 9) -- DCA-CATCHUP-1 unchanged at 9. No Done=Y rows existed anywhere in the tab, so a full rebuild was safe (no completion data at risk). Schema Reference's row-range note updated to match (A4:F106, was A4:F99).</t>
  </si>
  <si>
    <t xml:space="preserve">DCA-CATCHUP-1 executed. GE (GE Aerospace) opened new, 75sh @ $314.71 ($23,603.25, JT ULTRA/Fidelity). NFLX (Netflix) opened new, 300sh @ $69.795 ($20,938.50, JT ULTRA/Fidelity). Total tranche $44,541.75, within the $40,000-$50,000 target (see DCA-CATCHUP-PLAN-2, 9/11/26) -- both names entered per the 9/29/26 prep decision (Composite 84.2 and 83.8, both STRONG BUY, both reconfirmed with zero Tier 1 drift on fresh data after VRTX/PLD/ADBE -- the usual diversifier trio -- all showed unflagged weakness). Both fill prices came in below the 9/29 estimate (GE $334.91-&gt;$314.71, NFLX $76.77-&gt;$69.795), a real ~6-9% overnight/next-day decline in both names, not a data error -- more shares bought for the same dollar target as a result. Recorded in Current Positions (rows 22-23, JT ULTRA block extended from 19 to 21 positions -- required inserting 2 rows and fixing every dependent subtotal/percentage formula across both the JT ULTRA and Chase blocks, since the block boundaries shifted; verified with a full self-reference scan after, one narrow collision caught and fixed where a row's old position number happened to equal the Chase block's own start boundary), Performance Tracking (new rows 7-8), and Monitor &amp; Recheck Triggers (Category Watch List -&gt; Owned for both). Funding: drawn from Fidelity cash, not an ETF sale -- FZFXX fully drained ($23, a residual balance) plus $44,518.75 from FZDXX ($137,296.09 -&gt; $92,777.34), covering the $44,541.75 tranche exactly. Portfolio total unchanged at $776,662.72 (a pure cash-to-equity reallocation) -- logged in Portfolio Drawdown Log row 5, still a new high vs. the $751,223 prior peak, regime Normal.</t>
  </si>
  <si>
    <t xml:space="preserve">VRTX,PLD,ADBE</t>
  </si>
  <si>
    <t xml:space="preserve">Fresh Tier 1 reconfirmation on VRTX/PLD/ADBE, following Alan's 9/29 observation that all three showed recent price-trend weakness. Result: zero drift on any of the three since the 9/13 recheck -- VRTX stays 3.14/66.6 BUY, PLD stays 3.93/76 BUY (still only revenue_growth_consistency auto-draftable, REIT limitation), ADBE stays 4.57/85.8 STRONG BUY. All reconfirmed and re-dated 9/30/26.
The actual picture is more specific than uniform weakness: ADBE is the real divergence case -- fundamentals unchanged across two checks now, but relative strength vs SPY has gotten worse (-30.1% on 9/13 -&gt; -35.6% now) and technicals are bearish. VRTX and PLD don't show much weakness on this fresh look at all -- VRTX's relative strength actually improved (+9.1%, bullish technicals), PLD is only mildly negative (-7.9%) with bullish technicals. Both are sitting at the lower BUY tier they already dropped to on 9/13, not declining further.</t>
  </si>
  <si>
    <t xml:space="preserve">Deep dive into ADBE's Moat Quality (currently 4/M) at Alan's request, prompted by the 9/30 reconfirmation finding zero Tier 1 drift alongside worsening relative strength (-35.6% vs SPY) -- "everything looks good, but it continues deteriorating; something we're not picking up." Research found a genuine leading-vs-trailing divergence: trailing financials (FCF Yield, Revenue Growth, Margin -- all Tier 1) still strong, but net-new-ARR is decelerating and RPO has declined sequentially, both leading indicators Tier 1's trailing-statement metrics can't see. Underlying narrative: competitive share pressure from Canva/Figma's freemium tier. Walked the system's own Moat Quality rubric (Part 2/3 -- 2-of-4 evidence gate for a 4/5 score: pricing power above CPI w/o volume loss, gross margin vs. industry median [confidence-tag only, doesn't count toward the gate], customer retention/switching-cost evidence, 3yr+ market share trend) together with Alan: only 1 of 3 substantive tests held up clearly, suggesting a possible drop to 3.
Alan's countervailing read: "nothing firsthand -- more a Wall Street narrative getting ahead of the real-world usage picture," and asked for a live chart read (Fidelity, authenticated, via Claude in Chrome) as a second data point. Chart (6-month daily) showed: price rolled over hard from ~$280-290 highs to an intraday low of $231.95 today before bouncing +3.11% to $240.34; Performance Index vs. SPY has run persistently negative for nearly the entire 6-month window (only a brief green patch near the highs that faded before the breakdown) -- a sustained-underperformance signature more consistent with a real repricing than a single-headline overreaction; MACD confirms a clean bearish crossover as price peaked in late August, bottoming most negative ~9/8-9/14 (Alan's own read, confirmed on zoom), now curling back up alongside today's bounce -- real dive, genuine but very early turn.
Decision (Alan's call): HOLD Moat Quality at 4/M -- no change. One day's bounce and an early MACD curl aren't evidence the system should act on absent something more concrete, and technicals can't independently adjudicate whether the ARR/RPO concern is real deterioration or overdone narrative -- they only confirm the market has genuinely committed to the move, not why. Flagged as an open watch item (Open Items #14) tied specifically to ADBE's next earnings report -- the first point real ARR/RPO data (not price action) would confirm or reverse the leading-indicator concern. Alan: stick with the time-tested rules/process absent genuine new evidence, "in spite of a little heartburn now and then."</t>
  </si>
  <si>
    <t xml:space="preserve">New standing practice: Fidelity info-tab scan added to Process Checklist, prompted by the ADBE Moat Quality deep-dive (row 66) and Open Items #14. For held positions under quarterly review or fundamental refresh (QTR-REVIEW-1/2, FUND-REFRESH-1/2), and for buy candidates during DCA tranche prep (DCA-CATCHUP-2 through -8, paired with the existing fresh-Tier-1-reread step), scan Fidelity's Overview, Dividends &amp; Earnings, Analyst Ratings, and Statistics/Comparisons tabs (via Claude in Chrome, Alan's authenticated session) -- confirmed earnings date, valuation-vs-industry (P/E, EPS growth), analyst sentiment split, multi-period price performance. This surfaces real context the yfinance-backed Tier 1 pipeline doesn't: on ADBE specifically it showed a P/E at roughly 1/4 the software industry average, EPS growth meaningfully lagging peers, a genuinely split (not uniformly bearish) analyst panel, and a multi-year price decline (-53% 2yr, -58% 5yr) -- none of which the existing pipeline would have caught.
DCA-CATCHUP-1 deliberately excluded (already executed/closed 9/30/26, same precedent as the 9/29 fresh-check-step addition skipping -1). Alan's explicit call: scope of application (which events, which tickers) is still being proven out over the next use or two -- default inclusive rather than narrow in the meantime, on the assumption the scan only adds/verifies signal rather than costing more than it's worth. Revisit the exact trigger list (e.g. whether to extend to Watch List Tracker entries specifically, or narrow back down) once there's a real pattern from 2-3 more uses.</t>
  </si>
  <si>
    <t xml:space="preserve">Checklist, not prose -- one row per required step for every recurring event (tranches, quarterly reviews, fundamental refreshes). Mark Done=Y when a step is actually complete; Status auto-flags OVERDUE once the event's Journal date has passed with any step still unchecked. Event Due Date is looked up live from the Journal tab (matches this tab's Event value against Journal col B) -- don't hand-type it, it'll drift.</t>
  </si>
  <si>
    <t xml:space="preserve">Steps currently overdue (event date passed, not marked Done):</t>
  </si>
  <si>
    <t xml:space="preserve">Event</t>
  </si>
  <si>
    <t xml:space="preserve">Step</t>
  </si>
  <si>
    <t xml:space="preserve">Done (Y/N)</t>
  </si>
  <si>
    <t xml:space="preserve">Date Done</t>
  </si>
  <si>
    <t xml:space="preserve">Event Due Date</t>
  </si>
  <si>
    <t xml:space="preserve">Portfolio Drawdown Log -- log quarter-end portfolio value, confirm regime</t>
  </si>
  <si>
    <t xml:space="preserve">Correlation Matrix -- full refresh with latest Price History data, confirm Rule 36 status</t>
  </si>
  <si>
    <t xml:space="preserve">Watch List Tracker -- check all 90-day deadlines (Rule 33), flag any DEADLINE PASSED / APPROACHING</t>
  </si>
  <si>
    <t xml:space="preserve">Scan Fidelity's info tabs (Overview, Dividends &amp; Earnings, Analyst Ratings, Statistics/Comparisons) for each held position -- confirmed earnings date, valuation-vs-industry, analyst sentiment split, multi-period price performance. Context the yfinance-backed Tier 1 pipeline doesn't capture. Scope still being proven out (added 9/30/26, see ADBE Moat Quality case, Journal row 66) -- err inclusive rather than narrow for now.</t>
  </si>
  <si>
    <t xml:space="preserve">Log any conversational (non-CLI-draft) scoring to landry_scores.json (source=manual, approved_by=Alan)</t>
  </si>
  <si>
    <t xml:space="preserve">Run `python -m landry audit`, confirm clean or explain any failures</t>
  </si>
  <si>
    <t xml:space="preserve">Run `python -m landry.xlsx_recalc` after any workbook edit</t>
  </si>
  <si>
    <t xml:space="preserve">Re-score Tier 1 indicators (FCF Yield, Revenue Growth, Moat, Rev Visibility, FCF Margin) for existing holdings using new Q3 results -- update Scoring tab for anything material</t>
  </si>
  <si>
    <t xml:space="preserve">Complete COST/Visa Entry Checklist work if not finished at 9/30 review</t>
  </si>
  <si>
    <t xml:space="preserve">Holding Monitor -- snapshot pre-refresh Tier 1 sub-scores into Prior columns, then populate Current columns with post-refresh values; also populate Position Pct, Max Full Pct, Debt/FCF, P/FCF, FCF Growth%, Implied Return, Current/Prior Tier</t>
  </si>
  <si>
    <t xml:space="preserve">Re-score Tier 1 indicators using Q4/FY results</t>
  </si>
  <si>
    <t xml:space="preserve">Holding Monitor -- shift each held ticker's Current columns into Prior, then populate Current with newly re-scored Tier 1 sub-scores and refreshed valuation/sizing metrics; review any TRIGGER/ACTION REQUIRED flags</t>
  </si>
  <si>
    <t xml:space="preserve">Pull fresh prices for all held positions -- update Current Positions col F</t>
  </si>
  <si>
    <t xml:space="preserve">Log this month's total portfolio value into Portfolio Drawdown Log -- note the resulting regime (Normal/Elevated/Severe/Critical)</t>
  </si>
  <si>
    <t xml:space="preserve">Check S&amp;P 500 % from ATH and apply the DCA acceleration tier to this tranche's size: Routine(-5 to -9%)=baseline, Correction(-10 to -14%)=+25%, Severe Correction(-15 to -19%)=+50%, Bear(-20%+)=+100%. Portfolio regime from the step above overrides: Severe/Critical=skip this tranche regardless of S&amp;P tier; Elevated=Strong-Buy-quality entries only, multiplier still applies. See Journal 9/11/26 for full reasoning</t>
  </si>
  <si>
    <t xml:space="preserve">Scan Monitor &amp; Recheck Triggers Recheck Status -- re-score whatever's DUE before adding to it, not after</t>
  </si>
  <si>
    <t xml:space="preserve">Check remaining diversifier headroom (VRTX/PLD/ADBE, or COST/Visa once active) against tranche size. When liquidating dry-powder ETFs to fund this tranche, draw from SPMO first -- it correlates 0.74-0.88 with NVDA/AVGO/JEPQ (2 exceed Rule 36's 0.70 cap), the least diversifying of the 10 ETF positions. See Journal 9/13/26.</t>
  </si>
  <si>
    <t xml:space="preserve">Confirm Correlation Matrix status hasn't moved unfavorably before buying</t>
  </si>
  <si>
    <t xml:space="preserve">Before finalizing this tranche's buy target(s), run a fresh Tier 1 quant reread (`landry draft &lt;TICKER&gt;`) for every candidate under consideration -- not just the usual diversifier names -- and deprioritize any showing new price-trend weakness or a stale (30+ days, or pre-8/18/26) Date Scored. See Journal 9/29/26 -- VRTX/PLD/ADBE all showed unflagged weakness that week; GE/NFLX proved stronger on a fresh check.</t>
  </si>
  <si>
    <t xml:space="preserve">Before finalizing this tranche's buy target(s), scan Fidelity's info tabs (Overview, Dividends &amp; Earnings, Analyst Ratings, Statistics/Comparisons) for the leading candidate(s) -- confirmed earnings date, valuation-vs-industry, analyst sentiment split, multi-period price performance -- alongside the fresh Tier 1 reread above. Scope still being proven out (added 9/30/26) -- err inclusive rather than narrow for now.</t>
  </si>
  <si>
    <t xml:space="preserve">Open items backlog -- especially non-critical ones that don't have a natural home in a recurring checklist. Numbered in priority order (1 = highest) -- renumber freely as priorities shift, this list is short enough that it's a non-issue. Mark Done=Y and fill Date Resolved when closed; resolved rows stay in place as a record rather than being deleted. Full reasoning behind any entry lives in Journal -- Notes here just points to it.</t>
  </si>
  <si>
    <t xml:space="preserve">Open (unresolved) items:</t>
  </si>
  <si>
    <t xml:space="preserve">#</t>
  </si>
  <si>
    <t xml:space="preserve">Item</t>
  </si>
  <si>
    <t xml:space="preserve">Date Raised</t>
  </si>
  <si>
    <t xml:space="preserve">Date Resolved</t>
  </si>
  <si>
    <t xml:space="preserve">Piotroski: add 1-2 currently-held, Management-Quality-scored tickers to the diagnostic batch, specifically to make the Leverage Trajectory check testable (0 of the first 4 tickers had a Mgmt Quality score on record to compare against).</t>
  </si>
  <si>
    <t xml:space="preserve">Added MU and VRT -- both now testable, both agree with existing Mgmt Quality (no divergence). See Journal row 40.</t>
  </si>
  <si>
    <t xml:space="preserve">Piotroski: diagnose why VRTX's FY2025 CFO ($3.63B) came in under Net Income ($3.95B) -- one-time item vs. a genuine earnings-quality concern -- before treating that divergence as conclusive on its own.</t>
  </si>
  <si>
    <t xml:space="preserve">Growth/launch-driven working-capital build (Journavx launch), not an earnings-quality concern. See Journal row 41.</t>
  </si>
  <si>
    <t xml:space="preserve">Scoring completion queue: LIN, NFLX, DPZ, PG, GE cleared Tier 1 months ago. GE and NFLX fully completed (STRONG BUY); LIN, ET(added), DPZ, and PG all rechecked and parked below/at the 4.0 bar.</t>
  </si>
  <si>
    <t xml:space="preserve">See Journal rows 53-55.</t>
  </si>
  <si>
    <t xml:space="preserve">Implied-Return backfill: 16 pre-existing holdings (13 held, 3 sold) entered the portfolio before the Rules 11-13 gate existed and have never been run through it.</t>
  </si>
  <si>
    <t xml:space="preserve">Action Items E25/E26: same truncated-range bug already fixed in E28/E29 (Entry Authorization tallies) also exists here (Rule 2/4 candidate-flag tallies against Scoring, still capped at row 27).</t>
  </si>
  <si>
    <t xml:space="preserve">Holding Monitor's template caps at 20 tickers; Implied-Return Calculator extends to the full 45-ticker universe. Not urgent today (14 non-ETF holdings), but a real ceiling if holdings keep growing.</t>
  </si>
  <si>
    <t xml:space="preserve">Formalize how ETFs should be treated as portfolio positions. Current holdings are being treated as dry powder for now (a tactical decision), but the general policy question is still genuinely undecided.</t>
  </si>
  <si>
    <t xml:space="preserve">DPZ and PG both showed real deterioration (parked, same as LIN/ET); GE improved and was advanced to full Tier 2/3 (Composite 84.2, STRONG BUY). See Journal row 54.</t>
  </si>
  <si>
    <t xml:space="preserve">Database migration: Phase A shipped 8/18/26; Phases B/C (cutting the CLI/webapp over to the DB, generated-report export) were paused pending Tranche 2. That gate cleared 9/8/26 but resuming hasn't been asked for.</t>
  </si>
  <si>
    <t xml:space="preserve">Consider a 5-10% "wild card" portfolio allocation -- rule-disregarding, or governed by a new/separate rule set -- for exceptional opportunities outside the current Landry Strategy's normal gates. Genuinely undefined, discussion-only for now.</t>
  </si>
  <si>
    <t xml:space="preserve">See Journal row 38.</t>
  </si>
  <si>
    <t xml:space="preserve">Reconcile the Instructions tab's print layout with Alan's separately reformatted _copy version (one page wide). Recommended Alan do this directly on the live file to avoid cross-contamination from a _copy file.</t>
  </si>
  <si>
    <t xml:space="preserve">Recheck DPZ, PG, and GE (same 8/11-13 Scoring batch as LIN/ET) before trusting their recorded Tier 1 scores. LIN and ET both showed real deterioration on rescore (Tier 1 Wtd Avg ~4.5/4.0 -&gt; 3.07 for both) once run through the current, more rigorous auto-draft pipeline -- which matured after 8/11/26. May not be company-specific weakening so much as the whole batch having been scored with something less rigorous than what's available now.</t>
  </si>
  <si>
    <t xml:space="preserve">See Journal row 53.</t>
  </si>
  <si>
    <t xml:space="preserve">CMG, ETSY, PH, and ETN are the remaining names from the same stale 8/11-13 PENDING batch as the scoring completion queue (LIN/ET/DPZ/PG/GE/YUM). Deliberately not rechecked -- Alan's call, 9/13/26: 'only YUM worth a revisit at this point.' Not an oversight; revisit only if Alan raises it.</t>
  </si>
  <si>
    <t xml:space="preserve">Traced provenance: CMG and ETSY ARE Darryl-sourced and still unverified; PH/ETN are not Darryl-sourced. V (held position) also Darryl-sourced -- rechecked, fell to BUY from STRONG BUY. See Journal row 56.</t>
  </si>
  <si>
    <t xml:space="preserve">Rule 36 cluster-exposure cap breach: AVUV/DVY/SCHD/VFLO/VYM (5 of the 10 ETF sleeve positions) correlate 0.73-0.89 with each other and sum to 20.76% of the portfolio, over the docx's 20% cluster cap. Per the rule itself this needs a documented shared-risk-driver writeup (looks like a common Value-factor tilt) and written approval to continue above 20%, or a trim. Tied to the still-paused ETF-sleeve design conversation -- don't resolve unilaterally.</t>
  </si>
  <si>
    <t xml:space="preserve">ADBE Moat Quality: holding at 4, flagged for revisit at next earnings (not before).</t>
  </si>
  <si>
    <t xml:space="preserve">ADBE Moat Quality (currently 4/M, Scoring row 12) -- holding pending next earnings. Deep-dive research found decelerating net-new-ARR and declining RPO (leading indicators, Canva/Figma competitive pressure) plus a chart-based signal (sustained underperformance vs. SPY, confirmed MACD bearish dive) suggesting possible real erosion; Alan's read is this leans more Wall Street narrative than confirmed real-world usage loss. Don't move the score on price action/technicals alone -- revisit specifically when ADBE's next earnings report gives real ARR/RPO data. See Journal row 66. Confirmed earnings date (Fidelity, checked 9/30/26): Dec-09-2026 Q4 earnings.</t>
  </si>
  <si>
    <t xml:space="preserve">SCHEMA REFERENCE — for future programmatic access (Claude Code or otherwise)</t>
  </si>
  <si>
    <t xml:space="preserve">Every tab's structure documented in one place, so an agent reading this workbook doesn't have to reverse-engineer it. Tabs marked 'Table' below are registered Excel Tables (structured references, e.g. =CurrentPositionsTable[Ticker] work directly). Tabs marked 'Fixed range' have stable column positions but a merged multi-row header, so address by column letter + row number instead.</t>
  </si>
  <si>
    <t xml:space="preserve">Instructions</t>
  </si>
  <si>
    <t xml:space="preserve">Structure Type</t>
  </si>
  <si>
    <t xml:space="preserve">Table/Range Name</t>
  </si>
  <si>
    <t xml:space="preserve">Data Rows</t>
  </si>
  <si>
    <t xml:space="preserve">Key Reference</t>
  </si>
  <si>
    <t xml:space="preserve">Reference text (no data)</t>
  </si>
  <si>
    <t xml:space="preserve">n/a</t>
  </si>
  <si>
    <t xml:space="preserve">How-to and rule reference. No structured data.</t>
  </si>
  <si>
    <t xml:space="preserve">Action Items</t>
  </si>
  <si>
    <t xml:space="preserve">Formulas pulling from other tabs</t>
  </si>
  <si>
    <t xml:space="preserve">Rows 4-31, sections by row</t>
  </si>
  <si>
    <t xml:space="preserve">Read-only summary; do not write here, it recalculates from source tabs.</t>
  </si>
  <si>
    <t xml:space="preserve">Current Positions</t>
  </si>
  <si>
    <t xml:space="preserve">Table</t>
  </si>
  <si>
    <t xml:space="preserve">CurrentPositionsTable</t>
  </si>
  <si>
    <t xml:space="preserve">A2:M51 as of 2026-09-30. JT ULTRA rows 3-23 (21 positions, incl. GE/NFLX added 9/30/26), subtotal row 24, 'Excluding Cash' % in J25. Self-Directed/Chase rows 27-46 (20 positions), subtotal row 47. No separate Combined-Total or Cash-Equivalents row currently exists within the table (an earlier version of this note described rows 48-49 that way -- stale by the time this was corrected, predating 9/30/26; the combined total is JT ULTRA G24 + Chase G47, not a dedicated row). Rows 48-51 blank padding. These row numbers shift every time a position is added/removed -- re-verify against the live Table ref before relying on them, don't hardcode downstream references to specific rows.</t>
  </si>
  <si>
    <t xml:space="preserve">A=Account,B=Ticker,C=Description,D=AssetClass,E=Quantity,F=Price,G=MarketValue,H=CostBasis,I=UnrealizedGL$,J=UnrealizedGL%,K=%ofAccount,L=%ofCombined,M=Classification. Tax-loss carryforward reference cells at O2/P2 (Short-term), O3/P3 (Long-term) -- outside the table. Notes row (50) also outside the table, freeform.</t>
  </si>
  <si>
    <t xml:space="preserve">Monitor &amp; Recheck Triggers</t>
  </si>
  <si>
    <t xml:space="preserve">MonitorTable</t>
  </si>
  <si>
    <t xml:space="preserve">A2:Q48 (col N=Analyst Shift Note, mirrors K/L; RecheckStatus now P, Notes now Q; row 48 added 2026-09-11 for KGS, a tracked non-owned candidate)</t>
  </si>
  <si>
    <t xml:space="preserve">A=Ticker,B=Category,C=LastScoreDate,D=LastComposite,E=LastT1WtdAvg,F=LastDecision,G=PriceAtLastScore,H=CurrentPrice,I=%PriceChange,J=EarningsDate,K=InsiderY/N,L=InsiderNote,M=AnalystShiftY/N,N=AnalystShiftNote,O=DaysSinceScore,P=RecheckStatus,Q=Notes. Category values: Owned / Owned - Tier1 AVOID / Watch List / Tier-1 Avoid (external) / Near-Miss.</t>
  </si>
  <si>
    <t xml:space="preserve">Price History</t>
  </si>
  <si>
    <t xml:space="preserve">Fixed range, single header</t>
  </si>
  <si>
    <t xml:space="preserve">Rows 3-162, cols A + B-V (21 ticker-column slots). 19 tickers currently populated (14 stocks, 5 ETFs); 2 slots free at cols P and U. Weekly closes, week-ending Friday (Rule 36). 24-month target ~104 rows, 12-month minimum ~52 rows, 36-month max ~156 rows. Manual entry. V added 2026-09-08 (Tranche 2) at col V, appended past the original 20-slot range rather than reusing a freed slot -- the 2 free slots (P, U) predate V and are still open.</t>
  </si>
  <si>
    <t xml:space="preserve">A=Week Ending, B onward=one column per tracked ticker (order matches Returns (Calc) and Correlation Matrix).</t>
  </si>
  <si>
    <t xml:space="preserve">Dashboard</t>
  </si>
  <si>
    <t xml:space="preserve">DashboardTable</t>
  </si>
  <si>
    <t xml:space="preserve">A1:J49 (header is row 1 here, not row 2 like most other tabs)</t>
  </si>
  <si>
    <t xml:space="preserve">A=Ticker,B=Company,C=DateScored,D=Tier1WtdAvg,E=Composite,F=Decision,G=Rule1,H=Rule2,I=Rule3,J=Rule4. Formula-mirrors Scoring row-for-row (=IF(Scoring!A3="","",Scoring!A3) pattern) -- read-only, do not edit directly. 19 Rule-3-Avoid rows manually hidden; the ticker-count footnote uses SUBTOTAL(103,...) so it only counts visible (non-hidden) rows.</t>
  </si>
  <si>
    <t xml:space="preserve">Scoring</t>
  </si>
  <si>
    <t xml:space="preserve">Fixed range, 2-row merged header</t>
  </si>
  <si>
    <t xml:space="preserve">n/a (not a Table -- Tier1/2/3 group headers span multiple columns in row 1)</t>
  </si>
  <si>
    <t xml:space="preserve">Rows 3-47 populated (45 tickers), formulas/formatting run through row 60 for headroom; row 62 holds a visible-ticker-count subtotal (SUBTOTAL 103, respects collapsed groups).</t>
  </si>
  <si>
    <t xml:space="preserve">A=Ticker,B=Company,C=Date. D-M=Tier1 (5 indicators x [Score,Conf]). N=Tier1WtdAvg,O=Tier1Contrib. P-W=Tier2 (4 x [Score,Conf]). X=Tier2Contrib. Y-AD=Tier3 (3 x [Score,Conf]). AE=Tier3Contrib. AF=Composite,AG=Decision. AH=Rule1,AI=Rule2,AJ=Rule3,AK=Rule4 flags. AL=Sector,AM=Industry (added 2026-08-18; yfinance sector/industry, refined sub-class e.g. "Utilities - Independent Power Producers" not just "Utilities" -- reference/diversification-screening field, not a Hard Rule input or part of the Composite calc) AN-AS=Piotroski-derived cross-checks (added 2026-08-25, confidence-tagging inputs only, do NOT feed Composite Score): AN=CFO,AO=NetIncome,AP=AccrualsCheck(OK/LOW CONF, feeds FCF Yield &amp; Trend confidence tag),AQ=Debt/FCF current,AR=Debt/FCF prior year,AS=LeverageTrajectory(Decreased/Flat/Increased, feeds Management Quality confidence tag and score per System v1.02 Part 2). Indicator key names used by landry.scoring.INDICATORS (for programmatic access) don't match these column letters 1:1 -- see landry/scoring.py if writing code against this tab rather than reading it.</t>
  </si>
  <si>
    <t xml:space="preserve">Entry Checklist</t>
  </si>
  <si>
    <t xml:space="preserve">EntryChecklistTable</t>
  </si>
  <si>
    <t xml:space="preserve">A2:S47</t>
  </si>
  <si>
    <t xml:space="preserve">A=Ticker,B=Company (both formula-mirror Scoring, same =IF(Scoring!A3="","",Scoring!A3) pattern as Dashboard). C=Rule5(Composite&gt;=65),D=Rule6(Tier1&gt;=3.0),E=Rule7(NoTier1=1),F=Rule8(200wkMA Y/N),G=Rule9(MonthlyMACD Y/N),H=StagingResult(Rules8-9). I=Rule10(BinaryEventRiskPresent Y/N),J=RiskIncludedInThesis(Y/N),K=Rule10Result. L=BaseCase&gt;10%check (added 2026-09-08; mirrors 'Implied-Return Calculator'!S with a +1 row offset -- Entry Checklist row 3 = that tab's row 4, same ticker). M=Rule11-BearCase&gt;=0%check (mirrors ...!T, same +1 offset), N=Rule12-ScenarioTagsOK (mirrors ...!U, same +1 offset). O=P/FCF(current),P=ConsensusFCFgrowth(2-yr annualized),Q=Rule13-ValuationCeiling. R=ENTRYAUTHORIZED (aggregates C,D,E,K,L,M,N,Q -- YES only if all pass), S=RecommendedAction (reads R).</t>
  </si>
  <si>
    <t xml:space="preserve">Market Data</t>
  </si>
  <si>
    <t xml:space="preserve">Rows 3-38 (36 tickers: held equities/ETFs ex-cash + Tier-1-passed bench candidates), cols A-I. Manual entry, refreshed periodically via landry.data_auto.market_snapshot() -- not a live formula.</t>
  </si>
  <si>
    <t xml:space="preserve">A=Ticker,B=Company,C=Price,D=Volume,E=MarketCap,F=P/E,G=52wkLow,H=52wkHigh,I=DivYield.</t>
  </si>
  <si>
    <t xml:space="preserve">Returns (Calc)</t>
  </si>
  <si>
    <t xml:space="preserve">Fixed range, formula-derived</t>
  </si>
  <si>
    <t xml:space="preserve">Rows 3-161, cols A-V and W-AO</t>
  </si>
  <si>
    <t xml:space="preserve">Cols A-V mirror Price History's layout (same column order, same 2 blank gap columns) -- every cell there is a formula computing week-over-week %% return off Price History; do not edit directly. Cols W-AO (23-41) are a SEPARATE block: one 'trend' column per real ticker (19, packed contiguously, skipping Price History's 2 blank gaps), each an IFERROR(...+INDEX/MATCH(9.99E+307,...)...) formula that finds Price History's actual last row and computes that chart's dynamic trendline endpoint -- this is what lets each trendline auto-extend as new weekly closes are added, without FILTER/UNIQUE (this environment's LibreOffice recalc can't evaluate those). Feeds charts 1-19 directly; not a return calculation. Don't assume cols 23+ are unused placeholders -- they're live and load-bearing (a past session assumed exactly that from a shallow check and had to self-correct).</t>
  </si>
  <si>
    <t xml:space="preserve">Correlation Matrix</t>
  </si>
  <si>
    <t xml:space="preserve">Fixed range, formula-derived headers</t>
  </si>
  <si>
    <t xml:space="preserve">Rows 1-27, cols A-AG</t>
  </si>
  <si>
    <t xml:space="preserve">Restructured 2026-09-08 (Alan's 4-point spec). Row1=banner (merged A1:AG1). Rows2-3=summary, moved above the grid: A2/A3=labels, J2=violation count (COUNTIF of the count-col &gt;1), J3=Rule 36 status (OK/REVIEW REQUIRED, conditionally formatted red/green). Row4=blank spacer. Row5=header: A='Ticker', B-V=21 ticker columns (mirrors Price History/Returns (Calc) column order, including their 2 blank gaps). Rows6-26=21 ticker rows (same tickers, same order, as Price History). Cols W-AF (23-32)=10 blank buffer columns, reserved so new tickers don't force the count column to keep moving -- see the cell comment on AG5 before using up the last one. Col AG(33)='Positions &gt;0.70 with' -- per-row COUNTIF of that ticker's pairwise correlations &gt;0.7, conditionally formatted red if &gt;1 (that's the actual Rule 36 violation, tallied into J2).</t>
  </si>
  <si>
    <t xml:space="preserve">Portfolio Drawdown Log</t>
  </si>
  <si>
    <t xml:space="preserve">DrawdownLogTable</t>
  </si>
  <si>
    <t xml:space="preserve">A2:H42 as of 2026-09-08; grows one row per quarterly review, re-verify against the live Table ref</t>
  </si>
  <si>
    <t xml:space="preserve">A=Date,B=PortfolioValue,C=RunningPeak,D=Drawdown%,E=Status,F=RequiredCashFloor,G=NewPositionInitiation,H=Notes. Enter Date + PortfolioValue only; C-G calculate automatically (Part 7, Rules 36-37 drawdown-response tiers).</t>
  </si>
  <si>
    <t xml:space="preserve">Watch List Tracker</t>
  </si>
  <si>
    <t xml:space="preserve">WatchListTable</t>
  </si>
  <si>
    <t xml:space="preserve">A2:L22</t>
  </si>
  <si>
    <t xml:space="preserve">A=Ticker,B=Company,C=Status,D=EntryDate,E=EntryScore,F=CurrentScore,G=CurrentScoreDate,H=CredibleRemediationPlan(Y/N),I=90DayDeadline,J=DaysRemaining,K=ActionStatus,L=Notes.</t>
  </si>
  <si>
    <t xml:space="preserve">Implied-Return Calculator</t>
  </si>
  <si>
    <t xml:space="preserve">n/a (Base/Bear/Bull scenario groups span multiple columns in row 2)</t>
  </si>
  <si>
    <t xml:space="preserve">Template exists for the full 45-ticker universe, rows 4-48 (same row as Entry Checklist +1 -- Entry Checklist row 3 = this tab's row 4, same ticker, all the way through row 47/48). Only rows 20-21 (COST, V) currently have real data; the rest are genuinely empty (no data AND no stray formulas) -- populated on demand when a candidate moves toward actual entry (Rules 11-13 prep), not for the whole universe up front.</t>
  </si>
  <si>
    <t xml:space="preserve">A=Ticker,B=Company,C=Price. D-H=Base[FCF5,Mult,Dist,Return,Tag]. I-M=Bear[same]. N-R=Bull[same]. S=Base&gt;10%check,T=Bear&gt;=0%check,U=ExactlyOneLikelyCheck.</t>
  </si>
  <si>
    <t xml:space="preserve">Holding Monitor</t>
  </si>
  <si>
    <t xml:space="preserve">n/a (Fundamental-trigger group header spans multiple columns in row 2)</t>
  </si>
  <si>
    <t xml:space="preserve">Template only covers rows 4-23 (20 tickers) -- unlike Implied-Return Calculator, this does NOT extend to the full 45-ticker universe; sheet max_row is genuinely 23. Currently 14 non-ETF holdings, so there's headroom for now, but extending the template is a real to-do before holdings count gets much closer to 20. 100%% empty as of 2026-09-08 -- correct, not a gap: only populates during scheduled quarterly reviews/fundamental refreshes (see Journal's FUND-REFRESH entries), and the first one hadn't happened yet as of that date. All input columns (Ticker, Company, Position Pct, Max Full Pct, every Prior/Current metric) are pure manual entry, no formulas at all except the Flag/Valuation-Flags/Action-Status columns below.</t>
  </si>
  <si>
    <t xml:space="preserve">A=Ticker,B=Company,C=PositionPct,D=MaxFullPct. E-S=5 fundamental indicators x [Prior,Current,Flag]. T=Debt/FCF,U=P/FCF,V=FCFGrowth,W=ImpliedReturn,X=CurrentTier,Y=PriorTier,Z=ValuationFlags,AA=HoldThroughY/N,AB=ActionStatus.</t>
  </si>
  <si>
    <t xml:space="preserve">Performance Tracking</t>
  </si>
  <si>
    <t xml:space="preserve">PerformanceTrackingTable</t>
  </si>
  <si>
    <t xml:space="preserve">A2:Q33</t>
  </si>
  <si>
    <t xml:space="preserve">A=Ticker,B=Company,C=EntryDate,D=EntryPrice,E=EntryScore,F=EntryConfidence,G=EntryBand,H=SPYatEntry,I=Status,J=ExitDate,K=ExitPrice,L=ExitReason,M=CurrentOrExitPrice,N=SPYcurrentOrExit,O=TotalReturn,P=SPYReturnSamePeriod,Q=ExcessReturn. Only tickers that went through a real formal entry get a row (Part 9) -- legacy pre-System holdings and sold Rule-3-Avoid names are deliberately excluded, never backfilled with a fabricated entry score.</t>
  </si>
  <si>
    <t xml:space="preserve">Journal</t>
  </si>
  <si>
    <t xml:space="preserve">JournalTable</t>
  </si>
  <si>
    <t xml:space="preserve">A2:C302</t>
  </si>
  <si>
    <t xml:space="preserve">A=Date,B=Ticker,C=Notes. Freeform; filter/sort via the Table's built-in header dropdowns.</t>
  </si>
  <si>
    <t xml:space="preserve">Process Checklist</t>
  </si>
  <si>
    <t xml:space="preserve">ProcessChecklistTable</t>
  </si>
  <si>
    <t xml:space="preserve">A4:F117 as of 2026-09-30 (12 events x their own step count; QTR-REVIEW-1/2, FUND-REFRESH-1/2, and DCA-CATCHUP-2..8 all gained a new Fidelity info-tab scan step -- DCA-CATCHUP-1 stayed as-is since it was already past prep, same reasoning as the 9/29 fresh-check-step addition, see Journal row 67) -- grows or shrinks whenever a recurring event is added/removed from the Journal calendar or an existing event's step list changes</t>
  </si>
  <si>
    <t xml:space="preserve">A=Event (must match Journal col B exactly), B=Step, C=Done(Y/N, manual), D=DateDone(manual), E=EventDueDate (live lookup into Journal, do not hand-type), F=Status (Done/OVERDUE/Pending, formula). Added 2026-09-08 -- built to make "missed a checklist step" structurally visible (Status flips OVERDUE) rather than something you have to remember to check.</t>
  </si>
  <si>
    <t xml:space="preserve">Open Items</t>
  </si>
  <si>
    <t xml:space="preserve">OpenItemsTable</t>
  </si>
  <si>
    <t xml:space="preserve">A4:F18 as of 2026-09-30 (14 items) -- grows as new open items get added, shrinks only if a row is deliberately removed (resolved items stay, marked Done, not deleted)</t>
  </si>
  <si>
    <t xml:space="preserve">A=# (priority order, renumber freely), B=Item, C=Done(Y/N, manual), D=DateRaised, E=DateResolved, F=Notes (points to the Journal entry with full reasoning, doesn't duplicate it). Added 2026-09-11 -- ad hoc/one-off open items backlog, complements Process Checklist (which is for recurring scheduled events only).</t>
  </si>
</sst>
</file>

<file path=xl/styles.xml><?xml version="1.0" encoding="utf-8"?>
<styleSheet xmlns="http://schemas.openxmlformats.org/spreadsheetml/2006/main">
  <numFmts count="16">
    <numFmt numFmtId="164" formatCode="General"/>
    <numFmt numFmtId="165" formatCode="0.00"/>
    <numFmt numFmtId="166" formatCode="0"/>
    <numFmt numFmtId="167" formatCode="0.0%"/>
    <numFmt numFmtId="168" formatCode="_(* #,##0.00_);_(* \(#,##0.00\);_(* \-??_);_(@_)"/>
    <numFmt numFmtId="169" formatCode="\$#,##0.00"/>
    <numFmt numFmtId="170" formatCode="#,##0.00"/>
    <numFmt numFmtId="171" formatCode="yyyy\-mm\-dd"/>
    <numFmt numFmtId="172" formatCode="mm/dd/yyyy"/>
    <numFmt numFmtId="173" formatCode="0.0"/>
    <numFmt numFmtId="174" formatCode="0.000"/>
    <numFmt numFmtId="175" formatCode="#,##0"/>
    <numFmt numFmtId="176" formatCode="\$#,##0"/>
    <numFmt numFmtId="177" formatCode="0%"/>
    <numFmt numFmtId="178" formatCode="0.0\x"/>
    <numFmt numFmtId="179" formatCode="yyyy\-mm\-dd\ h:mm:ss"/>
  </numFmts>
  <fonts count="65">
    <font>
      <sz val="11"/>
      <color theme="1"/>
      <name val="Calibri"/>
      <family val="2"/>
      <charset val="1"/>
    </font>
    <font>
      <sz val="10"/>
      <name val="Arial"/>
      <family val="0"/>
    </font>
    <font>
      <sz val="10"/>
      <name val="Arial"/>
      <family val="0"/>
    </font>
    <font>
      <sz val="10"/>
      <name val="Arial"/>
      <family val="0"/>
    </font>
    <font>
      <b val="true"/>
      <sz val="13"/>
      <color rgb="FF1F3864"/>
      <name val="Arial"/>
      <family val="2"/>
      <charset val="1"/>
    </font>
    <font>
      <sz val="9"/>
      <color rgb="FF000000"/>
      <name val="Arial"/>
      <family val="2"/>
      <charset val="1"/>
    </font>
    <font>
      <i val="true"/>
      <sz val="9"/>
      <color rgb="FF000000"/>
      <name val="Arial"/>
      <family val="2"/>
      <charset val="1"/>
    </font>
    <font>
      <b val="true"/>
      <sz val="10"/>
      <color rgb="FF1F3864"/>
      <name val="Arial"/>
      <family val="2"/>
      <charset val="1"/>
    </font>
    <font>
      <sz val="9"/>
      <name val="Arial"/>
      <family val="2"/>
      <charset val="1"/>
    </font>
    <font>
      <b val="true"/>
      <sz val="14"/>
      <color rgb="FF1F3864"/>
      <name val="Arial"/>
      <family val="2"/>
      <charset val="1"/>
    </font>
    <font>
      <sz val="14"/>
      <color theme="1"/>
      <name val="Calibri"/>
      <family val="2"/>
      <charset val="1"/>
    </font>
    <font>
      <i val="true"/>
      <sz val="10"/>
      <color rgb="FF808080"/>
      <name val="Arial"/>
      <family val="2"/>
      <charset val="1"/>
    </font>
    <font>
      <b val="true"/>
      <sz val="11"/>
      <color rgb="FFFFFFFF"/>
      <name val="Arial"/>
      <family val="2"/>
      <charset val="1"/>
    </font>
    <font>
      <sz val="10"/>
      <color rgb="FF000000"/>
      <name val="Arial"/>
      <family val="2"/>
      <charset val="1"/>
    </font>
    <font>
      <b val="true"/>
      <sz val="10"/>
      <color rgb="FF000000"/>
      <name val="Arial"/>
      <family val="2"/>
      <charset val="1"/>
    </font>
    <font>
      <sz val="10"/>
      <color theme="1"/>
      <name val="Calibri"/>
      <family val="2"/>
      <charset val="1"/>
    </font>
    <font>
      <sz val="11"/>
      <color theme="1"/>
      <name val="Arial Narrow"/>
      <family val="2"/>
      <charset val="1"/>
    </font>
    <font>
      <i val="true"/>
      <sz val="10"/>
      <color rgb="FF000000"/>
      <name val="Arial Narrow"/>
      <family val="2"/>
      <charset val="1"/>
    </font>
    <font>
      <b val="true"/>
      <sz val="11"/>
      <color rgb="FFFFFFFF"/>
      <name val="Arial Narrow"/>
      <family val="2"/>
      <charset val="1"/>
    </font>
    <font>
      <sz val="8"/>
      <color rgb="FF002060"/>
      <name val="Arial Narrow"/>
      <family val="2"/>
      <charset val="1"/>
    </font>
    <font>
      <b val="true"/>
      <sz val="10"/>
      <color rgb="FF002060"/>
      <name val="Arial Narrow"/>
      <family val="2"/>
      <charset val="1"/>
    </font>
    <font>
      <sz val="10"/>
      <color rgb="FF002060"/>
      <name val="Arial Narrow"/>
      <family val="2"/>
      <charset val="1"/>
    </font>
    <font>
      <sz val="10"/>
      <name val="Arial Narrow"/>
      <family val="2"/>
      <charset val="1"/>
    </font>
    <font>
      <b val="true"/>
      <sz val="10"/>
      <color rgb="FF000000"/>
      <name val="Arial Narrow"/>
      <family val="2"/>
      <charset val="1"/>
    </font>
    <font>
      <sz val="10"/>
      <color rgb="FF000000"/>
      <name val="Arial Narrow"/>
      <family val="2"/>
      <charset val="1"/>
    </font>
    <font>
      <sz val="9"/>
      <color rgb="FF002060"/>
      <name val="Arial Narrow"/>
      <family val="2"/>
      <charset val="1"/>
    </font>
    <font>
      <sz val="10"/>
      <name val="Arial Narrow"/>
      <family val="0"/>
      <charset val="1"/>
    </font>
    <font>
      <i val="true"/>
      <sz val="10"/>
      <color rgb="FF808080"/>
      <name val="Arial Narrow"/>
      <family val="2"/>
      <charset val="1"/>
    </font>
    <font>
      <sz val="10"/>
      <name val="Arial"/>
      <family val="2"/>
    </font>
    <font>
      <b val="true"/>
      <sz val="11"/>
      <color theme="1"/>
      <name val="Calibri"/>
      <family val="2"/>
      <charset val="1"/>
    </font>
    <font>
      <i val="true"/>
      <sz val="11"/>
      <color rgb="FF000000"/>
      <name val="Arial Narrow"/>
      <family val="2"/>
      <charset val="1"/>
    </font>
    <font>
      <b val="true"/>
      <sz val="11"/>
      <color rgb="FF002060"/>
      <name val="Arial Narrow"/>
      <family val="2"/>
      <charset val="1"/>
    </font>
    <font>
      <sz val="11"/>
      <color rgb="FF000000"/>
      <name val="Arial Narrow"/>
      <family val="2"/>
      <charset val="1"/>
    </font>
    <font>
      <b val="true"/>
      <sz val="11"/>
      <color rgb="FF002060"/>
      <name val="Arial"/>
      <family val="2"/>
      <charset val="1"/>
    </font>
    <font>
      <sz val="10"/>
      <color rgb="FF002060"/>
      <name val="Arial"/>
      <family val="2"/>
      <charset val="1"/>
    </font>
    <font>
      <sz val="10"/>
      <color theme="1"/>
      <name val="Arial Narrow"/>
      <family val="2"/>
      <charset val="1"/>
    </font>
    <font>
      <i val="true"/>
      <sz val="12"/>
      <color rgb="FF000000"/>
      <name val="Arial Narrow"/>
      <family val="2"/>
      <charset val="1"/>
    </font>
    <font>
      <b val="true"/>
      <sz val="12"/>
      <color theme="1"/>
      <name val="Arial Narrow"/>
      <family val="2"/>
      <charset val="1"/>
    </font>
    <font>
      <b val="true"/>
      <sz val="12"/>
      <color rgb="FFFFFFFF"/>
      <name val="Arial Narrow"/>
      <family val="2"/>
      <charset val="1"/>
    </font>
    <font>
      <b val="true"/>
      <sz val="11"/>
      <color rgb="FF000000"/>
      <name val="Arial Narrow"/>
      <family val="2"/>
      <charset val="1"/>
    </font>
    <font>
      <b val="true"/>
      <sz val="16"/>
      <color rgb="FFFFFFFF"/>
      <name val="Arial Narrow"/>
      <family val="2"/>
      <charset val="1"/>
    </font>
    <font>
      <b val="true"/>
      <sz val="11"/>
      <color theme="1"/>
      <name val="Arial Narrow"/>
      <family val="2"/>
      <charset val="1"/>
    </font>
    <font>
      <b val="true"/>
      <sz val="10"/>
      <color rgb="FFFFFFFF"/>
      <name val="Arial Narrow"/>
      <family val="2"/>
      <charset val="1"/>
    </font>
    <font>
      <b val="true"/>
      <sz val="9"/>
      <color rgb="FFFFFFFF"/>
      <name val="Arial Narrow"/>
      <family val="2"/>
      <charset val="1"/>
    </font>
    <font>
      <sz val="11"/>
      <color rgb="FF002060"/>
      <name val="Arial Narrow"/>
      <family val="2"/>
      <charset val="1"/>
    </font>
    <font>
      <b val="true"/>
      <sz val="8"/>
      <color rgb="FF000000"/>
      <name val="Arial Narrow"/>
      <family val="2"/>
      <charset val="1"/>
    </font>
    <font>
      <b val="true"/>
      <sz val="9"/>
      <color rgb="FF000000"/>
      <name val="Arial Narrow"/>
      <family val="2"/>
      <charset val="1"/>
    </font>
    <font>
      <sz val="9"/>
      <color theme="1"/>
      <name val="Arial Narrow"/>
      <family val="2"/>
      <charset val="1"/>
    </font>
    <font>
      <sz val="9"/>
      <color rgb="FF000000"/>
      <name val="Arial Narrow"/>
      <family val="2"/>
      <charset val="1"/>
    </font>
    <font>
      <sz val="8"/>
      <color rgb="FF000000"/>
      <name val="Arial Narrow"/>
      <family val="2"/>
      <charset val="1"/>
    </font>
    <font>
      <b val="true"/>
      <sz val="18"/>
      <color rgb="FF000000"/>
      <name val="Calibri"/>
      <family val="2"/>
    </font>
    <font>
      <sz val="10"/>
      <color rgb="FF000000"/>
      <name val="Calibri"/>
      <family val="2"/>
    </font>
    <font>
      <b val="true"/>
      <sz val="10"/>
      <color rgb="FF000000"/>
      <name val="Calibri"/>
      <family val="2"/>
    </font>
    <font>
      <b val="true"/>
      <sz val="10"/>
      <name val="Arial Narrow"/>
      <family val="0"/>
      <charset val="1"/>
    </font>
    <font>
      <b val="true"/>
      <sz val="12"/>
      <color rgb="FF1F3864"/>
      <name val="Arial Narrow"/>
      <family val="2"/>
      <charset val="1"/>
    </font>
    <font>
      <b val="true"/>
      <i val="true"/>
      <sz val="11"/>
      <color rgb="FF000000"/>
      <name val="Arial Narrow"/>
      <family val="2"/>
      <charset val="1"/>
    </font>
    <font>
      <b val="true"/>
      <sz val="8"/>
      <color rgb="FF002060"/>
      <name val="Arial"/>
      <family val="2"/>
      <charset val="1"/>
    </font>
    <font>
      <sz val="8"/>
      <color rgb="FF002060"/>
      <name val="Arial"/>
      <family val="2"/>
      <charset val="1"/>
    </font>
    <font>
      <b val="true"/>
      <sz val="8"/>
      <color rgb="FF000000"/>
      <name val="Arial"/>
      <family val="2"/>
      <charset val="1"/>
    </font>
    <font>
      <b val="true"/>
      <sz val="8"/>
      <color rgb="FF002060"/>
      <name val="Arial Narrow"/>
      <family val="2"/>
      <charset val="1"/>
    </font>
    <font>
      <i val="true"/>
      <sz val="11"/>
      <color rgb="FF808080"/>
      <name val="Arial Narrow"/>
      <family val="2"/>
      <charset val="1"/>
    </font>
    <font>
      <b val="true"/>
      <sz val="12"/>
      <color rgb="FF1F3864"/>
      <name val="Arial"/>
      <family val="2"/>
      <charset val="1"/>
    </font>
    <font>
      <b val="true"/>
      <sz val="10"/>
      <color rgb="FFFFFFFF"/>
      <name val="Arial"/>
      <family val="2"/>
      <charset val="1"/>
    </font>
    <font>
      <b val="true"/>
      <sz val="9"/>
      <color rgb="FFFFFFFF"/>
      <name val="Arial"/>
      <family val="2"/>
      <charset val="1"/>
    </font>
    <font>
      <sz val="8"/>
      <color rgb="FF000000"/>
      <name val="Arial"/>
      <family val="2"/>
      <charset val="1"/>
    </font>
  </fonts>
  <fills count="12">
    <fill>
      <patternFill patternType="none"/>
    </fill>
    <fill>
      <patternFill patternType="gray125"/>
    </fill>
    <fill>
      <patternFill patternType="solid">
        <fgColor rgb="FF2E5090"/>
        <bgColor rgb="FF1F3864"/>
      </patternFill>
    </fill>
    <fill>
      <patternFill patternType="solid">
        <fgColor rgb="FF1F3864"/>
        <bgColor rgb="FF2E5090"/>
      </patternFill>
    </fill>
    <fill>
      <patternFill patternType="solid">
        <fgColor theme="6" tint="0.7999"/>
        <bgColor rgb="FFE2EFDA"/>
      </patternFill>
    </fill>
    <fill>
      <patternFill patternType="solid">
        <fgColor rgb="FFDDEBF7"/>
        <bgColor rgb="FFDCE6F1"/>
      </patternFill>
    </fill>
    <fill>
      <patternFill patternType="solid">
        <fgColor theme="2" tint="-0.1"/>
        <bgColor rgb="FFD9D9D9"/>
      </patternFill>
    </fill>
    <fill>
      <patternFill patternType="solid">
        <fgColor rgb="FF833C0C"/>
        <bgColor rgb="FF632423"/>
      </patternFill>
    </fill>
    <fill>
      <patternFill patternType="solid">
        <fgColor rgb="FFDCE6F1"/>
        <bgColor rgb="FFDDEBF7"/>
      </patternFill>
    </fill>
    <fill>
      <patternFill patternType="solid">
        <fgColor rgb="FF375623"/>
        <bgColor rgb="FF006100"/>
      </patternFill>
    </fill>
    <fill>
      <patternFill patternType="solid">
        <fgColor rgb="FF632423"/>
        <bgColor rgb="FF833C0C"/>
      </patternFill>
    </fill>
    <fill>
      <patternFill patternType="solid">
        <fgColor rgb="FFECF4FA"/>
        <bgColor rgb="FFEBF1DE"/>
      </patternFill>
    </fill>
  </fills>
  <borders count="8">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right/>
      <top style="medium"/>
      <bottom/>
      <diagonal/>
    </border>
    <border diagonalUp="false" diagonalDown="false">
      <left style="thin">
        <color rgb="FF999999"/>
      </left>
      <right style="thin">
        <color rgb="FF999999"/>
      </right>
      <top style="thin">
        <color rgb="FF999999"/>
      </top>
      <bottom style="medium"/>
      <diagonal/>
    </border>
    <border diagonalUp="false" diagonalDown="false">
      <left style="thin">
        <color rgb="FF999999"/>
      </left>
      <right style="thin">
        <color rgb="FF999999"/>
      </right>
      <top/>
      <bottom style="thin">
        <color rgb="FF999999"/>
      </bottom>
      <diagonal/>
    </border>
    <border diagonalUp="false" diagonalDown="false">
      <left/>
      <right/>
      <top style="thin">
        <color rgb="FF999999"/>
      </top>
      <bottom style="thin">
        <color rgb="FF999999"/>
      </bottom>
      <diagonal/>
    </border>
    <border diagonalUp="false" diagonalDown="false">
      <left/>
      <right/>
      <top/>
      <bottom style="thin">
        <color rgb="FF999999"/>
      </bottom>
      <diagonal/>
    </border>
    <border diagonalUp="false" diagonalDown="false">
      <left/>
      <right/>
      <top style="dashed"/>
      <bottom style="dashed"/>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right"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6" fontId="14" fillId="0" borderId="1" xfId="0" applyFont="true" applyBorder="true" applyAlignment="true" applyProtection="false">
      <alignment horizontal="center" vertical="center" textRotation="0" wrapText="false" indent="0" shrinkToFit="false"/>
      <protection locked="true" hidden="false"/>
    </xf>
    <xf numFmtId="167" fontId="14"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2" fillId="2" borderId="0"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tru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center"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8" fontId="22"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general" vertical="bottom" textRotation="0" wrapText="false" indent="0" shrinkToFit="false"/>
      <protection locked="true" hidden="false"/>
    </xf>
    <xf numFmtId="170" fontId="21" fillId="0" borderId="0" xfId="0" applyFont="true" applyBorder="false" applyAlignment="true" applyProtection="false">
      <alignment horizontal="general" vertical="bottom" textRotation="0" wrapText="false" indent="0" shrinkToFit="false"/>
      <protection locked="true" hidden="false"/>
    </xf>
    <xf numFmtId="169" fontId="21" fillId="0" borderId="0" xfId="0" applyFont="true" applyBorder="false" applyAlignment="true" applyProtection="false">
      <alignment horizontal="general" vertical="bottom" textRotation="0" wrapText="false" indent="0" shrinkToFit="false"/>
      <protection locked="true" hidden="false"/>
    </xf>
    <xf numFmtId="167" fontId="24" fillId="0" borderId="0" xfId="0" applyFont="true" applyBorder="false" applyAlignment="true" applyProtection="false">
      <alignment horizontal="center" vertical="bottom" textRotation="0" wrapText="false" indent="0" shrinkToFit="false"/>
      <protection locked="true" hidden="false"/>
    </xf>
    <xf numFmtId="164" fontId="20" fillId="4"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7" fontId="24" fillId="0" borderId="0" xfId="0" applyFont="true" applyBorder="false" applyAlignment="true" applyProtection="false">
      <alignment horizontal="general" vertical="bottom" textRotation="0" wrapText="false" indent="0" shrinkToFit="false"/>
      <protection locked="true" hidden="false"/>
    </xf>
    <xf numFmtId="164" fontId="25" fillId="0"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true" applyProtection="false">
      <alignment horizontal="center" vertical="bottom" textRotation="0" wrapText="false" indent="0" shrinkToFit="false"/>
      <protection locked="true" hidden="false"/>
    </xf>
    <xf numFmtId="164" fontId="20" fillId="0" borderId="2" xfId="0" applyFont="true" applyBorder="true" applyAlignment="true" applyProtection="false">
      <alignment horizontal="right" vertical="bottom" textRotation="0" wrapText="false" indent="0" shrinkToFit="false"/>
      <protection locked="true" hidden="false"/>
    </xf>
    <xf numFmtId="164" fontId="21" fillId="0" borderId="2" xfId="0" applyFont="true" applyBorder="true" applyAlignment="true" applyProtection="false">
      <alignment horizontal="center" vertical="bottom" textRotation="0" wrapText="false" indent="0" shrinkToFit="false"/>
      <protection locked="true" hidden="false"/>
    </xf>
    <xf numFmtId="164" fontId="21" fillId="0" borderId="2" xfId="0" applyFont="true" applyBorder="true" applyAlignment="true" applyProtection="false">
      <alignment horizontal="general" vertical="bottom" textRotation="0" wrapText="false" indent="0" shrinkToFit="false"/>
      <protection locked="true" hidden="false"/>
    </xf>
    <xf numFmtId="168" fontId="22" fillId="0" borderId="2" xfId="0" applyFont="true" applyBorder="true" applyAlignment="true" applyProtection="false">
      <alignment horizontal="general" vertical="bottom" textRotation="0" wrapText="false" indent="0" shrinkToFit="false"/>
      <protection locked="true" hidden="false"/>
    </xf>
    <xf numFmtId="169" fontId="23" fillId="0" borderId="2" xfId="0" applyFont="true" applyBorder="true" applyAlignment="true" applyProtection="false">
      <alignment horizontal="general" vertical="bottom" textRotation="0" wrapText="false" indent="0" shrinkToFit="false"/>
      <protection locked="true" hidden="false"/>
    </xf>
    <xf numFmtId="170" fontId="20" fillId="0" borderId="2" xfId="0" applyFont="true" applyBorder="true" applyAlignment="true" applyProtection="false">
      <alignment horizontal="general" vertical="bottom" textRotation="0" wrapText="false" indent="0" shrinkToFit="false"/>
      <protection locked="true" hidden="false"/>
    </xf>
    <xf numFmtId="169" fontId="20" fillId="0" borderId="2" xfId="0" applyFont="true" applyBorder="true" applyAlignment="true" applyProtection="false">
      <alignment horizontal="general" vertical="bottom" textRotation="0" wrapText="false" indent="0" shrinkToFit="false"/>
      <protection locked="true" hidden="false"/>
    </xf>
    <xf numFmtId="167" fontId="23" fillId="0" borderId="2"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right" vertical="bottom" textRotation="0" wrapText="false" indent="0" shrinkToFit="false"/>
      <protection locked="true" hidden="false"/>
    </xf>
    <xf numFmtId="167" fontId="26"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29" fillId="0" borderId="0" xfId="0" applyFont="true" applyBorder="false" applyAlignment="true" applyProtection="false">
      <alignment horizontal="center"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general" vertical="center" textRotation="0" wrapText="true" indent="0" shrinkToFit="false"/>
      <protection locked="true" hidden="false"/>
    </xf>
    <xf numFmtId="164" fontId="18" fillId="3" borderId="1" xfId="0" applyFont="true" applyBorder="true" applyAlignment="true" applyProtection="false">
      <alignment horizontal="center" vertical="top" textRotation="0" wrapText="true" indent="0" shrinkToFit="false"/>
      <protection locked="true" hidden="false"/>
    </xf>
    <xf numFmtId="170" fontId="18" fillId="3" borderId="1" xfId="0" applyFont="true" applyBorder="tru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31" fillId="5" borderId="1" xfId="0" applyFont="true" applyBorder="true" applyAlignment="true" applyProtection="false">
      <alignment horizontal="center" vertical="center" textRotation="0" wrapText="false" indent="0" shrinkToFit="false"/>
      <protection locked="true" hidden="false"/>
    </xf>
    <xf numFmtId="164" fontId="21" fillId="5" borderId="1" xfId="0" applyFont="true" applyBorder="true" applyAlignment="true" applyProtection="false">
      <alignment horizontal="center" vertical="center" textRotation="0" wrapText="false" indent="0" shrinkToFit="false"/>
      <protection locked="true" hidden="false"/>
    </xf>
    <xf numFmtId="171" fontId="21" fillId="5" borderId="1" xfId="0" applyFont="true" applyBorder="true" applyAlignment="true" applyProtection="false">
      <alignment horizontal="center" vertical="center" textRotation="0" wrapText="false" indent="0" shrinkToFit="false"/>
      <protection locked="true" hidden="false"/>
    </xf>
    <xf numFmtId="164" fontId="32" fillId="0" borderId="1" xfId="0" applyFont="true" applyBorder="true" applyAlignment="true" applyProtection="false">
      <alignment horizontal="center" vertical="center" textRotation="0" wrapText="false" indent="0" shrinkToFit="false"/>
      <protection locked="true" hidden="false"/>
    </xf>
    <xf numFmtId="170" fontId="21" fillId="5" borderId="1" xfId="0" applyFont="true" applyBorder="true" applyAlignment="true" applyProtection="false">
      <alignment horizontal="center" vertical="center" textRotation="0" wrapText="false" indent="0" shrinkToFit="false"/>
      <protection locked="true" hidden="false"/>
    </xf>
    <xf numFmtId="169" fontId="21" fillId="5" borderId="1" xfId="0" applyFont="true" applyBorder="true" applyAlignment="true" applyProtection="false">
      <alignment horizontal="center" vertical="center" textRotation="0" wrapText="false" indent="0" shrinkToFit="false"/>
      <protection locked="true" hidden="false"/>
    </xf>
    <xf numFmtId="167" fontId="23" fillId="0" borderId="1" xfId="0" applyFont="true" applyBorder="true" applyAlignment="true" applyProtection="false">
      <alignment horizontal="center" vertical="center" textRotation="0" wrapText="false" indent="0" shrinkToFit="false"/>
      <protection locked="true" hidden="false"/>
    </xf>
    <xf numFmtId="172" fontId="21" fillId="5" borderId="1" xfId="0" applyFont="true" applyBorder="true" applyAlignment="true" applyProtection="false">
      <alignment horizontal="center" vertical="center" textRotation="0" wrapText="false" indent="0" shrinkToFit="false"/>
      <protection locked="true" hidden="false"/>
    </xf>
    <xf numFmtId="164" fontId="21" fillId="5" borderId="1" xfId="0" applyFont="true" applyBorder="true" applyAlignment="true" applyProtection="false">
      <alignment horizontal="left" vertical="center" textRotation="0" wrapText="false" indent="0" shrinkToFit="false"/>
      <protection locked="true" hidden="false"/>
    </xf>
    <xf numFmtId="166" fontId="24"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21" fillId="6" borderId="1" xfId="0" applyFont="true" applyBorder="true" applyAlignment="true" applyProtection="false">
      <alignment horizontal="center" vertical="center" textRotation="0" wrapText="false" indent="0" shrinkToFit="false"/>
      <protection locked="true" hidden="false"/>
    </xf>
    <xf numFmtId="164" fontId="21" fillId="6" borderId="1" xfId="0" applyFont="true" applyBorder="true" applyAlignment="true" applyProtection="false">
      <alignment horizontal="left" vertical="center" textRotation="0" wrapText="false" indent="0" shrinkToFit="false"/>
      <protection locked="true" hidden="false"/>
    </xf>
    <xf numFmtId="164" fontId="33" fillId="5" borderId="1" xfId="0" applyFont="true" applyBorder="true" applyAlignment="true" applyProtection="false">
      <alignment horizontal="center" vertical="center" textRotation="0" wrapText="false" indent="0" shrinkToFit="false"/>
      <protection locked="true" hidden="false"/>
    </xf>
    <xf numFmtId="164" fontId="34" fillId="5" borderId="1" xfId="0" applyFont="true" applyBorder="true" applyAlignment="true" applyProtection="false">
      <alignment horizontal="left" vertical="center" textRotation="0" wrapText="false" indent="0" shrinkToFit="false"/>
      <protection locked="true" hidden="false"/>
    </xf>
    <xf numFmtId="171" fontId="34" fillId="5" borderId="1" xfId="0" applyFont="true" applyBorder="true" applyAlignment="true" applyProtection="false">
      <alignment horizontal="center" vertical="center" textRotation="0" wrapText="false" indent="0" shrinkToFit="false"/>
      <protection locked="true" hidden="false"/>
    </xf>
    <xf numFmtId="164" fontId="34" fillId="5" borderId="1" xfId="0" applyFont="true" applyBorder="true" applyAlignment="true" applyProtection="false">
      <alignment horizontal="center" vertical="center" textRotation="0" wrapText="false" indent="0" shrinkToFit="false"/>
      <protection locked="true" hidden="false"/>
    </xf>
    <xf numFmtId="170" fontId="34" fillId="5" borderId="1" xfId="0" applyFont="true" applyBorder="true" applyAlignment="true" applyProtection="false">
      <alignment horizontal="center" vertical="center" textRotation="0" wrapText="false" indent="0" shrinkToFit="false"/>
      <protection locked="true" hidden="false"/>
    </xf>
    <xf numFmtId="169" fontId="34" fillId="5" borderId="1" xfId="0" applyFont="true" applyBorder="true" applyAlignment="true" applyProtection="false">
      <alignment horizontal="center" vertical="center" textRotation="0" wrapText="false" indent="0" shrinkToFit="false"/>
      <protection locked="true" hidden="false"/>
    </xf>
    <xf numFmtId="172" fontId="34" fillId="5"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20" fillId="5" borderId="3" xfId="0" applyFont="true" applyBorder="true" applyAlignment="true" applyProtection="false">
      <alignment horizontal="center" vertical="center" textRotation="0" wrapText="true" indent="0" shrinkToFit="false"/>
      <protection locked="true" hidden="false"/>
    </xf>
    <xf numFmtId="172" fontId="21" fillId="5" borderId="4" xfId="0" applyFont="true" applyBorder="true" applyAlignment="true" applyProtection="false">
      <alignment horizontal="center" vertical="center" textRotation="0" wrapText="false" indent="0" shrinkToFit="false"/>
      <protection locked="true" hidden="false"/>
    </xf>
    <xf numFmtId="170" fontId="21" fillId="5" borderId="4" xfId="0" applyFont="true" applyBorder="true" applyAlignment="true" applyProtection="false">
      <alignment horizontal="center" vertical="center" textRotation="0" wrapText="false" indent="0" shrinkToFit="false"/>
      <protection locked="true" hidden="false"/>
    </xf>
    <xf numFmtId="165" fontId="21" fillId="5" borderId="1" xfId="0" applyFont="true" applyBorder="true" applyAlignment="true" applyProtection="false">
      <alignment horizontal="center" vertical="center" textRotation="0" wrapText="false" indent="0" shrinkToFit="false"/>
      <protection locked="true" hidden="false"/>
    </xf>
    <xf numFmtId="164" fontId="37" fillId="0" borderId="2" xfId="0" applyFont="true" applyBorder="true" applyAlignment="true" applyProtection="false">
      <alignment horizontal="center" vertical="bottom" textRotation="0" wrapText="false" indent="0" shrinkToFit="false"/>
      <protection locked="true" hidden="false"/>
    </xf>
    <xf numFmtId="164" fontId="38" fillId="3" borderId="1" xfId="0" applyFont="true" applyBorder="true" applyAlignment="true" applyProtection="false">
      <alignment horizontal="center" vertical="top" textRotation="0" wrapText="true" indent="0" shrinkToFit="false"/>
      <protection locked="true" hidden="false"/>
    </xf>
    <xf numFmtId="164" fontId="38" fillId="3" borderId="1" xfId="0" applyFont="true" applyBorder="true" applyAlignment="true" applyProtection="false">
      <alignment horizontal="center" vertical="center" textRotation="0" wrapText="true" indent="0" shrinkToFit="false"/>
      <protection locked="true" hidden="false"/>
    </xf>
    <xf numFmtId="164" fontId="39" fillId="0" borderId="1" xfId="0" applyFont="true" applyBorder="true" applyAlignment="true" applyProtection="false">
      <alignment horizontal="center" vertical="center" textRotation="0" wrapText="false" indent="0" shrinkToFit="false"/>
      <protection locked="true" hidden="false"/>
    </xf>
    <xf numFmtId="164" fontId="32" fillId="0" borderId="1" xfId="0" applyFont="true" applyBorder="true" applyAlignment="true" applyProtection="false">
      <alignment horizontal="left" vertical="center" textRotation="0" wrapText="false" indent="0" shrinkToFit="false"/>
      <protection locked="true" hidden="false"/>
    </xf>
    <xf numFmtId="172" fontId="32" fillId="0" borderId="1" xfId="0" applyFont="true" applyBorder="true" applyAlignment="true" applyProtection="false">
      <alignment horizontal="center" vertical="center" textRotation="0" wrapText="false" indent="0" shrinkToFit="false"/>
      <protection locked="true" hidden="false"/>
    </xf>
    <xf numFmtId="165" fontId="32" fillId="0" borderId="1" xfId="0" applyFont="true" applyBorder="true" applyAlignment="true" applyProtection="false">
      <alignment horizontal="center" vertical="center" textRotation="0" wrapText="false" indent="0" shrinkToFit="false"/>
      <protection locked="true" hidden="false"/>
    </xf>
    <xf numFmtId="173" fontId="39" fillId="0" borderId="1" xfId="0" applyFont="true" applyBorder="true" applyAlignment="true" applyProtection="false">
      <alignment horizontal="center" vertical="center"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72" fontId="39" fillId="0" borderId="0" xfId="0" applyFont="true" applyBorder="false" applyAlignment="true" applyProtection="false">
      <alignment horizontal="general" vertical="bottom" textRotation="0" wrapText="false" indent="0" shrinkToFit="false"/>
      <protection locked="true" hidden="false"/>
    </xf>
    <xf numFmtId="174" fontId="39" fillId="0" borderId="0" xfId="0" applyFont="true" applyBorder="false" applyAlignment="true" applyProtection="false">
      <alignment horizontal="general" vertical="bottom" textRotation="0" wrapText="false" indent="0" shrinkToFit="false"/>
      <protection locked="true" hidden="false"/>
    </xf>
    <xf numFmtId="171" fontId="39" fillId="0" borderId="0" xfId="0" applyFont="true" applyBorder="false" applyAlignment="true" applyProtection="false">
      <alignment horizontal="general" vertical="bottom" textRotation="0" wrapText="false" indent="0" shrinkToFit="false"/>
      <protection locked="true" hidden="false"/>
    </xf>
    <xf numFmtId="164" fontId="39" fillId="0" borderId="2" xfId="0" applyFont="true" applyBorder="true" applyAlignment="true" applyProtection="false">
      <alignment horizontal="center" vertical="bottom" textRotation="0" wrapText="false" indent="0" shrinkToFit="false"/>
      <protection locked="true" hidden="false"/>
    </xf>
    <xf numFmtId="164" fontId="39" fillId="0" borderId="2" xfId="0" applyFont="true" applyBorder="true" applyAlignment="true" applyProtection="false">
      <alignment horizontal="left"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40" fillId="2" borderId="1" xfId="0" applyFont="true" applyBorder="true" applyAlignment="true" applyProtection="false">
      <alignment horizontal="center" vertical="center" textRotation="0" wrapText="true" indent="0" shrinkToFit="false"/>
      <protection locked="true" hidden="false"/>
    </xf>
    <xf numFmtId="164" fontId="38" fillId="7" borderId="1" xfId="0" applyFont="true" applyBorder="true" applyAlignment="true" applyProtection="false">
      <alignment horizontal="center" vertical="center" textRotation="0" wrapText="true" indent="0" shrinkToFit="false"/>
      <protection locked="true" hidden="false"/>
    </xf>
    <xf numFmtId="164" fontId="41" fillId="0" borderId="5" xfId="0" applyFont="true" applyBorder="true" applyAlignment="true" applyProtection="false">
      <alignment horizontal="general" vertical="center" textRotation="0" wrapText="true" indent="0" shrinkToFit="false"/>
      <protection locked="true" hidden="false"/>
    </xf>
    <xf numFmtId="164" fontId="42" fillId="3" borderId="1" xfId="0" applyFont="true" applyBorder="true" applyAlignment="true" applyProtection="false">
      <alignment horizontal="center" vertical="top" textRotation="0" wrapText="true" indent="0" shrinkToFit="false"/>
      <protection locked="true" hidden="false"/>
    </xf>
    <xf numFmtId="164" fontId="18" fillId="7" borderId="1" xfId="0" applyFont="true" applyBorder="true" applyAlignment="true" applyProtection="false">
      <alignment horizontal="center" vertical="top"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43" fillId="7" borderId="1" xfId="0" applyFont="true" applyBorder="true" applyAlignment="true" applyProtection="false">
      <alignment horizontal="center" vertical="center" textRotation="0" wrapText="true" indent="0" shrinkToFit="false"/>
      <protection locked="true" hidden="false"/>
    </xf>
    <xf numFmtId="164" fontId="44" fillId="5" borderId="1" xfId="0" applyFont="true" applyBorder="true" applyAlignment="true" applyProtection="false">
      <alignment horizontal="left" vertical="center" textRotation="0" wrapText="false" indent="0" shrinkToFit="false"/>
      <protection locked="true" hidden="false"/>
    </xf>
    <xf numFmtId="172" fontId="44" fillId="5" borderId="1" xfId="0" applyFont="true" applyBorder="true" applyAlignment="true" applyProtection="false">
      <alignment horizontal="center" vertical="center" textRotation="0" wrapText="false" indent="0" shrinkToFit="false"/>
      <protection locked="true" hidden="false"/>
    </xf>
    <xf numFmtId="164" fontId="44" fillId="5" borderId="1" xfId="0" applyFont="true" applyBorder="true" applyAlignment="true" applyProtection="false">
      <alignment horizontal="center" vertical="center" textRotation="0" wrapText="false" indent="0" shrinkToFit="false"/>
      <protection locked="true" hidden="false"/>
    </xf>
    <xf numFmtId="174" fontId="32" fillId="0" borderId="1" xfId="0" applyFont="true" applyBorder="true" applyAlignment="true" applyProtection="false">
      <alignment horizontal="center" vertical="center" textRotation="0" wrapText="false" indent="0" shrinkToFit="false"/>
      <protection locked="true" hidden="false"/>
    </xf>
    <xf numFmtId="165" fontId="39" fillId="0" borderId="1" xfId="0" applyFont="true" applyBorder="true" applyAlignment="true" applyProtection="false">
      <alignment horizontal="center" vertical="center" textRotation="0" wrapText="false" indent="0" shrinkToFit="false"/>
      <protection locked="true" hidden="false"/>
    </xf>
    <xf numFmtId="164" fontId="19" fillId="5" borderId="1" xfId="0" applyFont="true" applyBorder="true" applyAlignment="true" applyProtection="false">
      <alignment horizontal="center" vertical="center" textRotation="0" wrapText="false" indent="0" shrinkToFit="false"/>
      <protection locked="true" hidden="false"/>
    </xf>
    <xf numFmtId="164" fontId="25" fillId="5" borderId="1" xfId="0" applyFont="true" applyBorder="true" applyAlignment="true" applyProtection="false">
      <alignment horizontal="center" vertical="center" textRotation="0" wrapText="false" indent="0" shrinkToFit="false"/>
      <protection locked="true" hidden="false"/>
    </xf>
    <xf numFmtId="175" fontId="44" fillId="5" borderId="1" xfId="0" applyFont="true" applyBorder="true" applyAlignment="true" applyProtection="false">
      <alignment horizontal="center" vertical="center" textRotation="0" wrapText="false" indent="0" shrinkToFit="false"/>
      <protection locked="true" hidden="false"/>
    </xf>
    <xf numFmtId="175" fontId="39" fillId="0" borderId="1" xfId="0" applyFont="true" applyBorder="true" applyAlignment="true" applyProtection="false">
      <alignment horizontal="center" vertical="center" textRotation="0" wrapText="false" indent="0" shrinkToFit="false"/>
      <protection locked="true" hidden="false"/>
    </xf>
    <xf numFmtId="165" fontId="44" fillId="5" borderId="1" xfId="0" applyFont="true" applyBorder="true" applyAlignment="true" applyProtection="false">
      <alignment horizontal="center" vertical="center" textRotation="0" wrapText="false" indent="0" shrinkToFit="false"/>
      <protection locked="true" hidden="false"/>
    </xf>
    <xf numFmtId="164" fontId="45" fillId="0" borderId="1" xfId="0" applyFont="true" applyBorder="true" applyAlignment="true" applyProtection="false">
      <alignment horizontal="center" vertical="center" textRotation="0" wrapText="false" indent="0" shrinkToFit="false"/>
      <protection locked="true" hidden="false"/>
    </xf>
    <xf numFmtId="171" fontId="44" fillId="5" borderId="1" xfId="0" applyFont="true" applyBorder="true" applyAlignment="true" applyProtection="false">
      <alignment horizontal="center" vertical="center" textRotation="0" wrapText="false" indent="0" shrinkToFit="false"/>
      <protection locked="true" hidden="false"/>
    </xf>
    <xf numFmtId="164" fontId="46" fillId="0" borderId="1" xfId="0" applyFont="true" applyBorder="true" applyAlignment="true" applyProtection="false">
      <alignment horizontal="center" vertical="center"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42" fillId="3" borderId="0" xfId="0" applyFont="true" applyBorder="false" applyAlignment="true" applyProtection="false">
      <alignment horizontal="center"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30" fillId="0" borderId="0" xfId="0" applyFont="true" applyBorder="true" applyAlignment="true" applyProtection="false">
      <alignment horizontal="general" vertical="bottom" textRotation="0" wrapText="false" indent="0" shrinkToFit="false"/>
      <protection locked="true" hidden="false"/>
    </xf>
    <xf numFmtId="169" fontId="44" fillId="5" borderId="1" xfId="0" applyFont="true" applyBorder="true" applyAlignment="true" applyProtection="false">
      <alignment horizontal="center" vertical="center" textRotation="0" wrapText="false" indent="0" shrinkToFit="false"/>
      <protection locked="true" hidden="false"/>
    </xf>
    <xf numFmtId="176" fontId="44" fillId="5" borderId="1" xfId="0" applyFont="true" applyBorder="true" applyAlignment="true" applyProtection="false">
      <alignment horizontal="center" vertical="center" textRotation="0" wrapText="false" indent="0" shrinkToFit="false"/>
      <protection locked="true" hidden="false"/>
    </xf>
    <xf numFmtId="173" fontId="44" fillId="5" borderId="1"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center" vertical="center" textRotation="0" wrapText="false" indent="0" shrinkToFit="false"/>
      <protection locked="true" hidden="false"/>
    </xf>
    <xf numFmtId="172" fontId="48" fillId="0" borderId="1" xfId="0" applyFont="true" applyBorder="true" applyAlignment="true" applyProtection="false">
      <alignment horizontal="center" vertical="center" textRotation="0" wrapText="false" indent="0" shrinkToFit="false"/>
      <protection locked="true" hidden="false"/>
    </xf>
    <xf numFmtId="167" fontId="48" fillId="0" borderId="1" xfId="0" applyFont="true" applyBorder="true" applyAlignment="true" applyProtection="false">
      <alignment horizontal="center" vertical="center" textRotation="0" wrapText="false" indent="0" shrinkToFit="false"/>
      <protection locked="true" hidden="false"/>
    </xf>
    <xf numFmtId="167" fontId="48" fillId="0" borderId="0" xfId="0" applyFont="true" applyBorder="false" applyAlignment="true" applyProtection="false">
      <alignment horizontal="general" vertical="bottom" textRotation="0" wrapText="false" indent="0" shrinkToFit="false"/>
      <protection locked="true" hidden="false"/>
    </xf>
    <xf numFmtId="170" fontId="49" fillId="0" borderId="1" xfId="0" applyFont="true" applyBorder="true" applyAlignment="true" applyProtection="false">
      <alignment horizontal="center" vertical="center" textRotation="0" wrapText="false" indent="0" shrinkToFit="false"/>
      <protection locked="true" hidden="false"/>
    </xf>
    <xf numFmtId="170" fontId="49"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center" vertical="bottom" textRotation="0" wrapText="false" indent="0" shrinkToFit="false"/>
      <protection locked="true" hidden="false"/>
    </xf>
    <xf numFmtId="164" fontId="38"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54" fillId="8" borderId="0" xfId="0" applyFont="true" applyBorder="false" applyAlignment="true" applyProtection="false">
      <alignment horizontal="general" vertical="bottom" textRotation="0" wrapText="false" indent="0" shrinkToFit="false"/>
      <protection locked="true" hidden="false"/>
    </xf>
    <xf numFmtId="165" fontId="24"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general" vertical="center" textRotation="0" wrapText="false" indent="0" shrinkToFit="false"/>
      <protection locked="true" hidden="false"/>
    </xf>
    <xf numFmtId="176" fontId="32" fillId="0" borderId="1" xfId="0" applyFont="true" applyBorder="true" applyAlignment="true" applyProtection="false">
      <alignment horizontal="center" vertical="center" textRotation="0" wrapText="false" indent="0" shrinkToFit="false"/>
      <protection locked="true" hidden="false"/>
    </xf>
    <xf numFmtId="167" fontId="39" fillId="0" borderId="1"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72" fontId="25" fillId="5" borderId="1" xfId="0" applyFont="true" applyBorder="true" applyAlignment="true" applyProtection="false">
      <alignment horizontal="center" vertical="center" textRotation="0" wrapText="false" indent="0" shrinkToFit="false"/>
      <protection locked="true" hidden="false"/>
    </xf>
    <xf numFmtId="166" fontId="48" fillId="0"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center" textRotation="0" wrapText="false" indent="0" shrinkToFit="false"/>
      <protection locked="true" hidden="false"/>
    </xf>
    <xf numFmtId="164" fontId="42" fillId="2" borderId="1" xfId="0" applyFont="true" applyBorder="true" applyAlignment="true" applyProtection="false">
      <alignment horizontal="center" vertical="center" textRotation="0" wrapText="true" indent="0" shrinkToFit="false"/>
      <protection locked="true" hidden="false"/>
    </xf>
    <xf numFmtId="164" fontId="42" fillId="7" borderId="1" xfId="0" applyFont="true" applyBorder="true" applyAlignment="true" applyProtection="false">
      <alignment horizontal="center" vertical="center" textRotation="0" wrapText="true" indent="0" shrinkToFit="false"/>
      <protection locked="true" hidden="false"/>
    </xf>
    <xf numFmtId="164" fontId="42" fillId="9" borderId="1" xfId="0" applyFont="true" applyBorder="true" applyAlignment="true" applyProtection="false">
      <alignment horizontal="center" vertical="center" textRotation="0" wrapText="true" indent="0" shrinkToFit="false"/>
      <protection locked="true" hidden="false"/>
    </xf>
    <xf numFmtId="164" fontId="42" fillId="10" borderId="1" xfId="0" applyFont="true" applyBorder="true" applyAlignment="true" applyProtection="false">
      <alignment horizontal="center" vertical="center" textRotation="0" wrapText="true" indent="0" shrinkToFit="false"/>
      <protection locked="true" hidden="false"/>
    </xf>
    <xf numFmtId="178" fontId="21" fillId="5" borderId="1" xfId="0" applyFont="true" applyBorder="true" applyAlignment="true" applyProtection="false">
      <alignment horizontal="center" vertical="center" textRotation="0" wrapText="false" indent="0" shrinkToFit="false"/>
      <protection locked="true" hidden="false"/>
    </xf>
    <xf numFmtId="164" fontId="56" fillId="5" borderId="1" xfId="0" applyFont="true" applyBorder="true" applyAlignment="true" applyProtection="false">
      <alignment horizontal="center" vertical="center" textRotation="0" wrapText="false" indent="0" shrinkToFit="false"/>
      <protection locked="true" hidden="false"/>
    </xf>
    <xf numFmtId="164" fontId="57" fillId="5" borderId="1" xfId="0" applyFont="true" applyBorder="true" applyAlignment="true" applyProtection="false">
      <alignment horizontal="left" vertical="center" textRotation="0" wrapText="false" indent="0" shrinkToFit="false"/>
      <protection locked="true" hidden="false"/>
    </xf>
    <xf numFmtId="169" fontId="57" fillId="5" borderId="1" xfId="0" applyFont="true" applyBorder="true" applyAlignment="true" applyProtection="false">
      <alignment horizontal="center" vertical="center" textRotation="0" wrapText="false" indent="0" shrinkToFit="false"/>
      <protection locked="true" hidden="false"/>
    </xf>
    <xf numFmtId="178" fontId="57" fillId="5" borderId="1" xfId="0" applyFont="true" applyBorder="true" applyAlignment="true" applyProtection="false">
      <alignment horizontal="center" vertical="center" textRotation="0" wrapText="false" indent="0" shrinkToFit="false"/>
      <protection locked="true" hidden="false"/>
    </xf>
    <xf numFmtId="167" fontId="58" fillId="0" borderId="1" xfId="0" applyFont="true" applyBorder="true" applyAlignment="true" applyProtection="false">
      <alignment horizontal="center" vertical="center" textRotation="0" wrapText="false" indent="0" shrinkToFit="false"/>
      <protection locked="true" hidden="false"/>
    </xf>
    <xf numFmtId="164" fontId="57" fillId="5" borderId="1"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general" vertical="center" textRotation="0" wrapText="true" indent="0" shrinkToFit="false"/>
      <protection locked="true" hidden="false"/>
    </xf>
    <xf numFmtId="164" fontId="38" fillId="10" borderId="1" xfId="0" applyFont="true" applyBorder="true" applyAlignment="true" applyProtection="false">
      <alignment horizontal="center" vertical="center" textRotation="0" wrapText="true" indent="0" shrinkToFit="false"/>
      <protection locked="true" hidden="false"/>
    </xf>
    <xf numFmtId="164" fontId="59" fillId="5" borderId="1" xfId="0" applyFont="true" applyBorder="true" applyAlignment="true" applyProtection="false">
      <alignment horizontal="center" vertical="center" textRotation="0" wrapText="false" indent="0" shrinkToFit="false"/>
      <protection locked="true" hidden="false"/>
    </xf>
    <xf numFmtId="167" fontId="19" fillId="5" borderId="1" xfId="0" applyFont="true" applyBorder="true" applyAlignment="true" applyProtection="false">
      <alignment horizontal="center" vertical="center" textRotation="0" wrapText="false" indent="0" shrinkToFit="false"/>
      <protection locked="true" hidden="false"/>
    </xf>
    <xf numFmtId="164" fontId="49" fillId="0" borderId="1" xfId="0" applyFont="true" applyBorder="true" applyAlignment="true" applyProtection="false">
      <alignment horizontal="center" vertical="center" textRotation="0" wrapText="false" indent="0" shrinkToFit="false"/>
      <protection locked="true" hidden="false"/>
    </xf>
    <xf numFmtId="178" fontId="19" fillId="5" borderId="1" xfId="0" applyFont="true" applyBorder="true" applyAlignment="true" applyProtection="false">
      <alignment horizontal="center" vertical="center" textRotation="0" wrapText="false" indent="0" shrinkToFit="false"/>
      <protection locked="true" hidden="false"/>
    </xf>
    <xf numFmtId="164" fontId="30" fillId="0" borderId="6" xfId="0" applyFont="true" applyBorder="true" applyAlignment="true" applyProtection="false">
      <alignment horizontal="left" vertical="center" textRotation="0" wrapText="true" indent="0" shrinkToFit="false"/>
      <protection locked="true" hidden="false"/>
    </xf>
    <xf numFmtId="172" fontId="19" fillId="5" borderId="1" xfId="0" applyFont="true" applyBorder="true" applyAlignment="true" applyProtection="false">
      <alignment horizontal="center" vertical="center" textRotation="0" wrapText="false" indent="0" shrinkToFit="false"/>
      <protection locked="true" hidden="false"/>
    </xf>
    <xf numFmtId="169" fontId="19" fillId="5" borderId="1" xfId="0" applyFont="true" applyBorder="true" applyAlignment="true" applyProtection="false">
      <alignment horizontal="center" vertical="center" textRotation="0" wrapText="false" indent="0" shrinkToFit="false"/>
      <protection locked="true" hidden="false"/>
    </xf>
    <xf numFmtId="167" fontId="45" fillId="0" borderId="1" xfId="0" applyFont="true" applyBorder="true" applyAlignment="true" applyProtection="false">
      <alignment horizontal="center" vertical="center" textRotation="0" wrapText="false" indent="0" shrinkToFit="false"/>
      <protection locked="true" hidden="false"/>
    </xf>
    <xf numFmtId="167" fontId="49" fillId="0" borderId="1" xfId="0" applyFont="true" applyBorder="true" applyAlignment="true" applyProtection="false">
      <alignment horizontal="center" vertical="center" textRotation="0" wrapText="false" indent="0" shrinkToFit="false"/>
      <protection locked="true" hidden="false"/>
    </xf>
    <xf numFmtId="164" fontId="60"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30" fillId="0" borderId="0" xfId="0" applyFont="true" applyBorder="true" applyAlignment="true" applyProtection="false">
      <alignment horizontal="general" vertical="bottom" textRotation="0" wrapText="true" indent="0" shrinkToFit="false"/>
      <protection locked="true" hidden="false"/>
    </xf>
    <xf numFmtId="172" fontId="21" fillId="11" borderId="1" xfId="0" applyFont="true" applyBorder="true" applyAlignment="true" applyProtection="false">
      <alignment horizontal="center" vertical="center" textRotation="0" wrapText="false" indent="0" shrinkToFit="false"/>
      <protection locked="true" hidden="false"/>
    </xf>
    <xf numFmtId="164" fontId="44" fillId="11"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left" vertical="top" textRotation="0" wrapText="true" indent="0" shrinkToFit="false"/>
      <protection locked="true" hidden="false"/>
    </xf>
    <xf numFmtId="164" fontId="44" fillId="11"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72" fontId="24" fillId="0" borderId="0" xfId="0" applyFont="true" applyBorder="false" applyAlignment="true" applyProtection="false">
      <alignment horizontal="general" vertical="bottom" textRotation="0" wrapText="false" indent="0" shrinkToFit="false"/>
      <protection locked="true" hidden="false"/>
    </xf>
    <xf numFmtId="179" fontId="24" fillId="0" borderId="0" xfId="0" applyFont="true" applyBorder="false" applyAlignment="true" applyProtection="false">
      <alignment horizontal="general" vertical="bottom" textRotation="0" wrapText="false" indent="0" shrinkToFit="false"/>
      <protection locked="true" hidden="false"/>
    </xf>
    <xf numFmtId="164" fontId="24" fillId="0" borderId="7" xfId="0" applyFont="true" applyBorder="true" applyAlignment="true" applyProtection="false">
      <alignment horizontal="center" vertical="center" textRotation="0" wrapText="false" indent="0" shrinkToFit="false"/>
      <protection locked="true" hidden="false"/>
    </xf>
    <xf numFmtId="164" fontId="24" fillId="0" borderId="7" xfId="0" applyFont="true" applyBorder="true" applyAlignment="true" applyProtection="false">
      <alignment horizontal="general" vertical="center" textRotation="0" wrapText="true" indent="0" shrinkToFit="false"/>
      <protection locked="true" hidden="false"/>
    </xf>
    <xf numFmtId="172" fontId="24" fillId="0" borderId="7" xfId="0" applyFont="true" applyBorder="true" applyAlignment="true" applyProtection="false">
      <alignment horizontal="center" vertical="center" textRotation="0" wrapText="false" indent="0" shrinkToFit="false"/>
      <protection locked="true" hidden="false"/>
    </xf>
    <xf numFmtId="164" fontId="24" fillId="0"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2" fontId="24" fillId="0" borderId="7" xfId="0" applyFont="true" applyBorder="true" applyAlignment="true" applyProtection="false">
      <alignment horizontal="general" vertical="center" textRotation="0" wrapText="false" indent="0" shrinkToFit="false"/>
      <protection locked="true" hidden="false"/>
    </xf>
    <xf numFmtId="179" fontId="0" fillId="0" borderId="7" xfId="0" applyFont="fals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4" fontId="61"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62" fillId="2" borderId="0" xfId="0" applyFont="true" applyBorder="true" applyAlignment="true" applyProtection="false">
      <alignment horizontal="general" vertical="bottom" textRotation="0" wrapText="false" indent="0" shrinkToFit="false"/>
      <protection locked="true" hidden="false"/>
    </xf>
    <xf numFmtId="164" fontId="63" fillId="3" borderId="0" xfId="0" applyFont="true" applyBorder="false" applyAlignment="true" applyProtection="false">
      <alignment horizontal="center" vertical="center" textRotation="0" wrapText="true" indent="0" shrinkToFit="false"/>
      <protection locked="true" hidden="false"/>
    </xf>
    <xf numFmtId="164" fontId="64" fillId="0" borderId="0" xfId="0" applyFont="true" applyBorder="false" applyAlignment="true" applyProtection="false">
      <alignment horizontal="left" vertical="top" textRotation="0" wrapText="true" indent="0" shrinkToFit="false"/>
      <protection locked="true" hidden="false"/>
    </xf>
    <xf numFmtId="164" fontId="64"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ont>
        <b val="1"/>
        <color rgb="FF9C0006"/>
      </font>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002060"/>
          <bgColor rgb="FF000000"/>
        </patternFill>
      </fill>
    </dxf>
    <dxf>
      <fill>
        <patternFill patternType="solid">
          <fgColor rgb="FFFFFFFF"/>
          <bgColor rgb="FF000000"/>
        </patternFill>
      </fill>
    </dxf>
    <dxf>
      <fill>
        <patternFill patternType="solid">
          <fgColor rgb="FFEBF1DE"/>
          <bgColor rgb="FF000000"/>
        </patternFill>
      </fill>
    </dxf>
    <dxf>
      <fill>
        <patternFill patternType="solid">
          <fgColor rgb="FF9C0006"/>
          <bgColor rgb="FF000000"/>
        </patternFill>
      </fill>
    </dxf>
    <dxf>
      <font>
        <color rgb="FF9C0006"/>
      </font>
    </dxf>
    <dxf>
      <fill>
        <patternFill patternType="solid">
          <fgColor rgb="FFDDEBF7"/>
          <bgColor rgb="FF000000"/>
        </patternFill>
      </fill>
    </dxf>
    <dxf>
      <fill>
        <patternFill patternType="solid">
          <fgColor rgb="FFDDD9C3"/>
          <bgColor rgb="FF000000"/>
        </patternFill>
      </fill>
    </dxf>
    <dxf>
      <fill>
        <patternFill patternType="solid">
          <fgColor rgb="FFFCE4D6"/>
          <bgColor rgb="FF000000"/>
        </patternFill>
      </fill>
    </dxf>
    <dxf>
      <fill>
        <patternFill patternType="solid">
          <fgColor rgb="FFC65911"/>
          <bgColor rgb="FF000000"/>
        </patternFill>
      </fill>
    </dxf>
    <dxf>
      <fill>
        <patternFill patternType="solid">
          <fgColor rgb="FFC6EFCE"/>
          <bgColor rgb="FF000000"/>
        </patternFill>
      </fill>
    </dxf>
    <dxf>
      <fill>
        <patternFill patternType="solid">
          <fgColor rgb="FFE2EFDA"/>
          <bgColor rgb="FF000000"/>
        </patternFill>
      </fill>
    </dxf>
    <dxf>
      <fill>
        <patternFill patternType="solid">
          <fgColor rgb="FF006100"/>
          <bgColor rgb="FF000000"/>
        </patternFill>
      </fill>
    </dxf>
    <dxf>
      <fill>
        <patternFill patternType="solid">
          <fgColor rgb="FF375623"/>
          <bgColor rgb="FF000000"/>
        </patternFill>
      </fill>
    </dxf>
    <dxf>
      <font>
        <b val="1"/>
        <color rgb="FF006100"/>
      </font>
      <fill>
        <patternFill>
          <bgColor rgb="FFC6EFCE"/>
        </patternFill>
      </fill>
    </dxf>
    <dxf>
      <font>
        <b val="1"/>
        <color rgb="FF375623"/>
      </font>
      <fill>
        <patternFill>
          <bgColor rgb="FFE2EFDA"/>
        </patternFill>
      </fill>
    </dxf>
    <dxf>
      <font>
        <b val="1"/>
        <color rgb="FF9C6500"/>
      </font>
      <fill>
        <patternFill>
          <bgColor rgb="FFFFEB9C"/>
        </patternFill>
      </fill>
    </dxf>
    <dxf>
      <font>
        <b val="1"/>
        <color rgb="FFC65911"/>
      </font>
      <fill>
        <patternFill>
          <bgColor rgb="FFFCE4D6"/>
        </patternFill>
      </fill>
    </dxf>
    <dxf>
      <font>
        <color rgb="FF006100"/>
      </font>
      <fill>
        <patternFill>
          <bgColor rgb="FFC6EFCE"/>
        </patternFill>
      </fill>
    </dxf>
    <dxf>
      <fill>
        <patternFill patternType="solid">
          <fgColor rgb="FFFFEB9C"/>
          <bgColor rgb="FF000000"/>
        </patternFill>
      </fill>
    </dxf>
    <dxf>
      <fill>
        <patternFill patternType="solid">
          <fgColor rgb="FF9C6500"/>
          <bgColor rgb="FF000000"/>
        </patternFill>
      </fill>
    </dxf>
    <dxf>
      <fill>
        <patternFill patternType="solid">
          <fgColor rgb="FFFFC7CE"/>
          <bgColor rgb="FF000000"/>
        </patternFill>
      </fill>
    </dxf>
    <dxf>
      <fill>
        <patternFill patternType="solid">
          <fgColor rgb="FF833C0C"/>
          <bgColor rgb="FF000000"/>
        </patternFill>
      </fill>
    </dxf>
    <dxf>
      <font>
        <color rgb="FF9C0006"/>
      </font>
      <fill>
        <patternFill>
          <bgColor rgb="FFFFC7CE"/>
        </patternFill>
      </fill>
    </dxf>
    <dxf>
      <font>
        <b val="1"/>
        <color rgb="FF7F6000"/>
      </font>
      <fill>
        <patternFill>
          <bgColor rgb="FFFFF2CC"/>
        </patternFill>
      </fill>
    </dxf>
    <dxf>
      <fill>
        <patternFill patternType="solid">
          <fgColor rgb="FFECF4FA"/>
          <bgColor rgb="FF000000"/>
        </patternFill>
      </fill>
    </dxf>
  </dxfs>
  <colors>
    <indexedColors>
      <rgbColor rgb="FF000000"/>
      <rgbColor rgb="FFFFFFFF"/>
      <rgbColor rgb="FFFF0000"/>
      <rgbColor rgb="FF00FF00"/>
      <rgbColor rgb="FF0000FF"/>
      <rgbColor rgb="FFE2EFDA"/>
      <rgbColor rgb="FFFF00FF"/>
      <rgbColor rgb="FF00FFFF"/>
      <rgbColor rgb="FF9C0006"/>
      <rgbColor rgb="FF006100"/>
      <rgbColor rgb="FF000080"/>
      <rgbColor rgb="FF7F6000"/>
      <rgbColor rgb="FF800080"/>
      <rgbColor rgb="FF008080"/>
      <rgbColor rgb="FFB3B3B3"/>
      <rgbColor rgb="FF808080"/>
      <rgbColor rgb="FF9999FF"/>
      <rgbColor rgb="FF9C6500"/>
      <rgbColor rgb="FFFFF2CC"/>
      <rgbColor rgb="FFDDEBF7"/>
      <rgbColor rgb="FF660066"/>
      <rgbColor rgb="FFFF8080"/>
      <rgbColor rgb="FF0066CC"/>
      <rgbColor rgb="FFD9D9D9"/>
      <rgbColor rgb="FF000080"/>
      <rgbColor rgb="FFFF00FF"/>
      <rgbColor rgb="FFEBF1DE"/>
      <rgbColor rgb="FF00FFFF"/>
      <rgbColor rgb="FF800080"/>
      <rgbColor rgb="FF632423"/>
      <rgbColor rgb="FF008080"/>
      <rgbColor rgb="FF0000FF"/>
      <rgbColor rgb="FF00CCFF"/>
      <rgbColor rgb="FFECF4FA"/>
      <rgbColor rgb="FFC6EFCE"/>
      <rgbColor rgb="FFFFEB9C"/>
      <rgbColor rgb="FFDCE6F1"/>
      <rgbColor rgb="FFDDD9C3"/>
      <rgbColor rgb="FFFCE4D6"/>
      <rgbColor rgb="FFFFC7CE"/>
      <rgbColor rgb="FF3366FF"/>
      <rgbColor rgb="FF33CCCC"/>
      <rgbColor rgb="FF99CC00"/>
      <rgbColor rgb="FFFFCC00"/>
      <rgbColor rgb="FFFF9900"/>
      <rgbColor rgb="FFC65911"/>
      <rgbColor rgb="FF4F81BD"/>
      <rgbColor rgb="FF999999"/>
      <rgbColor rgb="FF002060"/>
      <rgbColor rgb="FF339966"/>
      <rgbColor rgb="FF003300"/>
      <rgbColor rgb="FF375623"/>
      <rgbColor rgb="FF833C0C"/>
      <rgbColor rgb="FF993366"/>
      <rgbColor rgb="FF2E5090"/>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ADBE</a:t>
            </a:r>
          </a:p>
        </c:rich>
      </c:tx>
      <c:overlay val="0"/>
      <c:spPr>
        <a:noFill/>
        <a:ln w="0">
          <a:noFill/>
        </a:ln>
      </c:spPr>
    </c:title>
    <c:autoTitleDeleted val="0"/>
    <c:plotArea>
      <c:barChart>
        <c:barDir val="col"/>
        <c:grouping val="clustered"/>
        <c:varyColors val="0"/>
        <c:ser>
          <c:idx val="0"/>
          <c:order val="0"/>
          <c:tx>
            <c:strRef>
              <c:f>'Returns (Calc)'!$B$2</c:f>
              <c:strCache>
                <c:ptCount val="1"/>
                <c:pt idx="0">
                  <c:v>ADBE</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(Calc)'!$B$3:$B$500</c:f>
              <c:numCache>
                <c:formatCode>0.0%</c:formatCode>
                <c:ptCount val="498"/>
                <c:pt idx="0">
                  <c:v>-0.0302331297623325</c:v>
                </c:pt>
                <c:pt idx="1">
                  <c:v>-0.00584909339052442</c:v>
                </c:pt>
                <c:pt idx="2">
                  <c:v>0.0329084134143949</c:v>
                </c:pt>
                <c:pt idx="3">
                  <c:v>0.0419229892914104</c:v>
                </c:pt>
                <c:pt idx="4">
                  <c:v>-0.0142138639842553</c:v>
                </c:pt>
                <c:pt idx="5">
                  <c:v>-0.0607068914522331</c:v>
                </c:pt>
                <c:pt idx="6">
                  <c:v>0.10930488860899</c:v>
                </c:pt>
                <c:pt idx="7">
                  <c:v>0.0595394386687012</c:v>
                </c:pt>
                <c:pt idx="8">
                  <c:v>0.00910887110277603</c:v>
                </c:pt>
                <c:pt idx="9">
                  <c:v>0.02782663525039</c:v>
                </c:pt>
                <c:pt idx="10">
                  <c:v>-0.0112361364480247</c:v>
                </c:pt>
                <c:pt idx="11">
                  <c:v>-0.00401652325828206</c:v>
                </c:pt>
                <c:pt idx="12">
                  <c:v>-0.0415239094441076</c:v>
                </c:pt>
                <c:pt idx="13">
                  <c:v>0.0240644455086545</c:v>
                </c:pt>
                <c:pt idx="14">
                  <c:v>-0.00359081419624219</c:v>
                </c:pt>
                <c:pt idx="15">
                  <c:v>-0.0536372779081462</c:v>
                </c:pt>
                <c:pt idx="16">
                  <c:v>0.0565710237336166</c:v>
                </c:pt>
                <c:pt idx="17">
                  <c:v>0.0251617661850001</c:v>
                </c:pt>
                <c:pt idx="18">
                  <c:v>0.00389175047011681</c:v>
                </c:pt>
                <c:pt idx="19">
                  <c:v>0.0339289495545096</c:v>
                </c:pt>
                <c:pt idx="20">
                  <c:v>-0.0118942592475896</c:v>
                </c:pt>
                <c:pt idx="21">
                  <c:v>-0.128425886066868</c:v>
                </c:pt>
                <c:pt idx="22">
                  <c:v>0.0124025902754914</c:v>
                </c:pt>
                <c:pt idx="23">
                  <c:v>0.0316023417172591</c:v>
                </c:pt>
                <c:pt idx="24">
                  <c:v>-0.0336994027288807</c:v>
                </c:pt>
                <c:pt idx="25">
                  <c:v>-0.107361017962987</c:v>
                </c:pt>
                <c:pt idx="26">
                  <c:v>0.0143361897412988</c:v>
                </c:pt>
                <c:pt idx="27">
                  <c:v>0.0101697629724535</c:v>
                </c:pt>
                <c:pt idx="28">
                  <c:v>-0.0386048355132779</c:v>
                </c:pt>
                <c:pt idx="29">
                  <c:v>-0.0227366424802111</c:v>
                </c:pt>
                <c:pt idx="30">
                  <c:v>-0.0191313885549157</c:v>
                </c:pt>
                <c:pt idx="31">
                  <c:v>0.0269665820824911</c:v>
                </c:pt>
                <c:pt idx="32">
                  <c:v>0.0180500879470642</c:v>
                </c:pt>
                <c:pt idx="33">
                  <c:v>-0.00800115183676819</c:v>
                </c:pt>
                <c:pt idx="34">
                  <c:v>0.00236372307118127</c:v>
                </c:pt>
                <c:pt idx="35">
                  <c:v>-0.0165484144550401</c:v>
                </c:pt>
                <c:pt idx="36">
                  <c:v>-0.0645100225059421</c:v>
                </c:pt>
                <c:pt idx="37">
                  <c:v>0.0464745031027971</c:v>
                </c:pt>
                <c:pt idx="38">
                  <c:v>0.128655222052725</c:v>
                </c:pt>
                <c:pt idx="39">
                  <c:v>0.0154765757362321</c:v>
                </c:pt>
                <c:pt idx="40">
                  <c:v>0.0414292141571684</c:v>
                </c:pt>
                <c:pt idx="41">
                  <c:v>0.0410411491521765</c:v>
                </c:pt>
                <c:pt idx="42">
                  <c:v>-0.0333540823736903</c:v>
                </c:pt>
                <c:pt idx="43">
                  <c:v>-0.0143994276003935</c:v>
                </c:pt>
                <c:pt idx="44">
                  <c:v>-0.0155353901996369</c:v>
                </c:pt>
                <c:pt idx="45">
                  <c:v>-0.0299941007300348</c:v>
                </c:pt>
                <c:pt idx="46">
                  <c:v>0.0192523328962122</c:v>
                </c:pt>
                <c:pt idx="47">
                  <c:v>0.0319970165951895</c:v>
                </c:pt>
                <c:pt idx="48">
                  <c:v>0.00874498608752194</c:v>
                </c:pt>
                <c:pt idx="49">
                  <c:v>0.0288554540569586</c:v>
                </c:pt>
                <c:pt idx="50">
                  <c:v>-0.0191500844344632</c:v>
                </c:pt>
                <c:pt idx="51">
                  <c:v>-0.0471060151577004</c:v>
                </c:pt>
                <c:pt idx="52">
                  <c:v>-0.0271387859258294</c:v>
                </c:pt>
                <c:pt idx="53">
                  <c:v>-0.0130576297147232</c:v>
                </c:pt>
                <c:pt idx="54">
                  <c:v>-0.0160239000543183</c:v>
                </c:pt>
                <c:pt idx="55">
                  <c:v>-0.0232640668743346</c:v>
                </c:pt>
                <c:pt idx="56">
                  <c:v>-0.0010496144685318</c:v>
                </c:pt>
                <c:pt idx="57">
                  <c:v>-0.0225904223075368</c:v>
                </c:pt>
                <c:pt idx="58">
                  <c:v>-0.00190192673447454</c:v>
                </c:pt>
                <c:pt idx="59">
                  <c:v>0.0246064623032312</c:v>
                </c:pt>
                <c:pt idx="60">
                  <c:v>0.0175669119430744</c:v>
                </c:pt>
                <c:pt idx="61">
                  <c:v>0.0174424379680951</c:v>
                </c:pt>
                <c:pt idx="62">
                  <c:v>0.00738065020013656</c:v>
                </c:pt>
                <c:pt idx="63">
                  <c:v>0.0717733025798075</c:v>
                </c:pt>
                <c:pt idx="64">
                  <c:v>-0.157823350694445</c:v>
                </c:pt>
                <c:pt idx="65">
                  <c:v>-0.0397689450063347</c:v>
                </c:pt>
                <c:pt idx="66">
                  <c:v>-0.00154303732361294</c:v>
                </c:pt>
                <c:pt idx="67">
                  <c:v>-0.0356342949292242</c:v>
                </c:pt>
                <c:pt idx="68">
                  <c:v>-0.0572496922683884</c:v>
                </c:pt>
                <c:pt idx="69">
                  <c:v>0.0592973985021679</c:v>
                </c:pt>
                <c:pt idx="70">
                  <c:v>0.0125351752366334</c:v>
                </c:pt>
                <c:pt idx="71">
                  <c:v>0.00475446736184471</c:v>
                </c:pt>
                <c:pt idx="72">
                  <c:v>-0.0100125728654703</c:v>
                </c:pt>
                <c:pt idx="73">
                  <c:v>0.0625533978340684</c:v>
                </c:pt>
                <c:pt idx="74">
                  <c:v>-0.03442280945758</c:v>
                </c:pt>
                <c:pt idx="75">
                  <c:v>-0.0129636298163486</c:v>
                </c:pt>
                <c:pt idx="76">
                  <c:v>0.0247172564757387</c:v>
                </c:pt>
                <c:pt idx="77">
                  <c:v>-0.121628838451268</c:v>
                </c:pt>
                <c:pt idx="78">
                  <c:v>-0.0189491817398795</c:v>
                </c:pt>
                <c:pt idx="79">
                  <c:v>-0.00400247895470751</c:v>
                </c:pt>
                <c:pt idx="80">
                  <c:v>-0.0949936480775712</c:v>
                </c:pt>
                <c:pt idx="81">
                  <c:v>0.00974016672873646</c:v>
                </c:pt>
                <c:pt idx="82">
                  <c:v>-0.0104122336652765</c:v>
                </c:pt>
                <c:pt idx="83">
                  <c:v>0.0542431192660551</c:v>
                </c:pt>
                <c:pt idx="84">
                  <c:v>0.0357609050364407</c:v>
                </c:pt>
                <c:pt idx="85">
                  <c:v>0.00632761834746765</c:v>
                </c:pt>
                <c:pt idx="86">
                  <c:v>0.088316635357963</c:v>
                </c:pt>
                <c:pt idx="87">
                  <c:v>-0.0226308345120226</c:v>
                </c:pt>
                <c:pt idx="88">
                  <c:v>0.018151046137997</c:v>
                </c:pt>
                <c:pt idx="89">
                  <c:v>0.00440868245440762</c:v>
                </c:pt>
                <c:pt idx="90">
                  <c:v>-0.06053919217116</c:v>
                </c:pt>
                <c:pt idx="91">
                  <c:v>-0.0376838235294117</c:v>
                </c:pt>
                <c:pt idx="92">
                  <c:v>0.0236389684813754</c:v>
                </c:pt>
                <c:pt idx="93">
                  <c:v>-0.0168986341134696</c:v>
                </c:pt>
                <c:pt idx="94">
                  <c:v>-0.0420764018876381</c:v>
                </c:pt>
                <c:pt idx="95">
                  <c:v>0.00671528828952805</c:v>
                </c:pt>
                <c:pt idx="96">
                  <c:v>0.0135323546297055</c:v>
                </c:pt>
                <c:pt idx="97">
                  <c:v>-0.06187624750499</c:v>
                </c:pt>
                <c:pt idx="98">
                  <c:v>-0.0194077055779184</c:v>
                </c:pt>
                <c:pt idx="99">
                  <c:v>0.0404632751795924</c:v>
                </c:pt>
                <c:pt idx="100">
                  <c:v>0.0204029871776805</c:v>
                </c:pt>
                <c:pt idx="101">
                  <c:v>-0.0148858018724626</c:v>
                </c:pt>
                <c:pt idx="102">
                  <c:v>-0.0216708718811325</c:v>
                </c:pt>
                <c:pt idx="103">
                  <c:v>0.00111757457661121</c:v>
                </c:pt>
                <c:pt idx="104">
                  <c:v>0.0473437142202884</c:v>
                </c:pt>
                <c:pt idx="105">
                  <c:v>-0.0151134189669307</c:v>
                </c:pt>
                <c:pt idx="106">
                  <c:v>-0.0378222382551267</c:v>
                </c:pt>
                <c:pt idx="107">
                  <c:v>-0.026619368979639</c:v>
                </c:pt>
                <c:pt idx="108">
                  <c:v>-0.0125922194897929</c:v>
                </c:pt>
                <c:pt idx="109">
                  <c:v>0.0607933745423992</c:v>
                </c:pt>
                <c:pt idx="110">
                  <c:v>-0.037367051369088</c:v>
                </c:pt>
                <c:pt idx="111">
                  <c:v>-0.0392583232934678</c:v>
                </c:pt>
                <c:pt idx="112">
                  <c:v>0.0127236580516898</c:v>
                </c:pt>
                <c:pt idx="113">
                  <c:v>-0.0208993989912718</c:v>
                </c:pt>
                <c:pt idx="114">
                  <c:v>-0.0125235201579321</c:v>
                </c:pt>
                <c:pt idx="115">
                  <c:v>0.0816230906194357</c:v>
                </c:pt>
                <c:pt idx="116">
                  <c:v>0.0293709928955122</c:v>
                </c:pt>
                <c:pt idx="117">
                  <c:v>-0.00159919198720648</c:v>
                </c:pt>
                <c:pt idx="118">
                  <c:v>-0.00578879334569771</c:v>
                </c:pt>
                <c:pt idx="119">
                  <c:v>-0.0579423403052572</c:v>
                </c:pt>
                <c:pt idx="120">
                  <c:v>0.00195019501950178</c:v>
                </c:pt>
                <c:pt idx="121">
                  <c:v>-0.113280431202276</c:v>
                </c:pt>
                <c:pt idx="122">
                  <c:v>0.0167161961367013</c:v>
                </c:pt>
                <c:pt idx="123">
                  <c:v>-0.025974025974026</c:v>
                </c:pt>
                <c:pt idx="124">
                  <c:v>-0.0848081841432226</c:v>
                </c:pt>
                <c:pt idx="125">
                  <c:v>-0.016431924882629</c:v>
                </c:pt>
                <c:pt idx="126">
                  <c:v>-0.0203053377277721</c:v>
                </c:pt>
                <c:pt idx="127">
                  <c:v>0.0146939406828817</c:v>
                </c:pt>
                <c:pt idx="128">
                  <c:v>0.0808277123585228</c:v>
                </c:pt>
                <c:pt idx="129">
                  <c:v>-0.120936464283196</c:v>
                </c:pt>
                <c:pt idx="130">
                  <c:v>-0.0046927643189475</c:v>
                </c:pt>
                <c:pt idx="131">
                  <c:v>-0.0536369131573645</c:v>
                </c:pt>
                <c:pt idx="132">
                  <c:v>0.0344064043604155</c:v>
                </c:pt>
                <c:pt idx="133">
                  <c:v>-0.07232833854767</c:v>
                </c:pt>
                <c:pt idx="134">
                  <c:v>0.0847570445972932</c:v>
                </c:pt>
                <c:pt idx="135">
                  <c:v>0.0040499079566374</c:v>
                </c:pt>
                <c:pt idx="136">
                  <c:v>0.0214716427640156</c:v>
                </c:pt>
                <c:pt idx="137">
                  <c:v>0.00929360615850983</c:v>
                </c:pt>
                <c:pt idx="138">
                  <c:v>-0.0214985773000316</c:v>
                </c:pt>
                <c:pt idx="139">
                  <c:v>-0.011470113085622</c:v>
                </c:pt>
                <c:pt idx="140">
                  <c:v>0.0590374244157541</c:v>
                </c:pt>
                <c:pt idx="141">
                  <c:v>-0.0299756953821225</c:v>
                </c:pt>
                <c:pt idx="142">
                  <c:v>-0.188593700286351</c:v>
                </c:pt>
                <c:pt idx="143">
                  <c:v>-0.0434271149887266</c:v>
                </c:pt>
                <c:pt idx="144">
                  <c:v>0.0387886862061897</c:v>
                </c:pt>
                <c:pt idx="145">
                  <c:v>0.0838060474522764</c:v>
                </c:pt>
                <c:pt idx="146">
                  <c:v>0.0178408884034225</c:v>
                </c:pt>
                <c:pt idx="147">
                  <c:v>0.0608567340368449</c:v>
                </c:pt>
                <c:pt idx="148">
                  <c:v>-0.0511696522655426</c:v>
                </c:pt>
                <c:pt idx="149">
                  <c:v>0.112389498467416</c:v>
                </c:pt>
                <c:pt idx="150">
                  <c:v>0.0591030709636196</c:v>
                </c:pt>
                <c:pt idx="151">
                  <c:v>-0.00448701029372944</c:v>
                </c:pt>
                <c:pt idx="152">
                  <c:v>0.0427240360578745</c:v>
                </c:pt>
                <c:pt idx="153">
                  <c:v>0.0589175444969123</c:v>
                </c:pt>
                <c:pt idx="154">
                  <c:v>-0.0857917124039517</c:v>
                </c:pt>
                <c:pt idx="155">
                  <c:v>-0.0535814791189824</c:v>
                </c:pt>
                <c:pt idx="156">
                  <c:v>-0.0131229433453594</c:v>
                </c:pt>
                <c:pt idx="157">
                  <c:v>-0.0540334243933793</c:v>
                </c:pt>
                <c:pt idx="158">
                  <c:v>-0.0189408417208137</c:v>
                </c:pt>
                <c:pt idx="159">
                  <c:v>0.153673001168781</c:v>
                </c:pt>
              </c:numCache>
            </c:numRef>
          </c:val>
        </c:ser>
        <c:gapWidth val="150"/>
        <c:overlap val="0"/>
        <c:axId val="38352919"/>
        <c:axId val="27692962"/>
      </c:barChart>
      <c:lineChart>
        <c:grouping val="standard"/>
        <c:varyColors val="0"/>
        <c:ser>
          <c:idx val="1"/>
          <c:order val="1"/>
          <c:tx>
            <c:strRef>
              <c:f>'Returns (Calc)'!$W$2</c:f>
              <c:strCache>
                <c:ptCount val="1"/>
                <c:pt idx="0">
                  <c:v>ADBE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(Calc)'!$W$3:$W$500</c:f>
              <c:numCache>
                <c:formatCode>General</c:formatCode>
                <c:ptCount val="498"/>
              </c:numCache>
            </c:numRef>
          </c:val>
          <c:smooth val="0"/>
        </c:ser>
        <c:hiLowLines>
          <c:spPr>
            <a:ln w="0">
              <a:noFill/>
            </a:ln>
          </c:spPr>
        </c:hiLowLines>
        <c:marker val="0"/>
        <c:axId val="36470385"/>
        <c:axId val="52757308"/>
      </c:lineChart>
      <c:dateAx>
        <c:axId val="38352919"/>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7692962"/>
        <c:auto val="1"/>
        <c:lblOffset val="100"/>
        <c:baseTimeUnit val="days"/>
      </c:dateAx>
      <c:valAx>
        <c:axId val="2769296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8352919"/>
        <c:crosses val="autoZero"/>
        <c:crossBetween val="between"/>
      </c:valAx>
      <c:dateAx>
        <c:axId val="36470385"/>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2757308"/>
        <c:auto val="1"/>
        <c:lblOffset val="100"/>
        <c:baseTimeUnit val="days"/>
      </c:dateAx>
      <c:valAx>
        <c:axId val="5275730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6470385"/>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ANET</a:t>
            </a:r>
          </a:p>
        </c:rich>
      </c:tx>
      <c:overlay val="0"/>
      <c:spPr>
        <a:noFill/>
        <a:ln w="0">
          <a:noFill/>
        </a:ln>
      </c:spPr>
    </c:title>
    <c:autoTitleDeleted val="0"/>
    <c:plotArea>
      <c:barChart>
        <c:barDir val="col"/>
        <c:grouping val="clustered"/>
        <c:varyColors val="0"/>
        <c:ser>
          <c:idx val="0"/>
          <c:order val="0"/>
          <c:tx>
            <c:strRef>
              <c:f>'Returns (Calc)'!$C$2</c:f>
              <c:strCache>
                <c:ptCount val="1"/>
                <c:pt idx="0">
                  <c:v>ANET</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(Calc)'!$C$3:$C$500</c:f>
              <c:numCache>
                <c:formatCode>0.0%</c:formatCode>
                <c:ptCount val="498"/>
                <c:pt idx="0">
                  <c:v>-0.0238198354265916</c:v>
                </c:pt>
                <c:pt idx="1">
                  <c:v>0.0199645075421473</c:v>
                </c:pt>
                <c:pt idx="2">
                  <c:v>0.0550239234449761</c:v>
                </c:pt>
                <c:pt idx="3">
                  <c:v>-0.0216450216450216</c:v>
                </c:pt>
                <c:pt idx="4">
                  <c:v>-0.0195954487989887</c:v>
                </c:pt>
                <c:pt idx="5">
                  <c:v>-0.0532989469159683</c:v>
                </c:pt>
                <c:pt idx="6">
                  <c:v>0.205902383654938</c:v>
                </c:pt>
                <c:pt idx="7">
                  <c:v>-0.0265436746987952</c:v>
                </c:pt>
                <c:pt idx="8">
                  <c:v>0.0377103074840455</c:v>
                </c:pt>
                <c:pt idx="9">
                  <c:v>0.0175177040626167</c:v>
                </c:pt>
                <c:pt idx="10">
                  <c:v>-0.00805860805860814</c:v>
                </c:pt>
                <c:pt idx="11">
                  <c:v>0.0341580502215657</c:v>
                </c:pt>
                <c:pt idx="12">
                  <c:v>0.0515979289412605</c:v>
                </c:pt>
                <c:pt idx="13">
                  <c:v>0.0112054329371818</c:v>
                </c:pt>
                <c:pt idx="14">
                  <c:v>-0.0114170584284755</c:v>
                </c:pt>
                <c:pt idx="15">
                  <c:v>-0.0195312500000001</c:v>
                </c:pt>
                <c:pt idx="16">
                  <c:v>0.0914602459726313</c:v>
                </c:pt>
                <c:pt idx="17">
                  <c:v>0.0455483256625933</c:v>
                </c:pt>
                <c:pt idx="18">
                  <c:v>0.00333940497874918</c:v>
                </c:pt>
                <c:pt idx="19">
                  <c:v>0.032980332829047</c:v>
                </c:pt>
                <c:pt idx="20">
                  <c:v>0.0341241944932631</c:v>
                </c:pt>
                <c:pt idx="21">
                  <c:v>-0.0732190907803427</c:v>
                </c:pt>
                <c:pt idx="22">
                  <c:v>0.0226161369193154</c:v>
                </c:pt>
                <c:pt idx="23">
                  <c:v>0.0748655110579797</c:v>
                </c:pt>
                <c:pt idx="24">
                  <c:v>-0.0507437786737106</c:v>
                </c:pt>
                <c:pt idx="25">
                  <c:v>0.0168424135910956</c:v>
                </c:pt>
                <c:pt idx="26">
                  <c:v>0.103413510010082</c:v>
                </c:pt>
                <c:pt idx="27">
                  <c:v>-0.0536483487795327</c:v>
                </c:pt>
                <c:pt idx="28">
                  <c:v>0.0262068965517241</c:v>
                </c:pt>
                <c:pt idx="29">
                  <c:v>-0.0885752688172043</c:v>
                </c:pt>
                <c:pt idx="30">
                  <c:v>-0.0927591800619377</c:v>
                </c:pt>
                <c:pt idx="31">
                  <c:v>0.0757477243172953</c:v>
                </c:pt>
                <c:pt idx="32">
                  <c:v>0.0365669386521605</c:v>
                </c:pt>
                <c:pt idx="33">
                  <c:v>0.144460641399417</c:v>
                </c:pt>
                <c:pt idx="34">
                  <c:v>0.0185963571519552</c:v>
                </c:pt>
                <c:pt idx="35">
                  <c:v>-0.0416406152307115</c:v>
                </c:pt>
                <c:pt idx="36">
                  <c:v>-0.0290970772442589</c:v>
                </c:pt>
                <c:pt idx="37">
                  <c:v>-0.00282220131702715</c:v>
                </c:pt>
                <c:pt idx="38">
                  <c:v>0.106738544474394</c:v>
                </c:pt>
                <c:pt idx="39">
                  <c:v>0.0270336093521675</c:v>
                </c:pt>
                <c:pt idx="40">
                  <c:v>0.0388902063078018</c:v>
                </c:pt>
                <c:pt idx="41">
                  <c:v>0.0447386441451723</c:v>
                </c:pt>
                <c:pt idx="42">
                  <c:v>-0.0116888791785013</c:v>
                </c:pt>
                <c:pt idx="43">
                  <c:v>-0.0865480269702664</c:v>
                </c:pt>
                <c:pt idx="44">
                  <c:v>-0.0343659244917716</c:v>
                </c:pt>
                <c:pt idx="45">
                  <c:v>0.000375939849624141</c:v>
                </c:pt>
                <c:pt idx="46">
                  <c:v>0.0516096705499187</c:v>
                </c:pt>
                <c:pt idx="47">
                  <c:v>0.0538415723645027</c:v>
                </c:pt>
                <c:pt idx="48">
                  <c:v>0.00350401265965861</c:v>
                </c:pt>
                <c:pt idx="49">
                  <c:v>-0.00484343320567704</c:v>
                </c:pt>
                <c:pt idx="50">
                  <c:v>-0.110582908885116</c:v>
                </c:pt>
                <c:pt idx="51">
                  <c:v>0.14456604734029</c:v>
                </c:pt>
                <c:pt idx="52">
                  <c:v>0.0686012897487214</c:v>
                </c:pt>
                <c:pt idx="53">
                  <c:v>-0.0108209343460619</c:v>
                </c:pt>
                <c:pt idx="54">
                  <c:v>0.0412327758493742</c:v>
                </c:pt>
                <c:pt idx="55">
                  <c:v>0.0529346398626125</c:v>
                </c:pt>
                <c:pt idx="56">
                  <c:v>-0.0357862419648853</c:v>
                </c:pt>
                <c:pt idx="57">
                  <c:v>-0.0197014925373135</c:v>
                </c:pt>
                <c:pt idx="58">
                  <c:v>0.000203004466098333</c:v>
                </c:pt>
                <c:pt idx="59">
                  <c:v>0.0159326161964684</c:v>
                </c:pt>
                <c:pt idx="60">
                  <c:v>-0.0650284686844471</c:v>
                </c:pt>
                <c:pt idx="61">
                  <c:v>0.0856837606837608</c:v>
                </c:pt>
                <c:pt idx="62">
                  <c:v>-0.00157449320999814</c:v>
                </c:pt>
                <c:pt idx="63">
                  <c:v>0.0669229252907551</c:v>
                </c:pt>
                <c:pt idx="64">
                  <c:v>0.0380600461893765</c:v>
                </c:pt>
                <c:pt idx="65">
                  <c:v>0.00391563584586629</c:v>
                </c:pt>
                <c:pt idx="66">
                  <c:v>0.00195018172147865</c:v>
                </c:pt>
                <c:pt idx="67">
                  <c:v>0.0191984428912679</c:v>
                </c:pt>
                <c:pt idx="68">
                  <c:v>-0.00746527777777772</c:v>
                </c:pt>
                <c:pt idx="69">
                  <c:v>0.0490641945076089</c:v>
                </c:pt>
                <c:pt idx="70">
                  <c:v>0.0768653605669027</c:v>
                </c:pt>
                <c:pt idx="71">
                  <c:v>-0.107919795618177</c:v>
                </c:pt>
                <c:pt idx="72">
                  <c:v>0.028117677688102</c:v>
                </c:pt>
                <c:pt idx="73">
                  <c:v>-0.0979150839875074</c:v>
                </c:pt>
                <c:pt idx="74">
                  <c:v>-0.0801908861233275</c:v>
                </c:pt>
                <c:pt idx="75">
                  <c:v>-0.0534079348931842</c:v>
                </c:pt>
                <c:pt idx="76">
                  <c:v>-0.10413756045137</c:v>
                </c:pt>
                <c:pt idx="77">
                  <c:v>0.00179942418426116</c:v>
                </c:pt>
                <c:pt idx="78">
                  <c:v>-0.00455035325110775</c:v>
                </c:pt>
                <c:pt idx="79">
                  <c:v>-0.0624323348971491</c:v>
                </c:pt>
                <c:pt idx="80">
                  <c:v>-0.174108288426995</c:v>
                </c:pt>
                <c:pt idx="81">
                  <c:v>0.128942053751748</c:v>
                </c:pt>
                <c:pt idx="82">
                  <c:v>-0.0202284298885372</c:v>
                </c:pt>
                <c:pt idx="83">
                  <c:v>0.0942415730337078</c:v>
                </c:pt>
                <c:pt idx="84">
                  <c:v>0.168271082017713</c:v>
                </c:pt>
                <c:pt idx="85">
                  <c:v>-0.049439683586025</c:v>
                </c:pt>
                <c:pt idx="86">
                  <c:v>0.114424410540916</c:v>
                </c:pt>
                <c:pt idx="87">
                  <c:v>-0.0541381456129434</c:v>
                </c:pt>
                <c:pt idx="88">
                  <c:v>-0.05</c:v>
                </c:pt>
                <c:pt idx="89">
                  <c:v>0.122460757156048</c:v>
                </c:pt>
                <c:pt idx="90">
                  <c:v>-0.0503856041131106</c:v>
                </c:pt>
                <c:pt idx="91">
                  <c:v>-0.0660530590146182</c:v>
                </c:pt>
                <c:pt idx="92">
                  <c:v>0.152347826086957</c:v>
                </c:pt>
                <c:pt idx="93">
                  <c:v>0.0314921018211087</c:v>
                </c:pt>
                <c:pt idx="94">
                  <c:v>0.0590128755364807</c:v>
                </c:pt>
                <c:pt idx="95">
                  <c:v>0.0295661785023489</c:v>
                </c:pt>
                <c:pt idx="96">
                  <c:v>0.0223653605296117</c:v>
                </c:pt>
                <c:pt idx="97">
                  <c:v>0.0287889394469723</c:v>
                </c:pt>
                <c:pt idx="98">
                  <c:v>0.183805392532109</c:v>
                </c:pt>
                <c:pt idx="99">
                  <c:v>-0.0135076878861905</c:v>
                </c:pt>
                <c:pt idx="100">
                  <c:v>-0.029497450837582</c:v>
                </c:pt>
                <c:pt idx="101">
                  <c:v>0.024765478424015</c:v>
                </c:pt>
                <c:pt idx="102">
                  <c:v>0.0461369461735626</c:v>
                </c:pt>
                <c:pt idx="103">
                  <c:v>-0.0242212110605531</c:v>
                </c:pt>
                <c:pt idx="104">
                  <c:v>0.0733194633761392</c:v>
                </c:pt>
                <c:pt idx="105">
                  <c:v>-0.0475235612592742</c:v>
                </c:pt>
                <c:pt idx="106">
                  <c:v>0.0210526315789474</c:v>
                </c:pt>
                <c:pt idx="107">
                  <c:v>0.059106529209622</c:v>
                </c:pt>
                <c:pt idx="108">
                  <c:v>-0.0713822193380922</c:v>
                </c:pt>
                <c:pt idx="109">
                  <c:v>0.0749126484975542</c:v>
                </c:pt>
                <c:pt idx="110">
                  <c:v>0.0251592770771032</c:v>
                </c:pt>
                <c:pt idx="111">
                  <c:v>-0.146109455260321</c:v>
                </c:pt>
                <c:pt idx="112">
                  <c:v>-0.024359450427033</c:v>
                </c:pt>
                <c:pt idx="113">
                  <c:v>-0.106112506660577</c:v>
                </c:pt>
                <c:pt idx="114">
                  <c:v>0.112833177211956</c:v>
                </c:pt>
                <c:pt idx="115">
                  <c:v>-0.015993265993266</c:v>
                </c:pt>
                <c:pt idx="116">
                  <c:v>-0.0297845866708142</c:v>
                </c:pt>
                <c:pt idx="117">
                  <c:v>0.0509778775248477</c:v>
                </c:pt>
                <c:pt idx="118">
                  <c:v>0.00549115314215976</c:v>
                </c:pt>
                <c:pt idx="119">
                  <c:v>0.0133495145631066</c:v>
                </c:pt>
                <c:pt idx="120">
                  <c:v>-0.0801646706586826</c:v>
                </c:pt>
                <c:pt idx="121">
                  <c:v>0.0564732687769551</c:v>
                </c:pt>
                <c:pt idx="122">
                  <c:v>0.0501424940306554</c:v>
                </c:pt>
                <c:pt idx="123">
                  <c:v>0.0396068651899664</c:v>
                </c:pt>
                <c:pt idx="124">
                  <c:v>-0.0299844786228305</c:v>
                </c:pt>
                <c:pt idx="125">
                  <c:v>0.0298203505709507</c:v>
                </c:pt>
                <c:pt idx="126">
                  <c:v>-0.0621512818701887</c:v>
                </c:pt>
                <c:pt idx="127">
                  <c:v>0.00534678816175926</c:v>
                </c:pt>
                <c:pt idx="128">
                  <c:v>-0.0045692883895132</c:v>
                </c:pt>
                <c:pt idx="129">
                  <c:v>0.00511701407178866</c:v>
                </c:pt>
                <c:pt idx="130">
                  <c:v>-0.0175937710563749</c:v>
                </c:pt>
                <c:pt idx="131">
                  <c:v>-0.0796372504191435</c:v>
                </c:pt>
                <c:pt idx="132">
                  <c:v>0.0489359940382546</c:v>
                </c:pt>
                <c:pt idx="133">
                  <c:v>0.163167035048942</c:v>
                </c:pt>
                <c:pt idx="134">
                  <c:v>0.114557176789956</c:v>
                </c:pt>
                <c:pt idx="135">
                  <c:v>0.0772087925470377</c:v>
                </c:pt>
                <c:pt idx="136">
                  <c:v>-0.0237974111129954</c:v>
                </c:pt>
                <c:pt idx="137">
                  <c:v>-0.179096699478865</c:v>
                </c:pt>
                <c:pt idx="138">
                  <c:v>0.00141073569866679</c:v>
                </c:pt>
                <c:pt idx="139">
                  <c:v>0.0849475241248152</c:v>
                </c:pt>
                <c:pt idx="140">
                  <c:v>0.0353177952346946</c:v>
                </c:pt>
                <c:pt idx="141">
                  <c:v>-0.032608014046529</c:v>
                </c:pt>
                <c:pt idx="142">
                  <c:v>0.0581448110455693</c:v>
                </c:pt>
                <c:pt idx="143">
                  <c:v>0.0393898554275911</c:v>
                </c:pt>
                <c:pt idx="144">
                  <c:v>-0.0711380915895562</c:v>
                </c:pt>
                <c:pt idx="145">
                  <c:v>0.0151649746192895</c:v>
                </c:pt>
                <c:pt idx="146">
                  <c:v>0.168573035814738</c:v>
                </c:pt>
                <c:pt idx="147">
                  <c:v>-0.0981493367565254</c:v>
                </c:pt>
                <c:pt idx="148">
                  <c:v>0.0319079532649309</c:v>
                </c:pt>
                <c:pt idx="149">
                  <c:v>0.0365538249324673</c:v>
                </c:pt>
                <c:pt idx="150">
                  <c:v>0.046132520099806</c:v>
                </c:pt>
                <c:pt idx="151">
                  <c:v>0.0537976360841681</c:v>
                </c:pt>
                <c:pt idx="152">
                  <c:v>-0.0511517955940045</c:v>
                </c:pt>
                <c:pt idx="153">
                  <c:v>0.0356745295520806</c:v>
                </c:pt>
                <c:pt idx="154">
                  <c:v>-0.00818916982290918</c:v>
                </c:pt>
                <c:pt idx="155">
                  <c:v>0.0299824543296523</c:v>
                </c:pt>
                <c:pt idx="156">
                  <c:v>-0.00100205421113286</c:v>
                </c:pt>
                <c:pt idx="157">
                  <c:v>0.0359095240483476</c:v>
                </c:pt>
                <c:pt idx="158">
                  <c:v>-0.00789155168240152</c:v>
                </c:pt>
                <c:pt idx="159">
                  <c:v>-0.05436267811829</c:v>
                </c:pt>
              </c:numCache>
            </c:numRef>
          </c:val>
        </c:ser>
        <c:gapWidth val="150"/>
        <c:overlap val="0"/>
        <c:axId val="1162985"/>
        <c:axId val="19385083"/>
      </c:barChart>
      <c:lineChart>
        <c:grouping val="standard"/>
        <c:varyColors val="0"/>
        <c:ser>
          <c:idx val="1"/>
          <c:order val="1"/>
          <c:tx>
            <c:strRef>
              <c:f>'Returns (Calc)'!$X$2</c:f>
              <c:strCache>
                <c:ptCount val="1"/>
                <c:pt idx="0">
                  <c:v>ANET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(Calc)'!$X$3:$X$500</c:f>
              <c:numCache>
                <c:formatCode>#,##0.00</c:formatCode>
                <c:ptCount val="498"/>
                <c:pt idx="0">
                  <c:v>46.18</c:v>
                </c:pt>
                <c:pt idx="1">
                  <c:v>45.8895597484277</c:v>
                </c:pt>
                <c:pt idx="2">
                  <c:v>45.5991194968553</c:v>
                </c:pt>
                <c:pt idx="3">
                  <c:v>45.308679245283</c:v>
                </c:pt>
                <c:pt idx="4">
                  <c:v>45.0182389937107</c:v>
                </c:pt>
                <c:pt idx="5">
                  <c:v>44.7277987421384</c:v>
                </c:pt>
                <c:pt idx="6">
                  <c:v>44.437358490566</c:v>
                </c:pt>
                <c:pt idx="7">
                  <c:v>44.1469182389937</c:v>
                </c:pt>
                <c:pt idx="8">
                  <c:v>43.8564779874214</c:v>
                </c:pt>
                <c:pt idx="9">
                  <c:v>43.5660377358491</c:v>
                </c:pt>
                <c:pt idx="10">
                  <c:v>43.2755974842767</c:v>
                </c:pt>
                <c:pt idx="11">
                  <c:v>42.9851572327044</c:v>
                </c:pt>
                <c:pt idx="12">
                  <c:v>42.6947169811321</c:v>
                </c:pt>
                <c:pt idx="13">
                  <c:v>42.4042767295598</c:v>
                </c:pt>
                <c:pt idx="14">
                  <c:v>42.1138364779874</c:v>
                </c:pt>
                <c:pt idx="15">
                  <c:v>41.8233962264151</c:v>
                </c:pt>
                <c:pt idx="16">
                  <c:v>41.5329559748428</c:v>
                </c:pt>
                <c:pt idx="17">
                  <c:v>41.2425157232704</c:v>
                </c:pt>
                <c:pt idx="18">
                  <c:v>40.9520754716981</c:v>
                </c:pt>
                <c:pt idx="19">
                  <c:v>40.6616352201258</c:v>
                </c:pt>
                <c:pt idx="20">
                  <c:v>40.3711949685535</c:v>
                </c:pt>
                <c:pt idx="21">
                  <c:v>40.0807547169811</c:v>
                </c:pt>
                <c:pt idx="22">
                  <c:v>39.7903144654088</c:v>
                </c:pt>
                <c:pt idx="23">
                  <c:v>39.4998742138365</c:v>
                </c:pt>
                <c:pt idx="24">
                  <c:v>39.2094339622642</c:v>
                </c:pt>
                <c:pt idx="25">
                  <c:v>38.9189937106918</c:v>
                </c:pt>
                <c:pt idx="26">
                  <c:v>38.6285534591195</c:v>
                </c:pt>
                <c:pt idx="27">
                  <c:v>38.3381132075472</c:v>
                </c:pt>
                <c:pt idx="28">
                  <c:v>38.0476729559748</c:v>
                </c:pt>
                <c:pt idx="29">
                  <c:v>37.7572327044025</c:v>
                </c:pt>
                <c:pt idx="30">
                  <c:v>37.4667924528302</c:v>
                </c:pt>
                <c:pt idx="31">
                  <c:v>37.1763522012579</c:v>
                </c:pt>
                <c:pt idx="32">
                  <c:v>36.8859119496855</c:v>
                </c:pt>
                <c:pt idx="33">
                  <c:v>36.5954716981132</c:v>
                </c:pt>
                <c:pt idx="34">
                  <c:v>36.3050314465409</c:v>
                </c:pt>
                <c:pt idx="35">
                  <c:v>36.0145911949686</c:v>
                </c:pt>
                <c:pt idx="36">
                  <c:v>35.7241509433962</c:v>
                </c:pt>
                <c:pt idx="37">
                  <c:v>35.4337106918239</c:v>
                </c:pt>
                <c:pt idx="38">
                  <c:v>35.1432704402516</c:v>
                </c:pt>
                <c:pt idx="39">
                  <c:v>34.8528301886793</c:v>
                </c:pt>
                <c:pt idx="40">
                  <c:v>34.5623899371069</c:v>
                </c:pt>
                <c:pt idx="41">
                  <c:v>34.2719496855346</c:v>
                </c:pt>
                <c:pt idx="42">
                  <c:v>33.9815094339623</c:v>
                </c:pt>
                <c:pt idx="43">
                  <c:v>33.6910691823899</c:v>
                </c:pt>
                <c:pt idx="44">
                  <c:v>33.4006289308176</c:v>
                </c:pt>
                <c:pt idx="45">
                  <c:v>33.1101886792453</c:v>
                </c:pt>
                <c:pt idx="46">
                  <c:v>32.819748427673</c:v>
                </c:pt>
                <c:pt idx="47">
                  <c:v>32.5293081761006</c:v>
                </c:pt>
                <c:pt idx="48">
                  <c:v>32.2388679245283</c:v>
                </c:pt>
                <c:pt idx="49">
                  <c:v>31.948427672956</c:v>
                </c:pt>
                <c:pt idx="50">
                  <c:v>31.6579874213837</c:v>
                </c:pt>
                <c:pt idx="51">
                  <c:v>31.3675471698113</c:v>
                </c:pt>
                <c:pt idx="52">
                  <c:v>31.077106918239</c:v>
                </c:pt>
                <c:pt idx="53">
                  <c:v>30.7866666666667</c:v>
                </c:pt>
                <c:pt idx="54">
                  <c:v>30.4962264150943</c:v>
                </c:pt>
                <c:pt idx="55">
                  <c:v>30.205786163522</c:v>
                </c:pt>
                <c:pt idx="56">
                  <c:v>29.9153459119497</c:v>
                </c:pt>
                <c:pt idx="57">
                  <c:v>29.6249056603774</c:v>
                </c:pt>
                <c:pt idx="58">
                  <c:v>29.334465408805</c:v>
                </c:pt>
                <c:pt idx="59">
                  <c:v>29.0440251572327</c:v>
                </c:pt>
                <c:pt idx="60">
                  <c:v>28.7535849056604</c:v>
                </c:pt>
                <c:pt idx="61">
                  <c:v>28.4631446540881</c:v>
                </c:pt>
                <c:pt idx="62">
                  <c:v>28.1727044025157</c:v>
                </c:pt>
                <c:pt idx="63">
                  <c:v>27.8822641509434</c:v>
                </c:pt>
                <c:pt idx="64">
                  <c:v>27.5918238993711</c:v>
                </c:pt>
                <c:pt idx="65">
                  <c:v>27.3013836477987</c:v>
                </c:pt>
                <c:pt idx="66">
                  <c:v>27.0109433962264</c:v>
                </c:pt>
                <c:pt idx="67">
                  <c:v>26.7205031446541</c:v>
                </c:pt>
                <c:pt idx="68">
                  <c:v>26.4300628930818</c:v>
                </c:pt>
                <c:pt idx="69">
                  <c:v>26.1396226415094</c:v>
                </c:pt>
                <c:pt idx="70">
                  <c:v>25.8491823899371</c:v>
                </c:pt>
                <c:pt idx="71">
                  <c:v>25.5587421383648</c:v>
                </c:pt>
                <c:pt idx="72">
                  <c:v>25.2683018867925</c:v>
                </c:pt>
                <c:pt idx="73">
                  <c:v>24.9778616352201</c:v>
                </c:pt>
                <c:pt idx="74">
                  <c:v>24.6874213836478</c:v>
                </c:pt>
                <c:pt idx="75">
                  <c:v>24.3969811320755</c:v>
                </c:pt>
                <c:pt idx="76">
                  <c:v>24.1065408805031</c:v>
                </c:pt>
                <c:pt idx="77">
                  <c:v>23.8161006289308</c:v>
                </c:pt>
                <c:pt idx="78">
                  <c:v>23.5256603773585</c:v>
                </c:pt>
                <c:pt idx="79">
                  <c:v>23.2352201257862</c:v>
                </c:pt>
                <c:pt idx="80">
                  <c:v>22.9447798742138</c:v>
                </c:pt>
                <c:pt idx="81">
                  <c:v>22.6543396226415</c:v>
                </c:pt>
                <c:pt idx="82">
                  <c:v>22.3638993710692</c:v>
                </c:pt>
                <c:pt idx="83">
                  <c:v>22.0734591194969</c:v>
                </c:pt>
                <c:pt idx="84">
                  <c:v>21.7830188679245</c:v>
                </c:pt>
                <c:pt idx="85">
                  <c:v>21.4925786163522</c:v>
                </c:pt>
                <c:pt idx="86">
                  <c:v>21.2021383647799</c:v>
                </c:pt>
                <c:pt idx="87">
                  <c:v>20.9116981132076</c:v>
                </c:pt>
                <c:pt idx="88">
                  <c:v>20.6212578616352</c:v>
                </c:pt>
                <c:pt idx="89">
                  <c:v>20.3308176100629</c:v>
                </c:pt>
                <c:pt idx="90">
                  <c:v>20.0403773584906</c:v>
                </c:pt>
                <c:pt idx="91">
                  <c:v>19.7499371069182</c:v>
                </c:pt>
                <c:pt idx="92">
                  <c:v>19.4594968553459</c:v>
                </c:pt>
                <c:pt idx="93">
                  <c:v>19.1690566037736</c:v>
                </c:pt>
                <c:pt idx="94">
                  <c:v>18.8786163522013</c:v>
                </c:pt>
                <c:pt idx="95">
                  <c:v>18.5881761006289</c:v>
                </c:pt>
                <c:pt idx="96">
                  <c:v>18.2977358490566</c:v>
                </c:pt>
                <c:pt idx="97">
                  <c:v>18.0072955974843</c:v>
                </c:pt>
                <c:pt idx="98">
                  <c:v>17.716855345912</c:v>
                </c:pt>
                <c:pt idx="99">
                  <c:v>17.4264150943396</c:v>
                </c:pt>
                <c:pt idx="100">
                  <c:v>17.1359748427673</c:v>
                </c:pt>
                <c:pt idx="101">
                  <c:v>16.845534591195</c:v>
                </c:pt>
                <c:pt idx="102">
                  <c:v>16.5550943396226</c:v>
                </c:pt>
                <c:pt idx="103">
                  <c:v>16.2646540880503</c:v>
                </c:pt>
                <c:pt idx="104">
                  <c:v>15.974213836478</c:v>
                </c:pt>
                <c:pt idx="105">
                  <c:v>15.6837735849057</c:v>
                </c:pt>
                <c:pt idx="106">
                  <c:v>15.3933333333333</c:v>
                </c:pt>
                <c:pt idx="107">
                  <c:v>15.102893081761</c:v>
                </c:pt>
                <c:pt idx="108">
                  <c:v>14.8124528301887</c:v>
                </c:pt>
                <c:pt idx="109">
                  <c:v>14.5220125786164</c:v>
                </c:pt>
                <c:pt idx="110">
                  <c:v>14.231572327044</c:v>
                </c:pt>
                <c:pt idx="111">
                  <c:v>13.9411320754717</c:v>
                </c:pt>
                <c:pt idx="112">
                  <c:v>13.6506918238994</c:v>
                </c:pt>
                <c:pt idx="113">
                  <c:v>13.360251572327</c:v>
                </c:pt>
                <c:pt idx="114">
                  <c:v>13.0698113207547</c:v>
                </c:pt>
                <c:pt idx="115">
                  <c:v>12.7793710691824</c:v>
                </c:pt>
                <c:pt idx="116">
                  <c:v>12.4889308176101</c:v>
                </c:pt>
                <c:pt idx="117">
                  <c:v>12.1984905660377</c:v>
                </c:pt>
                <c:pt idx="118">
                  <c:v>11.9080503144654</c:v>
                </c:pt>
                <c:pt idx="119">
                  <c:v>11.6176100628931</c:v>
                </c:pt>
                <c:pt idx="120">
                  <c:v>11.3271698113208</c:v>
                </c:pt>
                <c:pt idx="121">
                  <c:v>11.0367295597484</c:v>
                </c:pt>
                <c:pt idx="122">
                  <c:v>10.7462893081761</c:v>
                </c:pt>
                <c:pt idx="123">
                  <c:v>10.4558490566038</c:v>
                </c:pt>
                <c:pt idx="124">
                  <c:v>10.1654088050314</c:v>
                </c:pt>
                <c:pt idx="125">
                  <c:v>9.87496855345912</c:v>
                </c:pt>
                <c:pt idx="126">
                  <c:v>9.58452830188679</c:v>
                </c:pt>
                <c:pt idx="127">
                  <c:v>9.29408805031446</c:v>
                </c:pt>
                <c:pt idx="128">
                  <c:v>9.00364779874214</c:v>
                </c:pt>
                <c:pt idx="129">
                  <c:v>8.71320754716981</c:v>
                </c:pt>
                <c:pt idx="130">
                  <c:v>8.42276729559749</c:v>
                </c:pt>
                <c:pt idx="131">
                  <c:v>8.13232704402516</c:v>
                </c:pt>
                <c:pt idx="132">
                  <c:v>7.84188679245283</c:v>
                </c:pt>
                <c:pt idx="133">
                  <c:v>7.55144654088051</c:v>
                </c:pt>
                <c:pt idx="134">
                  <c:v>7.26100628930818</c:v>
                </c:pt>
                <c:pt idx="135">
                  <c:v>6.97056603773585</c:v>
                </c:pt>
                <c:pt idx="136">
                  <c:v>6.68012578616352</c:v>
                </c:pt>
                <c:pt idx="137">
                  <c:v>6.38968553459119</c:v>
                </c:pt>
                <c:pt idx="138">
                  <c:v>6.09924528301887</c:v>
                </c:pt>
                <c:pt idx="139">
                  <c:v>5.80880503144655</c:v>
                </c:pt>
                <c:pt idx="140">
                  <c:v>5.51836477987421</c:v>
                </c:pt>
                <c:pt idx="141">
                  <c:v>5.22792452830188</c:v>
                </c:pt>
                <c:pt idx="142">
                  <c:v>4.93748427672956</c:v>
                </c:pt>
                <c:pt idx="143">
                  <c:v>4.64704402515724</c:v>
                </c:pt>
                <c:pt idx="144">
                  <c:v>4.35660377358491</c:v>
                </c:pt>
                <c:pt idx="145">
                  <c:v>4.06616352201257</c:v>
                </c:pt>
                <c:pt idx="146">
                  <c:v>3.77572327044025</c:v>
                </c:pt>
                <c:pt idx="147">
                  <c:v>3.48528301886793</c:v>
                </c:pt>
                <c:pt idx="148">
                  <c:v>3.1948427672956</c:v>
                </c:pt>
                <c:pt idx="149">
                  <c:v>2.90440251572327</c:v>
                </c:pt>
                <c:pt idx="150">
                  <c:v>2.61396226415094</c:v>
                </c:pt>
                <c:pt idx="151">
                  <c:v>2.32352201257861</c:v>
                </c:pt>
                <c:pt idx="152">
                  <c:v>2.03308176100629</c:v>
                </c:pt>
                <c:pt idx="153">
                  <c:v>1.74264150943396</c:v>
                </c:pt>
                <c:pt idx="154">
                  <c:v>1.45220125786163</c:v>
                </c:pt>
                <c:pt idx="155">
                  <c:v>1.16176100628931</c:v>
                </c:pt>
                <c:pt idx="156">
                  <c:v>0.871320754716983</c:v>
                </c:pt>
                <c:pt idx="157">
                  <c:v>0.580880503144655</c:v>
                </c:pt>
                <c:pt idx="158">
                  <c:v>0.290440251572328</c:v>
                </c:pt>
                <c:pt idx="159">
                  <c:v>0</c:v>
                </c:pt>
              </c:numCache>
            </c:numRef>
          </c:val>
          <c:smooth val="0"/>
        </c:ser>
        <c:hiLowLines>
          <c:spPr>
            <a:ln w="0">
              <a:noFill/>
            </a:ln>
          </c:spPr>
        </c:hiLowLines>
        <c:marker val="0"/>
        <c:axId val="40513532"/>
        <c:axId val="92185113"/>
      </c:lineChart>
      <c:dateAx>
        <c:axId val="1162985"/>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9385083"/>
        <c:auto val="1"/>
        <c:lblOffset val="100"/>
        <c:baseTimeUnit val="days"/>
      </c:dateAx>
      <c:valAx>
        <c:axId val="1938508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162985"/>
        <c:crosses val="autoZero"/>
        <c:crossBetween val="between"/>
      </c:valAx>
      <c:dateAx>
        <c:axId val="40513532"/>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2185113"/>
        <c:auto val="1"/>
        <c:lblOffset val="100"/>
        <c:baseTimeUnit val="days"/>
      </c:dateAx>
      <c:valAx>
        <c:axId val="92185113"/>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0513532"/>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ASML</a:t>
            </a:r>
          </a:p>
        </c:rich>
      </c:tx>
      <c:overlay val="0"/>
      <c:spPr>
        <a:noFill/>
        <a:ln w="0">
          <a:noFill/>
        </a:ln>
      </c:spPr>
    </c:title>
    <c:autoTitleDeleted val="0"/>
    <c:plotArea>
      <c:barChart>
        <c:barDir val="col"/>
        <c:grouping val="clustered"/>
        <c:varyColors val="0"/>
        <c:ser>
          <c:idx val="0"/>
          <c:order val="0"/>
          <c:tx>
            <c:strRef>
              <c:f>'Returns (Calc)'!$D$2</c:f>
              <c:strCache>
                <c:ptCount val="1"/>
                <c:pt idx="0">
                  <c:v>ASML</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(Calc)'!$D$3:$D$500</c:f>
              <c:numCache>
                <c:formatCode>0.0%</c:formatCode>
                <c:ptCount val="498"/>
                <c:pt idx="0">
                  <c:v>-0.016013470558925</c:v>
                </c:pt>
                <c:pt idx="1">
                  <c:v>0.00265414098377836</c:v>
                </c:pt>
                <c:pt idx="2">
                  <c:v>0.0147681161944238</c:v>
                </c:pt>
                <c:pt idx="3">
                  <c:v>0.00401585748854427</c:v>
                </c:pt>
                <c:pt idx="4">
                  <c:v>-0.0327675503820316</c:v>
                </c:pt>
                <c:pt idx="5">
                  <c:v>0.0170713604071677</c:v>
                </c:pt>
                <c:pt idx="6">
                  <c:v>0.0916041145398945</c:v>
                </c:pt>
                <c:pt idx="7">
                  <c:v>0.0293836750286516</c:v>
                </c:pt>
                <c:pt idx="8">
                  <c:v>0.0375135302304004</c:v>
                </c:pt>
                <c:pt idx="9">
                  <c:v>0.00742220102539637</c:v>
                </c:pt>
                <c:pt idx="10">
                  <c:v>0.00147942125040679</c:v>
                </c:pt>
                <c:pt idx="11">
                  <c:v>0.00610098383904045</c:v>
                </c:pt>
                <c:pt idx="12">
                  <c:v>0.0811810827080917</c:v>
                </c:pt>
                <c:pt idx="13">
                  <c:v>-0.000570373187028017</c:v>
                </c:pt>
                <c:pt idx="14">
                  <c:v>0.00582927956083368</c:v>
                </c:pt>
                <c:pt idx="15">
                  <c:v>-0.0707888088837253</c:v>
                </c:pt>
                <c:pt idx="16">
                  <c:v>0.0140441678903216</c:v>
                </c:pt>
                <c:pt idx="17">
                  <c:v>0.0625528681414787</c:v>
                </c:pt>
                <c:pt idx="18">
                  <c:v>0.145037240932643</c:v>
                </c:pt>
                <c:pt idx="19">
                  <c:v>0.0264078905504295</c:v>
                </c:pt>
                <c:pt idx="20">
                  <c:v>0.0680351771486303</c:v>
                </c:pt>
                <c:pt idx="21">
                  <c:v>-0.0217461409468117</c:v>
                </c:pt>
                <c:pt idx="22">
                  <c:v>0.00463710785121707</c:v>
                </c:pt>
                <c:pt idx="23">
                  <c:v>0.0618088748400363</c:v>
                </c:pt>
                <c:pt idx="24">
                  <c:v>0.00343023136034937</c:v>
                </c:pt>
                <c:pt idx="25">
                  <c:v>-0.054429171243494</c:v>
                </c:pt>
                <c:pt idx="26">
                  <c:v>0.042275999088037</c:v>
                </c:pt>
                <c:pt idx="27">
                  <c:v>-0.00968719727508516</c:v>
                </c:pt>
                <c:pt idx="28">
                  <c:v>0.00936122768819736</c:v>
                </c:pt>
                <c:pt idx="29">
                  <c:v>-0.01807988495566</c:v>
                </c:pt>
                <c:pt idx="30">
                  <c:v>-0.106359044020886</c:v>
                </c:pt>
                <c:pt idx="31">
                  <c:v>0.0713607106381968</c:v>
                </c:pt>
                <c:pt idx="32">
                  <c:v>-0.0188660422324447</c:v>
                </c:pt>
                <c:pt idx="33">
                  <c:v>0.031780642391513</c:v>
                </c:pt>
                <c:pt idx="34">
                  <c:v>-0.00571578739898826</c:v>
                </c:pt>
                <c:pt idx="35">
                  <c:v>0.0337870578388617</c:v>
                </c:pt>
                <c:pt idx="36">
                  <c:v>0.00431438554627572</c:v>
                </c:pt>
                <c:pt idx="37">
                  <c:v>0.0708868546941461</c:v>
                </c:pt>
                <c:pt idx="38">
                  <c:v>-0.000505150554675149</c:v>
                </c:pt>
                <c:pt idx="39">
                  <c:v>0.00846307068745111</c:v>
                </c:pt>
                <c:pt idx="40">
                  <c:v>-0.0133840393856314</c:v>
                </c:pt>
                <c:pt idx="41">
                  <c:v>0.0505971056065178</c:v>
                </c:pt>
                <c:pt idx="42">
                  <c:v>0.0100397227936786</c:v>
                </c:pt>
                <c:pt idx="43">
                  <c:v>-0.174976534634879</c:v>
                </c:pt>
                <c:pt idx="44">
                  <c:v>-0.00779312384809672</c:v>
                </c:pt>
                <c:pt idx="45">
                  <c:v>-0.0872805659706695</c:v>
                </c:pt>
                <c:pt idx="46">
                  <c:v>0.0632529742088668</c:v>
                </c:pt>
                <c:pt idx="47">
                  <c:v>0.0675362729807647</c:v>
                </c:pt>
                <c:pt idx="48">
                  <c:v>-0.0124180981051887</c:v>
                </c:pt>
                <c:pt idx="49">
                  <c:v>-0.00373192872352335</c:v>
                </c:pt>
                <c:pt idx="50">
                  <c:v>-0.167148497699585</c:v>
                </c:pt>
                <c:pt idx="51">
                  <c:v>0.0844431238012913</c:v>
                </c:pt>
                <c:pt idx="52">
                  <c:v>-0.0258189064640678</c:v>
                </c:pt>
                <c:pt idx="53">
                  <c:v>0.0581714972448444</c:v>
                </c:pt>
                <c:pt idx="54">
                  <c:v>-0.0101489724165428</c:v>
                </c:pt>
                <c:pt idx="55">
                  <c:v>0.00922772712292663</c:v>
                </c:pt>
                <c:pt idx="56">
                  <c:v>-0.139678047482554</c:v>
                </c:pt>
                <c:pt idx="57">
                  <c:v>-0.0159839176764979</c:v>
                </c:pt>
                <c:pt idx="58">
                  <c:v>-0.0497449890709603</c:v>
                </c:pt>
                <c:pt idx="59">
                  <c:v>-0.00780275125911445</c:v>
                </c:pt>
                <c:pt idx="60">
                  <c:v>-0.0161827989575126</c:v>
                </c:pt>
                <c:pt idx="61">
                  <c:v>0.0216239526860524</c:v>
                </c:pt>
                <c:pt idx="62">
                  <c:v>0.020412470602424</c:v>
                </c:pt>
                <c:pt idx="63">
                  <c:v>0.0325768992110629</c:v>
                </c:pt>
                <c:pt idx="64">
                  <c:v>0.0135496702007412</c:v>
                </c:pt>
                <c:pt idx="65">
                  <c:v>-0.0179564640447218</c:v>
                </c:pt>
                <c:pt idx="66">
                  <c:v>0.0112123738607941</c:v>
                </c:pt>
                <c:pt idx="67">
                  <c:v>0.0010803741506269</c:v>
                </c:pt>
                <c:pt idx="68">
                  <c:v>0.0345062622475931</c:v>
                </c:pt>
                <c:pt idx="69">
                  <c:v>0.0234310657222863</c:v>
                </c:pt>
                <c:pt idx="70">
                  <c:v>-0.0318405558014459</c:v>
                </c:pt>
                <c:pt idx="71">
                  <c:v>0.00964189235990842</c:v>
                </c:pt>
                <c:pt idx="72">
                  <c:v>-0.015696820844939</c:v>
                </c:pt>
                <c:pt idx="73">
                  <c:v>0.0349470984289837</c:v>
                </c:pt>
                <c:pt idx="74">
                  <c:v>-0.019072248262486</c:v>
                </c:pt>
                <c:pt idx="75">
                  <c:v>-0.038158400615148</c:v>
                </c:pt>
                <c:pt idx="76">
                  <c:v>0.0326342988479493</c:v>
                </c:pt>
                <c:pt idx="77">
                  <c:v>-0.0248842192576207</c:v>
                </c:pt>
                <c:pt idx="78">
                  <c:v>0.00310484156801572</c:v>
                </c:pt>
                <c:pt idx="79">
                  <c:v>-0.0581309890606891</c:v>
                </c:pt>
                <c:pt idx="80">
                  <c:v>-0.102339400669258</c:v>
                </c:pt>
                <c:pt idx="81">
                  <c:v>0.104478360441985</c:v>
                </c:pt>
                <c:pt idx="82">
                  <c:v>-0.0428478454995385</c:v>
                </c:pt>
                <c:pt idx="83">
                  <c:v>0.0579696394686906</c:v>
                </c:pt>
                <c:pt idx="84">
                  <c:v>0.0224494066301977</c:v>
                </c:pt>
                <c:pt idx="85">
                  <c:v>0.0229943866214477</c:v>
                </c:pt>
                <c:pt idx="86">
                  <c:v>0.0593161000843088</c:v>
                </c:pt>
                <c:pt idx="87">
                  <c:v>-0.0208546916311445</c:v>
                </c:pt>
                <c:pt idx="88">
                  <c:v>0.00584134681619042</c:v>
                </c:pt>
                <c:pt idx="89">
                  <c:v>0.0220517737296262</c:v>
                </c:pt>
                <c:pt idx="90">
                  <c:v>0.0106003752345216</c:v>
                </c:pt>
                <c:pt idx="91">
                  <c:v>-0.00587447454615386</c:v>
                </c:pt>
                <c:pt idx="92">
                  <c:v>0.0521022302849217</c:v>
                </c:pt>
                <c:pt idx="93">
                  <c:v>-0.00182569668078203</c:v>
                </c:pt>
                <c:pt idx="94">
                  <c:v>0.00936110758287811</c:v>
                </c:pt>
                <c:pt idx="95">
                  <c:v>-0.0839845470446853</c:v>
                </c:pt>
                <c:pt idx="96">
                  <c:v>-0.0317612957289849</c:v>
                </c:pt>
                <c:pt idx="97">
                  <c:v>-0.0276670308310041</c:v>
                </c:pt>
                <c:pt idx="98">
                  <c:v>0.0471027710087406</c:v>
                </c:pt>
                <c:pt idx="99">
                  <c:v>0.0274669379450661</c:v>
                </c:pt>
                <c:pt idx="100">
                  <c:v>0.0171571951715721</c:v>
                </c:pt>
                <c:pt idx="101">
                  <c:v>-0.0162544169611308</c:v>
                </c:pt>
                <c:pt idx="102">
                  <c:v>0.0526187378009109</c:v>
                </c:pt>
                <c:pt idx="103">
                  <c:v>0.0411548069741687</c:v>
                </c:pt>
                <c:pt idx="104">
                  <c:v>0.145336037796522</c:v>
                </c:pt>
                <c:pt idx="105">
                  <c:v>0.0207764159602613</c:v>
                </c:pt>
                <c:pt idx="106">
                  <c:v>0.0848205312655377</c:v>
                </c:pt>
                <c:pt idx="107">
                  <c:v>-0.0930402644640995</c:v>
                </c:pt>
                <c:pt idx="108">
                  <c:v>0.0994236930950692</c:v>
                </c:pt>
                <c:pt idx="109">
                  <c:v>0.00372605204737253</c:v>
                </c:pt>
                <c:pt idx="110">
                  <c:v>0.0271157706023346</c:v>
                </c:pt>
                <c:pt idx="111">
                  <c:v>-0.0399081742034018</c:v>
                </c:pt>
                <c:pt idx="112">
                  <c:v>-0.00981128347001292</c:v>
                </c:pt>
                <c:pt idx="113">
                  <c:v>-0.0401329115818673</c:v>
                </c:pt>
                <c:pt idx="114">
                  <c:v>0.0966578304485681</c:v>
                </c:pt>
                <c:pt idx="115">
                  <c:v>0.0372346980368365</c:v>
                </c:pt>
                <c:pt idx="116">
                  <c:v>-0.0169345920801308</c:v>
                </c:pt>
                <c:pt idx="117">
                  <c:v>-0.0229715156923993</c:v>
                </c:pt>
                <c:pt idx="118">
                  <c:v>0.0158425073979276</c:v>
                </c:pt>
                <c:pt idx="119">
                  <c:v>0.0848616548959369</c:v>
                </c:pt>
                <c:pt idx="120">
                  <c:v>0.0946020617844623</c:v>
                </c:pt>
                <c:pt idx="121">
                  <c:v>0.0664778867162543</c:v>
                </c:pt>
                <c:pt idx="122">
                  <c:v>0.0224322705185385</c:v>
                </c:pt>
                <c:pt idx="123">
                  <c:v>0.0244502314814814</c:v>
                </c:pt>
                <c:pt idx="124">
                  <c:v>-0.00702584380737192</c:v>
                </c:pt>
                <c:pt idx="125">
                  <c:v>-0.00321422222222223</c:v>
                </c:pt>
                <c:pt idx="126">
                  <c:v>0.0447732444907365</c:v>
                </c:pt>
                <c:pt idx="127">
                  <c:v>-0.0129464864901775</c:v>
                </c:pt>
                <c:pt idx="128">
                  <c:v>-0.108755958022317</c:v>
                </c:pt>
                <c:pt idx="129">
                  <c:v>0.0409059860904124</c:v>
                </c:pt>
                <c:pt idx="130">
                  <c:v>-0.0211331672905698</c:v>
                </c:pt>
                <c:pt idx="131">
                  <c:v>-0.0112213182192157</c:v>
                </c:pt>
                <c:pt idx="132">
                  <c:v>0.0113332562887631</c:v>
                </c:pt>
                <c:pt idx="133">
                  <c:v>0.122263190772934</c:v>
                </c:pt>
                <c:pt idx="134">
                  <c:v>-0.012497030173438</c:v>
                </c:pt>
                <c:pt idx="135">
                  <c:v>-0.00144355692426135</c:v>
                </c:pt>
                <c:pt idx="136">
                  <c:v>-0.0189035136028197</c:v>
                </c:pt>
                <c:pt idx="137">
                  <c:v>0.115620483026705</c:v>
                </c:pt>
                <c:pt idx="138">
                  <c:v>-0.0566618028126494</c:v>
                </c:pt>
                <c:pt idx="139">
                  <c:v>0.0872875649222933</c:v>
                </c:pt>
                <c:pt idx="140">
                  <c:v>-0.0123314467221407</c:v>
                </c:pt>
                <c:pt idx="141">
                  <c:v>0.0179675664936547</c:v>
                </c:pt>
                <c:pt idx="142">
                  <c:v>0.135104475427233</c:v>
                </c:pt>
                <c:pt idx="143">
                  <c:v>0.0354890013647549</c:v>
                </c:pt>
                <c:pt idx="144">
                  <c:v>-0.0699930987603714</c:v>
                </c:pt>
                <c:pt idx="145">
                  <c:v>-0.0140992021424985</c:v>
                </c:pt>
                <c:pt idx="146">
                  <c:v>0.015828820110581</c:v>
                </c:pt>
                <c:pt idx="147">
                  <c:v>-0.0276768802228413</c:v>
                </c:pt>
                <c:pt idx="148">
                  <c:v>0.00544312790777624</c:v>
                </c:pt>
                <c:pt idx="149">
                  <c:v>-0.071699661503744</c:v>
                </c:pt>
                <c:pt idx="150">
                  <c:v>0.0687476979742174</c:v>
                </c:pt>
                <c:pt idx="151">
                  <c:v>0.059213436033521</c:v>
                </c:pt>
                <c:pt idx="152">
                  <c:v>-0.0435555941173919</c:v>
                </c:pt>
                <c:pt idx="153">
                  <c:v>-0.0383272100512541</c:v>
                </c:pt>
                <c:pt idx="154">
                  <c:v>0.011036694651448</c:v>
                </c:pt>
                <c:pt idx="155">
                  <c:v>-0.00966831498413889</c:v>
                </c:pt>
                <c:pt idx="156">
                  <c:v>-0.0108225872931754</c:v>
                </c:pt>
                <c:pt idx="157">
                  <c:v>0.038108957569408</c:v>
                </c:pt>
                <c:pt idx="158">
                  <c:v>0.0157516887048867</c:v>
                </c:pt>
                <c:pt idx="159">
                  <c:v>-0.031912431340006</c:v>
                </c:pt>
              </c:numCache>
            </c:numRef>
          </c:val>
        </c:ser>
        <c:gapWidth val="150"/>
        <c:overlap val="0"/>
        <c:axId val="18153711"/>
        <c:axId val="86720821"/>
      </c:barChart>
      <c:lineChart>
        <c:grouping val="standard"/>
        <c:varyColors val="0"/>
        <c:ser>
          <c:idx val="1"/>
          <c:order val="1"/>
          <c:tx>
            <c:strRef>
              <c:f>'Returns (Calc)'!$Y$2</c:f>
              <c:strCache>
                <c:ptCount val="1"/>
                <c:pt idx="0">
                  <c:v>ASML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(Calc)'!$Y$3:$Y$500</c:f>
              <c:numCache>
                <c:formatCode>#,##0.00</c:formatCode>
                <c:ptCount val="498"/>
                <c:pt idx="0">
                  <c:v>582.01</c:v>
                </c:pt>
                <c:pt idx="1">
                  <c:v>578.349559748428</c:v>
                </c:pt>
                <c:pt idx="2">
                  <c:v>574.689119496855</c:v>
                </c:pt>
                <c:pt idx="3">
                  <c:v>571.028679245283</c:v>
                </c:pt>
                <c:pt idx="4">
                  <c:v>567.368238993711</c:v>
                </c:pt>
                <c:pt idx="5">
                  <c:v>563.707798742138</c:v>
                </c:pt>
                <c:pt idx="6">
                  <c:v>560.047358490566</c:v>
                </c:pt>
                <c:pt idx="7">
                  <c:v>556.386918238994</c:v>
                </c:pt>
                <c:pt idx="8">
                  <c:v>552.726477987421</c:v>
                </c:pt>
                <c:pt idx="9">
                  <c:v>549.066037735849</c:v>
                </c:pt>
                <c:pt idx="10">
                  <c:v>545.405597484277</c:v>
                </c:pt>
                <c:pt idx="11">
                  <c:v>541.745157232704</c:v>
                </c:pt>
                <c:pt idx="12">
                  <c:v>538.084716981132</c:v>
                </c:pt>
                <c:pt idx="13">
                  <c:v>534.42427672956</c:v>
                </c:pt>
                <c:pt idx="14">
                  <c:v>530.763836477987</c:v>
                </c:pt>
                <c:pt idx="15">
                  <c:v>527.103396226415</c:v>
                </c:pt>
                <c:pt idx="16">
                  <c:v>523.442955974843</c:v>
                </c:pt>
                <c:pt idx="17">
                  <c:v>519.78251572327</c:v>
                </c:pt>
                <c:pt idx="18">
                  <c:v>516.122075471698</c:v>
                </c:pt>
                <c:pt idx="19">
                  <c:v>512.461635220126</c:v>
                </c:pt>
                <c:pt idx="20">
                  <c:v>508.801194968553</c:v>
                </c:pt>
                <c:pt idx="21">
                  <c:v>505.140754716981</c:v>
                </c:pt>
                <c:pt idx="22">
                  <c:v>501.480314465409</c:v>
                </c:pt>
                <c:pt idx="23">
                  <c:v>497.819874213836</c:v>
                </c:pt>
                <c:pt idx="24">
                  <c:v>494.159433962264</c:v>
                </c:pt>
                <c:pt idx="25">
                  <c:v>490.498993710692</c:v>
                </c:pt>
                <c:pt idx="26">
                  <c:v>486.838553459119</c:v>
                </c:pt>
                <c:pt idx="27">
                  <c:v>483.178113207547</c:v>
                </c:pt>
                <c:pt idx="28">
                  <c:v>479.517672955975</c:v>
                </c:pt>
                <c:pt idx="29">
                  <c:v>475.857232704403</c:v>
                </c:pt>
                <c:pt idx="30">
                  <c:v>472.19679245283</c:v>
                </c:pt>
                <c:pt idx="31">
                  <c:v>468.536352201258</c:v>
                </c:pt>
                <c:pt idx="32">
                  <c:v>464.875911949686</c:v>
                </c:pt>
                <c:pt idx="33">
                  <c:v>461.215471698113</c:v>
                </c:pt>
                <c:pt idx="34">
                  <c:v>457.555031446541</c:v>
                </c:pt>
                <c:pt idx="35">
                  <c:v>453.894591194969</c:v>
                </c:pt>
                <c:pt idx="36">
                  <c:v>450.234150943396</c:v>
                </c:pt>
                <c:pt idx="37">
                  <c:v>446.573710691824</c:v>
                </c:pt>
                <c:pt idx="38">
                  <c:v>442.913270440252</c:v>
                </c:pt>
                <c:pt idx="39">
                  <c:v>439.252830188679</c:v>
                </c:pt>
                <c:pt idx="40">
                  <c:v>435.592389937107</c:v>
                </c:pt>
                <c:pt idx="41">
                  <c:v>431.931949685535</c:v>
                </c:pt>
                <c:pt idx="42">
                  <c:v>428.271509433962</c:v>
                </c:pt>
                <c:pt idx="43">
                  <c:v>424.61106918239</c:v>
                </c:pt>
                <c:pt idx="44">
                  <c:v>420.950628930818</c:v>
                </c:pt>
                <c:pt idx="45">
                  <c:v>417.290188679245</c:v>
                </c:pt>
                <c:pt idx="46">
                  <c:v>413.629748427673</c:v>
                </c:pt>
                <c:pt idx="47">
                  <c:v>409.969308176101</c:v>
                </c:pt>
                <c:pt idx="48">
                  <c:v>406.308867924528</c:v>
                </c:pt>
                <c:pt idx="49">
                  <c:v>402.648427672956</c:v>
                </c:pt>
                <c:pt idx="50">
                  <c:v>398.987987421384</c:v>
                </c:pt>
                <c:pt idx="51">
                  <c:v>395.327547169811</c:v>
                </c:pt>
                <c:pt idx="52">
                  <c:v>391.667106918239</c:v>
                </c:pt>
                <c:pt idx="53">
                  <c:v>388.006666666667</c:v>
                </c:pt>
                <c:pt idx="54">
                  <c:v>384.346226415094</c:v>
                </c:pt>
                <c:pt idx="55">
                  <c:v>380.685786163522</c:v>
                </c:pt>
                <c:pt idx="56">
                  <c:v>377.02534591195</c:v>
                </c:pt>
                <c:pt idx="57">
                  <c:v>373.364905660377</c:v>
                </c:pt>
                <c:pt idx="58">
                  <c:v>369.704465408805</c:v>
                </c:pt>
                <c:pt idx="59">
                  <c:v>366.044025157233</c:v>
                </c:pt>
                <c:pt idx="60">
                  <c:v>362.38358490566</c:v>
                </c:pt>
                <c:pt idx="61">
                  <c:v>358.723144654088</c:v>
                </c:pt>
                <c:pt idx="62">
                  <c:v>355.062704402516</c:v>
                </c:pt>
                <c:pt idx="63">
                  <c:v>351.402264150943</c:v>
                </c:pt>
                <c:pt idx="64">
                  <c:v>347.741823899371</c:v>
                </c:pt>
                <c:pt idx="65">
                  <c:v>344.081383647799</c:v>
                </c:pt>
                <c:pt idx="66">
                  <c:v>340.420943396226</c:v>
                </c:pt>
                <c:pt idx="67">
                  <c:v>336.760503144654</c:v>
                </c:pt>
                <c:pt idx="68">
                  <c:v>333.100062893082</c:v>
                </c:pt>
                <c:pt idx="69">
                  <c:v>329.439622641509</c:v>
                </c:pt>
                <c:pt idx="70">
                  <c:v>325.779182389937</c:v>
                </c:pt>
                <c:pt idx="71">
                  <c:v>322.118742138365</c:v>
                </c:pt>
                <c:pt idx="72">
                  <c:v>318.458301886792</c:v>
                </c:pt>
                <c:pt idx="73">
                  <c:v>314.79786163522</c:v>
                </c:pt>
                <c:pt idx="74">
                  <c:v>311.137421383648</c:v>
                </c:pt>
                <c:pt idx="75">
                  <c:v>307.476981132076</c:v>
                </c:pt>
                <c:pt idx="76">
                  <c:v>303.816540880503</c:v>
                </c:pt>
                <c:pt idx="77">
                  <c:v>300.156100628931</c:v>
                </c:pt>
                <c:pt idx="78">
                  <c:v>296.495660377359</c:v>
                </c:pt>
                <c:pt idx="79">
                  <c:v>292.835220125786</c:v>
                </c:pt>
                <c:pt idx="80">
                  <c:v>289.174779874214</c:v>
                </c:pt>
                <c:pt idx="81">
                  <c:v>285.514339622642</c:v>
                </c:pt>
                <c:pt idx="82">
                  <c:v>281.853899371069</c:v>
                </c:pt>
                <c:pt idx="83">
                  <c:v>278.193459119497</c:v>
                </c:pt>
                <c:pt idx="84">
                  <c:v>274.533018867925</c:v>
                </c:pt>
                <c:pt idx="85">
                  <c:v>270.872578616352</c:v>
                </c:pt>
                <c:pt idx="86">
                  <c:v>267.21213836478</c:v>
                </c:pt>
                <c:pt idx="87">
                  <c:v>263.551698113208</c:v>
                </c:pt>
                <c:pt idx="88">
                  <c:v>259.891257861635</c:v>
                </c:pt>
                <c:pt idx="89">
                  <c:v>256.230817610063</c:v>
                </c:pt>
                <c:pt idx="90">
                  <c:v>252.570377358491</c:v>
                </c:pt>
                <c:pt idx="91">
                  <c:v>248.909937106918</c:v>
                </c:pt>
                <c:pt idx="92">
                  <c:v>245.249496855346</c:v>
                </c:pt>
                <c:pt idx="93">
                  <c:v>241.589056603774</c:v>
                </c:pt>
                <c:pt idx="94">
                  <c:v>237.928616352201</c:v>
                </c:pt>
                <c:pt idx="95">
                  <c:v>234.268176100629</c:v>
                </c:pt>
                <c:pt idx="96">
                  <c:v>230.607735849057</c:v>
                </c:pt>
                <c:pt idx="97">
                  <c:v>226.947295597484</c:v>
                </c:pt>
                <c:pt idx="98">
                  <c:v>223.286855345912</c:v>
                </c:pt>
                <c:pt idx="99">
                  <c:v>219.62641509434</c:v>
                </c:pt>
                <c:pt idx="100">
                  <c:v>215.965974842767</c:v>
                </c:pt>
                <c:pt idx="101">
                  <c:v>212.305534591195</c:v>
                </c:pt>
                <c:pt idx="102">
                  <c:v>208.645094339623</c:v>
                </c:pt>
                <c:pt idx="103">
                  <c:v>204.98465408805</c:v>
                </c:pt>
                <c:pt idx="104">
                  <c:v>201.324213836478</c:v>
                </c:pt>
                <c:pt idx="105">
                  <c:v>197.663773584906</c:v>
                </c:pt>
                <c:pt idx="106">
                  <c:v>194.003333333333</c:v>
                </c:pt>
                <c:pt idx="107">
                  <c:v>190.342893081761</c:v>
                </c:pt>
                <c:pt idx="108">
                  <c:v>186.682452830189</c:v>
                </c:pt>
                <c:pt idx="109">
                  <c:v>183.022012578616</c:v>
                </c:pt>
                <c:pt idx="110">
                  <c:v>179.361572327044</c:v>
                </c:pt>
                <c:pt idx="111">
                  <c:v>175.701132075472</c:v>
                </c:pt>
                <c:pt idx="112">
                  <c:v>172.040691823899</c:v>
                </c:pt>
                <c:pt idx="113">
                  <c:v>168.380251572327</c:v>
                </c:pt>
                <c:pt idx="114">
                  <c:v>164.719811320755</c:v>
                </c:pt>
                <c:pt idx="115">
                  <c:v>161.059371069182</c:v>
                </c:pt>
                <c:pt idx="116">
                  <c:v>157.39893081761</c:v>
                </c:pt>
                <c:pt idx="117">
                  <c:v>153.738490566038</c:v>
                </c:pt>
                <c:pt idx="118">
                  <c:v>150.078050314465</c:v>
                </c:pt>
                <c:pt idx="119">
                  <c:v>146.417610062893</c:v>
                </c:pt>
                <c:pt idx="120">
                  <c:v>142.757169811321</c:v>
                </c:pt>
                <c:pt idx="121">
                  <c:v>139.096729559749</c:v>
                </c:pt>
                <c:pt idx="122">
                  <c:v>135.436289308176</c:v>
                </c:pt>
                <c:pt idx="123">
                  <c:v>131.775849056604</c:v>
                </c:pt>
                <c:pt idx="124">
                  <c:v>128.115408805031</c:v>
                </c:pt>
                <c:pt idx="125">
                  <c:v>124.454968553459</c:v>
                </c:pt>
                <c:pt idx="126">
                  <c:v>120.794528301887</c:v>
                </c:pt>
                <c:pt idx="127">
                  <c:v>117.134088050314</c:v>
                </c:pt>
                <c:pt idx="128">
                  <c:v>113.473647798742</c:v>
                </c:pt>
                <c:pt idx="129">
                  <c:v>109.81320754717</c:v>
                </c:pt>
                <c:pt idx="130">
                  <c:v>106.152767295597</c:v>
                </c:pt>
                <c:pt idx="131">
                  <c:v>102.492327044025</c:v>
                </c:pt>
                <c:pt idx="132">
                  <c:v>98.8318867924529</c:v>
                </c:pt>
                <c:pt idx="133">
                  <c:v>95.1714465408805</c:v>
                </c:pt>
                <c:pt idx="134">
                  <c:v>91.5110062893082</c:v>
                </c:pt>
                <c:pt idx="135">
                  <c:v>87.8505660377358</c:v>
                </c:pt>
                <c:pt idx="136">
                  <c:v>84.1901257861635</c:v>
                </c:pt>
                <c:pt idx="137">
                  <c:v>80.5296855345912</c:v>
                </c:pt>
                <c:pt idx="138">
                  <c:v>76.8692452830188</c:v>
                </c:pt>
                <c:pt idx="139">
                  <c:v>73.2088050314466</c:v>
                </c:pt>
                <c:pt idx="140">
                  <c:v>69.5483647798742</c:v>
                </c:pt>
                <c:pt idx="141">
                  <c:v>65.8879245283018</c:v>
                </c:pt>
                <c:pt idx="142">
                  <c:v>62.2274842767296</c:v>
                </c:pt>
                <c:pt idx="143">
                  <c:v>58.5670440251573</c:v>
                </c:pt>
                <c:pt idx="144">
                  <c:v>54.9066037735848</c:v>
                </c:pt>
                <c:pt idx="145">
                  <c:v>51.2461635220126</c:v>
                </c:pt>
                <c:pt idx="146">
                  <c:v>47.5857232704403</c:v>
                </c:pt>
                <c:pt idx="147">
                  <c:v>43.925283018868</c:v>
                </c:pt>
                <c:pt idx="148">
                  <c:v>40.2648427672956</c:v>
                </c:pt>
                <c:pt idx="149">
                  <c:v>36.6044025157232</c:v>
                </c:pt>
                <c:pt idx="150">
                  <c:v>32.943962264151</c:v>
                </c:pt>
                <c:pt idx="151">
                  <c:v>29.2835220125786</c:v>
                </c:pt>
                <c:pt idx="152">
                  <c:v>25.6230817610062</c:v>
                </c:pt>
                <c:pt idx="153">
                  <c:v>21.962641509434</c:v>
                </c:pt>
                <c:pt idx="154">
                  <c:v>18.3022012578616</c:v>
                </c:pt>
                <c:pt idx="155">
                  <c:v>14.6417610062892</c:v>
                </c:pt>
                <c:pt idx="156">
                  <c:v>10.981320754717</c:v>
                </c:pt>
                <c:pt idx="157">
                  <c:v>7.32088050314474</c:v>
                </c:pt>
                <c:pt idx="158">
                  <c:v>3.66044025157225</c:v>
                </c:pt>
                <c:pt idx="159">
                  <c:v>0</c:v>
                </c:pt>
              </c:numCache>
            </c:numRef>
          </c:val>
          <c:smooth val="0"/>
        </c:ser>
        <c:hiLowLines>
          <c:spPr>
            <a:ln w="0">
              <a:noFill/>
            </a:ln>
          </c:spPr>
        </c:hiLowLines>
        <c:marker val="0"/>
        <c:axId val="67317229"/>
        <c:axId val="97288890"/>
      </c:lineChart>
      <c:dateAx>
        <c:axId val="18153711"/>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6720821"/>
        <c:auto val="1"/>
        <c:lblOffset val="100"/>
        <c:baseTimeUnit val="days"/>
      </c:dateAx>
      <c:valAx>
        <c:axId val="8672082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8153711"/>
        <c:crosses val="autoZero"/>
        <c:crossBetween val="between"/>
      </c:valAx>
      <c:dateAx>
        <c:axId val="67317229"/>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7288890"/>
        <c:auto val="1"/>
        <c:lblOffset val="100"/>
        <c:baseTimeUnit val="days"/>
      </c:dateAx>
      <c:valAx>
        <c:axId val="97288890"/>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7317229"/>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AVGO</a:t>
            </a:r>
          </a:p>
        </c:rich>
      </c:tx>
      <c:overlay val="0"/>
      <c:spPr>
        <a:noFill/>
        <a:ln w="0">
          <a:noFill/>
        </a:ln>
      </c:spPr>
    </c:title>
    <c:autoTitleDeleted val="0"/>
    <c:plotArea>
      <c:barChart>
        <c:barDir val="col"/>
        <c:grouping val="clustered"/>
        <c:varyColors val="0"/>
        <c:ser>
          <c:idx val="0"/>
          <c:order val="0"/>
          <c:tx>
            <c:strRef>
              <c:f>'Returns (Calc)'!$E$2</c:f>
              <c:strCache>
                <c:ptCount val="1"/>
                <c:pt idx="0">
                  <c:v>AVGO</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(Calc)'!$E$3:$E$500</c:f>
              <c:numCache>
                <c:formatCode>0.0%</c:formatCode>
                <c:ptCount val="498"/>
                <c:pt idx="0">
                  <c:v>-0.0212195121951219</c:v>
                </c:pt>
                <c:pt idx="1">
                  <c:v>0.00186892599053068</c:v>
                </c:pt>
                <c:pt idx="2">
                  <c:v>0.0176594950876756</c:v>
                </c:pt>
                <c:pt idx="3">
                  <c:v>0.044849077355493</c:v>
                </c:pt>
                <c:pt idx="4">
                  <c:v>-0.0334502923976608</c:v>
                </c:pt>
                <c:pt idx="5">
                  <c:v>-0.0179090029041626</c:v>
                </c:pt>
                <c:pt idx="6">
                  <c:v>0.0528585510103501</c:v>
                </c:pt>
                <c:pt idx="7">
                  <c:v>0.0847279110590988</c:v>
                </c:pt>
                <c:pt idx="8">
                  <c:v>0.0211457546660914</c:v>
                </c:pt>
                <c:pt idx="9">
                  <c:v>0.001162176439514</c:v>
                </c:pt>
                <c:pt idx="10">
                  <c:v>-0.0499155761924863</c:v>
                </c:pt>
                <c:pt idx="11">
                  <c:v>0.0153282239253583</c:v>
                </c:pt>
                <c:pt idx="12">
                  <c:v>0.1964774094738</c:v>
                </c:pt>
                <c:pt idx="13">
                  <c:v>-0.00237725153149859</c:v>
                </c:pt>
                <c:pt idx="14">
                  <c:v>-0.00504078452937395</c:v>
                </c:pt>
                <c:pt idx="15">
                  <c:v>-0.0600589535740604</c:v>
                </c:pt>
                <c:pt idx="16">
                  <c:v>0.0556644453155624</c:v>
                </c:pt>
                <c:pt idx="17">
                  <c:v>0.0934831043445972</c:v>
                </c:pt>
                <c:pt idx="18">
                  <c:v>-0.00517870786993802</c:v>
                </c:pt>
                <c:pt idx="19">
                  <c:v>0.0161290322580645</c:v>
                </c:pt>
                <c:pt idx="20">
                  <c:v>0.0482909213067944</c:v>
                </c:pt>
                <c:pt idx="21">
                  <c:v>-0.0296426854670725</c:v>
                </c:pt>
                <c:pt idx="22">
                  <c:v>0.0408685601056802</c:v>
                </c:pt>
                <c:pt idx="23">
                  <c:v>0.0793210121361148</c:v>
                </c:pt>
                <c:pt idx="24">
                  <c:v>-0.0646725949878739</c:v>
                </c:pt>
                <c:pt idx="25">
                  <c:v>-0.0559440559440558</c:v>
                </c:pt>
                <c:pt idx="26">
                  <c:v>0.100208073241781</c:v>
                </c:pt>
                <c:pt idx="27">
                  <c:v>-0.0207277403737046</c:v>
                </c:pt>
                <c:pt idx="28">
                  <c:v>0.010583236770954</c:v>
                </c:pt>
                <c:pt idx="29">
                  <c:v>0.00343984100290484</c:v>
                </c:pt>
                <c:pt idx="30">
                  <c:v>-0.103679439323532</c:v>
                </c:pt>
                <c:pt idx="31">
                  <c:v>0.115672276049635</c:v>
                </c:pt>
                <c:pt idx="32">
                  <c:v>-0.0490591909804221</c:v>
                </c:pt>
                <c:pt idx="33">
                  <c:v>0.0427781783225185</c:v>
                </c:pt>
                <c:pt idx="34">
                  <c:v>0.0468617961127757</c:v>
                </c:pt>
                <c:pt idx="35">
                  <c:v>0.00902619798928583</c:v>
                </c:pt>
                <c:pt idx="36">
                  <c:v>-0.0563636363636364</c:v>
                </c:pt>
                <c:pt idx="37">
                  <c:v>0.058805394990366</c:v>
                </c:pt>
                <c:pt idx="38">
                  <c:v>0.233440093172223</c:v>
                </c:pt>
                <c:pt idx="39">
                  <c:v>-0.0440247860725876</c:v>
                </c:pt>
                <c:pt idx="40">
                  <c:v>-0.0289524044694117</c:v>
                </c:pt>
                <c:pt idx="41">
                  <c:v>0.0609027336300063</c:v>
                </c:pt>
                <c:pt idx="42">
                  <c:v>-0.00155800575263654</c:v>
                </c:pt>
                <c:pt idx="43">
                  <c:v>-0.0747809386628257</c:v>
                </c:pt>
                <c:pt idx="44">
                  <c:v>-0.0363258951738453</c:v>
                </c:pt>
                <c:pt idx="45">
                  <c:v>-0.0514943457189015</c:v>
                </c:pt>
                <c:pt idx="46">
                  <c:v>0.0308707685756866</c:v>
                </c:pt>
                <c:pt idx="47">
                  <c:v>0.117788792509982</c:v>
                </c:pt>
                <c:pt idx="48">
                  <c:v>0.00381843936687809</c:v>
                </c:pt>
                <c:pt idx="49">
                  <c:v>-0.0212896496717589</c:v>
                </c:pt>
                <c:pt idx="50">
                  <c:v>-0.158538114343029</c:v>
                </c:pt>
                <c:pt idx="51">
                  <c:v>0.224018475750578</c:v>
                </c:pt>
                <c:pt idx="52">
                  <c:v>0.0236762020693853</c:v>
                </c:pt>
                <c:pt idx="53">
                  <c:v>0.00927522444854034</c:v>
                </c:pt>
                <c:pt idx="54">
                  <c:v>0.0228571428571429</c:v>
                </c:pt>
                <c:pt idx="55">
                  <c:v>0.0274146172896388</c:v>
                </c:pt>
                <c:pt idx="56">
                  <c:v>-0.00874488480295965</c:v>
                </c:pt>
                <c:pt idx="57">
                  <c:v>-0.0382853588192049</c:v>
                </c:pt>
                <c:pt idx="58">
                  <c:v>-0.0236387157473833</c:v>
                </c:pt>
                <c:pt idx="59">
                  <c:v>0.0871476752589737</c:v>
                </c:pt>
                <c:pt idx="60">
                  <c:v>-0.102376599634369</c:v>
                </c:pt>
                <c:pt idx="61">
                  <c:v>-0.00370301795963712</c:v>
                </c:pt>
                <c:pt idx="62">
                  <c:v>-0.0130706807904356</c:v>
                </c:pt>
                <c:pt idx="63">
                  <c:v>0.107644991212654</c:v>
                </c:pt>
                <c:pt idx="64">
                  <c:v>0.252167507225024</c:v>
                </c:pt>
                <c:pt idx="65">
                  <c:v>-0.0178304747250758</c:v>
                </c:pt>
                <c:pt idx="66">
                  <c:v>0.097866654379579</c:v>
                </c:pt>
                <c:pt idx="67">
                  <c:v>-0.038066059512318</c:v>
                </c:pt>
                <c:pt idx="68">
                  <c:v>-0.0354275741710296</c:v>
                </c:pt>
                <c:pt idx="69">
                  <c:v>0.0585308485616067</c:v>
                </c:pt>
                <c:pt idx="70">
                  <c:v>0.0305956755832835</c:v>
                </c:pt>
                <c:pt idx="71">
                  <c:v>-0.0957376233518534</c:v>
                </c:pt>
                <c:pt idx="72">
                  <c:v>0.0162318308955018</c:v>
                </c:pt>
                <c:pt idx="73">
                  <c:v>0.0363669178360331</c:v>
                </c:pt>
                <c:pt idx="74">
                  <c:v>-0.0617353824720276</c:v>
                </c:pt>
                <c:pt idx="75">
                  <c:v>-0.0879309544800705</c:v>
                </c:pt>
                <c:pt idx="76">
                  <c:v>-0.0223850223850224</c:v>
                </c:pt>
                <c:pt idx="77">
                  <c:v>0.00296627810158201</c:v>
                </c:pt>
                <c:pt idx="78">
                  <c:v>-0.0169148549784672</c:v>
                </c:pt>
                <c:pt idx="79">
                  <c:v>-0.117591175383966</c:v>
                </c:pt>
                <c:pt idx="80">
                  <c:v>-0.134996112207668</c:v>
                </c:pt>
                <c:pt idx="81">
                  <c:v>0.243673074263587</c:v>
                </c:pt>
                <c:pt idx="82">
                  <c:v>-0.0601579005893473</c:v>
                </c:pt>
                <c:pt idx="83">
                  <c:v>0.124704212020823</c:v>
                </c:pt>
                <c:pt idx="84">
                  <c:v>0.0589101620029455</c:v>
                </c:pt>
                <c:pt idx="85">
                  <c:v>0.0224021458374728</c:v>
                </c:pt>
                <c:pt idx="86">
                  <c:v>0.0979934897731136</c:v>
                </c:pt>
                <c:pt idx="87">
                  <c:v>0.00048672566371688</c:v>
                </c:pt>
                <c:pt idx="88">
                  <c:v>0.0583786652514262</c:v>
                </c:pt>
                <c:pt idx="89">
                  <c:v>0.0200576657891438</c:v>
                </c:pt>
                <c:pt idx="90">
                  <c:v>0.00716889926672404</c:v>
                </c:pt>
                <c:pt idx="91">
                  <c:v>0.00756528105425836</c:v>
                </c:pt>
                <c:pt idx="92">
                  <c:v>0.077426126271597</c:v>
                </c:pt>
                <c:pt idx="93">
                  <c:v>0.0216560509554142</c:v>
                </c:pt>
                <c:pt idx="94">
                  <c:v>-0.0028971688425995</c:v>
                </c:pt>
                <c:pt idx="95">
                  <c:v>0.0326602670197507</c:v>
                </c:pt>
                <c:pt idx="96">
                  <c:v>0.0241478790469067</c:v>
                </c:pt>
                <c:pt idx="97">
                  <c:v>-0.00532081377151805</c:v>
                </c:pt>
                <c:pt idx="98">
                  <c:v>0.0565694706663871</c:v>
                </c:pt>
                <c:pt idx="99">
                  <c:v>0.00450033090668445</c:v>
                </c:pt>
                <c:pt idx="100">
                  <c:v>-0.0402885755699038</c:v>
                </c:pt>
                <c:pt idx="101">
                  <c:v>0.0115333127381321</c:v>
                </c:pt>
                <c:pt idx="102">
                  <c:v>0.126098612100852</c:v>
                </c:pt>
                <c:pt idx="103">
                  <c:v>0.0745818894078649</c:v>
                </c:pt>
                <c:pt idx="104">
                  <c:v>-0.0414750420639373</c:v>
                </c:pt>
                <c:pt idx="105">
                  <c:v>-0.028524618940347</c:v>
                </c:pt>
                <c:pt idx="106">
                  <c:v>0.0114738300307173</c:v>
                </c:pt>
                <c:pt idx="107">
                  <c:v>-0.040610950665436</c:v>
                </c:pt>
                <c:pt idx="108">
                  <c:v>0.0760947149551563</c:v>
                </c:pt>
                <c:pt idx="109">
                  <c:v>0.0137563085796684</c:v>
                </c:pt>
                <c:pt idx="110">
                  <c:v>0.0437528447883477</c:v>
                </c:pt>
                <c:pt idx="111">
                  <c:v>-0.0546470427909511</c:v>
                </c:pt>
                <c:pt idx="112">
                  <c:v>-0.0199509874585556</c:v>
                </c:pt>
                <c:pt idx="113">
                  <c:v>-0.00658959197481834</c:v>
                </c:pt>
                <c:pt idx="114">
                  <c:v>0.184488732269241</c:v>
                </c:pt>
                <c:pt idx="115">
                  <c:v>-0.0315757893947348</c:v>
                </c:pt>
                <c:pt idx="116">
                  <c:v>-0.0776796778190831</c:v>
                </c:pt>
                <c:pt idx="117">
                  <c:v>-0.0543566490329441</c:v>
                </c:pt>
                <c:pt idx="118">
                  <c:v>0.0365546840313749</c:v>
                </c:pt>
                <c:pt idx="119">
                  <c:v>-0.0128212450028555</c:v>
                </c:pt>
                <c:pt idx="120">
                  <c:v>-0.00760753232478084</c:v>
                </c:pt>
                <c:pt idx="121">
                  <c:v>0.0195289728343244</c:v>
                </c:pt>
                <c:pt idx="122">
                  <c:v>-0.0899994282120189</c:v>
                </c:pt>
                <c:pt idx="123">
                  <c:v>0.0351240967640591</c:v>
                </c:pt>
                <c:pt idx="124">
                  <c:v>0.00491683865485015</c:v>
                </c:pt>
                <c:pt idx="125">
                  <c:v>-0.0232860163092722</c:v>
                </c:pt>
                <c:pt idx="126">
                  <c:v>0.0230062772503787</c:v>
                </c:pt>
                <c:pt idx="127">
                  <c:v>-0.0393857872623401</c:v>
                </c:pt>
                <c:pt idx="128">
                  <c:v>0.0342039018250473</c:v>
                </c:pt>
                <c:pt idx="129">
                  <c:v>-0.0251924422673199</c:v>
                </c:pt>
                <c:pt idx="130">
                  <c:v>-0.0361434501701051</c:v>
                </c:pt>
                <c:pt idx="131">
                  <c:v>-0.0296298694990447</c:v>
                </c:pt>
                <c:pt idx="132">
                  <c:v>0.0461189347927651</c:v>
                </c:pt>
                <c:pt idx="133">
                  <c:v>0.181223682531581</c:v>
                </c:pt>
                <c:pt idx="134">
                  <c:v>0.0941694347673445</c:v>
                </c:pt>
                <c:pt idx="135">
                  <c:v>0.0398854773422845</c:v>
                </c:pt>
                <c:pt idx="136">
                  <c:v>-0.00348903446311588</c:v>
                </c:pt>
                <c:pt idx="137">
                  <c:v>0.0206978682862926</c:v>
                </c:pt>
                <c:pt idx="138">
                  <c:v>-0.011177486348999</c:v>
                </c:pt>
                <c:pt idx="139">
                  <c:v>-0.0260058997050147</c:v>
                </c:pt>
                <c:pt idx="140">
                  <c:v>0.0787924308870205</c:v>
                </c:pt>
                <c:pt idx="141">
                  <c:v>-0.136619876473891</c:v>
                </c:pt>
                <c:pt idx="142">
                  <c:v>-0.00949482337027219</c:v>
                </c:pt>
                <c:pt idx="143">
                  <c:v>0.0766341886178008</c:v>
                </c:pt>
                <c:pt idx="144">
                  <c:v>-0.111208683985852</c:v>
                </c:pt>
                <c:pt idx="145">
                  <c:v>-0.012542540344714</c:v>
                </c:pt>
                <c:pt idx="146">
                  <c:v>0.109647294254982</c:v>
                </c:pt>
                <c:pt idx="147">
                  <c:v>-0.0728383929465984</c:v>
                </c:pt>
                <c:pt idx="148">
                  <c:v>0.029905986600389</c:v>
                </c:pt>
                <c:pt idx="149">
                  <c:v>0.019253469034441</c:v>
                </c:pt>
                <c:pt idx="150">
                  <c:v>0.0988496281236329</c:v>
                </c:pt>
                <c:pt idx="151">
                  <c:v>-0.0812684434868145</c:v>
                </c:pt>
                <c:pt idx="152">
                  <c:v>-0.0624553890078515</c:v>
                </c:pt>
                <c:pt idx="153">
                  <c:v>0.000924465713198153</c:v>
                </c:pt>
                <c:pt idx="154">
                  <c:v>-0.0295284146473976</c:v>
                </c:pt>
                <c:pt idx="155">
                  <c:v>0.0114205738278517</c:v>
                </c:pt>
                <c:pt idx="156">
                  <c:v>-0.0120942075111394</c:v>
                </c:pt>
                <c:pt idx="157">
                  <c:v>-0.0116259524876736</c:v>
                </c:pt>
                <c:pt idx="158">
                  <c:v>-0.00918341316856097</c:v>
                </c:pt>
                <c:pt idx="159">
                  <c:v>0.0238292759676173</c:v>
                </c:pt>
              </c:numCache>
            </c:numRef>
          </c:val>
        </c:ser>
        <c:gapWidth val="150"/>
        <c:overlap val="0"/>
        <c:axId val="54598390"/>
        <c:axId val="87050903"/>
      </c:barChart>
      <c:lineChart>
        <c:grouping val="standard"/>
        <c:varyColors val="0"/>
        <c:ser>
          <c:idx val="1"/>
          <c:order val="1"/>
          <c:tx>
            <c:strRef>
              <c:f>'Returns (Calc)'!$Z$2</c:f>
              <c:strCache>
                <c:ptCount val="1"/>
                <c:pt idx="0">
                  <c:v>AVGO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(Calc)'!$Z$3:$Z$500</c:f>
              <c:numCache>
                <c:formatCode>#,##0.00</c:formatCode>
                <c:ptCount val="498"/>
                <c:pt idx="0">
                  <c:v>82</c:v>
                </c:pt>
                <c:pt idx="1">
                  <c:v>81.4842767295598</c:v>
                </c:pt>
                <c:pt idx="2">
                  <c:v>80.9685534591195</c:v>
                </c:pt>
                <c:pt idx="3">
                  <c:v>80.4528301886792</c:v>
                </c:pt>
                <c:pt idx="4">
                  <c:v>79.937106918239</c:v>
                </c:pt>
                <c:pt idx="5">
                  <c:v>79.4213836477988</c:v>
                </c:pt>
                <c:pt idx="6">
                  <c:v>78.9056603773585</c:v>
                </c:pt>
                <c:pt idx="7">
                  <c:v>78.3899371069182</c:v>
                </c:pt>
                <c:pt idx="8">
                  <c:v>77.874213836478</c:v>
                </c:pt>
                <c:pt idx="9">
                  <c:v>77.3584905660377</c:v>
                </c:pt>
                <c:pt idx="10">
                  <c:v>76.8427672955975</c:v>
                </c:pt>
                <c:pt idx="11">
                  <c:v>76.3270440251572</c:v>
                </c:pt>
                <c:pt idx="12">
                  <c:v>75.811320754717</c:v>
                </c:pt>
                <c:pt idx="13">
                  <c:v>75.2955974842767</c:v>
                </c:pt>
                <c:pt idx="14">
                  <c:v>74.7798742138365</c:v>
                </c:pt>
                <c:pt idx="15">
                  <c:v>74.2641509433962</c:v>
                </c:pt>
                <c:pt idx="16">
                  <c:v>73.748427672956</c:v>
                </c:pt>
                <c:pt idx="17">
                  <c:v>73.2327044025157</c:v>
                </c:pt>
                <c:pt idx="18">
                  <c:v>72.7169811320755</c:v>
                </c:pt>
                <c:pt idx="19">
                  <c:v>72.2012578616352</c:v>
                </c:pt>
                <c:pt idx="20">
                  <c:v>71.685534591195</c:v>
                </c:pt>
                <c:pt idx="21">
                  <c:v>71.1698113207547</c:v>
                </c:pt>
                <c:pt idx="22">
                  <c:v>70.6540880503145</c:v>
                </c:pt>
                <c:pt idx="23">
                  <c:v>70.1383647798742</c:v>
                </c:pt>
                <c:pt idx="24">
                  <c:v>69.622641509434</c:v>
                </c:pt>
                <c:pt idx="25">
                  <c:v>69.1069182389937</c:v>
                </c:pt>
                <c:pt idx="26">
                  <c:v>68.5911949685535</c:v>
                </c:pt>
                <c:pt idx="27">
                  <c:v>68.0754716981132</c:v>
                </c:pt>
                <c:pt idx="28">
                  <c:v>67.559748427673</c:v>
                </c:pt>
                <c:pt idx="29">
                  <c:v>67.0440251572327</c:v>
                </c:pt>
                <c:pt idx="30">
                  <c:v>66.5283018867925</c:v>
                </c:pt>
                <c:pt idx="31">
                  <c:v>66.0125786163522</c:v>
                </c:pt>
                <c:pt idx="32">
                  <c:v>65.496855345912</c:v>
                </c:pt>
                <c:pt idx="33">
                  <c:v>64.9811320754717</c:v>
                </c:pt>
                <c:pt idx="34">
                  <c:v>64.4654088050314</c:v>
                </c:pt>
                <c:pt idx="35">
                  <c:v>63.9496855345912</c:v>
                </c:pt>
                <c:pt idx="36">
                  <c:v>63.4339622641509</c:v>
                </c:pt>
                <c:pt idx="37">
                  <c:v>62.9182389937107</c:v>
                </c:pt>
                <c:pt idx="38">
                  <c:v>62.4025157232704</c:v>
                </c:pt>
                <c:pt idx="39">
                  <c:v>61.8867924528302</c:v>
                </c:pt>
                <c:pt idx="40">
                  <c:v>61.3710691823899</c:v>
                </c:pt>
                <c:pt idx="41">
                  <c:v>60.8553459119497</c:v>
                </c:pt>
                <c:pt idx="42">
                  <c:v>60.3396226415094</c:v>
                </c:pt>
                <c:pt idx="43">
                  <c:v>59.8238993710692</c:v>
                </c:pt>
                <c:pt idx="44">
                  <c:v>59.3081761006289</c:v>
                </c:pt>
                <c:pt idx="45">
                  <c:v>58.7924528301887</c:v>
                </c:pt>
                <c:pt idx="46">
                  <c:v>58.2767295597484</c:v>
                </c:pt>
                <c:pt idx="47">
                  <c:v>57.7610062893082</c:v>
                </c:pt>
                <c:pt idx="48">
                  <c:v>57.2452830188679</c:v>
                </c:pt>
                <c:pt idx="49">
                  <c:v>56.7295597484277</c:v>
                </c:pt>
                <c:pt idx="50">
                  <c:v>56.2138364779874</c:v>
                </c:pt>
                <c:pt idx="51">
                  <c:v>55.6981132075472</c:v>
                </c:pt>
                <c:pt idx="52">
                  <c:v>55.1823899371069</c:v>
                </c:pt>
                <c:pt idx="53">
                  <c:v>54.6666666666667</c:v>
                </c:pt>
                <c:pt idx="54">
                  <c:v>54.1509433962264</c:v>
                </c:pt>
                <c:pt idx="55">
                  <c:v>53.6352201257862</c:v>
                </c:pt>
                <c:pt idx="56">
                  <c:v>53.1194968553459</c:v>
                </c:pt>
                <c:pt idx="57">
                  <c:v>52.6037735849057</c:v>
                </c:pt>
                <c:pt idx="58">
                  <c:v>52.0880503144654</c:v>
                </c:pt>
                <c:pt idx="59">
                  <c:v>51.5723270440252</c:v>
                </c:pt>
                <c:pt idx="60">
                  <c:v>51.0566037735849</c:v>
                </c:pt>
                <c:pt idx="61">
                  <c:v>50.5408805031447</c:v>
                </c:pt>
                <c:pt idx="62">
                  <c:v>50.0251572327044</c:v>
                </c:pt>
                <c:pt idx="63">
                  <c:v>49.5094339622642</c:v>
                </c:pt>
                <c:pt idx="64">
                  <c:v>48.9937106918239</c:v>
                </c:pt>
                <c:pt idx="65">
                  <c:v>48.4779874213836</c:v>
                </c:pt>
                <c:pt idx="66">
                  <c:v>47.9622641509434</c:v>
                </c:pt>
                <c:pt idx="67">
                  <c:v>47.4465408805031</c:v>
                </c:pt>
                <c:pt idx="68">
                  <c:v>46.9308176100629</c:v>
                </c:pt>
                <c:pt idx="69">
                  <c:v>46.4150943396226</c:v>
                </c:pt>
                <c:pt idx="70">
                  <c:v>45.8993710691824</c:v>
                </c:pt>
                <c:pt idx="71">
                  <c:v>45.3836477987421</c:v>
                </c:pt>
                <c:pt idx="72">
                  <c:v>44.8679245283019</c:v>
                </c:pt>
                <c:pt idx="73">
                  <c:v>44.3522012578616</c:v>
                </c:pt>
                <c:pt idx="74">
                  <c:v>43.8364779874214</c:v>
                </c:pt>
                <c:pt idx="75">
                  <c:v>43.3207547169811</c:v>
                </c:pt>
                <c:pt idx="76">
                  <c:v>42.8050314465409</c:v>
                </c:pt>
                <c:pt idx="77">
                  <c:v>42.2893081761006</c:v>
                </c:pt>
                <c:pt idx="78">
                  <c:v>41.7735849056604</c:v>
                </c:pt>
                <c:pt idx="79">
                  <c:v>41.2578616352201</c:v>
                </c:pt>
                <c:pt idx="80">
                  <c:v>40.7421383647799</c:v>
                </c:pt>
                <c:pt idx="81">
                  <c:v>40.2264150943396</c:v>
                </c:pt>
                <c:pt idx="82">
                  <c:v>39.7106918238994</c:v>
                </c:pt>
                <c:pt idx="83">
                  <c:v>39.1949685534591</c:v>
                </c:pt>
                <c:pt idx="84">
                  <c:v>38.6792452830189</c:v>
                </c:pt>
                <c:pt idx="85">
                  <c:v>38.1635220125786</c:v>
                </c:pt>
                <c:pt idx="86">
                  <c:v>37.6477987421384</c:v>
                </c:pt>
                <c:pt idx="87">
                  <c:v>37.1320754716981</c:v>
                </c:pt>
                <c:pt idx="88">
                  <c:v>36.6163522012579</c:v>
                </c:pt>
                <c:pt idx="89">
                  <c:v>36.1006289308176</c:v>
                </c:pt>
                <c:pt idx="90">
                  <c:v>35.5849056603774</c:v>
                </c:pt>
                <c:pt idx="91">
                  <c:v>35.0691823899371</c:v>
                </c:pt>
                <c:pt idx="92">
                  <c:v>34.5534591194969</c:v>
                </c:pt>
                <c:pt idx="93">
                  <c:v>34.0377358490566</c:v>
                </c:pt>
                <c:pt idx="94">
                  <c:v>33.5220125786164</c:v>
                </c:pt>
                <c:pt idx="95">
                  <c:v>33.0062893081761</c:v>
                </c:pt>
                <c:pt idx="96">
                  <c:v>32.4905660377358</c:v>
                </c:pt>
                <c:pt idx="97">
                  <c:v>31.9748427672956</c:v>
                </c:pt>
                <c:pt idx="98">
                  <c:v>31.4591194968553</c:v>
                </c:pt>
                <c:pt idx="99">
                  <c:v>30.9433962264151</c:v>
                </c:pt>
                <c:pt idx="100">
                  <c:v>30.4276729559748</c:v>
                </c:pt>
                <c:pt idx="101">
                  <c:v>29.9119496855346</c:v>
                </c:pt>
                <c:pt idx="102">
                  <c:v>29.3962264150943</c:v>
                </c:pt>
                <c:pt idx="103">
                  <c:v>28.8805031446541</c:v>
                </c:pt>
                <c:pt idx="104">
                  <c:v>28.3647798742138</c:v>
                </c:pt>
                <c:pt idx="105">
                  <c:v>27.8490566037736</c:v>
                </c:pt>
                <c:pt idx="106">
                  <c:v>27.3333333333333</c:v>
                </c:pt>
                <c:pt idx="107">
                  <c:v>26.8176100628931</c:v>
                </c:pt>
                <c:pt idx="108">
                  <c:v>26.3018867924528</c:v>
                </c:pt>
                <c:pt idx="109">
                  <c:v>25.7861635220126</c:v>
                </c:pt>
                <c:pt idx="110">
                  <c:v>25.2704402515723</c:v>
                </c:pt>
                <c:pt idx="111">
                  <c:v>24.7547169811321</c:v>
                </c:pt>
                <c:pt idx="112">
                  <c:v>24.2389937106918</c:v>
                </c:pt>
                <c:pt idx="113">
                  <c:v>23.7232704402516</c:v>
                </c:pt>
                <c:pt idx="114">
                  <c:v>23.2075471698113</c:v>
                </c:pt>
                <c:pt idx="115">
                  <c:v>22.6918238993711</c:v>
                </c:pt>
                <c:pt idx="116">
                  <c:v>22.1761006289308</c:v>
                </c:pt>
                <c:pt idx="117">
                  <c:v>21.6603773584906</c:v>
                </c:pt>
                <c:pt idx="118">
                  <c:v>21.1446540880503</c:v>
                </c:pt>
                <c:pt idx="119">
                  <c:v>20.6289308176101</c:v>
                </c:pt>
                <c:pt idx="120">
                  <c:v>20.1132075471698</c:v>
                </c:pt>
                <c:pt idx="121">
                  <c:v>19.5974842767296</c:v>
                </c:pt>
                <c:pt idx="122">
                  <c:v>19.0817610062893</c:v>
                </c:pt>
                <c:pt idx="123">
                  <c:v>18.5660377358491</c:v>
                </c:pt>
                <c:pt idx="124">
                  <c:v>18.0503144654088</c:v>
                </c:pt>
                <c:pt idx="125">
                  <c:v>17.5345911949686</c:v>
                </c:pt>
                <c:pt idx="126">
                  <c:v>17.0188679245283</c:v>
                </c:pt>
                <c:pt idx="127">
                  <c:v>16.503144654088</c:v>
                </c:pt>
                <c:pt idx="128">
                  <c:v>15.9874213836478</c:v>
                </c:pt>
                <c:pt idx="129">
                  <c:v>15.4716981132076</c:v>
                </c:pt>
                <c:pt idx="130">
                  <c:v>14.9559748427673</c:v>
                </c:pt>
                <c:pt idx="131">
                  <c:v>14.440251572327</c:v>
                </c:pt>
                <c:pt idx="132">
                  <c:v>13.9245283018868</c:v>
                </c:pt>
                <c:pt idx="133">
                  <c:v>13.4088050314465</c:v>
                </c:pt>
                <c:pt idx="134">
                  <c:v>12.8930817610063</c:v>
                </c:pt>
                <c:pt idx="135">
                  <c:v>12.377358490566</c:v>
                </c:pt>
                <c:pt idx="136">
                  <c:v>11.8616352201258</c:v>
                </c:pt>
                <c:pt idx="137">
                  <c:v>11.3459119496855</c:v>
                </c:pt>
                <c:pt idx="138">
                  <c:v>10.8301886792453</c:v>
                </c:pt>
                <c:pt idx="139">
                  <c:v>10.314465408805</c:v>
                </c:pt>
                <c:pt idx="140">
                  <c:v>9.79874213836477</c:v>
                </c:pt>
                <c:pt idx="141">
                  <c:v>9.28301886792453</c:v>
                </c:pt>
                <c:pt idx="142">
                  <c:v>8.76729559748428</c:v>
                </c:pt>
                <c:pt idx="143">
                  <c:v>8.25157232704403</c:v>
                </c:pt>
                <c:pt idx="144">
                  <c:v>7.73584905660377</c:v>
                </c:pt>
                <c:pt idx="145">
                  <c:v>7.22012578616352</c:v>
                </c:pt>
                <c:pt idx="146">
                  <c:v>6.70440251572327</c:v>
                </c:pt>
                <c:pt idx="147">
                  <c:v>6.18867924528301</c:v>
                </c:pt>
                <c:pt idx="148">
                  <c:v>5.67295597484277</c:v>
                </c:pt>
                <c:pt idx="149">
                  <c:v>5.15723270440252</c:v>
                </c:pt>
                <c:pt idx="150">
                  <c:v>4.64150943396227</c:v>
                </c:pt>
                <c:pt idx="151">
                  <c:v>4.12578616352201</c:v>
                </c:pt>
                <c:pt idx="152">
                  <c:v>3.61006289308176</c:v>
                </c:pt>
                <c:pt idx="153">
                  <c:v>3.09433962264151</c:v>
                </c:pt>
                <c:pt idx="154">
                  <c:v>2.57861635220125</c:v>
                </c:pt>
                <c:pt idx="155">
                  <c:v>2.062893081761</c:v>
                </c:pt>
                <c:pt idx="156">
                  <c:v>1.54716981132076</c:v>
                </c:pt>
                <c:pt idx="157">
                  <c:v>1.03144654088051</c:v>
                </c:pt>
                <c:pt idx="158">
                  <c:v>0.515723270440248</c:v>
                </c:pt>
                <c:pt idx="159">
                  <c:v>0</c:v>
                </c:pt>
              </c:numCache>
            </c:numRef>
          </c:val>
          <c:smooth val="0"/>
        </c:ser>
        <c:hiLowLines>
          <c:spPr>
            <a:ln w="0">
              <a:noFill/>
            </a:ln>
          </c:spPr>
        </c:hiLowLines>
        <c:marker val="0"/>
        <c:axId val="67770267"/>
        <c:axId val="72067988"/>
      </c:lineChart>
      <c:dateAx>
        <c:axId val="54598390"/>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7050903"/>
        <c:auto val="1"/>
        <c:lblOffset val="100"/>
        <c:baseTimeUnit val="days"/>
      </c:dateAx>
      <c:valAx>
        <c:axId val="8705090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4598390"/>
        <c:crosses val="autoZero"/>
        <c:crossBetween val="between"/>
      </c:valAx>
      <c:dateAx>
        <c:axId val="67770267"/>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2067988"/>
        <c:auto val="1"/>
        <c:lblOffset val="100"/>
        <c:baseTimeUnit val="days"/>
      </c:dateAx>
      <c:valAx>
        <c:axId val="7206798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7770267"/>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CRWD</a:t>
            </a:r>
          </a:p>
        </c:rich>
      </c:tx>
      <c:overlay val="0"/>
      <c:spPr>
        <a:noFill/>
        <a:ln w="0">
          <a:noFill/>
        </a:ln>
      </c:spPr>
    </c:title>
    <c:autoTitleDeleted val="0"/>
    <c:plotArea>
      <c:barChart>
        <c:barDir val="col"/>
        <c:grouping val="clustered"/>
        <c:varyColors val="0"/>
        <c:ser>
          <c:idx val="0"/>
          <c:order val="0"/>
          <c:tx>
            <c:strRef>
              <c:f>'Returns (Calc)'!$F$2</c:f>
              <c:strCache>
                <c:ptCount val="1"/>
                <c:pt idx="0">
                  <c:v>AVUV</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(Calc)'!$F$3:$F$500</c:f>
              <c:numCache>
                <c:formatCode>0.0%</c:formatCode>
                <c:ptCount val="498"/>
                <c:pt idx="0">
                  <c:v>-0.0292125879697251</c:v>
                </c:pt>
                <c:pt idx="1">
                  <c:v>0.0164136233073451</c:v>
                </c:pt>
                <c:pt idx="2">
                  <c:v>-0.0301439913874312</c:v>
                </c:pt>
                <c:pt idx="3">
                  <c:v>0.00263632579436668</c:v>
                </c:pt>
                <c:pt idx="4">
                  <c:v>-0.0167450871851648</c:v>
                </c:pt>
                <c:pt idx="5">
                  <c:v>-0.0154820548909218</c:v>
                </c:pt>
                <c:pt idx="6">
                  <c:v>0.0716225875625445</c:v>
                </c:pt>
                <c:pt idx="7">
                  <c:v>-0.0341515474919956</c:v>
                </c:pt>
                <c:pt idx="8">
                  <c:v>0.055524861878453</c:v>
                </c:pt>
                <c:pt idx="9">
                  <c:v>0.000130855796911966</c:v>
                </c:pt>
                <c:pt idx="10">
                  <c:v>0.0334947010336253</c:v>
                </c:pt>
                <c:pt idx="11">
                  <c:v>0.00835548803646047</c:v>
                </c:pt>
                <c:pt idx="12">
                  <c:v>0.0548650345260513</c:v>
                </c:pt>
                <c:pt idx="13">
                  <c:v>0.0277314925017853</c:v>
                </c:pt>
                <c:pt idx="14">
                  <c:v>-0.00370584829183551</c:v>
                </c:pt>
                <c:pt idx="15">
                  <c:v>-0.0259211902824597</c:v>
                </c:pt>
                <c:pt idx="16">
                  <c:v>-0.0113365155131265</c:v>
                </c:pt>
                <c:pt idx="17">
                  <c:v>0.0030175015087508</c:v>
                </c:pt>
                <c:pt idx="18">
                  <c:v>0.023586040914561</c:v>
                </c:pt>
                <c:pt idx="19">
                  <c:v>-0.0186926875146956</c:v>
                </c:pt>
                <c:pt idx="20">
                  <c:v>0.00898526416676648</c:v>
                </c:pt>
                <c:pt idx="21">
                  <c:v>0.00712419852766555</c:v>
                </c:pt>
                <c:pt idx="22">
                  <c:v>-0.00330110822919105</c:v>
                </c:pt>
                <c:pt idx="23">
                  <c:v>0.0157321977762006</c:v>
                </c:pt>
                <c:pt idx="24">
                  <c:v>0.00116455106556423</c:v>
                </c:pt>
                <c:pt idx="25">
                  <c:v>-0.00849133418634407</c:v>
                </c:pt>
                <c:pt idx="26">
                  <c:v>0.0273345847020179</c:v>
                </c:pt>
                <c:pt idx="27">
                  <c:v>0.0286627840584677</c:v>
                </c:pt>
                <c:pt idx="28">
                  <c:v>-0.0215364120781527</c:v>
                </c:pt>
                <c:pt idx="29">
                  <c:v>-0.0308599954617653</c:v>
                </c:pt>
                <c:pt idx="30">
                  <c:v>-0.00901428236946844</c:v>
                </c:pt>
                <c:pt idx="31">
                  <c:v>0.0248080330773774</c:v>
                </c:pt>
                <c:pt idx="32">
                  <c:v>0.00680115273775228</c:v>
                </c:pt>
                <c:pt idx="33">
                  <c:v>0.0172887565834667</c:v>
                </c:pt>
                <c:pt idx="34">
                  <c:v>0.0110298255486776</c:v>
                </c:pt>
                <c:pt idx="35">
                  <c:v>-0.0148057441834576</c:v>
                </c:pt>
                <c:pt idx="36">
                  <c:v>0.0107344632768362</c:v>
                </c:pt>
                <c:pt idx="37">
                  <c:v>-0.0340972610396869</c:v>
                </c:pt>
                <c:pt idx="38">
                  <c:v>-0.0238425925925926</c:v>
                </c:pt>
                <c:pt idx="39">
                  <c:v>0.0107896608963718</c:v>
                </c:pt>
                <c:pt idx="40">
                  <c:v>0.0166568914956011</c:v>
                </c:pt>
                <c:pt idx="41">
                  <c:v>-0.0164993654090229</c:v>
                </c:pt>
                <c:pt idx="42">
                  <c:v>0.0557250117315815</c:v>
                </c:pt>
                <c:pt idx="43">
                  <c:v>0.0264473830425604</c:v>
                </c:pt>
                <c:pt idx="44">
                  <c:v>0.0362671863159034</c:v>
                </c:pt>
                <c:pt idx="45">
                  <c:v>-0.0714584203928124</c:v>
                </c:pt>
                <c:pt idx="46">
                  <c:v>-0.0176642664266425</c:v>
                </c:pt>
                <c:pt idx="47">
                  <c:v>0.0286336043981217</c:v>
                </c:pt>
                <c:pt idx="48">
                  <c:v>0.0310655828972275</c:v>
                </c:pt>
                <c:pt idx="49">
                  <c:v>0.000539956803455866</c:v>
                </c:pt>
                <c:pt idx="50">
                  <c:v>-0.0566648677819752</c:v>
                </c:pt>
                <c:pt idx="51">
                  <c:v>0.0288329519450801</c:v>
                </c:pt>
                <c:pt idx="52">
                  <c:v>0.0302491103202847</c:v>
                </c:pt>
                <c:pt idx="53">
                  <c:v>0.000431778929188331</c:v>
                </c:pt>
                <c:pt idx="54">
                  <c:v>0.00280535174794982</c:v>
                </c:pt>
                <c:pt idx="55">
                  <c:v>0.0119431891542932</c:v>
                </c:pt>
                <c:pt idx="56">
                  <c:v>0.0125465178096758</c:v>
                </c:pt>
                <c:pt idx="57">
                  <c:v>-0.0332878294655046</c:v>
                </c:pt>
                <c:pt idx="58">
                  <c:v>-0.00238974581794482</c:v>
                </c:pt>
                <c:pt idx="59">
                  <c:v>0.0886324041811846</c:v>
                </c:pt>
                <c:pt idx="60">
                  <c:v>-0.0194038807761552</c:v>
                </c:pt>
                <c:pt idx="61">
                  <c:v>0.036515707874337</c:v>
                </c:pt>
                <c:pt idx="62">
                  <c:v>0.00679000196811641</c:v>
                </c:pt>
                <c:pt idx="63">
                  <c:v>-0.0208190792688886</c:v>
                </c:pt>
                <c:pt idx="64">
                  <c:v>-0.0123777201038132</c:v>
                </c:pt>
                <c:pt idx="65">
                  <c:v>-0.0538710329492622</c:v>
                </c:pt>
                <c:pt idx="66">
                  <c:v>0.00395256916996045</c:v>
                </c:pt>
                <c:pt idx="67">
                  <c:v>0.00787401574803148</c:v>
                </c:pt>
                <c:pt idx="68">
                  <c:v>-0.0262880067567567</c:v>
                </c:pt>
                <c:pt idx="69">
                  <c:v>0.0488994904044235</c:v>
                </c:pt>
                <c:pt idx="70">
                  <c:v>0.0050651230101304</c:v>
                </c:pt>
                <c:pt idx="71">
                  <c:v>-0.0151187904967602</c:v>
                </c:pt>
                <c:pt idx="72">
                  <c:v>-0.0115914786967418</c:v>
                </c:pt>
                <c:pt idx="73">
                  <c:v>0.00306391970417308</c:v>
                </c:pt>
                <c:pt idx="74">
                  <c:v>-0.0365493996208132</c:v>
                </c:pt>
                <c:pt idx="75">
                  <c:v>-0.0112605225757079</c:v>
                </c:pt>
                <c:pt idx="76">
                  <c:v>-0.0448916408668731</c:v>
                </c:pt>
                <c:pt idx="77">
                  <c:v>-0.0187543412827043</c:v>
                </c:pt>
                <c:pt idx="78">
                  <c:v>0.00967437470504939</c:v>
                </c:pt>
                <c:pt idx="79">
                  <c:v>-0.00467398924982465</c:v>
                </c:pt>
                <c:pt idx="80">
                  <c:v>-0.104719417703686</c:v>
                </c:pt>
                <c:pt idx="81">
                  <c:v>0.0125885129819039</c:v>
                </c:pt>
                <c:pt idx="82">
                  <c:v>0.0186480186480187</c:v>
                </c:pt>
                <c:pt idx="83">
                  <c:v>0.0280956013221461</c:v>
                </c:pt>
                <c:pt idx="84">
                  <c:v>0.0338815382712996</c:v>
                </c:pt>
                <c:pt idx="85">
                  <c:v>0.011601483076187</c:v>
                </c:pt>
                <c:pt idx="86">
                  <c:v>0.0489477417829274</c:v>
                </c:pt>
                <c:pt idx="87">
                  <c:v>-0.0400135256988278</c:v>
                </c:pt>
                <c:pt idx="88">
                  <c:v>0.0117412234354819</c:v>
                </c:pt>
                <c:pt idx="89">
                  <c:v>0.0184518974120924</c:v>
                </c:pt>
                <c:pt idx="90">
                  <c:v>-0.00603919781221518</c:v>
                </c:pt>
                <c:pt idx="91">
                  <c:v>0.00171959188352622</c:v>
                </c:pt>
                <c:pt idx="92">
                  <c:v>0.0255207141222249</c:v>
                </c:pt>
                <c:pt idx="93">
                  <c:v>0.0416248186586319</c:v>
                </c:pt>
                <c:pt idx="94">
                  <c:v>-0.00128562245553898</c:v>
                </c:pt>
                <c:pt idx="95">
                  <c:v>-0.0118000429092469</c:v>
                </c:pt>
                <c:pt idx="96">
                  <c:v>0.0147633521493704</c:v>
                </c:pt>
                <c:pt idx="97">
                  <c:v>-0.0502781343602911</c:v>
                </c:pt>
                <c:pt idx="98">
                  <c:v>0.0233160621761657</c:v>
                </c:pt>
                <c:pt idx="99">
                  <c:v>0.0298293891029169</c:v>
                </c:pt>
                <c:pt idx="100">
                  <c:v>0.0397605814450619</c:v>
                </c:pt>
                <c:pt idx="101">
                  <c:v>0.00842927631578938</c:v>
                </c:pt>
                <c:pt idx="102">
                  <c:v>0.0109072375127421</c:v>
                </c:pt>
                <c:pt idx="103">
                  <c:v>-0.00796611878592324</c:v>
                </c:pt>
                <c:pt idx="104">
                  <c:v>0.00569221386460672</c:v>
                </c:pt>
                <c:pt idx="105">
                  <c:v>0.00303214069132807</c:v>
                </c:pt>
                <c:pt idx="106">
                  <c:v>0.00110842402257161</c:v>
                </c:pt>
                <c:pt idx="107">
                  <c:v>-0.054353296426774</c:v>
                </c:pt>
                <c:pt idx="108">
                  <c:v>0.0195848855774348</c:v>
                </c:pt>
                <c:pt idx="109">
                  <c:v>0.0294393986846226</c:v>
                </c:pt>
                <c:pt idx="110">
                  <c:v>-0.021194605009634</c:v>
                </c:pt>
                <c:pt idx="111">
                  <c:v>-0.000621632822213059</c:v>
                </c:pt>
                <c:pt idx="112">
                  <c:v>-0.00145137880986934</c:v>
                </c:pt>
                <c:pt idx="113">
                  <c:v>-0.00778654485049835</c:v>
                </c:pt>
                <c:pt idx="114">
                  <c:v>0.0443653866276028</c:v>
                </c:pt>
                <c:pt idx="115">
                  <c:v>0.0175333132952611</c:v>
                </c:pt>
                <c:pt idx="116">
                  <c:v>0.0214651437573847</c:v>
                </c:pt>
                <c:pt idx="117">
                  <c:v>-0.00906111432427215</c:v>
                </c:pt>
                <c:pt idx="118">
                  <c:v>-0.000875486381322954</c:v>
                </c:pt>
                <c:pt idx="119">
                  <c:v>-0.00554960568591167</c:v>
                </c:pt>
                <c:pt idx="120">
                  <c:v>0.0408263168200509</c:v>
                </c:pt>
                <c:pt idx="121">
                  <c:v>0.0110055498071677</c:v>
                </c:pt>
                <c:pt idx="122">
                  <c:v>-0.000186081131373417</c:v>
                </c:pt>
                <c:pt idx="123">
                  <c:v>0.00725851479620321</c:v>
                </c:pt>
                <c:pt idx="124">
                  <c:v>0.054138950480414</c:v>
                </c:pt>
                <c:pt idx="125">
                  <c:v>-0.002541630148992</c:v>
                </c:pt>
                <c:pt idx="126">
                  <c:v>0.00562340743344181</c:v>
                </c:pt>
                <c:pt idx="127">
                  <c:v>-0.0221930974224552</c:v>
                </c:pt>
                <c:pt idx="128">
                  <c:v>-0.0383343758377267</c:v>
                </c:pt>
                <c:pt idx="129">
                  <c:v>-0.0191414235272255</c:v>
                </c:pt>
                <c:pt idx="130">
                  <c:v>-0.00198938992042452</c:v>
                </c:pt>
                <c:pt idx="131">
                  <c:v>0.0296155671570955</c:v>
                </c:pt>
                <c:pt idx="132">
                  <c:v>0.0200977228726837</c:v>
                </c:pt>
                <c:pt idx="133">
                  <c:v>0.029733393583371</c:v>
                </c:pt>
                <c:pt idx="134">
                  <c:v>0.0243110408987186</c:v>
                </c:pt>
                <c:pt idx="135">
                  <c:v>0.0122525918944392</c:v>
                </c:pt>
                <c:pt idx="136">
                  <c:v>0.00837988826815628</c:v>
                </c:pt>
                <c:pt idx="137">
                  <c:v>-0.00100730294636109</c:v>
                </c:pt>
                <c:pt idx="138">
                  <c:v>-0.0215948239643728</c:v>
                </c:pt>
                <c:pt idx="139">
                  <c:v>0.0237031947784268</c:v>
                </c:pt>
                <c:pt idx="140">
                  <c:v>0.000167785234899354</c:v>
                </c:pt>
                <c:pt idx="141">
                  <c:v>-0.00293574903539673</c:v>
                </c:pt>
                <c:pt idx="142">
                  <c:v>0.0429040127870783</c:v>
                </c:pt>
                <c:pt idx="143">
                  <c:v>-0.0191175284342987</c:v>
                </c:pt>
                <c:pt idx="144">
                  <c:v>0.0240953947368421</c:v>
                </c:pt>
                <c:pt idx="145">
                  <c:v>-0.0114028748092829</c:v>
                </c:pt>
                <c:pt idx="146">
                  <c:v>0.00357403947689061</c:v>
                </c:pt>
                <c:pt idx="147">
                  <c:v>0.0112505058680696</c:v>
                </c:pt>
                <c:pt idx="148">
                  <c:v>-0.000560268929085894</c:v>
                </c:pt>
                <c:pt idx="149">
                  <c:v>0</c:v>
                </c:pt>
                <c:pt idx="150">
                  <c:v>0.0128133258588932</c:v>
                </c:pt>
                <c:pt idx="151">
                  <c:v>0.0145489048786274</c:v>
                </c:pt>
                <c:pt idx="152">
                  <c:v>-0.0176915283298261</c:v>
                </c:pt>
                <c:pt idx="153">
                  <c:v>-0.00698191050460184</c:v>
                </c:pt>
                <c:pt idx="154">
                  <c:v>0.0108660914030041</c:v>
                </c:pt>
                <c:pt idx="155">
                  <c:v>-0.0159658552007588</c:v>
                </c:pt>
                <c:pt idx="156">
                  <c:v>-0.0204016064257029</c:v>
                </c:pt>
                <c:pt idx="157">
                  <c:v>-0.0127090849458839</c:v>
                </c:pt>
                <c:pt idx="158">
                  <c:v>-0.00714226393156714</c:v>
                </c:pt>
                <c:pt idx="159">
                  <c:v>0.782517774989544</c:v>
                </c:pt>
              </c:numCache>
            </c:numRef>
          </c:val>
        </c:ser>
        <c:gapWidth val="150"/>
        <c:overlap val="0"/>
        <c:axId val="19123772"/>
        <c:axId val="84199239"/>
      </c:barChart>
      <c:lineChart>
        <c:grouping val="standard"/>
        <c:varyColors val="0"/>
        <c:ser>
          <c:idx val="1"/>
          <c:order val="1"/>
          <c:tx>
            <c:strRef>
              <c:f>'Returns (Calc)'!$AA$2</c:f>
              <c:strCache>
                <c:ptCount val="1"/>
                <c:pt idx="0">
                  <c:v>CRWD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(Calc)'!$AA$3:$AA$500</c:f>
              <c:numCache>
                <c:formatCode>#,##0.00</c:formatCode>
                <c:ptCount val="498"/>
                <c:pt idx="0">
                  <c:v>75.31</c:v>
                </c:pt>
                <c:pt idx="1">
                  <c:v>74.8363522012579</c:v>
                </c:pt>
                <c:pt idx="2">
                  <c:v>74.3627044025157</c:v>
                </c:pt>
                <c:pt idx="3">
                  <c:v>73.8890566037736</c:v>
                </c:pt>
                <c:pt idx="4">
                  <c:v>73.4154088050315</c:v>
                </c:pt>
                <c:pt idx="5">
                  <c:v>72.9417610062893</c:v>
                </c:pt>
                <c:pt idx="6">
                  <c:v>72.4681132075472</c:v>
                </c:pt>
                <c:pt idx="7">
                  <c:v>71.994465408805</c:v>
                </c:pt>
                <c:pt idx="8">
                  <c:v>71.5208176100629</c:v>
                </c:pt>
                <c:pt idx="9">
                  <c:v>71.0471698113208</c:v>
                </c:pt>
                <c:pt idx="10">
                  <c:v>70.5735220125786</c:v>
                </c:pt>
                <c:pt idx="11">
                  <c:v>70.0998742138365</c:v>
                </c:pt>
                <c:pt idx="12">
                  <c:v>69.6262264150943</c:v>
                </c:pt>
                <c:pt idx="13">
                  <c:v>69.1525786163522</c:v>
                </c:pt>
                <c:pt idx="14">
                  <c:v>68.6789308176101</c:v>
                </c:pt>
                <c:pt idx="15">
                  <c:v>68.2052830188679</c:v>
                </c:pt>
                <c:pt idx="16">
                  <c:v>67.7316352201258</c:v>
                </c:pt>
                <c:pt idx="17">
                  <c:v>67.2579874213837</c:v>
                </c:pt>
                <c:pt idx="18">
                  <c:v>66.7843396226415</c:v>
                </c:pt>
                <c:pt idx="19">
                  <c:v>66.3106918238994</c:v>
                </c:pt>
                <c:pt idx="20">
                  <c:v>65.8370440251572</c:v>
                </c:pt>
                <c:pt idx="21">
                  <c:v>65.3633962264151</c:v>
                </c:pt>
                <c:pt idx="22">
                  <c:v>64.889748427673</c:v>
                </c:pt>
                <c:pt idx="23">
                  <c:v>64.4161006289308</c:v>
                </c:pt>
                <c:pt idx="24">
                  <c:v>63.9424528301887</c:v>
                </c:pt>
                <c:pt idx="25">
                  <c:v>63.4688050314465</c:v>
                </c:pt>
                <c:pt idx="26">
                  <c:v>62.9951572327044</c:v>
                </c:pt>
                <c:pt idx="27">
                  <c:v>62.5215094339623</c:v>
                </c:pt>
                <c:pt idx="28">
                  <c:v>62.0478616352201</c:v>
                </c:pt>
                <c:pt idx="29">
                  <c:v>61.574213836478</c:v>
                </c:pt>
                <c:pt idx="30">
                  <c:v>61.1005660377359</c:v>
                </c:pt>
                <c:pt idx="31">
                  <c:v>60.6269182389937</c:v>
                </c:pt>
                <c:pt idx="32">
                  <c:v>60.1532704402516</c:v>
                </c:pt>
                <c:pt idx="33">
                  <c:v>59.6796226415094</c:v>
                </c:pt>
                <c:pt idx="34">
                  <c:v>59.2059748427673</c:v>
                </c:pt>
                <c:pt idx="35">
                  <c:v>58.7323270440252</c:v>
                </c:pt>
                <c:pt idx="36">
                  <c:v>58.258679245283</c:v>
                </c:pt>
                <c:pt idx="37">
                  <c:v>57.7850314465409</c:v>
                </c:pt>
                <c:pt idx="38">
                  <c:v>57.3113836477987</c:v>
                </c:pt>
                <c:pt idx="39">
                  <c:v>56.8377358490566</c:v>
                </c:pt>
                <c:pt idx="40">
                  <c:v>56.3640880503145</c:v>
                </c:pt>
                <c:pt idx="41">
                  <c:v>55.8904402515723</c:v>
                </c:pt>
                <c:pt idx="42">
                  <c:v>55.4167924528302</c:v>
                </c:pt>
                <c:pt idx="43">
                  <c:v>54.9431446540881</c:v>
                </c:pt>
                <c:pt idx="44">
                  <c:v>54.4694968553459</c:v>
                </c:pt>
                <c:pt idx="45">
                  <c:v>53.9958490566038</c:v>
                </c:pt>
                <c:pt idx="46">
                  <c:v>53.5222012578616</c:v>
                </c:pt>
                <c:pt idx="47">
                  <c:v>53.0485534591195</c:v>
                </c:pt>
                <c:pt idx="48">
                  <c:v>52.5749056603774</c:v>
                </c:pt>
                <c:pt idx="49">
                  <c:v>52.1012578616352</c:v>
                </c:pt>
                <c:pt idx="50">
                  <c:v>51.6276100628931</c:v>
                </c:pt>
                <c:pt idx="51">
                  <c:v>51.153962264151</c:v>
                </c:pt>
                <c:pt idx="52">
                  <c:v>50.6803144654088</c:v>
                </c:pt>
                <c:pt idx="53">
                  <c:v>50.2066666666667</c:v>
                </c:pt>
                <c:pt idx="54">
                  <c:v>49.7330188679245</c:v>
                </c:pt>
                <c:pt idx="55">
                  <c:v>49.2593710691824</c:v>
                </c:pt>
                <c:pt idx="56">
                  <c:v>48.7857232704403</c:v>
                </c:pt>
                <c:pt idx="57">
                  <c:v>48.3120754716981</c:v>
                </c:pt>
                <c:pt idx="58">
                  <c:v>47.838427672956</c:v>
                </c:pt>
                <c:pt idx="59">
                  <c:v>47.3647798742138</c:v>
                </c:pt>
                <c:pt idx="60">
                  <c:v>46.8911320754717</c:v>
                </c:pt>
                <c:pt idx="61">
                  <c:v>46.4174842767296</c:v>
                </c:pt>
                <c:pt idx="62">
                  <c:v>45.9438364779874</c:v>
                </c:pt>
                <c:pt idx="63">
                  <c:v>45.4701886792453</c:v>
                </c:pt>
                <c:pt idx="64">
                  <c:v>44.9965408805032</c:v>
                </c:pt>
                <c:pt idx="65">
                  <c:v>44.522893081761</c:v>
                </c:pt>
                <c:pt idx="66">
                  <c:v>44.0492452830189</c:v>
                </c:pt>
                <c:pt idx="67">
                  <c:v>43.5755974842767</c:v>
                </c:pt>
                <c:pt idx="68">
                  <c:v>43.1019496855346</c:v>
                </c:pt>
                <c:pt idx="69">
                  <c:v>42.6283018867925</c:v>
                </c:pt>
                <c:pt idx="70">
                  <c:v>42.1546540880503</c:v>
                </c:pt>
                <c:pt idx="71">
                  <c:v>41.6810062893082</c:v>
                </c:pt>
                <c:pt idx="72">
                  <c:v>41.207358490566</c:v>
                </c:pt>
                <c:pt idx="73">
                  <c:v>40.7337106918239</c:v>
                </c:pt>
                <c:pt idx="74">
                  <c:v>40.2600628930818</c:v>
                </c:pt>
                <c:pt idx="75">
                  <c:v>39.7864150943396</c:v>
                </c:pt>
                <c:pt idx="76">
                  <c:v>39.3127672955975</c:v>
                </c:pt>
                <c:pt idx="77">
                  <c:v>38.8391194968553</c:v>
                </c:pt>
                <c:pt idx="78">
                  <c:v>38.3654716981132</c:v>
                </c:pt>
                <c:pt idx="79">
                  <c:v>37.8918238993711</c:v>
                </c:pt>
                <c:pt idx="80">
                  <c:v>37.4181761006289</c:v>
                </c:pt>
                <c:pt idx="81">
                  <c:v>36.9445283018868</c:v>
                </c:pt>
                <c:pt idx="82">
                  <c:v>36.4708805031447</c:v>
                </c:pt>
                <c:pt idx="83">
                  <c:v>35.9972327044025</c:v>
                </c:pt>
                <c:pt idx="84">
                  <c:v>35.5235849056604</c:v>
                </c:pt>
                <c:pt idx="85">
                  <c:v>35.0499371069182</c:v>
                </c:pt>
                <c:pt idx="86">
                  <c:v>34.5762893081761</c:v>
                </c:pt>
                <c:pt idx="87">
                  <c:v>34.102641509434</c:v>
                </c:pt>
                <c:pt idx="88">
                  <c:v>33.6289937106918</c:v>
                </c:pt>
                <c:pt idx="89">
                  <c:v>33.1553459119497</c:v>
                </c:pt>
                <c:pt idx="90">
                  <c:v>32.6816981132075</c:v>
                </c:pt>
                <c:pt idx="91">
                  <c:v>32.2080503144654</c:v>
                </c:pt>
                <c:pt idx="92">
                  <c:v>31.7344025157233</c:v>
                </c:pt>
                <c:pt idx="93">
                  <c:v>31.2607547169811</c:v>
                </c:pt>
                <c:pt idx="94">
                  <c:v>30.787106918239</c:v>
                </c:pt>
                <c:pt idx="95">
                  <c:v>30.3134591194969</c:v>
                </c:pt>
                <c:pt idx="96">
                  <c:v>29.8398113207547</c:v>
                </c:pt>
                <c:pt idx="97">
                  <c:v>29.3661635220126</c:v>
                </c:pt>
                <c:pt idx="98">
                  <c:v>28.8925157232704</c:v>
                </c:pt>
                <c:pt idx="99">
                  <c:v>28.4188679245283</c:v>
                </c:pt>
                <c:pt idx="100">
                  <c:v>27.9452201257862</c:v>
                </c:pt>
                <c:pt idx="101">
                  <c:v>27.471572327044</c:v>
                </c:pt>
                <c:pt idx="102">
                  <c:v>26.9979245283019</c:v>
                </c:pt>
                <c:pt idx="103">
                  <c:v>26.5242767295598</c:v>
                </c:pt>
                <c:pt idx="104">
                  <c:v>26.0506289308176</c:v>
                </c:pt>
                <c:pt idx="105">
                  <c:v>25.5769811320755</c:v>
                </c:pt>
                <c:pt idx="106">
                  <c:v>25.1033333333333</c:v>
                </c:pt>
                <c:pt idx="107">
                  <c:v>24.6296855345912</c:v>
                </c:pt>
                <c:pt idx="108">
                  <c:v>24.1560377358491</c:v>
                </c:pt>
                <c:pt idx="109">
                  <c:v>23.6823899371069</c:v>
                </c:pt>
                <c:pt idx="110">
                  <c:v>23.2087421383648</c:v>
                </c:pt>
                <c:pt idx="111">
                  <c:v>22.7350943396226</c:v>
                </c:pt>
                <c:pt idx="112">
                  <c:v>22.2614465408805</c:v>
                </c:pt>
                <c:pt idx="113">
                  <c:v>21.7877987421384</c:v>
                </c:pt>
                <c:pt idx="114">
                  <c:v>21.3141509433962</c:v>
                </c:pt>
                <c:pt idx="115">
                  <c:v>20.8405031446541</c:v>
                </c:pt>
                <c:pt idx="116">
                  <c:v>20.3668553459119</c:v>
                </c:pt>
                <c:pt idx="117">
                  <c:v>19.8932075471698</c:v>
                </c:pt>
                <c:pt idx="118">
                  <c:v>19.4195597484277</c:v>
                </c:pt>
                <c:pt idx="119">
                  <c:v>18.9459119496855</c:v>
                </c:pt>
                <c:pt idx="120">
                  <c:v>18.4722641509434</c:v>
                </c:pt>
                <c:pt idx="121">
                  <c:v>17.9986163522013</c:v>
                </c:pt>
                <c:pt idx="122">
                  <c:v>17.5249685534591</c:v>
                </c:pt>
                <c:pt idx="123">
                  <c:v>17.051320754717</c:v>
                </c:pt>
                <c:pt idx="124">
                  <c:v>16.5776729559748</c:v>
                </c:pt>
                <c:pt idx="125">
                  <c:v>16.1040251572327</c:v>
                </c:pt>
                <c:pt idx="126">
                  <c:v>15.6303773584906</c:v>
                </c:pt>
                <c:pt idx="127">
                  <c:v>15.1567295597484</c:v>
                </c:pt>
                <c:pt idx="128">
                  <c:v>14.6830817610063</c:v>
                </c:pt>
                <c:pt idx="129">
                  <c:v>14.2094339622642</c:v>
                </c:pt>
                <c:pt idx="130">
                  <c:v>13.735786163522</c:v>
                </c:pt>
                <c:pt idx="131">
                  <c:v>13.2621383647799</c:v>
                </c:pt>
                <c:pt idx="132">
                  <c:v>12.7884905660377</c:v>
                </c:pt>
                <c:pt idx="133">
                  <c:v>12.3148427672956</c:v>
                </c:pt>
                <c:pt idx="134">
                  <c:v>11.8411949685535</c:v>
                </c:pt>
                <c:pt idx="135">
                  <c:v>11.3675471698113</c:v>
                </c:pt>
                <c:pt idx="136">
                  <c:v>10.8938993710692</c:v>
                </c:pt>
                <c:pt idx="137">
                  <c:v>10.420251572327</c:v>
                </c:pt>
                <c:pt idx="138">
                  <c:v>9.9466037735849</c:v>
                </c:pt>
                <c:pt idx="139">
                  <c:v>9.47295597484276</c:v>
                </c:pt>
                <c:pt idx="140">
                  <c:v>8.99930817610063</c:v>
                </c:pt>
                <c:pt idx="141">
                  <c:v>8.52566037735849</c:v>
                </c:pt>
                <c:pt idx="142">
                  <c:v>8.05201257861636</c:v>
                </c:pt>
                <c:pt idx="143">
                  <c:v>7.57836477987422</c:v>
                </c:pt>
                <c:pt idx="144">
                  <c:v>7.10471698113209</c:v>
                </c:pt>
                <c:pt idx="145">
                  <c:v>6.63106918238994</c:v>
                </c:pt>
                <c:pt idx="146">
                  <c:v>6.1574213836478</c:v>
                </c:pt>
                <c:pt idx="147">
                  <c:v>5.68377358490567</c:v>
                </c:pt>
                <c:pt idx="148">
                  <c:v>5.21012578616352</c:v>
                </c:pt>
                <c:pt idx="149">
                  <c:v>4.73647798742138</c:v>
                </c:pt>
                <c:pt idx="150">
                  <c:v>4.26283018867925</c:v>
                </c:pt>
                <c:pt idx="151">
                  <c:v>3.78918238993711</c:v>
                </c:pt>
                <c:pt idx="152">
                  <c:v>3.31553459119496</c:v>
                </c:pt>
                <c:pt idx="153">
                  <c:v>2.84188679245283</c:v>
                </c:pt>
                <c:pt idx="154">
                  <c:v>2.36823899371069</c:v>
                </c:pt>
                <c:pt idx="155">
                  <c:v>1.89459119496856</c:v>
                </c:pt>
                <c:pt idx="156">
                  <c:v>1.42094339622642</c:v>
                </c:pt>
                <c:pt idx="157">
                  <c:v>0.947295597484285</c:v>
                </c:pt>
                <c:pt idx="158">
                  <c:v>0.473647798742149</c:v>
                </c:pt>
                <c:pt idx="159">
                  <c:v>0</c:v>
                </c:pt>
              </c:numCache>
            </c:numRef>
          </c:val>
          <c:smooth val="0"/>
        </c:ser>
        <c:hiLowLines>
          <c:spPr>
            <a:ln w="0">
              <a:noFill/>
            </a:ln>
          </c:spPr>
        </c:hiLowLines>
        <c:marker val="0"/>
        <c:axId val="53058131"/>
        <c:axId val="94690087"/>
      </c:lineChart>
      <c:dateAx>
        <c:axId val="19123772"/>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4199239"/>
        <c:auto val="1"/>
        <c:lblOffset val="100"/>
        <c:baseTimeUnit val="days"/>
      </c:dateAx>
      <c:valAx>
        <c:axId val="8419923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9123772"/>
        <c:crosses val="autoZero"/>
        <c:crossBetween val="between"/>
      </c:valAx>
      <c:dateAx>
        <c:axId val="53058131"/>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4690087"/>
        <c:auto val="1"/>
        <c:lblOffset val="100"/>
        <c:baseTimeUnit val="days"/>
      </c:dateAx>
      <c:valAx>
        <c:axId val="94690087"/>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3058131"/>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KLAC</a:t>
            </a:r>
          </a:p>
        </c:rich>
      </c:tx>
      <c:overlay val="0"/>
      <c:spPr>
        <a:noFill/>
        <a:ln w="0">
          <a:noFill/>
        </a:ln>
      </c:spPr>
    </c:title>
    <c:autoTitleDeleted val="0"/>
    <c:plotArea>
      <c:barChart>
        <c:barDir val="col"/>
        <c:grouping val="clustered"/>
        <c:varyColors val="0"/>
        <c:ser>
          <c:idx val="0"/>
          <c:order val="0"/>
          <c:tx>
            <c:strRef>
              <c:f>'Returns (Calc)'!$G$2</c:f>
              <c:strCache>
                <c:ptCount val="1"/>
                <c:pt idx="0">
                  <c:v>CRWD</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(Calc)'!$G$3:$G$500</c:f>
              <c:numCache>
                <c:formatCode>0.0%</c:formatCode>
                <c:ptCount val="498"/>
                <c:pt idx="0">
                  <c:v>-0.0174081237911025</c:v>
                </c:pt>
                <c:pt idx="1">
                  <c:v>0.0297736220472442</c:v>
                </c:pt>
                <c:pt idx="2">
                  <c:v>0.055436081242533</c:v>
                </c:pt>
                <c:pt idx="3">
                  <c:v>0.0511659497396422</c:v>
                </c:pt>
                <c:pt idx="4">
                  <c:v>-0.0374757699763084</c:v>
                </c:pt>
                <c:pt idx="5">
                  <c:v>-0.0331170284179906</c:v>
                </c:pt>
                <c:pt idx="6">
                  <c:v>0.0890997454292988</c:v>
                </c:pt>
                <c:pt idx="7">
                  <c:v>0.0429239269018273</c:v>
                </c:pt>
                <c:pt idx="8">
                  <c:v>0.0548084759576204</c:v>
                </c:pt>
                <c:pt idx="9">
                  <c:v>0.0173845856673749</c:v>
                </c:pt>
                <c:pt idx="10">
                  <c:v>0.115625593316879</c:v>
                </c:pt>
                <c:pt idx="11">
                  <c:v>0.0319945541184479</c:v>
                </c:pt>
                <c:pt idx="12">
                  <c:v>0.0722295514511873</c:v>
                </c:pt>
                <c:pt idx="13">
                  <c:v>-0.0170716702553061</c:v>
                </c:pt>
                <c:pt idx="14">
                  <c:v>-0.00125176028790486</c:v>
                </c:pt>
                <c:pt idx="15">
                  <c:v>-0.0307065643114524</c:v>
                </c:pt>
                <c:pt idx="16">
                  <c:v>0.144981412639405</c:v>
                </c:pt>
                <c:pt idx="17">
                  <c:v>0.0254093732354601</c:v>
                </c:pt>
                <c:pt idx="18">
                  <c:v>-0.000825991189427389</c:v>
                </c:pt>
                <c:pt idx="19">
                  <c:v>0.0456048498208874</c:v>
                </c:pt>
                <c:pt idx="20">
                  <c:v>0.0848596653050469</c:v>
                </c:pt>
                <c:pt idx="21">
                  <c:v>-0.000242924814769729</c:v>
                </c:pt>
                <c:pt idx="22">
                  <c:v>-0.0539424128295468</c:v>
                </c:pt>
                <c:pt idx="23">
                  <c:v>0.010016694490818</c:v>
                </c:pt>
                <c:pt idx="24">
                  <c:v>0.0261919898283534</c:v>
                </c:pt>
                <c:pt idx="25">
                  <c:v>-0.0223020691364143</c:v>
                </c:pt>
                <c:pt idx="26">
                  <c:v>0.037764541883158</c:v>
                </c:pt>
                <c:pt idx="27">
                  <c:v>-0.0212480156307241</c:v>
                </c:pt>
                <c:pt idx="28">
                  <c:v>-0.015845290081098</c:v>
                </c:pt>
                <c:pt idx="29">
                  <c:v>-0.0205375253549694</c:v>
                </c:pt>
                <c:pt idx="30">
                  <c:v>-0.0854258348433861</c:v>
                </c:pt>
                <c:pt idx="31">
                  <c:v>0.0758562128502689</c:v>
                </c:pt>
                <c:pt idx="32">
                  <c:v>0.0201262825572217</c:v>
                </c:pt>
                <c:pt idx="33">
                  <c:v>0.0340425531914894</c:v>
                </c:pt>
                <c:pt idx="34">
                  <c:v>0.0784387080683378</c:v>
                </c:pt>
                <c:pt idx="35">
                  <c:v>0.0160730804810361</c:v>
                </c:pt>
                <c:pt idx="36">
                  <c:v>-0.107545237282349</c:v>
                </c:pt>
                <c:pt idx="37">
                  <c:v>0.112981382300434</c:v>
                </c:pt>
                <c:pt idx="38">
                  <c:v>0.104032997250229</c:v>
                </c:pt>
                <c:pt idx="39">
                  <c:v>-0.0124533001245331</c:v>
                </c:pt>
                <c:pt idx="40">
                  <c:v>0.00672551492223628</c:v>
                </c:pt>
                <c:pt idx="41">
                  <c:v>0.016910229645094</c:v>
                </c:pt>
                <c:pt idx="42">
                  <c:v>-0.0471155820160132</c:v>
                </c:pt>
                <c:pt idx="43">
                  <c:v>-0.178713777873532</c:v>
                </c:pt>
                <c:pt idx="44">
                  <c:v>-0.160020986358867</c:v>
                </c:pt>
                <c:pt idx="45">
                  <c:v>-0.149437851342911</c:v>
                </c:pt>
                <c:pt idx="46">
                  <c:v>0.105562695061502</c:v>
                </c:pt>
                <c:pt idx="47">
                  <c:v>0.0900033211557623</c:v>
                </c:pt>
                <c:pt idx="48">
                  <c:v>0.0342778793418648</c:v>
                </c:pt>
                <c:pt idx="49">
                  <c:v>0.0210634850493445</c:v>
                </c:pt>
                <c:pt idx="50">
                  <c:v>-0.11136757068667</c:v>
                </c:pt>
                <c:pt idx="51">
                  <c:v>0.0516233766233767</c:v>
                </c:pt>
                <c:pt idx="52">
                  <c:v>0.157147267675208</c:v>
                </c:pt>
                <c:pt idx="53">
                  <c:v>-0.0466915688367129</c:v>
                </c:pt>
                <c:pt idx="54">
                  <c:v>0.0223901483347329</c:v>
                </c:pt>
                <c:pt idx="55">
                  <c:v>0.0956747878456064</c:v>
                </c:pt>
                <c:pt idx="56">
                  <c:v>-0.0313554028732042</c:v>
                </c:pt>
                <c:pt idx="57">
                  <c:v>-0.0308228011348981</c:v>
                </c:pt>
                <c:pt idx="58">
                  <c:v>0.00838323353293413</c:v>
                </c:pt>
                <c:pt idx="59">
                  <c:v>0.0888097123251519</c:v>
                </c:pt>
                <c:pt idx="60">
                  <c:v>0.020361168343231</c:v>
                </c:pt>
                <c:pt idx="61">
                  <c:v>0.10547570970424</c:v>
                </c:pt>
                <c:pt idx="62">
                  <c:v>-0.070699473514559</c:v>
                </c:pt>
                <c:pt idx="63">
                  <c:v>0.0568851890391953</c:v>
                </c:pt>
                <c:pt idx="64">
                  <c:v>0.00645443605732421</c:v>
                </c:pt>
                <c:pt idx="65">
                  <c:v>-0.0155434782608697</c:v>
                </c:pt>
                <c:pt idx="66">
                  <c:v>-0.0200949541790879</c:v>
                </c:pt>
                <c:pt idx="67">
                  <c:v>0.0112676056338028</c:v>
                </c:pt>
                <c:pt idx="68">
                  <c:v>-0.0283008356545962</c:v>
                </c:pt>
                <c:pt idx="69">
                  <c:v>0.0233918128654971</c:v>
                </c:pt>
                <c:pt idx="70">
                  <c:v>0.0501960784313726</c:v>
                </c:pt>
                <c:pt idx="71">
                  <c:v>0.0617731782780326</c:v>
                </c:pt>
                <c:pt idx="72">
                  <c:v>0.0590836012861737</c:v>
                </c:pt>
                <c:pt idx="73">
                  <c:v>0.0714421252371917</c:v>
                </c:pt>
                <c:pt idx="74">
                  <c:v>-0.0997077835827505</c:v>
                </c:pt>
                <c:pt idx="75">
                  <c:v>-0.0418019081341595</c:v>
                </c:pt>
                <c:pt idx="76">
                  <c:v>-0.144118250872511</c:v>
                </c:pt>
                <c:pt idx="77">
                  <c:v>0.0605660829935237</c:v>
                </c:pt>
                <c:pt idx="78">
                  <c:v>0.0240868483546308</c:v>
                </c:pt>
                <c:pt idx="79">
                  <c:v>-0.0141342756183745</c:v>
                </c:pt>
                <c:pt idx="80">
                  <c:v>-0.0993503584229392</c:v>
                </c:pt>
                <c:pt idx="81">
                  <c:v>0.174853873896282</c:v>
                </c:pt>
                <c:pt idx="82">
                  <c:v>-0.00603366147983475</c:v>
                </c:pt>
                <c:pt idx="83">
                  <c:v>0.131203407880724</c:v>
                </c:pt>
                <c:pt idx="84">
                  <c:v>0.0369045377518358</c:v>
                </c:pt>
                <c:pt idx="85">
                  <c:v>-0.0680951516252043</c:v>
                </c:pt>
                <c:pt idx="86">
                  <c:v>0.0699532346063911</c:v>
                </c:pt>
                <c:pt idx="87">
                  <c:v>0.0371517027863779</c:v>
                </c:pt>
                <c:pt idx="88">
                  <c:v>0.0345917471466197</c:v>
                </c:pt>
                <c:pt idx="89">
                  <c:v>-0.00627970128988464</c:v>
                </c:pt>
                <c:pt idx="90">
                  <c:v>0.0260461144321094</c:v>
                </c:pt>
                <c:pt idx="91">
                  <c:v>-0.00898876404494398</c:v>
                </c:pt>
                <c:pt idx="92">
                  <c:v>0.0483749055177627</c:v>
                </c:pt>
                <c:pt idx="93">
                  <c:v>0.0295602018745496</c:v>
                </c:pt>
                <c:pt idx="94">
                  <c:v>-0.0693277310924371</c:v>
                </c:pt>
                <c:pt idx="95">
                  <c:v>-0.00518351308419029</c:v>
                </c:pt>
                <c:pt idx="96">
                  <c:v>-0.0168921758130934</c:v>
                </c:pt>
                <c:pt idx="97">
                  <c:v>-0.0453923747649171</c:v>
                </c:pt>
                <c:pt idx="98">
                  <c:v>-0.0497000089549565</c:v>
                </c:pt>
                <c:pt idx="99">
                  <c:v>0.00800980022615905</c:v>
                </c:pt>
                <c:pt idx="100">
                  <c:v>-0.0171076002617556</c:v>
                </c:pt>
                <c:pt idx="101">
                  <c:v>0.00751379113562867</c:v>
                </c:pt>
                <c:pt idx="102">
                  <c:v>-0.0143490984612481</c:v>
                </c:pt>
                <c:pt idx="103">
                  <c:v>0.0442486351882003</c:v>
                </c:pt>
                <c:pt idx="104">
                  <c:v>0.152343391727048</c:v>
                </c:pt>
                <c:pt idx="105">
                  <c:v>-0.0420248328557784</c:v>
                </c:pt>
                <c:pt idx="106">
                  <c:v>0.0175307411100034</c:v>
                </c:pt>
                <c:pt idx="107">
                  <c:v>0.00775700171470573</c:v>
                </c:pt>
                <c:pt idx="108">
                  <c:v>-0.0183114568141306</c:v>
                </c:pt>
                <c:pt idx="109">
                  <c:v>0.0880653681082868</c:v>
                </c:pt>
                <c:pt idx="110">
                  <c:v>0.029735265114162</c:v>
                </c:pt>
                <c:pt idx="111">
                  <c:v>-0.00589318600368327</c:v>
                </c:pt>
                <c:pt idx="112">
                  <c:v>-0.00414968506854396</c:v>
                </c:pt>
                <c:pt idx="113">
                  <c:v>-0.0872088697075675</c:v>
                </c:pt>
                <c:pt idx="114">
                  <c:v>0.0376620200538029</c:v>
                </c:pt>
                <c:pt idx="115">
                  <c:v>0.00565637520622198</c:v>
                </c:pt>
                <c:pt idx="116">
                  <c:v>-0.0142176392469338</c:v>
                </c:pt>
                <c:pt idx="117">
                  <c:v>-0.0465171566685158</c:v>
                </c:pt>
                <c:pt idx="118">
                  <c:v>-0.000166223404255317</c:v>
                </c:pt>
                <c:pt idx="119">
                  <c:v>-0.0574397339983375</c:v>
                </c:pt>
                <c:pt idx="120">
                  <c:v>0.0375694505688333</c:v>
                </c:pt>
                <c:pt idx="121">
                  <c:v>-0.0355291117722057</c:v>
                </c:pt>
                <c:pt idx="122">
                  <c:v>-0.00308451573103019</c:v>
                </c:pt>
                <c:pt idx="123">
                  <c:v>-0.0244872701555871</c:v>
                </c:pt>
                <c:pt idx="124">
                  <c:v>-0.103942002718623</c:v>
                </c:pt>
                <c:pt idx="125">
                  <c:v>0.0862661812297736</c:v>
                </c:pt>
                <c:pt idx="126">
                  <c:v>-0.0955218322316357</c:v>
                </c:pt>
                <c:pt idx="127">
                  <c:v>-0.042717447246526</c:v>
                </c:pt>
                <c:pt idx="128">
                  <c:v>0.153225806451613</c:v>
                </c:pt>
                <c:pt idx="129">
                  <c:v>0.0297435897435898</c:v>
                </c:pt>
                <c:pt idx="130">
                  <c:v>-0.074157913799348</c:v>
                </c:pt>
                <c:pt idx="131">
                  <c:v>-0.0964303178484107</c:v>
                </c:pt>
                <c:pt idx="132">
                  <c:v>0.0799870115813399</c:v>
                </c:pt>
                <c:pt idx="133">
                  <c:v>-0.0504109039887753</c:v>
                </c:pt>
                <c:pt idx="134">
                  <c:v>0.118627968337731</c:v>
                </c:pt>
                <c:pt idx="135">
                  <c:v>0.0569865081611474</c:v>
                </c:pt>
                <c:pt idx="136">
                  <c:v>0.0167812193162544</c:v>
                </c:pt>
                <c:pt idx="137">
                  <c:v>0.158282854885436</c:v>
                </c:pt>
                <c:pt idx="138">
                  <c:v>0.12566318023344</c:v>
                </c:pt>
                <c:pt idx="139">
                  <c:v>0.116819283598169</c:v>
                </c:pt>
                <c:pt idx="140">
                  <c:v>0.10176644360041</c:v>
                </c:pt>
                <c:pt idx="141">
                  <c:v>-0.0820246238030097</c:v>
                </c:pt>
                <c:pt idx="142">
                  <c:v>0.0175250357653791</c:v>
                </c:pt>
                <c:pt idx="143">
                  <c:v>0.00298769771529006</c:v>
                </c:pt>
                <c:pt idx="144">
                  <c:v>0.0237135681327025</c:v>
                </c:pt>
                <c:pt idx="145">
                  <c:v>0.106749586352485</c:v>
                </c:pt>
                <c:pt idx="146">
                  <c:v>-0.0350551603258067</c:v>
                </c:pt>
                <c:pt idx="147">
                  <c:v>0.0849449727534994</c:v>
                </c:pt>
                <c:pt idx="148">
                  <c:v>-0.0974985227496553</c:v>
                </c:pt>
                <c:pt idx="149">
                  <c:v>0.0413574858140551</c:v>
                </c:pt>
                <c:pt idx="150">
                  <c:v>0.123441265849314</c:v>
                </c:pt>
                <c:pt idx="151">
                  <c:v>0.0117992724559277</c:v>
                </c:pt>
                <c:pt idx="152">
                  <c:v>-0.115233924867481</c:v>
                </c:pt>
                <c:pt idx="153">
                  <c:v>0.137796301120083</c:v>
                </c:pt>
                <c:pt idx="154">
                  <c:v>-0.0242673992673993</c:v>
                </c:pt>
                <c:pt idx="155">
                  <c:v>-0.0298451431252932</c:v>
                </c:pt>
                <c:pt idx="156">
                  <c:v>0.14951146367418</c:v>
                </c:pt>
                <c:pt idx="157">
                  <c:v>0.0609299389859035</c:v>
                </c:pt>
                <c:pt idx="158">
                  <c:v>0.0282394003093642</c:v>
                </c:pt>
                <c:pt idx="159">
                  <c:v>-0.284088717454195</c:v>
                </c:pt>
              </c:numCache>
            </c:numRef>
          </c:val>
        </c:ser>
        <c:gapWidth val="150"/>
        <c:overlap val="0"/>
        <c:axId val="12116847"/>
        <c:axId val="10505986"/>
      </c:barChart>
      <c:lineChart>
        <c:grouping val="standard"/>
        <c:varyColors val="0"/>
        <c:ser>
          <c:idx val="1"/>
          <c:order val="1"/>
          <c:tx>
            <c:strRef>
              <c:f>'Returns (Calc)'!$AB$2</c:f>
              <c:strCache>
                <c:ptCount val="1"/>
                <c:pt idx="0">
                  <c:v>KLAC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(Calc)'!$AB$3:$AB$500</c:f>
              <c:numCache>
                <c:formatCode>#,##0.00</c:formatCode>
                <c:ptCount val="498"/>
                <c:pt idx="0">
                  <c:v>41.36</c:v>
                </c:pt>
                <c:pt idx="1">
                  <c:v>41.0998742138365</c:v>
                </c:pt>
                <c:pt idx="2">
                  <c:v>40.839748427673</c:v>
                </c:pt>
                <c:pt idx="3">
                  <c:v>40.5796226415094</c:v>
                </c:pt>
                <c:pt idx="4">
                  <c:v>40.3194968553459</c:v>
                </c:pt>
                <c:pt idx="5">
                  <c:v>40.0593710691824</c:v>
                </c:pt>
                <c:pt idx="6">
                  <c:v>39.7992452830189</c:v>
                </c:pt>
                <c:pt idx="7">
                  <c:v>39.5391194968553</c:v>
                </c:pt>
                <c:pt idx="8">
                  <c:v>39.2789937106918</c:v>
                </c:pt>
                <c:pt idx="9">
                  <c:v>39.0188679245283</c:v>
                </c:pt>
                <c:pt idx="10">
                  <c:v>38.7587421383648</c:v>
                </c:pt>
                <c:pt idx="11">
                  <c:v>38.4986163522013</c:v>
                </c:pt>
                <c:pt idx="12">
                  <c:v>38.2384905660377</c:v>
                </c:pt>
                <c:pt idx="13">
                  <c:v>37.9783647798742</c:v>
                </c:pt>
                <c:pt idx="14">
                  <c:v>37.7182389937107</c:v>
                </c:pt>
                <c:pt idx="15">
                  <c:v>37.4581132075472</c:v>
                </c:pt>
                <c:pt idx="16">
                  <c:v>37.1979874213836</c:v>
                </c:pt>
                <c:pt idx="17">
                  <c:v>36.9378616352201</c:v>
                </c:pt>
                <c:pt idx="18">
                  <c:v>36.6777358490566</c:v>
                </c:pt>
                <c:pt idx="19">
                  <c:v>36.4176100628931</c:v>
                </c:pt>
                <c:pt idx="20">
                  <c:v>36.1574842767296</c:v>
                </c:pt>
                <c:pt idx="21">
                  <c:v>35.897358490566</c:v>
                </c:pt>
                <c:pt idx="22">
                  <c:v>35.6372327044025</c:v>
                </c:pt>
                <c:pt idx="23">
                  <c:v>35.377106918239</c:v>
                </c:pt>
                <c:pt idx="24">
                  <c:v>35.1169811320755</c:v>
                </c:pt>
                <c:pt idx="25">
                  <c:v>34.856855345912</c:v>
                </c:pt>
                <c:pt idx="26">
                  <c:v>34.5967295597484</c:v>
                </c:pt>
                <c:pt idx="27">
                  <c:v>34.3366037735849</c:v>
                </c:pt>
                <c:pt idx="28">
                  <c:v>34.0764779874214</c:v>
                </c:pt>
                <c:pt idx="29">
                  <c:v>33.8163522012579</c:v>
                </c:pt>
                <c:pt idx="30">
                  <c:v>33.5562264150943</c:v>
                </c:pt>
                <c:pt idx="31">
                  <c:v>33.2961006289308</c:v>
                </c:pt>
                <c:pt idx="32">
                  <c:v>33.0359748427673</c:v>
                </c:pt>
                <c:pt idx="33">
                  <c:v>32.7758490566038</c:v>
                </c:pt>
                <c:pt idx="34">
                  <c:v>32.5157232704403</c:v>
                </c:pt>
                <c:pt idx="35">
                  <c:v>32.2555974842767</c:v>
                </c:pt>
                <c:pt idx="36">
                  <c:v>31.9954716981132</c:v>
                </c:pt>
                <c:pt idx="37">
                  <c:v>31.7353459119497</c:v>
                </c:pt>
                <c:pt idx="38">
                  <c:v>31.4752201257862</c:v>
                </c:pt>
                <c:pt idx="39">
                  <c:v>31.2150943396226</c:v>
                </c:pt>
                <c:pt idx="40">
                  <c:v>30.9549685534591</c:v>
                </c:pt>
                <c:pt idx="41">
                  <c:v>30.6948427672956</c:v>
                </c:pt>
                <c:pt idx="42">
                  <c:v>30.4347169811321</c:v>
                </c:pt>
                <c:pt idx="43">
                  <c:v>30.1745911949686</c:v>
                </c:pt>
                <c:pt idx="44">
                  <c:v>29.914465408805</c:v>
                </c:pt>
                <c:pt idx="45">
                  <c:v>29.6543396226415</c:v>
                </c:pt>
                <c:pt idx="46">
                  <c:v>29.394213836478</c:v>
                </c:pt>
                <c:pt idx="47">
                  <c:v>29.1340880503145</c:v>
                </c:pt>
                <c:pt idx="48">
                  <c:v>28.8739622641509</c:v>
                </c:pt>
                <c:pt idx="49">
                  <c:v>28.6138364779874</c:v>
                </c:pt>
                <c:pt idx="50">
                  <c:v>28.3537106918239</c:v>
                </c:pt>
                <c:pt idx="51">
                  <c:v>28.0935849056604</c:v>
                </c:pt>
                <c:pt idx="52">
                  <c:v>27.8334591194969</c:v>
                </c:pt>
                <c:pt idx="53">
                  <c:v>27.5733333333333</c:v>
                </c:pt>
                <c:pt idx="54">
                  <c:v>27.3132075471698</c:v>
                </c:pt>
                <c:pt idx="55">
                  <c:v>27.0530817610063</c:v>
                </c:pt>
                <c:pt idx="56">
                  <c:v>26.7929559748428</c:v>
                </c:pt>
                <c:pt idx="57">
                  <c:v>26.5328301886792</c:v>
                </c:pt>
                <c:pt idx="58">
                  <c:v>26.2727044025157</c:v>
                </c:pt>
                <c:pt idx="59">
                  <c:v>26.0125786163522</c:v>
                </c:pt>
                <c:pt idx="60">
                  <c:v>25.7524528301887</c:v>
                </c:pt>
                <c:pt idx="61">
                  <c:v>25.4923270440252</c:v>
                </c:pt>
                <c:pt idx="62">
                  <c:v>25.2322012578616</c:v>
                </c:pt>
                <c:pt idx="63">
                  <c:v>24.9720754716981</c:v>
                </c:pt>
                <c:pt idx="64">
                  <c:v>24.7119496855346</c:v>
                </c:pt>
                <c:pt idx="65">
                  <c:v>24.4518238993711</c:v>
                </c:pt>
                <c:pt idx="66">
                  <c:v>24.1916981132075</c:v>
                </c:pt>
                <c:pt idx="67">
                  <c:v>23.931572327044</c:v>
                </c:pt>
                <c:pt idx="68">
                  <c:v>23.6714465408805</c:v>
                </c:pt>
                <c:pt idx="69">
                  <c:v>23.411320754717</c:v>
                </c:pt>
                <c:pt idx="70">
                  <c:v>23.1511949685535</c:v>
                </c:pt>
                <c:pt idx="71">
                  <c:v>22.8910691823899</c:v>
                </c:pt>
                <c:pt idx="72">
                  <c:v>22.6309433962264</c:v>
                </c:pt>
                <c:pt idx="73">
                  <c:v>22.3708176100629</c:v>
                </c:pt>
                <c:pt idx="74">
                  <c:v>22.1106918238994</c:v>
                </c:pt>
                <c:pt idx="75">
                  <c:v>21.8505660377359</c:v>
                </c:pt>
                <c:pt idx="76">
                  <c:v>21.5904402515723</c:v>
                </c:pt>
                <c:pt idx="77">
                  <c:v>21.3303144654088</c:v>
                </c:pt>
                <c:pt idx="78">
                  <c:v>21.0701886792453</c:v>
                </c:pt>
                <c:pt idx="79">
                  <c:v>20.8100628930818</c:v>
                </c:pt>
                <c:pt idx="80">
                  <c:v>20.5499371069182</c:v>
                </c:pt>
                <c:pt idx="81">
                  <c:v>20.2898113207547</c:v>
                </c:pt>
                <c:pt idx="82">
                  <c:v>20.0296855345912</c:v>
                </c:pt>
                <c:pt idx="83">
                  <c:v>19.7695597484277</c:v>
                </c:pt>
                <c:pt idx="84">
                  <c:v>19.5094339622642</c:v>
                </c:pt>
                <c:pt idx="85">
                  <c:v>19.2493081761006</c:v>
                </c:pt>
                <c:pt idx="86">
                  <c:v>18.9891823899371</c:v>
                </c:pt>
                <c:pt idx="87">
                  <c:v>18.7290566037736</c:v>
                </c:pt>
                <c:pt idx="88">
                  <c:v>18.4689308176101</c:v>
                </c:pt>
                <c:pt idx="89">
                  <c:v>18.2088050314465</c:v>
                </c:pt>
                <c:pt idx="90">
                  <c:v>17.948679245283</c:v>
                </c:pt>
                <c:pt idx="91">
                  <c:v>17.6885534591195</c:v>
                </c:pt>
                <c:pt idx="92">
                  <c:v>17.428427672956</c:v>
                </c:pt>
                <c:pt idx="93">
                  <c:v>17.1683018867925</c:v>
                </c:pt>
                <c:pt idx="94">
                  <c:v>16.9081761006289</c:v>
                </c:pt>
                <c:pt idx="95">
                  <c:v>16.6480503144654</c:v>
                </c:pt>
                <c:pt idx="96">
                  <c:v>16.3879245283019</c:v>
                </c:pt>
                <c:pt idx="97">
                  <c:v>16.1277987421384</c:v>
                </c:pt>
                <c:pt idx="98">
                  <c:v>15.8676729559748</c:v>
                </c:pt>
                <c:pt idx="99">
                  <c:v>15.6075471698113</c:v>
                </c:pt>
                <c:pt idx="100">
                  <c:v>15.3474213836478</c:v>
                </c:pt>
                <c:pt idx="101">
                  <c:v>15.0872955974843</c:v>
                </c:pt>
                <c:pt idx="102">
                  <c:v>14.8271698113208</c:v>
                </c:pt>
                <c:pt idx="103">
                  <c:v>14.5670440251572</c:v>
                </c:pt>
                <c:pt idx="104">
                  <c:v>14.3069182389937</c:v>
                </c:pt>
                <c:pt idx="105">
                  <c:v>14.0467924528302</c:v>
                </c:pt>
                <c:pt idx="106">
                  <c:v>13.7866666666667</c:v>
                </c:pt>
                <c:pt idx="107">
                  <c:v>13.5265408805031</c:v>
                </c:pt>
                <c:pt idx="108">
                  <c:v>13.2664150943396</c:v>
                </c:pt>
                <c:pt idx="109">
                  <c:v>13.0062893081761</c:v>
                </c:pt>
                <c:pt idx="110">
                  <c:v>12.7461635220126</c:v>
                </c:pt>
                <c:pt idx="111">
                  <c:v>12.4860377358491</c:v>
                </c:pt>
                <c:pt idx="112">
                  <c:v>12.2259119496855</c:v>
                </c:pt>
                <c:pt idx="113">
                  <c:v>11.965786163522</c:v>
                </c:pt>
                <c:pt idx="114">
                  <c:v>11.7056603773585</c:v>
                </c:pt>
                <c:pt idx="115">
                  <c:v>11.445534591195</c:v>
                </c:pt>
                <c:pt idx="116">
                  <c:v>11.1854088050314</c:v>
                </c:pt>
                <c:pt idx="117">
                  <c:v>10.9252830188679</c:v>
                </c:pt>
                <c:pt idx="118">
                  <c:v>10.6651572327044</c:v>
                </c:pt>
                <c:pt idx="119">
                  <c:v>10.4050314465409</c:v>
                </c:pt>
                <c:pt idx="120">
                  <c:v>10.1449056603774</c:v>
                </c:pt>
                <c:pt idx="121">
                  <c:v>9.88477987421384</c:v>
                </c:pt>
                <c:pt idx="122">
                  <c:v>9.62465408805031</c:v>
                </c:pt>
                <c:pt idx="123">
                  <c:v>9.36452830188679</c:v>
                </c:pt>
                <c:pt idx="124">
                  <c:v>9.10440251572327</c:v>
                </c:pt>
                <c:pt idx="125">
                  <c:v>8.84427672955975</c:v>
                </c:pt>
                <c:pt idx="126">
                  <c:v>8.58415094339622</c:v>
                </c:pt>
                <c:pt idx="127">
                  <c:v>8.3240251572327</c:v>
                </c:pt>
                <c:pt idx="128">
                  <c:v>8.06389937106918</c:v>
                </c:pt>
                <c:pt idx="129">
                  <c:v>7.80377358490566</c:v>
                </c:pt>
                <c:pt idx="130">
                  <c:v>7.54364779874214</c:v>
                </c:pt>
                <c:pt idx="131">
                  <c:v>7.28352201257862</c:v>
                </c:pt>
                <c:pt idx="132">
                  <c:v>7.0233962264151</c:v>
                </c:pt>
                <c:pt idx="133">
                  <c:v>6.76327044025157</c:v>
                </c:pt>
                <c:pt idx="134">
                  <c:v>6.50314465408805</c:v>
                </c:pt>
                <c:pt idx="135">
                  <c:v>6.24301886792453</c:v>
                </c:pt>
                <c:pt idx="136">
                  <c:v>5.98289308176101</c:v>
                </c:pt>
                <c:pt idx="137">
                  <c:v>5.72276729559749</c:v>
                </c:pt>
                <c:pt idx="138">
                  <c:v>5.46264150943396</c:v>
                </c:pt>
                <c:pt idx="139">
                  <c:v>5.20251572327044</c:v>
                </c:pt>
                <c:pt idx="140">
                  <c:v>4.94238993710692</c:v>
                </c:pt>
                <c:pt idx="141">
                  <c:v>4.6822641509434</c:v>
                </c:pt>
                <c:pt idx="142">
                  <c:v>4.42213836477988</c:v>
                </c:pt>
                <c:pt idx="143">
                  <c:v>4.16201257861636</c:v>
                </c:pt>
                <c:pt idx="144">
                  <c:v>3.90188679245283</c:v>
                </c:pt>
                <c:pt idx="145">
                  <c:v>3.64176100628931</c:v>
                </c:pt>
                <c:pt idx="146">
                  <c:v>3.38163522012579</c:v>
                </c:pt>
                <c:pt idx="147">
                  <c:v>3.12150943396227</c:v>
                </c:pt>
                <c:pt idx="148">
                  <c:v>2.86138364779875</c:v>
                </c:pt>
                <c:pt idx="149">
                  <c:v>2.60125786163522</c:v>
                </c:pt>
                <c:pt idx="150">
                  <c:v>2.3411320754717</c:v>
                </c:pt>
                <c:pt idx="151">
                  <c:v>2.08100628930818</c:v>
                </c:pt>
                <c:pt idx="152">
                  <c:v>1.82088050314465</c:v>
                </c:pt>
                <c:pt idx="153">
                  <c:v>1.56075471698113</c:v>
                </c:pt>
                <c:pt idx="154">
                  <c:v>1.30062893081761</c:v>
                </c:pt>
                <c:pt idx="155">
                  <c:v>1.04050314465409</c:v>
                </c:pt>
                <c:pt idx="156">
                  <c:v>0.780377358490568</c:v>
                </c:pt>
                <c:pt idx="157">
                  <c:v>0.520251572327048</c:v>
                </c:pt>
                <c:pt idx="158">
                  <c:v>0.26012578616352</c:v>
                </c:pt>
                <c:pt idx="159">
                  <c:v>0</c:v>
                </c:pt>
              </c:numCache>
            </c:numRef>
          </c:val>
          <c:smooth val="0"/>
        </c:ser>
        <c:hiLowLines>
          <c:spPr>
            <a:ln w="0">
              <a:noFill/>
            </a:ln>
          </c:spPr>
        </c:hiLowLines>
        <c:marker val="0"/>
        <c:axId val="37074623"/>
        <c:axId val="65554098"/>
      </c:lineChart>
      <c:dateAx>
        <c:axId val="12116847"/>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0505986"/>
        <c:auto val="1"/>
        <c:lblOffset val="100"/>
        <c:baseTimeUnit val="days"/>
      </c:dateAx>
      <c:valAx>
        <c:axId val="1050598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2116847"/>
        <c:crosses val="autoZero"/>
        <c:crossBetween val="between"/>
      </c:valAx>
      <c:dateAx>
        <c:axId val="37074623"/>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5554098"/>
        <c:auto val="1"/>
        <c:lblOffset val="100"/>
        <c:baseTimeUnit val="days"/>
      </c:dateAx>
      <c:valAx>
        <c:axId val="6555409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7074623"/>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MU</a:t>
            </a:r>
          </a:p>
        </c:rich>
      </c:tx>
      <c:overlay val="0"/>
      <c:spPr>
        <a:noFill/>
        <a:ln w="0">
          <a:noFill/>
        </a:ln>
      </c:spPr>
    </c:title>
    <c:autoTitleDeleted val="0"/>
    <c:plotArea>
      <c:barChart>
        <c:barDir val="col"/>
        <c:grouping val="clustered"/>
        <c:varyColors val="0"/>
        <c:ser>
          <c:idx val="0"/>
          <c:order val="0"/>
          <c:tx>
            <c:strRef>
              <c:f>'Returns (Calc)'!$H$2</c:f>
              <c:strCache>
                <c:ptCount val="1"/>
                <c:pt idx="0">
                  <c:v>DVY</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(Calc)'!$H$3:$H$500</c:f>
              <c:numCache>
                <c:formatCode>0.0%</c:formatCode>
                <c:ptCount val="498"/>
                <c:pt idx="0">
                  <c:v>-0.021373894025251</c:v>
                </c:pt>
                <c:pt idx="1">
                  <c:v>-0.0187931735067045</c:v>
                </c:pt>
                <c:pt idx="2">
                  <c:v>-0.0222590330261933</c:v>
                </c:pt>
                <c:pt idx="3">
                  <c:v>0.0136594663278273</c:v>
                </c:pt>
                <c:pt idx="4">
                  <c:v>-0.019011804032174</c:v>
                </c:pt>
                <c:pt idx="5">
                  <c:v>-0.0160792247896921</c:v>
                </c:pt>
                <c:pt idx="6">
                  <c:v>0.0586580086580084</c:v>
                </c:pt>
                <c:pt idx="7">
                  <c:v>-0.0225925168677161</c:v>
                </c:pt>
                <c:pt idx="8">
                  <c:v>0.0354565422026985</c:v>
                </c:pt>
                <c:pt idx="9">
                  <c:v>0.0035353535353535</c:v>
                </c:pt>
                <c:pt idx="10">
                  <c:v>0.0292903875188728</c:v>
                </c:pt>
                <c:pt idx="11">
                  <c:v>0.00215137883825545</c:v>
                </c:pt>
                <c:pt idx="12">
                  <c:v>0.0298594847775175</c:v>
                </c:pt>
                <c:pt idx="13">
                  <c:v>0.00265302255069155</c:v>
                </c:pt>
                <c:pt idx="14">
                  <c:v>0.0040635040635042</c:v>
                </c:pt>
                <c:pt idx="15">
                  <c:v>0.00705882352941178</c:v>
                </c:pt>
                <c:pt idx="16">
                  <c:v>-0.0138317757009346</c:v>
                </c:pt>
                <c:pt idx="17">
                  <c:v>-0.0131728582259287</c:v>
                </c:pt>
                <c:pt idx="18">
                  <c:v>0.0157495438394315</c:v>
                </c:pt>
                <c:pt idx="19">
                  <c:v>-0.0128580883048123</c:v>
                </c:pt>
                <c:pt idx="20">
                  <c:v>-0.00890719279762464</c:v>
                </c:pt>
                <c:pt idx="21">
                  <c:v>0.011693080788558</c:v>
                </c:pt>
                <c:pt idx="22">
                  <c:v>0.0084057694144617</c:v>
                </c:pt>
                <c:pt idx="23">
                  <c:v>0.000189447759780359</c:v>
                </c:pt>
                <c:pt idx="24">
                  <c:v>0.0267070745335731</c:v>
                </c:pt>
                <c:pt idx="25">
                  <c:v>-0.0032284844571534</c:v>
                </c:pt>
                <c:pt idx="26">
                  <c:v>0.0161947066444568</c:v>
                </c:pt>
                <c:pt idx="27">
                  <c:v>0.0252253893088061</c:v>
                </c:pt>
                <c:pt idx="28">
                  <c:v>-0.0177651447859301</c:v>
                </c:pt>
                <c:pt idx="29">
                  <c:v>-0.0285765961294989</c:v>
                </c:pt>
                <c:pt idx="30">
                  <c:v>0.00986780860175007</c:v>
                </c:pt>
                <c:pt idx="31">
                  <c:v>0.00912610619469012</c:v>
                </c:pt>
                <c:pt idx="32">
                  <c:v>0.0122407965652691</c:v>
                </c:pt>
                <c:pt idx="33">
                  <c:v>0.0247270101976356</c:v>
                </c:pt>
                <c:pt idx="34">
                  <c:v>0.0121532364597094</c:v>
                </c:pt>
                <c:pt idx="35">
                  <c:v>-0.0204472287479336</c:v>
                </c:pt>
                <c:pt idx="36">
                  <c:v>0.0104814354236988</c:v>
                </c:pt>
                <c:pt idx="37">
                  <c:v>-0.0202180028129396</c:v>
                </c:pt>
                <c:pt idx="38">
                  <c:v>-0.0168670375022429</c:v>
                </c:pt>
                <c:pt idx="39">
                  <c:v>0.0137798868406644</c:v>
                </c:pt>
                <c:pt idx="40">
                  <c:v>0.00297056440723731</c:v>
                </c:pt>
                <c:pt idx="41">
                  <c:v>-0.00816729492012203</c:v>
                </c:pt>
                <c:pt idx="42">
                  <c:v>0.0420776400325762</c:v>
                </c:pt>
                <c:pt idx="43">
                  <c:v>0.0141542202153526</c:v>
                </c:pt>
                <c:pt idx="44">
                  <c:v>0.0211490709821047</c:v>
                </c:pt>
                <c:pt idx="45">
                  <c:v>-0.0144222706691263</c:v>
                </c:pt>
                <c:pt idx="46">
                  <c:v>-0.0101242130338609</c:v>
                </c:pt>
                <c:pt idx="47">
                  <c:v>0.0256123764503653</c:v>
                </c:pt>
                <c:pt idx="48">
                  <c:v>0.0207827034274701</c:v>
                </c:pt>
                <c:pt idx="49">
                  <c:v>0.0137098760364502</c:v>
                </c:pt>
                <c:pt idx="50">
                  <c:v>-0.0213799805636541</c:v>
                </c:pt>
                <c:pt idx="51">
                  <c:v>0.0185369083085072</c:v>
                </c:pt>
                <c:pt idx="52">
                  <c:v>0.0121059473513161</c:v>
                </c:pt>
                <c:pt idx="53">
                  <c:v>0.00770651039576142</c:v>
                </c:pt>
                <c:pt idx="54">
                  <c:v>-0.00398311160678722</c:v>
                </c:pt>
                <c:pt idx="55">
                  <c:v>0.000559865632248302</c:v>
                </c:pt>
                <c:pt idx="56">
                  <c:v>0.0193445243804957</c:v>
                </c:pt>
                <c:pt idx="57">
                  <c:v>-0.0236041405269761</c:v>
                </c:pt>
                <c:pt idx="58">
                  <c:v>-0.000963778009798411</c:v>
                </c:pt>
                <c:pt idx="59">
                  <c:v>0.0347294798617253</c:v>
                </c:pt>
                <c:pt idx="60">
                  <c:v>0.00124310465387301</c:v>
                </c:pt>
                <c:pt idx="61">
                  <c:v>0.0271591526344379</c:v>
                </c:pt>
                <c:pt idx="62">
                  <c:v>0.00936768149882905</c:v>
                </c:pt>
                <c:pt idx="63">
                  <c:v>-0.0252975076715817</c:v>
                </c:pt>
                <c:pt idx="64">
                  <c:v>-0.0201950395454196</c:v>
                </c:pt>
                <c:pt idx="65">
                  <c:v>-0.0315830721003135</c:v>
                </c:pt>
                <c:pt idx="66">
                  <c:v>0.00453184429877807</c:v>
                </c:pt>
                <c:pt idx="67">
                  <c:v>-0.000563924917425185</c:v>
                </c:pt>
                <c:pt idx="68">
                  <c:v>-0.0249879090762535</c:v>
                </c:pt>
                <c:pt idx="69">
                  <c:v>0.0483630952380953</c:v>
                </c:pt>
                <c:pt idx="70">
                  <c:v>0.00220802775806317</c:v>
                </c:pt>
                <c:pt idx="71">
                  <c:v>-0.0025965850971752</c:v>
                </c:pt>
                <c:pt idx="72">
                  <c:v>-0.00481224360997157</c:v>
                </c:pt>
                <c:pt idx="73">
                  <c:v>0.0119698771304002</c:v>
                </c:pt>
                <c:pt idx="74">
                  <c:v>0.00728497571674769</c:v>
                </c:pt>
                <c:pt idx="75">
                  <c:v>0.0102651839178785</c:v>
                </c:pt>
                <c:pt idx="76">
                  <c:v>-0.0274805634670156</c:v>
                </c:pt>
                <c:pt idx="77">
                  <c:v>-0.00839005857210706</c:v>
                </c:pt>
                <c:pt idx="78">
                  <c:v>0.00478927203065127</c:v>
                </c:pt>
                <c:pt idx="79">
                  <c:v>-0.000238322211630115</c:v>
                </c:pt>
                <c:pt idx="80">
                  <c:v>-0.0803337306317045</c:v>
                </c:pt>
                <c:pt idx="81">
                  <c:v>0.0160705028512183</c:v>
                </c:pt>
                <c:pt idx="82">
                  <c:v>0.0147108843537416</c:v>
                </c:pt>
                <c:pt idx="83">
                  <c:v>0.0143300092181347</c:v>
                </c:pt>
                <c:pt idx="84">
                  <c:v>0.016606080634501</c:v>
                </c:pt>
                <c:pt idx="85">
                  <c:v>-0.00121901665989432</c:v>
                </c:pt>
                <c:pt idx="86">
                  <c:v>0.0320585842148087</c:v>
                </c:pt>
                <c:pt idx="87">
                  <c:v>-0.0258593503626616</c:v>
                </c:pt>
                <c:pt idx="88">
                  <c:v>0.00647458724506311</c:v>
                </c:pt>
                <c:pt idx="89">
                  <c:v>0.00369893856545511</c:v>
                </c:pt>
                <c:pt idx="90">
                  <c:v>-0.00352507610959785</c:v>
                </c:pt>
                <c:pt idx="91">
                  <c:v>0.00297475478372733</c:v>
                </c:pt>
                <c:pt idx="92">
                  <c:v>0.0137875751503005</c:v>
                </c:pt>
                <c:pt idx="93">
                  <c:v>0.0341582984106903</c:v>
                </c:pt>
                <c:pt idx="94">
                  <c:v>-0.00336417157275015</c:v>
                </c:pt>
                <c:pt idx="95">
                  <c:v>-0.00421940928270026</c:v>
                </c:pt>
                <c:pt idx="96">
                  <c:v>0.0181818181818181</c:v>
                </c:pt>
                <c:pt idx="97">
                  <c:v>-0.0300393462469734</c:v>
                </c:pt>
                <c:pt idx="98">
                  <c:v>0.0161479054528433</c:v>
                </c:pt>
                <c:pt idx="99">
                  <c:v>0.0153539075694764</c:v>
                </c:pt>
                <c:pt idx="100">
                  <c:v>0.0288825041584759</c:v>
                </c:pt>
                <c:pt idx="101">
                  <c:v>-0.00220458553791891</c:v>
                </c:pt>
                <c:pt idx="102">
                  <c:v>-0.000883782589483073</c:v>
                </c:pt>
                <c:pt idx="103">
                  <c:v>0.0013268465280849</c:v>
                </c:pt>
                <c:pt idx="104">
                  <c:v>-0.00279740871613665</c:v>
                </c:pt>
                <c:pt idx="105">
                  <c:v>0.00767754318618041</c:v>
                </c:pt>
                <c:pt idx="106">
                  <c:v>0.0123809523809524</c:v>
                </c:pt>
                <c:pt idx="107">
                  <c:v>-0.0345900571676677</c:v>
                </c:pt>
                <c:pt idx="108">
                  <c:v>0.0146915523573945</c:v>
                </c:pt>
                <c:pt idx="109">
                  <c:v>0.0169904705621629</c:v>
                </c:pt>
                <c:pt idx="110">
                  <c:v>-0.0238250889808963</c:v>
                </c:pt>
                <c:pt idx="111">
                  <c:v>0.00744102983852968</c:v>
                </c:pt>
                <c:pt idx="112">
                  <c:v>0.00310214934633302</c:v>
                </c:pt>
                <c:pt idx="113">
                  <c:v>-0.00493336278624557</c:v>
                </c:pt>
                <c:pt idx="114">
                  <c:v>0.0257510729613735</c:v>
                </c:pt>
                <c:pt idx="115">
                  <c:v>-0.0119030442937528</c:v>
                </c:pt>
                <c:pt idx="116">
                  <c:v>0.0162079287435204</c:v>
                </c:pt>
                <c:pt idx="117">
                  <c:v>-0.00459803146777771</c:v>
                </c:pt>
                <c:pt idx="118">
                  <c:v>0.00526885600866112</c:v>
                </c:pt>
                <c:pt idx="119">
                  <c:v>7.17978173463418E-005</c:v>
                </c:pt>
                <c:pt idx="120">
                  <c:v>0.02096345753464</c:v>
                </c:pt>
                <c:pt idx="121">
                  <c:v>0.013008930454961</c:v>
                </c:pt>
                <c:pt idx="122">
                  <c:v>0.0024989587671802</c:v>
                </c:pt>
                <c:pt idx="123">
                  <c:v>0.0173798642847252</c:v>
                </c:pt>
                <c:pt idx="124">
                  <c:v>0.0330769754304769</c:v>
                </c:pt>
                <c:pt idx="125">
                  <c:v>0.016074840239805</c:v>
                </c:pt>
                <c:pt idx="126">
                  <c:v>-0.00713220514815527</c:v>
                </c:pt>
                <c:pt idx="127">
                  <c:v>-0.0033305034937634</c:v>
                </c:pt>
                <c:pt idx="128">
                  <c:v>-0.0247018739352641</c:v>
                </c:pt>
                <c:pt idx="129">
                  <c:v>-0.0121598925092375</c:v>
                </c:pt>
                <c:pt idx="130">
                  <c:v>-0.0233949945593036</c:v>
                </c:pt>
                <c:pt idx="131">
                  <c:v>0.0244428969359334</c:v>
                </c:pt>
                <c:pt idx="132">
                  <c:v>0.0144789613214602</c:v>
                </c:pt>
                <c:pt idx="133">
                  <c:v>0.00515947467166966</c:v>
                </c:pt>
                <c:pt idx="134">
                  <c:v>0.00459969335377641</c:v>
                </c:pt>
                <c:pt idx="135">
                  <c:v>-0.00809555408095553</c:v>
                </c:pt>
                <c:pt idx="136">
                  <c:v>0.017928819909018</c:v>
                </c:pt>
                <c:pt idx="137">
                  <c:v>-0.0151813880126183</c:v>
                </c:pt>
                <c:pt idx="138">
                  <c:v>-0.00867534200867526</c:v>
                </c:pt>
                <c:pt idx="139">
                  <c:v>0.0317738135307977</c:v>
                </c:pt>
                <c:pt idx="140">
                  <c:v>-0.00508905852417307</c:v>
                </c:pt>
                <c:pt idx="141">
                  <c:v>0.0028198570398057</c:v>
                </c:pt>
                <c:pt idx="142">
                  <c:v>0.0221030604237511</c:v>
                </c:pt>
                <c:pt idx="143">
                  <c:v>-0.027191298784389</c:v>
                </c:pt>
                <c:pt idx="144">
                  <c:v>0.0317000986517593</c:v>
                </c:pt>
                <c:pt idx="145">
                  <c:v>0.00580098170459609</c:v>
                </c:pt>
                <c:pt idx="146">
                  <c:v>0.00234503739383962</c:v>
                </c:pt>
                <c:pt idx="147">
                  <c:v>0.01492254189061</c:v>
                </c:pt>
                <c:pt idx="148">
                  <c:v>0.00716466263784188</c:v>
                </c:pt>
                <c:pt idx="149">
                  <c:v>-0.0109489051094891</c:v>
                </c:pt>
                <c:pt idx="150">
                  <c:v>0.00431546688348261</c:v>
                </c:pt>
                <c:pt idx="151">
                  <c:v>0.0222319093286836</c:v>
                </c:pt>
                <c:pt idx="152">
                  <c:v>-0.00852878464818763</c:v>
                </c:pt>
                <c:pt idx="153">
                  <c:v>-0.00178187403993846</c:v>
                </c:pt>
                <c:pt idx="154">
                  <c:v>0.00276991259386916</c:v>
                </c:pt>
                <c:pt idx="155">
                  <c:v>-0.01154011417347</c:v>
                </c:pt>
                <c:pt idx="156">
                  <c:v>-0.0173259641060671</c:v>
                </c:pt>
                <c:pt idx="157">
                  <c:v>-0.0221814964610719</c:v>
                </c:pt>
                <c:pt idx="158">
                  <c:v>-0.00697990047178942</c:v>
                </c:pt>
                <c:pt idx="159">
                  <c:v>5.61627074520013</c:v>
                </c:pt>
              </c:numCache>
            </c:numRef>
          </c:val>
        </c:ser>
        <c:gapWidth val="150"/>
        <c:overlap val="0"/>
        <c:axId val="63395859"/>
        <c:axId val="34678887"/>
      </c:barChart>
      <c:lineChart>
        <c:grouping val="standard"/>
        <c:varyColors val="0"/>
        <c:ser>
          <c:idx val="1"/>
          <c:order val="1"/>
          <c:tx>
            <c:strRef>
              <c:f>'Returns (Calc)'!$AC$2</c:f>
              <c:strCache>
                <c:ptCount val="1"/>
                <c:pt idx="0">
                  <c:v>MU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(Calc)'!$AC$3:$AC$500</c:f>
              <c:numCache>
                <c:formatCode>#,##0.00</c:formatCode>
                <c:ptCount val="498"/>
                <c:pt idx="0">
                  <c:v>100.59</c:v>
                </c:pt>
                <c:pt idx="1">
                  <c:v>99.957358490566</c:v>
                </c:pt>
                <c:pt idx="2">
                  <c:v>99.3247169811321</c:v>
                </c:pt>
                <c:pt idx="3">
                  <c:v>98.6920754716981</c:v>
                </c:pt>
                <c:pt idx="4">
                  <c:v>98.0594339622642</c:v>
                </c:pt>
                <c:pt idx="5">
                  <c:v>97.4267924528302</c:v>
                </c:pt>
                <c:pt idx="6">
                  <c:v>96.7941509433962</c:v>
                </c:pt>
                <c:pt idx="7">
                  <c:v>96.1615094339623</c:v>
                </c:pt>
                <c:pt idx="8">
                  <c:v>95.5288679245283</c:v>
                </c:pt>
                <c:pt idx="9">
                  <c:v>94.8962264150944</c:v>
                </c:pt>
                <c:pt idx="10">
                  <c:v>94.2635849056604</c:v>
                </c:pt>
                <c:pt idx="11">
                  <c:v>93.6309433962264</c:v>
                </c:pt>
                <c:pt idx="12">
                  <c:v>92.9983018867925</c:v>
                </c:pt>
                <c:pt idx="13">
                  <c:v>92.3656603773585</c:v>
                </c:pt>
                <c:pt idx="14">
                  <c:v>91.7330188679245</c:v>
                </c:pt>
                <c:pt idx="15">
                  <c:v>91.1003773584906</c:v>
                </c:pt>
                <c:pt idx="16">
                  <c:v>90.4677358490566</c:v>
                </c:pt>
                <c:pt idx="17">
                  <c:v>89.8350943396226</c:v>
                </c:pt>
                <c:pt idx="18">
                  <c:v>89.2024528301887</c:v>
                </c:pt>
                <c:pt idx="19">
                  <c:v>88.5698113207547</c:v>
                </c:pt>
                <c:pt idx="20">
                  <c:v>87.9371698113208</c:v>
                </c:pt>
                <c:pt idx="21">
                  <c:v>87.3045283018868</c:v>
                </c:pt>
                <c:pt idx="22">
                  <c:v>86.6718867924528</c:v>
                </c:pt>
                <c:pt idx="23">
                  <c:v>86.0392452830189</c:v>
                </c:pt>
                <c:pt idx="24">
                  <c:v>85.4066037735849</c:v>
                </c:pt>
                <c:pt idx="25">
                  <c:v>84.773962264151</c:v>
                </c:pt>
                <c:pt idx="26">
                  <c:v>84.141320754717</c:v>
                </c:pt>
                <c:pt idx="27">
                  <c:v>83.508679245283</c:v>
                </c:pt>
                <c:pt idx="28">
                  <c:v>82.8760377358491</c:v>
                </c:pt>
                <c:pt idx="29">
                  <c:v>82.2433962264151</c:v>
                </c:pt>
                <c:pt idx="30">
                  <c:v>81.6107547169811</c:v>
                </c:pt>
                <c:pt idx="31">
                  <c:v>80.9781132075472</c:v>
                </c:pt>
                <c:pt idx="32">
                  <c:v>80.3454716981132</c:v>
                </c:pt>
                <c:pt idx="33">
                  <c:v>79.7128301886793</c:v>
                </c:pt>
                <c:pt idx="34">
                  <c:v>79.0801886792453</c:v>
                </c:pt>
                <c:pt idx="35">
                  <c:v>78.4475471698113</c:v>
                </c:pt>
                <c:pt idx="36">
                  <c:v>77.8149056603774</c:v>
                </c:pt>
                <c:pt idx="37">
                  <c:v>77.1822641509434</c:v>
                </c:pt>
                <c:pt idx="38">
                  <c:v>76.5496226415094</c:v>
                </c:pt>
                <c:pt idx="39">
                  <c:v>75.9169811320755</c:v>
                </c:pt>
                <c:pt idx="40">
                  <c:v>75.2843396226415</c:v>
                </c:pt>
                <c:pt idx="41">
                  <c:v>74.6516981132075</c:v>
                </c:pt>
                <c:pt idx="42">
                  <c:v>74.0190566037736</c:v>
                </c:pt>
                <c:pt idx="43">
                  <c:v>73.3864150943396</c:v>
                </c:pt>
                <c:pt idx="44">
                  <c:v>72.7537735849057</c:v>
                </c:pt>
                <c:pt idx="45">
                  <c:v>72.1211320754717</c:v>
                </c:pt>
                <c:pt idx="46">
                  <c:v>71.4884905660377</c:v>
                </c:pt>
                <c:pt idx="47">
                  <c:v>70.8558490566038</c:v>
                </c:pt>
                <c:pt idx="48">
                  <c:v>70.2232075471698</c:v>
                </c:pt>
                <c:pt idx="49">
                  <c:v>69.5905660377359</c:v>
                </c:pt>
                <c:pt idx="50">
                  <c:v>68.9579245283019</c:v>
                </c:pt>
                <c:pt idx="51">
                  <c:v>68.3252830188679</c:v>
                </c:pt>
                <c:pt idx="52">
                  <c:v>67.692641509434</c:v>
                </c:pt>
                <c:pt idx="53">
                  <c:v>67.06</c:v>
                </c:pt>
                <c:pt idx="54">
                  <c:v>66.427358490566</c:v>
                </c:pt>
                <c:pt idx="55">
                  <c:v>65.7947169811321</c:v>
                </c:pt>
                <c:pt idx="56">
                  <c:v>65.1620754716981</c:v>
                </c:pt>
                <c:pt idx="57">
                  <c:v>64.5294339622642</c:v>
                </c:pt>
                <c:pt idx="58">
                  <c:v>63.8967924528302</c:v>
                </c:pt>
                <c:pt idx="59">
                  <c:v>63.2641509433962</c:v>
                </c:pt>
                <c:pt idx="60">
                  <c:v>62.6315094339623</c:v>
                </c:pt>
                <c:pt idx="61">
                  <c:v>61.9988679245283</c:v>
                </c:pt>
                <c:pt idx="62">
                  <c:v>61.3662264150943</c:v>
                </c:pt>
                <c:pt idx="63">
                  <c:v>60.7335849056604</c:v>
                </c:pt>
                <c:pt idx="64">
                  <c:v>60.1009433962264</c:v>
                </c:pt>
                <c:pt idx="65">
                  <c:v>59.4683018867925</c:v>
                </c:pt>
                <c:pt idx="66">
                  <c:v>58.8356603773585</c:v>
                </c:pt>
                <c:pt idx="67">
                  <c:v>58.2030188679245</c:v>
                </c:pt>
                <c:pt idx="68">
                  <c:v>57.5703773584906</c:v>
                </c:pt>
                <c:pt idx="69">
                  <c:v>56.9377358490566</c:v>
                </c:pt>
                <c:pt idx="70">
                  <c:v>56.3050943396226</c:v>
                </c:pt>
                <c:pt idx="71">
                  <c:v>55.6724528301887</c:v>
                </c:pt>
                <c:pt idx="72">
                  <c:v>55.0398113207547</c:v>
                </c:pt>
                <c:pt idx="73">
                  <c:v>54.4071698113208</c:v>
                </c:pt>
                <c:pt idx="74">
                  <c:v>53.7745283018868</c:v>
                </c:pt>
                <c:pt idx="75">
                  <c:v>53.1418867924528</c:v>
                </c:pt>
                <c:pt idx="76">
                  <c:v>52.5092452830189</c:v>
                </c:pt>
                <c:pt idx="77">
                  <c:v>51.8766037735849</c:v>
                </c:pt>
                <c:pt idx="78">
                  <c:v>51.2439622641509</c:v>
                </c:pt>
                <c:pt idx="79">
                  <c:v>50.611320754717</c:v>
                </c:pt>
                <c:pt idx="80">
                  <c:v>49.978679245283</c:v>
                </c:pt>
                <c:pt idx="81">
                  <c:v>49.3460377358491</c:v>
                </c:pt>
                <c:pt idx="82">
                  <c:v>48.7133962264151</c:v>
                </c:pt>
                <c:pt idx="83">
                  <c:v>48.0807547169811</c:v>
                </c:pt>
                <c:pt idx="84">
                  <c:v>47.4481132075472</c:v>
                </c:pt>
                <c:pt idx="85">
                  <c:v>46.8154716981132</c:v>
                </c:pt>
                <c:pt idx="86">
                  <c:v>46.1828301886793</c:v>
                </c:pt>
                <c:pt idx="87">
                  <c:v>45.5501886792453</c:v>
                </c:pt>
                <c:pt idx="88">
                  <c:v>44.9175471698113</c:v>
                </c:pt>
                <c:pt idx="89">
                  <c:v>44.2849056603774</c:v>
                </c:pt>
                <c:pt idx="90">
                  <c:v>43.6522641509434</c:v>
                </c:pt>
                <c:pt idx="91">
                  <c:v>43.0196226415094</c:v>
                </c:pt>
                <c:pt idx="92">
                  <c:v>42.3869811320755</c:v>
                </c:pt>
                <c:pt idx="93">
                  <c:v>41.7543396226415</c:v>
                </c:pt>
                <c:pt idx="94">
                  <c:v>41.1216981132075</c:v>
                </c:pt>
                <c:pt idx="95">
                  <c:v>40.4890566037736</c:v>
                </c:pt>
                <c:pt idx="96">
                  <c:v>39.8564150943396</c:v>
                </c:pt>
                <c:pt idx="97">
                  <c:v>39.2237735849057</c:v>
                </c:pt>
                <c:pt idx="98">
                  <c:v>38.5911320754717</c:v>
                </c:pt>
                <c:pt idx="99">
                  <c:v>37.9584905660377</c:v>
                </c:pt>
                <c:pt idx="100">
                  <c:v>37.3258490566038</c:v>
                </c:pt>
                <c:pt idx="101">
                  <c:v>36.6932075471698</c:v>
                </c:pt>
                <c:pt idx="102">
                  <c:v>36.0605660377359</c:v>
                </c:pt>
                <c:pt idx="103">
                  <c:v>35.4279245283019</c:v>
                </c:pt>
                <c:pt idx="104">
                  <c:v>34.7952830188679</c:v>
                </c:pt>
                <c:pt idx="105">
                  <c:v>34.162641509434</c:v>
                </c:pt>
                <c:pt idx="106">
                  <c:v>33.53</c:v>
                </c:pt>
                <c:pt idx="107">
                  <c:v>32.897358490566</c:v>
                </c:pt>
                <c:pt idx="108">
                  <c:v>32.2647169811321</c:v>
                </c:pt>
                <c:pt idx="109">
                  <c:v>31.6320754716981</c:v>
                </c:pt>
                <c:pt idx="110">
                  <c:v>30.9994339622642</c:v>
                </c:pt>
                <c:pt idx="111">
                  <c:v>30.3667924528302</c:v>
                </c:pt>
                <c:pt idx="112">
                  <c:v>29.7341509433962</c:v>
                </c:pt>
                <c:pt idx="113">
                  <c:v>29.1015094339623</c:v>
                </c:pt>
                <c:pt idx="114">
                  <c:v>28.4688679245283</c:v>
                </c:pt>
                <c:pt idx="115">
                  <c:v>27.8362264150943</c:v>
                </c:pt>
                <c:pt idx="116">
                  <c:v>27.2035849056604</c:v>
                </c:pt>
                <c:pt idx="117">
                  <c:v>26.5709433962264</c:v>
                </c:pt>
                <c:pt idx="118">
                  <c:v>25.9383018867924</c:v>
                </c:pt>
                <c:pt idx="119">
                  <c:v>25.3056603773585</c:v>
                </c:pt>
                <c:pt idx="120">
                  <c:v>24.6730188679245</c:v>
                </c:pt>
                <c:pt idx="121">
                  <c:v>24.0403773584906</c:v>
                </c:pt>
                <c:pt idx="122">
                  <c:v>23.4077358490566</c:v>
                </c:pt>
                <c:pt idx="123">
                  <c:v>22.7750943396226</c:v>
                </c:pt>
                <c:pt idx="124">
                  <c:v>22.1424528301887</c:v>
                </c:pt>
                <c:pt idx="125">
                  <c:v>21.5098113207547</c:v>
                </c:pt>
                <c:pt idx="126">
                  <c:v>20.8771698113208</c:v>
                </c:pt>
                <c:pt idx="127">
                  <c:v>20.2445283018868</c:v>
                </c:pt>
                <c:pt idx="128">
                  <c:v>19.6118867924528</c:v>
                </c:pt>
                <c:pt idx="129">
                  <c:v>18.9792452830189</c:v>
                </c:pt>
                <c:pt idx="130">
                  <c:v>18.3466037735849</c:v>
                </c:pt>
                <c:pt idx="131">
                  <c:v>17.7139622641509</c:v>
                </c:pt>
                <c:pt idx="132">
                  <c:v>17.081320754717</c:v>
                </c:pt>
                <c:pt idx="133">
                  <c:v>16.448679245283</c:v>
                </c:pt>
                <c:pt idx="134">
                  <c:v>15.8160377358491</c:v>
                </c:pt>
                <c:pt idx="135">
                  <c:v>15.1833962264151</c:v>
                </c:pt>
                <c:pt idx="136">
                  <c:v>14.5507547169811</c:v>
                </c:pt>
                <c:pt idx="137">
                  <c:v>13.9181132075472</c:v>
                </c:pt>
                <c:pt idx="138">
                  <c:v>13.2854716981132</c:v>
                </c:pt>
                <c:pt idx="139">
                  <c:v>12.6528301886792</c:v>
                </c:pt>
                <c:pt idx="140">
                  <c:v>12.0201886792453</c:v>
                </c:pt>
                <c:pt idx="141">
                  <c:v>11.3875471698113</c:v>
                </c:pt>
                <c:pt idx="142">
                  <c:v>10.7549056603774</c:v>
                </c:pt>
                <c:pt idx="143">
                  <c:v>10.1222641509434</c:v>
                </c:pt>
                <c:pt idx="144">
                  <c:v>9.48962264150943</c:v>
                </c:pt>
                <c:pt idx="145">
                  <c:v>8.85698113207548</c:v>
                </c:pt>
                <c:pt idx="146">
                  <c:v>8.22433962264151</c:v>
                </c:pt>
                <c:pt idx="147">
                  <c:v>7.59169811320754</c:v>
                </c:pt>
                <c:pt idx="148">
                  <c:v>6.95905660377359</c:v>
                </c:pt>
                <c:pt idx="149">
                  <c:v>6.32641509433962</c:v>
                </c:pt>
                <c:pt idx="150">
                  <c:v>5.69377358490567</c:v>
                </c:pt>
                <c:pt idx="151">
                  <c:v>5.0611320754717</c:v>
                </c:pt>
                <c:pt idx="152">
                  <c:v>4.42849056603774</c:v>
                </c:pt>
                <c:pt idx="153">
                  <c:v>3.79584905660377</c:v>
                </c:pt>
                <c:pt idx="154">
                  <c:v>3.1632075471698</c:v>
                </c:pt>
                <c:pt idx="155">
                  <c:v>2.53056603773585</c:v>
                </c:pt>
                <c:pt idx="156">
                  <c:v>1.89792452830189</c:v>
                </c:pt>
                <c:pt idx="157">
                  <c:v>1.26528301886792</c:v>
                </c:pt>
                <c:pt idx="158">
                  <c:v>0.632641509433952</c:v>
                </c:pt>
                <c:pt idx="159">
                  <c:v>0</c:v>
                </c:pt>
              </c:numCache>
            </c:numRef>
          </c:val>
          <c:smooth val="0"/>
        </c:ser>
        <c:hiLowLines>
          <c:spPr>
            <a:ln w="0">
              <a:noFill/>
            </a:ln>
          </c:spPr>
        </c:hiLowLines>
        <c:marker val="0"/>
        <c:axId val="40340154"/>
        <c:axId val="35855516"/>
      </c:lineChart>
      <c:dateAx>
        <c:axId val="63395859"/>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4678887"/>
        <c:auto val="1"/>
        <c:lblOffset val="100"/>
        <c:baseTimeUnit val="days"/>
      </c:dateAx>
      <c:valAx>
        <c:axId val="3467888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3395859"/>
        <c:crosses val="autoZero"/>
        <c:crossBetween val="between"/>
      </c:valAx>
      <c:dateAx>
        <c:axId val="40340154"/>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5855516"/>
        <c:auto val="1"/>
        <c:lblOffset val="100"/>
        <c:baseTimeUnit val="days"/>
      </c:dateAx>
      <c:valAx>
        <c:axId val="35855516"/>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0340154"/>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NVDA</a:t>
            </a:r>
          </a:p>
        </c:rich>
      </c:tx>
      <c:overlay val="0"/>
      <c:spPr>
        <a:noFill/>
        <a:ln w="0">
          <a:noFill/>
        </a:ln>
      </c:spPr>
    </c:title>
    <c:autoTitleDeleted val="0"/>
    <c:plotArea>
      <c:barChart>
        <c:barDir val="col"/>
        <c:grouping val="clustered"/>
        <c:varyColors val="0"/>
        <c:ser>
          <c:idx val="0"/>
          <c:order val="0"/>
          <c:tx>
            <c:strRef>
              <c:f>'Returns (Calc)'!$I$2</c:f>
              <c:strCache>
                <c:ptCount val="1"/>
                <c:pt idx="0">
                  <c:v>KLAC</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(Calc)'!$I$3:$I$500</c:f>
              <c:numCache>
                <c:formatCode>0.0%</c:formatCode>
                <c:ptCount val="498"/>
                <c:pt idx="0">
                  <c:v>-0.00518602029312298</c:v>
                </c:pt>
                <c:pt idx="1">
                  <c:v>0.0151858567543064</c:v>
                </c:pt>
                <c:pt idx="2">
                  <c:v>0.0203170350524671</c:v>
                </c:pt>
                <c:pt idx="3">
                  <c:v>0.0402625820568927</c:v>
                </c:pt>
                <c:pt idx="4">
                  <c:v>-0.0500631047538915</c:v>
                </c:pt>
                <c:pt idx="5">
                  <c:v>-0.00974313551815764</c:v>
                </c:pt>
                <c:pt idx="6">
                  <c:v>0.091010733452594</c:v>
                </c:pt>
                <c:pt idx="7">
                  <c:v>0.0692764910842387</c:v>
                </c:pt>
                <c:pt idx="8">
                  <c:v>0.0220433199156602</c:v>
                </c:pt>
                <c:pt idx="9">
                  <c:v>0.0204426106526632</c:v>
                </c:pt>
                <c:pt idx="10">
                  <c:v>-0.0119463333945966</c:v>
                </c:pt>
                <c:pt idx="11">
                  <c:v>-0.0265997023809523</c:v>
                </c:pt>
                <c:pt idx="12">
                  <c:v>0.0947831072042806</c:v>
                </c:pt>
                <c:pt idx="13">
                  <c:v>-0.00418921277709905</c:v>
                </c:pt>
                <c:pt idx="14">
                  <c:v>-0.00227870289219978</c:v>
                </c:pt>
                <c:pt idx="15">
                  <c:v>-0.0635980323260718</c:v>
                </c:pt>
                <c:pt idx="16">
                  <c:v>0.0298311444652908</c:v>
                </c:pt>
                <c:pt idx="17">
                  <c:v>0.093459646565859</c:v>
                </c:pt>
                <c:pt idx="18">
                  <c:v>-0.0221592802399201</c:v>
                </c:pt>
                <c:pt idx="19">
                  <c:v>0.0081785653433295</c:v>
                </c:pt>
                <c:pt idx="20">
                  <c:v>0.0753760351529491</c:v>
                </c:pt>
                <c:pt idx="21">
                  <c:v>0.0199591387710201</c:v>
                </c:pt>
                <c:pt idx="22">
                  <c:v>0.0112480739599381</c:v>
                </c:pt>
                <c:pt idx="23">
                  <c:v>0.0729849154350146</c:v>
                </c:pt>
                <c:pt idx="24">
                  <c:v>-0.0255609201931269</c:v>
                </c:pt>
                <c:pt idx="25">
                  <c:v>-0.0220052462838823</c:v>
                </c:pt>
                <c:pt idx="26">
                  <c:v>0.0390403814632694</c:v>
                </c:pt>
                <c:pt idx="27">
                  <c:v>-0.0169224150293992</c:v>
                </c:pt>
                <c:pt idx="28">
                  <c:v>-0.022465353756382</c:v>
                </c:pt>
                <c:pt idx="29">
                  <c:v>-0.00298462915982689</c:v>
                </c:pt>
                <c:pt idx="30">
                  <c:v>-0.0773836252058076</c:v>
                </c:pt>
                <c:pt idx="31">
                  <c:v>0.124432186891629</c:v>
                </c:pt>
                <c:pt idx="32">
                  <c:v>-0.0137065358534122</c:v>
                </c:pt>
                <c:pt idx="33">
                  <c:v>0.031158572264482</c:v>
                </c:pt>
                <c:pt idx="34">
                  <c:v>0.0429848205419208</c:v>
                </c:pt>
                <c:pt idx="35">
                  <c:v>0.0420293797606095</c:v>
                </c:pt>
                <c:pt idx="36">
                  <c:v>-0.0250620023495628</c:v>
                </c:pt>
                <c:pt idx="37">
                  <c:v>0.0123175793278887</c:v>
                </c:pt>
                <c:pt idx="38">
                  <c:v>0.0727417008332232</c:v>
                </c:pt>
                <c:pt idx="39">
                  <c:v>-0.010109727530514</c:v>
                </c:pt>
                <c:pt idx="40">
                  <c:v>0.00983933241997748</c:v>
                </c:pt>
                <c:pt idx="41">
                  <c:v>0.0372471632955105</c:v>
                </c:pt>
                <c:pt idx="42">
                  <c:v>0.00285374554102269</c:v>
                </c:pt>
                <c:pt idx="43">
                  <c:v>-0.110979369219825</c:v>
                </c:pt>
                <c:pt idx="44">
                  <c:v>0.0326753801013604</c:v>
                </c:pt>
                <c:pt idx="45">
                  <c:v>-0.115846571096474</c:v>
                </c:pt>
                <c:pt idx="46">
                  <c:v>0.072597137014315</c:v>
                </c:pt>
                <c:pt idx="47">
                  <c:v>0.0995505924009259</c:v>
                </c:pt>
                <c:pt idx="48">
                  <c:v>-0.00210552390388907</c:v>
                </c:pt>
                <c:pt idx="49">
                  <c:v>0.00186173513714794</c:v>
                </c:pt>
                <c:pt idx="50">
                  <c:v>-0.142343904856293</c:v>
                </c:pt>
                <c:pt idx="51">
                  <c:v>0.0693341037122635</c:v>
                </c:pt>
                <c:pt idx="52">
                  <c:v>0.00986086721599366</c:v>
                </c:pt>
                <c:pt idx="53">
                  <c:v>0.0310326377742107</c:v>
                </c:pt>
                <c:pt idx="54">
                  <c:v>0.0063570316554229</c:v>
                </c:pt>
                <c:pt idx="55">
                  <c:v>0.0207554466933095</c:v>
                </c:pt>
                <c:pt idx="56">
                  <c:v>-0.155847436221268</c:v>
                </c:pt>
                <c:pt idx="57">
                  <c:v>-0.00792938360263318</c:v>
                </c:pt>
                <c:pt idx="58">
                  <c:v>-0.00557985220931989</c:v>
                </c:pt>
                <c:pt idx="59">
                  <c:v>0.02699423718532</c:v>
                </c:pt>
                <c:pt idx="60">
                  <c:v>-0.106172474896633</c:v>
                </c:pt>
                <c:pt idx="61">
                  <c:v>0.0437799438295059</c:v>
                </c:pt>
                <c:pt idx="62">
                  <c:v>0.0117125672681229</c:v>
                </c:pt>
                <c:pt idx="63">
                  <c:v>0.0020337922403002</c:v>
                </c:pt>
                <c:pt idx="64">
                  <c:v>0.00827478532396575</c:v>
                </c:pt>
                <c:pt idx="65">
                  <c:v>-0.0373180551254257</c:v>
                </c:pt>
                <c:pt idx="66">
                  <c:v>0.0246099404857649</c:v>
                </c:pt>
                <c:pt idx="67">
                  <c:v>0.0188383045525904</c:v>
                </c:pt>
                <c:pt idx="68">
                  <c:v>0.0397534668721109</c:v>
                </c:pt>
                <c:pt idx="69">
                  <c:v>0.108921161825726</c:v>
                </c:pt>
                <c:pt idx="70">
                  <c:v>-0.0101563544033142</c:v>
                </c:pt>
                <c:pt idx="71">
                  <c:v>-0.0153908464965571</c:v>
                </c:pt>
                <c:pt idx="72">
                  <c:v>0.0127519539284244</c:v>
                </c:pt>
                <c:pt idx="73">
                  <c:v>0.00406173842404556</c:v>
                </c:pt>
                <c:pt idx="74">
                  <c:v>0.00471952535059339</c:v>
                </c:pt>
                <c:pt idx="75">
                  <c:v>-0.0581130049657764</c:v>
                </c:pt>
                <c:pt idx="76">
                  <c:v>0.00341977771444846</c:v>
                </c:pt>
                <c:pt idx="77">
                  <c:v>0.00241408690712874</c:v>
                </c:pt>
                <c:pt idx="78">
                  <c:v>-0.00906644000566659</c:v>
                </c:pt>
                <c:pt idx="79">
                  <c:v>-0.0466047176554683</c:v>
                </c:pt>
                <c:pt idx="80">
                  <c:v>-0.144099565152197</c:v>
                </c:pt>
                <c:pt idx="81">
                  <c:v>0.162578836720392</c:v>
                </c:pt>
                <c:pt idx="82">
                  <c:v>-0.0534960819770945</c:v>
                </c:pt>
                <c:pt idx="83">
                  <c:v>0.0948893488298042</c:v>
                </c:pt>
                <c:pt idx="84">
                  <c:v>0.00508942852988237</c:v>
                </c:pt>
                <c:pt idx="85">
                  <c:v>0.00448495370370372</c:v>
                </c:pt>
                <c:pt idx="86">
                  <c:v>0.128186662825868</c:v>
                </c:pt>
                <c:pt idx="87">
                  <c:v>-0.0405974722328609</c:v>
                </c:pt>
                <c:pt idx="88">
                  <c:v>-0.000399201596806398</c:v>
                </c:pt>
                <c:pt idx="89">
                  <c:v>0.0674920127795526</c:v>
                </c:pt>
                <c:pt idx="90">
                  <c:v>0.073824666417259</c:v>
                </c:pt>
                <c:pt idx="91">
                  <c:v>-0.020322842875392</c:v>
                </c:pt>
                <c:pt idx="92">
                  <c:v>0.0469416785206258</c:v>
                </c:pt>
                <c:pt idx="93">
                  <c:v>0.0389492753623191</c:v>
                </c:pt>
                <c:pt idx="94">
                  <c:v>0</c:v>
                </c:pt>
                <c:pt idx="95">
                  <c:v>0.00708369659982555</c:v>
                </c:pt>
                <c:pt idx="96">
                  <c:v>-0.0311654582837355</c:v>
                </c:pt>
                <c:pt idx="97">
                  <c:v>-0.0170892438288842</c:v>
                </c:pt>
                <c:pt idx="98">
                  <c:v>0.0317045454545455</c:v>
                </c:pt>
                <c:pt idx="99">
                  <c:v>-0.0435069941623527</c:v>
                </c:pt>
                <c:pt idx="100">
                  <c:v>-0.0032243205895901</c:v>
                </c:pt>
                <c:pt idx="101">
                  <c:v>0.00196395563770801</c:v>
                </c:pt>
                <c:pt idx="102">
                  <c:v>0.0379338175948345</c:v>
                </c:pt>
                <c:pt idx="103">
                  <c:v>0.0650966451899577</c:v>
                </c:pt>
                <c:pt idx="104">
                  <c:v>0.083854818523154</c:v>
                </c:pt>
                <c:pt idx="105">
                  <c:v>0.0186682063125481</c:v>
                </c:pt>
                <c:pt idx="106">
                  <c:v>0.0349518231626678</c:v>
                </c:pt>
                <c:pt idx="107">
                  <c:v>-0.107794815626141</c:v>
                </c:pt>
                <c:pt idx="108">
                  <c:v>0.126035805626598</c:v>
                </c:pt>
                <c:pt idx="109">
                  <c:v>0.0688652675570094</c:v>
                </c:pt>
                <c:pt idx="110">
                  <c:v>0.0219294517637059</c:v>
                </c:pt>
                <c:pt idx="111">
                  <c:v>-0.0127256092489395</c:v>
                </c:pt>
                <c:pt idx="112">
                  <c:v>-0.0495366470092672</c:v>
                </c:pt>
                <c:pt idx="113">
                  <c:v>-0.0311115050522957</c:v>
                </c:pt>
                <c:pt idx="114">
                  <c:v>0.0713566919769462</c:v>
                </c:pt>
                <c:pt idx="115">
                  <c:v>0.0332166339339084</c:v>
                </c:pt>
                <c:pt idx="116">
                  <c:v>-0.0169421487603305</c:v>
                </c:pt>
                <c:pt idx="117">
                  <c:v>0.0433795712484237</c:v>
                </c:pt>
                <c:pt idx="118">
                  <c:v>0.0272339054064943</c:v>
                </c:pt>
                <c:pt idx="119">
                  <c:v>-0.00400031375009802</c:v>
                </c:pt>
                <c:pt idx="120">
                  <c:v>0.0984406993227278</c:v>
                </c:pt>
                <c:pt idx="121">
                  <c:v>0.1198738170347</c:v>
                </c:pt>
                <c:pt idx="122">
                  <c:v>-0.0350832266325224</c:v>
                </c:pt>
                <c:pt idx="123">
                  <c:v>-0.0560642250530785</c:v>
                </c:pt>
                <c:pt idx="124">
                  <c:v>0.01047304421171</c:v>
                </c:pt>
                <c:pt idx="125">
                  <c:v>0.0146772398441848</c:v>
                </c:pt>
                <c:pt idx="126">
                  <c:v>0.0231027627339413</c:v>
                </c:pt>
                <c:pt idx="127">
                  <c:v>0.0190967569016349</c:v>
                </c:pt>
                <c:pt idx="128">
                  <c:v>-0.118087974225787</c:v>
                </c:pt>
                <c:pt idx="129">
                  <c:v>0.0550958025795871</c:v>
                </c:pt>
                <c:pt idx="130">
                  <c:v>0.0564584511023176</c:v>
                </c:pt>
                <c:pt idx="131">
                  <c:v>-0.0370543776336031</c:v>
                </c:pt>
                <c:pt idx="132">
                  <c:v>0.0510523025630338</c:v>
                </c:pt>
                <c:pt idx="133">
                  <c:v>0.145321173671689</c:v>
                </c:pt>
                <c:pt idx="134">
                  <c:v>0.0311580405054528</c:v>
                </c:pt>
                <c:pt idx="135">
                  <c:v>0.0801857758379496</c:v>
                </c:pt>
                <c:pt idx="136">
                  <c:v>-0.107905097389142</c:v>
                </c:pt>
                <c:pt idx="137">
                  <c:v>0.0828058765460775</c:v>
                </c:pt>
                <c:pt idx="138">
                  <c:v>-0.0346972703383922</c:v>
                </c:pt>
                <c:pt idx="139">
                  <c:v>0.0478888888888889</c:v>
                </c:pt>
                <c:pt idx="140">
                  <c:v>0.0176545435266673</c:v>
                </c:pt>
                <c:pt idx="141">
                  <c:v>0.00390726751758264</c:v>
                </c:pt>
                <c:pt idx="142">
                  <c:v>0.319408406850026</c:v>
                </c:pt>
                <c:pt idx="143">
                  <c:v>0.0197443461160274</c:v>
                </c:pt>
                <c:pt idx="144">
                  <c:v>-0.0420796852701816</c:v>
                </c:pt>
                <c:pt idx="145">
                  <c:v>-0.0526654855854405</c:v>
                </c:pt>
                <c:pt idx="146">
                  <c:v>-0.0170860251615097</c:v>
                </c:pt>
                <c:pt idx="147">
                  <c:v>-0.0810775750237828</c:v>
                </c:pt>
                <c:pt idx="148">
                  <c:v>-0.0104936238294668</c:v>
                </c:pt>
                <c:pt idx="149">
                  <c:v>-0.1315864561537</c:v>
                </c:pt>
                <c:pt idx="150">
                  <c:v>0.0836755927933846</c:v>
                </c:pt>
                <c:pt idx="151">
                  <c:v>0.028298549699328</c:v>
                </c:pt>
                <c:pt idx="152">
                  <c:v>-0.095827804806133</c:v>
                </c:pt>
                <c:pt idx="153">
                  <c:v>-0.0459264090439698</c:v>
                </c:pt>
                <c:pt idx="154">
                  <c:v>0.0573088754699784</c:v>
                </c:pt>
                <c:pt idx="155">
                  <c:v>-0.0267241379310346</c:v>
                </c:pt>
                <c:pt idx="156">
                  <c:v>-0.0202059344552701</c:v>
                </c:pt>
                <c:pt idx="157">
                  <c:v>0.061754901406859</c:v>
                </c:pt>
                <c:pt idx="158">
                  <c:v>0.00665176670923806</c:v>
                </c:pt>
                <c:pt idx="159">
                  <c:v>0.217740656552308</c:v>
                </c:pt>
              </c:numCache>
            </c:numRef>
          </c:val>
        </c:ser>
        <c:gapWidth val="150"/>
        <c:overlap val="0"/>
        <c:axId val="18152120"/>
        <c:axId val="75937392"/>
      </c:barChart>
      <c:lineChart>
        <c:grouping val="standard"/>
        <c:varyColors val="0"/>
        <c:ser>
          <c:idx val="1"/>
          <c:order val="1"/>
          <c:tx>
            <c:strRef>
              <c:f>'Returns (Calc)'!$AD$2</c:f>
              <c:strCache>
                <c:ptCount val="1"/>
                <c:pt idx="0">
                  <c:v>NVDA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(Calc)'!$AD$3:$AD$500</c:f>
              <c:numCache>
                <c:formatCode>#,##0.00</c:formatCode>
                <c:ptCount val="498"/>
                <c:pt idx="0">
                  <c:v>44.35</c:v>
                </c:pt>
                <c:pt idx="1">
                  <c:v>44.0710691823899</c:v>
                </c:pt>
                <c:pt idx="2">
                  <c:v>43.7921383647799</c:v>
                </c:pt>
                <c:pt idx="3">
                  <c:v>43.5132075471698</c:v>
                </c:pt>
                <c:pt idx="4">
                  <c:v>43.2342767295598</c:v>
                </c:pt>
                <c:pt idx="5">
                  <c:v>42.9553459119497</c:v>
                </c:pt>
                <c:pt idx="6">
                  <c:v>42.6764150943396</c:v>
                </c:pt>
                <c:pt idx="7">
                  <c:v>42.3974842767296</c:v>
                </c:pt>
                <c:pt idx="8">
                  <c:v>42.1185534591195</c:v>
                </c:pt>
                <c:pt idx="9">
                  <c:v>41.8396226415094</c:v>
                </c:pt>
                <c:pt idx="10">
                  <c:v>41.5606918238994</c:v>
                </c:pt>
                <c:pt idx="11">
                  <c:v>41.2817610062893</c:v>
                </c:pt>
                <c:pt idx="12">
                  <c:v>41.0028301886793</c:v>
                </c:pt>
                <c:pt idx="13">
                  <c:v>40.7238993710692</c:v>
                </c:pt>
                <c:pt idx="14">
                  <c:v>40.4449685534591</c:v>
                </c:pt>
                <c:pt idx="15">
                  <c:v>40.1660377358491</c:v>
                </c:pt>
                <c:pt idx="16">
                  <c:v>39.887106918239</c:v>
                </c:pt>
                <c:pt idx="17">
                  <c:v>39.6081761006289</c:v>
                </c:pt>
                <c:pt idx="18">
                  <c:v>39.3292452830189</c:v>
                </c:pt>
                <c:pt idx="19">
                  <c:v>39.0503144654088</c:v>
                </c:pt>
                <c:pt idx="20">
                  <c:v>38.7713836477987</c:v>
                </c:pt>
                <c:pt idx="21">
                  <c:v>38.4924528301887</c:v>
                </c:pt>
                <c:pt idx="22">
                  <c:v>38.2135220125786</c:v>
                </c:pt>
                <c:pt idx="23">
                  <c:v>37.9345911949686</c:v>
                </c:pt>
                <c:pt idx="24">
                  <c:v>37.6556603773585</c:v>
                </c:pt>
                <c:pt idx="25">
                  <c:v>37.3767295597484</c:v>
                </c:pt>
                <c:pt idx="26">
                  <c:v>37.0977987421384</c:v>
                </c:pt>
                <c:pt idx="27">
                  <c:v>36.8188679245283</c:v>
                </c:pt>
                <c:pt idx="28">
                  <c:v>36.5399371069182</c:v>
                </c:pt>
                <c:pt idx="29">
                  <c:v>36.2610062893082</c:v>
                </c:pt>
                <c:pt idx="30">
                  <c:v>35.9820754716981</c:v>
                </c:pt>
                <c:pt idx="31">
                  <c:v>35.7031446540881</c:v>
                </c:pt>
                <c:pt idx="32">
                  <c:v>35.424213836478</c:v>
                </c:pt>
                <c:pt idx="33">
                  <c:v>35.1452830188679</c:v>
                </c:pt>
                <c:pt idx="34">
                  <c:v>34.8663522012579</c:v>
                </c:pt>
                <c:pt idx="35">
                  <c:v>34.5874213836478</c:v>
                </c:pt>
                <c:pt idx="36">
                  <c:v>34.3084905660377</c:v>
                </c:pt>
                <c:pt idx="37">
                  <c:v>34.0295597484277</c:v>
                </c:pt>
                <c:pt idx="38">
                  <c:v>33.7506289308176</c:v>
                </c:pt>
                <c:pt idx="39">
                  <c:v>33.4716981132076</c:v>
                </c:pt>
                <c:pt idx="40">
                  <c:v>33.1927672955975</c:v>
                </c:pt>
                <c:pt idx="41">
                  <c:v>32.9138364779874</c:v>
                </c:pt>
                <c:pt idx="42">
                  <c:v>32.6349056603774</c:v>
                </c:pt>
                <c:pt idx="43">
                  <c:v>32.3559748427673</c:v>
                </c:pt>
                <c:pt idx="44">
                  <c:v>32.0770440251572</c:v>
                </c:pt>
                <c:pt idx="45">
                  <c:v>31.7981132075472</c:v>
                </c:pt>
                <c:pt idx="46">
                  <c:v>31.5191823899371</c:v>
                </c:pt>
                <c:pt idx="47">
                  <c:v>31.240251572327</c:v>
                </c:pt>
                <c:pt idx="48">
                  <c:v>30.961320754717</c:v>
                </c:pt>
                <c:pt idx="49">
                  <c:v>30.6823899371069</c:v>
                </c:pt>
                <c:pt idx="50">
                  <c:v>30.4034591194969</c:v>
                </c:pt>
                <c:pt idx="51">
                  <c:v>30.1245283018868</c:v>
                </c:pt>
                <c:pt idx="52">
                  <c:v>29.8455974842767</c:v>
                </c:pt>
                <c:pt idx="53">
                  <c:v>29.5666666666667</c:v>
                </c:pt>
                <c:pt idx="54">
                  <c:v>29.2877358490566</c:v>
                </c:pt>
                <c:pt idx="55">
                  <c:v>29.0088050314465</c:v>
                </c:pt>
                <c:pt idx="56">
                  <c:v>28.7298742138365</c:v>
                </c:pt>
                <c:pt idx="57">
                  <c:v>28.4509433962264</c:v>
                </c:pt>
                <c:pt idx="58">
                  <c:v>28.1720125786164</c:v>
                </c:pt>
                <c:pt idx="59">
                  <c:v>27.8930817610063</c:v>
                </c:pt>
                <c:pt idx="60">
                  <c:v>27.6141509433962</c:v>
                </c:pt>
                <c:pt idx="61">
                  <c:v>27.3352201257862</c:v>
                </c:pt>
                <c:pt idx="62">
                  <c:v>27.0562893081761</c:v>
                </c:pt>
                <c:pt idx="63">
                  <c:v>26.777358490566</c:v>
                </c:pt>
                <c:pt idx="64">
                  <c:v>26.498427672956</c:v>
                </c:pt>
                <c:pt idx="65">
                  <c:v>26.2194968553459</c:v>
                </c:pt>
                <c:pt idx="66">
                  <c:v>25.9405660377359</c:v>
                </c:pt>
                <c:pt idx="67">
                  <c:v>25.6616352201258</c:v>
                </c:pt>
                <c:pt idx="68">
                  <c:v>25.3827044025157</c:v>
                </c:pt>
                <c:pt idx="69">
                  <c:v>25.1037735849057</c:v>
                </c:pt>
                <c:pt idx="70">
                  <c:v>24.8248427672956</c:v>
                </c:pt>
                <c:pt idx="71">
                  <c:v>24.5459119496855</c:v>
                </c:pt>
                <c:pt idx="72">
                  <c:v>24.2669811320755</c:v>
                </c:pt>
                <c:pt idx="73">
                  <c:v>23.9880503144654</c:v>
                </c:pt>
                <c:pt idx="74">
                  <c:v>23.7091194968553</c:v>
                </c:pt>
                <c:pt idx="75">
                  <c:v>23.4301886792453</c:v>
                </c:pt>
                <c:pt idx="76">
                  <c:v>23.1512578616352</c:v>
                </c:pt>
                <c:pt idx="77">
                  <c:v>22.8723270440252</c:v>
                </c:pt>
                <c:pt idx="78">
                  <c:v>22.5933962264151</c:v>
                </c:pt>
                <c:pt idx="79">
                  <c:v>22.314465408805</c:v>
                </c:pt>
                <c:pt idx="80">
                  <c:v>22.035534591195</c:v>
                </c:pt>
                <c:pt idx="81">
                  <c:v>21.7566037735849</c:v>
                </c:pt>
                <c:pt idx="82">
                  <c:v>21.4776729559748</c:v>
                </c:pt>
                <c:pt idx="83">
                  <c:v>21.1987421383648</c:v>
                </c:pt>
                <c:pt idx="84">
                  <c:v>20.9198113207547</c:v>
                </c:pt>
                <c:pt idx="85">
                  <c:v>20.6408805031447</c:v>
                </c:pt>
                <c:pt idx="86">
                  <c:v>20.3619496855346</c:v>
                </c:pt>
                <c:pt idx="87">
                  <c:v>20.0830188679245</c:v>
                </c:pt>
                <c:pt idx="88">
                  <c:v>19.8040880503145</c:v>
                </c:pt>
                <c:pt idx="89">
                  <c:v>19.5251572327044</c:v>
                </c:pt>
                <c:pt idx="90">
                  <c:v>19.2462264150943</c:v>
                </c:pt>
                <c:pt idx="91">
                  <c:v>18.9672955974843</c:v>
                </c:pt>
                <c:pt idx="92">
                  <c:v>18.6883647798742</c:v>
                </c:pt>
                <c:pt idx="93">
                  <c:v>18.4094339622642</c:v>
                </c:pt>
                <c:pt idx="94">
                  <c:v>18.1305031446541</c:v>
                </c:pt>
                <c:pt idx="95">
                  <c:v>17.851572327044</c:v>
                </c:pt>
                <c:pt idx="96">
                  <c:v>17.572641509434</c:v>
                </c:pt>
                <c:pt idx="97">
                  <c:v>17.2937106918239</c:v>
                </c:pt>
                <c:pt idx="98">
                  <c:v>17.0147798742138</c:v>
                </c:pt>
                <c:pt idx="99">
                  <c:v>16.7358490566038</c:v>
                </c:pt>
                <c:pt idx="100">
                  <c:v>16.4569182389937</c:v>
                </c:pt>
                <c:pt idx="101">
                  <c:v>16.1779874213836</c:v>
                </c:pt>
                <c:pt idx="102">
                  <c:v>15.8990566037736</c:v>
                </c:pt>
                <c:pt idx="103">
                  <c:v>15.6201257861635</c:v>
                </c:pt>
                <c:pt idx="104">
                  <c:v>15.3411949685535</c:v>
                </c:pt>
                <c:pt idx="105">
                  <c:v>15.0622641509434</c:v>
                </c:pt>
                <c:pt idx="106">
                  <c:v>14.7833333333333</c:v>
                </c:pt>
                <c:pt idx="107">
                  <c:v>14.5044025157233</c:v>
                </c:pt>
                <c:pt idx="108">
                  <c:v>14.2254716981132</c:v>
                </c:pt>
                <c:pt idx="109">
                  <c:v>13.9465408805031</c:v>
                </c:pt>
                <c:pt idx="110">
                  <c:v>13.6676100628931</c:v>
                </c:pt>
                <c:pt idx="111">
                  <c:v>13.388679245283</c:v>
                </c:pt>
                <c:pt idx="112">
                  <c:v>13.109748427673</c:v>
                </c:pt>
                <c:pt idx="113">
                  <c:v>12.8308176100629</c:v>
                </c:pt>
                <c:pt idx="114">
                  <c:v>12.5518867924528</c:v>
                </c:pt>
                <c:pt idx="115">
                  <c:v>12.2729559748428</c:v>
                </c:pt>
                <c:pt idx="116">
                  <c:v>11.9940251572327</c:v>
                </c:pt>
                <c:pt idx="117">
                  <c:v>11.7150943396226</c:v>
                </c:pt>
                <c:pt idx="118">
                  <c:v>11.4361635220126</c:v>
                </c:pt>
                <c:pt idx="119">
                  <c:v>11.1572327044025</c:v>
                </c:pt>
                <c:pt idx="120">
                  <c:v>10.8783018867925</c:v>
                </c:pt>
                <c:pt idx="121">
                  <c:v>10.5993710691824</c:v>
                </c:pt>
                <c:pt idx="122">
                  <c:v>10.3204402515723</c:v>
                </c:pt>
                <c:pt idx="123">
                  <c:v>10.0415094339623</c:v>
                </c:pt>
                <c:pt idx="124">
                  <c:v>9.7625786163522</c:v>
                </c:pt>
                <c:pt idx="125">
                  <c:v>9.48364779874214</c:v>
                </c:pt>
                <c:pt idx="126">
                  <c:v>9.20471698113207</c:v>
                </c:pt>
                <c:pt idx="127">
                  <c:v>8.92578616352201</c:v>
                </c:pt>
                <c:pt idx="128">
                  <c:v>8.64685534591195</c:v>
                </c:pt>
                <c:pt idx="129">
                  <c:v>8.36792452830188</c:v>
                </c:pt>
                <c:pt idx="130">
                  <c:v>8.08899371069182</c:v>
                </c:pt>
                <c:pt idx="131">
                  <c:v>7.81006289308176</c:v>
                </c:pt>
                <c:pt idx="132">
                  <c:v>7.5311320754717</c:v>
                </c:pt>
                <c:pt idx="133">
                  <c:v>7.25220125786164</c:v>
                </c:pt>
                <c:pt idx="134">
                  <c:v>6.97327044025157</c:v>
                </c:pt>
                <c:pt idx="135">
                  <c:v>6.69433962264151</c:v>
                </c:pt>
                <c:pt idx="136">
                  <c:v>6.41540880503145</c:v>
                </c:pt>
                <c:pt idx="137">
                  <c:v>6.13647798742139</c:v>
                </c:pt>
                <c:pt idx="138">
                  <c:v>5.85754716981132</c:v>
                </c:pt>
                <c:pt idx="139">
                  <c:v>5.57861635220126</c:v>
                </c:pt>
                <c:pt idx="140">
                  <c:v>5.2996855345912</c:v>
                </c:pt>
                <c:pt idx="141">
                  <c:v>5.02075471698113</c:v>
                </c:pt>
                <c:pt idx="142">
                  <c:v>4.74182389937107</c:v>
                </c:pt>
                <c:pt idx="143">
                  <c:v>4.46289308176101</c:v>
                </c:pt>
                <c:pt idx="144">
                  <c:v>4.18396226415094</c:v>
                </c:pt>
                <c:pt idx="145">
                  <c:v>3.90503144654088</c:v>
                </c:pt>
                <c:pt idx="146">
                  <c:v>3.62610062893081</c:v>
                </c:pt>
                <c:pt idx="147">
                  <c:v>3.34716981132075</c:v>
                </c:pt>
                <c:pt idx="148">
                  <c:v>3.06823899371069</c:v>
                </c:pt>
                <c:pt idx="149">
                  <c:v>2.78930817610063</c:v>
                </c:pt>
                <c:pt idx="150">
                  <c:v>2.51037735849057</c:v>
                </c:pt>
                <c:pt idx="151">
                  <c:v>2.23144654088051</c:v>
                </c:pt>
                <c:pt idx="152">
                  <c:v>1.95251572327044</c:v>
                </c:pt>
                <c:pt idx="153">
                  <c:v>1.67358490566038</c:v>
                </c:pt>
                <c:pt idx="154">
                  <c:v>1.39465408805031</c:v>
                </c:pt>
                <c:pt idx="155">
                  <c:v>1.11572327044026</c:v>
                </c:pt>
                <c:pt idx="156">
                  <c:v>0.836792452830188</c:v>
                </c:pt>
                <c:pt idx="157">
                  <c:v>0.557861635220128</c:v>
                </c:pt>
                <c:pt idx="158">
                  <c:v>0.27893081761006</c:v>
                </c:pt>
                <c:pt idx="159">
                  <c:v>0</c:v>
                </c:pt>
              </c:numCache>
            </c:numRef>
          </c:val>
          <c:smooth val="0"/>
        </c:ser>
        <c:hiLowLines>
          <c:spPr>
            <a:ln w="0">
              <a:noFill/>
            </a:ln>
          </c:spPr>
        </c:hiLowLines>
        <c:marker val="0"/>
        <c:axId val="8336340"/>
        <c:axId val="67915254"/>
      </c:lineChart>
      <c:dateAx>
        <c:axId val="18152120"/>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5937392"/>
        <c:auto val="1"/>
        <c:lblOffset val="100"/>
        <c:baseTimeUnit val="days"/>
      </c:dateAx>
      <c:valAx>
        <c:axId val="7593739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8152120"/>
        <c:crosses val="autoZero"/>
        <c:crossBetween val="between"/>
      </c:valAx>
      <c:dateAx>
        <c:axId val="8336340"/>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7915254"/>
        <c:auto val="1"/>
        <c:lblOffset val="100"/>
        <c:baseTimeUnit val="days"/>
      </c:dateAx>
      <c:valAx>
        <c:axId val="67915254"/>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336340"/>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PLD</a:t>
            </a:r>
          </a:p>
        </c:rich>
      </c:tx>
      <c:overlay val="0"/>
      <c:spPr>
        <a:noFill/>
        <a:ln w="0">
          <a:noFill/>
        </a:ln>
      </c:spPr>
    </c:title>
    <c:autoTitleDeleted val="0"/>
    <c:plotArea>
      <c:barChart>
        <c:barDir val="col"/>
        <c:grouping val="clustered"/>
        <c:varyColors val="0"/>
        <c:ser>
          <c:idx val="0"/>
          <c:order val="0"/>
          <c:tx>
            <c:strRef>
              <c:f>'Returns (Calc)'!$J$2</c:f>
              <c:strCache>
                <c:ptCount val="1"/>
                <c:pt idx="0">
                  <c:v>MU</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(Calc)'!$J$3:$J$500</c:f>
              <c:numCache>
                <c:formatCode>0.0%</c:formatCode>
                <c:ptCount val="498"/>
                <c:pt idx="0">
                  <c:v>-0.0143249891477354</c:v>
                </c:pt>
                <c:pt idx="1">
                  <c:v>-0.0123311802701116</c:v>
                </c:pt>
                <c:pt idx="2">
                  <c:v>0.0300237812128419</c:v>
                </c:pt>
                <c:pt idx="3">
                  <c:v>-0.0106782106782106</c:v>
                </c:pt>
                <c:pt idx="4">
                  <c:v>-0.0287339556592765</c:v>
                </c:pt>
                <c:pt idx="5">
                  <c:v>-0.0234269409821295</c:v>
                </c:pt>
                <c:pt idx="6">
                  <c:v>0.10564354913117</c:v>
                </c:pt>
                <c:pt idx="7">
                  <c:v>0.0382475660639778</c:v>
                </c:pt>
                <c:pt idx="8">
                  <c:v>0.029202947086403</c:v>
                </c:pt>
                <c:pt idx="9">
                  <c:v>-0.00885070935832344</c:v>
                </c:pt>
                <c:pt idx="10">
                  <c:v>-0.0122127380170717</c:v>
                </c:pt>
                <c:pt idx="11">
                  <c:v>-0.0127625631480989</c:v>
                </c:pt>
                <c:pt idx="12">
                  <c:v>0.0859143549690278</c:v>
                </c:pt>
                <c:pt idx="13">
                  <c:v>0.0625</c:v>
                </c:pt>
                <c:pt idx="14">
                  <c:v>-0.0120214752567693</c:v>
                </c:pt>
                <c:pt idx="15">
                  <c:v>-0.0220909627879504</c:v>
                </c:pt>
                <c:pt idx="16">
                  <c:v>-0.0128050253684465</c:v>
                </c:pt>
                <c:pt idx="17">
                  <c:v>0.062163485070974</c:v>
                </c:pt>
                <c:pt idx="18">
                  <c:v>0.00622119815668221</c:v>
                </c:pt>
                <c:pt idx="19">
                  <c:v>-0.0178612319670255</c:v>
                </c:pt>
                <c:pt idx="20">
                  <c:v>-0.0106085334576824</c:v>
                </c:pt>
                <c:pt idx="21">
                  <c:v>-0.0708141864027336</c:v>
                </c:pt>
                <c:pt idx="22">
                  <c:v>0.0817905148364191</c:v>
                </c:pt>
                <c:pt idx="23">
                  <c:v>0.106318133864729</c:v>
                </c:pt>
                <c:pt idx="24">
                  <c:v>0.0259588895952532</c:v>
                </c:pt>
                <c:pt idx="25">
                  <c:v>-0.044717546215016</c:v>
                </c:pt>
                <c:pt idx="26">
                  <c:v>0.181837837837838</c:v>
                </c:pt>
                <c:pt idx="27">
                  <c:v>0.0707098426637396</c:v>
                </c:pt>
                <c:pt idx="28">
                  <c:v>0.0482699700982487</c:v>
                </c:pt>
                <c:pt idx="29">
                  <c:v>-0.00855745721271395</c:v>
                </c:pt>
                <c:pt idx="30">
                  <c:v>-0.128565556925606</c:v>
                </c:pt>
                <c:pt idx="31">
                  <c:v>0.0755589095368361</c:v>
                </c:pt>
                <c:pt idx="32">
                  <c:v>-0.00122785476232246</c:v>
                </c:pt>
                <c:pt idx="33">
                  <c:v>0.0570776255707763</c:v>
                </c:pt>
                <c:pt idx="34">
                  <c:v>0.0333942515368002</c:v>
                </c:pt>
                <c:pt idx="35">
                  <c:v>0.0335209003215433</c:v>
                </c:pt>
                <c:pt idx="36">
                  <c:v>-0.0346892743252703</c:v>
                </c:pt>
                <c:pt idx="37">
                  <c:v>0.0475384739344129</c:v>
                </c:pt>
                <c:pt idx="38">
                  <c:v>0.0795323436658719</c:v>
                </c:pt>
                <c:pt idx="39">
                  <c:v>-0.0128250801567509</c:v>
                </c:pt>
                <c:pt idx="40">
                  <c:v>-0.0574521833273187</c:v>
                </c:pt>
                <c:pt idx="41">
                  <c:v>0.000536028792403664</c:v>
                </c:pt>
                <c:pt idx="42">
                  <c:v>0.0157661105158426</c:v>
                </c:pt>
                <c:pt idx="43">
                  <c:v>-0.144439421338156</c:v>
                </c:pt>
                <c:pt idx="44">
                  <c:v>-0.0424482606781154</c:v>
                </c:pt>
                <c:pt idx="45">
                  <c:v>-0.152763726662375</c:v>
                </c:pt>
                <c:pt idx="46">
                  <c:v>0.00412505427702992</c:v>
                </c:pt>
                <c:pt idx="47">
                  <c:v>0.160216216216216</c:v>
                </c:pt>
                <c:pt idx="48">
                  <c:v>-0.0476146105106224</c:v>
                </c:pt>
                <c:pt idx="49">
                  <c:v>-0.0642794247138244</c:v>
                </c:pt>
                <c:pt idx="50">
                  <c:v>-0.102467586783772</c:v>
                </c:pt>
                <c:pt idx="51">
                  <c:v>0.0560344827586208</c:v>
                </c:pt>
                <c:pt idx="52">
                  <c:v>-0.00353006067291795</c:v>
                </c:pt>
                <c:pt idx="53">
                  <c:v>0.182663566921289</c:v>
                </c:pt>
                <c:pt idx="54">
                  <c:v>-0.0488626790227464</c:v>
                </c:pt>
                <c:pt idx="55">
                  <c:v>0.0468457828953843</c:v>
                </c:pt>
                <c:pt idx="56">
                  <c:v>0.0395788286170913</c:v>
                </c:pt>
                <c:pt idx="57">
                  <c:v>-0.0291191897268945</c:v>
                </c:pt>
                <c:pt idx="58">
                  <c:v>-0.0758196721311476</c:v>
                </c:pt>
                <c:pt idx="59">
                  <c:v>0.122052005644023</c:v>
                </c:pt>
                <c:pt idx="60">
                  <c:v>-0.139046079223929</c:v>
                </c:pt>
                <c:pt idx="61">
                  <c:v>0.0653103808033386</c:v>
                </c:pt>
                <c:pt idx="62">
                  <c:v>-0.0456370580746254</c:v>
                </c:pt>
                <c:pt idx="63">
                  <c:v>0.0328373524884555</c:v>
                </c:pt>
                <c:pt idx="64">
                  <c:v>0.0131147540983605</c:v>
                </c:pt>
                <c:pt idx="65">
                  <c:v>-0.120721780915956</c:v>
                </c:pt>
                <c:pt idx="66">
                  <c:v>-0.0165068034798125</c:v>
                </c:pt>
                <c:pt idx="67">
                  <c:v>0.0153095940122476</c:v>
                </c:pt>
                <c:pt idx="68">
                  <c:v>0.105327823076064</c:v>
                </c:pt>
                <c:pt idx="69">
                  <c:v>0.0644704931285369</c:v>
                </c:pt>
                <c:pt idx="70">
                  <c:v>-0.0242073286500855</c:v>
                </c:pt>
                <c:pt idx="71">
                  <c:v>-0.115770016538574</c:v>
                </c:pt>
                <c:pt idx="72">
                  <c:v>0.011662449114314</c:v>
                </c:pt>
                <c:pt idx="73">
                  <c:v>0.0781946710168571</c:v>
                </c:pt>
                <c:pt idx="74">
                  <c:v>-0.00685898729070011</c:v>
                </c:pt>
                <c:pt idx="75">
                  <c:v>-0.0527117611212675</c:v>
                </c:pt>
                <c:pt idx="76">
                  <c:v>-0.00718344590972453</c:v>
                </c:pt>
                <c:pt idx="77">
                  <c:v>0.084233261339093</c:v>
                </c:pt>
                <c:pt idx="78">
                  <c:v>-0.0601593625498008</c:v>
                </c:pt>
                <c:pt idx="79">
                  <c:v>-0.066341670199237</c:v>
                </c:pt>
                <c:pt idx="80">
                  <c:v>-0.267196367763905</c:v>
                </c:pt>
                <c:pt idx="81">
                  <c:v>0.0745043370508054</c:v>
                </c:pt>
                <c:pt idx="82">
                  <c:v>-0.0106674354908464</c:v>
                </c:pt>
                <c:pt idx="83">
                  <c:v>0.159551216669095</c:v>
                </c:pt>
                <c:pt idx="84">
                  <c:v>0.0116863533551144</c:v>
                </c:pt>
                <c:pt idx="85">
                  <c:v>0.0637187926965595</c:v>
                </c:pt>
                <c:pt idx="86">
                  <c:v>0.14140588510042</c:v>
                </c:pt>
                <c:pt idx="87">
                  <c:v>-0.0472634271099744</c:v>
                </c:pt>
                <c:pt idx="88">
                  <c:v>0.0117040695801569</c:v>
                </c:pt>
                <c:pt idx="89">
                  <c:v>0.149225217575886</c:v>
                </c:pt>
                <c:pt idx="90">
                  <c:v>0.0649242704100481</c:v>
                </c:pt>
                <c:pt idx="91">
                  <c:v>0.0692047524065562</c:v>
                </c:pt>
                <c:pt idx="92">
                  <c:v>0.00932760158974766</c:v>
                </c:pt>
                <c:pt idx="93">
                  <c:v>-0.01976856316297</c:v>
                </c:pt>
                <c:pt idx="94">
                  <c:v>0.0192654533530086</c:v>
                </c:pt>
                <c:pt idx="95">
                  <c:v>-0.0813962840826832</c:v>
                </c:pt>
                <c:pt idx="96">
                  <c:v>-0.0274056562472638</c:v>
                </c:pt>
                <c:pt idx="97">
                  <c:v>-0.0573460568959309</c:v>
                </c:pt>
                <c:pt idx="98">
                  <c:v>0.133607105338554</c:v>
                </c:pt>
                <c:pt idx="99">
                  <c:v>0.016680707666386</c:v>
                </c:pt>
                <c:pt idx="100">
                  <c:v>-0.0264335432548891</c:v>
                </c:pt>
                <c:pt idx="101">
                  <c:v>0.0113201123499873</c:v>
                </c:pt>
                <c:pt idx="102">
                  <c:v>0.103854569937721</c:v>
                </c:pt>
                <c:pt idx="103">
                  <c:v>0.196858798414151</c:v>
                </c:pt>
                <c:pt idx="104">
                  <c:v>0.0349726079755384</c:v>
                </c:pt>
                <c:pt idx="105">
                  <c:v>-0.0335446543977349</c:v>
                </c:pt>
                <c:pt idx="106">
                  <c:v>0.195070691631639</c:v>
                </c:pt>
                <c:pt idx="107">
                  <c:v>-0.0332001065814016</c:v>
                </c:pt>
                <c:pt idx="108">
                  <c:v>0.114430603020615</c:v>
                </c:pt>
                <c:pt idx="109">
                  <c:v>0.082253437530913</c:v>
                </c:pt>
                <c:pt idx="110">
                  <c:v>0.0216626296787168</c:v>
                </c:pt>
                <c:pt idx="111">
                  <c:v>0.0632520688883917</c:v>
                </c:pt>
                <c:pt idx="112">
                  <c:v>0.0374437292271446</c:v>
                </c:pt>
                <c:pt idx="113">
                  <c:v>-0.159860497181556</c:v>
                </c:pt>
                <c:pt idx="114">
                  <c:v>0.140367813872665</c:v>
                </c:pt>
                <c:pt idx="115">
                  <c:v>0.0031322751322751</c:v>
                </c:pt>
                <c:pt idx="116">
                  <c:v>0.0164985864382463</c:v>
                </c:pt>
                <c:pt idx="117">
                  <c:v>0.102781237027813</c:v>
                </c:pt>
                <c:pt idx="118">
                  <c:v>0.0709553564706766</c:v>
                </c:pt>
                <c:pt idx="119">
                  <c:v>0.108010263259639</c:v>
                </c:pt>
                <c:pt idx="120">
                  <c:v>0.0940553229285623</c:v>
                </c:pt>
                <c:pt idx="121">
                  <c:v>0.0511757371915684</c:v>
                </c:pt>
                <c:pt idx="122">
                  <c:v>0.101726706018646</c:v>
                </c:pt>
                <c:pt idx="123">
                  <c:v>0.0381052526162935</c:v>
                </c:pt>
                <c:pt idx="124">
                  <c:v>-0.0486687246768281</c:v>
                </c:pt>
                <c:pt idx="125">
                  <c:v>0.0429954875019014</c:v>
                </c:pt>
                <c:pt idx="126">
                  <c:v>0.0401050021875455</c:v>
                </c:pt>
                <c:pt idx="127">
                  <c:v>-0.036899420452421</c:v>
                </c:pt>
                <c:pt idx="128">
                  <c:v>-0.102006648387645</c:v>
                </c:pt>
                <c:pt idx="129">
                  <c:v>0.150774136020968</c:v>
                </c:pt>
                <c:pt idx="130">
                  <c:v>-0.00758411796473257</c:v>
                </c:pt>
                <c:pt idx="131">
                  <c:v>-0.155302134103062</c:v>
                </c:pt>
                <c:pt idx="132">
                  <c:v>0.0256568259481262</c:v>
                </c:pt>
                <c:pt idx="133">
                  <c:v>0.14842427221585</c:v>
                </c:pt>
                <c:pt idx="134">
                  <c:v>0.0819679927710271</c:v>
                </c:pt>
                <c:pt idx="135">
                  <c:v>0.0915164835164835</c:v>
                </c:pt>
                <c:pt idx="136">
                  <c:v>0.0915955219072164</c:v>
                </c:pt>
                <c:pt idx="137">
                  <c:v>0.377344917270765</c:v>
                </c:pt>
                <c:pt idx="138">
                  <c:v>-0.0296638542922192</c:v>
                </c:pt>
                <c:pt idx="139">
                  <c:v>0.0363397971154511</c:v>
                </c:pt>
                <c:pt idx="140">
                  <c:v>0.292949605795866</c:v>
                </c:pt>
                <c:pt idx="141">
                  <c:v>-0.110181799454087</c:v>
                </c:pt>
                <c:pt idx="142">
                  <c:v>0.136106866694448</c:v>
                </c:pt>
                <c:pt idx="143">
                  <c:v>0.155238114645528</c:v>
                </c:pt>
                <c:pt idx="144">
                  <c:v>-0.00146407719038277</c:v>
                </c:pt>
                <c:pt idx="145">
                  <c:v>-0.138452162238553</c:v>
                </c:pt>
                <c:pt idx="146">
                  <c:v>0.00398806655662742</c:v>
                </c:pt>
                <c:pt idx="147">
                  <c:v>-0.133105279281119</c:v>
                </c:pt>
                <c:pt idx="148">
                  <c:v>0.0848106484480828</c:v>
                </c:pt>
                <c:pt idx="149">
                  <c:v>-0.106324990498941</c:v>
                </c:pt>
                <c:pt idx="150">
                  <c:v>0.066267329258958</c:v>
                </c:pt>
                <c:pt idx="151">
                  <c:v>0.107216518340417</c:v>
                </c:pt>
                <c:pt idx="152">
                  <c:v>-0.00502233291480558</c:v>
                </c:pt>
                <c:pt idx="153">
                  <c:v>-0.0350855416951116</c:v>
                </c:pt>
                <c:pt idx="154">
                  <c:v>0.0897562335184272</c:v>
                </c:pt>
                <c:pt idx="155">
                  <c:v>-0.0406555248428571</c:v>
                </c:pt>
                <c:pt idx="156">
                  <c:v>0.0415684022722145</c:v>
                </c:pt>
                <c:pt idx="157">
                  <c:v>0.0654459539279386</c:v>
                </c:pt>
                <c:pt idx="158">
                  <c:v>-0.0261485013120449</c:v>
                </c:pt>
                <c:pt idx="159">
                  <c:v>-0.869693922085808</c:v>
                </c:pt>
              </c:numCache>
            </c:numRef>
          </c:val>
        </c:ser>
        <c:gapWidth val="150"/>
        <c:overlap val="0"/>
        <c:axId val="25328982"/>
        <c:axId val="85619429"/>
      </c:barChart>
      <c:lineChart>
        <c:grouping val="standard"/>
        <c:varyColors val="0"/>
        <c:ser>
          <c:idx val="1"/>
          <c:order val="1"/>
          <c:tx>
            <c:strRef>
              <c:f>'Returns (Calc)'!$AE$2</c:f>
              <c:strCache>
                <c:ptCount val="1"/>
                <c:pt idx="0">
                  <c:v>PLD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(Calc)'!$AE$3:$AE$500</c:f>
              <c:numCache>
                <c:formatCode>#,##0.00</c:formatCode>
                <c:ptCount val="498"/>
                <c:pt idx="0">
                  <c:v>69.11</c:v>
                </c:pt>
                <c:pt idx="1">
                  <c:v>68.6753459119497</c:v>
                </c:pt>
                <c:pt idx="2">
                  <c:v>68.2406918238994</c:v>
                </c:pt>
                <c:pt idx="3">
                  <c:v>67.8060377358491</c:v>
                </c:pt>
                <c:pt idx="4">
                  <c:v>67.3713836477987</c:v>
                </c:pt>
                <c:pt idx="5">
                  <c:v>66.9367295597484</c:v>
                </c:pt>
                <c:pt idx="6">
                  <c:v>66.5020754716981</c:v>
                </c:pt>
                <c:pt idx="7">
                  <c:v>66.0674213836478</c:v>
                </c:pt>
                <c:pt idx="8">
                  <c:v>65.6327672955975</c:v>
                </c:pt>
                <c:pt idx="9">
                  <c:v>65.1981132075472</c:v>
                </c:pt>
                <c:pt idx="10">
                  <c:v>64.7634591194969</c:v>
                </c:pt>
                <c:pt idx="11">
                  <c:v>64.3288050314465</c:v>
                </c:pt>
                <c:pt idx="12">
                  <c:v>63.8941509433962</c:v>
                </c:pt>
                <c:pt idx="13">
                  <c:v>63.4594968553459</c:v>
                </c:pt>
                <c:pt idx="14">
                  <c:v>63.0248427672956</c:v>
                </c:pt>
                <c:pt idx="15">
                  <c:v>62.5901886792453</c:v>
                </c:pt>
                <c:pt idx="16">
                  <c:v>62.155534591195</c:v>
                </c:pt>
                <c:pt idx="17">
                  <c:v>61.7208805031447</c:v>
                </c:pt>
                <c:pt idx="18">
                  <c:v>61.2862264150943</c:v>
                </c:pt>
                <c:pt idx="19">
                  <c:v>60.851572327044</c:v>
                </c:pt>
                <c:pt idx="20">
                  <c:v>60.4169182389937</c:v>
                </c:pt>
                <c:pt idx="21">
                  <c:v>59.9822641509434</c:v>
                </c:pt>
                <c:pt idx="22">
                  <c:v>59.5476100628931</c:v>
                </c:pt>
                <c:pt idx="23">
                  <c:v>59.1129559748428</c:v>
                </c:pt>
                <c:pt idx="24">
                  <c:v>58.6783018867925</c:v>
                </c:pt>
                <c:pt idx="25">
                  <c:v>58.2436477987421</c:v>
                </c:pt>
                <c:pt idx="26">
                  <c:v>57.8089937106918</c:v>
                </c:pt>
                <c:pt idx="27">
                  <c:v>57.3743396226415</c:v>
                </c:pt>
                <c:pt idx="28">
                  <c:v>56.9396855345912</c:v>
                </c:pt>
                <c:pt idx="29">
                  <c:v>56.5050314465409</c:v>
                </c:pt>
                <c:pt idx="30">
                  <c:v>56.0703773584906</c:v>
                </c:pt>
                <c:pt idx="31">
                  <c:v>55.6357232704403</c:v>
                </c:pt>
                <c:pt idx="32">
                  <c:v>55.2010691823899</c:v>
                </c:pt>
                <c:pt idx="33">
                  <c:v>54.7664150943396</c:v>
                </c:pt>
                <c:pt idx="34">
                  <c:v>54.3317610062893</c:v>
                </c:pt>
                <c:pt idx="35">
                  <c:v>53.897106918239</c:v>
                </c:pt>
                <c:pt idx="36">
                  <c:v>53.4624528301887</c:v>
                </c:pt>
                <c:pt idx="37">
                  <c:v>53.0277987421384</c:v>
                </c:pt>
                <c:pt idx="38">
                  <c:v>52.5931446540881</c:v>
                </c:pt>
                <c:pt idx="39">
                  <c:v>52.1584905660377</c:v>
                </c:pt>
                <c:pt idx="40">
                  <c:v>51.7238364779874</c:v>
                </c:pt>
                <c:pt idx="41">
                  <c:v>51.2891823899371</c:v>
                </c:pt>
                <c:pt idx="42">
                  <c:v>50.8545283018868</c:v>
                </c:pt>
                <c:pt idx="43">
                  <c:v>50.4198742138365</c:v>
                </c:pt>
                <c:pt idx="44">
                  <c:v>49.9852201257862</c:v>
                </c:pt>
                <c:pt idx="45">
                  <c:v>49.5505660377359</c:v>
                </c:pt>
                <c:pt idx="46">
                  <c:v>49.1159119496855</c:v>
                </c:pt>
                <c:pt idx="47">
                  <c:v>48.6812578616352</c:v>
                </c:pt>
                <c:pt idx="48">
                  <c:v>48.2466037735849</c:v>
                </c:pt>
                <c:pt idx="49">
                  <c:v>47.8119496855346</c:v>
                </c:pt>
                <c:pt idx="50">
                  <c:v>47.3772955974843</c:v>
                </c:pt>
                <c:pt idx="51">
                  <c:v>46.942641509434</c:v>
                </c:pt>
                <c:pt idx="52">
                  <c:v>46.5079874213836</c:v>
                </c:pt>
                <c:pt idx="53">
                  <c:v>46.0733333333333</c:v>
                </c:pt>
                <c:pt idx="54">
                  <c:v>45.638679245283</c:v>
                </c:pt>
                <c:pt idx="55">
                  <c:v>45.2040251572327</c:v>
                </c:pt>
                <c:pt idx="56">
                  <c:v>44.7693710691824</c:v>
                </c:pt>
                <c:pt idx="57">
                  <c:v>44.3347169811321</c:v>
                </c:pt>
                <c:pt idx="58">
                  <c:v>43.9000628930818</c:v>
                </c:pt>
                <c:pt idx="59">
                  <c:v>43.4654088050314</c:v>
                </c:pt>
                <c:pt idx="60">
                  <c:v>43.0307547169811</c:v>
                </c:pt>
                <c:pt idx="61">
                  <c:v>42.5961006289308</c:v>
                </c:pt>
                <c:pt idx="62">
                  <c:v>42.1614465408805</c:v>
                </c:pt>
                <c:pt idx="63">
                  <c:v>41.7267924528302</c:v>
                </c:pt>
                <c:pt idx="64">
                  <c:v>41.2921383647799</c:v>
                </c:pt>
                <c:pt idx="65">
                  <c:v>40.8574842767296</c:v>
                </c:pt>
                <c:pt idx="66">
                  <c:v>40.4228301886792</c:v>
                </c:pt>
                <c:pt idx="67">
                  <c:v>39.9881761006289</c:v>
                </c:pt>
                <c:pt idx="68">
                  <c:v>39.5535220125786</c:v>
                </c:pt>
                <c:pt idx="69">
                  <c:v>39.1188679245283</c:v>
                </c:pt>
                <c:pt idx="70">
                  <c:v>38.684213836478</c:v>
                </c:pt>
                <c:pt idx="71">
                  <c:v>38.2495597484277</c:v>
                </c:pt>
                <c:pt idx="72">
                  <c:v>37.8149056603774</c:v>
                </c:pt>
                <c:pt idx="73">
                  <c:v>37.380251572327</c:v>
                </c:pt>
                <c:pt idx="74">
                  <c:v>36.9455974842767</c:v>
                </c:pt>
                <c:pt idx="75">
                  <c:v>36.5109433962264</c:v>
                </c:pt>
                <c:pt idx="76">
                  <c:v>36.0762893081761</c:v>
                </c:pt>
                <c:pt idx="77">
                  <c:v>35.6416352201258</c:v>
                </c:pt>
                <c:pt idx="78">
                  <c:v>35.2069811320755</c:v>
                </c:pt>
                <c:pt idx="79">
                  <c:v>34.7723270440252</c:v>
                </c:pt>
                <c:pt idx="80">
                  <c:v>34.3376729559748</c:v>
                </c:pt>
                <c:pt idx="81">
                  <c:v>33.9030188679245</c:v>
                </c:pt>
                <c:pt idx="82">
                  <c:v>33.4683647798742</c:v>
                </c:pt>
                <c:pt idx="83">
                  <c:v>33.0337106918239</c:v>
                </c:pt>
                <c:pt idx="84">
                  <c:v>32.5990566037736</c:v>
                </c:pt>
                <c:pt idx="85">
                  <c:v>32.1644025157233</c:v>
                </c:pt>
                <c:pt idx="86">
                  <c:v>31.729748427673</c:v>
                </c:pt>
                <c:pt idx="87">
                  <c:v>31.2950943396226</c:v>
                </c:pt>
                <c:pt idx="88">
                  <c:v>30.8604402515723</c:v>
                </c:pt>
                <c:pt idx="89">
                  <c:v>30.425786163522</c:v>
                </c:pt>
                <c:pt idx="90">
                  <c:v>29.9911320754717</c:v>
                </c:pt>
                <c:pt idx="91">
                  <c:v>29.5564779874214</c:v>
                </c:pt>
                <c:pt idx="92">
                  <c:v>29.1218238993711</c:v>
                </c:pt>
                <c:pt idx="93">
                  <c:v>28.6871698113208</c:v>
                </c:pt>
                <c:pt idx="94">
                  <c:v>28.2525157232704</c:v>
                </c:pt>
                <c:pt idx="95">
                  <c:v>27.8178616352201</c:v>
                </c:pt>
                <c:pt idx="96">
                  <c:v>27.3832075471698</c:v>
                </c:pt>
                <c:pt idx="97">
                  <c:v>26.9485534591195</c:v>
                </c:pt>
                <c:pt idx="98">
                  <c:v>26.5138993710692</c:v>
                </c:pt>
                <c:pt idx="99">
                  <c:v>26.0792452830189</c:v>
                </c:pt>
                <c:pt idx="100">
                  <c:v>25.6445911949686</c:v>
                </c:pt>
                <c:pt idx="101">
                  <c:v>25.2099371069182</c:v>
                </c:pt>
                <c:pt idx="102">
                  <c:v>24.7752830188679</c:v>
                </c:pt>
                <c:pt idx="103">
                  <c:v>24.3406289308176</c:v>
                </c:pt>
                <c:pt idx="104">
                  <c:v>23.9059748427673</c:v>
                </c:pt>
                <c:pt idx="105">
                  <c:v>23.471320754717</c:v>
                </c:pt>
                <c:pt idx="106">
                  <c:v>23.0366666666667</c:v>
                </c:pt>
                <c:pt idx="107">
                  <c:v>22.6020125786164</c:v>
                </c:pt>
                <c:pt idx="108">
                  <c:v>22.167358490566</c:v>
                </c:pt>
                <c:pt idx="109">
                  <c:v>21.7327044025157</c:v>
                </c:pt>
                <c:pt idx="110">
                  <c:v>21.2980503144654</c:v>
                </c:pt>
                <c:pt idx="111">
                  <c:v>20.8633962264151</c:v>
                </c:pt>
                <c:pt idx="112">
                  <c:v>20.4287421383648</c:v>
                </c:pt>
                <c:pt idx="113">
                  <c:v>19.9940880503145</c:v>
                </c:pt>
                <c:pt idx="114">
                  <c:v>19.5594339622642</c:v>
                </c:pt>
                <c:pt idx="115">
                  <c:v>19.1247798742138</c:v>
                </c:pt>
                <c:pt idx="116">
                  <c:v>18.6901257861635</c:v>
                </c:pt>
                <c:pt idx="117">
                  <c:v>18.2554716981132</c:v>
                </c:pt>
                <c:pt idx="118">
                  <c:v>17.8208176100629</c:v>
                </c:pt>
                <c:pt idx="119">
                  <c:v>17.3861635220126</c:v>
                </c:pt>
                <c:pt idx="120">
                  <c:v>16.9515094339623</c:v>
                </c:pt>
                <c:pt idx="121">
                  <c:v>16.516855345912</c:v>
                </c:pt>
                <c:pt idx="122">
                  <c:v>16.0822012578616</c:v>
                </c:pt>
                <c:pt idx="123">
                  <c:v>15.6475471698113</c:v>
                </c:pt>
                <c:pt idx="124">
                  <c:v>15.212893081761</c:v>
                </c:pt>
                <c:pt idx="125">
                  <c:v>14.7782389937107</c:v>
                </c:pt>
                <c:pt idx="126">
                  <c:v>14.3435849056604</c:v>
                </c:pt>
                <c:pt idx="127">
                  <c:v>13.9089308176101</c:v>
                </c:pt>
                <c:pt idx="128">
                  <c:v>13.4742767295597</c:v>
                </c:pt>
                <c:pt idx="129">
                  <c:v>13.0396226415094</c:v>
                </c:pt>
                <c:pt idx="130">
                  <c:v>12.6049685534591</c:v>
                </c:pt>
                <c:pt idx="131">
                  <c:v>12.1703144654088</c:v>
                </c:pt>
                <c:pt idx="132">
                  <c:v>11.7356603773585</c:v>
                </c:pt>
                <c:pt idx="133">
                  <c:v>11.3010062893082</c:v>
                </c:pt>
                <c:pt idx="134">
                  <c:v>10.8663522012579</c:v>
                </c:pt>
                <c:pt idx="135">
                  <c:v>10.4316981132075</c:v>
                </c:pt>
                <c:pt idx="136">
                  <c:v>9.99704402515724</c:v>
                </c:pt>
                <c:pt idx="137">
                  <c:v>9.56238993710692</c:v>
                </c:pt>
                <c:pt idx="138">
                  <c:v>9.1277358490566</c:v>
                </c:pt>
                <c:pt idx="139">
                  <c:v>8.6930817610063</c:v>
                </c:pt>
                <c:pt idx="140">
                  <c:v>8.25842767295598</c:v>
                </c:pt>
                <c:pt idx="141">
                  <c:v>7.82377358490566</c:v>
                </c:pt>
                <c:pt idx="142">
                  <c:v>7.38911949685534</c:v>
                </c:pt>
                <c:pt idx="143">
                  <c:v>6.95446540880504</c:v>
                </c:pt>
                <c:pt idx="144">
                  <c:v>6.51981132075471</c:v>
                </c:pt>
                <c:pt idx="145">
                  <c:v>6.0851572327044</c:v>
                </c:pt>
                <c:pt idx="146">
                  <c:v>5.65050314465409</c:v>
                </c:pt>
                <c:pt idx="147">
                  <c:v>5.21584905660377</c:v>
                </c:pt>
                <c:pt idx="148">
                  <c:v>4.78119496855345</c:v>
                </c:pt>
                <c:pt idx="149">
                  <c:v>4.34654088050314</c:v>
                </c:pt>
                <c:pt idx="150">
                  <c:v>3.91188679245283</c:v>
                </c:pt>
                <c:pt idx="151">
                  <c:v>3.47723270440251</c:v>
                </c:pt>
                <c:pt idx="152">
                  <c:v>3.0425786163522</c:v>
                </c:pt>
                <c:pt idx="153">
                  <c:v>2.60792452830189</c:v>
                </c:pt>
                <c:pt idx="154">
                  <c:v>2.17327044025157</c:v>
                </c:pt>
                <c:pt idx="155">
                  <c:v>1.73861635220126</c:v>
                </c:pt>
                <c:pt idx="156">
                  <c:v>1.30396226415094</c:v>
                </c:pt>
                <c:pt idx="157">
                  <c:v>0.869308176100631</c:v>
                </c:pt>
                <c:pt idx="158">
                  <c:v>0.434654088050323</c:v>
                </c:pt>
                <c:pt idx="159">
                  <c:v>0</c:v>
                </c:pt>
              </c:numCache>
            </c:numRef>
          </c:val>
          <c:smooth val="0"/>
        </c:ser>
        <c:hiLowLines>
          <c:spPr>
            <a:ln w="0">
              <a:noFill/>
            </a:ln>
          </c:spPr>
        </c:hiLowLines>
        <c:marker val="0"/>
        <c:axId val="96698808"/>
        <c:axId val="37550462"/>
      </c:lineChart>
      <c:dateAx>
        <c:axId val="25328982"/>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5619429"/>
        <c:auto val="1"/>
        <c:lblOffset val="100"/>
        <c:baseTimeUnit val="days"/>
      </c:dateAx>
      <c:valAx>
        <c:axId val="8561942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5328982"/>
        <c:crosses val="autoZero"/>
        <c:crossBetween val="between"/>
      </c:valAx>
      <c:dateAx>
        <c:axId val="96698808"/>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7550462"/>
        <c:auto val="1"/>
        <c:lblOffset val="100"/>
        <c:baseTimeUnit val="days"/>
      </c:dateAx>
      <c:valAx>
        <c:axId val="37550462"/>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6698808"/>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PLTR</a:t>
            </a:r>
          </a:p>
        </c:rich>
      </c:tx>
      <c:overlay val="0"/>
      <c:spPr>
        <a:noFill/>
        <a:ln w="0">
          <a:noFill/>
        </a:ln>
      </c:spPr>
    </c:title>
    <c:autoTitleDeleted val="0"/>
    <c:plotArea>
      <c:barChart>
        <c:barDir val="col"/>
        <c:grouping val="clustered"/>
        <c:varyColors val="0"/>
        <c:ser>
          <c:idx val="0"/>
          <c:order val="0"/>
          <c:tx>
            <c:strRef>
              <c:f>'Returns (Calc)'!$K$2</c:f>
              <c:strCache>
                <c:ptCount val="1"/>
                <c:pt idx="0">
                  <c:v>NVDA</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(Calc)'!$K$3:$K$500</c:f>
              <c:numCache>
                <c:formatCode>0.0%</c:formatCode>
                <c:ptCount val="498"/>
                <c:pt idx="0">
                  <c:v>-0.0520904729266621</c:v>
                </c:pt>
                <c:pt idx="1">
                  <c:v>0.0453121234032297</c:v>
                </c:pt>
                <c:pt idx="2">
                  <c:v>0.0521097532856816</c:v>
                </c:pt>
                <c:pt idx="3">
                  <c:v>-0.00657462195923741</c:v>
                </c:pt>
                <c:pt idx="4">
                  <c:v>-0.0897860136774763</c:v>
                </c:pt>
                <c:pt idx="5">
                  <c:v>-0.0213281628696073</c:v>
                </c:pt>
                <c:pt idx="6">
                  <c:v>0.111193660227835</c:v>
                </c:pt>
                <c:pt idx="7">
                  <c:v>0.0739915310898149</c:v>
                </c:pt>
                <c:pt idx="8">
                  <c:v>0.0199211454658643</c:v>
                </c:pt>
                <c:pt idx="9">
                  <c:v>-0.0309257375381484</c:v>
                </c:pt>
                <c:pt idx="10">
                  <c:v>-0.0209951711106445</c:v>
                </c:pt>
                <c:pt idx="11">
                  <c:v>0.0158696118378725</c:v>
                </c:pt>
                <c:pt idx="12">
                  <c:v>0.0291323622545916</c:v>
                </c:pt>
                <c:pt idx="13">
                  <c:v>-0.00123076923076926</c:v>
                </c:pt>
                <c:pt idx="14">
                  <c:v>0.0141712877387554</c:v>
                </c:pt>
                <c:pt idx="15">
                  <c:v>-0.00850546780072903</c:v>
                </c:pt>
                <c:pt idx="16">
                  <c:v>0.114174836601307</c:v>
                </c:pt>
                <c:pt idx="17">
                  <c:v>0.0874427131072411</c:v>
                </c:pt>
                <c:pt idx="18">
                  <c:v>0.0257923128792987</c:v>
                </c:pt>
                <c:pt idx="19">
                  <c:v>0.0841413311421528</c:v>
                </c:pt>
                <c:pt idx="20">
                  <c:v>0.0901925117477642</c:v>
                </c:pt>
                <c:pt idx="21">
                  <c:v>0.00667408231368194</c:v>
                </c:pt>
                <c:pt idx="22">
                  <c:v>0.0854972375690608</c:v>
                </c:pt>
                <c:pt idx="23">
                  <c:v>0.0438987148492176</c:v>
                </c:pt>
                <c:pt idx="24">
                  <c:v>0.0638712823013163</c:v>
                </c:pt>
                <c:pt idx="25">
                  <c:v>0.00355178735105421</c:v>
                </c:pt>
                <c:pt idx="26">
                  <c:v>0.0734102066445941</c:v>
                </c:pt>
                <c:pt idx="27">
                  <c:v>-0.0416932567538821</c:v>
                </c:pt>
                <c:pt idx="28">
                  <c:v>-0.0259711431742508</c:v>
                </c:pt>
                <c:pt idx="29">
                  <c:v>0.00205104831358249</c:v>
                </c:pt>
                <c:pt idx="30">
                  <c:v>-0.136001819422333</c:v>
                </c:pt>
                <c:pt idx="31">
                  <c:v>0.151487233482495</c:v>
                </c:pt>
                <c:pt idx="32">
                  <c:v>0.0120013715853242</c:v>
                </c:pt>
                <c:pt idx="33">
                  <c:v>0.0121978766659137</c:v>
                </c:pt>
                <c:pt idx="34">
                  <c:v>0.029011381388083</c:v>
                </c:pt>
                <c:pt idx="35">
                  <c:v>0.151268705270007</c:v>
                </c:pt>
                <c:pt idx="36">
                  <c:v>0.0296693981350664</c:v>
                </c:pt>
                <c:pt idx="37">
                  <c:v>0.102634467618002</c:v>
                </c:pt>
                <c:pt idx="38">
                  <c:v>0.0910900945744151</c:v>
                </c:pt>
                <c:pt idx="39">
                  <c:v>-0.0402980535279807</c:v>
                </c:pt>
                <c:pt idx="40">
                  <c:v>-0.0239264775788306</c:v>
                </c:pt>
                <c:pt idx="41">
                  <c:v>0.0185064935064936</c:v>
                </c:pt>
                <c:pt idx="42">
                  <c:v>0.0270959515460631</c:v>
                </c:pt>
                <c:pt idx="43">
                  <c:v>-0.0875232774674115</c:v>
                </c:pt>
                <c:pt idx="44">
                  <c:v>-0.0412414965986394</c:v>
                </c:pt>
                <c:pt idx="45">
                  <c:v>-0.0512638580931264</c:v>
                </c:pt>
                <c:pt idx="46">
                  <c:v>-0.0234645227633916</c:v>
                </c:pt>
                <c:pt idx="47">
                  <c:v>0.189354776948114</c:v>
                </c:pt>
                <c:pt idx="48">
                  <c:v>0.0383934320669672</c:v>
                </c:pt>
                <c:pt idx="49">
                  <c:v>-0.0772808309433376</c:v>
                </c:pt>
                <c:pt idx="50">
                  <c:v>-0.138524865591398</c:v>
                </c:pt>
                <c:pt idx="51">
                  <c:v>0.158264261335934</c:v>
                </c:pt>
                <c:pt idx="52">
                  <c:v>-0.0260144805522815</c:v>
                </c:pt>
                <c:pt idx="53">
                  <c:v>0.0465900250669893</c:v>
                </c:pt>
                <c:pt idx="54">
                  <c:v>0.0289890981169476</c:v>
                </c:pt>
                <c:pt idx="55">
                  <c:v>0.0790593145517295</c:v>
                </c:pt>
                <c:pt idx="56">
                  <c:v>0.0237280571258554</c:v>
                </c:pt>
                <c:pt idx="57">
                  <c:v>0.0256484778028045</c:v>
                </c:pt>
                <c:pt idx="58">
                  <c:v>-0.0433550580901105</c:v>
                </c:pt>
                <c:pt idx="59">
                  <c:v>0.0902695497630333</c:v>
                </c:pt>
                <c:pt idx="60">
                  <c:v>-0.038239489234531</c:v>
                </c:pt>
                <c:pt idx="61">
                  <c:v>-0.000211864406779672</c:v>
                </c:pt>
                <c:pt idx="62">
                  <c:v>-0.0260648442466624</c:v>
                </c:pt>
                <c:pt idx="63">
                  <c:v>0.0303887438352191</c:v>
                </c:pt>
                <c:pt idx="64">
                  <c:v>-0.0575068628141057</c:v>
                </c:pt>
                <c:pt idx="65">
                  <c:v>0.00336071695294993</c:v>
                </c:pt>
                <c:pt idx="66">
                  <c:v>0.0171194640863417</c:v>
                </c:pt>
                <c:pt idx="67">
                  <c:v>0.0544456641053788</c:v>
                </c:pt>
                <c:pt idx="68">
                  <c:v>-0.0591991116663196</c:v>
                </c:pt>
                <c:pt idx="69">
                  <c:v>0.0132044850988491</c:v>
                </c:pt>
                <c:pt idx="70">
                  <c:v>0.0356752821259556</c:v>
                </c:pt>
                <c:pt idx="71">
                  <c:v>-0.158101933216169</c:v>
                </c:pt>
                <c:pt idx="72">
                  <c:v>0.0813293253173013</c:v>
                </c:pt>
                <c:pt idx="73">
                  <c:v>0.0694208494208495</c:v>
                </c:pt>
                <c:pt idx="74">
                  <c:v>-0.0318434544010398</c:v>
                </c:pt>
                <c:pt idx="75">
                  <c:v>-0.0707786396181385</c:v>
                </c:pt>
                <c:pt idx="76">
                  <c:v>-0.0978409182117345</c:v>
                </c:pt>
                <c:pt idx="77">
                  <c:v>0.079715302491103</c:v>
                </c:pt>
                <c:pt idx="78">
                  <c:v>-0.0326301911667765</c:v>
                </c:pt>
                <c:pt idx="79">
                  <c:v>-0.0682282793867122</c:v>
                </c:pt>
                <c:pt idx="80">
                  <c:v>-0.140049364658561</c:v>
                </c:pt>
                <c:pt idx="81">
                  <c:v>0.176251727437015</c:v>
                </c:pt>
                <c:pt idx="82">
                  <c:v>-0.0851333032083145</c:v>
                </c:pt>
                <c:pt idx="83">
                  <c:v>0.0938456979156377</c:v>
                </c:pt>
                <c:pt idx="84">
                  <c:v>0.0314277973448929</c:v>
                </c:pt>
                <c:pt idx="85">
                  <c:v>0.0188249715436477</c:v>
                </c:pt>
                <c:pt idx="86">
                  <c:v>0.160708147129598</c:v>
                </c:pt>
                <c:pt idx="87">
                  <c:v>-0.0303568784244039</c:v>
                </c:pt>
                <c:pt idx="88">
                  <c:v>0.0292455711667683</c:v>
                </c:pt>
                <c:pt idx="89">
                  <c:v>0.048742488315157</c:v>
                </c:pt>
                <c:pt idx="90">
                  <c:v>0.00183927560837582</c:v>
                </c:pt>
                <c:pt idx="91">
                  <c:v>0.0132749611636773</c:v>
                </c:pt>
                <c:pt idx="92">
                  <c:v>0.0965853658536586</c:v>
                </c:pt>
                <c:pt idx="93">
                  <c:v>0.0101042196237924</c:v>
                </c:pt>
                <c:pt idx="94">
                  <c:v>0.0350424661843349</c:v>
                </c:pt>
                <c:pt idx="95">
                  <c:v>0.0454048140043764</c:v>
                </c:pt>
                <c:pt idx="96">
                  <c:v>0.00633757776614918</c:v>
                </c:pt>
                <c:pt idx="97">
                  <c:v>0.00127108851398194</c:v>
                </c:pt>
                <c:pt idx="98">
                  <c:v>0.0516445470282747</c:v>
                </c:pt>
                <c:pt idx="99">
                  <c:v>-0.0122908093278464</c:v>
                </c:pt>
                <c:pt idx="100">
                  <c:v>-0.0136659074495861</c:v>
                </c:pt>
                <c:pt idx="101">
                  <c:v>-0.0214024218529992</c:v>
                </c:pt>
                <c:pt idx="102">
                  <c:v>-0.041093525179856</c:v>
                </c:pt>
                <c:pt idx="103">
                  <c:v>0.0647620190864893</c:v>
                </c:pt>
                <c:pt idx="104">
                  <c:v>-0.00648252536640359</c:v>
                </c:pt>
                <c:pt idx="105">
                  <c:v>0.00856737588652479</c:v>
                </c:pt>
                <c:pt idx="106">
                  <c:v>0.0529365436543654</c:v>
                </c:pt>
                <c:pt idx="107">
                  <c:v>-0.0237751776459902</c:v>
                </c:pt>
                <c:pt idx="108">
                  <c:v>0.00032837127845875</c:v>
                </c:pt>
                <c:pt idx="109">
                  <c:v>0.0165773060509902</c:v>
                </c:pt>
                <c:pt idx="110">
                  <c:v>0.0871858349927344</c:v>
                </c:pt>
                <c:pt idx="111">
                  <c:v>-0.0708380773229048</c:v>
                </c:pt>
                <c:pt idx="112">
                  <c:v>0.0107618540223762</c:v>
                </c:pt>
                <c:pt idx="113">
                  <c:v>-0.0594033312249631</c:v>
                </c:pt>
                <c:pt idx="114">
                  <c:v>-0.0104791258055477</c:v>
                </c:pt>
                <c:pt idx="115">
                  <c:v>0.0305810397553516</c:v>
                </c:pt>
                <c:pt idx="116">
                  <c:v>-0.0404989559292228</c:v>
                </c:pt>
                <c:pt idx="117">
                  <c:v>0.0341332111562911</c:v>
                </c:pt>
                <c:pt idx="118">
                  <c:v>0.0527219360912665</c:v>
                </c:pt>
                <c:pt idx="119">
                  <c:v>-0.00883791888053032</c:v>
                </c:pt>
                <c:pt idx="120">
                  <c:v>-0.0211241441537073</c:v>
                </c:pt>
                <c:pt idx="121">
                  <c:v>0.00742829257712963</c:v>
                </c:pt>
                <c:pt idx="122">
                  <c:v>0.00769644779332612</c:v>
                </c:pt>
                <c:pt idx="123">
                  <c:v>0.0184265342092613</c:v>
                </c:pt>
                <c:pt idx="124">
                  <c:v>-0.0298930144745123</c:v>
                </c:pt>
                <c:pt idx="125">
                  <c:v>-0.0140555735755217</c:v>
                </c:pt>
                <c:pt idx="126">
                  <c:v>0.0383814014694595</c:v>
                </c:pt>
                <c:pt idx="127">
                  <c:v>-0.066532896821206</c:v>
                </c:pt>
                <c:pt idx="128">
                  <c:v>0.00350718407059625</c:v>
                </c:pt>
                <c:pt idx="129">
                  <c:v>0.0137542277339346</c:v>
                </c:pt>
                <c:pt idx="130">
                  <c:v>-0.0418705516014235</c:v>
                </c:pt>
                <c:pt idx="131">
                  <c:v>-0.0300040624455923</c:v>
                </c:pt>
                <c:pt idx="132">
                  <c:v>0.0589326313270313</c:v>
                </c:pt>
                <c:pt idx="133">
                  <c:v>0.0633369116899258</c:v>
                </c:pt>
                <c:pt idx="134">
                  <c:v>0.069181721572795</c:v>
                </c:pt>
                <c:pt idx="135">
                  <c:v>0.0327005267866019</c:v>
                </c:pt>
                <c:pt idx="136">
                  <c:v>-0.0471607314725698</c:v>
                </c:pt>
                <c:pt idx="137">
                  <c:v>0.0843939393939395</c:v>
                </c:pt>
                <c:pt idx="138">
                  <c:v>0.0470401937497089</c:v>
                </c:pt>
                <c:pt idx="139">
                  <c:v>-0.0443485610070726</c:v>
                </c:pt>
                <c:pt idx="140">
                  <c:v>-0.019456339601564</c:v>
                </c:pt>
                <c:pt idx="141">
                  <c:v>-0.0274850469951581</c:v>
                </c:pt>
                <c:pt idx="142">
                  <c:v>0.000439302972616851</c:v>
                </c:pt>
                <c:pt idx="143">
                  <c:v>0.0267857142857142</c:v>
                </c:pt>
                <c:pt idx="144">
                  <c:v>-0.0861962461392254</c:v>
                </c:pt>
                <c:pt idx="145">
                  <c:v>0.0119598564817223</c:v>
                </c:pt>
                <c:pt idx="146">
                  <c:v>0.0827809465084013</c:v>
                </c:pt>
                <c:pt idx="147">
                  <c:v>-0.0386294608959756</c:v>
                </c:pt>
                <c:pt idx="148">
                  <c:v>0.0198933754566097</c:v>
                </c:pt>
                <c:pt idx="149">
                  <c:v>-0.0294274236484198</c:v>
                </c:pt>
                <c:pt idx="150">
                  <c:v>0.115593676756595</c:v>
                </c:pt>
                <c:pt idx="151">
                  <c:v>0.00536408743462524</c:v>
                </c:pt>
                <c:pt idx="152">
                  <c:v>-0.0463741051976346</c:v>
                </c:pt>
                <c:pt idx="153">
                  <c:v>0.0131947034688549</c:v>
                </c:pt>
                <c:pt idx="154">
                  <c:v>0.0588560121485435</c:v>
                </c:pt>
                <c:pt idx="155">
                  <c:v>-0.0513255106475445</c:v>
                </c:pt>
                <c:pt idx="156">
                  <c:v>0.0182326263227817</c:v>
                </c:pt>
                <c:pt idx="157">
                  <c:v>0.0125972915823098</c:v>
                </c:pt>
                <c:pt idx="158">
                  <c:v>0.0168392055804862</c:v>
                </c:pt>
                <c:pt idx="159">
                  <c:v>-0.238267936729879</c:v>
                </c:pt>
              </c:numCache>
            </c:numRef>
          </c:val>
        </c:ser>
        <c:gapWidth val="150"/>
        <c:overlap val="0"/>
        <c:axId val="25237139"/>
        <c:axId val="56025762"/>
      </c:barChart>
      <c:lineChart>
        <c:grouping val="standard"/>
        <c:varyColors val="0"/>
        <c:ser>
          <c:idx val="1"/>
          <c:order val="1"/>
          <c:tx>
            <c:strRef>
              <c:f>'Returns (Calc)'!$AF$2</c:f>
              <c:strCache>
                <c:ptCount val="1"/>
                <c:pt idx="0">
                  <c:v>PLTR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(Calc)'!$AF$3:$AF$500</c:f>
              <c:numCache>
                <c:formatCode>#,##0.00</c:formatCode>
                <c:ptCount val="498"/>
                <c:pt idx="0">
                  <c:v>43.77</c:v>
                </c:pt>
                <c:pt idx="1">
                  <c:v>43.4947169811321</c:v>
                </c:pt>
                <c:pt idx="2">
                  <c:v>43.2194339622642</c:v>
                </c:pt>
                <c:pt idx="3">
                  <c:v>42.9441509433962</c:v>
                </c:pt>
                <c:pt idx="4">
                  <c:v>42.6688679245283</c:v>
                </c:pt>
                <c:pt idx="5">
                  <c:v>42.3935849056604</c:v>
                </c:pt>
                <c:pt idx="6">
                  <c:v>42.1183018867925</c:v>
                </c:pt>
                <c:pt idx="7">
                  <c:v>41.8430188679245</c:v>
                </c:pt>
                <c:pt idx="8">
                  <c:v>41.5677358490566</c:v>
                </c:pt>
                <c:pt idx="9">
                  <c:v>41.2924528301887</c:v>
                </c:pt>
                <c:pt idx="10">
                  <c:v>41.0171698113208</c:v>
                </c:pt>
                <c:pt idx="11">
                  <c:v>40.7418867924528</c:v>
                </c:pt>
                <c:pt idx="12">
                  <c:v>40.4666037735849</c:v>
                </c:pt>
                <c:pt idx="13">
                  <c:v>40.191320754717</c:v>
                </c:pt>
                <c:pt idx="14">
                  <c:v>39.9160377358491</c:v>
                </c:pt>
                <c:pt idx="15">
                  <c:v>39.6407547169811</c:v>
                </c:pt>
                <c:pt idx="16">
                  <c:v>39.3654716981132</c:v>
                </c:pt>
                <c:pt idx="17">
                  <c:v>39.0901886792453</c:v>
                </c:pt>
                <c:pt idx="18">
                  <c:v>38.8149056603774</c:v>
                </c:pt>
                <c:pt idx="19">
                  <c:v>38.5396226415094</c:v>
                </c:pt>
                <c:pt idx="20">
                  <c:v>38.2643396226415</c:v>
                </c:pt>
                <c:pt idx="21">
                  <c:v>37.9890566037736</c:v>
                </c:pt>
                <c:pt idx="22">
                  <c:v>37.7137735849057</c:v>
                </c:pt>
                <c:pt idx="23">
                  <c:v>37.4384905660377</c:v>
                </c:pt>
                <c:pt idx="24">
                  <c:v>37.1632075471698</c:v>
                </c:pt>
                <c:pt idx="25">
                  <c:v>36.8879245283019</c:v>
                </c:pt>
                <c:pt idx="26">
                  <c:v>36.612641509434</c:v>
                </c:pt>
                <c:pt idx="27">
                  <c:v>36.337358490566</c:v>
                </c:pt>
                <c:pt idx="28">
                  <c:v>36.0620754716981</c:v>
                </c:pt>
                <c:pt idx="29">
                  <c:v>35.7867924528302</c:v>
                </c:pt>
                <c:pt idx="30">
                  <c:v>35.5115094339623</c:v>
                </c:pt>
                <c:pt idx="31">
                  <c:v>35.2362264150943</c:v>
                </c:pt>
                <c:pt idx="32">
                  <c:v>34.9609433962264</c:v>
                </c:pt>
                <c:pt idx="33">
                  <c:v>34.6856603773585</c:v>
                </c:pt>
                <c:pt idx="34">
                  <c:v>34.4103773584906</c:v>
                </c:pt>
                <c:pt idx="35">
                  <c:v>34.1350943396227</c:v>
                </c:pt>
                <c:pt idx="36">
                  <c:v>33.8598113207547</c:v>
                </c:pt>
                <c:pt idx="37">
                  <c:v>33.5845283018868</c:v>
                </c:pt>
                <c:pt idx="38">
                  <c:v>33.3092452830189</c:v>
                </c:pt>
                <c:pt idx="39">
                  <c:v>33.0339622641509</c:v>
                </c:pt>
                <c:pt idx="40">
                  <c:v>32.758679245283</c:v>
                </c:pt>
                <c:pt idx="41">
                  <c:v>32.4833962264151</c:v>
                </c:pt>
                <c:pt idx="42">
                  <c:v>32.2081132075472</c:v>
                </c:pt>
                <c:pt idx="43">
                  <c:v>31.9328301886792</c:v>
                </c:pt>
                <c:pt idx="44">
                  <c:v>31.6575471698113</c:v>
                </c:pt>
                <c:pt idx="45">
                  <c:v>31.3822641509434</c:v>
                </c:pt>
                <c:pt idx="46">
                  <c:v>31.1069811320755</c:v>
                </c:pt>
                <c:pt idx="47">
                  <c:v>30.8316981132076</c:v>
                </c:pt>
                <c:pt idx="48">
                  <c:v>30.5564150943396</c:v>
                </c:pt>
                <c:pt idx="49">
                  <c:v>30.2811320754717</c:v>
                </c:pt>
                <c:pt idx="50">
                  <c:v>30.0058490566038</c:v>
                </c:pt>
                <c:pt idx="51">
                  <c:v>29.7305660377359</c:v>
                </c:pt>
                <c:pt idx="52">
                  <c:v>29.4552830188679</c:v>
                </c:pt>
                <c:pt idx="53">
                  <c:v>29.18</c:v>
                </c:pt>
                <c:pt idx="54">
                  <c:v>28.9047169811321</c:v>
                </c:pt>
                <c:pt idx="55">
                  <c:v>28.6294339622642</c:v>
                </c:pt>
                <c:pt idx="56">
                  <c:v>28.3541509433962</c:v>
                </c:pt>
                <c:pt idx="57">
                  <c:v>28.0788679245283</c:v>
                </c:pt>
                <c:pt idx="58">
                  <c:v>27.8035849056604</c:v>
                </c:pt>
                <c:pt idx="59">
                  <c:v>27.5283018867925</c:v>
                </c:pt>
                <c:pt idx="60">
                  <c:v>27.2530188679245</c:v>
                </c:pt>
                <c:pt idx="61">
                  <c:v>26.9777358490566</c:v>
                </c:pt>
                <c:pt idx="62">
                  <c:v>26.7024528301887</c:v>
                </c:pt>
                <c:pt idx="63">
                  <c:v>26.4271698113208</c:v>
                </c:pt>
                <c:pt idx="64">
                  <c:v>26.1518867924528</c:v>
                </c:pt>
                <c:pt idx="65">
                  <c:v>25.8766037735849</c:v>
                </c:pt>
                <c:pt idx="66">
                  <c:v>25.601320754717</c:v>
                </c:pt>
                <c:pt idx="67">
                  <c:v>25.3260377358491</c:v>
                </c:pt>
                <c:pt idx="68">
                  <c:v>25.0507547169811</c:v>
                </c:pt>
                <c:pt idx="69">
                  <c:v>24.7754716981132</c:v>
                </c:pt>
                <c:pt idx="70">
                  <c:v>24.5001886792453</c:v>
                </c:pt>
                <c:pt idx="71">
                  <c:v>24.2249056603774</c:v>
                </c:pt>
                <c:pt idx="72">
                  <c:v>23.9496226415094</c:v>
                </c:pt>
                <c:pt idx="73">
                  <c:v>23.6743396226415</c:v>
                </c:pt>
                <c:pt idx="74">
                  <c:v>23.3990566037736</c:v>
                </c:pt>
                <c:pt idx="75">
                  <c:v>23.1237735849057</c:v>
                </c:pt>
                <c:pt idx="76">
                  <c:v>22.8484905660377</c:v>
                </c:pt>
                <c:pt idx="77">
                  <c:v>22.5732075471698</c:v>
                </c:pt>
                <c:pt idx="78">
                  <c:v>22.2979245283019</c:v>
                </c:pt>
                <c:pt idx="79">
                  <c:v>22.022641509434</c:v>
                </c:pt>
                <c:pt idx="80">
                  <c:v>21.747358490566</c:v>
                </c:pt>
                <c:pt idx="81">
                  <c:v>21.4720754716981</c:v>
                </c:pt>
                <c:pt idx="82">
                  <c:v>21.1967924528302</c:v>
                </c:pt>
                <c:pt idx="83">
                  <c:v>20.9215094339623</c:v>
                </c:pt>
                <c:pt idx="84">
                  <c:v>20.6462264150943</c:v>
                </c:pt>
                <c:pt idx="85">
                  <c:v>20.3709433962264</c:v>
                </c:pt>
                <c:pt idx="86">
                  <c:v>20.0956603773585</c:v>
                </c:pt>
                <c:pt idx="87">
                  <c:v>19.8203773584906</c:v>
                </c:pt>
                <c:pt idx="88">
                  <c:v>19.5450943396226</c:v>
                </c:pt>
                <c:pt idx="89">
                  <c:v>19.2698113207547</c:v>
                </c:pt>
                <c:pt idx="90">
                  <c:v>18.9945283018868</c:v>
                </c:pt>
                <c:pt idx="91">
                  <c:v>18.7192452830189</c:v>
                </c:pt>
                <c:pt idx="92">
                  <c:v>18.4439622641509</c:v>
                </c:pt>
                <c:pt idx="93">
                  <c:v>18.168679245283</c:v>
                </c:pt>
                <c:pt idx="94">
                  <c:v>17.8933962264151</c:v>
                </c:pt>
                <c:pt idx="95">
                  <c:v>17.6181132075472</c:v>
                </c:pt>
                <c:pt idx="96">
                  <c:v>17.3428301886792</c:v>
                </c:pt>
                <c:pt idx="97">
                  <c:v>17.0675471698113</c:v>
                </c:pt>
                <c:pt idx="98">
                  <c:v>16.7922641509434</c:v>
                </c:pt>
                <c:pt idx="99">
                  <c:v>16.5169811320755</c:v>
                </c:pt>
                <c:pt idx="100">
                  <c:v>16.2416981132076</c:v>
                </c:pt>
                <c:pt idx="101">
                  <c:v>15.9664150943396</c:v>
                </c:pt>
                <c:pt idx="102">
                  <c:v>15.6911320754717</c:v>
                </c:pt>
                <c:pt idx="103">
                  <c:v>15.4158490566038</c:v>
                </c:pt>
                <c:pt idx="104">
                  <c:v>15.1405660377359</c:v>
                </c:pt>
                <c:pt idx="105">
                  <c:v>14.8652830188679</c:v>
                </c:pt>
                <c:pt idx="106">
                  <c:v>14.59</c:v>
                </c:pt>
                <c:pt idx="107">
                  <c:v>14.3147169811321</c:v>
                </c:pt>
                <c:pt idx="108">
                  <c:v>14.0394339622641</c:v>
                </c:pt>
                <c:pt idx="109">
                  <c:v>13.7641509433962</c:v>
                </c:pt>
                <c:pt idx="110">
                  <c:v>13.4888679245283</c:v>
                </c:pt>
                <c:pt idx="111">
                  <c:v>13.2135849056604</c:v>
                </c:pt>
                <c:pt idx="112">
                  <c:v>12.9383018867925</c:v>
                </c:pt>
                <c:pt idx="113">
                  <c:v>12.6630188679245</c:v>
                </c:pt>
                <c:pt idx="114">
                  <c:v>12.3877358490566</c:v>
                </c:pt>
                <c:pt idx="115">
                  <c:v>12.1124528301887</c:v>
                </c:pt>
                <c:pt idx="116">
                  <c:v>11.8371698113208</c:v>
                </c:pt>
                <c:pt idx="117">
                  <c:v>11.5618867924528</c:v>
                </c:pt>
                <c:pt idx="118">
                  <c:v>11.2866037735849</c:v>
                </c:pt>
                <c:pt idx="119">
                  <c:v>11.011320754717</c:v>
                </c:pt>
                <c:pt idx="120">
                  <c:v>10.7360377358491</c:v>
                </c:pt>
                <c:pt idx="121">
                  <c:v>10.4607547169811</c:v>
                </c:pt>
                <c:pt idx="122">
                  <c:v>10.1854716981132</c:v>
                </c:pt>
                <c:pt idx="123">
                  <c:v>9.91018867924529</c:v>
                </c:pt>
                <c:pt idx="124">
                  <c:v>9.63490566037736</c:v>
                </c:pt>
                <c:pt idx="125">
                  <c:v>9.35962264150944</c:v>
                </c:pt>
                <c:pt idx="126">
                  <c:v>9.08433962264151</c:v>
                </c:pt>
                <c:pt idx="127">
                  <c:v>8.80905660377359</c:v>
                </c:pt>
                <c:pt idx="128">
                  <c:v>8.53377358490566</c:v>
                </c:pt>
                <c:pt idx="129">
                  <c:v>8.25849056603774</c:v>
                </c:pt>
                <c:pt idx="130">
                  <c:v>7.98320754716981</c:v>
                </c:pt>
                <c:pt idx="131">
                  <c:v>7.70792452830189</c:v>
                </c:pt>
                <c:pt idx="132">
                  <c:v>7.43264150943396</c:v>
                </c:pt>
                <c:pt idx="133">
                  <c:v>7.15735849056603</c:v>
                </c:pt>
                <c:pt idx="134">
                  <c:v>6.88207547169812</c:v>
                </c:pt>
                <c:pt idx="135">
                  <c:v>6.60679245283018</c:v>
                </c:pt>
                <c:pt idx="136">
                  <c:v>6.33150943396227</c:v>
                </c:pt>
                <c:pt idx="137">
                  <c:v>6.05622641509434</c:v>
                </c:pt>
                <c:pt idx="138">
                  <c:v>5.78094339622642</c:v>
                </c:pt>
                <c:pt idx="139">
                  <c:v>5.50566037735849</c:v>
                </c:pt>
                <c:pt idx="140">
                  <c:v>5.23037735849057</c:v>
                </c:pt>
                <c:pt idx="141">
                  <c:v>4.95509433962264</c:v>
                </c:pt>
                <c:pt idx="142">
                  <c:v>4.67981132075472</c:v>
                </c:pt>
                <c:pt idx="143">
                  <c:v>4.40452830188679</c:v>
                </c:pt>
                <c:pt idx="144">
                  <c:v>4.12924528301887</c:v>
                </c:pt>
                <c:pt idx="145">
                  <c:v>3.85396226415094</c:v>
                </c:pt>
                <c:pt idx="146">
                  <c:v>3.57867924528302</c:v>
                </c:pt>
                <c:pt idx="147">
                  <c:v>3.3033962264151</c:v>
                </c:pt>
                <c:pt idx="148">
                  <c:v>3.02811320754717</c:v>
                </c:pt>
                <c:pt idx="149">
                  <c:v>2.75283018867925</c:v>
                </c:pt>
                <c:pt idx="150">
                  <c:v>2.47754716981132</c:v>
                </c:pt>
                <c:pt idx="151">
                  <c:v>2.2022641509434</c:v>
                </c:pt>
                <c:pt idx="152">
                  <c:v>1.92698113207547</c:v>
                </c:pt>
                <c:pt idx="153">
                  <c:v>1.65169811320754</c:v>
                </c:pt>
                <c:pt idx="154">
                  <c:v>1.37641509433962</c:v>
                </c:pt>
                <c:pt idx="155">
                  <c:v>1.1011320754717</c:v>
                </c:pt>
                <c:pt idx="156">
                  <c:v>0.825849056603772</c:v>
                </c:pt>
                <c:pt idx="157">
                  <c:v>0.550566037735848</c:v>
                </c:pt>
                <c:pt idx="158">
                  <c:v>0.275283018867924</c:v>
                </c:pt>
                <c:pt idx="159">
                  <c:v>0</c:v>
                </c:pt>
              </c:numCache>
            </c:numRef>
          </c:val>
          <c:smooth val="0"/>
        </c:ser>
        <c:hiLowLines>
          <c:spPr>
            <a:ln w="0">
              <a:noFill/>
            </a:ln>
          </c:spPr>
        </c:hiLowLines>
        <c:marker val="0"/>
        <c:axId val="65189828"/>
        <c:axId val="83084981"/>
      </c:lineChart>
      <c:dateAx>
        <c:axId val="25237139"/>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6025762"/>
        <c:auto val="1"/>
        <c:lblOffset val="100"/>
        <c:baseTimeUnit val="days"/>
      </c:dateAx>
      <c:valAx>
        <c:axId val="5602576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5237139"/>
        <c:crosses val="autoZero"/>
        <c:crossBetween val="between"/>
      </c:valAx>
      <c:dateAx>
        <c:axId val="65189828"/>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3084981"/>
        <c:auto val="1"/>
        <c:lblOffset val="100"/>
        <c:baseTimeUnit val="days"/>
      </c:dateAx>
      <c:valAx>
        <c:axId val="83084981"/>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5189828"/>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TSM</a:t>
            </a:r>
          </a:p>
        </c:rich>
      </c:tx>
      <c:overlay val="0"/>
      <c:spPr>
        <a:noFill/>
        <a:ln w="0">
          <a:noFill/>
        </a:ln>
      </c:spPr>
    </c:title>
    <c:autoTitleDeleted val="0"/>
    <c:plotArea>
      <c:barChart>
        <c:barDir val="col"/>
        <c:grouping val="clustered"/>
        <c:varyColors val="0"/>
        <c:ser>
          <c:idx val="0"/>
          <c:order val="0"/>
          <c:tx>
            <c:strRef>
              <c:f>'Returns (Calc)'!$L$2</c:f>
              <c:strCache>
                <c:ptCount val="1"/>
                <c:pt idx="0">
                  <c:v>PLD</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(Calc)'!$L$3:$L$500</c:f>
              <c:numCache>
                <c:formatCode>0.0%</c:formatCode>
                <c:ptCount val="498"/>
                <c:pt idx="0">
                  <c:v>-0.073944921316166</c:v>
                </c:pt>
                <c:pt idx="1">
                  <c:v>-0.0163174664478131</c:v>
                </c:pt>
                <c:pt idx="2">
                  <c:v>-0.0294464075382803</c:v>
                </c:pt>
                <c:pt idx="3">
                  <c:v>0.00687702265372181</c:v>
                </c:pt>
                <c:pt idx="4">
                  <c:v>-0.0658899156287666</c:v>
                </c:pt>
                <c:pt idx="5">
                  <c:v>-0.0498924731182796</c:v>
                </c:pt>
                <c:pt idx="6">
                  <c:v>0.0948392937980986</c:v>
                </c:pt>
                <c:pt idx="7">
                  <c:v>-0.0187099441802769</c:v>
                </c:pt>
                <c:pt idx="8">
                  <c:v>0.0527757294848834</c:v>
                </c:pt>
                <c:pt idx="9">
                  <c:v>0.0175105063037824</c:v>
                </c:pt>
                <c:pt idx="10">
                  <c:v>0.0558560330415971</c:v>
                </c:pt>
                <c:pt idx="11">
                  <c:v>0.0135047033622053</c:v>
                </c:pt>
                <c:pt idx="12">
                  <c:v>0.127366292960853</c:v>
                </c:pt>
                <c:pt idx="13">
                  <c:v>-0.013857189435931</c:v>
                </c:pt>
                <c:pt idx="14">
                  <c:v>0.00677797983137696</c:v>
                </c:pt>
                <c:pt idx="15">
                  <c:v>-0.0205254515599344</c:v>
                </c:pt>
                <c:pt idx="16">
                  <c:v>0.0075440067057837</c:v>
                </c:pt>
                <c:pt idx="17">
                  <c:v>-0.0236272878535774</c:v>
                </c:pt>
                <c:pt idx="18">
                  <c:v>-0.0121847307430129</c:v>
                </c:pt>
                <c:pt idx="19">
                  <c:v>0.0187181920124211</c:v>
                </c:pt>
                <c:pt idx="20">
                  <c:v>0.0249788314987298</c:v>
                </c:pt>
                <c:pt idx="21">
                  <c:v>0.00685667079719132</c:v>
                </c:pt>
                <c:pt idx="22">
                  <c:v>-0.00131276665572688</c:v>
                </c:pt>
                <c:pt idx="23">
                  <c:v>0.0104337824515282</c:v>
                </c:pt>
                <c:pt idx="24">
                  <c:v>0.00349621920481336</c:v>
                </c:pt>
                <c:pt idx="25">
                  <c:v>-0.037757251660995</c:v>
                </c:pt>
                <c:pt idx="26">
                  <c:v>-0.00303132367800607</c:v>
                </c:pt>
                <c:pt idx="27">
                  <c:v>0.0124155405405406</c:v>
                </c:pt>
                <c:pt idx="28">
                  <c:v>-0.0421289730541421</c:v>
                </c:pt>
                <c:pt idx="29">
                  <c:v>-0.0459850200313533</c:v>
                </c:pt>
                <c:pt idx="30">
                  <c:v>-0.130363337593573</c:v>
                </c:pt>
                <c:pt idx="31">
                  <c:v>0.00556372034432084</c:v>
                </c:pt>
                <c:pt idx="32">
                  <c:v>0.0175383651738177</c:v>
                </c:pt>
                <c:pt idx="33">
                  <c:v>0.0151841592284807</c:v>
                </c:pt>
                <c:pt idx="34">
                  <c:v>0.0372915613946438</c:v>
                </c:pt>
                <c:pt idx="35">
                  <c:v>-0.0606001558846454</c:v>
                </c:pt>
                <c:pt idx="36">
                  <c:v>0.0548641360713544</c:v>
                </c:pt>
                <c:pt idx="37">
                  <c:v>-0.00265460623340863</c:v>
                </c:pt>
                <c:pt idx="38">
                  <c:v>0.0189274447949528</c:v>
                </c:pt>
                <c:pt idx="39">
                  <c:v>-0.0173181114551084</c:v>
                </c:pt>
                <c:pt idx="40">
                  <c:v>0.0265826523579797</c:v>
                </c:pt>
                <c:pt idx="41">
                  <c:v>0.0191809724753045</c:v>
                </c:pt>
                <c:pt idx="42">
                  <c:v>0.0496847652206645</c:v>
                </c:pt>
                <c:pt idx="43">
                  <c:v>0.0300313760645452</c:v>
                </c:pt>
                <c:pt idx="44">
                  <c:v>-0.00870322019147085</c:v>
                </c:pt>
                <c:pt idx="45">
                  <c:v>0.0106233538191396</c:v>
                </c:pt>
                <c:pt idx="46">
                  <c:v>-0.0167665711058986</c:v>
                </c:pt>
                <c:pt idx="47">
                  <c:v>0.00777522530482422</c:v>
                </c:pt>
                <c:pt idx="48">
                  <c:v>0.0489216201998948</c:v>
                </c:pt>
                <c:pt idx="49">
                  <c:v>-0.00810765630224009</c:v>
                </c:pt>
                <c:pt idx="50">
                  <c:v>-0.00455043397657373</c:v>
                </c:pt>
                <c:pt idx="51">
                  <c:v>0.0215863878777618</c:v>
                </c:pt>
                <c:pt idx="52">
                  <c:v>-0.0275107722903547</c:v>
                </c:pt>
                <c:pt idx="53">
                  <c:v>0.000937286980231766</c:v>
                </c:pt>
                <c:pt idx="54">
                  <c:v>-0.0251979228739252</c:v>
                </c:pt>
                <c:pt idx="55">
                  <c:v>-0.0178150379879487</c:v>
                </c:pt>
                <c:pt idx="56">
                  <c:v>0.0187605583711212</c:v>
                </c:pt>
                <c:pt idx="57">
                  <c:v>-0.0404957235119567</c:v>
                </c:pt>
                <c:pt idx="58">
                  <c:v>-0.0352010187374933</c:v>
                </c:pt>
                <c:pt idx="59">
                  <c:v>0.0214009616291129</c:v>
                </c:pt>
                <c:pt idx="60">
                  <c:v>-0.0207679527413698</c:v>
                </c:pt>
                <c:pt idx="61">
                  <c:v>0.0209256291827693</c:v>
                </c:pt>
                <c:pt idx="62">
                  <c:v>0.00849413719878123</c:v>
                </c:pt>
                <c:pt idx="63">
                  <c:v>-0.0409228234001647</c:v>
                </c:pt>
                <c:pt idx="64">
                  <c:v>-0.00773195876288657</c:v>
                </c:pt>
                <c:pt idx="65">
                  <c:v>-0.0622414622414622</c:v>
                </c:pt>
                <c:pt idx="66">
                  <c:v>0.0185679113664341</c:v>
                </c:pt>
                <c:pt idx="67">
                  <c:v>0.00372645785074011</c:v>
                </c:pt>
                <c:pt idx="68">
                  <c:v>-0.0192655027092113</c:v>
                </c:pt>
                <c:pt idx="69">
                  <c:v>0.0567833026396563</c:v>
                </c:pt>
                <c:pt idx="70">
                  <c:v>0.0863587956239713</c:v>
                </c:pt>
                <c:pt idx="71">
                  <c:v>0.00267355850637219</c:v>
                </c:pt>
                <c:pt idx="72">
                  <c:v>-0.0159096969158298</c:v>
                </c:pt>
                <c:pt idx="73">
                  <c:v>0.0298049132947977</c:v>
                </c:pt>
                <c:pt idx="74">
                  <c:v>0.00105244693913353</c:v>
                </c:pt>
                <c:pt idx="75">
                  <c:v>0.0243560539688104</c:v>
                </c:pt>
                <c:pt idx="76">
                  <c:v>-0.032329798152583</c:v>
                </c:pt>
                <c:pt idx="77">
                  <c:v>-0.0669082552589713</c:v>
                </c:pt>
                <c:pt idx="78">
                  <c:v>-0.0223548356540684</c:v>
                </c:pt>
                <c:pt idx="79">
                  <c:v>0.0186997383974421</c:v>
                </c:pt>
                <c:pt idx="80">
                  <c:v>-0.110614418870078</c:v>
                </c:pt>
                <c:pt idx="81">
                  <c:v>-0.0204256229280292</c:v>
                </c:pt>
                <c:pt idx="82">
                  <c:v>0.0610262008733624</c:v>
                </c:pt>
                <c:pt idx="83">
                  <c:v>0.00133758617141666</c:v>
                </c:pt>
                <c:pt idx="84">
                  <c:v>0.0310316481709825</c:v>
                </c:pt>
                <c:pt idx="85">
                  <c:v>0.0142515447478573</c:v>
                </c:pt>
                <c:pt idx="86">
                  <c:v>0.033998231305886</c:v>
                </c:pt>
                <c:pt idx="87">
                  <c:v>-0.0588235294117647</c:v>
                </c:pt>
                <c:pt idx="88">
                  <c:v>0.0438206785137316</c:v>
                </c:pt>
                <c:pt idx="89">
                  <c:v>0.0017411491584447</c:v>
                </c:pt>
                <c:pt idx="90">
                  <c:v>-0.0139049826187717</c:v>
                </c:pt>
                <c:pt idx="91">
                  <c:v>-0.00538582060321202</c:v>
                </c:pt>
                <c:pt idx="92">
                  <c:v>-0.000689179875947521</c:v>
                </c:pt>
                <c:pt idx="93">
                  <c:v>0.0227586206896553</c:v>
                </c:pt>
                <c:pt idx="94">
                  <c:v>0.0105962816684326</c:v>
                </c:pt>
                <c:pt idx="95">
                  <c:v>-0.0219235535220665</c:v>
                </c:pt>
                <c:pt idx="96">
                  <c:v>0.0329402592339927</c:v>
                </c:pt>
                <c:pt idx="97">
                  <c:v>-0.0487781866213795</c:v>
                </c:pt>
                <c:pt idx="98">
                  <c:v>0.00733981352906188</c:v>
                </c:pt>
                <c:pt idx="99">
                  <c:v>0.00856636471051608</c:v>
                </c:pt>
                <c:pt idx="100">
                  <c:v>0.0534023235380259</c:v>
                </c:pt>
                <c:pt idx="101">
                  <c:v>0.0133456904541243</c:v>
                </c:pt>
                <c:pt idx="102">
                  <c:v>-0.00109749405524062</c:v>
                </c:pt>
                <c:pt idx="103">
                  <c:v>0.0149240065921992</c:v>
                </c:pt>
                <c:pt idx="104">
                  <c:v>-0.00721695985566073</c:v>
                </c:pt>
                <c:pt idx="105">
                  <c:v>0.00599727396637895</c:v>
                </c:pt>
                <c:pt idx="106">
                  <c:v>0.0252009755216331</c:v>
                </c:pt>
                <c:pt idx="107">
                  <c:v>-0.0498678414096916</c:v>
                </c:pt>
                <c:pt idx="108">
                  <c:v>0.115541543026706</c:v>
                </c:pt>
                <c:pt idx="109">
                  <c:v>0.0189526184538653</c:v>
                </c:pt>
                <c:pt idx="110">
                  <c:v>-0.0185185185185185</c:v>
                </c:pt>
                <c:pt idx="111">
                  <c:v>0.012218435707755</c:v>
                </c:pt>
                <c:pt idx="112">
                  <c:v>-0.0220890129742157</c:v>
                </c:pt>
                <c:pt idx="113">
                  <c:v>0.0240994206062641</c:v>
                </c:pt>
                <c:pt idx="114">
                  <c:v>0.0218104296490653</c:v>
                </c:pt>
                <c:pt idx="115">
                  <c:v>-0.00433317284545021</c:v>
                </c:pt>
                <c:pt idx="116">
                  <c:v>0.0172469374597035</c:v>
                </c:pt>
                <c:pt idx="117">
                  <c:v>-0.0150530819204564</c:v>
                </c:pt>
                <c:pt idx="118">
                  <c:v>0.0115830115830118</c:v>
                </c:pt>
                <c:pt idx="119">
                  <c:v>0.0027035623409668</c:v>
                </c:pt>
                <c:pt idx="120">
                  <c:v>0.00269627279936557</c:v>
                </c:pt>
                <c:pt idx="121">
                  <c:v>0.0294210692818728</c:v>
                </c:pt>
                <c:pt idx="122">
                  <c:v>-0.0454824830977258</c:v>
                </c:pt>
                <c:pt idx="123">
                  <c:v>0.0268029620090149</c:v>
                </c:pt>
                <c:pt idx="124">
                  <c:v>0.0489927098847691</c:v>
                </c:pt>
                <c:pt idx="125">
                  <c:v>0.0147212673740846</c:v>
                </c:pt>
                <c:pt idx="126">
                  <c:v>0.0182634951027323</c:v>
                </c:pt>
                <c:pt idx="127">
                  <c:v>0.00752151587473771</c:v>
                </c:pt>
                <c:pt idx="128">
                  <c:v>-0.0563491493790825</c:v>
                </c:pt>
                <c:pt idx="129">
                  <c:v>-0.0207667731629394</c:v>
                </c:pt>
                <c:pt idx="130">
                  <c:v>-0.0205080400838964</c:v>
                </c:pt>
                <c:pt idx="131">
                  <c:v>0.00689983345229583</c:v>
                </c:pt>
                <c:pt idx="132">
                  <c:v>0.0378071833648392</c:v>
                </c:pt>
                <c:pt idx="133">
                  <c:v>0.0255768063145112</c:v>
                </c:pt>
                <c:pt idx="134">
                  <c:v>0.0576481906312438</c:v>
                </c:pt>
                <c:pt idx="135">
                  <c:v>-0.0207108872096277</c:v>
                </c:pt>
                <c:pt idx="136">
                  <c:v>-0.00478708202343536</c:v>
                </c:pt>
                <c:pt idx="137">
                  <c:v>0.0188814703137339</c:v>
                </c:pt>
                <c:pt idx="138">
                  <c:v>-0.0246617812852311</c:v>
                </c:pt>
                <c:pt idx="139">
                  <c:v>0.0382170206617543</c:v>
                </c:pt>
                <c:pt idx="140">
                  <c:v>-0.0167002992136943</c:v>
                </c:pt>
                <c:pt idx="141">
                  <c:v>0.0075012384120019</c:v>
                </c:pt>
                <c:pt idx="142">
                  <c:v>0.0290791599353795</c:v>
                </c:pt>
                <c:pt idx="143">
                  <c:v>-0.0483243464609924</c:v>
                </c:pt>
                <c:pt idx="144">
                  <c:v>-0.00401635229147246</c:v>
                </c:pt>
                <c:pt idx="145">
                  <c:v>-0.00388852883992219</c:v>
                </c:pt>
                <c:pt idx="146">
                  <c:v>0.0103375984963492</c:v>
                </c:pt>
                <c:pt idx="147">
                  <c:v>0.0633228391528335</c:v>
                </c:pt>
                <c:pt idx="148">
                  <c:v>-0.0144001076643565</c:v>
                </c:pt>
                <c:pt idx="149">
                  <c:v>-0.0204820099679115</c:v>
                </c:pt>
                <c:pt idx="150">
                  <c:v>-0.0307381334076811</c:v>
                </c:pt>
                <c:pt idx="151">
                  <c:v>0.00618438084280149</c:v>
                </c:pt>
                <c:pt idx="152">
                  <c:v>0.00543167524299615</c:v>
                </c:pt>
                <c:pt idx="153">
                  <c:v>-0.00774808075063982</c:v>
                </c:pt>
                <c:pt idx="154">
                  <c:v>-0.0238555770470665</c:v>
                </c:pt>
                <c:pt idx="155">
                  <c:v>-0.011595479230882</c:v>
                </c:pt>
                <c:pt idx="156">
                  <c:v>0.00118800118800122</c:v>
                </c:pt>
                <c:pt idx="157">
                  <c:v>-0.0132749925838029</c:v>
                </c:pt>
                <c:pt idx="158">
                  <c:v>-0.00458474257797825</c:v>
                </c:pt>
                <c:pt idx="159">
                  <c:v>2.23852310480217</c:v>
                </c:pt>
              </c:numCache>
            </c:numRef>
          </c:val>
        </c:ser>
        <c:gapWidth val="150"/>
        <c:overlap val="0"/>
        <c:axId val="43023088"/>
        <c:axId val="98659242"/>
      </c:barChart>
      <c:lineChart>
        <c:grouping val="standard"/>
        <c:varyColors val="0"/>
        <c:ser>
          <c:idx val="1"/>
          <c:order val="1"/>
          <c:tx>
            <c:strRef>
              <c:f>'Returns (Calc)'!$AG$2</c:f>
              <c:strCache>
                <c:ptCount val="1"/>
                <c:pt idx="0">
                  <c:v>TSM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(Calc)'!$AG$3:$AG$500</c:f>
              <c:numCache>
                <c:formatCode>#,##0.00</c:formatCode>
                <c:ptCount val="498"/>
                <c:pt idx="0">
                  <c:v>111.84</c:v>
                </c:pt>
                <c:pt idx="1">
                  <c:v>111.136603773585</c:v>
                </c:pt>
                <c:pt idx="2">
                  <c:v>110.43320754717</c:v>
                </c:pt>
                <c:pt idx="3">
                  <c:v>109.729811320755</c:v>
                </c:pt>
                <c:pt idx="4">
                  <c:v>109.02641509434</c:v>
                </c:pt>
                <c:pt idx="5">
                  <c:v>108.323018867925</c:v>
                </c:pt>
                <c:pt idx="6">
                  <c:v>107.619622641509</c:v>
                </c:pt>
                <c:pt idx="7">
                  <c:v>106.916226415094</c:v>
                </c:pt>
                <c:pt idx="8">
                  <c:v>106.212830188679</c:v>
                </c:pt>
                <c:pt idx="9">
                  <c:v>105.509433962264</c:v>
                </c:pt>
                <c:pt idx="10">
                  <c:v>104.806037735849</c:v>
                </c:pt>
                <c:pt idx="11">
                  <c:v>104.102641509434</c:v>
                </c:pt>
                <c:pt idx="12">
                  <c:v>103.399245283019</c:v>
                </c:pt>
                <c:pt idx="13">
                  <c:v>102.695849056604</c:v>
                </c:pt>
                <c:pt idx="14">
                  <c:v>101.992452830189</c:v>
                </c:pt>
                <c:pt idx="15">
                  <c:v>101.289056603774</c:v>
                </c:pt>
                <c:pt idx="16">
                  <c:v>100.585660377359</c:v>
                </c:pt>
                <c:pt idx="17">
                  <c:v>99.8822641509434</c:v>
                </c:pt>
                <c:pt idx="18">
                  <c:v>99.1788679245283</c:v>
                </c:pt>
                <c:pt idx="19">
                  <c:v>98.4754716981132</c:v>
                </c:pt>
                <c:pt idx="20">
                  <c:v>97.7720754716981</c:v>
                </c:pt>
                <c:pt idx="21">
                  <c:v>97.068679245283</c:v>
                </c:pt>
                <c:pt idx="22">
                  <c:v>96.3652830188679</c:v>
                </c:pt>
                <c:pt idx="23">
                  <c:v>95.6618867924528</c:v>
                </c:pt>
                <c:pt idx="24">
                  <c:v>94.9584905660377</c:v>
                </c:pt>
                <c:pt idx="25">
                  <c:v>94.2550943396226</c:v>
                </c:pt>
                <c:pt idx="26">
                  <c:v>93.5516981132076</c:v>
                </c:pt>
                <c:pt idx="27">
                  <c:v>92.8483018867925</c:v>
                </c:pt>
                <c:pt idx="28">
                  <c:v>92.1449056603774</c:v>
                </c:pt>
                <c:pt idx="29">
                  <c:v>91.4415094339623</c:v>
                </c:pt>
                <c:pt idx="30">
                  <c:v>90.7381132075472</c:v>
                </c:pt>
                <c:pt idx="31">
                  <c:v>90.0347169811321</c:v>
                </c:pt>
                <c:pt idx="32">
                  <c:v>89.331320754717</c:v>
                </c:pt>
                <c:pt idx="33">
                  <c:v>88.6279245283019</c:v>
                </c:pt>
                <c:pt idx="34">
                  <c:v>87.9245283018868</c:v>
                </c:pt>
                <c:pt idx="35">
                  <c:v>87.2211320754717</c:v>
                </c:pt>
                <c:pt idx="36">
                  <c:v>86.5177358490566</c:v>
                </c:pt>
                <c:pt idx="37">
                  <c:v>85.8143396226415</c:v>
                </c:pt>
                <c:pt idx="38">
                  <c:v>85.1109433962264</c:v>
                </c:pt>
                <c:pt idx="39">
                  <c:v>84.4075471698113</c:v>
                </c:pt>
                <c:pt idx="40">
                  <c:v>83.7041509433962</c:v>
                </c:pt>
                <c:pt idx="41">
                  <c:v>83.0007547169811</c:v>
                </c:pt>
                <c:pt idx="42">
                  <c:v>82.297358490566</c:v>
                </c:pt>
                <c:pt idx="43">
                  <c:v>81.593962264151</c:v>
                </c:pt>
                <c:pt idx="44">
                  <c:v>80.8905660377359</c:v>
                </c:pt>
                <c:pt idx="45">
                  <c:v>80.1871698113208</c:v>
                </c:pt>
                <c:pt idx="46">
                  <c:v>79.4837735849057</c:v>
                </c:pt>
                <c:pt idx="47">
                  <c:v>78.7803773584906</c:v>
                </c:pt>
                <c:pt idx="48">
                  <c:v>78.0769811320755</c:v>
                </c:pt>
                <c:pt idx="49">
                  <c:v>77.3735849056604</c:v>
                </c:pt>
                <c:pt idx="50">
                  <c:v>76.6701886792453</c:v>
                </c:pt>
                <c:pt idx="51">
                  <c:v>75.9667924528302</c:v>
                </c:pt>
                <c:pt idx="52">
                  <c:v>75.2633962264151</c:v>
                </c:pt>
                <c:pt idx="53">
                  <c:v>74.56</c:v>
                </c:pt>
                <c:pt idx="54">
                  <c:v>73.8566037735849</c:v>
                </c:pt>
                <c:pt idx="55">
                  <c:v>73.1532075471698</c:v>
                </c:pt>
                <c:pt idx="56">
                  <c:v>72.4498113207547</c:v>
                </c:pt>
                <c:pt idx="57">
                  <c:v>71.7464150943396</c:v>
                </c:pt>
                <c:pt idx="58">
                  <c:v>71.0430188679245</c:v>
                </c:pt>
                <c:pt idx="59">
                  <c:v>70.3396226415094</c:v>
                </c:pt>
                <c:pt idx="60">
                  <c:v>69.6362264150943</c:v>
                </c:pt>
                <c:pt idx="61">
                  <c:v>68.9328301886793</c:v>
                </c:pt>
                <c:pt idx="62">
                  <c:v>68.2294339622642</c:v>
                </c:pt>
                <c:pt idx="63">
                  <c:v>67.5260377358491</c:v>
                </c:pt>
                <c:pt idx="64">
                  <c:v>66.822641509434</c:v>
                </c:pt>
                <c:pt idx="65">
                  <c:v>66.1192452830189</c:v>
                </c:pt>
                <c:pt idx="66">
                  <c:v>65.4158490566038</c:v>
                </c:pt>
                <c:pt idx="67">
                  <c:v>64.7124528301887</c:v>
                </c:pt>
                <c:pt idx="68">
                  <c:v>64.0090566037736</c:v>
                </c:pt>
                <c:pt idx="69">
                  <c:v>63.3056603773585</c:v>
                </c:pt>
                <c:pt idx="70">
                  <c:v>62.6022641509434</c:v>
                </c:pt>
                <c:pt idx="71">
                  <c:v>61.8988679245283</c:v>
                </c:pt>
                <c:pt idx="72">
                  <c:v>61.1954716981132</c:v>
                </c:pt>
                <c:pt idx="73">
                  <c:v>60.4920754716981</c:v>
                </c:pt>
                <c:pt idx="74">
                  <c:v>59.788679245283</c:v>
                </c:pt>
                <c:pt idx="75">
                  <c:v>59.0852830188679</c:v>
                </c:pt>
                <c:pt idx="76">
                  <c:v>58.3818867924528</c:v>
                </c:pt>
                <c:pt idx="77">
                  <c:v>57.6784905660377</c:v>
                </c:pt>
                <c:pt idx="78">
                  <c:v>56.9750943396226</c:v>
                </c:pt>
                <c:pt idx="79">
                  <c:v>56.2716981132076</c:v>
                </c:pt>
                <c:pt idx="80">
                  <c:v>55.5683018867925</c:v>
                </c:pt>
                <c:pt idx="81">
                  <c:v>54.8649056603774</c:v>
                </c:pt>
                <c:pt idx="82">
                  <c:v>54.1615094339623</c:v>
                </c:pt>
                <c:pt idx="83">
                  <c:v>53.4581132075472</c:v>
                </c:pt>
                <c:pt idx="84">
                  <c:v>52.7547169811321</c:v>
                </c:pt>
                <c:pt idx="85">
                  <c:v>52.051320754717</c:v>
                </c:pt>
                <c:pt idx="86">
                  <c:v>51.3479245283019</c:v>
                </c:pt>
                <c:pt idx="87">
                  <c:v>50.6445283018868</c:v>
                </c:pt>
                <c:pt idx="88">
                  <c:v>49.9411320754717</c:v>
                </c:pt>
                <c:pt idx="89">
                  <c:v>49.2377358490566</c:v>
                </c:pt>
                <c:pt idx="90">
                  <c:v>48.5343396226415</c:v>
                </c:pt>
                <c:pt idx="91">
                  <c:v>47.8309433962264</c:v>
                </c:pt>
                <c:pt idx="92">
                  <c:v>47.1275471698113</c:v>
                </c:pt>
                <c:pt idx="93">
                  <c:v>46.4241509433962</c:v>
                </c:pt>
                <c:pt idx="94">
                  <c:v>45.7207547169811</c:v>
                </c:pt>
                <c:pt idx="95">
                  <c:v>45.017358490566</c:v>
                </c:pt>
                <c:pt idx="96">
                  <c:v>44.3139622641509</c:v>
                </c:pt>
                <c:pt idx="97">
                  <c:v>43.6105660377359</c:v>
                </c:pt>
                <c:pt idx="98">
                  <c:v>42.9071698113208</c:v>
                </c:pt>
                <c:pt idx="99">
                  <c:v>42.2037735849057</c:v>
                </c:pt>
                <c:pt idx="100">
                  <c:v>41.5003773584906</c:v>
                </c:pt>
                <c:pt idx="101">
                  <c:v>40.7969811320755</c:v>
                </c:pt>
                <c:pt idx="102">
                  <c:v>40.0935849056604</c:v>
                </c:pt>
                <c:pt idx="103">
                  <c:v>39.3901886792453</c:v>
                </c:pt>
                <c:pt idx="104">
                  <c:v>38.6867924528302</c:v>
                </c:pt>
                <c:pt idx="105">
                  <c:v>37.9833962264151</c:v>
                </c:pt>
                <c:pt idx="106">
                  <c:v>37.28</c:v>
                </c:pt>
                <c:pt idx="107">
                  <c:v>36.5766037735849</c:v>
                </c:pt>
                <c:pt idx="108">
                  <c:v>35.8732075471698</c:v>
                </c:pt>
                <c:pt idx="109">
                  <c:v>35.1698113207547</c:v>
                </c:pt>
                <c:pt idx="110">
                  <c:v>34.4664150943396</c:v>
                </c:pt>
                <c:pt idx="111">
                  <c:v>33.7630188679245</c:v>
                </c:pt>
                <c:pt idx="112">
                  <c:v>33.0596226415094</c:v>
                </c:pt>
                <c:pt idx="113">
                  <c:v>32.3562264150943</c:v>
                </c:pt>
                <c:pt idx="114">
                  <c:v>31.6528301886792</c:v>
                </c:pt>
                <c:pt idx="115">
                  <c:v>30.9494339622642</c:v>
                </c:pt>
                <c:pt idx="116">
                  <c:v>30.2460377358491</c:v>
                </c:pt>
                <c:pt idx="117">
                  <c:v>29.542641509434</c:v>
                </c:pt>
                <c:pt idx="118">
                  <c:v>28.8392452830189</c:v>
                </c:pt>
                <c:pt idx="119">
                  <c:v>28.1358490566038</c:v>
                </c:pt>
                <c:pt idx="120">
                  <c:v>27.4324528301887</c:v>
                </c:pt>
                <c:pt idx="121">
                  <c:v>26.7290566037736</c:v>
                </c:pt>
                <c:pt idx="122">
                  <c:v>26.0256603773585</c:v>
                </c:pt>
                <c:pt idx="123">
                  <c:v>25.3222641509434</c:v>
                </c:pt>
                <c:pt idx="124">
                  <c:v>24.6188679245283</c:v>
                </c:pt>
                <c:pt idx="125">
                  <c:v>23.9154716981132</c:v>
                </c:pt>
                <c:pt idx="126">
                  <c:v>23.2120754716981</c:v>
                </c:pt>
                <c:pt idx="127">
                  <c:v>22.508679245283</c:v>
                </c:pt>
                <c:pt idx="128">
                  <c:v>21.8052830188679</c:v>
                </c:pt>
                <c:pt idx="129">
                  <c:v>21.1018867924528</c:v>
                </c:pt>
                <c:pt idx="130">
                  <c:v>20.3984905660377</c:v>
                </c:pt>
                <c:pt idx="131">
                  <c:v>19.6950943396226</c:v>
                </c:pt>
                <c:pt idx="132">
                  <c:v>18.9916981132075</c:v>
                </c:pt>
                <c:pt idx="133">
                  <c:v>18.2883018867925</c:v>
                </c:pt>
                <c:pt idx="134">
                  <c:v>17.5849056603774</c:v>
                </c:pt>
                <c:pt idx="135">
                  <c:v>16.8815094339623</c:v>
                </c:pt>
                <c:pt idx="136">
                  <c:v>16.1781132075472</c:v>
                </c:pt>
                <c:pt idx="137">
                  <c:v>15.4747169811321</c:v>
                </c:pt>
                <c:pt idx="138">
                  <c:v>14.771320754717</c:v>
                </c:pt>
                <c:pt idx="139">
                  <c:v>14.0679245283019</c:v>
                </c:pt>
                <c:pt idx="140">
                  <c:v>13.3645283018868</c:v>
                </c:pt>
                <c:pt idx="141">
                  <c:v>12.6611320754717</c:v>
                </c:pt>
                <c:pt idx="142">
                  <c:v>11.9577358490566</c:v>
                </c:pt>
                <c:pt idx="143">
                  <c:v>11.2543396226415</c:v>
                </c:pt>
                <c:pt idx="144">
                  <c:v>10.5509433962264</c:v>
                </c:pt>
                <c:pt idx="145">
                  <c:v>9.84754716981132</c:v>
                </c:pt>
                <c:pt idx="146">
                  <c:v>9.14415094339623</c:v>
                </c:pt>
                <c:pt idx="147">
                  <c:v>8.44075471698113</c:v>
                </c:pt>
                <c:pt idx="148">
                  <c:v>7.73735849056604</c:v>
                </c:pt>
                <c:pt idx="149">
                  <c:v>7.03396226415094</c:v>
                </c:pt>
                <c:pt idx="150">
                  <c:v>6.33056603773585</c:v>
                </c:pt>
                <c:pt idx="151">
                  <c:v>5.62716981132076</c:v>
                </c:pt>
                <c:pt idx="152">
                  <c:v>4.92377358490566</c:v>
                </c:pt>
                <c:pt idx="153">
                  <c:v>4.22037735849057</c:v>
                </c:pt>
                <c:pt idx="154">
                  <c:v>3.51698113207547</c:v>
                </c:pt>
                <c:pt idx="155">
                  <c:v>2.81358490566038</c:v>
                </c:pt>
                <c:pt idx="156">
                  <c:v>2.11018867924528</c:v>
                </c:pt>
                <c:pt idx="157">
                  <c:v>1.40679245283019</c:v>
                </c:pt>
                <c:pt idx="158">
                  <c:v>0.703396226415094</c:v>
                </c:pt>
                <c:pt idx="159">
                  <c:v>0</c:v>
                </c:pt>
              </c:numCache>
            </c:numRef>
          </c:val>
          <c:smooth val="0"/>
        </c:ser>
        <c:hiLowLines>
          <c:spPr>
            <a:ln w="0">
              <a:noFill/>
            </a:ln>
          </c:spPr>
        </c:hiLowLines>
        <c:marker val="0"/>
        <c:axId val="7438631"/>
        <c:axId val="45446130"/>
      </c:lineChart>
      <c:dateAx>
        <c:axId val="43023088"/>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8659242"/>
        <c:auto val="1"/>
        <c:lblOffset val="100"/>
        <c:baseTimeUnit val="days"/>
      </c:dateAx>
      <c:valAx>
        <c:axId val="9865924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3023088"/>
        <c:crosses val="autoZero"/>
        <c:crossBetween val="between"/>
      </c:valAx>
      <c:dateAx>
        <c:axId val="7438631"/>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5446130"/>
        <c:auto val="1"/>
        <c:lblOffset val="100"/>
        <c:baseTimeUnit val="days"/>
      </c:dateAx>
      <c:valAx>
        <c:axId val="45446130"/>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438631"/>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VRT</a:t>
            </a:r>
          </a:p>
        </c:rich>
      </c:tx>
      <c:overlay val="0"/>
      <c:spPr>
        <a:noFill/>
        <a:ln w="0">
          <a:noFill/>
        </a:ln>
      </c:spPr>
    </c:title>
    <c:autoTitleDeleted val="0"/>
    <c:plotArea>
      <c:barChart>
        <c:barDir val="col"/>
        <c:grouping val="clustered"/>
        <c:varyColors val="0"/>
        <c:ser>
          <c:idx val="0"/>
          <c:order val="0"/>
          <c:tx>
            <c:strRef>
              <c:f>'Returns (Calc)'!$M$2</c:f>
              <c:strCache>
                <c:ptCount val="1"/>
                <c:pt idx="0">
                  <c:v>PLTR</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(Calc)'!$M$3:$M$500</c:f>
              <c:numCache>
                <c:formatCode>0.0%</c:formatCode>
                <c:ptCount val="498"/>
                <c:pt idx="0">
                  <c:v>-0.0782778864970646</c:v>
                </c:pt>
                <c:pt idx="1">
                  <c:v>0.132342533616419</c:v>
                </c:pt>
                <c:pt idx="2">
                  <c:v>0.038125</c:v>
                </c:pt>
                <c:pt idx="3">
                  <c:v>0.0451535219747141</c:v>
                </c:pt>
                <c:pt idx="4">
                  <c:v>-0.0720046082949308</c:v>
                </c:pt>
                <c:pt idx="5">
                  <c:v>-0.0645561762880198</c:v>
                </c:pt>
                <c:pt idx="6">
                  <c:v>0.253483742534838</c:v>
                </c:pt>
                <c:pt idx="7">
                  <c:v>0.0412916887241928</c:v>
                </c:pt>
                <c:pt idx="8">
                  <c:v>0.0416878495170308</c:v>
                </c:pt>
                <c:pt idx="9">
                  <c:v>-0.0629575402635432</c:v>
                </c:pt>
                <c:pt idx="10">
                  <c:v>0.0557291666666666</c:v>
                </c:pt>
                <c:pt idx="11">
                  <c:v>-0.123334977799704</c:v>
                </c:pt>
                <c:pt idx="12">
                  <c:v>0.024198086662915</c:v>
                </c:pt>
                <c:pt idx="13">
                  <c:v>-0.0434065934065934</c:v>
                </c:pt>
                <c:pt idx="14">
                  <c:v>-0.0137851809304996</c:v>
                </c:pt>
                <c:pt idx="15">
                  <c:v>-0.0693069306930694</c:v>
                </c:pt>
                <c:pt idx="16">
                  <c:v>0.0488110137672091</c:v>
                </c:pt>
                <c:pt idx="17">
                  <c:v>0.00119331742243434</c:v>
                </c:pt>
                <c:pt idx="18">
                  <c:v>-0.0256257449344458</c:v>
                </c:pt>
                <c:pt idx="19">
                  <c:v>0.0409785932721711</c:v>
                </c:pt>
                <c:pt idx="20">
                  <c:v>0.432432432432432</c:v>
                </c:pt>
                <c:pt idx="21">
                  <c:v>0.00246103363412642</c:v>
                </c:pt>
                <c:pt idx="22">
                  <c:v>-0.0601472995090018</c:v>
                </c:pt>
                <c:pt idx="23">
                  <c:v>0.0853286895951242</c:v>
                </c:pt>
                <c:pt idx="24">
                  <c:v>0.0445246690734056</c:v>
                </c:pt>
                <c:pt idx="25">
                  <c:v>-0.097926267281106</c:v>
                </c:pt>
                <c:pt idx="26">
                  <c:v>0.029374201787995</c:v>
                </c:pt>
                <c:pt idx="27">
                  <c:v>-0.0483870967741935</c:v>
                </c:pt>
                <c:pt idx="28">
                  <c:v>-0.00217296827466318</c:v>
                </c:pt>
                <c:pt idx="29">
                  <c:v>-0.0126306620209059</c:v>
                </c:pt>
                <c:pt idx="30">
                  <c:v>-0.0970445522717248</c:v>
                </c:pt>
                <c:pt idx="31">
                  <c:v>0.100146555935515</c:v>
                </c:pt>
                <c:pt idx="32">
                  <c:v>0.0359680284191828</c:v>
                </c:pt>
                <c:pt idx="33">
                  <c:v>-0.11701671667381</c:v>
                </c:pt>
                <c:pt idx="34">
                  <c:v>0.0563106796116506</c:v>
                </c:pt>
                <c:pt idx="35">
                  <c:v>-0.0344669117647058</c:v>
                </c:pt>
                <c:pt idx="36">
                  <c:v>0.031889576392194</c:v>
                </c:pt>
                <c:pt idx="37">
                  <c:v>0.0751845018450184</c:v>
                </c:pt>
                <c:pt idx="38">
                  <c:v>0.0111540111540112</c:v>
                </c:pt>
                <c:pt idx="39">
                  <c:v>0.0114552397114978</c:v>
                </c:pt>
                <c:pt idx="40">
                  <c:v>0.0625</c:v>
                </c:pt>
                <c:pt idx="41">
                  <c:v>0.0750098697197001</c:v>
                </c:pt>
                <c:pt idx="42">
                  <c:v>0.0308483290488433</c:v>
                </c:pt>
                <c:pt idx="43">
                  <c:v>0.0181688635553972</c:v>
                </c:pt>
                <c:pt idx="44">
                  <c:v>-0.0489853044086773</c:v>
                </c:pt>
                <c:pt idx="45">
                  <c:v>-0.0897718910963945</c:v>
                </c:pt>
                <c:pt idx="46">
                  <c:v>0.21301535974131</c:v>
                </c:pt>
                <c:pt idx="47">
                  <c:v>0.0689770076641119</c:v>
                </c:pt>
                <c:pt idx="48">
                  <c:v>-0.00935162094763087</c:v>
                </c:pt>
                <c:pt idx="49">
                  <c:v>-0.0094398993077407</c:v>
                </c:pt>
                <c:pt idx="50">
                  <c:v>-0.0365311308767472</c:v>
                </c:pt>
                <c:pt idx="51">
                  <c:v>0.173425651170458</c:v>
                </c:pt>
                <c:pt idx="52">
                  <c:v>0.0452374262433268</c:v>
                </c:pt>
                <c:pt idx="53">
                  <c:v>-0.00967741935483868</c:v>
                </c:pt>
                <c:pt idx="54">
                  <c:v>0.0860477741585233</c:v>
                </c:pt>
                <c:pt idx="55">
                  <c:v>0.0874781304673831</c:v>
                </c:pt>
                <c:pt idx="56">
                  <c:v>-0.01241094001379</c:v>
                </c:pt>
                <c:pt idx="57">
                  <c:v>0.0439841750058181</c:v>
                </c:pt>
                <c:pt idx="58">
                  <c:v>-0.0655372269282211</c:v>
                </c:pt>
                <c:pt idx="59">
                  <c:v>0.392891221374046</c:v>
                </c:pt>
                <c:pt idx="60">
                  <c:v>0.126391505394759</c:v>
                </c:pt>
                <c:pt idx="61">
                  <c:v>-0.0215903907556637</c:v>
                </c:pt>
                <c:pt idx="62">
                  <c:v>0.0424242424242425</c:v>
                </c:pt>
                <c:pt idx="63">
                  <c:v>0.13804412641622</c:v>
                </c:pt>
                <c:pt idx="64">
                  <c:v>-0.00353680901231346</c:v>
                </c:pt>
                <c:pt idx="65">
                  <c:v>0.0588931247535165</c:v>
                </c:pt>
                <c:pt idx="66">
                  <c:v>-0.0182495344506518</c:v>
                </c:pt>
                <c:pt idx="67">
                  <c:v>0.0102427921092565</c:v>
                </c:pt>
                <c:pt idx="68">
                  <c:v>-0.1580923770184</c:v>
                </c:pt>
                <c:pt idx="69">
                  <c:v>0.0670532262860539</c:v>
                </c:pt>
                <c:pt idx="70">
                  <c:v>0.100459802145743</c:v>
                </c:pt>
                <c:pt idx="71">
                  <c:v>0.0444416307926057</c:v>
                </c:pt>
                <c:pt idx="72">
                  <c:v>0.343799248393745</c:v>
                </c:pt>
                <c:pt idx="73">
                  <c:v>0.0749661705006766</c:v>
                </c:pt>
                <c:pt idx="74">
                  <c:v>-0.149462907015777</c:v>
                </c:pt>
                <c:pt idx="75">
                  <c:v>-0.162111494819931</c:v>
                </c:pt>
                <c:pt idx="76">
                  <c:v>-0.000117757889778636</c:v>
                </c:pt>
                <c:pt idx="77">
                  <c:v>0.0156636438582027</c:v>
                </c:pt>
                <c:pt idx="78">
                  <c:v>0.0547309833024119</c:v>
                </c:pt>
                <c:pt idx="79">
                  <c:v>-0.0561785400175902</c:v>
                </c:pt>
                <c:pt idx="80">
                  <c:v>-0.137914967967385</c:v>
                </c:pt>
                <c:pt idx="81">
                  <c:v>0.196459937846237</c:v>
                </c:pt>
                <c:pt idx="82">
                  <c:v>0.0590626764539808</c:v>
                </c:pt>
                <c:pt idx="83">
                  <c:v>0.202601834079761</c:v>
                </c:pt>
                <c:pt idx="84">
                  <c:v>0.101968434119525</c:v>
                </c:pt>
                <c:pt idx="85">
                  <c:v>-0.0561635017701964</c:v>
                </c:pt>
                <c:pt idx="86">
                  <c:v>0.104177323103154</c:v>
                </c:pt>
                <c:pt idx="87">
                  <c:v>-0.0479462631253861</c:v>
                </c:pt>
                <c:pt idx="88">
                  <c:v>0.0686886708296164</c:v>
                </c:pt>
                <c:pt idx="89">
                  <c:v>-0.0308089239641828</c:v>
                </c:pt>
                <c:pt idx="90">
                  <c:v>0.0757907923582839</c:v>
                </c:pt>
                <c:pt idx="91">
                  <c:v>-0.000727802037845615</c:v>
                </c:pt>
                <c:pt idx="92">
                  <c:v>-0.0477785870356883</c:v>
                </c:pt>
                <c:pt idx="93">
                  <c:v>0.0276885421447148</c:v>
                </c:pt>
                <c:pt idx="94">
                  <c:v>0.0576064304852633</c:v>
                </c:pt>
                <c:pt idx="95">
                  <c:v>0.08036593947924</c:v>
                </c:pt>
                <c:pt idx="96">
                  <c:v>0.0343929129755081</c:v>
                </c:pt>
                <c:pt idx="97">
                  <c:v>-0.0285264483627204</c:v>
                </c:pt>
                <c:pt idx="98">
                  <c:v>0.211901212160498</c:v>
                </c:pt>
                <c:pt idx="99">
                  <c:v>-0.0523641420624734</c:v>
                </c:pt>
                <c:pt idx="100">
                  <c:v>-0.104024383360614</c:v>
                </c:pt>
                <c:pt idx="101">
                  <c:v>-0.0127882071311579</c:v>
                </c:pt>
                <c:pt idx="102">
                  <c:v>-0.0229723693446493</c:v>
                </c:pt>
                <c:pt idx="103">
                  <c:v>0.119652537391418</c:v>
                </c:pt>
                <c:pt idx="104">
                  <c:v>0.0639328005599953</c:v>
                </c:pt>
                <c:pt idx="105">
                  <c:v>-0.0264268874390043</c:v>
                </c:pt>
                <c:pt idx="106">
                  <c:v>-0.025342118601115</c:v>
                </c:pt>
                <c:pt idx="107">
                  <c:v>0.0136938810885769</c:v>
                </c:pt>
                <c:pt idx="108">
                  <c:v>0.0154468764249887</c:v>
                </c:pt>
                <c:pt idx="109">
                  <c:v>0.0363738422677518</c:v>
                </c:pt>
                <c:pt idx="110">
                  <c:v>0.0857932080376971</c:v>
                </c:pt>
                <c:pt idx="111">
                  <c:v>-0.112435775926573</c:v>
                </c:pt>
                <c:pt idx="112">
                  <c:v>-0.0220311358399371</c:v>
                </c:pt>
                <c:pt idx="113">
                  <c:v>-0.110108614447446</c:v>
                </c:pt>
                <c:pt idx="114">
                  <c:v>0.0878269292864062</c:v>
                </c:pt>
                <c:pt idx="115">
                  <c:v>0.0790145443751855</c:v>
                </c:pt>
                <c:pt idx="116">
                  <c:v>0.00995818661971826</c:v>
                </c:pt>
                <c:pt idx="117">
                  <c:v>0.0534401045922537</c:v>
                </c:pt>
                <c:pt idx="118">
                  <c:v>-0.0241493432619712</c:v>
                </c:pt>
                <c:pt idx="119">
                  <c:v>-0.110486990620529</c:v>
                </c:pt>
                <c:pt idx="120">
                  <c:v>0.0573692362683189</c:v>
                </c:pt>
                <c:pt idx="121">
                  <c:v>-0.0367908051157811</c:v>
                </c:pt>
                <c:pt idx="122">
                  <c:v>-0.0079550772110436</c:v>
                </c:pt>
                <c:pt idx="123">
                  <c:v>-0.135672169811321</c:v>
                </c:pt>
                <c:pt idx="124">
                  <c:v>-0.0729244832526093</c:v>
                </c:pt>
                <c:pt idx="125">
                  <c:v>-0.0330389992641649</c:v>
                </c:pt>
                <c:pt idx="126">
                  <c:v>0.0291454227227761</c:v>
                </c:pt>
                <c:pt idx="127">
                  <c:v>0.014418811002662</c:v>
                </c:pt>
                <c:pt idx="128">
                  <c:v>0.145564545520811</c:v>
                </c:pt>
                <c:pt idx="129">
                  <c:v>-0.0395138712140495</c:v>
                </c:pt>
                <c:pt idx="130">
                  <c:v>-0.00178867174561104</c:v>
                </c:pt>
                <c:pt idx="131">
                  <c:v>-0.0505707459516858</c:v>
                </c:pt>
                <c:pt idx="132">
                  <c:v>0.0377464001118413</c:v>
                </c:pt>
                <c:pt idx="133">
                  <c:v>-0.13741075037047</c:v>
                </c:pt>
                <c:pt idx="134">
                  <c:v>0.143136029985944</c:v>
                </c:pt>
                <c:pt idx="135">
                  <c:v>-0.0225425233964067</c:v>
                </c:pt>
                <c:pt idx="136">
                  <c:v>0.00684883639667344</c:v>
                </c:pt>
                <c:pt idx="137">
                  <c:v>-0.0435205108627749</c:v>
                </c:pt>
                <c:pt idx="138">
                  <c:v>-0.0276487663280116</c:v>
                </c:pt>
                <c:pt idx="139">
                  <c:v>0.0215687737890886</c:v>
                </c:pt>
                <c:pt idx="140">
                  <c:v>0.143629456458211</c:v>
                </c:pt>
                <c:pt idx="141">
                  <c:v>-0.134214897150888</c:v>
                </c:pt>
                <c:pt idx="142">
                  <c:v>-0.0556334390909762</c:v>
                </c:pt>
                <c:pt idx="143">
                  <c:v>0.00375029299163998</c:v>
                </c:pt>
                <c:pt idx="144">
                  <c:v>-0.120962092317273</c:v>
                </c:pt>
                <c:pt idx="145">
                  <c:v>0.144957053041707</c:v>
                </c:pt>
                <c:pt idx="146">
                  <c:v>-0.0194122196442382</c:v>
                </c:pt>
                <c:pt idx="147">
                  <c:v>0.0440886505244893</c:v>
                </c:pt>
                <c:pt idx="148">
                  <c:v>-0.0714609457621996</c:v>
                </c:pt>
                <c:pt idx="149">
                  <c:v>0.00113895216400906</c:v>
                </c:pt>
                <c:pt idx="150">
                  <c:v>0.397773443848529</c:v>
                </c:pt>
                <c:pt idx="151">
                  <c:v>0.0118016394395675</c:v>
                </c:pt>
                <c:pt idx="152">
                  <c:v>0.0339002528154448</c:v>
                </c:pt>
                <c:pt idx="153">
                  <c:v>0.0352895409580971</c:v>
                </c:pt>
                <c:pt idx="154">
                  <c:v>-0.0642009769713886</c:v>
                </c:pt>
                <c:pt idx="155">
                  <c:v>-0.0407273561635979</c:v>
                </c:pt>
                <c:pt idx="156">
                  <c:v>0.0622495963642886</c:v>
                </c:pt>
                <c:pt idx="157">
                  <c:v>0.0677212339563162</c:v>
                </c:pt>
                <c:pt idx="158">
                  <c:v>-0.0115463700110718</c:v>
                </c:pt>
                <c:pt idx="159">
                  <c:v>0.496319607424792</c:v>
                </c:pt>
              </c:numCache>
            </c:numRef>
          </c:val>
        </c:ser>
        <c:gapWidth val="150"/>
        <c:overlap val="0"/>
        <c:axId val="17253379"/>
        <c:axId val="9074112"/>
      </c:barChart>
      <c:lineChart>
        <c:grouping val="standard"/>
        <c:varyColors val="0"/>
        <c:ser>
          <c:idx val="1"/>
          <c:order val="1"/>
          <c:tx>
            <c:strRef>
              <c:f>'Returns (Calc)'!$AH$2</c:f>
              <c:strCache>
                <c:ptCount val="1"/>
                <c:pt idx="0">
                  <c:v>VRT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(Calc)'!$AH$3:$AH$500</c:f>
              <c:numCache>
                <c:formatCode>#,##0.00</c:formatCode>
                <c:ptCount val="498"/>
                <c:pt idx="0">
                  <c:v>15.33</c:v>
                </c:pt>
                <c:pt idx="1">
                  <c:v>15.2335849056604</c:v>
                </c:pt>
                <c:pt idx="2">
                  <c:v>15.1371698113208</c:v>
                </c:pt>
                <c:pt idx="3">
                  <c:v>15.0407547169811</c:v>
                </c:pt>
                <c:pt idx="4">
                  <c:v>14.9443396226415</c:v>
                </c:pt>
                <c:pt idx="5">
                  <c:v>14.8479245283019</c:v>
                </c:pt>
                <c:pt idx="6">
                  <c:v>14.7515094339623</c:v>
                </c:pt>
                <c:pt idx="7">
                  <c:v>14.6550943396226</c:v>
                </c:pt>
                <c:pt idx="8">
                  <c:v>14.558679245283</c:v>
                </c:pt>
                <c:pt idx="9">
                  <c:v>14.4622641509434</c:v>
                </c:pt>
                <c:pt idx="10">
                  <c:v>14.3658490566038</c:v>
                </c:pt>
                <c:pt idx="11">
                  <c:v>14.2694339622642</c:v>
                </c:pt>
                <c:pt idx="12">
                  <c:v>14.1730188679245</c:v>
                </c:pt>
                <c:pt idx="13">
                  <c:v>14.0766037735849</c:v>
                </c:pt>
                <c:pt idx="14">
                  <c:v>13.9801886792453</c:v>
                </c:pt>
                <c:pt idx="15">
                  <c:v>13.8837735849057</c:v>
                </c:pt>
                <c:pt idx="16">
                  <c:v>13.787358490566</c:v>
                </c:pt>
                <c:pt idx="17">
                  <c:v>13.6909433962264</c:v>
                </c:pt>
                <c:pt idx="18">
                  <c:v>13.5945283018868</c:v>
                </c:pt>
                <c:pt idx="19">
                  <c:v>13.4981132075472</c:v>
                </c:pt>
                <c:pt idx="20">
                  <c:v>13.4016981132075</c:v>
                </c:pt>
                <c:pt idx="21">
                  <c:v>13.3052830188679</c:v>
                </c:pt>
                <c:pt idx="22">
                  <c:v>13.2088679245283</c:v>
                </c:pt>
                <c:pt idx="23">
                  <c:v>13.1124528301887</c:v>
                </c:pt>
                <c:pt idx="24">
                  <c:v>13.0160377358491</c:v>
                </c:pt>
                <c:pt idx="25">
                  <c:v>12.9196226415094</c:v>
                </c:pt>
                <c:pt idx="26">
                  <c:v>12.8232075471698</c:v>
                </c:pt>
                <c:pt idx="27">
                  <c:v>12.7267924528302</c:v>
                </c:pt>
                <c:pt idx="28">
                  <c:v>12.6303773584906</c:v>
                </c:pt>
                <c:pt idx="29">
                  <c:v>12.5339622641509</c:v>
                </c:pt>
                <c:pt idx="30">
                  <c:v>12.4375471698113</c:v>
                </c:pt>
                <c:pt idx="31">
                  <c:v>12.3411320754717</c:v>
                </c:pt>
                <c:pt idx="32">
                  <c:v>12.2447169811321</c:v>
                </c:pt>
                <c:pt idx="33">
                  <c:v>12.1483018867925</c:v>
                </c:pt>
                <c:pt idx="34">
                  <c:v>12.0518867924528</c:v>
                </c:pt>
                <c:pt idx="35">
                  <c:v>11.9554716981132</c:v>
                </c:pt>
                <c:pt idx="36">
                  <c:v>11.8590566037736</c:v>
                </c:pt>
                <c:pt idx="37">
                  <c:v>11.762641509434</c:v>
                </c:pt>
                <c:pt idx="38">
                  <c:v>11.6662264150943</c:v>
                </c:pt>
                <c:pt idx="39">
                  <c:v>11.5698113207547</c:v>
                </c:pt>
                <c:pt idx="40">
                  <c:v>11.4733962264151</c:v>
                </c:pt>
                <c:pt idx="41">
                  <c:v>11.3769811320755</c:v>
                </c:pt>
                <c:pt idx="42">
                  <c:v>11.2805660377358</c:v>
                </c:pt>
                <c:pt idx="43">
                  <c:v>11.1841509433962</c:v>
                </c:pt>
                <c:pt idx="44">
                  <c:v>11.0877358490566</c:v>
                </c:pt>
                <c:pt idx="45">
                  <c:v>10.991320754717</c:v>
                </c:pt>
                <c:pt idx="46">
                  <c:v>10.8949056603774</c:v>
                </c:pt>
                <c:pt idx="47">
                  <c:v>10.7984905660377</c:v>
                </c:pt>
                <c:pt idx="48">
                  <c:v>10.7020754716981</c:v>
                </c:pt>
                <c:pt idx="49">
                  <c:v>10.6056603773585</c:v>
                </c:pt>
                <c:pt idx="50">
                  <c:v>10.5092452830189</c:v>
                </c:pt>
                <c:pt idx="51">
                  <c:v>10.4128301886792</c:v>
                </c:pt>
                <c:pt idx="52">
                  <c:v>10.3164150943396</c:v>
                </c:pt>
                <c:pt idx="53">
                  <c:v>10.22</c:v>
                </c:pt>
                <c:pt idx="54">
                  <c:v>10.1235849056604</c:v>
                </c:pt>
                <c:pt idx="55">
                  <c:v>10.0271698113208</c:v>
                </c:pt>
                <c:pt idx="56">
                  <c:v>9.93075471698113</c:v>
                </c:pt>
                <c:pt idx="57">
                  <c:v>9.83433962264151</c:v>
                </c:pt>
                <c:pt idx="58">
                  <c:v>9.73792452830189</c:v>
                </c:pt>
                <c:pt idx="59">
                  <c:v>9.64150943396226</c:v>
                </c:pt>
                <c:pt idx="60">
                  <c:v>9.54509433962264</c:v>
                </c:pt>
                <c:pt idx="61">
                  <c:v>9.44867924528302</c:v>
                </c:pt>
                <c:pt idx="62">
                  <c:v>9.3522641509434</c:v>
                </c:pt>
                <c:pt idx="63">
                  <c:v>9.25584905660377</c:v>
                </c:pt>
                <c:pt idx="64">
                  <c:v>9.15943396226415</c:v>
                </c:pt>
                <c:pt idx="65">
                  <c:v>9.06301886792453</c:v>
                </c:pt>
                <c:pt idx="66">
                  <c:v>8.96660377358491</c:v>
                </c:pt>
                <c:pt idx="67">
                  <c:v>8.87018867924529</c:v>
                </c:pt>
                <c:pt idx="68">
                  <c:v>8.77377358490566</c:v>
                </c:pt>
                <c:pt idx="69">
                  <c:v>8.67735849056604</c:v>
                </c:pt>
                <c:pt idx="70">
                  <c:v>8.58094339622642</c:v>
                </c:pt>
                <c:pt idx="71">
                  <c:v>8.48452830188679</c:v>
                </c:pt>
                <c:pt idx="72">
                  <c:v>8.38811320754717</c:v>
                </c:pt>
                <c:pt idx="73">
                  <c:v>8.29169811320755</c:v>
                </c:pt>
                <c:pt idx="74">
                  <c:v>8.19528301886792</c:v>
                </c:pt>
                <c:pt idx="75">
                  <c:v>8.0988679245283</c:v>
                </c:pt>
                <c:pt idx="76">
                  <c:v>8.00245283018868</c:v>
                </c:pt>
                <c:pt idx="77">
                  <c:v>7.90603773584906</c:v>
                </c:pt>
                <c:pt idx="78">
                  <c:v>7.80962264150943</c:v>
                </c:pt>
                <c:pt idx="79">
                  <c:v>7.71320754716981</c:v>
                </c:pt>
                <c:pt idx="80">
                  <c:v>7.61679245283019</c:v>
                </c:pt>
                <c:pt idx="81">
                  <c:v>7.52037735849057</c:v>
                </c:pt>
                <c:pt idx="82">
                  <c:v>7.42396226415094</c:v>
                </c:pt>
                <c:pt idx="83">
                  <c:v>7.32754716981132</c:v>
                </c:pt>
                <c:pt idx="84">
                  <c:v>7.2311320754717</c:v>
                </c:pt>
                <c:pt idx="85">
                  <c:v>7.13471698113208</c:v>
                </c:pt>
                <c:pt idx="86">
                  <c:v>7.03830188679245</c:v>
                </c:pt>
                <c:pt idx="87">
                  <c:v>6.94188679245283</c:v>
                </c:pt>
                <c:pt idx="88">
                  <c:v>6.84547169811321</c:v>
                </c:pt>
                <c:pt idx="89">
                  <c:v>6.74905660377358</c:v>
                </c:pt>
                <c:pt idx="90">
                  <c:v>6.65264150943396</c:v>
                </c:pt>
                <c:pt idx="91">
                  <c:v>6.55622641509434</c:v>
                </c:pt>
                <c:pt idx="92">
                  <c:v>6.45981132075472</c:v>
                </c:pt>
                <c:pt idx="93">
                  <c:v>6.36339622641509</c:v>
                </c:pt>
                <c:pt idx="94">
                  <c:v>6.26698113207547</c:v>
                </c:pt>
                <c:pt idx="95">
                  <c:v>6.17056603773585</c:v>
                </c:pt>
                <c:pt idx="96">
                  <c:v>6.07415094339623</c:v>
                </c:pt>
                <c:pt idx="97">
                  <c:v>5.9777358490566</c:v>
                </c:pt>
                <c:pt idx="98">
                  <c:v>5.88132075471698</c:v>
                </c:pt>
                <c:pt idx="99">
                  <c:v>5.78490566037736</c:v>
                </c:pt>
                <c:pt idx="100">
                  <c:v>5.68849056603774</c:v>
                </c:pt>
                <c:pt idx="101">
                  <c:v>5.59207547169811</c:v>
                </c:pt>
                <c:pt idx="102">
                  <c:v>5.49566037735849</c:v>
                </c:pt>
                <c:pt idx="103">
                  <c:v>5.39924528301887</c:v>
                </c:pt>
                <c:pt idx="104">
                  <c:v>5.30283018867925</c:v>
                </c:pt>
                <c:pt idx="105">
                  <c:v>5.20641509433962</c:v>
                </c:pt>
                <c:pt idx="106">
                  <c:v>5.11</c:v>
                </c:pt>
                <c:pt idx="107">
                  <c:v>5.01358490566038</c:v>
                </c:pt>
                <c:pt idx="108">
                  <c:v>4.91716981132075</c:v>
                </c:pt>
                <c:pt idx="109">
                  <c:v>4.82075471698113</c:v>
                </c:pt>
                <c:pt idx="110">
                  <c:v>4.72433962264151</c:v>
                </c:pt>
                <c:pt idx="111">
                  <c:v>4.62792452830189</c:v>
                </c:pt>
                <c:pt idx="112">
                  <c:v>4.53150943396226</c:v>
                </c:pt>
                <c:pt idx="113">
                  <c:v>4.43509433962264</c:v>
                </c:pt>
                <c:pt idx="114">
                  <c:v>4.33867924528302</c:v>
                </c:pt>
                <c:pt idx="115">
                  <c:v>4.2422641509434</c:v>
                </c:pt>
                <c:pt idx="116">
                  <c:v>4.14584905660377</c:v>
                </c:pt>
                <c:pt idx="117">
                  <c:v>4.04943396226415</c:v>
                </c:pt>
                <c:pt idx="118">
                  <c:v>3.95301886792453</c:v>
                </c:pt>
                <c:pt idx="119">
                  <c:v>3.85660377358491</c:v>
                </c:pt>
                <c:pt idx="120">
                  <c:v>3.76018867924528</c:v>
                </c:pt>
                <c:pt idx="121">
                  <c:v>3.66377358490566</c:v>
                </c:pt>
                <c:pt idx="122">
                  <c:v>3.56735849056604</c:v>
                </c:pt>
                <c:pt idx="123">
                  <c:v>3.47094339622642</c:v>
                </c:pt>
                <c:pt idx="124">
                  <c:v>3.37452830188679</c:v>
                </c:pt>
                <c:pt idx="125">
                  <c:v>3.27811320754717</c:v>
                </c:pt>
                <c:pt idx="126">
                  <c:v>3.18169811320755</c:v>
                </c:pt>
                <c:pt idx="127">
                  <c:v>3.08528301886792</c:v>
                </c:pt>
                <c:pt idx="128">
                  <c:v>2.9888679245283</c:v>
                </c:pt>
                <c:pt idx="129">
                  <c:v>2.89245283018868</c:v>
                </c:pt>
                <c:pt idx="130">
                  <c:v>2.79603773584906</c:v>
                </c:pt>
                <c:pt idx="131">
                  <c:v>2.69962264150943</c:v>
                </c:pt>
                <c:pt idx="132">
                  <c:v>2.60320754716981</c:v>
                </c:pt>
                <c:pt idx="133">
                  <c:v>2.50679245283019</c:v>
                </c:pt>
                <c:pt idx="134">
                  <c:v>2.41037735849057</c:v>
                </c:pt>
                <c:pt idx="135">
                  <c:v>2.31396226415094</c:v>
                </c:pt>
                <c:pt idx="136">
                  <c:v>2.21754716981132</c:v>
                </c:pt>
                <c:pt idx="137">
                  <c:v>2.1211320754717</c:v>
                </c:pt>
                <c:pt idx="138">
                  <c:v>2.02471698113208</c:v>
                </c:pt>
                <c:pt idx="139">
                  <c:v>1.92830188679245</c:v>
                </c:pt>
                <c:pt idx="140">
                  <c:v>1.83188679245283</c:v>
                </c:pt>
                <c:pt idx="141">
                  <c:v>1.73547169811321</c:v>
                </c:pt>
                <c:pt idx="142">
                  <c:v>1.63905660377358</c:v>
                </c:pt>
                <c:pt idx="143">
                  <c:v>1.54264150943396</c:v>
                </c:pt>
                <c:pt idx="144">
                  <c:v>1.44622641509434</c:v>
                </c:pt>
                <c:pt idx="145">
                  <c:v>1.34981132075472</c:v>
                </c:pt>
                <c:pt idx="146">
                  <c:v>1.2533962264151</c:v>
                </c:pt>
                <c:pt idx="147">
                  <c:v>1.15698113207547</c:v>
                </c:pt>
                <c:pt idx="148">
                  <c:v>1.06056603773585</c:v>
                </c:pt>
                <c:pt idx="149">
                  <c:v>0.964150943396225</c:v>
                </c:pt>
                <c:pt idx="150">
                  <c:v>0.867735849056604</c:v>
                </c:pt>
                <c:pt idx="151">
                  <c:v>0.771320754716982</c:v>
                </c:pt>
                <c:pt idx="152">
                  <c:v>0.674905660377359</c:v>
                </c:pt>
                <c:pt idx="153">
                  <c:v>0.578490566037734</c:v>
                </c:pt>
                <c:pt idx="154">
                  <c:v>0.482075471698112</c:v>
                </c:pt>
                <c:pt idx="155">
                  <c:v>0.385660377358491</c:v>
                </c:pt>
                <c:pt idx="156">
                  <c:v>0.289245283018868</c:v>
                </c:pt>
                <c:pt idx="157">
                  <c:v>0.192830188679245</c:v>
                </c:pt>
                <c:pt idx="158">
                  <c:v>0.0964150943396227</c:v>
                </c:pt>
                <c:pt idx="159">
                  <c:v>0</c:v>
                </c:pt>
              </c:numCache>
            </c:numRef>
          </c:val>
          <c:smooth val="0"/>
        </c:ser>
        <c:hiLowLines>
          <c:spPr>
            <a:ln w="0">
              <a:noFill/>
            </a:ln>
          </c:spPr>
        </c:hiLowLines>
        <c:marker val="0"/>
        <c:axId val="94656942"/>
        <c:axId val="48070423"/>
      </c:lineChart>
      <c:dateAx>
        <c:axId val="17253379"/>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074112"/>
        <c:auto val="1"/>
        <c:lblOffset val="100"/>
        <c:baseTimeUnit val="days"/>
      </c:dateAx>
      <c:valAx>
        <c:axId val="907411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7253379"/>
        <c:crosses val="autoZero"/>
        <c:crossBetween val="between"/>
      </c:valAx>
      <c:dateAx>
        <c:axId val="94656942"/>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8070423"/>
        <c:auto val="1"/>
        <c:lblOffset val="100"/>
        <c:baseTimeUnit val="days"/>
      </c:dateAx>
      <c:valAx>
        <c:axId val="48070423"/>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4656942"/>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VRTX</a:t>
            </a:r>
          </a:p>
        </c:rich>
      </c:tx>
      <c:overlay val="0"/>
      <c:spPr>
        <a:noFill/>
        <a:ln w="0">
          <a:noFill/>
        </a:ln>
      </c:spPr>
    </c:title>
    <c:autoTitleDeleted val="0"/>
    <c:plotArea>
      <c:barChart>
        <c:barDir val="col"/>
        <c:grouping val="clustered"/>
        <c:varyColors val="0"/>
        <c:ser>
          <c:idx val="0"/>
          <c:order val="0"/>
          <c:tx>
            <c:strRef>
              <c:f>'Returns (Calc)'!$N$2</c:f>
              <c:strCache>
                <c:ptCount val="1"/>
                <c:pt idx="0">
                  <c:v>SCHD</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(Calc)'!$N$3:$N$500</c:f>
              <c:numCache>
                <c:formatCode>0.0%</c:formatCode>
                <c:ptCount val="498"/>
                <c:pt idx="0">
                  <c:v>-0.0229357798165137</c:v>
                </c:pt>
                <c:pt idx="1">
                  <c:v>-0.00751173708920183</c:v>
                </c:pt>
                <c:pt idx="2">
                  <c:v>-0.0160832544938505</c:v>
                </c:pt>
                <c:pt idx="3">
                  <c:v>0.0100961538461539</c:v>
                </c:pt>
                <c:pt idx="4">
                  <c:v>-0.0147548786292243</c:v>
                </c:pt>
                <c:pt idx="5">
                  <c:v>-0.0342995169082126</c:v>
                </c:pt>
                <c:pt idx="6">
                  <c:v>0.0500250125062531</c:v>
                </c:pt>
                <c:pt idx="7">
                  <c:v>-0.0114340161981895</c:v>
                </c:pt>
                <c:pt idx="8">
                  <c:v>0.0240963855421688</c:v>
                </c:pt>
                <c:pt idx="9">
                  <c:v>0.00941176470588223</c:v>
                </c:pt>
                <c:pt idx="10">
                  <c:v>0.0186480186480187</c:v>
                </c:pt>
                <c:pt idx="11">
                  <c:v>0.0018306636155605</c:v>
                </c:pt>
                <c:pt idx="12">
                  <c:v>0.0402010050251256</c:v>
                </c:pt>
                <c:pt idx="13">
                  <c:v>0.00527009222661401</c:v>
                </c:pt>
                <c:pt idx="14">
                  <c:v>0.00393184796854529</c:v>
                </c:pt>
                <c:pt idx="15">
                  <c:v>0.00304612706701479</c:v>
                </c:pt>
                <c:pt idx="16">
                  <c:v>-0.00130151843817794</c:v>
                </c:pt>
                <c:pt idx="17">
                  <c:v>0.00434404865334503</c:v>
                </c:pt>
                <c:pt idx="18">
                  <c:v>0.00562283737024227</c:v>
                </c:pt>
                <c:pt idx="19">
                  <c:v>-0.000430107526881773</c:v>
                </c:pt>
                <c:pt idx="20">
                  <c:v>-0.00258175559380369</c:v>
                </c:pt>
                <c:pt idx="21">
                  <c:v>0.002588438308887</c:v>
                </c:pt>
                <c:pt idx="22">
                  <c:v>0.0116179001721173</c:v>
                </c:pt>
                <c:pt idx="23">
                  <c:v>0.00340280731603571</c:v>
                </c:pt>
                <c:pt idx="24">
                  <c:v>0.00339126748622309</c:v>
                </c:pt>
                <c:pt idx="25">
                  <c:v>0.00168990283058723</c:v>
                </c:pt>
                <c:pt idx="26">
                  <c:v>0.0185575706452972</c:v>
                </c:pt>
                <c:pt idx="27">
                  <c:v>0.0157349896480332</c:v>
                </c:pt>
                <c:pt idx="28">
                  <c:v>-0.0203832042397065</c:v>
                </c:pt>
                <c:pt idx="29">
                  <c:v>-0.0278818143986684</c:v>
                </c:pt>
                <c:pt idx="30">
                  <c:v>-0.00171232876712324</c:v>
                </c:pt>
                <c:pt idx="31">
                  <c:v>0.010720411663808</c:v>
                </c:pt>
                <c:pt idx="32">
                  <c:v>0.0063640220619432</c:v>
                </c:pt>
                <c:pt idx="33">
                  <c:v>0.0168634064080946</c:v>
                </c:pt>
                <c:pt idx="34">
                  <c:v>0.00995024875621886</c:v>
                </c:pt>
                <c:pt idx="35">
                  <c:v>-0.024630541871921</c:v>
                </c:pt>
                <c:pt idx="36">
                  <c:v>0.00589225589225584</c:v>
                </c:pt>
                <c:pt idx="37">
                  <c:v>-0.00878661087866095</c:v>
                </c:pt>
                <c:pt idx="38">
                  <c:v>-0.0139299282397637</c:v>
                </c:pt>
                <c:pt idx="39">
                  <c:v>0.0171232876712331</c:v>
                </c:pt>
                <c:pt idx="40">
                  <c:v>0.00589225589225584</c:v>
                </c:pt>
                <c:pt idx="41">
                  <c:v>-0.00920502092050202</c:v>
                </c:pt>
                <c:pt idx="42">
                  <c:v>0.0337837837837838</c:v>
                </c:pt>
                <c:pt idx="43">
                  <c:v>0.0183823529411764</c:v>
                </c:pt>
                <c:pt idx="44">
                  <c:v>0.0168471720818293</c:v>
                </c:pt>
                <c:pt idx="45">
                  <c:v>-0.0201183431952663</c:v>
                </c:pt>
                <c:pt idx="46">
                  <c:v>-0.00805152979066015</c:v>
                </c:pt>
                <c:pt idx="47">
                  <c:v>0.0227272727272727</c:v>
                </c:pt>
                <c:pt idx="48">
                  <c:v>0.0186507936507938</c:v>
                </c:pt>
                <c:pt idx="49">
                  <c:v>0.0124659135177247</c:v>
                </c:pt>
                <c:pt idx="50">
                  <c:v>-0.0300115429011157</c:v>
                </c:pt>
                <c:pt idx="51">
                  <c:v>0.0166600555335183</c:v>
                </c:pt>
                <c:pt idx="52">
                  <c:v>0.0132657042528288</c:v>
                </c:pt>
                <c:pt idx="53">
                  <c:v>0.00616095494801705</c:v>
                </c:pt>
                <c:pt idx="54">
                  <c:v>0.00497512437810954</c:v>
                </c:pt>
                <c:pt idx="55">
                  <c:v>0.0114242193450114</c:v>
                </c:pt>
                <c:pt idx="56">
                  <c:v>0.0094126506024097</c:v>
                </c:pt>
                <c:pt idx="57">
                  <c:v>-0.0231256993659081</c:v>
                </c:pt>
                <c:pt idx="58">
                  <c:v>-0.00152730049637273</c:v>
                </c:pt>
                <c:pt idx="59">
                  <c:v>0.0347992351816444</c:v>
                </c:pt>
                <c:pt idx="60">
                  <c:v>-0.0155210643015521</c:v>
                </c:pt>
                <c:pt idx="61">
                  <c:v>0.0251501501501501</c:v>
                </c:pt>
                <c:pt idx="62">
                  <c:v>0.00622482607103625</c:v>
                </c:pt>
                <c:pt idx="63">
                  <c:v>-0.0240174672489083</c:v>
                </c:pt>
                <c:pt idx="64">
                  <c:v>-0.0149142431021625</c:v>
                </c:pt>
                <c:pt idx="65">
                  <c:v>-0.0299015897047692</c:v>
                </c:pt>
                <c:pt idx="66">
                  <c:v>0.00663285212641451</c:v>
                </c:pt>
                <c:pt idx="67">
                  <c:v>-0.00116279069767444</c:v>
                </c:pt>
                <c:pt idx="68">
                  <c:v>-0.0155219247186651</c:v>
                </c:pt>
                <c:pt idx="69">
                  <c:v>0.0362633031139139</c:v>
                </c:pt>
                <c:pt idx="70">
                  <c:v>0.00266260935717</c:v>
                </c:pt>
                <c:pt idx="71">
                  <c:v>-0.00834597875569043</c:v>
                </c:pt>
                <c:pt idx="72">
                  <c:v>-0.009946442234124</c:v>
                </c:pt>
                <c:pt idx="73">
                  <c:v>0.00850077279752703</c:v>
                </c:pt>
                <c:pt idx="74">
                  <c:v>0.0149425287356322</c:v>
                </c:pt>
                <c:pt idx="75">
                  <c:v>0.0117025292563233</c:v>
                </c:pt>
                <c:pt idx="76">
                  <c:v>-0.00261194029850742</c:v>
                </c:pt>
                <c:pt idx="77">
                  <c:v>-0.0288065843621399</c:v>
                </c:pt>
                <c:pt idx="78">
                  <c:v>0.00423728813559321</c:v>
                </c:pt>
                <c:pt idx="79">
                  <c:v>0.00268507863444567</c:v>
                </c:pt>
                <c:pt idx="80">
                  <c:v>-0.0833970925784239</c:v>
                </c:pt>
                <c:pt idx="81">
                  <c:v>0.000834724540901499</c:v>
                </c:pt>
                <c:pt idx="82">
                  <c:v>0.00458715596330284</c:v>
                </c:pt>
                <c:pt idx="83">
                  <c:v>0.00996264009962644</c:v>
                </c:pt>
                <c:pt idx="84">
                  <c:v>0.0152075626798192</c:v>
                </c:pt>
                <c:pt idx="85">
                  <c:v>-0.0129554655870445</c:v>
                </c:pt>
                <c:pt idx="86">
                  <c:v>0.0340442986054144</c:v>
                </c:pt>
                <c:pt idx="87">
                  <c:v>-0.0269734232447442</c:v>
                </c:pt>
                <c:pt idx="88">
                  <c:v>0.0110069302894416</c:v>
                </c:pt>
                <c:pt idx="89">
                  <c:v>0.0141129032258063</c:v>
                </c:pt>
                <c:pt idx="90">
                  <c:v>0.0135188866799205</c:v>
                </c:pt>
                <c:pt idx="91">
                  <c:v>-0.00745390349156527</c:v>
                </c:pt>
                <c:pt idx="92">
                  <c:v>-0.00197628458498023</c:v>
                </c:pt>
                <c:pt idx="93">
                  <c:v>0.0364356435643565</c:v>
                </c:pt>
                <c:pt idx="94">
                  <c:v>-0.000764233855559904</c:v>
                </c:pt>
                <c:pt idx="95">
                  <c:v>-0.0110898661567878</c:v>
                </c:pt>
                <c:pt idx="96">
                  <c:v>0.0108275328692962</c:v>
                </c:pt>
                <c:pt idx="97">
                  <c:v>-0.0344299923488907</c:v>
                </c:pt>
                <c:pt idx="98">
                  <c:v>0.0190174326465928</c:v>
                </c:pt>
                <c:pt idx="99">
                  <c:v>0.0167185069984448</c:v>
                </c:pt>
                <c:pt idx="100">
                  <c:v>0.0229445506692161</c:v>
                </c:pt>
                <c:pt idx="101">
                  <c:v>-0.00112149532710282</c:v>
                </c:pt>
                <c:pt idx="102">
                  <c:v>-0.0101047904191617</c:v>
                </c:pt>
                <c:pt idx="103">
                  <c:v>-0.00567107750472584</c:v>
                </c:pt>
                <c:pt idx="104">
                  <c:v>-0.00570342205323204</c:v>
                </c:pt>
                <c:pt idx="105">
                  <c:v>0.00535372848948379</c:v>
                </c:pt>
                <c:pt idx="106">
                  <c:v>0.00722708254089022</c:v>
                </c:pt>
                <c:pt idx="107">
                  <c:v>-0.0317220543806647</c:v>
                </c:pt>
                <c:pt idx="108">
                  <c:v>0.00936037441497661</c:v>
                </c:pt>
                <c:pt idx="109">
                  <c:v>0.00888717156105101</c:v>
                </c:pt>
                <c:pt idx="110">
                  <c:v>-0.0103408655687476</c:v>
                </c:pt>
                <c:pt idx="111">
                  <c:v>-0.00116099071207432</c:v>
                </c:pt>
                <c:pt idx="112">
                  <c:v>0.0197597830298335</c:v>
                </c:pt>
                <c:pt idx="113">
                  <c:v>-0.00531914893617025</c:v>
                </c:pt>
                <c:pt idx="114">
                  <c:v>0.0183346065699006</c:v>
                </c:pt>
                <c:pt idx="115">
                  <c:v>0.00412603150787705</c:v>
                </c:pt>
                <c:pt idx="116">
                  <c:v>0.00933881210310039</c:v>
                </c:pt>
                <c:pt idx="117">
                  <c:v>-0.00814211695040712</c:v>
                </c:pt>
                <c:pt idx="118">
                  <c:v>0.00671641791044775</c:v>
                </c:pt>
                <c:pt idx="119">
                  <c:v>0.00296515937731656</c:v>
                </c:pt>
                <c:pt idx="120">
                  <c:v>0.0295639320029564</c:v>
                </c:pt>
                <c:pt idx="121">
                  <c:v>0.0125628140703518</c:v>
                </c:pt>
                <c:pt idx="122">
                  <c:v>0.00815313718539534</c:v>
                </c:pt>
                <c:pt idx="123">
                  <c:v>0.0232067510548524</c:v>
                </c:pt>
                <c:pt idx="124">
                  <c:v>0.0553264604810997</c:v>
                </c:pt>
                <c:pt idx="125">
                  <c:v>0.00455877564311291</c:v>
                </c:pt>
                <c:pt idx="126">
                  <c:v>0</c:v>
                </c:pt>
                <c:pt idx="127">
                  <c:v>0.00518638573743924</c:v>
                </c:pt>
                <c:pt idx="128">
                  <c:v>-0.0203160270880361</c:v>
                </c:pt>
                <c:pt idx="129">
                  <c:v>-0.010533245556287</c:v>
                </c:pt>
                <c:pt idx="130">
                  <c:v>-0.0133067198935461</c:v>
                </c:pt>
                <c:pt idx="131">
                  <c:v>0.0101146325016859</c:v>
                </c:pt>
                <c:pt idx="132">
                  <c:v>0.00400534045393841</c:v>
                </c:pt>
                <c:pt idx="133">
                  <c:v>0</c:v>
                </c:pt>
                <c:pt idx="134">
                  <c:v>0.0159574468085106</c:v>
                </c:pt>
                <c:pt idx="135">
                  <c:v>0.00490837696335089</c:v>
                </c:pt>
                <c:pt idx="136">
                  <c:v>0.0211657440573103</c:v>
                </c:pt>
                <c:pt idx="137">
                  <c:v>-0.00765306122448972</c:v>
                </c:pt>
                <c:pt idx="138">
                  <c:v>0.0032133676092545</c:v>
                </c:pt>
                <c:pt idx="139">
                  <c:v>0.0349135169762973</c:v>
                </c:pt>
                <c:pt idx="140">
                  <c:v>-0.0099040544722997</c:v>
                </c:pt>
                <c:pt idx="141">
                  <c:v>-0.00625195373554233</c:v>
                </c:pt>
                <c:pt idx="142">
                  <c:v>0.0160427807486629</c:v>
                </c:pt>
                <c:pt idx="143">
                  <c:v>-0.0291021671826625</c:v>
                </c:pt>
                <c:pt idx="144">
                  <c:v>0.0153061224489797</c:v>
                </c:pt>
                <c:pt idx="145">
                  <c:v>0.00910804020100509</c:v>
                </c:pt>
                <c:pt idx="146">
                  <c:v>0.000311235605353177</c:v>
                </c:pt>
                <c:pt idx="147">
                  <c:v>0.0158680771624145</c:v>
                </c:pt>
                <c:pt idx="148">
                  <c:v>0.0116385911179173</c:v>
                </c:pt>
                <c:pt idx="149">
                  <c:v>0.00544959128065403</c:v>
                </c:pt>
                <c:pt idx="150">
                  <c:v>0.0126467931345982</c:v>
                </c:pt>
                <c:pt idx="151">
                  <c:v>0.0184359203092477</c:v>
                </c:pt>
                <c:pt idx="152">
                  <c:v>0.016934306569343</c:v>
                </c:pt>
                <c:pt idx="153">
                  <c:v>-0.00602928509905254</c:v>
                </c:pt>
                <c:pt idx="154">
                  <c:v>-0.00288850375505467</c:v>
                </c:pt>
                <c:pt idx="155">
                  <c:v>-0.0194090382387022</c:v>
                </c:pt>
                <c:pt idx="156">
                  <c:v>-0.0129985228951257</c:v>
                </c:pt>
                <c:pt idx="157">
                  <c:v>-0.00598623166716539</c:v>
                </c:pt>
                <c:pt idx="158">
                  <c:v>-0.00602228244504677</c:v>
                </c:pt>
                <c:pt idx="159">
                  <c:v>15.5440775522569</c:v>
                </c:pt>
              </c:numCache>
            </c:numRef>
          </c:val>
        </c:ser>
        <c:gapWidth val="150"/>
        <c:overlap val="0"/>
        <c:axId val="88316160"/>
        <c:axId val="13876526"/>
      </c:barChart>
      <c:lineChart>
        <c:grouping val="standard"/>
        <c:varyColors val="0"/>
        <c:ser>
          <c:idx val="1"/>
          <c:order val="1"/>
          <c:tx>
            <c:strRef>
              <c:f>'Returns (Calc)'!$AI$2</c:f>
              <c:strCache>
                <c:ptCount val="1"/>
                <c:pt idx="0">
                  <c:v>VRTX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(Calc)'!$AI$3:$AI$500</c:f>
              <c:numCache>
                <c:formatCode>#,##0.00</c:formatCode>
                <c:ptCount val="498"/>
                <c:pt idx="0">
                  <c:v>21.8</c:v>
                </c:pt>
                <c:pt idx="1">
                  <c:v>21.662893081761</c:v>
                </c:pt>
                <c:pt idx="2">
                  <c:v>21.525786163522</c:v>
                </c:pt>
                <c:pt idx="3">
                  <c:v>21.388679245283</c:v>
                </c:pt>
                <c:pt idx="4">
                  <c:v>21.251572327044</c:v>
                </c:pt>
                <c:pt idx="5">
                  <c:v>21.114465408805</c:v>
                </c:pt>
                <c:pt idx="6">
                  <c:v>20.977358490566</c:v>
                </c:pt>
                <c:pt idx="7">
                  <c:v>20.840251572327</c:v>
                </c:pt>
                <c:pt idx="8">
                  <c:v>20.7031446540881</c:v>
                </c:pt>
                <c:pt idx="9">
                  <c:v>20.5660377358491</c:v>
                </c:pt>
                <c:pt idx="10">
                  <c:v>20.4289308176101</c:v>
                </c:pt>
                <c:pt idx="11">
                  <c:v>20.2918238993711</c:v>
                </c:pt>
                <c:pt idx="12">
                  <c:v>20.1547169811321</c:v>
                </c:pt>
                <c:pt idx="13">
                  <c:v>20.0176100628931</c:v>
                </c:pt>
                <c:pt idx="14">
                  <c:v>19.8805031446541</c:v>
                </c:pt>
                <c:pt idx="15">
                  <c:v>19.7433962264151</c:v>
                </c:pt>
                <c:pt idx="16">
                  <c:v>19.6062893081761</c:v>
                </c:pt>
                <c:pt idx="17">
                  <c:v>19.4691823899371</c:v>
                </c:pt>
                <c:pt idx="18">
                  <c:v>19.3320754716981</c:v>
                </c:pt>
                <c:pt idx="19">
                  <c:v>19.1949685534591</c:v>
                </c:pt>
                <c:pt idx="20">
                  <c:v>19.0578616352201</c:v>
                </c:pt>
                <c:pt idx="21">
                  <c:v>18.9207547169811</c:v>
                </c:pt>
                <c:pt idx="22">
                  <c:v>18.7836477987421</c:v>
                </c:pt>
                <c:pt idx="23">
                  <c:v>18.6465408805031</c:v>
                </c:pt>
                <c:pt idx="24">
                  <c:v>18.5094339622642</c:v>
                </c:pt>
                <c:pt idx="25">
                  <c:v>18.3723270440252</c:v>
                </c:pt>
                <c:pt idx="26">
                  <c:v>18.2352201257862</c:v>
                </c:pt>
                <c:pt idx="27">
                  <c:v>18.0981132075472</c:v>
                </c:pt>
                <c:pt idx="28">
                  <c:v>17.9610062893082</c:v>
                </c:pt>
                <c:pt idx="29">
                  <c:v>17.8238993710692</c:v>
                </c:pt>
                <c:pt idx="30">
                  <c:v>17.6867924528302</c:v>
                </c:pt>
                <c:pt idx="31">
                  <c:v>17.5496855345912</c:v>
                </c:pt>
                <c:pt idx="32">
                  <c:v>17.4125786163522</c:v>
                </c:pt>
                <c:pt idx="33">
                  <c:v>17.2754716981132</c:v>
                </c:pt>
                <c:pt idx="34">
                  <c:v>17.1383647798742</c:v>
                </c:pt>
                <c:pt idx="35">
                  <c:v>17.0012578616352</c:v>
                </c:pt>
                <c:pt idx="36">
                  <c:v>16.8641509433962</c:v>
                </c:pt>
                <c:pt idx="37">
                  <c:v>16.7270440251572</c:v>
                </c:pt>
                <c:pt idx="38">
                  <c:v>16.5899371069182</c:v>
                </c:pt>
                <c:pt idx="39">
                  <c:v>16.4528301886792</c:v>
                </c:pt>
                <c:pt idx="40">
                  <c:v>16.3157232704403</c:v>
                </c:pt>
                <c:pt idx="41">
                  <c:v>16.1786163522013</c:v>
                </c:pt>
                <c:pt idx="42">
                  <c:v>16.0415094339623</c:v>
                </c:pt>
                <c:pt idx="43">
                  <c:v>15.9044025157233</c:v>
                </c:pt>
                <c:pt idx="44">
                  <c:v>15.7672955974843</c:v>
                </c:pt>
                <c:pt idx="45">
                  <c:v>15.6301886792453</c:v>
                </c:pt>
                <c:pt idx="46">
                  <c:v>15.4930817610063</c:v>
                </c:pt>
                <c:pt idx="47">
                  <c:v>15.3559748427673</c:v>
                </c:pt>
                <c:pt idx="48">
                  <c:v>15.2188679245283</c:v>
                </c:pt>
                <c:pt idx="49">
                  <c:v>15.0817610062893</c:v>
                </c:pt>
                <c:pt idx="50">
                  <c:v>14.9446540880503</c:v>
                </c:pt>
                <c:pt idx="51">
                  <c:v>14.8075471698113</c:v>
                </c:pt>
                <c:pt idx="52">
                  <c:v>14.6704402515723</c:v>
                </c:pt>
                <c:pt idx="53">
                  <c:v>14.5333333333333</c:v>
                </c:pt>
                <c:pt idx="54">
                  <c:v>14.3962264150943</c:v>
                </c:pt>
                <c:pt idx="55">
                  <c:v>14.2591194968553</c:v>
                </c:pt>
                <c:pt idx="56">
                  <c:v>14.1220125786164</c:v>
                </c:pt>
                <c:pt idx="57">
                  <c:v>13.9849056603774</c:v>
                </c:pt>
                <c:pt idx="58">
                  <c:v>13.8477987421384</c:v>
                </c:pt>
                <c:pt idx="59">
                  <c:v>13.7106918238994</c:v>
                </c:pt>
                <c:pt idx="60">
                  <c:v>13.5735849056604</c:v>
                </c:pt>
                <c:pt idx="61">
                  <c:v>13.4364779874214</c:v>
                </c:pt>
                <c:pt idx="62">
                  <c:v>13.2993710691824</c:v>
                </c:pt>
                <c:pt idx="63">
                  <c:v>13.1622641509434</c:v>
                </c:pt>
                <c:pt idx="64">
                  <c:v>13.0251572327044</c:v>
                </c:pt>
                <c:pt idx="65">
                  <c:v>12.8880503144654</c:v>
                </c:pt>
                <c:pt idx="66">
                  <c:v>12.7509433962264</c:v>
                </c:pt>
                <c:pt idx="67">
                  <c:v>12.6138364779874</c:v>
                </c:pt>
                <c:pt idx="68">
                  <c:v>12.4767295597484</c:v>
                </c:pt>
                <c:pt idx="69">
                  <c:v>12.3396226415094</c:v>
                </c:pt>
                <c:pt idx="70">
                  <c:v>12.2025157232704</c:v>
                </c:pt>
                <c:pt idx="71">
                  <c:v>12.0654088050314</c:v>
                </c:pt>
                <c:pt idx="72">
                  <c:v>11.9283018867925</c:v>
                </c:pt>
                <c:pt idx="73">
                  <c:v>11.7911949685535</c:v>
                </c:pt>
                <c:pt idx="74">
                  <c:v>11.6540880503145</c:v>
                </c:pt>
                <c:pt idx="75">
                  <c:v>11.5169811320755</c:v>
                </c:pt>
                <c:pt idx="76">
                  <c:v>11.3798742138365</c:v>
                </c:pt>
                <c:pt idx="77">
                  <c:v>11.2427672955975</c:v>
                </c:pt>
                <c:pt idx="78">
                  <c:v>11.1056603773585</c:v>
                </c:pt>
                <c:pt idx="79">
                  <c:v>10.9685534591195</c:v>
                </c:pt>
                <c:pt idx="80">
                  <c:v>10.8314465408805</c:v>
                </c:pt>
                <c:pt idx="81">
                  <c:v>10.6943396226415</c:v>
                </c:pt>
                <c:pt idx="82">
                  <c:v>10.5572327044025</c:v>
                </c:pt>
                <c:pt idx="83">
                  <c:v>10.4201257861635</c:v>
                </c:pt>
                <c:pt idx="84">
                  <c:v>10.2830188679245</c:v>
                </c:pt>
                <c:pt idx="85">
                  <c:v>10.1459119496855</c:v>
                </c:pt>
                <c:pt idx="86">
                  <c:v>10.0088050314465</c:v>
                </c:pt>
                <c:pt idx="87">
                  <c:v>9.87169811320755</c:v>
                </c:pt>
                <c:pt idx="88">
                  <c:v>9.73459119496855</c:v>
                </c:pt>
                <c:pt idx="89">
                  <c:v>9.59748427672956</c:v>
                </c:pt>
                <c:pt idx="90">
                  <c:v>9.46037735849057</c:v>
                </c:pt>
                <c:pt idx="91">
                  <c:v>9.32327044025157</c:v>
                </c:pt>
                <c:pt idx="92">
                  <c:v>9.18616352201258</c:v>
                </c:pt>
                <c:pt idx="93">
                  <c:v>9.04905660377358</c:v>
                </c:pt>
                <c:pt idx="94">
                  <c:v>8.91194968553459</c:v>
                </c:pt>
                <c:pt idx="95">
                  <c:v>8.7748427672956</c:v>
                </c:pt>
                <c:pt idx="96">
                  <c:v>8.6377358490566</c:v>
                </c:pt>
                <c:pt idx="97">
                  <c:v>8.50062893081761</c:v>
                </c:pt>
                <c:pt idx="98">
                  <c:v>8.36352201257862</c:v>
                </c:pt>
                <c:pt idx="99">
                  <c:v>8.22641509433962</c:v>
                </c:pt>
                <c:pt idx="100">
                  <c:v>8.08930817610063</c:v>
                </c:pt>
                <c:pt idx="101">
                  <c:v>7.95220125786164</c:v>
                </c:pt>
                <c:pt idx="102">
                  <c:v>7.81509433962264</c:v>
                </c:pt>
                <c:pt idx="103">
                  <c:v>7.67798742138365</c:v>
                </c:pt>
                <c:pt idx="104">
                  <c:v>7.54088050314465</c:v>
                </c:pt>
                <c:pt idx="105">
                  <c:v>7.40377358490566</c:v>
                </c:pt>
                <c:pt idx="106">
                  <c:v>7.26666666666667</c:v>
                </c:pt>
                <c:pt idx="107">
                  <c:v>7.12955974842767</c:v>
                </c:pt>
                <c:pt idx="108">
                  <c:v>6.99245283018868</c:v>
                </c:pt>
                <c:pt idx="109">
                  <c:v>6.85534591194969</c:v>
                </c:pt>
                <c:pt idx="110">
                  <c:v>6.71823899371069</c:v>
                </c:pt>
                <c:pt idx="111">
                  <c:v>6.5811320754717</c:v>
                </c:pt>
                <c:pt idx="112">
                  <c:v>6.44402515723271</c:v>
                </c:pt>
                <c:pt idx="113">
                  <c:v>6.30691823899371</c:v>
                </c:pt>
                <c:pt idx="114">
                  <c:v>6.16981132075472</c:v>
                </c:pt>
                <c:pt idx="115">
                  <c:v>6.03270440251573</c:v>
                </c:pt>
                <c:pt idx="116">
                  <c:v>5.89559748427673</c:v>
                </c:pt>
                <c:pt idx="117">
                  <c:v>5.75849056603774</c:v>
                </c:pt>
                <c:pt idx="118">
                  <c:v>5.62138364779874</c:v>
                </c:pt>
                <c:pt idx="119">
                  <c:v>5.48427672955975</c:v>
                </c:pt>
                <c:pt idx="120">
                  <c:v>5.34716981132075</c:v>
                </c:pt>
                <c:pt idx="121">
                  <c:v>5.21006289308176</c:v>
                </c:pt>
                <c:pt idx="122">
                  <c:v>5.07295597484277</c:v>
                </c:pt>
                <c:pt idx="123">
                  <c:v>4.93584905660378</c:v>
                </c:pt>
                <c:pt idx="124">
                  <c:v>4.79874213836478</c:v>
                </c:pt>
                <c:pt idx="125">
                  <c:v>4.66163522012579</c:v>
                </c:pt>
                <c:pt idx="126">
                  <c:v>4.52452830188679</c:v>
                </c:pt>
                <c:pt idx="127">
                  <c:v>4.3874213836478</c:v>
                </c:pt>
                <c:pt idx="128">
                  <c:v>4.25031446540881</c:v>
                </c:pt>
                <c:pt idx="129">
                  <c:v>4.11320754716981</c:v>
                </c:pt>
                <c:pt idx="130">
                  <c:v>3.97610062893082</c:v>
                </c:pt>
                <c:pt idx="131">
                  <c:v>3.83899371069182</c:v>
                </c:pt>
                <c:pt idx="132">
                  <c:v>3.70188679245283</c:v>
                </c:pt>
                <c:pt idx="133">
                  <c:v>3.56477987421384</c:v>
                </c:pt>
                <c:pt idx="134">
                  <c:v>3.42767295597484</c:v>
                </c:pt>
                <c:pt idx="135">
                  <c:v>3.29056603773585</c:v>
                </c:pt>
                <c:pt idx="136">
                  <c:v>3.15345911949686</c:v>
                </c:pt>
                <c:pt idx="137">
                  <c:v>3.01635220125786</c:v>
                </c:pt>
                <c:pt idx="138">
                  <c:v>2.87924528301887</c:v>
                </c:pt>
                <c:pt idx="139">
                  <c:v>2.74213836477987</c:v>
                </c:pt>
                <c:pt idx="140">
                  <c:v>2.60503144654088</c:v>
                </c:pt>
                <c:pt idx="141">
                  <c:v>2.46792452830189</c:v>
                </c:pt>
                <c:pt idx="142">
                  <c:v>2.33081761006289</c:v>
                </c:pt>
                <c:pt idx="143">
                  <c:v>2.1937106918239</c:v>
                </c:pt>
                <c:pt idx="144">
                  <c:v>2.0566037735849</c:v>
                </c:pt>
                <c:pt idx="145">
                  <c:v>1.91949685534591</c:v>
                </c:pt>
                <c:pt idx="146">
                  <c:v>1.78238993710692</c:v>
                </c:pt>
                <c:pt idx="147">
                  <c:v>1.64528301886793</c:v>
                </c:pt>
                <c:pt idx="148">
                  <c:v>1.50817610062893</c:v>
                </c:pt>
                <c:pt idx="149">
                  <c:v>1.37106918238993</c:v>
                </c:pt>
                <c:pt idx="150">
                  <c:v>1.23396226415094</c:v>
                </c:pt>
                <c:pt idx="151">
                  <c:v>1.09685534591195</c:v>
                </c:pt>
                <c:pt idx="152">
                  <c:v>0.959748427672956</c:v>
                </c:pt>
                <c:pt idx="153">
                  <c:v>0.822641509433961</c:v>
                </c:pt>
                <c:pt idx="154">
                  <c:v>0.685534591194969</c:v>
                </c:pt>
                <c:pt idx="155">
                  <c:v>0.548427672955974</c:v>
                </c:pt>
                <c:pt idx="156">
                  <c:v>0.411320754716982</c:v>
                </c:pt>
                <c:pt idx="157">
                  <c:v>0.27421383647799</c:v>
                </c:pt>
                <c:pt idx="158">
                  <c:v>0.137106918238995</c:v>
                </c:pt>
                <c:pt idx="159">
                  <c:v>0</c:v>
                </c:pt>
              </c:numCache>
            </c:numRef>
          </c:val>
          <c:smooth val="0"/>
        </c:ser>
        <c:hiLowLines>
          <c:spPr>
            <a:ln w="0">
              <a:noFill/>
            </a:ln>
          </c:spPr>
        </c:hiLowLines>
        <c:marker val="0"/>
        <c:axId val="3867596"/>
        <c:axId val="68270637"/>
      </c:lineChart>
      <c:dateAx>
        <c:axId val="88316160"/>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3876526"/>
        <c:auto val="1"/>
        <c:lblOffset val="100"/>
        <c:baseTimeUnit val="days"/>
      </c:dateAx>
      <c:valAx>
        <c:axId val="1387652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8316160"/>
        <c:crosses val="autoZero"/>
        <c:crossBetween val="between"/>
      </c:valAx>
      <c:dateAx>
        <c:axId val="3867596"/>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8270637"/>
        <c:auto val="1"/>
        <c:lblOffset val="100"/>
        <c:baseTimeUnit val="days"/>
      </c:dateAx>
      <c:valAx>
        <c:axId val="68270637"/>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867596"/>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AVUV</a:t>
            </a:r>
          </a:p>
        </c:rich>
      </c:tx>
      <c:overlay val="0"/>
      <c:spPr>
        <a:noFill/>
        <a:ln w="0">
          <a:noFill/>
        </a:ln>
      </c:spPr>
    </c:title>
    <c:autoTitleDeleted val="0"/>
    <c:plotArea>
      <c:barChart>
        <c:barDir val="col"/>
        <c:grouping val="clustered"/>
        <c:varyColors val="0"/>
        <c:ser>
          <c:idx val="0"/>
          <c:order val="0"/>
          <c:tx>
            <c:strRef>
              <c:f>'Returns (Calc)'!$O$2</c:f>
              <c:strCache>
                <c:ptCount val="1"/>
                <c:pt idx="0">
                  <c:v>SPMO</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(Calc)'!$O$3:$O$500</c:f>
              <c:numCache>
                <c:formatCode>0.0%</c:formatCode>
                <c:ptCount val="498"/>
                <c:pt idx="0">
                  <c:v>-0.0242929030019088</c:v>
                </c:pt>
                <c:pt idx="1">
                  <c:v>-0.00302329717232785</c:v>
                </c:pt>
                <c:pt idx="2">
                  <c:v>0.0110595790224759</c:v>
                </c:pt>
                <c:pt idx="3">
                  <c:v>0.00564573041637262</c:v>
                </c:pt>
                <c:pt idx="4">
                  <c:v>-0.0289473684210526</c:v>
                </c:pt>
                <c:pt idx="5">
                  <c:v>-0.0202348690153569</c:v>
                </c:pt>
                <c:pt idx="6">
                  <c:v>0.0584547298543243</c:v>
                </c:pt>
                <c:pt idx="7">
                  <c:v>0.0294425087108015</c:v>
                </c:pt>
                <c:pt idx="8">
                  <c:v>0.0216618717211032</c:v>
                </c:pt>
                <c:pt idx="9">
                  <c:v>0.00546629120424069</c:v>
                </c:pt>
                <c:pt idx="10">
                  <c:v>-0.0021416803953872</c:v>
                </c:pt>
                <c:pt idx="11">
                  <c:v>0.00363216113587583</c:v>
                </c:pt>
                <c:pt idx="12">
                  <c:v>0.0342161539726928</c:v>
                </c:pt>
                <c:pt idx="13">
                  <c:v>0.014951487195801</c:v>
                </c:pt>
                <c:pt idx="14">
                  <c:v>0.00705218617771508</c:v>
                </c:pt>
                <c:pt idx="15">
                  <c:v>-0.0102707749766574</c:v>
                </c:pt>
                <c:pt idx="16">
                  <c:v>0.0309748427672956</c:v>
                </c:pt>
                <c:pt idx="17">
                  <c:v>0.0211987189263383</c:v>
                </c:pt>
                <c:pt idx="18">
                  <c:v>0.0161290322580647</c:v>
                </c:pt>
                <c:pt idx="19">
                  <c:v>0.0457084068195179</c:v>
                </c:pt>
                <c:pt idx="20">
                  <c:v>0.0238931834153195</c:v>
                </c:pt>
                <c:pt idx="21">
                  <c:v>0.00837336993822913</c:v>
                </c:pt>
                <c:pt idx="22">
                  <c:v>0.022325074870678</c:v>
                </c:pt>
                <c:pt idx="23">
                  <c:v>0.0280958721704394</c:v>
                </c:pt>
                <c:pt idx="24">
                  <c:v>0.00388550705867141</c:v>
                </c:pt>
                <c:pt idx="25">
                  <c:v>-0.00516062443555676</c:v>
                </c:pt>
                <c:pt idx="26">
                  <c:v>0.0300868888600701</c:v>
                </c:pt>
                <c:pt idx="27">
                  <c:v>-0.00755382097444302</c:v>
                </c:pt>
                <c:pt idx="28">
                  <c:v>0.00291767093746032</c:v>
                </c:pt>
                <c:pt idx="29">
                  <c:v>-0.0140399696433089</c:v>
                </c:pt>
                <c:pt idx="30">
                  <c:v>-0.0568313021167416</c:v>
                </c:pt>
                <c:pt idx="31">
                  <c:v>0.0300598476605007</c:v>
                </c:pt>
                <c:pt idx="32">
                  <c:v>0.00977155684669206</c:v>
                </c:pt>
                <c:pt idx="33">
                  <c:v>0.0222309402380019</c:v>
                </c:pt>
                <c:pt idx="34">
                  <c:v>0.0150953051042599</c:v>
                </c:pt>
                <c:pt idx="35">
                  <c:v>0.019533711405167</c:v>
                </c:pt>
                <c:pt idx="36">
                  <c:v>-0.0110012360939431</c:v>
                </c:pt>
                <c:pt idx="37">
                  <c:v>0.03037120359955</c:v>
                </c:pt>
                <c:pt idx="38">
                  <c:v>0.042212518195051</c:v>
                </c:pt>
                <c:pt idx="39">
                  <c:v>-0.000814711359404141</c:v>
                </c:pt>
                <c:pt idx="40">
                  <c:v>0.00186371578334321</c:v>
                </c:pt>
                <c:pt idx="41">
                  <c:v>0.0310429019881409</c:v>
                </c:pt>
                <c:pt idx="42">
                  <c:v>-0.00202976995940463</c:v>
                </c:pt>
                <c:pt idx="43">
                  <c:v>-0.0404519774011299</c:v>
                </c:pt>
                <c:pt idx="44">
                  <c:v>-0.0188412623645785</c:v>
                </c:pt>
                <c:pt idx="45">
                  <c:v>-0.0297647623619778</c:v>
                </c:pt>
                <c:pt idx="46">
                  <c:v>0.0173181593270657</c:v>
                </c:pt>
                <c:pt idx="47">
                  <c:v>0.0570282101167317</c:v>
                </c:pt>
                <c:pt idx="48">
                  <c:v>0.0138042102841365</c:v>
                </c:pt>
                <c:pt idx="49">
                  <c:v>-0.00397140587768063</c:v>
                </c:pt>
                <c:pt idx="50">
                  <c:v>-0.0598086124401914</c:v>
                </c:pt>
                <c:pt idx="51">
                  <c:v>0.0615533745304737</c:v>
                </c:pt>
                <c:pt idx="52">
                  <c:v>0.0162081954114828</c:v>
                </c:pt>
                <c:pt idx="53">
                  <c:v>-0.00134786027181855</c:v>
                </c:pt>
                <c:pt idx="54">
                  <c:v>0.014958947250028</c:v>
                </c:pt>
                <c:pt idx="55">
                  <c:v>0.0216090425531916</c:v>
                </c:pt>
                <c:pt idx="56">
                  <c:v>0.00433886538670136</c:v>
                </c:pt>
                <c:pt idx="57">
                  <c:v>-0.0146884112755157</c:v>
                </c:pt>
                <c:pt idx="58">
                  <c:v>-0.0137016332346815</c:v>
                </c:pt>
                <c:pt idx="59">
                  <c:v>0.0597910646810402</c:v>
                </c:pt>
                <c:pt idx="60">
                  <c:v>-0.0308305369127516</c:v>
                </c:pt>
                <c:pt idx="61">
                  <c:v>0.0178532785111447</c:v>
                </c:pt>
                <c:pt idx="62">
                  <c:v>0.0130753694057617</c:v>
                </c:pt>
                <c:pt idx="63">
                  <c:v>0.0193074501573978</c:v>
                </c:pt>
                <c:pt idx="64">
                  <c:v>-0.00936792258595842</c:v>
                </c:pt>
                <c:pt idx="65">
                  <c:v>-0.0224462225917075</c:v>
                </c:pt>
                <c:pt idx="66">
                  <c:v>0.0126501541405337</c:v>
                </c:pt>
                <c:pt idx="67">
                  <c:v>0.00304429981104337</c:v>
                </c:pt>
                <c:pt idx="68">
                  <c:v>-0.0135007849293562</c:v>
                </c:pt>
                <c:pt idx="69">
                  <c:v>0.0321451304901337</c:v>
                </c:pt>
                <c:pt idx="70">
                  <c:v>0.0271353684859699</c:v>
                </c:pt>
                <c:pt idx="71">
                  <c:v>-0.0127088962273593</c:v>
                </c:pt>
                <c:pt idx="72">
                  <c:v>0.0198662071761606</c:v>
                </c:pt>
                <c:pt idx="73">
                  <c:v>0.0101371496720333</c:v>
                </c:pt>
                <c:pt idx="74">
                  <c:v>-0.0305981896890988</c:v>
                </c:pt>
                <c:pt idx="75">
                  <c:v>-0.00111641124530604</c:v>
                </c:pt>
                <c:pt idx="76">
                  <c:v>-0.0526315789473685</c:v>
                </c:pt>
                <c:pt idx="77">
                  <c:v>-0.0071857571857572</c:v>
                </c:pt>
                <c:pt idx="78">
                  <c:v>0.0037809225451011</c:v>
                </c:pt>
                <c:pt idx="79">
                  <c:v>-0.0196943607404219</c:v>
                </c:pt>
                <c:pt idx="80">
                  <c:v>-0.107036996377209</c:v>
                </c:pt>
                <c:pt idx="81">
                  <c:v>0.0910990902385049</c:v>
                </c:pt>
                <c:pt idx="82">
                  <c:v>-0.0173521126760564</c:v>
                </c:pt>
                <c:pt idx="83">
                  <c:v>0.0652448113748425</c:v>
                </c:pt>
                <c:pt idx="84">
                  <c:v>0.0402583423035521</c:v>
                </c:pt>
                <c:pt idx="85">
                  <c:v>0.00693294701986758</c:v>
                </c:pt>
                <c:pt idx="86">
                  <c:v>0.0682355359161444</c:v>
                </c:pt>
                <c:pt idx="87">
                  <c:v>-0.0223184223184224</c:v>
                </c:pt>
                <c:pt idx="88">
                  <c:v>0.0243038472891863</c:v>
                </c:pt>
                <c:pt idx="89">
                  <c:v>0.0148895292987512</c:v>
                </c:pt>
                <c:pt idx="90">
                  <c:v>-0.00709891150023667</c:v>
                </c:pt>
                <c:pt idx="91">
                  <c:v>0.00705433746425155</c:v>
                </c:pt>
                <c:pt idx="92">
                  <c:v>0.048182506626278</c:v>
                </c:pt>
                <c:pt idx="93">
                  <c:v>0.00596044432403131</c:v>
                </c:pt>
                <c:pt idx="94">
                  <c:v>-0.00305233863003862</c:v>
                </c:pt>
                <c:pt idx="95">
                  <c:v>0.014858171994597</c:v>
                </c:pt>
                <c:pt idx="96">
                  <c:v>0.01055900621118</c:v>
                </c:pt>
                <c:pt idx="97">
                  <c:v>-0.0157169198349285</c:v>
                </c:pt>
                <c:pt idx="98">
                  <c:v>0.0349687778768957</c:v>
                </c:pt>
                <c:pt idx="99">
                  <c:v>0.00103430443027075</c:v>
                </c:pt>
                <c:pt idx="100">
                  <c:v>-0.0068021353538833</c:v>
                </c:pt>
                <c:pt idx="101">
                  <c:v>-0.000260078023406996</c:v>
                </c:pt>
                <c:pt idx="102">
                  <c:v>0.004942767950052</c:v>
                </c:pt>
                <c:pt idx="103">
                  <c:v>0.029251876779705</c:v>
                </c:pt>
                <c:pt idx="104">
                  <c:v>0.012072434607646</c:v>
                </c:pt>
                <c:pt idx="105">
                  <c:v>-0.00952617627567931</c:v>
                </c:pt>
                <c:pt idx="106">
                  <c:v>-0.00409801789746589</c:v>
                </c:pt>
                <c:pt idx="107">
                  <c:v>-0.0131844138394356</c:v>
                </c:pt>
                <c:pt idx="108">
                  <c:v>0.0161688366947492</c:v>
                </c:pt>
                <c:pt idx="109">
                  <c:v>0.0107193702369985</c:v>
                </c:pt>
                <c:pt idx="110">
                  <c:v>-8.28569061230855E-005</c:v>
                </c:pt>
                <c:pt idx="111">
                  <c:v>-0.0260192243950945</c:v>
                </c:pt>
                <c:pt idx="112">
                  <c:v>-0.00595541943168287</c:v>
                </c:pt>
                <c:pt idx="113">
                  <c:v>-0.029955494693598</c:v>
                </c:pt>
                <c:pt idx="114">
                  <c:v>0.0509087700723487</c:v>
                </c:pt>
                <c:pt idx="115">
                  <c:v>0.00612878851481824</c:v>
                </c:pt>
                <c:pt idx="116">
                  <c:v>-0.0145193591455275</c:v>
                </c:pt>
                <c:pt idx="117">
                  <c:v>0.0036409822184591</c:v>
                </c:pt>
                <c:pt idx="118">
                  <c:v>0.0179701341432548</c:v>
                </c:pt>
                <c:pt idx="119">
                  <c:v>-0.01408917619758</c:v>
                </c:pt>
                <c:pt idx="120">
                  <c:v>0.00294216543375936</c:v>
                </c:pt>
                <c:pt idx="121">
                  <c:v>-0.000251445813427176</c:v>
                </c:pt>
                <c:pt idx="122">
                  <c:v>-0.017270288397049</c:v>
                </c:pt>
                <c:pt idx="123">
                  <c:v>0.0164647671045897</c:v>
                </c:pt>
                <c:pt idx="124">
                  <c:v>-0.000251783466219013</c:v>
                </c:pt>
                <c:pt idx="125">
                  <c:v>-0.0132639355271994</c:v>
                </c:pt>
                <c:pt idx="126">
                  <c:v>0.0144631614769439</c:v>
                </c:pt>
                <c:pt idx="127">
                  <c:v>-0.00402549480040249</c:v>
                </c:pt>
                <c:pt idx="128">
                  <c:v>-0.0103570225665207</c:v>
                </c:pt>
                <c:pt idx="129">
                  <c:v>-0.0173572704841317</c:v>
                </c:pt>
                <c:pt idx="130">
                  <c:v>-0.0206944324183912</c:v>
                </c:pt>
                <c:pt idx="131">
                  <c:v>-0.0277630415561451</c:v>
                </c:pt>
                <c:pt idx="132">
                  <c:v>0.0401964350672972</c:v>
                </c:pt>
                <c:pt idx="133">
                  <c:v>0.0749256863087953</c:v>
                </c:pt>
                <c:pt idx="134">
                  <c:v>0.0401789345262302</c:v>
                </c:pt>
                <c:pt idx="135">
                  <c:v>0.0250996950504339</c:v>
                </c:pt>
                <c:pt idx="136">
                  <c:v>0.0221205186880245</c:v>
                </c:pt>
                <c:pt idx="137">
                  <c:v>0.0698507462686568</c:v>
                </c:pt>
                <c:pt idx="138">
                  <c:v>-0.0023018973214286</c:v>
                </c:pt>
                <c:pt idx="139">
                  <c:v>0.0101377333426553</c:v>
                </c:pt>
                <c:pt idx="140">
                  <c:v>0.0389673311184942</c:v>
                </c:pt>
                <c:pt idx="141">
                  <c:v>-0.041902604756512</c:v>
                </c:pt>
                <c:pt idx="142">
                  <c:v>0.0568766513697678</c:v>
                </c:pt>
                <c:pt idx="143">
                  <c:v>0.0486184210526315</c:v>
                </c:pt>
                <c:pt idx="144">
                  <c:v>-0.0341301210866428</c:v>
                </c:pt>
                <c:pt idx="145">
                  <c:v>-0.0218902240987332</c:v>
                </c:pt>
                <c:pt idx="146">
                  <c:v>0.0193916854827998</c:v>
                </c:pt>
                <c:pt idx="147">
                  <c:v>-0.0641042345276873</c:v>
                </c:pt>
                <c:pt idx="148">
                  <c:v>0.0181678964221079</c:v>
                </c:pt>
                <c:pt idx="149">
                  <c:v>-0.0182539139946675</c:v>
                </c:pt>
                <c:pt idx="150">
                  <c:v>0.0407381615598885</c:v>
                </c:pt>
                <c:pt idx="151">
                  <c:v>0.0241552358648378</c:v>
                </c:pt>
                <c:pt idx="152">
                  <c:v>-0.0298575721939108</c:v>
                </c:pt>
                <c:pt idx="153">
                  <c:v>-0.0131321974543741</c:v>
                </c:pt>
                <c:pt idx="154">
                  <c:v>0.0200627814931076</c:v>
                </c:pt>
                <c:pt idx="155">
                  <c:v>-0.00943270002675944</c:v>
                </c:pt>
                <c:pt idx="156">
                  <c:v>0.00607820625379896</c:v>
                </c:pt>
                <c:pt idx="157">
                  <c:v>0.0265154057863999</c:v>
                </c:pt>
                <c:pt idx="158">
                  <c:v>-0.0113784985613391</c:v>
                </c:pt>
                <c:pt idx="159">
                  <c:v>-0.160404815451779</c:v>
                </c:pt>
              </c:numCache>
            </c:numRef>
          </c:val>
        </c:ser>
        <c:gapWidth val="150"/>
        <c:overlap val="0"/>
        <c:axId val="49605983"/>
        <c:axId val="67799609"/>
      </c:barChart>
      <c:lineChart>
        <c:grouping val="standard"/>
        <c:varyColors val="0"/>
        <c:ser>
          <c:idx val="1"/>
          <c:order val="1"/>
          <c:tx>
            <c:strRef>
              <c:f>'Returns (Calc)'!$AJ$2</c:f>
              <c:strCache>
                <c:ptCount val="1"/>
                <c:pt idx="0">
                  <c:v>AVUV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(Calc)'!$AJ$3:$AJ$500</c:f>
              <c:numCache>
                <c:formatCode>#,##0.00</c:formatCode>
                <c:ptCount val="498"/>
                <c:pt idx="0">
                  <c:v>57.63</c:v>
                </c:pt>
                <c:pt idx="1">
                  <c:v>57.2675471698113</c:v>
                </c:pt>
                <c:pt idx="2">
                  <c:v>56.9050943396226</c:v>
                </c:pt>
                <c:pt idx="3">
                  <c:v>56.542641509434</c:v>
                </c:pt>
                <c:pt idx="4">
                  <c:v>56.1801886792453</c:v>
                </c:pt>
                <c:pt idx="5">
                  <c:v>55.8177358490566</c:v>
                </c:pt>
                <c:pt idx="6">
                  <c:v>55.4552830188679</c:v>
                </c:pt>
                <c:pt idx="7">
                  <c:v>55.0928301886792</c:v>
                </c:pt>
                <c:pt idx="8">
                  <c:v>54.7303773584906</c:v>
                </c:pt>
                <c:pt idx="9">
                  <c:v>54.3679245283019</c:v>
                </c:pt>
                <c:pt idx="10">
                  <c:v>54.0054716981132</c:v>
                </c:pt>
                <c:pt idx="11">
                  <c:v>53.6430188679245</c:v>
                </c:pt>
                <c:pt idx="12">
                  <c:v>53.2805660377359</c:v>
                </c:pt>
                <c:pt idx="13">
                  <c:v>52.9181132075472</c:v>
                </c:pt>
                <c:pt idx="14">
                  <c:v>52.5556603773585</c:v>
                </c:pt>
                <c:pt idx="15">
                  <c:v>52.1932075471698</c:v>
                </c:pt>
                <c:pt idx="16">
                  <c:v>51.8307547169811</c:v>
                </c:pt>
                <c:pt idx="17">
                  <c:v>51.4683018867925</c:v>
                </c:pt>
                <c:pt idx="18">
                  <c:v>51.1058490566038</c:v>
                </c:pt>
                <c:pt idx="19">
                  <c:v>50.7433962264151</c:v>
                </c:pt>
                <c:pt idx="20">
                  <c:v>50.3809433962264</c:v>
                </c:pt>
                <c:pt idx="21">
                  <c:v>50.0184905660377</c:v>
                </c:pt>
                <c:pt idx="22">
                  <c:v>49.6560377358491</c:v>
                </c:pt>
                <c:pt idx="23">
                  <c:v>49.2935849056604</c:v>
                </c:pt>
                <c:pt idx="24">
                  <c:v>48.9311320754717</c:v>
                </c:pt>
                <c:pt idx="25">
                  <c:v>48.568679245283</c:v>
                </c:pt>
                <c:pt idx="26">
                  <c:v>48.2062264150943</c:v>
                </c:pt>
                <c:pt idx="27">
                  <c:v>47.8437735849057</c:v>
                </c:pt>
                <c:pt idx="28">
                  <c:v>47.481320754717</c:v>
                </c:pt>
                <c:pt idx="29">
                  <c:v>47.1188679245283</c:v>
                </c:pt>
                <c:pt idx="30">
                  <c:v>46.7564150943396</c:v>
                </c:pt>
                <c:pt idx="31">
                  <c:v>46.3939622641509</c:v>
                </c:pt>
                <c:pt idx="32">
                  <c:v>46.0315094339623</c:v>
                </c:pt>
                <c:pt idx="33">
                  <c:v>45.6690566037736</c:v>
                </c:pt>
                <c:pt idx="34">
                  <c:v>45.3066037735849</c:v>
                </c:pt>
                <c:pt idx="35">
                  <c:v>44.9441509433962</c:v>
                </c:pt>
                <c:pt idx="36">
                  <c:v>44.5816981132076</c:v>
                </c:pt>
                <c:pt idx="37">
                  <c:v>44.2192452830189</c:v>
                </c:pt>
                <c:pt idx="38">
                  <c:v>43.8567924528302</c:v>
                </c:pt>
                <c:pt idx="39">
                  <c:v>43.4943396226415</c:v>
                </c:pt>
                <c:pt idx="40">
                  <c:v>43.1318867924528</c:v>
                </c:pt>
                <c:pt idx="41">
                  <c:v>42.7694339622642</c:v>
                </c:pt>
                <c:pt idx="42">
                  <c:v>42.4069811320755</c:v>
                </c:pt>
                <c:pt idx="43">
                  <c:v>42.0445283018868</c:v>
                </c:pt>
                <c:pt idx="44">
                  <c:v>41.6820754716981</c:v>
                </c:pt>
                <c:pt idx="45">
                  <c:v>41.3196226415094</c:v>
                </c:pt>
                <c:pt idx="46">
                  <c:v>40.9571698113208</c:v>
                </c:pt>
                <c:pt idx="47">
                  <c:v>40.5947169811321</c:v>
                </c:pt>
                <c:pt idx="48">
                  <c:v>40.2322641509434</c:v>
                </c:pt>
                <c:pt idx="49">
                  <c:v>39.8698113207547</c:v>
                </c:pt>
                <c:pt idx="50">
                  <c:v>39.507358490566</c:v>
                </c:pt>
                <c:pt idx="51">
                  <c:v>39.1449056603774</c:v>
                </c:pt>
                <c:pt idx="52">
                  <c:v>38.7824528301887</c:v>
                </c:pt>
                <c:pt idx="53">
                  <c:v>38.42</c:v>
                </c:pt>
                <c:pt idx="54">
                  <c:v>38.0575471698113</c:v>
                </c:pt>
                <c:pt idx="55">
                  <c:v>37.6950943396226</c:v>
                </c:pt>
                <c:pt idx="56">
                  <c:v>37.332641509434</c:v>
                </c:pt>
                <c:pt idx="57">
                  <c:v>36.9701886792453</c:v>
                </c:pt>
                <c:pt idx="58">
                  <c:v>36.6077358490566</c:v>
                </c:pt>
                <c:pt idx="59">
                  <c:v>36.2452830188679</c:v>
                </c:pt>
                <c:pt idx="60">
                  <c:v>35.8828301886793</c:v>
                </c:pt>
                <c:pt idx="61">
                  <c:v>35.5203773584906</c:v>
                </c:pt>
                <c:pt idx="62">
                  <c:v>35.1579245283019</c:v>
                </c:pt>
                <c:pt idx="63">
                  <c:v>34.7954716981132</c:v>
                </c:pt>
                <c:pt idx="64">
                  <c:v>34.4330188679245</c:v>
                </c:pt>
                <c:pt idx="65">
                  <c:v>34.0705660377359</c:v>
                </c:pt>
                <c:pt idx="66">
                  <c:v>33.7081132075472</c:v>
                </c:pt>
                <c:pt idx="67">
                  <c:v>33.3456603773585</c:v>
                </c:pt>
                <c:pt idx="68">
                  <c:v>32.9832075471698</c:v>
                </c:pt>
                <c:pt idx="69">
                  <c:v>32.6207547169811</c:v>
                </c:pt>
                <c:pt idx="70">
                  <c:v>32.2583018867925</c:v>
                </c:pt>
                <c:pt idx="71">
                  <c:v>31.8958490566038</c:v>
                </c:pt>
                <c:pt idx="72">
                  <c:v>31.5333962264151</c:v>
                </c:pt>
                <c:pt idx="73">
                  <c:v>31.1709433962264</c:v>
                </c:pt>
                <c:pt idx="74">
                  <c:v>30.8084905660377</c:v>
                </c:pt>
                <c:pt idx="75">
                  <c:v>30.4460377358491</c:v>
                </c:pt>
                <c:pt idx="76">
                  <c:v>30.0835849056604</c:v>
                </c:pt>
                <c:pt idx="77">
                  <c:v>29.7211320754717</c:v>
                </c:pt>
                <c:pt idx="78">
                  <c:v>29.358679245283</c:v>
                </c:pt>
                <c:pt idx="79">
                  <c:v>28.9962264150943</c:v>
                </c:pt>
                <c:pt idx="80">
                  <c:v>28.6337735849057</c:v>
                </c:pt>
                <c:pt idx="81">
                  <c:v>28.271320754717</c:v>
                </c:pt>
                <c:pt idx="82">
                  <c:v>27.9088679245283</c:v>
                </c:pt>
                <c:pt idx="83">
                  <c:v>27.5464150943396</c:v>
                </c:pt>
                <c:pt idx="84">
                  <c:v>27.1839622641509</c:v>
                </c:pt>
                <c:pt idx="85">
                  <c:v>26.8215094339623</c:v>
                </c:pt>
                <c:pt idx="86">
                  <c:v>26.4590566037736</c:v>
                </c:pt>
                <c:pt idx="87">
                  <c:v>26.0966037735849</c:v>
                </c:pt>
                <c:pt idx="88">
                  <c:v>25.7341509433962</c:v>
                </c:pt>
                <c:pt idx="89">
                  <c:v>25.3716981132075</c:v>
                </c:pt>
                <c:pt idx="90">
                  <c:v>25.0092452830189</c:v>
                </c:pt>
                <c:pt idx="91">
                  <c:v>24.6467924528302</c:v>
                </c:pt>
                <c:pt idx="92">
                  <c:v>24.2843396226415</c:v>
                </c:pt>
                <c:pt idx="93">
                  <c:v>23.9218867924528</c:v>
                </c:pt>
                <c:pt idx="94">
                  <c:v>23.5594339622642</c:v>
                </c:pt>
                <c:pt idx="95">
                  <c:v>23.1969811320755</c:v>
                </c:pt>
                <c:pt idx="96">
                  <c:v>22.8345283018868</c:v>
                </c:pt>
                <c:pt idx="97">
                  <c:v>22.4720754716981</c:v>
                </c:pt>
                <c:pt idx="98">
                  <c:v>22.1096226415094</c:v>
                </c:pt>
                <c:pt idx="99">
                  <c:v>21.7471698113208</c:v>
                </c:pt>
                <c:pt idx="100">
                  <c:v>21.3847169811321</c:v>
                </c:pt>
                <c:pt idx="101">
                  <c:v>21.0222641509434</c:v>
                </c:pt>
                <c:pt idx="102">
                  <c:v>20.6598113207547</c:v>
                </c:pt>
                <c:pt idx="103">
                  <c:v>20.297358490566</c:v>
                </c:pt>
                <c:pt idx="104">
                  <c:v>19.9349056603774</c:v>
                </c:pt>
                <c:pt idx="105">
                  <c:v>19.5724528301887</c:v>
                </c:pt>
                <c:pt idx="106">
                  <c:v>19.21</c:v>
                </c:pt>
                <c:pt idx="107">
                  <c:v>18.8475471698113</c:v>
                </c:pt>
                <c:pt idx="108">
                  <c:v>18.4850943396226</c:v>
                </c:pt>
                <c:pt idx="109">
                  <c:v>18.122641509434</c:v>
                </c:pt>
                <c:pt idx="110">
                  <c:v>17.7601886792453</c:v>
                </c:pt>
                <c:pt idx="111">
                  <c:v>17.3977358490566</c:v>
                </c:pt>
                <c:pt idx="112">
                  <c:v>17.0352830188679</c:v>
                </c:pt>
                <c:pt idx="113">
                  <c:v>16.6728301886792</c:v>
                </c:pt>
                <c:pt idx="114">
                  <c:v>16.3103773584906</c:v>
                </c:pt>
                <c:pt idx="115">
                  <c:v>15.9479245283019</c:v>
                </c:pt>
                <c:pt idx="116">
                  <c:v>15.5854716981132</c:v>
                </c:pt>
                <c:pt idx="117">
                  <c:v>15.2230188679245</c:v>
                </c:pt>
                <c:pt idx="118">
                  <c:v>14.8605660377359</c:v>
                </c:pt>
                <c:pt idx="119">
                  <c:v>14.4981132075472</c:v>
                </c:pt>
                <c:pt idx="120">
                  <c:v>14.1356603773585</c:v>
                </c:pt>
                <c:pt idx="121">
                  <c:v>13.7732075471698</c:v>
                </c:pt>
                <c:pt idx="122">
                  <c:v>13.4107547169811</c:v>
                </c:pt>
                <c:pt idx="123">
                  <c:v>13.0483018867925</c:v>
                </c:pt>
                <c:pt idx="124">
                  <c:v>12.6858490566038</c:v>
                </c:pt>
                <c:pt idx="125">
                  <c:v>12.3233962264151</c:v>
                </c:pt>
                <c:pt idx="126">
                  <c:v>11.9609433962264</c:v>
                </c:pt>
                <c:pt idx="127">
                  <c:v>11.5984905660377</c:v>
                </c:pt>
                <c:pt idx="128">
                  <c:v>11.2360377358491</c:v>
                </c:pt>
                <c:pt idx="129">
                  <c:v>10.8735849056604</c:v>
                </c:pt>
                <c:pt idx="130">
                  <c:v>10.5111320754717</c:v>
                </c:pt>
                <c:pt idx="131">
                  <c:v>10.148679245283</c:v>
                </c:pt>
                <c:pt idx="132">
                  <c:v>9.78622641509434</c:v>
                </c:pt>
                <c:pt idx="133">
                  <c:v>9.42377358490566</c:v>
                </c:pt>
                <c:pt idx="134">
                  <c:v>9.06132075471698</c:v>
                </c:pt>
                <c:pt idx="135">
                  <c:v>8.6988679245283</c:v>
                </c:pt>
                <c:pt idx="136">
                  <c:v>8.33641509433962</c:v>
                </c:pt>
                <c:pt idx="137">
                  <c:v>7.97396226415094</c:v>
                </c:pt>
                <c:pt idx="138">
                  <c:v>7.61150943396226</c:v>
                </c:pt>
                <c:pt idx="139">
                  <c:v>7.24905660377358</c:v>
                </c:pt>
                <c:pt idx="140">
                  <c:v>6.8866037735849</c:v>
                </c:pt>
                <c:pt idx="141">
                  <c:v>6.52415094339623</c:v>
                </c:pt>
                <c:pt idx="142">
                  <c:v>6.16169811320755</c:v>
                </c:pt>
                <c:pt idx="143">
                  <c:v>5.79924528301887</c:v>
                </c:pt>
                <c:pt idx="144">
                  <c:v>5.43679245283018</c:v>
                </c:pt>
                <c:pt idx="145">
                  <c:v>5.07433962264151</c:v>
                </c:pt>
                <c:pt idx="146">
                  <c:v>4.71188679245284</c:v>
                </c:pt>
                <c:pt idx="147">
                  <c:v>4.34943396226415</c:v>
                </c:pt>
                <c:pt idx="148">
                  <c:v>3.98698113207548</c:v>
                </c:pt>
                <c:pt idx="149">
                  <c:v>3.62452830188679</c:v>
                </c:pt>
                <c:pt idx="150">
                  <c:v>3.26207547169812</c:v>
                </c:pt>
                <c:pt idx="151">
                  <c:v>2.89962264150943</c:v>
                </c:pt>
                <c:pt idx="152">
                  <c:v>2.53716981132076</c:v>
                </c:pt>
                <c:pt idx="153">
                  <c:v>2.17471698113207</c:v>
                </c:pt>
                <c:pt idx="154">
                  <c:v>1.8122641509434</c:v>
                </c:pt>
                <c:pt idx="155">
                  <c:v>1.44981132075472</c:v>
                </c:pt>
                <c:pt idx="156">
                  <c:v>1.08735849056604</c:v>
                </c:pt>
                <c:pt idx="157">
                  <c:v>0.72490566037736</c:v>
                </c:pt>
                <c:pt idx="158">
                  <c:v>0.36245283018868</c:v>
                </c:pt>
                <c:pt idx="159">
                  <c:v>0</c:v>
                </c:pt>
              </c:numCache>
            </c:numRef>
          </c:val>
          <c:smooth val="0"/>
        </c:ser>
        <c:hiLowLines>
          <c:spPr>
            <a:ln w="0">
              <a:noFill/>
            </a:ln>
          </c:spPr>
        </c:hiLowLines>
        <c:marker val="0"/>
        <c:axId val="34295732"/>
        <c:axId val="1892339"/>
      </c:lineChart>
      <c:dateAx>
        <c:axId val="49605983"/>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7799609"/>
        <c:auto val="1"/>
        <c:lblOffset val="100"/>
        <c:baseTimeUnit val="days"/>
      </c:dateAx>
      <c:valAx>
        <c:axId val="6779960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9605983"/>
        <c:crosses val="autoZero"/>
        <c:crossBetween val="between"/>
      </c:valAx>
      <c:dateAx>
        <c:axId val="34295732"/>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892339"/>
        <c:auto val="1"/>
        <c:lblOffset val="100"/>
        <c:baseTimeUnit val="days"/>
      </c:dateAx>
      <c:valAx>
        <c:axId val="1892339"/>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4295732"/>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HELO</a:t>
            </a:r>
          </a:p>
        </c:rich>
      </c:tx>
      <c:overlay val="0"/>
      <c:spPr>
        <a:noFill/>
        <a:ln w="0">
          <a:noFill/>
        </a:ln>
      </c:spPr>
    </c:title>
    <c:autoTitleDeleted val="0"/>
    <c:plotArea>
      <c:barChart>
        <c:barDir val="col"/>
        <c:grouping val="clustered"/>
        <c:varyColors val="0"/>
        <c:ser>
          <c:idx val="0"/>
          <c:order val="0"/>
          <c:tx>
            <c:strRef>
              <c:f>'Returns (Calc)'!$Q$2</c:f>
              <c:strCache>
                <c:ptCount val="1"/>
                <c:pt idx="0">
                  <c:v>V</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(Calc)'!$Q$3:$Q$500</c:f>
              <c:numCache>
                <c:formatCode>0.0%</c:formatCode>
                <c:ptCount val="498"/>
                <c:pt idx="0">
                  <c:v>-0.0248270593727454</c:v>
                </c:pt>
                <c:pt idx="1">
                  <c:v>-0.0215858647401863</c:v>
                </c:pt>
                <c:pt idx="2">
                  <c:v>0.0218841740058715</c:v>
                </c:pt>
                <c:pt idx="3">
                  <c:v>0.0111865587185513</c:v>
                </c:pt>
                <c:pt idx="4">
                  <c:v>-0.0180362446730662</c:v>
                </c:pt>
                <c:pt idx="5">
                  <c:v>-0.0176223040504998</c:v>
                </c:pt>
                <c:pt idx="6">
                  <c:v>0.062516733601071</c:v>
                </c:pt>
                <c:pt idx="7">
                  <c:v>0.00890344798622467</c:v>
                </c:pt>
                <c:pt idx="8">
                  <c:v>0.0175664987720101</c:v>
                </c:pt>
                <c:pt idx="9">
                  <c:v>0.019022294947842</c:v>
                </c:pt>
                <c:pt idx="10">
                  <c:v>0.00843034925732633</c:v>
                </c:pt>
                <c:pt idx="11">
                  <c:v>-0.00274681528662424</c:v>
                </c:pt>
                <c:pt idx="12">
                  <c:v>0.00894175881202353</c:v>
                </c:pt>
                <c:pt idx="13">
                  <c:v>0.0015430267062313</c:v>
                </c:pt>
                <c:pt idx="14">
                  <c:v>0.00742672039187808</c:v>
                </c:pt>
                <c:pt idx="15">
                  <c:v>-0.0025096070896401</c:v>
                </c:pt>
                <c:pt idx="16">
                  <c:v>0.0172183347747463</c:v>
                </c:pt>
                <c:pt idx="17">
                  <c:v>0.0255062606276086</c:v>
                </c:pt>
                <c:pt idx="18">
                  <c:v>-0.0109285498944831</c:v>
                </c:pt>
                <c:pt idx="19">
                  <c:v>0.0344814447915873</c:v>
                </c:pt>
                <c:pt idx="20">
                  <c:v>-0.000847114286766648</c:v>
                </c:pt>
                <c:pt idx="21">
                  <c:v>0.00770421704511959</c:v>
                </c:pt>
                <c:pt idx="22">
                  <c:v>0.0180707466071623</c:v>
                </c:pt>
                <c:pt idx="23">
                  <c:v>-0.00154503970392728</c:v>
                </c:pt>
                <c:pt idx="24">
                  <c:v>-0.0110119476032819</c:v>
                </c:pt>
                <c:pt idx="25">
                  <c:v>0.0106979113601631</c:v>
                </c:pt>
                <c:pt idx="26">
                  <c:v>0.000792050691244439</c:v>
                </c:pt>
                <c:pt idx="27">
                  <c:v>-0.0147492625368733</c:v>
                </c:pt>
                <c:pt idx="28">
                  <c:v>-0.00697385716372123</c:v>
                </c:pt>
                <c:pt idx="29">
                  <c:v>-0.00422840754494991</c:v>
                </c:pt>
                <c:pt idx="30">
                  <c:v>-0.0224134111217783</c:v>
                </c:pt>
                <c:pt idx="31">
                  <c:v>0.0175637393767705</c:v>
                </c:pt>
                <c:pt idx="32">
                  <c:v>-0.0219376391982181</c:v>
                </c:pt>
                <c:pt idx="33">
                  <c:v>0.045618429541918</c:v>
                </c:pt>
                <c:pt idx="34">
                  <c:v>-0.000435555878189553</c:v>
                </c:pt>
                <c:pt idx="35">
                  <c:v>-0.0200443008097606</c:v>
                </c:pt>
                <c:pt idx="36">
                  <c:v>-0.00737392077667032</c:v>
                </c:pt>
                <c:pt idx="37">
                  <c:v>0.0227713901747051</c:v>
                </c:pt>
                <c:pt idx="38">
                  <c:v>-0.0287247244324403</c:v>
                </c:pt>
                <c:pt idx="39">
                  <c:v>0.0168351433617675</c:v>
                </c:pt>
                <c:pt idx="40">
                  <c:v>-0.0463431760227649</c:v>
                </c:pt>
                <c:pt idx="41">
                  <c:v>0.0300716915326487</c:v>
                </c:pt>
                <c:pt idx="42">
                  <c:v>-0.0170798690794177</c:v>
                </c:pt>
                <c:pt idx="43">
                  <c:v>-0.00107168829180526</c:v>
                </c:pt>
                <c:pt idx="44">
                  <c:v>-0.0226062301237595</c:v>
                </c:pt>
                <c:pt idx="45">
                  <c:v>0.0274804970794622</c:v>
                </c:pt>
                <c:pt idx="46">
                  <c:v>-0.0236550934757727</c:v>
                </c:pt>
                <c:pt idx="47">
                  <c:v>0.0293474013286441</c:v>
                </c:pt>
                <c:pt idx="48">
                  <c:v>0.000227781785050007</c:v>
                </c:pt>
                <c:pt idx="49">
                  <c:v>0.0334003871408508</c:v>
                </c:pt>
                <c:pt idx="50">
                  <c:v>0.0108348330701145</c:v>
                </c:pt>
                <c:pt idx="51">
                  <c:v>0.028558971005014</c:v>
                </c:pt>
                <c:pt idx="52">
                  <c:v>-0.00897272855729814</c:v>
                </c:pt>
                <c:pt idx="53">
                  <c:v>-0.0337206815427391</c:v>
                </c:pt>
                <c:pt idx="54">
                  <c:v>0.010033938320791</c:v>
                </c:pt>
                <c:pt idx="55">
                  <c:v>-0.000328707085463953</c:v>
                </c:pt>
                <c:pt idx="56">
                  <c:v>0.0459975886887583</c:v>
                </c:pt>
                <c:pt idx="57">
                  <c:v>-0.030562347188264</c:v>
                </c:pt>
                <c:pt idx="58">
                  <c:v>0.0319582057286976</c:v>
                </c:pt>
                <c:pt idx="59">
                  <c:v>0.0589344319530758</c:v>
                </c:pt>
                <c:pt idx="60">
                  <c:v>0.00764919221892524</c:v>
                </c:pt>
                <c:pt idx="61">
                  <c:v>0.000916170407695649</c:v>
                </c:pt>
                <c:pt idx="62">
                  <c:v>0.0166394246485782</c:v>
                </c:pt>
                <c:pt idx="63">
                  <c:v>-0.0129264606578989</c:v>
                </c:pt>
                <c:pt idx="64">
                  <c:v>0.0119881421637291</c:v>
                </c:pt>
                <c:pt idx="65">
                  <c:v>0.00946402704007721</c:v>
                </c:pt>
                <c:pt idx="66">
                  <c:v>0.00296565579259545</c:v>
                </c:pt>
                <c:pt idx="67">
                  <c:v>-0.0117639577769298</c:v>
                </c:pt>
                <c:pt idx="68">
                  <c:v>-0.0228428029084357</c:v>
                </c:pt>
                <c:pt idx="69">
                  <c:v>0.0386869485052022</c:v>
                </c:pt>
                <c:pt idx="70">
                  <c:v>0.0330934795701652</c:v>
                </c:pt>
                <c:pt idx="71">
                  <c:v>0.0351323985149274</c:v>
                </c:pt>
                <c:pt idx="72">
                  <c:v>0.0182001422812426</c:v>
                </c:pt>
                <c:pt idx="73">
                  <c:v>0.0183697234352256</c:v>
                </c:pt>
                <c:pt idx="74">
                  <c:v>-0.0149223864383523</c:v>
                </c:pt>
                <c:pt idx="75">
                  <c:v>0.0406570126817378</c:v>
                </c:pt>
                <c:pt idx="76">
                  <c:v>-0.047936419408812</c:v>
                </c:pt>
                <c:pt idx="77">
                  <c:v>-0.039161125918983</c:v>
                </c:pt>
                <c:pt idx="78">
                  <c:v>0.0116449213510548</c:v>
                </c:pt>
                <c:pt idx="79">
                  <c:v>0.0214246971614536</c:v>
                </c:pt>
                <c:pt idx="80">
                  <c:v>-0.0866743369619731</c:v>
                </c:pt>
                <c:pt idx="81">
                  <c:v>0.0647307729577829</c:v>
                </c:pt>
                <c:pt idx="82">
                  <c:v>-0.0113763917119194</c:v>
                </c:pt>
                <c:pt idx="83">
                  <c:v>0.0168773781760156</c:v>
                </c:pt>
                <c:pt idx="84">
                  <c:v>0.0370873317641378</c:v>
                </c:pt>
                <c:pt idx="85">
                  <c:v>0.0141996682864376</c:v>
                </c:pt>
                <c:pt idx="86">
                  <c:v>0.0374121359919666</c:v>
                </c:pt>
                <c:pt idx="87">
                  <c:v>-0.0317210099836831</c:v>
                </c:pt>
                <c:pt idx="88">
                  <c:v>0.0329601279561294</c:v>
                </c:pt>
                <c:pt idx="89">
                  <c:v>0.0137698390753747</c:v>
                </c:pt>
                <c:pt idx="90">
                  <c:v>-0.0469125027274711</c:v>
                </c:pt>
                <c:pt idx="91">
                  <c:v>-0.0404933608058607</c:v>
                </c:pt>
                <c:pt idx="92">
                  <c:v>0.0296758030361777</c:v>
                </c:pt>
                <c:pt idx="93">
                  <c:v>0.0293998377939984</c:v>
                </c:pt>
                <c:pt idx="94">
                  <c:v>-0.0304735642533555</c:v>
                </c:pt>
                <c:pt idx="95">
                  <c:v>0.00322149988390996</c:v>
                </c:pt>
                <c:pt idx="96">
                  <c:v>0.0229120259206757</c:v>
                </c:pt>
                <c:pt idx="97">
                  <c:v>-0.0495489125823694</c:v>
                </c:pt>
                <c:pt idx="98">
                  <c:v>-0.00758770494242278</c:v>
                </c:pt>
                <c:pt idx="99">
                  <c:v>0.0246461981290478</c:v>
                </c:pt>
                <c:pt idx="100">
                  <c:v>0.0161526306548838</c:v>
                </c:pt>
                <c:pt idx="101">
                  <c:v>0.00498185797385253</c:v>
                </c:pt>
                <c:pt idx="102">
                  <c:v>-0.0243273446230551</c:v>
                </c:pt>
                <c:pt idx="103">
                  <c:v>-0.0110425844346549</c:v>
                </c:pt>
                <c:pt idx="104">
                  <c:v>0.00641444437845218</c:v>
                </c:pt>
                <c:pt idx="105">
                  <c:v>-0.0124225435231631</c:v>
                </c:pt>
                <c:pt idx="106">
                  <c:v>0.0369595745316562</c:v>
                </c:pt>
                <c:pt idx="107">
                  <c:v>-0.0176914654526594</c:v>
                </c:pt>
                <c:pt idx="108">
                  <c:v>-0.00510383667722636</c:v>
                </c:pt>
                <c:pt idx="109">
                  <c:v>0.0160386815260334</c:v>
                </c:pt>
                <c:pt idx="110">
                  <c:v>-0.0190934942835587</c:v>
                </c:pt>
                <c:pt idx="111">
                  <c:v>-0.0138740977399124</c:v>
                </c:pt>
                <c:pt idx="112">
                  <c:v>-0.0158992050397481</c:v>
                </c:pt>
                <c:pt idx="113">
                  <c:v>-0.00618808108520053</c:v>
                </c:pt>
                <c:pt idx="114">
                  <c:v>0.0196920434329182</c:v>
                </c:pt>
                <c:pt idx="115">
                  <c:v>-0.00956563590422332</c:v>
                </c:pt>
                <c:pt idx="116">
                  <c:v>0.0500820020652373</c:v>
                </c:pt>
                <c:pt idx="117">
                  <c:v>0.00410701373825018</c:v>
                </c:pt>
                <c:pt idx="118">
                  <c:v>0.0164472736699599</c:v>
                </c:pt>
                <c:pt idx="119">
                  <c:v>-0.0240024937655859</c:v>
                </c:pt>
                <c:pt idx="120">
                  <c:v>0.0094944978368805</c:v>
                </c:pt>
                <c:pt idx="121">
                  <c:v>-0.0613782788771284</c:v>
                </c:pt>
                <c:pt idx="122">
                  <c:v>-0.00646564932279203</c:v>
                </c:pt>
                <c:pt idx="123">
                  <c:v>-0.013323875026987</c:v>
                </c:pt>
                <c:pt idx="124">
                  <c:v>0.0302897689975306</c:v>
                </c:pt>
                <c:pt idx="125">
                  <c:v>-0.0508191747572816</c:v>
                </c:pt>
                <c:pt idx="126">
                  <c:v>0.0218635128655904</c:v>
                </c:pt>
                <c:pt idx="127">
                  <c:v>-0.00250242422346647</c:v>
                </c:pt>
                <c:pt idx="128">
                  <c:v>-0.00868638088369023</c:v>
                </c:pt>
                <c:pt idx="129">
                  <c:v>-0.0322029609009237</c:v>
                </c:pt>
                <c:pt idx="130">
                  <c:v>-0.0179773811858535</c:v>
                </c:pt>
                <c:pt idx="131">
                  <c:v>-0.0202369857542271</c:v>
                </c:pt>
                <c:pt idx="132">
                  <c:v>0.0178692757168093</c:v>
                </c:pt>
                <c:pt idx="133">
                  <c:v>0.0118483412322274</c:v>
                </c:pt>
                <c:pt idx="134">
                  <c:v>0.0415938252465613</c:v>
                </c:pt>
                <c:pt idx="135">
                  <c:v>-0.0239723858382418</c:v>
                </c:pt>
                <c:pt idx="136">
                  <c:v>0.0601213458356316</c:v>
                </c:pt>
                <c:pt idx="137">
                  <c:v>-0.0281569443594295</c:v>
                </c:pt>
                <c:pt idx="138">
                  <c:v>0.0239654846633495</c:v>
                </c:pt>
                <c:pt idx="139">
                  <c:v>0.00959557127479616</c:v>
                </c:pt>
                <c:pt idx="140">
                  <c:v>-0.00767660767051503</c:v>
                </c:pt>
                <c:pt idx="141">
                  <c:v>-0.00853415195702212</c:v>
                </c:pt>
                <c:pt idx="142">
                  <c:v>-0.00365359011672917</c:v>
                </c:pt>
                <c:pt idx="143">
                  <c:v>0.0150408651605083</c:v>
                </c:pt>
                <c:pt idx="144">
                  <c:v>0.0274928818540858</c:v>
                </c:pt>
                <c:pt idx="145">
                  <c:v>0.0770239265814485</c:v>
                </c:pt>
                <c:pt idx="146">
                  <c:v>-0.0363525701322415</c:v>
                </c:pt>
                <c:pt idx="147">
                  <c:v>0.0275034451079468</c:v>
                </c:pt>
                <c:pt idx="148">
                  <c:v>-0.00787929589270742</c:v>
                </c:pt>
                <c:pt idx="149">
                  <c:v>0.0292046862678834</c:v>
                </c:pt>
                <c:pt idx="150">
                  <c:v>-0.00990559584074435</c:v>
                </c:pt>
                <c:pt idx="151">
                  <c:v>0.0064118508691926</c:v>
                </c:pt>
                <c:pt idx="152">
                  <c:v>0.0189207744061515</c:v>
                </c:pt>
                <c:pt idx="153">
                  <c:v>0.0284605433376455</c:v>
                </c:pt>
                <c:pt idx="154">
                  <c:v>-0.0171121593291406</c:v>
                </c:pt>
                <c:pt idx="155">
                  <c:v>-0.0123177006958701</c:v>
                </c:pt>
                <c:pt idx="156">
                  <c:v>-0.00583074638952619</c:v>
                </c:pt>
                <c:pt idx="157">
                  <c:v>-0.00247087892693265</c:v>
                </c:pt>
                <c:pt idx="158">
                  <c:v>0.000979911807937217</c:v>
                </c:pt>
                <c:pt idx="159">
                  <c:v>-0.810409528471203</c:v>
                </c:pt>
              </c:numCache>
            </c:numRef>
          </c:val>
        </c:ser>
        <c:gapWidth val="150"/>
        <c:overlap val="0"/>
        <c:axId val="80578528"/>
        <c:axId val="24509491"/>
      </c:barChart>
      <c:lineChart>
        <c:grouping val="standard"/>
        <c:varyColors val="0"/>
        <c:ser>
          <c:idx val="1"/>
          <c:order val="1"/>
          <c:tx>
            <c:strRef>
              <c:f>'Returns (Calc)'!$AK$2</c:f>
              <c:strCache>
                <c:ptCount val="1"/>
                <c:pt idx="0">
                  <c:v>HELO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(Calc)'!$AK$3:$AK$500</c:f>
              <c:numCache>
                <c:formatCode>#,##0.00</c:formatCode>
                <c:ptCount val="498"/>
                <c:pt idx="0">
                  <c:v>235.63</c:v>
                </c:pt>
                <c:pt idx="1">
                  <c:v>234.148050314465</c:v>
                </c:pt>
                <c:pt idx="2">
                  <c:v>232.666100628931</c:v>
                </c:pt>
                <c:pt idx="3">
                  <c:v>231.184150943396</c:v>
                </c:pt>
                <c:pt idx="4">
                  <c:v>229.702201257862</c:v>
                </c:pt>
                <c:pt idx="5">
                  <c:v>228.220251572327</c:v>
                </c:pt>
                <c:pt idx="6">
                  <c:v>226.738301886792</c:v>
                </c:pt>
                <c:pt idx="7">
                  <c:v>225.256352201258</c:v>
                </c:pt>
                <c:pt idx="8">
                  <c:v>223.774402515723</c:v>
                </c:pt>
                <c:pt idx="9">
                  <c:v>222.292452830189</c:v>
                </c:pt>
                <c:pt idx="10">
                  <c:v>220.810503144654</c:v>
                </c:pt>
                <c:pt idx="11">
                  <c:v>219.32855345912</c:v>
                </c:pt>
                <c:pt idx="12">
                  <c:v>217.846603773585</c:v>
                </c:pt>
                <c:pt idx="13">
                  <c:v>216.36465408805</c:v>
                </c:pt>
                <c:pt idx="14">
                  <c:v>214.882704402516</c:v>
                </c:pt>
                <c:pt idx="15">
                  <c:v>213.400754716981</c:v>
                </c:pt>
                <c:pt idx="16">
                  <c:v>211.918805031447</c:v>
                </c:pt>
                <c:pt idx="17">
                  <c:v>210.436855345912</c:v>
                </c:pt>
                <c:pt idx="18">
                  <c:v>208.954905660377</c:v>
                </c:pt>
                <c:pt idx="19">
                  <c:v>207.472955974843</c:v>
                </c:pt>
                <c:pt idx="20">
                  <c:v>205.991006289308</c:v>
                </c:pt>
                <c:pt idx="21">
                  <c:v>204.509056603774</c:v>
                </c:pt>
                <c:pt idx="22">
                  <c:v>203.027106918239</c:v>
                </c:pt>
                <c:pt idx="23">
                  <c:v>201.545157232704</c:v>
                </c:pt>
                <c:pt idx="24">
                  <c:v>200.06320754717</c:v>
                </c:pt>
                <c:pt idx="25">
                  <c:v>198.581257861635</c:v>
                </c:pt>
                <c:pt idx="26">
                  <c:v>197.099308176101</c:v>
                </c:pt>
                <c:pt idx="27">
                  <c:v>195.617358490566</c:v>
                </c:pt>
                <c:pt idx="28">
                  <c:v>194.135408805031</c:v>
                </c:pt>
                <c:pt idx="29">
                  <c:v>192.653459119497</c:v>
                </c:pt>
                <c:pt idx="30">
                  <c:v>191.171509433962</c:v>
                </c:pt>
                <c:pt idx="31">
                  <c:v>189.689559748428</c:v>
                </c:pt>
                <c:pt idx="32">
                  <c:v>188.207610062893</c:v>
                </c:pt>
                <c:pt idx="33">
                  <c:v>186.725660377358</c:v>
                </c:pt>
                <c:pt idx="34">
                  <c:v>185.243710691824</c:v>
                </c:pt>
                <c:pt idx="35">
                  <c:v>183.761761006289</c:v>
                </c:pt>
                <c:pt idx="36">
                  <c:v>182.279811320755</c:v>
                </c:pt>
                <c:pt idx="37">
                  <c:v>180.79786163522</c:v>
                </c:pt>
                <c:pt idx="38">
                  <c:v>179.315911949686</c:v>
                </c:pt>
                <c:pt idx="39">
                  <c:v>177.833962264151</c:v>
                </c:pt>
                <c:pt idx="40">
                  <c:v>176.352012578616</c:v>
                </c:pt>
                <c:pt idx="41">
                  <c:v>174.870062893082</c:v>
                </c:pt>
                <c:pt idx="42">
                  <c:v>173.388113207547</c:v>
                </c:pt>
                <c:pt idx="43">
                  <c:v>171.906163522013</c:v>
                </c:pt>
                <c:pt idx="44">
                  <c:v>170.424213836478</c:v>
                </c:pt>
                <c:pt idx="45">
                  <c:v>168.942264150943</c:v>
                </c:pt>
                <c:pt idx="46">
                  <c:v>167.460314465409</c:v>
                </c:pt>
                <c:pt idx="47">
                  <c:v>165.978364779874</c:v>
                </c:pt>
                <c:pt idx="48">
                  <c:v>164.49641509434</c:v>
                </c:pt>
                <c:pt idx="49">
                  <c:v>163.014465408805</c:v>
                </c:pt>
                <c:pt idx="50">
                  <c:v>161.53251572327</c:v>
                </c:pt>
                <c:pt idx="51">
                  <c:v>160.050566037736</c:v>
                </c:pt>
                <c:pt idx="52">
                  <c:v>158.568616352201</c:v>
                </c:pt>
                <c:pt idx="53">
                  <c:v>157.086666666667</c:v>
                </c:pt>
                <c:pt idx="54">
                  <c:v>155.604716981132</c:v>
                </c:pt>
                <c:pt idx="55">
                  <c:v>154.122767295598</c:v>
                </c:pt>
                <c:pt idx="56">
                  <c:v>152.640817610063</c:v>
                </c:pt>
                <c:pt idx="57">
                  <c:v>151.158867924528</c:v>
                </c:pt>
                <c:pt idx="58">
                  <c:v>149.676918238994</c:v>
                </c:pt>
                <c:pt idx="59">
                  <c:v>148.194968553459</c:v>
                </c:pt>
                <c:pt idx="60">
                  <c:v>146.713018867925</c:v>
                </c:pt>
                <c:pt idx="61">
                  <c:v>145.23106918239</c:v>
                </c:pt>
                <c:pt idx="62">
                  <c:v>143.749119496855</c:v>
                </c:pt>
                <c:pt idx="63">
                  <c:v>142.267169811321</c:v>
                </c:pt>
                <c:pt idx="64">
                  <c:v>140.785220125786</c:v>
                </c:pt>
                <c:pt idx="65">
                  <c:v>139.303270440252</c:v>
                </c:pt>
                <c:pt idx="66">
                  <c:v>137.821320754717</c:v>
                </c:pt>
                <c:pt idx="67">
                  <c:v>136.339371069182</c:v>
                </c:pt>
                <c:pt idx="68">
                  <c:v>134.857421383648</c:v>
                </c:pt>
                <c:pt idx="69">
                  <c:v>133.375471698113</c:v>
                </c:pt>
                <c:pt idx="70">
                  <c:v>131.893522012579</c:v>
                </c:pt>
                <c:pt idx="71">
                  <c:v>130.411572327044</c:v>
                </c:pt>
                <c:pt idx="72">
                  <c:v>128.929622641509</c:v>
                </c:pt>
                <c:pt idx="73">
                  <c:v>127.447672955975</c:v>
                </c:pt>
                <c:pt idx="74">
                  <c:v>125.96572327044</c:v>
                </c:pt>
                <c:pt idx="75">
                  <c:v>124.483773584906</c:v>
                </c:pt>
                <c:pt idx="76">
                  <c:v>123.001823899371</c:v>
                </c:pt>
                <c:pt idx="77">
                  <c:v>121.519874213836</c:v>
                </c:pt>
                <c:pt idx="78">
                  <c:v>120.037924528302</c:v>
                </c:pt>
                <c:pt idx="79">
                  <c:v>118.555974842767</c:v>
                </c:pt>
                <c:pt idx="80">
                  <c:v>117.074025157233</c:v>
                </c:pt>
                <c:pt idx="81">
                  <c:v>115.592075471698</c:v>
                </c:pt>
                <c:pt idx="82">
                  <c:v>114.110125786164</c:v>
                </c:pt>
                <c:pt idx="83">
                  <c:v>112.628176100629</c:v>
                </c:pt>
                <c:pt idx="84">
                  <c:v>111.146226415094</c:v>
                </c:pt>
                <c:pt idx="85">
                  <c:v>109.66427672956</c:v>
                </c:pt>
                <c:pt idx="86">
                  <c:v>108.182327044025</c:v>
                </c:pt>
                <c:pt idx="87">
                  <c:v>106.700377358491</c:v>
                </c:pt>
                <c:pt idx="88">
                  <c:v>105.218427672956</c:v>
                </c:pt>
                <c:pt idx="89">
                  <c:v>103.736477987421</c:v>
                </c:pt>
                <c:pt idx="90">
                  <c:v>102.254528301887</c:v>
                </c:pt>
                <c:pt idx="91">
                  <c:v>100.772578616352</c:v>
                </c:pt>
                <c:pt idx="92">
                  <c:v>99.2906289308176</c:v>
                </c:pt>
                <c:pt idx="93">
                  <c:v>97.808679245283</c:v>
                </c:pt>
                <c:pt idx="94">
                  <c:v>96.3267295597484</c:v>
                </c:pt>
                <c:pt idx="95">
                  <c:v>94.8447798742138</c:v>
                </c:pt>
                <c:pt idx="96">
                  <c:v>93.3628301886793</c:v>
                </c:pt>
                <c:pt idx="97">
                  <c:v>91.8808805031447</c:v>
                </c:pt>
                <c:pt idx="98">
                  <c:v>90.3989308176101</c:v>
                </c:pt>
                <c:pt idx="99">
                  <c:v>88.9169811320755</c:v>
                </c:pt>
                <c:pt idx="100">
                  <c:v>87.4350314465409</c:v>
                </c:pt>
                <c:pt idx="101">
                  <c:v>85.9530817610063</c:v>
                </c:pt>
                <c:pt idx="102">
                  <c:v>84.4711320754717</c:v>
                </c:pt>
                <c:pt idx="103">
                  <c:v>82.9891823899371</c:v>
                </c:pt>
                <c:pt idx="104">
                  <c:v>81.5072327044025</c:v>
                </c:pt>
                <c:pt idx="105">
                  <c:v>80.0252830188679</c:v>
                </c:pt>
                <c:pt idx="106">
                  <c:v>78.5433333333333</c:v>
                </c:pt>
                <c:pt idx="107">
                  <c:v>77.0613836477988</c:v>
                </c:pt>
                <c:pt idx="108">
                  <c:v>75.5794339622642</c:v>
                </c:pt>
                <c:pt idx="109">
                  <c:v>74.0974842767296</c:v>
                </c:pt>
                <c:pt idx="110">
                  <c:v>72.615534591195</c:v>
                </c:pt>
                <c:pt idx="111">
                  <c:v>71.1335849056604</c:v>
                </c:pt>
                <c:pt idx="112">
                  <c:v>69.6516352201258</c:v>
                </c:pt>
                <c:pt idx="113">
                  <c:v>68.1696855345912</c:v>
                </c:pt>
                <c:pt idx="114">
                  <c:v>66.6877358490566</c:v>
                </c:pt>
                <c:pt idx="115">
                  <c:v>65.205786163522</c:v>
                </c:pt>
                <c:pt idx="116">
                  <c:v>63.7238364779874</c:v>
                </c:pt>
                <c:pt idx="117">
                  <c:v>62.2418867924528</c:v>
                </c:pt>
                <c:pt idx="118">
                  <c:v>60.7599371069182</c:v>
                </c:pt>
                <c:pt idx="119">
                  <c:v>59.2779874213836</c:v>
                </c:pt>
                <c:pt idx="120">
                  <c:v>57.7960377358491</c:v>
                </c:pt>
                <c:pt idx="121">
                  <c:v>56.3140880503145</c:v>
                </c:pt>
                <c:pt idx="122">
                  <c:v>54.8321383647799</c:v>
                </c:pt>
                <c:pt idx="123">
                  <c:v>53.3501886792453</c:v>
                </c:pt>
                <c:pt idx="124">
                  <c:v>51.8682389937107</c:v>
                </c:pt>
                <c:pt idx="125">
                  <c:v>50.3862893081761</c:v>
                </c:pt>
                <c:pt idx="126">
                  <c:v>48.9043396226415</c:v>
                </c:pt>
                <c:pt idx="127">
                  <c:v>47.4223899371069</c:v>
                </c:pt>
                <c:pt idx="128">
                  <c:v>45.9404402515723</c:v>
                </c:pt>
                <c:pt idx="129">
                  <c:v>44.4584905660377</c:v>
                </c:pt>
                <c:pt idx="130">
                  <c:v>42.9765408805032</c:v>
                </c:pt>
                <c:pt idx="131">
                  <c:v>41.4945911949686</c:v>
                </c:pt>
                <c:pt idx="132">
                  <c:v>40.012641509434</c:v>
                </c:pt>
                <c:pt idx="133">
                  <c:v>38.5306918238994</c:v>
                </c:pt>
                <c:pt idx="134">
                  <c:v>37.0487421383648</c:v>
                </c:pt>
                <c:pt idx="135">
                  <c:v>35.5667924528302</c:v>
                </c:pt>
                <c:pt idx="136">
                  <c:v>34.0848427672956</c:v>
                </c:pt>
                <c:pt idx="137">
                  <c:v>32.602893081761</c:v>
                </c:pt>
                <c:pt idx="138">
                  <c:v>31.1209433962264</c:v>
                </c:pt>
                <c:pt idx="139">
                  <c:v>29.6389937106918</c:v>
                </c:pt>
                <c:pt idx="140">
                  <c:v>28.1570440251572</c:v>
                </c:pt>
                <c:pt idx="141">
                  <c:v>26.6750943396226</c:v>
                </c:pt>
                <c:pt idx="142">
                  <c:v>25.1931446540881</c:v>
                </c:pt>
                <c:pt idx="143">
                  <c:v>23.7111949685535</c:v>
                </c:pt>
                <c:pt idx="144">
                  <c:v>22.2292452830189</c:v>
                </c:pt>
                <c:pt idx="145">
                  <c:v>20.7472955974843</c:v>
                </c:pt>
                <c:pt idx="146">
                  <c:v>19.2653459119497</c:v>
                </c:pt>
                <c:pt idx="147">
                  <c:v>17.7833962264151</c:v>
                </c:pt>
                <c:pt idx="148">
                  <c:v>16.3014465408805</c:v>
                </c:pt>
                <c:pt idx="149">
                  <c:v>14.8194968553459</c:v>
                </c:pt>
                <c:pt idx="150">
                  <c:v>13.3375471698113</c:v>
                </c:pt>
                <c:pt idx="151">
                  <c:v>11.8555974842767</c:v>
                </c:pt>
                <c:pt idx="152">
                  <c:v>10.3736477987421</c:v>
                </c:pt>
                <c:pt idx="153">
                  <c:v>8.89169811320755</c:v>
                </c:pt>
                <c:pt idx="154">
                  <c:v>7.40974842767298</c:v>
                </c:pt>
                <c:pt idx="155">
                  <c:v>5.92779874213835</c:v>
                </c:pt>
                <c:pt idx="156">
                  <c:v>4.44584905660378</c:v>
                </c:pt>
                <c:pt idx="157">
                  <c:v>2.9638993710692</c:v>
                </c:pt>
                <c:pt idx="158">
                  <c:v>1.48194968553457</c:v>
                </c:pt>
                <c:pt idx="159">
                  <c:v>0</c:v>
                </c:pt>
              </c:numCache>
            </c:numRef>
          </c:val>
          <c:smooth val="0"/>
        </c:ser>
        <c:hiLowLines>
          <c:spPr>
            <a:ln w="0">
              <a:noFill/>
            </a:ln>
          </c:spPr>
        </c:hiLowLines>
        <c:marker val="0"/>
        <c:axId val="97593825"/>
        <c:axId val="29570797"/>
      </c:lineChart>
      <c:dateAx>
        <c:axId val="80578528"/>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4509491"/>
        <c:auto val="1"/>
        <c:lblOffset val="100"/>
        <c:baseTimeUnit val="days"/>
      </c:dateAx>
      <c:valAx>
        <c:axId val="2450949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0578528"/>
        <c:crosses val="autoZero"/>
        <c:crossBetween val="between"/>
      </c:valAx>
      <c:dateAx>
        <c:axId val="97593825"/>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9570797"/>
        <c:auto val="1"/>
        <c:lblOffset val="100"/>
        <c:baseTimeUnit val="days"/>
      </c:dateAx>
      <c:valAx>
        <c:axId val="29570797"/>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7593825"/>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JEPQ</a:t>
            </a:r>
          </a:p>
        </c:rich>
      </c:tx>
      <c:overlay val="0"/>
      <c:spPr>
        <a:noFill/>
        <a:ln w="0">
          <a:noFill/>
        </a:ln>
      </c:spPr>
    </c:title>
    <c:autoTitleDeleted val="0"/>
    <c:plotArea>
      <c:barChart>
        <c:barDir val="col"/>
        <c:grouping val="clustered"/>
        <c:varyColors val="0"/>
        <c:ser>
          <c:idx val="0"/>
          <c:order val="0"/>
          <c:tx>
            <c:strRef>
              <c:f>'Returns (Calc)'!$R$2</c:f>
              <c:strCache>
                <c:ptCount val="1"/>
                <c:pt idx="0">
                  <c:v>JEPQ</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(Calc)'!$R$3:$R$500</c:f>
              <c:numCache>
                <c:formatCode>0.0%</c:formatCode>
                <c:ptCount val="498"/>
                <c:pt idx="0">
                  <c:v>-0.0186114596403179</c:v>
                </c:pt>
                <c:pt idx="1">
                  <c:v>0.0159812486682294</c:v>
                </c:pt>
                <c:pt idx="2">
                  <c:v>0.018246644295302</c:v>
                </c:pt>
                <c:pt idx="3">
                  <c:v>-0.00659114315139031</c:v>
                </c:pt>
                <c:pt idx="4">
                  <c:v>-0.000414679659962558</c:v>
                </c:pt>
                <c:pt idx="5">
                  <c:v>-0.0269653598838416</c:v>
                </c:pt>
                <c:pt idx="6">
                  <c:v>0.000426348326582948</c:v>
                </c:pt>
                <c:pt idx="7">
                  <c:v>0.0042616663115278</c:v>
                </c:pt>
                <c:pt idx="8">
                  <c:v>0.00275832802885634</c:v>
                </c:pt>
                <c:pt idx="9">
                  <c:v>-0.0198899703766399</c:v>
                </c:pt>
                <c:pt idx="10">
                  <c:v>-0.0207253886010363</c:v>
                </c:pt>
                <c:pt idx="11">
                  <c:v>0.0476190476190477</c:v>
                </c:pt>
                <c:pt idx="12">
                  <c:v>0.0208333333333333</c:v>
                </c:pt>
                <c:pt idx="13">
                  <c:v>0.00948258091115228</c:v>
                </c:pt>
                <c:pt idx="14">
                  <c:v>0.00530937308556245</c:v>
                </c:pt>
                <c:pt idx="15">
                  <c:v>-0.00670322973796467</c:v>
                </c:pt>
                <c:pt idx="16">
                  <c:v>0.00736196319018401</c:v>
                </c:pt>
                <c:pt idx="17">
                  <c:v>0.0150223304912709</c:v>
                </c:pt>
                <c:pt idx="18">
                  <c:v>0.00319999999999987</c:v>
                </c:pt>
                <c:pt idx="19">
                  <c:v>-0.00458532695374792</c:v>
                </c:pt>
                <c:pt idx="20">
                  <c:v>-0.0156218706188664</c:v>
                </c:pt>
                <c:pt idx="21">
                  <c:v>0.0272634791454731</c:v>
                </c:pt>
                <c:pt idx="22">
                  <c:v>0.017825311942959</c:v>
                </c:pt>
                <c:pt idx="23">
                  <c:v>0.00778361548939488</c:v>
                </c:pt>
                <c:pt idx="24">
                  <c:v>0.00289631202934926</c:v>
                </c:pt>
                <c:pt idx="25">
                  <c:v>0.0105891413169041</c:v>
                </c:pt>
                <c:pt idx="26">
                  <c:v>-0.00323871213564497</c:v>
                </c:pt>
                <c:pt idx="27">
                  <c:v>0.0126146788990824</c:v>
                </c:pt>
                <c:pt idx="28">
                  <c:v>0.00528501321253305</c:v>
                </c:pt>
                <c:pt idx="29">
                  <c:v>-0.00131430717236203</c:v>
                </c:pt>
                <c:pt idx="30">
                  <c:v>-0.00526414739612713</c:v>
                </c:pt>
                <c:pt idx="31">
                  <c:v>0.0255150255150256</c:v>
                </c:pt>
                <c:pt idx="32">
                  <c:v>-0.000368595650571235</c:v>
                </c:pt>
                <c:pt idx="33">
                  <c:v>-0.0119837758112095</c:v>
                </c:pt>
                <c:pt idx="34">
                  <c:v>-0.0035454375816385</c:v>
                </c:pt>
                <c:pt idx="35">
                  <c:v>-0.047940074906367</c:v>
                </c:pt>
                <c:pt idx="36">
                  <c:v>0.0357985837922894</c:v>
                </c:pt>
                <c:pt idx="37">
                  <c:v>0.00170907709836698</c:v>
                </c:pt>
                <c:pt idx="38">
                  <c:v>0.0138388625592416</c:v>
                </c:pt>
                <c:pt idx="39">
                  <c:v>0.011967090501122</c:v>
                </c:pt>
                <c:pt idx="40">
                  <c:v>0.00480413895048049</c:v>
                </c:pt>
                <c:pt idx="41">
                  <c:v>-0.00349393159249733</c:v>
                </c:pt>
                <c:pt idx="42">
                  <c:v>0.00553607676693124</c:v>
                </c:pt>
                <c:pt idx="43">
                  <c:v>0.0126628739218204</c:v>
                </c:pt>
                <c:pt idx="44">
                  <c:v>0.00108735048930786</c:v>
                </c:pt>
                <c:pt idx="45">
                  <c:v>0.00470673425054313</c:v>
                </c:pt>
                <c:pt idx="46">
                  <c:v>0.006846846846847</c:v>
                </c:pt>
                <c:pt idx="47">
                  <c:v>-0.000715819613457347</c:v>
                </c:pt>
                <c:pt idx="48">
                  <c:v>-0.0295487106017193</c:v>
                </c:pt>
                <c:pt idx="49">
                  <c:v>-0.0226979147444177</c:v>
                </c:pt>
                <c:pt idx="50">
                  <c:v>-0.0343655589123867</c:v>
                </c:pt>
                <c:pt idx="51">
                  <c:v>0.00293312475557284</c:v>
                </c:pt>
                <c:pt idx="52">
                  <c:v>0.0421134724117762</c:v>
                </c:pt>
                <c:pt idx="53">
                  <c:v>0.00841908325537877</c:v>
                </c:pt>
                <c:pt idx="54">
                  <c:v>0.00333951762523199</c:v>
                </c:pt>
                <c:pt idx="55">
                  <c:v>-0.0502958579881657</c:v>
                </c:pt>
                <c:pt idx="56">
                  <c:v>0.0465342679127725</c:v>
                </c:pt>
                <c:pt idx="57">
                  <c:v>0.0122790697674418</c:v>
                </c:pt>
                <c:pt idx="58">
                  <c:v>0.00716780003675788</c:v>
                </c:pt>
                <c:pt idx="59">
                  <c:v>-0.00784671532846715</c:v>
                </c:pt>
                <c:pt idx="60">
                  <c:v>0.00901232297222743</c:v>
                </c:pt>
                <c:pt idx="61">
                  <c:v>0.00747356908494345</c:v>
                </c:pt>
                <c:pt idx="62">
                  <c:v>0.0023520897412701</c:v>
                </c:pt>
                <c:pt idx="63">
                  <c:v>-0.0173285198555957</c:v>
                </c:pt>
                <c:pt idx="64">
                  <c:v>0.038574577516532</c:v>
                </c:pt>
                <c:pt idx="65">
                  <c:v>-0.0164485320127343</c:v>
                </c:pt>
                <c:pt idx="66">
                  <c:v>0.0172630821794642</c:v>
                </c:pt>
                <c:pt idx="67">
                  <c:v>0.00919215131695261</c:v>
                </c:pt>
                <c:pt idx="68">
                  <c:v>0.00928358731826928</c:v>
                </c:pt>
                <c:pt idx="69">
                  <c:v>0.00399166955918084</c:v>
                </c:pt>
                <c:pt idx="70">
                  <c:v>-0.0112359550561798</c:v>
                </c:pt>
                <c:pt idx="71">
                  <c:v>0.00944055944055933</c:v>
                </c:pt>
                <c:pt idx="72">
                  <c:v>-0.0114305507447178</c:v>
                </c:pt>
                <c:pt idx="73">
                  <c:v>-0.0192711983181499</c:v>
                </c:pt>
                <c:pt idx="74">
                  <c:v>0.0230439442658092</c:v>
                </c:pt>
                <c:pt idx="75">
                  <c:v>0.0139689191548804</c:v>
                </c:pt>
                <c:pt idx="76">
                  <c:v>-0.0103323574995695</c:v>
                </c:pt>
                <c:pt idx="77">
                  <c:v>-0.00522011484252649</c:v>
                </c:pt>
                <c:pt idx="78">
                  <c:v>0.0192408605912191</c:v>
                </c:pt>
                <c:pt idx="79">
                  <c:v>-0.0120130427321092</c:v>
                </c:pt>
                <c:pt idx="80">
                  <c:v>-0.0276185513288172</c:v>
                </c:pt>
                <c:pt idx="81">
                  <c:v>-0.0396570203644159</c:v>
                </c:pt>
                <c:pt idx="82">
                  <c:v>-0.0213913690476191</c:v>
                </c:pt>
                <c:pt idx="83">
                  <c:v>0.00361148070708994</c:v>
                </c:pt>
                <c:pt idx="84">
                  <c:v>-0.0187499999999999</c:v>
                </c:pt>
                <c:pt idx="85">
                  <c:v>-0.100559737502413</c:v>
                </c:pt>
                <c:pt idx="86">
                  <c:v>0.0630901287553647</c:v>
                </c:pt>
                <c:pt idx="87">
                  <c:v>-0.0161485668146951</c:v>
                </c:pt>
                <c:pt idx="88">
                  <c:v>0.0482150184653263</c:v>
                </c:pt>
                <c:pt idx="89">
                  <c:v>0.00782932080641996</c:v>
                </c:pt>
                <c:pt idx="90">
                  <c:v>0.00271897455816661</c:v>
                </c:pt>
                <c:pt idx="91">
                  <c:v>0.0172380398992833</c:v>
                </c:pt>
                <c:pt idx="92">
                  <c:v>-0.00913937547600918</c:v>
                </c:pt>
                <c:pt idx="93">
                  <c:v>0.0113374327440432</c:v>
                </c:pt>
                <c:pt idx="94">
                  <c:v>0.00133003990119707</c:v>
                </c:pt>
                <c:pt idx="95">
                  <c:v>-0.00208728652751422</c:v>
                </c:pt>
                <c:pt idx="96">
                  <c:v>0.00304240349876395</c:v>
                </c:pt>
                <c:pt idx="97">
                  <c:v>0.0288151658767772</c:v>
                </c:pt>
                <c:pt idx="98">
                  <c:v>-0.00202690252441506</c:v>
                </c:pt>
                <c:pt idx="99">
                  <c:v>0.00369276218611536</c:v>
                </c:pt>
                <c:pt idx="100">
                  <c:v>0.00607064017660042</c:v>
                </c:pt>
                <c:pt idx="101">
                  <c:v>0.00713110257816796</c:v>
                </c:pt>
                <c:pt idx="102">
                  <c:v>-0.0230573710965867</c:v>
                </c:pt>
                <c:pt idx="103">
                  <c:v>0.0280616985690392</c:v>
                </c:pt>
                <c:pt idx="104">
                  <c:v>0.00867678958785234</c:v>
                </c:pt>
                <c:pt idx="105">
                  <c:v>-0.00232974910394257</c:v>
                </c:pt>
                <c:pt idx="106">
                  <c:v>0.000179629962277605</c:v>
                </c:pt>
                <c:pt idx="107">
                  <c:v>0.00179597701149437</c:v>
                </c:pt>
                <c:pt idx="108">
                  <c:v>0.0136249551810685</c:v>
                </c:pt>
                <c:pt idx="109">
                  <c:v>0.0109656880084896</c:v>
                </c:pt>
                <c:pt idx="110">
                  <c:v>0.00157452764170762</c:v>
                </c:pt>
                <c:pt idx="111">
                  <c:v>0.00052401746724895</c:v>
                </c:pt>
                <c:pt idx="112">
                  <c:v>-0.0165851955307264</c:v>
                </c:pt>
                <c:pt idx="113">
                  <c:v>0.0204154091958104</c:v>
                </c:pt>
                <c:pt idx="114">
                  <c:v>0.0186151704940849</c:v>
                </c:pt>
                <c:pt idx="115">
                  <c:v>0.00939368061485912</c:v>
                </c:pt>
                <c:pt idx="116">
                  <c:v>-0.0235194585448393</c:v>
                </c:pt>
                <c:pt idx="117">
                  <c:v>0.00190608213481203</c:v>
                </c:pt>
                <c:pt idx="118">
                  <c:v>-0.0273261847111725</c:v>
                </c:pt>
                <c:pt idx="119">
                  <c:v>0.045697012802276</c:v>
                </c:pt>
                <c:pt idx="120">
                  <c:v>0.000170039108994935</c:v>
                </c:pt>
                <c:pt idx="121">
                  <c:v>-0.0108806528391704</c:v>
                </c:pt>
                <c:pt idx="122">
                  <c:v>0.00756273633551041</c:v>
                </c:pt>
                <c:pt idx="123">
                  <c:v>0.0122824974411464</c:v>
                </c:pt>
                <c:pt idx="124">
                  <c:v>-0.0210650488709134</c:v>
                </c:pt>
                <c:pt idx="125">
                  <c:v>0.0184196935789291</c:v>
                </c:pt>
                <c:pt idx="126">
                  <c:v>-0.00405679513184576</c:v>
                </c:pt>
                <c:pt idx="127">
                  <c:v>0.00509164969450104</c:v>
                </c:pt>
                <c:pt idx="128">
                  <c:v>0.00354609929078009</c:v>
                </c:pt>
                <c:pt idx="129">
                  <c:v>-0.0232205956587582</c:v>
                </c:pt>
                <c:pt idx="130">
                  <c:v>-0.00930232558139532</c:v>
                </c:pt>
                <c:pt idx="131">
                  <c:v>0.0111284993914103</c:v>
                </c:pt>
                <c:pt idx="132">
                  <c:v>-0.00189165950128978</c:v>
                </c:pt>
                <c:pt idx="133">
                  <c:v>-0.0205031013094418</c:v>
                </c:pt>
                <c:pt idx="134">
                  <c:v>-0.00510114335971856</c:v>
                </c:pt>
                <c:pt idx="135">
                  <c:v>-0.0141442715700142</c:v>
                </c:pt>
                <c:pt idx="136">
                  <c:v>-0.0292324246771879</c:v>
                </c:pt>
                <c:pt idx="137">
                  <c:v>0.026972104193608</c:v>
                </c:pt>
                <c:pt idx="138">
                  <c:v>0.0365173592372727</c:v>
                </c:pt>
                <c:pt idx="139">
                  <c:v>0.0180492884415133</c:v>
                </c:pt>
                <c:pt idx="140">
                  <c:v>0.00562563927719073</c:v>
                </c:pt>
                <c:pt idx="141">
                  <c:v>-0.00220376334972039</c:v>
                </c:pt>
                <c:pt idx="142">
                  <c:v>0.0127420998980632</c:v>
                </c:pt>
                <c:pt idx="143">
                  <c:v>0.00268411340379138</c:v>
                </c:pt>
                <c:pt idx="144">
                  <c:v>0.00736155261837035</c:v>
                </c:pt>
                <c:pt idx="145">
                  <c:v>0.0156120245806344</c:v>
                </c:pt>
                <c:pt idx="146">
                  <c:v>-0.0367947669664759</c:v>
                </c:pt>
                <c:pt idx="147">
                  <c:v>0.0162988115449916</c:v>
                </c:pt>
                <c:pt idx="148">
                  <c:v>0.0247243568326094</c:v>
                </c:pt>
                <c:pt idx="149">
                  <c:v>-0.0313009455493969</c:v>
                </c:pt>
                <c:pt idx="150">
                  <c:v>-0.000504880511612238</c:v>
                </c:pt>
                <c:pt idx="151">
                  <c:v>0.0188583936689677</c:v>
                </c:pt>
                <c:pt idx="152">
                  <c:v>-0.0330523880350355</c:v>
                </c:pt>
                <c:pt idx="153">
                  <c:v>-0.0094001025465732</c:v>
                </c:pt>
                <c:pt idx="154">
                  <c:v>0.00500345065562446</c:v>
                </c:pt>
                <c:pt idx="155">
                  <c:v>0.0255793991416309</c:v>
                </c:pt>
                <c:pt idx="156">
                  <c:v>0.0132239705390023</c:v>
                </c:pt>
                <c:pt idx="157">
                  <c:v>-0.011399306129192</c:v>
                </c:pt>
                <c:pt idx="158">
                  <c:v>-0.00618315508021394</c:v>
                </c:pt>
                <c:pt idx="159">
                  <c:v>0.00672608037666045</c:v>
                </c:pt>
              </c:numCache>
            </c:numRef>
          </c:val>
        </c:ser>
        <c:gapWidth val="150"/>
        <c:overlap val="0"/>
        <c:axId val="6566091"/>
        <c:axId val="274311"/>
      </c:barChart>
      <c:lineChart>
        <c:grouping val="standard"/>
        <c:varyColors val="0"/>
        <c:ser>
          <c:idx val="1"/>
          <c:order val="1"/>
          <c:tx>
            <c:strRef>
              <c:f>'Returns (Calc)'!$AL$2</c:f>
              <c:strCache>
                <c:ptCount val="1"/>
                <c:pt idx="0">
                  <c:v>JEPQ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(Calc)'!$AL$3:$AL$500</c:f>
              <c:numCache>
                <c:formatCode>#,##0.00</c:formatCode>
                <c:ptCount val="498"/>
                <c:pt idx="0">
                  <c:v>47.82</c:v>
                </c:pt>
                <c:pt idx="1">
                  <c:v>47.5192452830189</c:v>
                </c:pt>
                <c:pt idx="2">
                  <c:v>47.2184905660377</c:v>
                </c:pt>
                <c:pt idx="3">
                  <c:v>46.9177358490566</c:v>
                </c:pt>
                <c:pt idx="4">
                  <c:v>46.6169811320755</c:v>
                </c:pt>
                <c:pt idx="5">
                  <c:v>46.3162264150943</c:v>
                </c:pt>
                <c:pt idx="6">
                  <c:v>46.0154716981132</c:v>
                </c:pt>
                <c:pt idx="7">
                  <c:v>45.7147169811321</c:v>
                </c:pt>
                <c:pt idx="8">
                  <c:v>45.4139622641509</c:v>
                </c:pt>
                <c:pt idx="9">
                  <c:v>45.1132075471698</c:v>
                </c:pt>
                <c:pt idx="10">
                  <c:v>44.8124528301887</c:v>
                </c:pt>
                <c:pt idx="11">
                  <c:v>44.5116981132076</c:v>
                </c:pt>
                <c:pt idx="12">
                  <c:v>44.2109433962264</c:v>
                </c:pt>
                <c:pt idx="13">
                  <c:v>43.9101886792453</c:v>
                </c:pt>
                <c:pt idx="14">
                  <c:v>43.6094339622642</c:v>
                </c:pt>
                <c:pt idx="15">
                  <c:v>43.308679245283</c:v>
                </c:pt>
                <c:pt idx="16">
                  <c:v>43.0079245283019</c:v>
                </c:pt>
                <c:pt idx="17">
                  <c:v>42.7071698113208</c:v>
                </c:pt>
                <c:pt idx="18">
                  <c:v>42.4064150943396</c:v>
                </c:pt>
                <c:pt idx="19">
                  <c:v>42.1056603773585</c:v>
                </c:pt>
                <c:pt idx="20">
                  <c:v>41.8049056603774</c:v>
                </c:pt>
                <c:pt idx="21">
                  <c:v>41.5041509433962</c:v>
                </c:pt>
                <c:pt idx="22">
                  <c:v>41.2033962264151</c:v>
                </c:pt>
                <c:pt idx="23">
                  <c:v>40.902641509434</c:v>
                </c:pt>
                <c:pt idx="24">
                  <c:v>40.6018867924528</c:v>
                </c:pt>
                <c:pt idx="25">
                  <c:v>40.3011320754717</c:v>
                </c:pt>
                <c:pt idx="26">
                  <c:v>40.0003773584906</c:v>
                </c:pt>
                <c:pt idx="27">
                  <c:v>39.6996226415094</c:v>
                </c:pt>
                <c:pt idx="28">
                  <c:v>39.3988679245283</c:v>
                </c:pt>
                <c:pt idx="29">
                  <c:v>39.0981132075472</c:v>
                </c:pt>
                <c:pt idx="30">
                  <c:v>38.797358490566</c:v>
                </c:pt>
                <c:pt idx="31">
                  <c:v>38.4966037735849</c:v>
                </c:pt>
                <c:pt idx="32">
                  <c:v>38.1958490566038</c:v>
                </c:pt>
                <c:pt idx="33">
                  <c:v>37.8950943396226</c:v>
                </c:pt>
                <c:pt idx="34">
                  <c:v>37.5943396226415</c:v>
                </c:pt>
                <c:pt idx="35">
                  <c:v>37.2935849056604</c:v>
                </c:pt>
                <c:pt idx="36">
                  <c:v>36.9928301886793</c:v>
                </c:pt>
                <c:pt idx="37">
                  <c:v>36.6920754716981</c:v>
                </c:pt>
                <c:pt idx="38">
                  <c:v>36.391320754717</c:v>
                </c:pt>
                <c:pt idx="39">
                  <c:v>36.0905660377359</c:v>
                </c:pt>
                <c:pt idx="40">
                  <c:v>35.7898113207547</c:v>
                </c:pt>
                <c:pt idx="41">
                  <c:v>35.4890566037736</c:v>
                </c:pt>
                <c:pt idx="42">
                  <c:v>35.1883018867925</c:v>
                </c:pt>
                <c:pt idx="43">
                  <c:v>34.8875471698113</c:v>
                </c:pt>
                <c:pt idx="44">
                  <c:v>34.5867924528302</c:v>
                </c:pt>
                <c:pt idx="45">
                  <c:v>34.2860377358491</c:v>
                </c:pt>
                <c:pt idx="46">
                  <c:v>33.9852830188679</c:v>
                </c:pt>
                <c:pt idx="47">
                  <c:v>33.6845283018868</c:v>
                </c:pt>
                <c:pt idx="48">
                  <c:v>33.3837735849057</c:v>
                </c:pt>
                <c:pt idx="49">
                  <c:v>33.0830188679245</c:v>
                </c:pt>
                <c:pt idx="50">
                  <c:v>32.7822641509434</c:v>
                </c:pt>
                <c:pt idx="51">
                  <c:v>32.4815094339623</c:v>
                </c:pt>
                <c:pt idx="52">
                  <c:v>32.1807547169811</c:v>
                </c:pt>
                <c:pt idx="53">
                  <c:v>31.88</c:v>
                </c:pt>
                <c:pt idx="54">
                  <c:v>31.5792452830189</c:v>
                </c:pt>
                <c:pt idx="55">
                  <c:v>31.2784905660377</c:v>
                </c:pt>
                <c:pt idx="56">
                  <c:v>30.9777358490566</c:v>
                </c:pt>
                <c:pt idx="57">
                  <c:v>30.6769811320755</c:v>
                </c:pt>
                <c:pt idx="58">
                  <c:v>30.3762264150943</c:v>
                </c:pt>
                <c:pt idx="59">
                  <c:v>30.0754716981132</c:v>
                </c:pt>
                <c:pt idx="60">
                  <c:v>29.7747169811321</c:v>
                </c:pt>
                <c:pt idx="61">
                  <c:v>29.4739622641509</c:v>
                </c:pt>
                <c:pt idx="62">
                  <c:v>29.1732075471698</c:v>
                </c:pt>
                <c:pt idx="63">
                  <c:v>28.8724528301887</c:v>
                </c:pt>
                <c:pt idx="64">
                  <c:v>28.5716981132075</c:v>
                </c:pt>
                <c:pt idx="65">
                  <c:v>28.2709433962264</c:v>
                </c:pt>
                <c:pt idx="66">
                  <c:v>27.9701886792453</c:v>
                </c:pt>
                <c:pt idx="67">
                  <c:v>27.6694339622642</c:v>
                </c:pt>
                <c:pt idx="68">
                  <c:v>27.368679245283</c:v>
                </c:pt>
                <c:pt idx="69">
                  <c:v>27.0679245283019</c:v>
                </c:pt>
                <c:pt idx="70">
                  <c:v>26.7671698113208</c:v>
                </c:pt>
                <c:pt idx="71">
                  <c:v>26.4664150943396</c:v>
                </c:pt>
                <c:pt idx="72">
                  <c:v>26.1656603773585</c:v>
                </c:pt>
                <c:pt idx="73">
                  <c:v>25.8649056603774</c:v>
                </c:pt>
                <c:pt idx="74">
                  <c:v>25.5641509433962</c:v>
                </c:pt>
                <c:pt idx="75">
                  <c:v>25.2633962264151</c:v>
                </c:pt>
                <c:pt idx="76">
                  <c:v>24.962641509434</c:v>
                </c:pt>
                <c:pt idx="77">
                  <c:v>24.6618867924528</c:v>
                </c:pt>
                <c:pt idx="78">
                  <c:v>24.3611320754717</c:v>
                </c:pt>
                <c:pt idx="79">
                  <c:v>24.0603773584906</c:v>
                </c:pt>
                <c:pt idx="80">
                  <c:v>23.7596226415094</c:v>
                </c:pt>
                <c:pt idx="81">
                  <c:v>23.4588679245283</c:v>
                </c:pt>
                <c:pt idx="82">
                  <c:v>23.1581132075472</c:v>
                </c:pt>
                <c:pt idx="83">
                  <c:v>22.857358490566</c:v>
                </c:pt>
                <c:pt idx="84">
                  <c:v>22.5566037735849</c:v>
                </c:pt>
                <c:pt idx="85">
                  <c:v>22.2558490566038</c:v>
                </c:pt>
                <c:pt idx="86">
                  <c:v>21.9550943396226</c:v>
                </c:pt>
                <c:pt idx="87">
                  <c:v>21.6543396226415</c:v>
                </c:pt>
                <c:pt idx="88">
                  <c:v>21.3535849056604</c:v>
                </c:pt>
                <c:pt idx="89">
                  <c:v>21.0528301886792</c:v>
                </c:pt>
                <c:pt idx="90">
                  <c:v>20.7520754716981</c:v>
                </c:pt>
                <c:pt idx="91">
                  <c:v>20.451320754717</c:v>
                </c:pt>
                <c:pt idx="92">
                  <c:v>20.1505660377359</c:v>
                </c:pt>
                <c:pt idx="93">
                  <c:v>19.8498113207547</c:v>
                </c:pt>
                <c:pt idx="94">
                  <c:v>19.5490566037736</c:v>
                </c:pt>
                <c:pt idx="95">
                  <c:v>19.2483018867925</c:v>
                </c:pt>
                <c:pt idx="96">
                  <c:v>18.9475471698113</c:v>
                </c:pt>
                <c:pt idx="97">
                  <c:v>18.6467924528302</c:v>
                </c:pt>
                <c:pt idx="98">
                  <c:v>18.3460377358491</c:v>
                </c:pt>
                <c:pt idx="99">
                  <c:v>18.0452830188679</c:v>
                </c:pt>
                <c:pt idx="100">
                  <c:v>17.7445283018868</c:v>
                </c:pt>
                <c:pt idx="101">
                  <c:v>17.4437735849057</c:v>
                </c:pt>
                <c:pt idx="102">
                  <c:v>17.1430188679245</c:v>
                </c:pt>
                <c:pt idx="103">
                  <c:v>16.8422641509434</c:v>
                </c:pt>
                <c:pt idx="104">
                  <c:v>16.5415094339623</c:v>
                </c:pt>
                <c:pt idx="105">
                  <c:v>16.2407547169811</c:v>
                </c:pt>
                <c:pt idx="106">
                  <c:v>15.94</c:v>
                </c:pt>
                <c:pt idx="107">
                  <c:v>15.6392452830189</c:v>
                </c:pt>
                <c:pt idx="108">
                  <c:v>15.3384905660377</c:v>
                </c:pt>
                <c:pt idx="109">
                  <c:v>15.0377358490566</c:v>
                </c:pt>
                <c:pt idx="110">
                  <c:v>14.7369811320755</c:v>
                </c:pt>
                <c:pt idx="111">
                  <c:v>14.4362264150943</c:v>
                </c:pt>
                <c:pt idx="112">
                  <c:v>14.1354716981132</c:v>
                </c:pt>
                <c:pt idx="113">
                  <c:v>13.8347169811321</c:v>
                </c:pt>
                <c:pt idx="114">
                  <c:v>13.5339622641509</c:v>
                </c:pt>
                <c:pt idx="115">
                  <c:v>13.2332075471698</c:v>
                </c:pt>
                <c:pt idx="116">
                  <c:v>12.9324528301887</c:v>
                </c:pt>
                <c:pt idx="117">
                  <c:v>12.6316981132075</c:v>
                </c:pt>
                <c:pt idx="118">
                  <c:v>12.3309433962264</c:v>
                </c:pt>
                <c:pt idx="119">
                  <c:v>12.0301886792453</c:v>
                </c:pt>
                <c:pt idx="120">
                  <c:v>11.7294339622642</c:v>
                </c:pt>
                <c:pt idx="121">
                  <c:v>11.428679245283</c:v>
                </c:pt>
                <c:pt idx="122">
                  <c:v>11.1279245283019</c:v>
                </c:pt>
                <c:pt idx="123">
                  <c:v>10.8271698113208</c:v>
                </c:pt>
                <c:pt idx="124">
                  <c:v>10.5264150943396</c:v>
                </c:pt>
                <c:pt idx="125">
                  <c:v>10.2256603773585</c:v>
                </c:pt>
                <c:pt idx="126">
                  <c:v>9.92490566037736</c:v>
                </c:pt>
                <c:pt idx="127">
                  <c:v>9.62415094339622</c:v>
                </c:pt>
                <c:pt idx="128">
                  <c:v>9.32339622641509</c:v>
                </c:pt>
                <c:pt idx="129">
                  <c:v>9.02264150943397</c:v>
                </c:pt>
                <c:pt idx="130">
                  <c:v>8.72188679245283</c:v>
                </c:pt>
                <c:pt idx="131">
                  <c:v>8.4211320754717</c:v>
                </c:pt>
                <c:pt idx="132">
                  <c:v>8.12037735849057</c:v>
                </c:pt>
                <c:pt idx="133">
                  <c:v>7.81962264150943</c:v>
                </c:pt>
                <c:pt idx="134">
                  <c:v>7.5188679245283</c:v>
                </c:pt>
                <c:pt idx="135">
                  <c:v>7.21811320754717</c:v>
                </c:pt>
                <c:pt idx="136">
                  <c:v>6.91735849056604</c:v>
                </c:pt>
                <c:pt idx="137">
                  <c:v>6.61660377358491</c:v>
                </c:pt>
                <c:pt idx="138">
                  <c:v>6.31584905660377</c:v>
                </c:pt>
                <c:pt idx="139">
                  <c:v>6.01509433962264</c:v>
                </c:pt>
                <c:pt idx="140">
                  <c:v>5.71433962264151</c:v>
                </c:pt>
                <c:pt idx="141">
                  <c:v>5.41358490566038</c:v>
                </c:pt>
                <c:pt idx="142">
                  <c:v>5.11283018867925</c:v>
                </c:pt>
                <c:pt idx="143">
                  <c:v>4.81207547169812</c:v>
                </c:pt>
                <c:pt idx="144">
                  <c:v>4.51132075471698</c:v>
                </c:pt>
                <c:pt idx="145">
                  <c:v>4.21056603773585</c:v>
                </c:pt>
                <c:pt idx="146">
                  <c:v>3.90981132075471</c:v>
                </c:pt>
                <c:pt idx="147">
                  <c:v>3.60905660377359</c:v>
                </c:pt>
                <c:pt idx="148">
                  <c:v>3.30830188679246</c:v>
                </c:pt>
                <c:pt idx="149">
                  <c:v>3.00754716981132</c:v>
                </c:pt>
                <c:pt idx="150">
                  <c:v>2.70679245283019</c:v>
                </c:pt>
                <c:pt idx="151">
                  <c:v>2.40603773584906</c:v>
                </c:pt>
                <c:pt idx="152">
                  <c:v>2.10528301886792</c:v>
                </c:pt>
                <c:pt idx="153">
                  <c:v>1.80452830188679</c:v>
                </c:pt>
                <c:pt idx="154">
                  <c:v>1.50377358490566</c:v>
                </c:pt>
                <c:pt idx="155">
                  <c:v>1.20301886792453</c:v>
                </c:pt>
                <c:pt idx="156">
                  <c:v>0.902264150943395</c:v>
                </c:pt>
                <c:pt idx="157">
                  <c:v>0.601509433962264</c:v>
                </c:pt>
                <c:pt idx="158">
                  <c:v>0.300754716981132</c:v>
                </c:pt>
                <c:pt idx="159">
                  <c:v>0</c:v>
                </c:pt>
              </c:numCache>
            </c:numRef>
          </c:val>
          <c:smooth val="0"/>
        </c:ser>
        <c:hiLowLines>
          <c:spPr>
            <a:ln w="0">
              <a:noFill/>
            </a:ln>
          </c:spPr>
        </c:hiLowLines>
        <c:marker val="0"/>
        <c:axId val="48941462"/>
        <c:axId val="93325803"/>
      </c:lineChart>
      <c:dateAx>
        <c:axId val="6566091"/>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74311"/>
        <c:auto val="1"/>
        <c:lblOffset val="100"/>
        <c:baseTimeUnit val="days"/>
      </c:dateAx>
      <c:valAx>
        <c:axId val="27431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566091"/>
        <c:crosses val="autoZero"/>
        <c:crossBetween val="between"/>
      </c:valAx>
      <c:dateAx>
        <c:axId val="48941462"/>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3325803"/>
        <c:auto val="1"/>
        <c:lblOffset val="100"/>
        <c:baseTimeUnit val="days"/>
      </c:dateAx>
      <c:valAx>
        <c:axId val="93325803"/>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8941462"/>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SPMO</a:t>
            </a:r>
          </a:p>
        </c:rich>
      </c:tx>
      <c:overlay val="0"/>
      <c:spPr>
        <a:noFill/>
        <a:ln w="0">
          <a:noFill/>
        </a:ln>
      </c:spPr>
    </c:title>
    <c:autoTitleDeleted val="0"/>
    <c:plotArea>
      <c:barChart>
        <c:barDir val="col"/>
        <c:grouping val="clustered"/>
        <c:varyColors val="0"/>
        <c:ser>
          <c:idx val="0"/>
          <c:order val="0"/>
          <c:tx>
            <c:strRef>
              <c:f>'Returns (Calc)'!$S$2</c:f>
              <c:strCache>
                <c:ptCount val="1"/>
                <c:pt idx="0">
                  <c:v>SPMO</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(Calc)'!$S$3:$S$500</c:f>
              <c:numCache>
                <c:formatCode>0.0%</c:formatCode>
                <c:ptCount val="498"/>
                <c:pt idx="0">
                  <c:v>-0.00837034506320467</c:v>
                </c:pt>
                <c:pt idx="1">
                  <c:v>-0.00275624461670965</c:v>
                </c:pt>
                <c:pt idx="2">
                  <c:v>0.0160649507686992</c:v>
                </c:pt>
                <c:pt idx="3">
                  <c:v>0.00595035702142122</c:v>
                </c:pt>
                <c:pt idx="4">
                  <c:v>0</c:v>
                </c:pt>
                <c:pt idx="5">
                  <c:v>-0.0288997802940679</c:v>
                </c:pt>
                <c:pt idx="6">
                  <c:v>-0.00313261399234255</c:v>
                </c:pt>
                <c:pt idx="7">
                  <c:v>0.011173184357542</c:v>
                </c:pt>
                <c:pt idx="8">
                  <c:v>0.00569751381215466</c:v>
                </c:pt>
                <c:pt idx="9">
                  <c:v>-0.0290128755364807</c:v>
                </c:pt>
                <c:pt idx="10">
                  <c:v>-0.0201555869872702</c:v>
                </c:pt>
                <c:pt idx="11">
                  <c:v>0.0582822085889569</c:v>
                </c:pt>
                <c:pt idx="12">
                  <c:v>0.0294970161977834</c:v>
                </c:pt>
                <c:pt idx="13">
                  <c:v>0.0216959258032461</c:v>
                </c:pt>
                <c:pt idx="14">
                  <c:v>0.00551142810828331</c:v>
                </c:pt>
                <c:pt idx="15">
                  <c:v>-0.00225697243269385</c:v>
                </c:pt>
                <c:pt idx="16">
                  <c:v>0.0037162708030376</c:v>
                </c:pt>
                <c:pt idx="17">
                  <c:v>0.0341274951706374</c:v>
                </c:pt>
                <c:pt idx="18">
                  <c:v>0.0124533001245333</c:v>
                </c:pt>
                <c:pt idx="19">
                  <c:v>0.00707257072570711</c:v>
                </c:pt>
                <c:pt idx="20">
                  <c:v>-0.0103816793893131</c:v>
                </c:pt>
                <c:pt idx="21">
                  <c:v>0.0311632212280162</c:v>
                </c:pt>
                <c:pt idx="22">
                  <c:v>0.0210951526032315</c:v>
                </c:pt>
                <c:pt idx="23">
                  <c:v>0.0161172161172161</c:v>
                </c:pt>
                <c:pt idx="24">
                  <c:v>0.0457101658255228</c:v>
                </c:pt>
                <c:pt idx="25">
                  <c:v>0.0238554881412025</c:v>
                </c:pt>
                <c:pt idx="26">
                  <c:v>0.00835016835016833</c:v>
                </c:pt>
                <c:pt idx="27">
                  <c:v>0.0224388940830773</c:v>
                </c:pt>
                <c:pt idx="28">
                  <c:v>0.0280862181580668</c:v>
                </c:pt>
                <c:pt idx="29">
                  <c:v>0.00381194409148655</c:v>
                </c:pt>
                <c:pt idx="30">
                  <c:v>-0.00518987341772148</c:v>
                </c:pt>
                <c:pt idx="31">
                  <c:v>0.028502353989057</c:v>
                </c:pt>
                <c:pt idx="32">
                  <c:v>-0.00754670295682292</c:v>
                </c:pt>
                <c:pt idx="33">
                  <c:v>0.00286711543256057</c:v>
                </c:pt>
                <c:pt idx="34">
                  <c:v>-0.0140459912989436</c:v>
                </c:pt>
                <c:pt idx="35">
                  <c:v>-0.0568582955118506</c:v>
                </c:pt>
                <c:pt idx="36">
                  <c:v>0.0300761930223232</c:v>
                </c:pt>
                <c:pt idx="37">
                  <c:v>0.00986244484817012</c:v>
                </c:pt>
                <c:pt idx="38">
                  <c:v>0.0222307890002571</c:v>
                </c:pt>
                <c:pt idx="39">
                  <c:v>0.0150848522941547</c:v>
                </c:pt>
                <c:pt idx="40">
                  <c:v>0.0194427244582043</c:v>
                </c:pt>
                <c:pt idx="41">
                  <c:v>-0.0109329446064139</c:v>
                </c:pt>
                <c:pt idx="42">
                  <c:v>0.0303365266519282</c:v>
                </c:pt>
                <c:pt idx="43">
                  <c:v>0.0421981165812375</c:v>
                </c:pt>
                <c:pt idx="44">
                  <c:v>-0.000800640512410022</c:v>
                </c:pt>
                <c:pt idx="45">
                  <c:v>0.00114468864468864</c:v>
                </c:pt>
                <c:pt idx="46">
                  <c:v>0.0309855934141323</c:v>
                </c:pt>
                <c:pt idx="47">
                  <c:v>-0.00199622934457144</c:v>
                </c:pt>
                <c:pt idx="48">
                  <c:v>-0.0404489387709746</c:v>
                </c:pt>
                <c:pt idx="49">
                  <c:v>-0.0188766647365373</c:v>
                </c:pt>
                <c:pt idx="50">
                  <c:v>-0.0297450424929178</c:v>
                </c:pt>
                <c:pt idx="51">
                  <c:v>0.0172749391727494</c:v>
                </c:pt>
                <c:pt idx="52">
                  <c:v>0.0570437694331498</c:v>
                </c:pt>
                <c:pt idx="53">
                  <c:v>0.0138024663423464</c:v>
                </c:pt>
                <c:pt idx="54">
                  <c:v>-0.00401740877134249</c:v>
                </c:pt>
                <c:pt idx="55">
                  <c:v>-0.059719887955182</c:v>
                </c:pt>
                <c:pt idx="56">
                  <c:v>0.061487130600572</c:v>
                </c:pt>
                <c:pt idx="57">
                  <c:v>0.0162775033677594</c:v>
                </c:pt>
                <c:pt idx="58">
                  <c:v>-0.00209875179498509</c:v>
                </c:pt>
                <c:pt idx="59">
                  <c:v>0.0149435466017267</c:v>
                </c:pt>
                <c:pt idx="60">
                  <c:v>0.021594503217363</c:v>
                </c:pt>
                <c:pt idx="61">
                  <c:v>0.00427031066510075</c:v>
                </c:pt>
                <c:pt idx="62">
                  <c:v>-0.0146699266503667</c:v>
                </c:pt>
                <c:pt idx="63">
                  <c:v>-0.0137015859315999</c:v>
                </c:pt>
                <c:pt idx="64">
                  <c:v>0.0598337344126012</c:v>
                </c:pt>
                <c:pt idx="65">
                  <c:v>-0.030859737847043</c:v>
                </c:pt>
                <c:pt idx="66">
                  <c:v>0.0178913738019169</c:v>
                </c:pt>
                <c:pt idx="67">
                  <c:v>0.0130780498012137</c:v>
                </c:pt>
                <c:pt idx="68">
                  <c:v>0.0193121966332748</c:v>
                </c:pt>
                <c:pt idx="69">
                  <c:v>-0.00942249240121584</c:v>
                </c:pt>
                <c:pt idx="70">
                  <c:v>-0.0223995090518564</c:v>
                </c:pt>
                <c:pt idx="71">
                  <c:v>0.0105670642393807</c:v>
                </c:pt>
                <c:pt idx="72">
                  <c:v>0.00310591158505025</c:v>
                </c:pt>
                <c:pt idx="73">
                  <c:v>-0.0135204871503768</c:v>
                </c:pt>
                <c:pt idx="74">
                  <c:v>0.0321196903117809</c:v>
                </c:pt>
                <c:pt idx="75">
                  <c:v>0.0271667511403952</c:v>
                </c:pt>
                <c:pt idx="76">
                  <c:v>-0.0127306819303266</c:v>
                </c:pt>
                <c:pt idx="77">
                  <c:v>0.0198920431827268</c:v>
                </c:pt>
                <c:pt idx="78">
                  <c:v>0.0100950700774283</c:v>
                </c:pt>
                <c:pt idx="79">
                  <c:v>-0.0305647195808267</c:v>
                </c:pt>
                <c:pt idx="80">
                  <c:v>-0.0011009908918026</c:v>
                </c:pt>
                <c:pt idx="81">
                  <c:v>-0.0527054108216432</c:v>
                </c:pt>
                <c:pt idx="82">
                  <c:v>-0.00719272265707649</c:v>
                </c:pt>
                <c:pt idx="83">
                  <c:v>0.00383549968037511</c:v>
                </c:pt>
                <c:pt idx="84">
                  <c:v>-0.0215453194650818</c:v>
                </c:pt>
                <c:pt idx="85">
                  <c:v>-0.107061503416857</c:v>
                </c:pt>
                <c:pt idx="86">
                  <c:v>0.0911078717201166</c:v>
                </c:pt>
                <c:pt idx="87">
                  <c:v>-0.0173680694722778</c:v>
                </c:pt>
                <c:pt idx="88">
                  <c:v>0.0652617267165192</c:v>
                </c:pt>
                <c:pt idx="89">
                  <c:v>0.0402042118698149</c:v>
                </c:pt>
                <c:pt idx="90">
                  <c:v>0.00695296523517386</c:v>
                </c:pt>
                <c:pt idx="91">
                  <c:v>0.0682372055239642</c:v>
                </c:pt>
                <c:pt idx="92">
                  <c:v>-0.0223384030418252</c:v>
                </c:pt>
                <c:pt idx="93">
                  <c:v>0.0243072435585805</c:v>
                </c:pt>
                <c:pt idx="94">
                  <c:v>0.0149027052681538</c:v>
                </c:pt>
                <c:pt idx="95">
                  <c:v>-0.00710811821922941</c:v>
                </c:pt>
                <c:pt idx="96">
                  <c:v>0.00706480783722685</c:v>
                </c:pt>
                <c:pt idx="97">
                  <c:v>0.0461135534561781</c:v>
                </c:pt>
                <c:pt idx="98">
                  <c:v>0.00599070100143062</c:v>
                </c:pt>
                <c:pt idx="99">
                  <c:v>-0.00302195360412416</c:v>
                </c:pt>
                <c:pt idx="100">
                  <c:v>0.014798965855398</c:v>
                </c:pt>
                <c:pt idx="101">
                  <c:v>0.0105420363700255</c:v>
                </c:pt>
                <c:pt idx="102">
                  <c:v>-0.0156480918021386</c:v>
                </c:pt>
                <c:pt idx="103">
                  <c:v>0.0349730636757042</c:v>
                </c:pt>
                <c:pt idx="104">
                  <c:v>0.00102397815513267</c:v>
                </c:pt>
                <c:pt idx="105">
                  <c:v>-0.00681953797630208</c:v>
                </c:pt>
                <c:pt idx="106">
                  <c:v>-0.000257488627585678</c:v>
                </c:pt>
                <c:pt idx="107">
                  <c:v>0.0048935439560438</c:v>
                </c:pt>
                <c:pt idx="108">
                  <c:v>0.0293037163605296</c:v>
                </c:pt>
                <c:pt idx="109">
                  <c:v>0.0120351925630811</c:v>
                </c:pt>
                <c:pt idx="110">
                  <c:v>-0.0110719265152137</c:v>
                </c:pt>
                <c:pt idx="111">
                  <c:v>-0.00406369215458613</c:v>
                </c:pt>
                <c:pt idx="112">
                  <c:v>-0.0132400699475393</c:v>
                </c:pt>
                <c:pt idx="113">
                  <c:v>0.0162025316455696</c:v>
                </c:pt>
                <c:pt idx="114">
                  <c:v>0.0107125062282012</c:v>
                </c:pt>
                <c:pt idx="115">
                  <c:v>-8.21625174594054E-005</c:v>
                </c:pt>
                <c:pt idx="116">
                  <c:v>-0.0260476581758422</c:v>
                </c:pt>
                <c:pt idx="117">
                  <c:v>-0.00590567788745466</c:v>
                </c:pt>
                <c:pt idx="118">
                  <c:v>-0.0299584146651957</c:v>
                </c:pt>
                <c:pt idx="119">
                  <c:v>0.0509186351706037</c:v>
                </c:pt>
                <c:pt idx="120">
                  <c:v>0.00607725607725596</c:v>
                </c:pt>
                <c:pt idx="121">
                  <c:v>-0.014480761274307</c:v>
                </c:pt>
                <c:pt idx="122">
                  <c:v>0.00361041141897567</c:v>
                </c:pt>
                <c:pt idx="123">
                  <c:v>0.0154772860369781</c:v>
                </c:pt>
                <c:pt idx="124">
                  <c:v>-0.014087988136431</c:v>
                </c:pt>
                <c:pt idx="125">
                  <c:v>0.00300827275006266</c:v>
                </c:pt>
                <c:pt idx="126">
                  <c:v>-0.000249937515621079</c:v>
                </c:pt>
                <c:pt idx="127">
                  <c:v>-0.0173333333333333</c:v>
                </c:pt>
                <c:pt idx="128">
                  <c:v>0.0165366350067844</c:v>
                </c:pt>
                <c:pt idx="129">
                  <c:v>-0.000250271127054336</c:v>
                </c:pt>
                <c:pt idx="130">
                  <c:v>-0.0132676902536716</c:v>
                </c:pt>
                <c:pt idx="131">
                  <c:v>0.01446088794926</c:v>
                </c:pt>
                <c:pt idx="132">
                  <c:v>-0.00408469489829944</c:v>
                </c:pt>
                <c:pt idx="133">
                  <c:v>-0.0102954716665272</c:v>
                </c:pt>
                <c:pt idx="134">
                  <c:v>-0.0174221921515561</c:v>
                </c:pt>
                <c:pt idx="135">
                  <c:v>-0.0206576002754347</c:v>
                </c:pt>
                <c:pt idx="136">
                  <c:v>-0.0304974512216558</c:v>
                </c:pt>
                <c:pt idx="137">
                  <c:v>0.0401595503580816</c:v>
                </c:pt>
                <c:pt idx="138">
                  <c:v>0.0749520655394806</c:v>
                </c:pt>
                <c:pt idx="139">
                  <c:v>0.0402140424841901</c:v>
                </c:pt>
                <c:pt idx="140">
                  <c:v>0.0250974279033516</c:v>
                </c:pt>
                <c:pt idx="141">
                  <c:v>0.0220498783454985</c:v>
                </c:pt>
                <c:pt idx="142">
                  <c:v>0.0698556762386551</c:v>
                </c:pt>
                <c:pt idx="143">
                  <c:v>-0.00229469438842922</c:v>
                </c:pt>
                <c:pt idx="144">
                  <c:v>0.0101756342347366</c:v>
                </c:pt>
                <c:pt idx="145">
                  <c:v>0.0389816475783082</c:v>
                </c:pt>
                <c:pt idx="146">
                  <c:v>-0.0419018527126636</c:v>
                </c:pt>
                <c:pt idx="147">
                  <c:v>0.0568339340171886</c:v>
                </c:pt>
                <c:pt idx="148">
                  <c:v>0.0486621196222457</c:v>
                </c:pt>
                <c:pt idx="149">
                  <c:v>-0.0356472795497187</c:v>
                </c:pt>
                <c:pt idx="150">
                  <c:v>-0.0218547341115433</c:v>
                </c:pt>
                <c:pt idx="151">
                  <c:v>0.0193595438573226</c:v>
                </c:pt>
                <c:pt idx="152">
                  <c:v>-0.0641300813008131</c:v>
                </c:pt>
                <c:pt idx="153">
                  <c:v>0.0182083536034472</c:v>
                </c:pt>
                <c:pt idx="154">
                  <c:v>-0.0182922667394716</c:v>
                </c:pt>
                <c:pt idx="155">
                  <c:v>0.0407425432802613</c:v>
                </c:pt>
                <c:pt idx="156">
                  <c:v>0.0241833121785022</c:v>
                </c:pt>
                <c:pt idx="157">
                  <c:v>-0.0298741112778033</c:v>
                </c:pt>
                <c:pt idx="158">
                  <c:v>-0.0131110065218852</c:v>
                </c:pt>
                <c:pt idx="159">
                  <c:v>0.0200299768360812</c:v>
                </c:pt>
              </c:numCache>
            </c:numRef>
          </c:val>
        </c:ser>
        <c:gapWidth val="150"/>
        <c:overlap val="0"/>
        <c:axId val="97962464"/>
        <c:axId val="32565678"/>
      </c:barChart>
      <c:lineChart>
        <c:grouping val="standard"/>
        <c:varyColors val="0"/>
        <c:ser>
          <c:idx val="1"/>
          <c:order val="1"/>
          <c:tx>
            <c:strRef>
              <c:f>'Returns (Calc)'!$AM$2</c:f>
              <c:strCache>
                <c:ptCount val="1"/>
                <c:pt idx="0">
                  <c:v>SPMO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(Calc)'!$AM$3:$AM$500</c:f>
              <c:numCache>
                <c:formatCode>#,##0.00</c:formatCode>
                <c:ptCount val="498"/>
                <c:pt idx="0">
                  <c:v>58.54</c:v>
                </c:pt>
                <c:pt idx="1">
                  <c:v>58.1718238993711</c:v>
                </c:pt>
                <c:pt idx="2">
                  <c:v>57.8036477987421</c:v>
                </c:pt>
                <c:pt idx="3">
                  <c:v>57.4354716981132</c:v>
                </c:pt>
                <c:pt idx="4">
                  <c:v>57.0672955974843</c:v>
                </c:pt>
                <c:pt idx="5">
                  <c:v>56.6991194968553</c:v>
                </c:pt>
                <c:pt idx="6">
                  <c:v>56.3309433962264</c:v>
                </c:pt>
                <c:pt idx="7">
                  <c:v>55.9627672955975</c:v>
                </c:pt>
                <c:pt idx="8">
                  <c:v>55.5945911949686</c:v>
                </c:pt>
                <c:pt idx="9">
                  <c:v>55.2264150943396</c:v>
                </c:pt>
                <c:pt idx="10">
                  <c:v>54.8582389937107</c:v>
                </c:pt>
                <c:pt idx="11">
                  <c:v>54.4900628930818</c:v>
                </c:pt>
                <c:pt idx="12">
                  <c:v>54.1218867924528</c:v>
                </c:pt>
                <c:pt idx="13">
                  <c:v>53.7537106918239</c:v>
                </c:pt>
                <c:pt idx="14">
                  <c:v>53.385534591195</c:v>
                </c:pt>
                <c:pt idx="15">
                  <c:v>53.017358490566</c:v>
                </c:pt>
                <c:pt idx="16">
                  <c:v>52.6491823899371</c:v>
                </c:pt>
                <c:pt idx="17">
                  <c:v>52.2810062893082</c:v>
                </c:pt>
                <c:pt idx="18">
                  <c:v>51.9128301886792</c:v>
                </c:pt>
                <c:pt idx="19">
                  <c:v>51.5446540880503</c:v>
                </c:pt>
                <c:pt idx="20">
                  <c:v>51.1764779874214</c:v>
                </c:pt>
                <c:pt idx="21">
                  <c:v>50.8083018867925</c:v>
                </c:pt>
                <c:pt idx="22">
                  <c:v>50.4401257861635</c:v>
                </c:pt>
                <c:pt idx="23">
                  <c:v>50.0719496855346</c:v>
                </c:pt>
                <c:pt idx="24">
                  <c:v>49.7037735849057</c:v>
                </c:pt>
                <c:pt idx="25">
                  <c:v>49.3355974842767</c:v>
                </c:pt>
                <c:pt idx="26">
                  <c:v>48.9674213836478</c:v>
                </c:pt>
                <c:pt idx="27">
                  <c:v>48.5992452830189</c:v>
                </c:pt>
                <c:pt idx="28">
                  <c:v>48.2310691823899</c:v>
                </c:pt>
                <c:pt idx="29">
                  <c:v>47.862893081761</c:v>
                </c:pt>
                <c:pt idx="30">
                  <c:v>47.4947169811321</c:v>
                </c:pt>
                <c:pt idx="31">
                  <c:v>47.1265408805031</c:v>
                </c:pt>
                <c:pt idx="32">
                  <c:v>46.7583647798742</c:v>
                </c:pt>
                <c:pt idx="33">
                  <c:v>46.3901886792453</c:v>
                </c:pt>
                <c:pt idx="34">
                  <c:v>46.0220125786164</c:v>
                </c:pt>
                <c:pt idx="35">
                  <c:v>45.6538364779874</c:v>
                </c:pt>
                <c:pt idx="36">
                  <c:v>45.2856603773585</c:v>
                </c:pt>
                <c:pt idx="37">
                  <c:v>44.9174842767296</c:v>
                </c:pt>
                <c:pt idx="38">
                  <c:v>44.5493081761006</c:v>
                </c:pt>
                <c:pt idx="39">
                  <c:v>44.1811320754717</c:v>
                </c:pt>
                <c:pt idx="40">
                  <c:v>43.8129559748428</c:v>
                </c:pt>
                <c:pt idx="41">
                  <c:v>43.4447798742138</c:v>
                </c:pt>
                <c:pt idx="42">
                  <c:v>43.0766037735849</c:v>
                </c:pt>
                <c:pt idx="43">
                  <c:v>42.708427672956</c:v>
                </c:pt>
                <c:pt idx="44">
                  <c:v>42.3402515723271</c:v>
                </c:pt>
                <c:pt idx="45">
                  <c:v>41.9720754716981</c:v>
                </c:pt>
                <c:pt idx="46">
                  <c:v>41.6038993710692</c:v>
                </c:pt>
                <c:pt idx="47">
                  <c:v>41.2357232704402</c:v>
                </c:pt>
                <c:pt idx="48">
                  <c:v>40.8675471698113</c:v>
                </c:pt>
                <c:pt idx="49">
                  <c:v>40.4993710691824</c:v>
                </c:pt>
                <c:pt idx="50">
                  <c:v>40.1311949685535</c:v>
                </c:pt>
                <c:pt idx="51">
                  <c:v>39.7630188679245</c:v>
                </c:pt>
                <c:pt idx="52">
                  <c:v>39.3948427672956</c:v>
                </c:pt>
                <c:pt idx="53">
                  <c:v>39.0266666666667</c:v>
                </c:pt>
                <c:pt idx="54">
                  <c:v>38.6584905660377</c:v>
                </c:pt>
                <c:pt idx="55">
                  <c:v>38.2903144654088</c:v>
                </c:pt>
                <c:pt idx="56">
                  <c:v>37.9221383647799</c:v>
                </c:pt>
                <c:pt idx="57">
                  <c:v>37.5539622641509</c:v>
                </c:pt>
                <c:pt idx="58">
                  <c:v>37.185786163522</c:v>
                </c:pt>
                <c:pt idx="59">
                  <c:v>36.8176100628931</c:v>
                </c:pt>
                <c:pt idx="60">
                  <c:v>36.4494339622642</c:v>
                </c:pt>
                <c:pt idx="61">
                  <c:v>36.0812578616352</c:v>
                </c:pt>
                <c:pt idx="62">
                  <c:v>35.7130817610063</c:v>
                </c:pt>
                <c:pt idx="63">
                  <c:v>35.3449056603774</c:v>
                </c:pt>
                <c:pt idx="64">
                  <c:v>34.9767295597484</c:v>
                </c:pt>
                <c:pt idx="65">
                  <c:v>34.6085534591195</c:v>
                </c:pt>
                <c:pt idx="66">
                  <c:v>34.2403773584906</c:v>
                </c:pt>
                <c:pt idx="67">
                  <c:v>33.8722012578616</c:v>
                </c:pt>
                <c:pt idx="68">
                  <c:v>33.5040251572327</c:v>
                </c:pt>
                <c:pt idx="69">
                  <c:v>33.1358490566038</c:v>
                </c:pt>
                <c:pt idx="70">
                  <c:v>32.7676729559748</c:v>
                </c:pt>
                <c:pt idx="71">
                  <c:v>32.3994968553459</c:v>
                </c:pt>
                <c:pt idx="72">
                  <c:v>32.031320754717</c:v>
                </c:pt>
                <c:pt idx="73">
                  <c:v>31.6631446540881</c:v>
                </c:pt>
                <c:pt idx="74">
                  <c:v>31.2949685534591</c:v>
                </c:pt>
                <c:pt idx="75">
                  <c:v>30.9267924528302</c:v>
                </c:pt>
                <c:pt idx="76">
                  <c:v>30.5586163522013</c:v>
                </c:pt>
                <c:pt idx="77">
                  <c:v>30.1904402515723</c:v>
                </c:pt>
                <c:pt idx="78">
                  <c:v>29.8222641509434</c:v>
                </c:pt>
                <c:pt idx="79">
                  <c:v>29.4540880503145</c:v>
                </c:pt>
                <c:pt idx="80">
                  <c:v>29.0859119496855</c:v>
                </c:pt>
                <c:pt idx="81">
                  <c:v>28.7177358490566</c:v>
                </c:pt>
                <c:pt idx="82">
                  <c:v>28.3495597484277</c:v>
                </c:pt>
                <c:pt idx="83">
                  <c:v>27.9813836477987</c:v>
                </c:pt>
                <c:pt idx="84">
                  <c:v>27.6132075471698</c:v>
                </c:pt>
                <c:pt idx="85">
                  <c:v>27.2450314465409</c:v>
                </c:pt>
                <c:pt idx="86">
                  <c:v>26.876855345912</c:v>
                </c:pt>
                <c:pt idx="87">
                  <c:v>26.508679245283</c:v>
                </c:pt>
                <c:pt idx="88">
                  <c:v>26.1405031446541</c:v>
                </c:pt>
                <c:pt idx="89">
                  <c:v>25.7723270440252</c:v>
                </c:pt>
                <c:pt idx="90">
                  <c:v>25.4041509433962</c:v>
                </c:pt>
                <c:pt idx="91">
                  <c:v>25.0359748427673</c:v>
                </c:pt>
                <c:pt idx="92">
                  <c:v>24.6677987421384</c:v>
                </c:pt>
                <c:pt idx="93">
                  <c:v>24.2996226415094</c:v>
                </c:pt>
                <c:pt idx="94">
                  <c:v>23.9314465408805</c:v>
                </c:pt>
                <c:pt idx="95">
                  <c:v>23.5632704402516</c:v>
                </c:pt>
                <c:pt idx="96">
                  <c:v>23.1950943396226</c:v>
                </c:pt>
                <c:pt idx="97">
                  <c:v>22.8269182389937</c:v>
                </c:pt>
                <c:pt idx="98">
                  <c:v>22.4587421383648</c:v>
                </c:pt>
                <c:pt idx="99">
                  <c:v>22.0905660377358</c:v>
                </c:pt>
                <c:pt idx="100">
                  <c:v>21.7223899371069</c:v>
                </c:pt>
                <c:pt idx="101">
                  <c:v>21.354213836478</c:v>
                </c:pt>
                <c:pt idx="102">
                  <c:v>20.9860377358491</c:v>
                </c:pt>
                <c:pt idx="103">
                  <c:v>20.6178616352201</c:v>
                </c:pt>
                <c:pt idx="104">
                  <c:v>20.2496855345912</c:v>
                </c:pt>
                <c:pt idx="105">
                  <c:v>19.8815094339623</c:v>
                </c:pt>
                <c:pt idx="106">
                  <c:v>19.5133333333333</c:v>
                </c:pt>
                <c:pt idx="107">
                  <c:v>19.1451572327044</c:v>
                </c:pt>
                <c:pt idx="108">
                  <c:v>18.7769811320755</c:v>
                </c:pt>
                <c:pt idx="109">
                  <c:v>18.4088050314465</c:v>
                </c:pt>
                <c:pt idx="110">
                  <c:v>18.0406289308176</c:v>
                </c:pt>
                <c:pt idx="111">
                  <c:v>17.6724528301887</c:v>
                </c:pt>
                <c:pt idx="112">
                  <c:v>17.3042767295598</c:v>
                </c:pt>
                <c:pt idx="113">
                  <c:v>16.9361006289308</c:v>
                </c:pt>
                <c:pt idx="114">
                  <c:v>16.5679245283019</c:v>
                </c:pt>
                <c:pt idx="115">
                  <c:v>16.199748427673</c:v>
                </c:pt>
                <c:pt idx="116">
                  <c:v>15.831572327044</c:v>
                </c:pt>
                <c:pt idx="117">
                  <c:v>15.4633962264151</c:v>
                </c:pt>
                <c:pt idx="118">
                  <c:v>15.0952201257862</c:v>
                </c:pt>
                <c:pt idx="119">
                  <c:v>14.7270440251572</c:v>
                </c:pt>
                <c:pt idx="120">
                  <c:v>14.3588679245283</c:v>
                </c:pt>
                <c:pt idx="121">
                  <c:v>13.9906918238994</c:v>
                </c:pt>
                <c:pt idx="122">
                  <c:v>13.6225157232704</c:v>
                </c:pt>
                <c:pt idx="123">
                  <c:v>13.2543396226415</c:v>
                </c:pt>
                <c:pt idx="124">
                  <c:v>12.8861635220126</c:v>
                </c:pt>
                <c:pt idx="125">
                  <c:v>12.5179874213836</c:v>
                </c:pt>
                <c:pt idx="126">
                  <c:v>12.1498113207547</c:v>
                </c:pt>
                <c:pt idx="127">
                  <c:v>11.7816352201258</c:v>
                </c:pt>
                <c:pt idx="128">
                  <c:v>11.4134591194969</c:v>
                </c:pt>
                <c:pt idx="129">
                  <c:v>11.0452830188679</c:v>
                </c:pt>
                <c:pt idx="130">
                  <c:v>10.677106918239</c:v>
                </c:pt>
                <c:pt idx="131">
                  <c:v>10.3089308176101</c:v>
                </c:pt>
                <c:pt idx="132">
                  <c:v>9.94075471698113</c:v>
                </c:pt>
                <c:pt idx="133">
                  <c:v>9.5725786163522</c:v>
                </c:pt>
                <c:pt idx="134">
                  <c:v>9.20440251572327</c:v>
                </c:pt>
                <c:pt idx="135">
                  <c:v>8.83622641509435</c:v>
                </c:pt>
                <c:pt idx="136">
                  <c:v>8.46805031446541</c:v>
                </c:pt>
                <c:pt idx="137">
                  <c:v>8.09987421383648</c:v>
                </c:pt>
                <c:pt idx="138">
                  <c:v>7.73169811320755</c:v>
                </c:pt>
                <c:pt idx="139">
                  <c:v>7.36352201257862</c:v>
                </c:pt>
                <c:pt idx="140">
                  <c:v>6.99534591194968</c:v>
                </c:pt>
                <c:pt idx="141">
                  <c:v>6.62716981132076</c:v>
                </c:pt>
                <c:pt idx="142">
                  <c:v>6.25899371069182</c:v>
                </c:pt>
                <c:pt idx="143">
                  <c:v>5.8908176100629</c:v>
                </c:pt>
                <c:pt idx="144">
                  <c:v>5.52264150943396</c:v>
                </c:pt>
                <c:pt idx="145">
                  <c:v>5.15446540880504</c:v>
                </c:pt>
                <c:pt idx="146">
                  <c:v>4.7862893081761</c:v>
                </c:pt>
                <c:pt idx="147">
                  <c:v>4.41811320754717</c:v>
                </c:pt>
                <c:pt idx="148">
                  <c:v>4.04993710691824</c:v>
                </c:pt>
                <c:pt idx="149">
                  <c:v>3.68176100628931</c:v>
                </c:pt>
                <c:pt idx="150">
                  <c:v>3.31358490566038</c:v>
                </c:pt>
                <c:pt idx="151">
                  <c:v>2.94540880503145</c:v>
                </c:pt>
                <c:pt idx="152">
                  <c:v>2.57723270440251</c:v>
                </c:pt>
                <c:pt idx="153">
                  <c:v>2.20905660377359</c:v>
                </c:pt>
                <c:pt idx="154">
                  <c:v>1.84088050314465</c:v>
                </c:pt>
                <c:pt idx="155">
                  <c:v>1.47270440251572</c:v>
                </c:pt>
                <c:pt idx="156">
                  <c:v>1.10452830188679</c:v>
                </c:pt>
                <c:pt idx="157">
                  <c:v>0.736352201257859</c:v>
                </c:pt>
                <c:pt idx="158">
                  <c:v>0.368176100628929</c:v>
                </c:pt>
                <c:pt idx="159">
                  <c:v>0</c:v>
                </c:pt>
              </c:numCache>
            </c:numRef>
          </c:val>
          <c:smooth val="0"/>
        </c:ser>
        <c:hiLowLines>
          <c:spPr>
            <a:ln w="0">
              <a:noFill/>
            </a:ln>
          </c:spPr>
        </c:hiLowLines>
        <c:marker val="0"/>
        <c:axId val="46008119"/>
        <c:axId val="61122059"/>
      </c:lineChart>
      <c:dateAx>
        <c:axId val="97962464"/>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2565678"/>
        <c:auto val="1"/>
        <c:lblOffset val="100"/>
        <c:baseTimeUnit val="days"/>
      </c:dateAx>
      <c:valAx>
        <c:axId val="3256567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7962464"/>
        <c:crosses val="autoZero"/>
        <c:crossBetween val="between"/>
      </c:valAx>
      <c:dateAx>
        <c:axId val="46008119"/>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1122059"/>
        <c:auto val="1"/>
        <c:lblOffset val="100"/>
        <c:baseTimeUnit val="days"/>
      </c:dateAx>
      <c:valAx>
        <c:axId val="61122059"/>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6008119"/>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VFLO</a:t>
            </a:r>
          </a:p>
        </c:rich>
      </c:tx>
      <c:overlay val="0"/>
      <c:spPr>
        <a:noFill/>
        <a:ln w="0">
          <a:noFill/>
        </a:ln>
      </c:spPr>
    </c:title>
    <c:autoTitleDeleted val="0"/>
    <c:plotArea>
      <c:barChart>
        <c:barDir val="col"/>
        <c:grouping val="clustered"/>
        <c:varyColors val="0"/>
        <c:ser>
          <c:idx val="0"/>
          <c:order val="0"/>
          <c:tx>
            <c:strRef>
              <c:f>'Returns (Calc)'!$T$2</c:f>
              <c:strCache>
                <c:ptCount val="1"/>
                <c:pt idx="0">
                  <c:v>VFLO</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(Calc)'!$T$3:$T$500</c:f>
              <c:numCache>
                <c:formatCode>0.0%</c:formatCode>
                <c:ptCount val="498"/>
                <c:pt idx="0">
                  <c:v>-0.0267558528428093</c:v>
                </c:pt>
                <c:pt idx="1">
                  <c:v>-0.00801832760595655</c:v>
                </c:pt>
                <c:pt idx="2">
                  <c:v>0.0261739799846035</c:v>
                </c:pt>
                <c:pt idx="3">
                  <c:v>-0.00712678169542391</c:v>
                </c:pt>
                <c:pt idx="4">
                  <c:v>-0.0064223649414431</c:v>
                </c:pt>
                <c:pt idx="5">
                  <c:v>-0.0148288973384031</c:v>
                </c:pt>
                <c:pt idx="6">
                  <c:v>0.00270165959089153</c:v>
                </c:pt>
                <c:pt idx="7">
                  <c:v>-0.0184757505773672</c:v>
                </c:pt>
                <c:pt idx="8">
                  <c:v>0.0129411764705882</c:v>
                </c:pt>
                <c:pt idx="9">
                  <c:v>-0.0127758420441346</c:v>
                </c:pt>
                <c:pt idx="10">
                  <c:v>-0.0329411764705883</c:v>
                </c:pt>
                <c:pt idx="11">
                  <c:v>0.0587996755879967</c:v>
                </c:pt>
                <c:pt idx="12">
                  <c:v>-0.00689391037916509</c:v>
                </c:pt>
                <c:pt idx="13">
                  <c:v>0.0254531430775165</c:v>
                </c:pt>
                <c:pt idx="14">
                  <c:v>0.00714554343738261</c:v>
                </c:pt>
                <c:pt idx="15">
                  <c:v>0.0134428678117999</c:v>
                </c:pt>
                <c:pt idx="16">
                  <c:v>0.00884303610906412</c:v>
                </c:pt>
                <c:pt idx="17">
                  <c:v>0.0277574872169468</c:v>
                </c:pt>
                <c:pt idx="18">
                  <c:v>0.00959488272921116</c:v>
                </c:pt>
                <c:pt idx="19">
                  <c:v>-0.0024639211545231</c:v>
                </c:pt>
                <c:pt idx="20">
                  <c:v>0.00105857445307</c:v>
                </c:pt>
                <c:pt idx="21">
                  <c:v>-0.00281988015509349</c:v>
                </c:pt>
                <c:pt idx="22">
                  <c:v>-0.00954400848356307</c:v>
                </c:pt>
                <c:pt idx="23">
                  <c:v>0.00820842255531762</c:v>
                </c:pt>
                <c:pt idx="24">
                  <c:v>0.00955752212389371</c:v>
                </c:pt>
                <c:pt idx="25">
                  <c:v>0.0038569424964936</c:v>
                </c:pt>
                <c:pt idx="26">
                  <c:v>0.00838281522878104</c:v>
                </c:pt>
                <c:pt idx="27">
                  <c:v>0.0218219605126428</c:v>
                </c:pt>
                <c:pt idx="28">
                  <c:v>0.0220338983050847</c:v>
                </c:pt>
                <c:pt idx="29">
                  <c:v>0.0195688225538972</c:v>
                </c:pt>
                <c:pt idx="30">
                  <c:v>0.0136629798308394</c:v>
                </c:pt>
                <c:pt idx="31">
                  <c:v>0.0240693196405648</c:v>
                </c:pt>
                <c:pt idx="32">
                  <c:v>0.0156690692572861</c:v>
                </c:pt>
                <c:pt idx="33">
                  <c:v>-0.00246837395865474</c:v>
                </c:pt>
                <c:pt idx="34">
                  <c:v>-0.0259820600061862</c:v>
                </c:pt>
                <c:pt idx="35">
                  <c:v>-0.017783423308987</c:v>
                </c:pt>
                <c:pt idx="36">
                  <c:v>0.0126091173617846</c:v>
                </c:pt>
                <c:pt idx="37">
                  <c:v>-0.0156449553001278</c:v>
                </c:pt>
                <c:pt idx="38">
                  <c:v>0.0220564385338957</c:v>
                </c:pt>
                <c:pt idx="39">
                  <c:v>0.00920342748333858</c:v>
                </c:pt>
                <c:pt idx="40">
                  <c:v>-0.0169811320754717</c:v>
                </c:pt>
                <c:pt idx="41">
                  <c:v>0.0115163147792705</c:v>
                </c:pt>
                <c:pt idx="42">
                  <c:v>-0.0211891208096142</c:v>
                </c:pt>
                <c:pt idx="43">
                  <c:v>-0.00420032310177698</c:v>
                </c:pt>
                <c:pt idx="44">
                  <c:v>0.00973393900064901</c:v>
                </c:pt>
                <c:pt idx="45">
                  <c:v>-0.00642673521850901</c:v>
                </c:pt>
                <c:pt idx="46">
                  <c:v>-0.0200517464424321</c:v>
                </c:pt>
                <c:pt idx="47">
                  <c:v>0.0382838283828384</c:v>
                </c:pt>
                <c:pt idx="48">
                  <c:v>0.0152574698029244</c:v>
                </c:pt>
                <c:pt idx="49">
                  <c:v>0.0178459611772073</c:v>
                </c:pt>
                <c:pt idx="50">
                  <c:v>-0.0286065825899723</c:v>
                </c:pt>
                <c:pt idx="51">
                  <c:v>-0.00158328055731471</c:v>
                </c:pt>
                <c:pt idx="52">
                  <c:v>0.0161750713606088</c:v>
                </c:pt>
                <c:pt idx="53">
                  <c:v>0.0327715355805245</c:v>
                </c:pt>
                <c:pt idx="54">
                  <c:v>0.00332426715019651</c:v>
                </c:pt>
                <c:pt idx="55">
                  <c:v>-0.041265060240964</c:v>
                </c:pt>
                <c:pt idx="56">
                  <c:v>0.0235626767200754</c:v>
                </c:pt>
                <c:pt idx="57">
                  <c:v>0.0171884591774096</c:v>
                </c:pt>
                <c:pt idx="58">
                  <c:v>0.00211225105612556</c:v>
                </c:pt>
                <c:pt idx="59">
                  <c:v>0.0186690755796446</c:v>
                </c:pt>
                <c:pt idx="60">
                  <c:v>0.00354714750221707</c:v>
                </c:pt>
                <c:pt idx="61">
                  <c:v>-0.00471281296023574</c:v>
                </c:pt>
                <c:pt idx="62">
                  <c:v>-0.0192364604912696</c:v>
                </c:pt>
                <c:pt idx="63">
                  <c:v>0.000603500301749937</c:v>
                </c:pt>
                <c:pt idx="64">
                  <c:v>0.0775030156815439</c:v>
                </c:pt>
                <c:pt idx="65">
                  <c:v>-0.0153932269801287</c:v>
                </c:pt>
                <c:pt idx="66">
                  <c:v>0.0386583285957931</c:v>
                </c:pt>
                <c:pt idx="67">
                  <c:v>0.00191570881226055</c:v>
                </c:pt>
                <c:pt idx="68">
                  <c:v>-0.00081944823818636</c:v>
                </c:pt>
                <c:pt idx="69">
                  <c:v>-0.0440131219245489</c:v>
                </c:pt>
                <c:pt idx="70">
                  <c:v>-0.0305976551329711</c:v>
                </c:pt>
                <c:pt idx="71">
                  <c:v>0.00914454277286136</c:v>
                </c:pt>
                <c:pt idx="72">
                  <c:v>0.00760011692487561</c:v>
                </c:pt>
                <c:pt idx="73">
                  <c:v>-0.000290107339715684</c:v>
                </c:pt>
                <c:pt idx="74">
                  <c:v>0.038595473012188</c:v>
                </c:pt>
                <c:pt idx="75">
                  <c:v>0.00251466890192797</c:v>
                </c:pt>
                <c:pt idx="76">
                  <c:v>-0.0103121516164996</c:v>
                </c:pt>
                <c:pt idx="77">
                  <c:v>-0.00872993522951271</c:v>
                </c:pt>
                <c:pt idx="78">
                  <c:v>0.0116477272727271</c:v>
                </c:pt>
                <c:pt idx="79">
                  <c:v>-0.00336983993260309</c:v>
                </c:pt>
                <c:pt idx="80">
                  <c:v>-0.00479008171315865</c:v>
                </c:pt>
                <c:pt idx="81">
                  <c:v>-0.0144394110985276</c:v>
                </c:pt>
                <c:pt idx="82">
                  <c:v>-0.020683711577133</c:v>
                </c:pt>
                <c:pt idx="83">
                  <c:v>0.0170137870343208</c:v>
                </c:pt>
                <c:pt idx="84">
                  <c:v>-0.0164407268531872</c:v>
                </c:pt>
                <c:pt idx="85">
                  <c:v>-0.092375366568915</c:v>
                </c:pt>
                <c:pt idx="86">
                  <c:v>0.0197092084006463</c:v>
                </c:pt>
                <c:pt idx="87">
                  <c:v>0.00697084917617241</c:v>
                </c:pt>
                <c:pt idx="88">
                  <c:v>0.0330396475770924</c:v>
                </c:pt>
                <c:pt idx="89">
                  <c:v>0.0191897654584223</c:v>
                </c:pt>
                <c:pt idx="90">
                  <c:v>-0.00179318589360433</c:v>
                </c:pt>
                <c:pt idx="91">
                  <c:v>0.0431137724550901</c:v>
                </c:pt>
                <c:pt idx="92">
                  <c:v>-0.0347301951779564</c:v>
                </c:pt>
                <c:pt idx="93">
                  <c:v>0.007731192387749</c:v>
                </c:pt>
                <c:pt idx="94">
                  <c:v>0.023605783416937</c:v>
                </c:pt>
                <c:pt idx="95">
                  <c:v>0.0109541654655521</c:v>
                </c:pt>
                <c:pt idx="96">
                  <c:v>-0.00114057599087536</c:v>
                </c:pt>
                <c:pt idx="97">
                  <c:v>0.00856408792463603</c:v>
                </c:pt>
                <c:pt idx="98">
                  <c:v>0.0124540050948203</c:v>
                </c:pt>
                <c:pt idx="99">
                  <c:v>0.00195694716242656</c:v>
                </c:pt>
                <c:pt idx="100">
                  <c:v>-0.0212053571428573</c:v>
                </c:pt>
                <c:pt idx="101">
                  <c:v>0.0219498289623719</c:v>
                </c:pt>
                <c:pt idx="102">
                  <c:v>-0.0418410041841004</c:v>
                </c:pt>
                <c:pt idx="103">
                  <c:v>0.00989810771470157</c:v>
                </c:pt>
                <c:pt idx="104">
                  <c:v>0.0394926491784378</c:v>
                </c:pt>
                <c:pt idx="105">
                  <c:v>0.0257903494176373</c:v>
                </c:pt>
                <c:pt idx="106">
                  <c:v>0.00919167342524996</c:v>
                </c:pt>
                <c:pt idx="107">
                  <c:v>0.00750066970265206</c:v>
                </c:pt>
                <c:pt idx="108">
                  <c:v>-0.00292475405477266</c:v>
                </c:pt>
                <c:pt idx="109">
                  <c:v>-0.0013333333333333</c:v>
                </c:pt>
                <c:pt idx="110">
                  <c:v>0.0077436582109478</c:v>
                </c:pt>
                <c:pt idx="111">
                  <c:v>0.00344462109167987</c:v>
                </c:pt>
                <c:pt idx="112">
                  <c:v>-0.0340639028254555</c:v>
                </c:pt>
                <c:pt idx="113">
                  <c:v>0.0139420448332424</c:v>
                </c:pt>
                <c:pt idx="114">
                  <c:v>0.0261526017794553</c:v>
                </c:pt>
                <c:pt idx="115">
                  <c:v>-0.0063058328954283</c:v>
                </c:pt>
                <c:pt idx="116">
                  <c:v>0.00158646218931779</c:v>
                </c:pt>
                <c:pt idx="117">
                  <c:v>0.0110876451953537</c:v>
                </c:pt>
                <c:pt idx="118">
                  <c:v>-0.0201044386422975</c:v>
                </c:pt>
                <c:pt idx="119">
                  <c:v>0.0343725019984014</c:v>
                </c:pt>
                <c:pt idx="120">
                  <c:v>0.0154559505409584</c:v>
                </c:pt>
                <c:pt idx="121">
                  <c:v>0.00710299340436338</c:v>
                </c:pt>
                <c:pt idx="122">
                  <c:v>-0.00428211586901772</c:v>
                </c:pt>
                <c:pt idx="123">
                  <c:v>0.00657728307614458</c:v>
                </c:pt>
                <c:pt idx="124">
                  <c:v>-0.0092988187986931</c:v>
                </c:pt>
                <c:pt idx="125">
                  <c:v>0.0256215119228818</c:v>
                </c:pt>
                <c:pt idx="126">
                  <c:v>-0.0202819688350235</c:v>
                </c:pt>
                <c:pt idx="127">
                  <c:v>0.0063115374905327</c:v>
                </c:pt>
                <c:pt idx="128">
                  <c:v>-0.00978424485699947</c:v>
                </c:pt>
                <c:pt idx="129">
                  <c:v>0.0243222700785406</c:v>
                </c:pt>
                <c:pt idx="130">
                  <c:v>-0.00420479841701715</c:v>
                </c:pt>
                <c:pt idx="131">
                  <c:v>0.00198708395429725</c:v>
                </c:pt>
                <c:pt idx="132">
                  <c:v>0.00347050074367861</c:v>
                </c:pt>
                <c:pt idx="133">
                  <c:v>-0.00914031620553357</c:v>
                </c:pt>
                <c:pt idx="134">
                  <c:v>-0.0226876090750435</c:v>
                </c:pt>
                <c:pt idx="135">
                  <c:v>0.00102040816326521</c:v>
                </c:pt>
                <c:pt idx="136">
                  <c:v>-0.012487257900102</c:v>
                </c:pt>
                <c:pt idx="137">
                  <c:v>0.0281290322580645</c:v>
                </c:pt>
                <c:pt idx="138">
                  <c:v>-0.0050200803212852</c:v>
                </c:pt>
                <c:pt idx="139">
                  <c:v>0.0534813319878908</c:v>
                </c:pt>
                <c:pt idx="140">
                  <c:v>-0.00574712643678144</c:v>
                </c:pt>
                <c:pt idx="141">
                  <c:v>0.0257707129094413</c:v>
                </c:pt>
                <c:pt idx="142">
                  <c:v>0.0241840807701337</c:v>
                </c:pt>
                <c:pt idx="143">
                  <c:v>-0.0256762952773957</c:v>
                </c:pt>
                <c:pt idx="144">
                  <c:v>0.0395294117647058</c:v>
                </c:pt>
                <c:pt idx="145">
                  <c:v>0.0540968764146672</c:v>
                </c:pt>
                <c:pt idx="146">
                  <c:v>-0.0111659866867082</c:v>
                </c:pt>
                <c:pt idx="147">
                  <c:v>0.00521172638436496</c:v>
                </c:pt>
                <c:pt idx="148">
                  <c:v>-0.0224670555195506</c:v>
                </c:pt>
                <c:pt idx="149">
                  <c:v>0.0207734806629833</c:v>
                </c:pt>
                <c:pt idx="150">
                  <c:v>0.0175362632604461</c:v>
                </c:pt>
                <c:pt idx="151">
                  <c:v>0.00829787234042545</c:v>
                </c:pt>
                <c:pt idx="152">
                  <c:v>0.0086516142646127</c:v>
                </c:pt>
                <c:pt idx="153">
                  <c:v>0.00711297071129713</c:v>
                </c:pt>
                <c:pt idx="154">
                  <c:v>0.0332363938512672</c:v>
                </c:pt>
                <c:pt idx="155">
                  <c:v>0.0345798150381986</c:v>
                </c:pt>
                <c:pt idx="156">
                  <c:v>0.0437232802176448</c:v>
                </c:pt>
                <c:pt idx="157">
                  <c:v>0.0323962018246138</c:v>
                </c:pt>
                <c:pt idx="158">
                  <c:v>0.00378719567177632</c:v>
                </c:pt>
                <c:pt idx="159">
                  <c:v>-0.00664750269493353</c:v>
                </c:pt>
              </c:numCache>
            </c:numRef>
          </c:val>
        </c:ser>
        <c:gapWidth val="150"/>
        <c:overlap val="0"/>
        <c:axId val="72817671"/>
        <c:axId val="31386545"/>
      </c:barChart>
      <c:lineChart>
        <c:grouping val="standard"/>
        <c:varyColors val="0"/>
        <c:ser>
          <c:idx val="1"/>
          <c:order val="1"/>
          <c:tx>
            <c:strRef>
              <c:f>'Returns (Calc)'!$AN$2</c:f>
              <c:strCache>
                <c:ptCount val="1"/>
                <c:pt idx="0">
                  <c:v>VFLO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(Calc)'!$AN$3:$AN$500</c:f>
              <c:numCache>
                <c:formatCode>#,##0.00</c:formatCode>
                <c:ptCount val="498"/>
                <c:pt idx="0">
                  <c:v>26.91</c:v>
                </c:pt>
                <c:pt idx="1">
                  <c:v>26.7407547169811</c:v>
                </c:pt>
                <c:pt idx="2">
                  <c:v>26.5715094339623</c:v>
                </c:pt>
                <c:pt idx="3">
                  <c:v>26.4022641509434</c:v>
                </c:pt>
                <c:pt idx="4">
                  <c:v>26.2330188679245</c:v>
                </c:pt>
                <c:pt idx="5">
                  <c:v>26.0637735849057</c:v>
                </c:pt>
                <c:pt idx="6">
                  <c:v>25.8945283018868</c:v>
                </c:pt>
                <c:pt idx="7">
                  <c:v>25.7252830188679</c:v>
                </c:pt>
                <c:pt idx="8">
                  <c:v>25.5560377358491</c:v>
                </c:pt>
                <c:pt idx="9">
                  <c:v>25.3867924528302</c:v>
                </c:pt>
                <c:pt idx="10">
                  <c:v>25.2175471698113</c:v>
                </c:pt>
                <c:pt idx="11">
                  <c:v>25.0483018867925</c:v>
                </c:pt>
                <c:pt idx="12">
                  <c:v>24.8790566037736</c:v>
                </c:pt>
                <c:pt idx="13">
                  <c:v>24.7098113207547</c:v>
                </c:pt>
                <c:pt idx="14">
                  <c:v>24.5405660377359</c:v>
                </c:pt>
                <c:pt idx="15">
                  <c:v>24.371320754717</c:v>
                </c:pt>
                <c:pt idx="16">
                  <c:v>24.2020754716981</c:v>
                </c:pt>
                <c:pt idx="17">
                  <c:v>24.0328301886792</c:v>
                </c:pt>
                <c:pt idx="18">
                  <c:v>23.8635849056604</c:v>
                </c:pt>
                <c:pt idx="19">
                  <c:v>23.6943396226415</c:v>
                </c:pt>
                <c:pt idx="20">
                  <c:v>23.5250943396226</c:v>
                </c:pt>
                <c:pt idx="21">
                  <c:v>23.3558490566038</c:v>
                </c:pt>
                <c:pt idx="22">
                  <c:v>23.1866037735849</c:v>
                </c:pt>
                <c:pt idx="23">
                  <c:v>23.017358490566</c:v>
                </c:pt>
                <c:pt idx="24">
                  <c:v>22.8481132075472</c:v>
                </c:pt>
                <c:pt idx="25">
                  <c:v>22.6788679245283</c:v>
                </c:pt>
                <c:pt idx="26">
                  <c:v>22.5096226415094</c:v>
                </c:pt>
                <c:pt idx="27">
                  <c:v>22.3403773584906</c:v>
                </c:pt>
                <c:pt idx="28">
                  <c:v>22.1711320754717</c:v>
                </c:pt>
                <c:pt idx="29">
                  <c:v>22.0018867924528</c:v>
                </c:pt>
                <c:pt idx="30">
                  <c:v>21.832641509434</c:v>
                </c:pt>
                <c:pt idx="31">
                  <c:v>21.6633962264151</c:v>
                </c:pt>
                <c:pt idx="32">
                  <c:v>21.4941509433962</c:v>
                </c:pt>
                <c:pt idx="33">
                  <c:v>21.3249056603774</c:v>
                </c:pt>
                <c:pt idx="34">
                  <c:v>21.1556603773585</c:v>
                </c:pt>
                <c:pt idx="35">
                  <c:v>20.9864150943396</c:v>
                </c:pt>
                <c:pt idx="36">
                  <c:v>20.8171698113208</c:v>
                </c:pt>
                <c:pt idx="37">
                  <c:v>20.6479245283019</c:v>
                </c:pt>
                <c:pt idx="38">
                  <c:v>20.478679245283</c:v>
                </c:pt>
                <c:pt idx="39">
                  <c:v>20.3094339622642</c:v>
                </c:pt>
                <c:pt idx="40">
                  <c:v>20.1401886792453</c:v>
                </c:pt>
                <c:pt idx="41">
                  <c:v>19.9709433962264</c:v>
                </c:pt>
                <c:pt idx="42">
                  <c:v>19.8016981132075</c:v>
                </c:pt>
                <c:pt idx="43">
                  <c:v>19.6324528301887</c:v>
                </c:pt>
                <c:pt idx="44">
                  <c:v>19.4632075471698</c:v>
                </c:pt>
                <c:pt idx="45">
                  <c:v>19.2939622641509</c:v>
                </c:pt>
                <c:pt idx="46">
                  <c:v>19.1247169811321</c:v>
                </c:pt>
                <c:pt idx="47">
                  <c:v>18.9554716981132</c:v>
                </c:pt>
                <c:pt idx="48">
                  <c:v>18.7862264150943</c:v>
                </c:pt>
                <c:pt idx="49">
                  <c:v>18.6169811320755</c:v>
                </c:pt>
                <c:pt idx="50">
                  <c:v>18.4477358490566</c:v>
                </c:pt>
                <c:pt idx="51">
                  <c:v>18.2784905660377</c:v>
                </c:pt>
                <c:pt idx="52">
                  <c:v>18.1092452830189</c:v>
                </c:pt>
                <c:pt idx="53">
                  <c:v>17.94</c:v>
                </c:pt>
                <c:pt idx="54">
                  <c:v>17.7707547169811</c:v>
                </c:pt>
                <c:pt idx="55">
                  <c:v>17.6015094339623</c:v>
                </c:pt>
                <c:pt idx="56">
                  <c:v>17.4322641509434</c:v>
                </c:pt>
                <c:pt idx="57">
                  <c:v>17.2630188679245</c:v>
                </c:pt>
                <c:pt idx="58">
                  <c:v>17.0937735849057</c:v>
                </c:pt>
                <c:pt idx="59">
                  <c:v>16.9245283018868</c:v>
                </c:pt>
                <c:pt idx="60">
                  <c:v>16.7552830188679</c:v>
                </c:pt>
                <c:pt idx="61">
                  <c:v>16.5860377358491</c:v>
                </c:pt>
                <c:pt idx="62">
                  <c:v>16.4167924528302</c:v>
                </c:pt>
                <c:pt idx="63">
                  <c:v>16.2475471698113</c:v>
                </c:pt>
                <c:pt idx="64">
                  <c:v>16.0783018867925</c:v>
                </c:pt>
                <c:pt idx="65">
                  <c:v>15.9090566037736</c:v>
                </c:pt>
                <c:pt idx="66">
                  <c:v>15.7398113207547</c:v>
                </c:pt>
                <c:pt idx="67">
                  <c:v>15.5705660377359</c:v>
                </c:pt>
                <c:pt idx="68">
                  <c:v>15.401320754717</c:v>
                </c:pt>
                <c:pt idx="69">
                  <c:v>15.2320754716981</c:v>
                </c:pt>
                <c:pt idx="70">
                  <c:v>15.0628301886792</c:v>
                </c:pt>
                <c:pt idx="71">
                  <c:v>14.8935849056604</c:v>
                </c:pt>
                <c:pt idx="72">
                  <c:v>14.7243396226415</c:v>
                </c:pt>
                <c:pt idx="73">
                  <c:v>14.5550943396226</c:v>
                </c:pt>
                <c:pt idx="74">
                  <c:v>14.3858490566038</c:v>
                </c:pt>
                <c:pt idx="75">
                  <c:v>14.2166037735849</c:v>
                </c:pt>
                <c:pt idx="76">
                  <c:v>14.047358490566</c:v>
                </c:pt>
                <c:pt idx="77">
                  <c:v>13.8781132075472</c:v>
                </c:pt>
                <c:pt idx="78">
                  <c:v>13.7088679245283</c:v>
                </c:pt>
                <c:pt idx="79">
                  <c:v>13.5396226415094</c:v>
                </c:pt>
                <c:pt idx="80">
                  <c:v>13.3703773584906</c:v>
                </c:pt>
                <c:pt idx="81">
                  <c:v>13.2011320754717</c:v>
                </c:pt>
                <c:pt idx="82">
                  <c:v>13.0318867924528</c:v>
                </c:pt>
                <c:pt idx="83">
                  <c:v>12.862641509434</c:v>
                </c:pt>
                <c:pt idx="84">
                  <c:v>12.6933962264151</c:v>
                </c:pt>
                <c:pt idx="85">
                  <c:v>12.5241509433962</c:v>
                </c:pt>
                <c:pt idx="86">
                  <c:v>12.3549056603774</c:v>
                </c:pt>
                <c:pt idx="87">
                  <c:v>12.1856603773585</c:v>
                </c:pt>
                <c:pt idx="88">
                  <c:v>12.0164150943396</c:v>
                </c:pt>
                <c:pt idx="89">
                  <c:v>11.8471698113208</c:v>
                </c:pt>
                <c:pt idx="90">
                  <c:v>11.6779245283019</c:v>
                </c:pt>
                <c:pt idx="91">
                  <c:v>11.508679245283</c:v>
                </c:pt>
                <c:pt idx="92">
                  <c:v>11.3394339622642</c:v>
                </c:pt>
                <c:pt idx="93">
                  <c:v>11.1701886792453</c:v>
                </c:pt>
                <c:pt idx="94">
                  <c:v>11.0009433962264</c:v>
                </c:pt>
                <c:pt idx="95">
                  <c:v>10.8316981132075</c:v>
                </c:pt>
                <c:pt idx="96">
                  <c:v>10.6624528301887</c:v>
                </c:pt>
                <c:pt idx="97">
                  <c:v>10.4932075471698</c:v>
                </c:pt>
                <c:pt idx="98">
                  <c:v>10.3239622641509</c:v>
                </c:pt>
                <c:pt idx="99">
                  <c:v>10.1547169811321</c:v>
                </c:pt>
                <c:pt idx="100">
                  <c:v>9.98547169811321</c:v>
                </c:pt>
                <c:pt idx="101">
                  <c:v>9.81622641509434</c:v>
                </c:pt>
                <c:pt idx="102">
                  <c:v>9.64698113207547</c:v>
                </c:pt>
                <c:pt idx="103">
                  <c:v>9.4777358490566</c:v>
                </c:pt>
                <c:pt idx="104">
                  <c:v>9.30849056603774</c:v>
                </c:pt>
                <c:pt idx="105">
                  <c:v>9.13924528301887</c:v>
                </c:pt>
                <c:pt idx="106">
                  <c:v>8.97</c:v>
                </c:pt>
                <c:pt idx="107">
                  <c:v>8.80075471698113</c:v>
                </c:pt>
                <c:pt idx="108">
                  <c:v>8.63150943396227</c:v>
                </c:pt>
                <c:pt idx="109">
                  <c:v>8.4622641509434</c:v>
                </c:pt>
                <c:pt idx="110">
                  <c:v>8.29301886792453</c:v>
                </c:pt>
                <c:pt idx="111">
                  <c:v>8.12377358490566</c:v>
                </c:pt>
                <c:pt idx="112">
                  <c:v>7.95452830188679</c:v>
                </c:pt>
                <c:pt idx="113">
                  <c:v>7.78528301886793</c:v>
                </c:pt>
                <c:pt idx="114">
                  <c:v>7.61603773584906</c:v>
                </c:pt>
                <c:pt idx="115">
                  <c:v>7.44679245283019</c:v>
                </c:pt>
                <c:pt idx="116">
                  <c:v>7.27754716981132</c:v>
                </c:pt>
                <c:pt idx="117">
                  <c:v>7.10830188679245</c:v>
                </c:pt>
                <c:pt idx="118">
                  <c:v>6.93905660377358</c:v>
                </c:pt>
                <c:pt idx="119">
                  <c:v>6.76981132075472</c:v>
                </c:pt>
                <c:pt idx="120">
                  <c:v>6.60056603773585</c:v>
                </c:pt>
                <c:pt idx="121">
                  <c:v>6.43132075471698</c:v>
                </c:pt>
                <c:pt idx="122">
                  <c:v>6.26207547169812</c:v>
                </c:pt>
                <c:pt idx="123">
                  <c:v>6.09283018867925</c:v>
                </c:pt>
                <c:pt idx="124">
                  <c:v>5.92358490566038</c:v>
                </c:pt>
                <c:pt idx="125">
                  <c:v>5.75433962264151</c:v>
                </c:pt>
                <c:pt idx="126">
                  <c:v>5.58509433962264</c:v>
                </c:pt>
                <c:pt idx="127">
                  <c:v>5.41584905660377</c:v>
                </c:pt>
                <c:pt idx="128">
                  <c:v>5.24660377358491</c:v>
                </c:pt>
                <c:pt idx="129">
                  <c:v>5.07735849056604</c:v>
                </c:pt>
                <c:pt idx="130">
                  <c:v>4.90811320754717</c:v>
                </c:pt>
                <c:pt idx="131">
                  <c:v>4.7388679245283</c:v>
                </c:pt>
                <c:pt idx="132">
                  <c:v>4.56962264150944</c:v>
                </c:pt>
                <c:pt idx="133">
                  <c:v>4.40037735849057</c:v>
                </c:pt>
                <c:pt idx="134">
                  <c:v>4.2311320754717</c:v>
                </c:pt>
                <c:pt idx="135">
                  <c:v>4.06188679245283</c:v>
                </c:pt>
                <c:pt idx="136">
                  <c:v>3.89264150943396</c:v>
                </c:pt>
                <c:pt idx="137">
                  <c:v>3.72339622641509</c:v>
                </c:pt>
                <c:pt idx="138">
                  <c:v>3.55415094339623</c:v>
                </c:pt>
                <c:pt idx="139">
                  <c:v>3.38490566037736</c:v>
                </c:pt>
                <c:pt idx="140">
                  <c:v>3.21566037735849</c:v>
                </c:pt>
                <c:pt idx="141">
                  <c:v>3.04641509433962</c:v>
                </c:pt>
                <c:pt idx="142">
                  <c:v>2.87716981132076</c:v>
                </c:pt>
                <c:pt idx="143">
                  <c:v>2.70792452830189</c:v>
                </c:pt>
                <c:pt idx="144">
                  <c:v>2.53867924528302</c:v>
                </c:pt>
                <c:pt idx="145">
                  <c:v>2.36943396226415</c:v>
                </c:pt>
                <c:pt idx="146">
                  <c:v>2.20018867924528</c:v>
                </c:pt>
                <c:pt idx="147">
                  <c:v>2.03094339622642</c:v>
                </c:pt>
                <c:pt idx="148">
                  <c:v>1.86169811320755</c:v>
                </c:pt>
                <c:pt idx="149">
                  <c:v>1.69245283018868</c:v>
                </c:pt>
                <c:pt idx="150">
                  <c:v>1.52320754716981</c:v>
                </c:pt>
                <c:pt idx="151">
                  <c:v>1.35396226415094</c:v>
                </c:pt>
                <c:pt idx="152">
                  <c:v>1.18471698113207</c:v>
                </c:pt>
                <c:pt idx="153">
                  <c:v>1.01547169811321</c:v>
                </c:pt>
                <c:pt idx="154">
                  <c:v>0.846226415094339</c:v>
                </c:pt>
                <c:pt idx="155">
                  <c:v>0.676981132075472</c:v>
                </c:pt>
                <c:pt idx="156">
                  <c:v>0.507735849056605</c:v>
                </c:pt>
                <c:pt idx="157">
                  <c:v>0.338490566037738</c:v>
                </c:pt>
                <c:pt idx="158">
                  <c:v>0.169245283018871</c:v>
                </c:pt>
                <c:pt idx="159">
                  <c:v>0</c:v>
                </c:pt>
              </c:numCache>
            </c:numRef>
          </c:val>
          <c:smooth val="0"/>
        </c:ser>
        <c:hiLowLines>
          <c:spPr>
            <a:ln w="0">
              <a:noFill/>
            </a:ln>
          </c:spPr>
        </c:hiLowLines>
        <c:marker val="0"/>
        <c:axId val="42020161"/>
        <c:axId val="41502725"/>
      </c:lineChart>
      <c:dateAx>
        <c:axId val="72817671"/>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1386545"/>
        <c:auto val="1"/>
        <c:lblOffset val="100"/>
        <c:baseTimeUnit val="days"/>
      </c:dateAx>
      <c:valAx>
        <c:axId val="3138654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2817671"/>
        <c:crosses val="autoZero"/>
        <c:crossBetween val="between"/>
      </c:valAx>
      <c:dateAx>
        <c:axId val="42020161"/>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1502725"/>
        <c:auto val="1"/>
        <c:lblOffset val="100"/>
        <c:baseTimeUnit val="days"/>
      </c:dateAx>
      <c:valAx>
        <c:axId val="41502725"/>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020161"/>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800" b="1" u="none" strike="noStrike">
                <a:solidFill>
                  <a:srgbClr val="000000"/>
                </a:solidFill>
                <a:uFillTx/>
                <a:latin typeface="Calibri"/>
              </a:rPr>
              <a:t>V</a:t>
            </a:r>
          </a:p>
        </c:rich>
      </c:tx>
      <c:overlay val="0"/>
      <c:spPr>
        <a:noFill/>
        <a:ln w="0">
          <a:noFill/>
        </a:ln>
      </c:spPr>
    </c:title>
    <c:autoTitleDeleted val="0"/>
    <c:plotArea>
      <c:barChart>
        <c:barDir val="col"/>
        <c:grouping val="clustered"/>
        <c:varyColors val="0"/>
        <c:ser>
          <c:idx val="0"/>
          <c:order val="0"/>
          <c:tx>
            <c:strRef>
              <c:f>'Returns (Calc)'!$V$2</c:f>
              <c:strCache>
                <c:ptCount val="1"/>
                <c:pt idx="0">
                  <c:v>V</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(Calc)'!$V$3:$V$500</c:f>
              <c:numCache>
                <c:formatCode>0.0%</c:formatCode>
                <c:ptCount val="498"/>
                <c:pt idx="4">
                  <c:v>-0.025154110297464</c:v>
                </c:pt>
                <c:pt idx="5">
                  <c:v>-0.0248270593727454</c:v>
                </c:pt>
                <c:pt idx="6">
                  <c:v>-0.0215858647401863</c:v>
                </c:pt>
                <c:pt idx="7">
                  <c:v>0.0218841740058715</c:v>
                </c:pt>
                <c:pt idx="8">
                  <c:v>0.0111865587185513</c:v>
                </c:pt>
                <c:pt idx="9">
                  <c:v>-0.0180362446730662</c:v>
                </c:pt>
                <c:pt idx="10">
                  <c:v>-0.0176223040504998</c:v>
                </c:pt>
                <c:pt idx="11">
                  <c:v>0.062516733601071</c:v>
                </c:pt>
                <c:pt idx="12">
                  <c:v>0.00890344798622467</c:v>
                </c:pt>
                <c:pt idx="13">
                  <c:v>0.0175664987720101</c:v>
                </c:pt>
                <c:pt idx="14">
                  <c:v>0.019022294947842</c:v>
                </c:pt>
                <c:pt idx="15">
                  <c:v>0.00843034925732633</c:v>
                </c:pt>
                <c:pt idx="16">
                  <c:v>-0.00274681528662424</c:v>
                </c:pt>
                <c:pt idx="17">
                  <c:v>0.00894175881202353</c:v>
                </c:pt>
                <c:pt idx="18">
                  <c:v>0.0015430267062313</c:v>
                </c:pt>
                <c:pt idx="19">
                  <c:v>0.00742672039187808</c:v>
                </c:pt>
                <c:pt idx="20">
                  <c:v>-0.00254881970041565</c:v>
                </c:pt>
                <c:pt idx="21">
                  <c:v>0.0172583244879505</c:v>
                </c:pt>
                <c:pt idx="22">
                  <c:v>0.0255062606276086</c:v>
                </c:pt>
                <c:pt idx="23">
                  <c:v>-0.0109285498944831</c:v>
                </c:pt>
                <c:pt idx="24">
                  <c:v>0.0344814447915873</c:v>
                </c:pt>
                <c:pt idx="25">
                  <c:v>-0.000847114286766648</c:v>
                </c:pt>
                <c:pt idx="26">
                  <c:v>0.00770421704511959</c:v>
                </c:pt>
                <c:pt idx="27">
                  <c:v>0.0180707466071623</c:v>
                </c:pt>
                <c:pt idx="28">
                  <c:v>-0.00154503970392728</c:v>
                </c:pt>
                <c:pt idx="29">
                  <c:v>-0.0110119476032819</c:v>
                </c:pt>
                <c:pt idx="30">
                  <c:v>0.0106979113601631</c:v>
                </c:pt>
                <c:pt idx="31">
                  <c:v>0.000792050691244439</c:v>
                </c:pt>
                <c:pt idx="34">
                  <c:v>-0.00422840754494991</c:v>
                </c:pt>
                <c:pt idx="35">
                  <c:v>-0.0224134111217783</c:v>
                </c:pt>
                <c:pt idx="36">
                  <c:v>0.0175637393767705</c:v>
                </c:pt>
                <c:pt idx="37">
                  <c:v>-0.0219376391982181</c:v>
                </c:pt>
                <c:pt idx="38">
                  <c:v>0.045618429541918</c:v>
                </c:pt>
                <c:pt idx="39">
                  <c:v>-0.000435555878189553</c:v>
                </c:pt>
                <c:pt idx="40">
                  <c:v>-0.0200443008097606</c:v>
                </c:pt>
                <c:pt idx="41">
                  <c:v>-0.00737392077667032</c:v>
                </c:pt>
                <c:pt idx="42">
                  <c:v>0.0227713901747051</c:v>
                </c:pt>
                <c:pt idx="43">
                  <c:v>-0.0287247244324403</c:v>
                </c:pt>
                <c:pt idx="44">
                  <c:v>0.0168351433617675</c:v>
                </c:pt>
                <c:pt idx="45">
                  <c:v>-0.0463431760227649</c:v>
                </c:pt>
                <c:pt idx="46">
                  <c:v>0.0300716915326487</c:v>
                </c:pt>
                <c:pt idx="47">
                  <c:v>-0.0170798690794177</c:v>
                </c:pt>
                <c:pt idx="48">
                  <c:v>-0.00107168829180526</c:v>
                </c:pt>
                <c:pt idx="49">
                  <c:v>-0.0226062301237595</c:v>
                </c:pt>
                <c:pt idx="50">
                  <c:v>0.0274804970794622</c:v>
                </c:pt>
                <c:pt idx="51">
                  <c:v>-0.0236550934757727</c:v>
                </c:pt>
                <c:pt idx="52">
                  <c:v>0.0293474013286441</c:v>
                </c:pt>
                <c:pt idx="53">
                  <c:v>0.000227781785050007</c:v>
                </c:pt>
                <c:pt idx="54">
                  <c:v>0.0334003871408508</c:v>
                </c:pt>
                <c:pt idx="55">
                  <c:v>0.0108348330701145</c:v>
                </c:pt>
                <c:pt idx="56">
                  <c:v>0.028558971005014</c:v>
                </c:pt>
                <c:pt idx="57">
                  <c:v>-0.00897272855729814</c:v>
                </c:pt>
                <c:pt idx="58">
                  <c:v>-0.0337206815427391</c:v>
                </c:pt>
                <c:pt idx="59">
                  <c:v>0.010033938320791</c:v>
                </c:pt>
                <c:pt idx="60">
                  <c:v>-0.000328707085463953</c:v>
                </c:pt>
                <c:pt idx="61">
                  <c:v>0.0459975886887583</c:v>
                </c:pt>
                <c:pt idx="62">
                  <c:v>-0.030562347188264</c:v>
                </c:pt>
                <c:pt idx="63">
                  <c:v>0.0319582057286976</c:v>
                </c:pt>
                <c:pt idx="64">
                  <c:v>0.0589344319530758</c:v>
                </c:pt>
                <c:pt idx="65">
                  <c:v>0.00764919221892524</c:v>
                </c:pt>
                <c:pt idx="66">
                  <c:v>0.000916170407695649</c:v>
                </c:pt>
                <c:pt idx="67">
                  <c:v>0.0166394246485782</c:v>
                </c:pt>
                <c:pt idx="68">
                  <c:v>-0.0129264606578989</c:v>
                </c:pt>
                <c:pt idx="69">
                  <c:v>0.0119881421637291</c:v>
                </c:pt>
                <c:pt idx="70">
                  <c:v>0.00946402704007721</c:v>
                </c:pt>
                <c:pt idx="71">
                  <c:v>0.00296565579259545</c:v>
                </c:pt>
                <c:pt idx="72">
                  <c:v>-0.0117639577769298</c:v>
                </c:pt>
                <c:pt idx="73">
                  <c:v>-0.0228428029084357</c:v>
                </c:pt>
                <c:pt idx="74">
                  <c:v>0.0386869485052022</c:v>
                </c:pt>
                <c:pt idx="75">
                  <c:v>0.0330934795701652</c:v>
                </c:pt>
                <c:pt idx="76">
                  <c:v>0.0351323985149274</c:v>
                </c:pt>
                <c:pt idx="77">
                  <c:v>0.0182001422812426</c:v>
                </c:pt>
                <c:pt idx="78">
                  <c:v>0.0183697234352256</c:v>
                </c:pt>
                <c:pt idx="79">
                  <c:v>-0.0149223864383523</c:v>
                </c:pt>
                <c:pt idx="80">
                  <c:v>0.0406570126817378</c:v>
                </c:pt>
                <c:pt idx="81">
                  <c:v>-0.047936419408812</c:v>
                </c:pt>
                <c:pt idx="82">
                  <c:v>-0.039161125918983</c:v>
                </c:pt>
                <c:pt idx="83">
                  <c:v>0.0116449213510548</c:v>
                </c:pt>
                <c:pt idx="84">
                  <c:v>0.0214246971614536</c:v>
                </c:pt>
                <c:pt idx="85">
                  <c:v>-0.0866743369619731</c:v>
                </c:pt>
                <c:pt idx="86">
                  <c:v>0.0647307729577829</c:v>
                </c:pt>
                <c:pt idx="89">
                  <c:v>0.0370873317641378</c:v>
                </c:pt>
                <c:pt idx="90">
                  <c:v>0.0141996682864376</c:v>
                </c:pt>
                <c:pt idx="91">
                  <c:v>0.0374121359919666</c:v>
                </c:pt>
                <c:pt idx="92">
                  <c:v>-0.0317210099836831</c:v>
                </c:pt>
                <c:pt idx="93">
                  <c:v>0.0329601279561294</c:v>
                </c:pt>
                <c:pt idx="94">
                  <c:v>0.0137698390753747</c:v>
                </c:pt>
                <c:pt idx="95">
                  <c:v>-0.0469125027274711</c:v>
                </c:pt>
                <c:pt idx="96">
                  <c:v>-0.0404933608058607</c:v>
                </c:pt>
                <c:pt idx="97">
                  <c:v>0.0296758030361777</c:v>
                </c:pt>
                <c:pt idx="100">
                  <c:v>0.00322149988390996</c:v>
                </c:pt>
                <c:pt idx="101">
                  <c:v>0.0229120259206757</c:v>
                </c:pt>
                <c:pt idx="102">
                  <c:v>-0.0495489125823694</c:v>
                </c:pt>
                <c:pt idx="103">
                  <c:v>-0.00758770494242278</c:v>
                </c:pt>
                <c:pt idx="104">
                  <c:v>0.0246461981290478</c:v>
                </c:pt>
                <c:pt idx="105">
                  <c:v>0.0161526306548838</c:v>
                </c:pt>
                <c:pt idx="106">
                  <c:v>0.00498185797385253</c:v>
                </c:pt>
                <c:pt idx="107">
                  <c:v>-0.0243273446230551</c:v>
                </c:pt>
                <c:pt idx="108">
                  <c:v>-0.0110425844346549</c:v>
                </c:pt>
                <c:pt idx="109">
                  <c:v>0.00641444437845218</c:v>
                </c:pt>
                <c:pt idx="110">
                  <c:v>-0.0124225435231631</c:v>
                </c:pt>
                <c:pt idx="111">
                  <c:v>0.0369595745316562</c:v>
                </c:pt>
                <c:pt idx="112">
                  <c:v>-0.0176914654526594</c:v>
                </c:pt>
                <c:pt idx="113">
                  <c:v>-0.00510383667722636</c:v>
                </c:pt>
                <c:pt idx="114">
                  <c:v>0.0160386815260334</c:v>
                </c:pt>
                <c:pt idx="115">
                  <c:v>-0.0190934942835587</c:v>
                </c:pt>
                <c:pt idx="116">
                  <c:v>-0.0138740977399124</c:v>
                </c:pt>
                <c:pt idx="117">
                  <c:v>-0.0158992050397481</c:v>
                </c:pt>
                <c:pt idx="118">
                  <c:v>-0.00618808108520053</c:v>
                </c:pt>
                <c:pt idx="119">
                  <c:v>0.0196920434329182</c:v>
                </c:pt>
                <c:pt idx="120">
                  <c:v>-0.00956563590422332</c:v>
                </c:pt>
                <c:pt idx="121">
                  <c:v>0.0500820020652373</c:v>
                </c:pt>
                <c:pt idx="122">
                  <c:v>0.00410701373825018</c:v>
                </c:pt>
                <c:pt idx="123">
                  <c:v>0.0164472736699599</c:v>
                </c:pt>
                <c:pt idx="124">
                  <c:v>-0.0240024937655859</c:v>
                </c:pt>
                <c:pt idx="125">
                  <c:v>0.0094944978368805</c:v>
                </c:pt>
                <c:pt idx="126">
                  <c:v>-0.0613782788771284</c:v>
                </c:pt>
                <c:pt idx="127">
                  <c:v>-0.00646564932279203</c:v>
                </c:pt>
                <c:pt idx="128">
                  <c:v>-0.013323875026987</c:v>
                </c:pt>
                <c:pt idx="129">
                  <c:v>0.0302897689975306</c:v>
                </c:pt>
                <c:pt idx="130">
                  <c:v>-0.0508191747572816</c:v>
                </c:pt>
                <c:pt idx="131">
                  <c:v>0.0218635128655904</c:v>
                </c:pt>
                <c:pt idx="132">
                  <c:v>-0.00250242422346647</c:v>
                </c:pt>
                <c:pt idx="133">
                  <c:v>-0.00868638088369023</c:v>
                </c:pt>
                <c:pt idx="134">
                  <c:v>-0.0322029609009237</c:v>
                </c:pt>
                <c:pt idx="135">
                  <c:v>-0.0179773811858535</c:v>
                </c:pt>
                <c:pt idx="136">
                  <c:v>-0.0202369857542271</c:v>
                </c:pt>
                <c:pt idx="139">
                  <c:v>0.0415938252465613</c:v>
                </c:pt>
                <c:pt idx="140">
                  <c:v>-0.0239723858382418</c:v>
                </c:pt>
                <c:pt idx="141">
                  <c:v>0.0601213458356316</c:v>
                </c:pt>
                <c:pt idx="142">
                  <c:v>-0.0281569443594295</c:v>
                </c:pt>
                <c:pt idx="143">
                  <c:v>0.0239654846633495</c:v>
                </c:pt>
                <c:pt idx="144">
                  <c:v>0.00959557127479616</c:v>
                </c:pt>
                <c:pt idx="145">
                  <c:v>-0.00767660767051503</c:v>
                </c:pt>
                <c:pt idx="146">
                  <c:v>-0.00853415195702212</c:v>
                </c:pt>
                <c:pt idx="147">
                  <c:v>-0.00365359011672917</c:v>
                </c:pt>
                <c:pt idx="152">
                  <c:v>0.0275034451079468</c:v>
                </c:pt>
                <c:pt idx="153">
                  <c:v>-0.00787929589270742</c:v>
                </c:pt>
                <c:pt idx="154">
                  <c:v>0.0292046862678834</c:v>
                </c:pt>
                <c:pt idx="155">
                  <c:v>-0.00990559584074435</c:v>
                </c:pt>
                <c:pt idx="156">
                  <c:v>0.0064118508691926</c:v>
                </c:pt>
                <c:pt idx="157">
                  <c:v>0.0189207744061515</c:v>
                </c:pt>
                <c:pt idx="158">
                  <c:v>0.0284605433376455</c:v>
                </c:pt>
                <c:pt idx="159">
                  <c:v>-0.0171121593291406</c:v>
                </c:pt>
              </c:numCache>
            </c:numRef>
          </c:val>
        </c:ser>
        <c:gapWidth val="150"/>
        <c:overlap val="0"/>
        <c:axId val="86880276"/>
        <c:axId val="94903506"/>
      </c:barChart>
      <c:lineChart>
        <c:grouping val="standard"/>
        <c:varyColors val="0"/>
        <c:ser>
          <c:idx val="1"/>
          <c:order val="1"/>
          <c:tx>
            <c:strRef>
              <c:f>'Returns (Calc)'!$AO$2</c:f>
              <c:strCache>
                <c:ptCount val="1"/>
                <c:pt idx="0">
                  <c:v>V trend</c:v>
                </c:pt>
              </c:strCache>
            </c:strRef>
          </c:tx>
          <c:spPr>
            <a:solidFill>
              <a:srgbClr val="FF0000"/>
            </a:solidFill>
            <a:ln w="20160">
              <a:solidFill>
                <a:srgbClr val="FF000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45191</c:v>
                </c:pt>
                <c:pt idx="1">
                  <c:v>45198</c:v>
                </c:pt>
                <c:pt idx="2">
                  <c:v>45205</c:v>
                </c:pt>
                <c:pt idx="3">
                  <c:v>45212</c:v>
                </c:pt>
                <c:pt idx="4">
                  <c:v>45219</c:v>
                </c:pt>
                <c:pt idx="5">
                  <c:v>45226</c:v>
                </c:pt>
                <c:pt idx="6">
                  <c:v>45233</c:v>
                </c:pt>
                <c:pt idx="7">
                  <c:v>45240</c:v>
                </c:pt>
                <c:pt idx="8">
                  <c:v>45247</c:v>
                </c:pt>
                <c:pt idx="9">
                  <c:v>45254</c:v>
                </c:pt>
                <c:pt idx="10">
                  <c:v>45261</c:v>
                </c:pt>
                <c:pt idx="11">
                  <c:v>45268</c:v>
                </c:pt>
                <c:pt idx="12">
                  <c:v>45275</c:v>
                </c:pt>
                <c:pt idx="13">
                  <c:v>45282</c:v>
                </c:pt>
                <c:pt idx="14">
                  <c:v>45289</c:v>
                </c:pt>
                <c:pt idx="15">
                  <c:v>45296</c:v>
                </c:pt>
                <c:pt idx="16">
                  <c:v>45303</c:v>
                </c:pt>
                <c:pt idx="17">
                  <c:v>45310</c:v>
                </c:pt>
                <c:pt idx="18">
                  <c:v>45317</c:v>
                </c:pt>
                <c:pt idx="19">
                  <c:v>45324</c:v>
                </c:pt>
                <c:pt idx="20">
                  <c:v>45331</c:v>
                </c:pt>
                <c:pt idx="21">
                  <c:v>45338</c:v>
                </c:pt>
                <c:pt idx="22">
                  <c:v>45345</c:v>
                </c:pt>
                <c:pt idx="23">
                  <c:v>45352</c:v>
                </c:pt>
                <c:pt idx="24">
                  <c:v>45359</c:v>
                </c:pt>
                <c:pt idx="25">
                  <c:v>45366</c:v>
                </c:pt>
                <c:pt idx="26">
                  <c:v>45373</c:v>
                </c:pt>
                <c:pt idx="27">
                  <c:v>45380</c:v>
                </c:pt>
                <c:pt idx="28">
                  <c:v>45387</c:v>
                </c:pt>
                <c:pt idx="29">
                  <c:v>45394</c:v>
                </c:pt>
                <c:pt idx="30">
                  <c:v>45401</c:v>
                </c:pt>
                <c:pt idx="31">
                  <c:v>45408</c:v>
                </c:pt>
                <c:pt idx="32">
                  <c:v>45415</c:v>
                </c:pt>
                <c:pt idx="33">
                  <c:v>45422</c:v>
                </c:pt>
                <c:pt idx="34">
                  <c:v>45429</c:v>
                </c:pt>
                <c:pt idx="35">
                  <c:v>45436</c:v>
                </c:pt>
                <c:pt idx="36">
                  <c:v>45443</c:v>
                </c:pt>
                <c:pt idx="37">
                  <c:v>45450</c:v>
                </c:pt>
                <c:pt idx="38">
                  <c:v>45457</c:v>
                </c:pt>
                <c:pt idx="39">
                  <c:v>45464</c:v>
                </c:pt>
                <c:pt idx="40">
                  <c:v>45471</c:v>
                </c:pt>
                <c:pt idx="41">
                  <c:v>45478</c:v>
                </c:pt>
                <c:pt idx="42">
                  <c:v>45485</c:v>
                </c:pt>
                <c:pt idx="43">
                  <c:v>45492</c:v>
                </c:pt>
                <c:pt idx="44">
                  <c:v>45499</c:v>
                </c:pt>
                <c:pt idx="45">
                  <c:v>45506</c:v>
                </c:pt>
                <c:pt idx="46">
                  <c:v>45513</c:v>
                </c:pt>
                <c:pt idx="47">
                  <c:v>45520</c:v>
                </c:pt>
                <c:pt idx="48">
                  <c:v>45527</c:v>
                </c:pt>
                <c:pt idx="49">
                  <c:v>45534</c:v>
                </c:pt>
                <c:pt idx="50">
                  <c:v>45541</c:v>
                </c:pt>
                <c:pt idx="51">
                  <c:v>45548</c:v>
                </c:pt>
                <c:pt idx="52">
                  <c:v>45555</c:v>
                </c:pt>
                <c:pt idx="53">
                  <c:v>45562</c:v>
                </c:pt>
                <c:pt idx="54">
                  <c:v>45569</c:v>
                </c:pt>
                <c:pt idx="55">
                  <c:v>45576</c:v>
                </c:pt>
                <c:pt idx="56">
                  <c:v>45583</c:v>
                </c:pt>
                <c:pt idx="57">
                  <c:v>45590</c:v>
                </c:pt>
                <c:pt idx="58">
                  <c:v>45597</c:v>
                </c:pt>
                <c:pt idx="59">
                  <c:v>45604</c:v>
                </c:pt>
                <c:pt idx="60">
                  <c:v>45611</c:v>
                </c:pt>
                <c:pt idx="61">
                  <c:v>45618</c:v>
                </c:pt>
                <c:pt idx="62">
                  <c:v>45625</c:v>
                </c:pt>
                <c:pt idx="63">
                  <c:v>45632</c:v>
                </c:pt>
                <c:pt idx="64">
                  <c:v>45639</c:v>
                </c:pt>
                <c:pt idx="65">
                  <c:v>45646</c:v>
                </c:pt>
                <c:pt idx="66">
                  <c:v>45653</c:v>
                </c:pt>
                <c:pt idx="67">
                  <c:v>45660</c:v>
                </c:pt>
                <c:pt idx="68">
                  <c:v>45667</c:v>
                </c:pt>
                <c:pt idx="69">
                  <c:v>45674</c:v>
                </c:pt>
                <c:pt idx="70">
                  <c:v>45681</c:v>
                </c:pt>
                <c:pt idx="71">
                  <c:v>45688</c:v>
                </c:pt>
                <c:pt idx="72">
                  <c:v>45695</c:v>
                </c:pt>
                <c:pt idx="73">
                  <c:v>45702</c:v>
                </c:pt>
                <c:pt idx="74">
                  <c:v>45709</c:v>
                </c:pt>
                <c:pt idx="75">
                  <c:v>45716</c:v>
                </c:pt>
                <c:pt idx="76">
                  <c:v>45723</c:v>
                </c:pt>
                <c:pt idx="77">
                  <c:v>45730</c:v>
                </c:pt>
                <c:pt idx="78">
                  <c:v>45737</c:v>
                </c:pt>
                <c:pt idx="79">
                  <c:v>45744</c:v>
                </c:pt>
                <c:pt idx="80">
                  <c:v>45751</c:v>
                </c:pt>
                <c:pt idx="81">
                  <c:v>45758</c:v>
                </c:pt>
                <c:pt idx="82">
                  <c:v>45765</c:v>
                </c:pt>
                <c:pt idx="83">
                  <c:v>45772</c:v>
                </c:pt>
                <c:pt idx="84">
                  <c:v>45779</c:v>
                </c:pt>
                <c:pt idx="85">
                  <c:v>45786</c:v>
                </c:pt>
                <c:pt idx="86">
                  <c:v>45793</c:v>
                </c:pt>
                <c:pt idx="87">
                  <c:v>45800</c:v>
                </c:pt>
                <c:pt idx="88">
                  <c:v>45807</c:v>
                </c:pt>
                <c:pt idx="89">
                  <c:v>45814</c:v>
                </c:pt>
                <c:pt idx="90">
                  <c:v>45821</c:v>
                </c:pt>
                <c:pt idx="91">
                  <c:v>45828</c:v>
                </c:pt>
                <c:pt idx="92">
                  <c:v>45835</c:v>
                </c:pt>
                <c:pt idx="93">
                  <c:v>45842</c:v>
                </c:pt>
                <c:pt idx="94">
                  <c:v>45849</c:v>
                </c:pt>
                <c:pt idx="95">
                  <c:v>45856</c:v>
                </c:pt>
                <c:pt idx="96">
                  <c:v>45863</c:v>
                </c:pt>
                <c:pt idx="97">
                  <c:v>45870</c:v>
                </c:pt>
                <c:pt idx="98">
                  <c:v>45877</c:v>
                </c:pt>
                <c:pt idx="99">
                  <c:v>45884</c:v>
                </c:pt>
                <c:pt idx="100">
                  <c:v>45891</c:v>
                </c:pt>
                <c:pt idx="101">
                  <c:v>45898</c:v>
                </c:pt>
                <c:pt idx="102">
                  <c:v>45905</c:v>
                </c:pt>
                <c:pt idx="103">
                  <c:v>45912</c:v>
                </c:pt>
                <c:pt idx="104">
                  <c:v>45919</c:v>
                </c:pt>
                <c:pt idx="105">
                  <c:v>45926</c:v>
                </c:pt>
                <c:pt idx="106">
                  <c:v>45933</c:v>
                </c:pt>
                <c:pt idx="107">
                  <c:v>45940</c:v>
                </c:pt>
                <c:pt idx="108">
                  <c:v>45947</c:v>
                </c:pt>
                <c:pt idx="109">
                  <c:v>45954</c:v>
                </c:pt>
                <c:pt idx="110">
                  <c:v>45961</c:v>
                </c:pt>
                <c:pt idx="111">
                  <c:v>45968</c:v>
                </c:pt>
                <c:pt idx="112">
                  <c:v>45975</c:v>
                </c:pt>
                <c:pt idx="113">
                  <c:v>45982</c:v>
                </c:pt>
                <c:pt idx="114">
                  <c:v>45989</c:v>
                </c:pt>
                <c:pt idx="115">
                  <c:v>45996</c:v>
                </c:pt>
                <c:pt idx="116">
                  <c:v>46003</c:v>
                </c:pt>
                <c:pt idx="117">
                  <c:v>46010</c:v>
                </c:pt>
                <c:pt idx="118">
                  <c:v>46017</c:v>
                </c:pt>
                <c:pt idx="119">
                  <c:v>46024</c:v>
                </c:pt>
                <c:pt idx="120">
                  <c:v>46031</c:v>
                </c:pt>
                <c:pt idx="121">
                  <c:v>46038</c:v>
                </c:pt>
                <c:pt idx="122">
                  <c:v>46045</c:v>
                </c:pt>
                <c:pt idx="123">
                  <c:v>46052</c:v>
                </c:pt>
                <c:pt idx="124">
                  <c:v>46059</c:v>
                </c:pt>
                <c:pt idx="125">
                  <c:v>46066</c:v>
                </c:pt>
                <c:pt idx="126">
                  <c:v>46073</c:v>
                </c:pt>
                <c:pt idx="127">
                  <c:v>46080</c:v>
                </c:pt>
                <c:pt idx="128">
                  <c:v>46087</c:v>
                </c:pt>
                <c:pt idx="129">
                  <c:v>46094</c:v>
                </c:pt>
                <c:pt idx="130">
                  <c:v>46101</c:v>
                </c:pt>
                <c:pt idx="131">
                  <c:v>46108</c:v>
                </c:pt>
                <c:pt idx="132">
                  <c:v>46115</c:v>
                </c:pt>
                <c:pt idx="133">
                  <c:v>46122</c:v>
                </c:pt>
                <c:pt idx="134">
                  <c:v>46129</c:v>
                </c:pt>
                <c:pt idx="135">
                  <c:v>46136</c:v>
                </c:pt>
                <c:pt idx="136">
                  <c:v>46143</c:v>
                </c:pt>
                <c:pt idx="137">
                  <c:v>46150</c:v>
                </c:pt>
                <c:pt idx="138">
                  <c:v>46157</c:v>
                </c:pt>
                <c:pt idx="139">
                  <c:v>46164</c:v>
                </c:pt>
                <c:pt idx="140">
                  <c:v>46171</c:v>
                </c:pt>
                <c:pt idx="141">
                  <c:v>46178</c:v>
                </c:pt>
                <c:pt idx="142">
                  <c:v>46185</c:v>
                </c:pt>
                <c:pt idx="143">
                  <c:v>46192</c:v>
                </c:pt>
                <c:pt idx="144">
                  <c:v>46199</c:v>
                </c:pt>
                <c:pt idx="145">
                  <c:v>46206</c:v>
                </c:pt>
                <c:pt idx="146">
                  <c:v>46213</c:v>
                </c:pt>
                <c:pt idx="147">
                  <c:v>46220</c:v>
                </c:pt>
                <c:pt idx="148">
                  <c:v>46227</c:v>
                </c:pt>
                <c:pt idx="149">
                  <c:v>46234</c:v>
                </c:pt>
                <c:pt idx="150">
                  <c:v>46241</c:v>
                </c:pt>
                <c:pt idx="151">
                  <c:v>46248</c:v>
                </c:pt>
                <c:pt idx="152">
                  <c:v>46255</c:v>
                </c:pt>
                <c:pt idx="153">
                  <c:v>46262</c:v>
                </c:pt>
                <c:pt idx="154">
                  <c:v>46269</c:v>
                </c:pt>
                <c:pt idx="155">
                  <c:v>46276</c:v>
                </c:pt>
                <c:pt idx="156">
                  <c:v>46283</c:v>
                </c:pt>
                <c:pt idx="157">
                  <c:v>46290</c:v>
                </c:pt>
                <c:pt idx="158">
                  <c:v>46297</c:v>
                </c:pt>
                <c:pt idx="159">
                  <c:v>46269</c:v>
                </c:pt>
              </c:numCache>
            </c:numRef>
          </c:cat>
          <c:val>
            <c:numRef>
              <c:f>'Returns (Calc)'!$AO$3:$AO$500</c:f>
              <c:numCache>
                <c:formatCode>#,##0.00</c:formatCode>
                <c:ptCount val="4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val>
          <c:smooth val="0"/>
        </c:ser>
        <c:hiLowLines>
          <c:spPr>
            <a:ln w="0">
              <a:noFill/>
            </a:ln>
          </c:spPr>
        </c:hiLowLines>
        <c:marker val="0"/>
        <c:axId val="12295340"/>
        <c:axId val="69759688"/>
      </c:lineChart>
      <c:dateAx>
        <c:axId val="86880276"/>
        <c:scaling>
          <c:orientation val="minMax"/>
        </c:scaling>
        <c:delete val="1"/>
        <c:axPos val="b"/>
        <c:numFmt formatCode="mm/dd/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4903506"/>
        <c:auto val="1"/>
        <c:lblOffset val="100"/>
        <c:baseTimeUnit val="days"/>
      </c:dateAx>
      <c:valAx>
        <c:axId val="9490350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6880276"/>
        <c:crosses val="autoZero"/>
        <c:crossBetween val="between"/>
      </c:valAx>
      <c:dateAx>
        <c:axId val="12295340"/>
        <c:scaling>
          <c:orientation val="minMax"/>
        </c:scaling>
        <c:delete val="1"/>
        <c:axPos val="t"/>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9759688"/>
        <c:auto val="1"/>
        <c:lblOffset val="100"/>
        <c:baseTimeUnit val="days"/>
      </c:dateAx>
      <c:valAx>
        <c:axId val="6975968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2295340"/>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163</xdr:row>
      <xdr:rowOff>0</xdr:rowOff>
    </xdr:from>
    <xdr:to>
      <xdr:col>5</xdr:col>
      <xdr:colOff>350640</xdr:colOff>
      <xdr:row>174</xdr:row>
      <xdr:rowOff>173520</xdr:rowOff>
    </xdr:to>
    <xdr:graphicFrame>
      <xdr:nvGraphicFramePr>
        <xdr:cNvPr id="1" name="Chart 1"/>
        <xdr:cNvGraphicFramePr/>
      </xdr:nvGraphicFramePr>
      <xdr:xfrm>
        <a:off x="0" y="31194360"/>
        <a:ext cx="2705760" cy="2164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163</xdr:row>
      <xdr:rowOff>0</xdr:rowOff>
    </xdr:from>
    <xdr:to>
      <xdr:col>13</xdr:col>
      <xdr:colOff>372240</xdr:colOff>
      <xdr:row>174</xdr:row>
      <xdr:rowOff>173520</xdr:rowOff>
    </xdr:to>
    <xdr:graphicFrame>
      <xdr:nvGraphicFramePr>
        <xdr:cNvPr id="2" name="Chart 2"/>
        <xdr:cNvGraphicFramePr/>
      </xdr:nvGraphicFramePr>
      <xdr:xfrm>
        <a:off x="3551400" y="31194360"/>
        <a:ext cx="2366280" cy="2164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163</xdr:row>
      <xdr:rowOff>0</xdr:rowOff>
    </xdr:from>
    <xdr:to>
      <xdr:col>22</xdr:col>
      <xdr:colOff>138240</xdr:colOff>
      <xdr:row>174</xdr:row>
      <xdr:rowOff>173520</xdr:rowOff>
    </xdr:to>
    <xdr:graphicFrame>
      <xdr:nvGraphicFramePr>
        <xdr:cNvPr id="3" name="Chart 3"/>
        <xdr:cNvGraphicFramePr/>
      </xdr:nvGraphicFramePr>
      <xdr:xfrm>
        <a:off x="6741720" y="31194360"/>
        <a:ext cx="2421720" cy="2164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0</xdr:colOff>
      <xdr:row>163</xdr:row>
      <xdr:rowOff>0</xdr:rowOff>
    </xdr:from>
    <xdr:to>
      <xdr:col>30</xdr:col>
      <xdr:colOff>390600</xdr:colOff>
      <xdr:row>174</xdr:row>
      <xdr:rowOff>173520</xdr:rowOff>
    </xdr:to>
    <xdr:graphicFrame>
      <xdr:nvGraphicFramePr>
        <xdr:cNvPr id="4" name="Chart 4"/>
        <xdr:cNvGraphicFramePr/>
      </xdr:nvGraphicFramePr>
      <xdr:xfrm>
        <a:off x="10450080" y="31194360"/>
        <a:ext cx="4665600" cy="21643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179</xdr:row>
      <xdr:rowOff>0</xdr:rowOff>
    </xdr:from>
    <xdr:to>
      <xdr:col>5</xdr:col>
      <xdr:colOff>350640</xdr:colOff>
      <xdr:row>190</xdr:row>
      <xdr:rowOff>173520</xdr:rowOff>
    </xdr:to>
    <xdr:graphicFrame>
      <xdr:nvGraphicFramePr>
        <xdr:cNvPr id="5" name="Chart 5"/>
        <xdr:cNvGraphicFramePr/>
      </xdr:nvGraphicFramePr>
      <xdr:xfrm>
        <a:off x="0" y="34089840"/>
        <a:ext cx="2705760" cy="21643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179</xdr:row>
      <xdr:rowOff>0</xdr:rowOff>
    </xdr:from>
    <xdr:to>
      <xdr:col>13</xdr:col>
      <xdr:colOff>372240</xdr:colOff>
      <xdr:row>190</xdr:row>
      <xdr:rowOff>173520</xdr:rowOff>
    </xdr:to>
    <xdr:graphicFrame>
      <xdr:nvGraphicFramePr>
        <xdr:cNvPr id="6" name="Chart 6"/>
        <xdr:cNvGraphicFramePr/>
      </xdr:nvGraphicFramePr>
      <xdr:xfrm>
        <a:off x="3551400" y="34089840"/>
        <a:ext cx="2366280" cy="21643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0</xdr:colOff>
      <xdr:row>179</xdr:row>
      <xdr:rowOff>0</xdr:rowOff>
    </xdr:from>
    <xdr:to>
      <xdr:col>22</xdr:col>
      <xdr:colOff>138240</xdr:colOff>
      <xdr:row>190</xdr:row>
      <xdr:rowOff>173520</xdr:rowOff>
    </xdr:to>
    <xdr:graphicFrame>
      <xdr:nvGraphicFramePr>
        <xdr:cNvPr id="7" name="Chart 7"/>
        <xdr:cNvGraphicFramePr/>
      </xdr:nvGraphicFramePr>
      <xdr:xfrm>
        <a:off x="6741720" y="34089840"/>
        <a:ext cx="2421720" cy="21643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0</xdr:colOff>
      <xdr:row>179</xdr:row>
      <xdr:rowOff>0</xdr:rowOff>
    </xdr:from>
    <xdr:to>
      <xdr:col>30</xdr:col>
      <xdr:colOff>390600</xdr:colOff>
      <xdr:row>190</xdr:row>
      <xdr:rowOff>173520</xdr:rowOff>
    </xdr:to>
    <xdr:graphicFrame>
      <xdr:nvGraphicFramePr>
        <xdr:cNvPr id="8" name="Chart 8"/>
        <xdr:cNvGraphicFramePr/>
      </xdr:nvGraphicFramePr>
      <xdr:xfrm>
        <a:off x="10450080" y="34089840"/>
        <a:ext cx="4665600" cy="21643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195</xdr:row>
      <xdr:rowOff>0</xdr:rowOff>
    </xdr:from>
    <xdr:to>
      <xdr:col>5</xdr:col>
      <xdr:colOff>350640</xdr:colOff>
      <xdr:row>206</xdr:row>
      <xdr:rowOff>172800</xdr:rowOff>
    </xdr:to>
    <xdr:graphicFrame>
      <xdr:nvGraphicFramePr>
        <xdr:cNvPr id="9" name="Chart 9"/>
        <xdr:cNvGraphicFramePr/>
      </xdr:nvGraphicFramePr>
      <xdr:xfrm>
        <a:off x="0" y="36985680"/>
        <a:ext cx="2705760" cy="21636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0</xdr:colOff>
      <xdr:row>195</xdr:row>
      <xdr:rowOff>0</xdr:rowOff>
    </xdr:from>
    <xdr:to>
      <xdr:col>13</xdr:col>
      <xdr:colOff>372240</xdr:colOff>
      <xdr:row>206</xdr:row>
      <xdr:rowOff>172800</xdr:rowOff>
    </xdr:to>
    <xdr:graphicFrame>
      <xdr:nvGraphicFramePr>
        <xdr:cNvPr id="10" name="Chart 10"/>
        <xdr:cNvGraphicFramePr/>
      </xdr:nvGraphicFramePr>
      <xdr:xfrm>
        <a:off x="3551400" y="36985680"/>
        <a:ext cx="2366280" cy="21636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0</xdr:colOff>
      <xdr:row>195</xdr:row>
      <xdr:rowOff>0</xdr:rowOff>
    </xdr:from>
    <xdr:to>
      <xdr:col>22</xdr:col>
      <xdr:colOff>138240</xdr:colOff>
      <xdr:row>206</xdr:row>
      <xdr:rowOff>172800</xdr:rowOff>
    </xdr:to>
    <xdr:graphicFrame>
      <xdr:nvGraphicFramePr>
        <xdr:cNvPr id="11" name="Chart 11"/>
        <xdr:cNvGraphicFramePr/>
      </xdr:nvGraphicFramePr>
      <xdr:xfrm>
        <a:off x="6741720" y="36985680"/>
        <a:ext cx="2421720" cy="21636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24</xdr:col>
      <xdr:colOff>0</xdr:colOff>
      <xdr:row>195</xdr:row>
      <xdr:rowOff>0</xdr:rowOff>
    </xdr:from>
    <xdr:to>
      <xdr:col>30</xdr:col>
      <xdr:colOff>390600</xdr:colOff>
      <xdr:row>206</xdr:row>
      <xdr:rowOff>172800</xdr:rowOff>
    </xdr:to>
    <xdr:graphicFrame>
      <xdr:nvGraphicFramePr>
        <xdr:cNvPr id="12" name="Chart 12"/>
        <xdr:cNvGraphicFramePr/>
      </xdr:nvGraphicFramePr>
      <xdr:xfrm>
        <a:off x="10450080" y="36985680"/>
        <a:ext cx="4665600" cy="21636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211</xdr:row>
      <xdr:rowOff>0</xdr:rowOff>
    </xdr:from>
    <xdr:to>
      <xdr:col>5</xdr:col>
      <xdr:colOff>350640</xdr:colOff>
      <xdr:row>222</xdr:row>
      <xdr:rowOff>173520</xdr:rowOff>
    </xdr:to>
    <xdr:graphicFrame>
      <xdr:nvGraphicFramePr>
        <xdr:cNvPr id="13" name="Chart 13"/>
        <xdr:cNvGraphicFramePr/>
      </xdr:nvGraphicFramePr>
      <xdr:xfrm>
        <a:off x="0" y="39881160"/>
        <a:ext cx="2705760" cy="21643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0</xdr:colOff>
      <xdr:row>211</xdr:row>
      <xdr:rowOff>0</xdr:rowOff>
    </xdr:from>
    <xdr:to>
      <xdr:col>13</xdr:col>
      <xdr:colOff>372240</xdr:colOff>
      <xdr:row>222</xdr:row>
      <xdr:rowOff>173520</xdr:rowOff>
    </xdr:to>
    <xdr:graphicFrame>
      <xdr:nvGraphicFramePr>
        <xdr:cNvPr id="14" name="Chart 14"/>
        <xdr:cNvGraphicFramePr/>
      </xdr:nvGraphicFramePr>
      <xdr:xfrm>
        <a:off x="3551400" y="39881160"/>
        <a:ext cx="2366280" cy="21643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0</xdr:colOff>
      <xdr:row>211</xdr:row>
      <xdr:rowOff>0</xdr:rowOff>
    </xdr:from>
    <xdr:to>
      <xdr:col>22</xdr:col>
      <xdr:colOff>138240</xdr:colOff>
      <xdr:row>222</xdr:row>
      <xdr:rowOff>173520</xdr:rowOff>
    </xdr:to>
    <xdr:graphicFrame>
      <xdr:nvGraphicFramePr>
        <xdr:cNvPr id="15" name="Chart 15"/>
        <xdr:cNvGraphicFramePr/>
      </xdr:nvGraphicFramePr>
      <xdr:xfrm>
        <a:off x="6741720" y="39881160"/>
        <a:ext cx="2421720" cy="21643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24</xdr:col>
      <xdr:colOff>0</xdr:colOff>
      <xdr:row>211</xdr:row>
      <xdr:rowOff>0</xdr:rowOff>
    </xdr:from>
    <xdr:to>
      <xdr:col>30</xdr:col>
      <xdr:colOff>390600</xdr:colOff>
      <xdr:row>222</xdr:row>
      <xdr:rowOff>173520</xdr:rowOff>
    </xdr:to>
    <xdr:graphicFrame>
      <xdr:nvGraphicFramePr>
        <xdr:cNvPr id="16" name="Chart 16"/>
        <xdr:cNvGraphicFramePr/>
      </xdr:nvGraphicFramePr>
      <xdr:xfrm>
        <a:off x="10450080" y="39881160"/>
        <a:ext cx="4665600" cy="216432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227</xdr:row>
      <xdr:rowOff>0</xdr:rowOff>
    </xdr:from>
    <xdr:to>
      <xdr:col>5</xdr:col>
      <xdr:colOff>350640</xdr:colOff>
      <xdr:row>238</xdr:row>
      <xdr:rowOff>173520</xdr:rowOff>
    </xdr:to>
    <xdr:graphicFrame>
      <xdr:nvGraphicFramePr>
        <xdr:cNvPr id="17" name="Chart 17"/>
        <xdr:cNvGraphicFramePr/>
      </xdr:nvGraphicFramePr>
      <xdr:xfrm>
        <a:off x="0" y="42776640"/>
        <a:ext cx="2705760" cy="216432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8</xdr:col>
      <xdr:colOff>0</xdr:colOff>
      <xdr:row>227</xdr:row>
      <xdr:rowOff>0</xdr:rowOff>
    </xdr:from>
    <xdr:to>
      <xdr:col>13</xdr:col>
      <xdr:colOff>372240</xdr:colOff>
      <xdr:row>238</xdr:row>
      <xdr:rowOff>173520</xdr:rowOff>
    </xdr:to>
    <xdr:graphicFrame>
      <xdr:nvGraphicFramePr>
        <xdr:cNvPr id="18" name="Chart 18"/>
        <xdr:cNvGraphicFramePr/>
      </xdr:nvGraphicFramePr>
      <xdr:xfrm>
        <a:off x="3551400" y="42776640"/>
        <a:ext cx="2366280" cy="216432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0</xdr:colOff>
      <xdr:row>241</xdr:row>
      <xdr:rowOff>0</xdr:rowOff>
    </xdr:from>
    <xdr:to>
      <xdr:col>5</xdr:col>
      <xdr:colOff>9360</xdr:colOff>
      <xdr:row>252</xdr:row>
      <xdr:rowOff>173520</xdr:rowOff>
    </xdr:to>
    <xdr:graphicFrame>
      <xdr:nvGraphicFramePr>
        <xdr:cNvPr id="19" name="Chart 19"/>
        <xdr:cNvGraphicFramePr/>
      </xdr:nvGraphicFramePr>
      <xdr:xfrm>
        <a:off x="0" y="45310320"/>
        <a:ext cx="2364480" cy="216432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tables/table1.xml><?xml version="1.0" encoding="utf-8"?>
<table xmlns="http://schemas.openxmlformats.org/spreadsheetml/2006/main" id="1" name="CurrentPositionsTable" displayName="CurrentPositionsTable" ref="A2:M51" headerRowCount="1" totalsRowCount="0" totalsRowShown="0">
  <tableColumns count="13">
    <tableColumn id="1" name="Account"/>
    <tableColumn id="2" name="Ticker"/>
    <tableColumn id="3" name="Description"/>
    <tableColumn id="4" name="Asset Class"/>
    <tableColumn id="5" name="Quantity"/>
    <tableColumn id="6" name="Price&#10;($)"/>
    <tableColumn id="7" name="Market Value&#10;($)"/>
    <tableColumn id="8" name="Cost Basis&#10;($)"/>
    <tableColumn id="9" name="Unrealized G/L ($)"/>
    <tableColumn id="10" name="Unrealized G/L (%)"/>
    <tableColumn id="11" name="% of Account"/>
    <tableColumn id="12" name="% of Combined Portfolio"/>
    <tableColumn id="13" name="Classification / Notes (fill at review)"/>
  </tableColumns>
</table>
</file>

<file path=xl/tables/table2.xml><?xml version="1.0" encoding="utf-8"?>
<table xmlns="http://schemas.openxmlformats.org/spreadsheetml/2006/main" id="2" name="DashboardTable" displayName="DashboardTable" ref="A1:J49" headerRowCount="1" totalsRowCount="0" totalsRowShown="0">
  <tableColumns count="10">
    <tableColumn id="1" name="Ticker"/>
    <tableColumn id="2" name="Company"/>
    <tableColumn id="3" name="Date Scored"/>
    <tableColumn id="4" name="Tier 1 Wtd Avg"/>
    <tableColumn id="5" name="Composite Score"/>
    <tableColumn id="6" name="Decision"/>
    <tableColumn id="7" name="Rule 1"/>
    <tableColumn id="8" name="Rule 2"/>
    <tableColumn id="9" name="Rule 3"/>
    <tableColumn id="10" name="Rule 4"/>
  </tableColumns>
</table>
</file>

<file path=xl/tables/table3.xml><?xml version="1.0" encoding="utf-8"?>
<table xmlns="http://schemas.openxmlformats.org/spreadsheetml/2006/main" id="3" name="DrawdownLogTable" displayName="DrawdownLogTable" ref="A2:H42" headerRowCount="1" totalsRowCount="0" totalsRowShown="0">
  <autoFilter ref="A2:H42"/>
  <tableColumns count="8">
    <tableColumn id="1" name="Date"/>
    <tableColumn id="2" name="Portfolio Value ($)"/>
    <tableColumn id="3" name="Running Peak ($)"/>
    <tableColumn id="4" name="Drawdown %"/>
    <tableColumn id="5" name="Status"/>
    <tableColumn id="6" name="Required Cash Floor"/>
    <tableColumn id="7" name="New Position Initiation"/>
    <tableColumn id="8" name="Notes"/>
  </tableColumns>
</table>
</file>

<file path=xl/tables/table4.xml><?xml version="1.0" encoding="utf-8"?>
<table xmlns="http://schemas.openxmlformats.org/spreadsheetml/2006/main" id="4" name="EntryChecklistTable" displayName="EntryChecklistTable" ref="A2:S47" headerRowCount="1" totalsRowCount="0" totalsRowShown="0">
  <tableColumns count="19">
    <tableColumn id="1" name="Ticker"/>
    <tableColumn id="2" name="Company"/>
    <tableColumn id="3" name="Rule 5&#10;Composite&#10;≥65?"/>
    <tableColumn id="4" name="Rule 6&#10;Tier1&#10;≥3.0?"/>
    <tableColumn id="5" name="Rule 7&#10;No Tier1&#10;=1?"/>
    <tableColumn id="6" name="Rule 8&#10;Above / reclaimed&#10;200-wk MA?&#10;(Y/N)"/>
    <tableColumn id="7" name="Rule 9&#10;Monthly MACD&#10;positive / turning?&#10;(Y/N)"/>
    <tableColumn id="8" name="Staging&#10;Result&#10;(Rules 8-9)"/>
    <tableColumn id="9" name="Rule 10&#10;Binary event&#10;risk present?&#10;(Y/N)"/>
    <tableColumn id="10" name="Risk included&#10;in thesis?&#10;(Y/N)"/>
    <tableColumn id="11" name="Rule 10&#10;Result"/>
    <tableColumn id="12" name="Base Case&#10;&gt;10%?"/>
    <tableColumn id="13" name="Rule 11&#10;Bear Case&#10;≥0%?"/>
    <tableColumn id="14" name="Rule 12&#10;Scenario tags&#10;OK?"/>
    <tableColumn id="15" name="P/FCF&#10;(current)"/>
    <tableColumn id="16" name="Consensus FCF&#10;growth, 2-yr&#10;annualized"/>
    <tableColumn id="17" name="Rule 13&#10;Valuation&#10;Ceiling"/>
    <tableColumn id="18" name="ENTRY&#10;AUTHORIZED?"/>
    <tableColumn id="19" name="Recommended Action"/>
  </tableColumns>
</table>
</file>

<file path=xl/tables/table5.xml><?xml version="1.0" encoding="utf-8"?>
<table xmlns="http://schemas.openxmlformats.org/spreadsheetml/2006/main" id="5" name="JournalTable" displayName="JournalTable" ref="A2:C302" headerRowCount="1" totalsRowCount="0" totalsRowShown="0">
  <autoFilter ref="A2:C302"/>
  <tableColumns count="3">
    <tableColumn id="1" name="Date"/>
    <tableColumn id="2" name="Ticker"/>
    <tableColumn id="3" name="Notes"/>
  </tableColumns>
</table>
</file>

<file path=xl/tables/table6.xml><?xml version="1.0" encoding="utf-8"?>
<table xmlns="http://schemas.openxmlformats.org/spreadsheetml/2006/main" id="6" name="MonitorTable" displayName="MonitorTable" ref="A2:Q48" headerRowCount="1" totalsRowCount="0" totalsRowShown="0">
  <autoFilter ref="A2:Q48"/>
  <tableColumns count="17">
    <tableColumn id="1" name="Ticker"/>
    <tableColumn id="2" name="Category"/>
    <tableColumn id="3" name="Last Score&#10;Date"/>
    <tableColumn id="4" name="Last&#10;Composite"/>
    <tableColumn id="5" name="Last Tier 1&#10;Wtd Avg"/>
    <tableColumn id="6" name="Last&#10;Decision"/>
    <tableColumn id="7" name="Price at&#10;Last Score"/>
    <tableColumn id="8" name="Current&#10;Price"/>
    <tableColumn id="9" name="% Price&#10;Change"/>
    <tableColumn id="10" name="Next/Last&#10;Earnings Date"/>
    <tableColumn id="11" name="Insider&#10;Activity? (Y/N)"/>
    <tableColumn id="12" name="Insider Note"/>
    <tableColumn id="13" name="Analyst&#10;Shift? (Y/N)"/>
    <tableColumn id="14" name="Analyst Shift&#10;Note"/>
    <tableColumn id="15" name="Days Since&#10;Last Score"/>
    <tableColumn id="16" name="Recheck Status"/>
    <tableColumn id="17" name="Notes"/>
  </tableColumns>
</table>
</file>

<file path=xl/tables/table7.xml><?xml version="1.0" encoding="utf-8"?>
<table xmlns="http://schemas.openxmlformats.org/spreadsheetml/2006/main" id="7" name="OpenItemsTable" displayName="OpenItemsTable" ref="A4:F18" headerRowCount="1" totalsRowCount="0" totalsRowShown="0">
  <tableColumns count="6">
    <tableColumn id="1" name="#"/>
    <tableColumn id="2" name="Item"/>
    <tableColumn id="3" name="Done (Y/N)"/>
    <tableColumn id="4" name="Date Raised"/>
    <tableColumn id="5" name="Date Resolved"/>
    <tableColumn id="6" name="Notes"/>
  </tableColumns>
</table>
</file>

<file path=xl/tables/table8.xml><?xml version="1.0" encoding="utf-8"?>
<table xmlns="http://schemas.openxmlformats.org/spreadsheetml/2006/main" id="8" name="PerformanceTrackingTable" displayName="PerformanceTrackingTable" ref="A2:Q33" headerRowCount="1" totalsRowCount="0" totalsRowShown="0">
  <autoFilter ref="A2:Q33"/>
  <tableColumns count="17">
    <tableColumn id="1" name="Ticker"/>
    <tableColumn id="2" name="Company"/>
    <tableColumn id="3" name="Entry&#10;Date"/>
    <tableColumn id="4" name="Entry&#10;Price"/>
    <tableColumn id="5" name="Entry&#10;Score"/>
    <tableColumn id="6" name="Entry&#10;Confidence"/>
    <tableColumn id="7" name="Entry&#10;Decision Band"/>
    <tableColumn id="8" name="SPY Price&#10;at Entry"/>
    <tableColumn id="9" name="Status&#10;(Held/Exited)"/>
    <tableColumn id="10" name="Exit&#10;Date"/>
    <tableColumn id="11" name="Exit&#10;Price"/>
    <tableColumn id="12" name="Exit&#10;Reason"/>
    <tableColumn id="13" name="Current/&#10;Exit Price"/>
    <tableColumn id="14" name="SPY Price&#10;(current/exit)"/>
    <tableColumn id="15" name="Total Return&#10;Since Entry"/>
    <tableColumn id="16" name="SPY Return&#10;Same Period"/>
    <tableColumn id="17" name="Excess&#10;Return"/>
  </tableColumns>
</table>
</file>

<file path=xl/tables/table9.xml><?xml version="1.0" encoding="utf-8"?>
<table xmlns="http://schemas.openxmlformats.org/spreadsheetml/2006/main" id="9" name="ProcessChecklistTable" displayName="ProcessChecklistTable" ref="A4:F117" headerRowCount="1" totalsRowCount="0" totalsRowShown="0">
  <tableColumns count="6">
    <tableColumn id="1" name="Event"/>
    <tableColumn id="2" name="Step"/>
    <tableColumn id="3" name="Done (Y/N)"/>
    <tableColumn id="4" name="Date Done"/>
    <tableColumn id="5" name="Event Due Date"/>
    <tableColumn id="6" name="Status"/>
  </tableColumns>
</table>
</file>

<file path=xl/tables/table10.xml><?xml version="1.0" encoding="utf-8"?>
<table xmlns="http://schemas.openxmlformats.org/spreadsheetml/2006/main" id="10" name="WatchListTable" displayName="WatchListTable" ref="A2:M22" headerRowCount="1" totalsRowCount="0" totalsRowShown="0">
  <tableColumns count="13">
    <tableColumn id="1" name="Ticker"/>
    <tableColumn id="2" name="Company"/>
    <tableColumn id="3" name="Status&#10;(Probationary/&#10;Exit Review)"/>
    <tableColumn id="4" name="Entry Date&#10;(band entered)"/>
    <tableColumn id="5" name="Entry&#10;Score"/>
    <tableColumn id="6" name="Current&#10;Score"/>
    <tableColumn id="7" name="Current Score&#10;Date"/>
    <tableColumn id="8" name="Credible&#10;Remediation Plan?&#10;(Y/N)"/>
    <tableColumn id="9" name="90-Day&#10;Deadline"/>
    <tableColumn id="10" name="Days&#10;Remaining"/>
    <tableColumn id="11" name="Action Status"/>
    <tableColumn id="12" name="Remediation Plan Notes"/>
    <tableColumn id="13" name="Trims Taken&#10;(0-3, Rule 33)"/>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2.vml"/>
</Relationships>
</file>

<file path=xl/worksheets/_rels/sheet12.xml.rels><?xml version="1.0" encoding="UTF-8"?>
<Relationships xmlns="http://schemas.openxmlformats.org/package/2006/relationships"><Relationship Id="rId1" Type="http://schemas.openxmlformats.org/officeDocument/2006/relationships/table" Target="../tables/table3.xml"/>
</Relationships>
</file>

<file path=xl/worksheets/_rels/sheet13.xml.rels><?xml version="1.0" encoding="UTF-8"?>
<Relationships xmlns="http://schemas.openxmlformats.org/package/2006/relationships"><Relationship Id="rId1" Type="http://schemas.openxmlformats.org/officeDocument/2006/relationships/table" Target="../tables/table10.xml"/>
</Relationships>
</file>

<file path=xl/worksheets/_rels/sheet16.xml.rels><?xml version="1.0" encoding="UTF-8"?>
<Relationships xmlns="http://schemas.openxmlformats.org/package/2006/relationships"><Relationship Id="rId1" Type="http://schemas.openxmlformats.org/officeDocument/2006/relationships/table" Target="../tables/table8.xml"/>
</Relationships>
</file>

<file path=xl/worksheets/_rels/sheet17.xml.rels><?xml version="1.0" encoding="UTF-8"?>
<Relationships xmlns="http://schemas.openxmlformats.org/package/2006/relationships"><Relationship Id="rId1" Type="http://schemas.openxmlformats.org/officeDocument/2006/relationships/table" Target="../tables/table5.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3.vml"/><Relationship Id="rId3" Type="http://schemas.openxmlformats.org/officeDocument/2006/relationships/table" Target="../tables/table9.x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4.vml"/><Relationship Id="rId3" Type="http://schemas.openxmlformats.org/officeDocument/2006/relationships/table" Target="../tables/table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6796875" defaultRowHeight="14.25" customHeight="false" zeroHeight="false" outlineLevelRow="0" outlineLevelCol="0"/>
  <cols>
    <col collapsed="false" customWidth="true" hidden="false" outlineLevel="0" max="1" min="1" style="1" width="100"/>
  </cols>
  <sheetData>
    <row r="1" customFormat="false" ht="29.25" hidden="false" customHeight="true" outlineLevel="0" collapsed="false">
      <c r="A1" s="2" t="s">
        <v>0</v>
      </c>
    </row>
    <row r="2" customFormat="false" ht="14.25" hidden="false" customHeight="true" outlineLevel="0" collapsed="false">
      <c r="A2" s="3"/>
    </row>
    <row r="3" customFormat="false" ht="14.25" hidden="false" customHeight="true" outlineLevel="0" collapsed="false">
      <c r="A3" s="4" t="s">
        <v>1</v>
      </c>
    </row>
    <row r="4" customFormat="false" ht="14.25" hidden="false" customHeight="true" outlineLevel="0" collapsed="false">
      <c r="A4" s="3" t="s">
        <v>2</v>
      </c>
    </row>
    <row r="5" customFormat="false" ht="14.25" hidden="false" customHeight="true" outlineLevel="0" collapsed="false">
      <c r="A5" s="3" t="s">
        <v>3</v>
      </c>
    </row>
    <row r="6" customFormat="false" ht="14.25" hidden="false" customHeight="true" outlineLevel="0" collapsed="false">
      <c r="A6" s="3"/>
    </row>
    <row r="7" customFormat="false" ht="14.25" hidden="false" customHeight="true" outlineLevel="0" collapsed="false">
      <c r="A7" s="5" t="s">
        <v>4</v>
      </c>
    </row>
    <row r="8" customFormat="false" ht="14.25" hidden="false" customHeight="true" outlineLevel="0" collapsed="false">
      <c r="A8" s="3" t="s">
        <v>5</v>
      </c>
    </row>
    <row r="9" customFormat="false" ht="14.25" hidden="false" customHeight="true" outlineLevel="0" collapsed="false">
      <c r="A9" s="3" t="s">
        <v>6</v>
      </c>
    </row>
    <row r="10" customFormat="false" ht="14.25" hidden="false" customHeight="true" outlineLevel="0" collapsed="false">
      <c r="A10" s="3" t="s">
        <v>7</v>
      </c>
    </row>
    <row r="11" customFormat="false" ht="14.25" hidden="false" customHeight="true" outlineLevel="0" collapsed="false">
      <c r="A11" s="3" t="s">
        <v>8</v>
      </c>
    </row>
    <row r="12" customFormat="false" ht="14.25" hidden="false" customHeight="true" outlineLevel="0" collapsed="false">
      <c r="A12" s="3" t="s">
        <v>9</v>
      </c>
    </row>
    <row r="13" customFormat="false" ht="14.25" hidden="false" customHeight="true" outlineLevel="0" collapsed="false">
      <c r="A13" s="3" t="s">
        <v>10</v>
      </c>
    </row>
    <row r="14" customFormat="false" ht="14.25" hidden="false" customHeight="true" outlineLevel="0" collapsed="false">
      <c r="A14" s="3" t="s">
        <v>11</v>
      </c>
    </row>
    <row r="15" customFormat="false" ht="14.25" hidden="false" customHeight="true" outlineLevel="0" collapsed="false">
      <c r="A15" s="3" t="s">
        <v>12</v>
      </c>
    </row>
    <row r="16" customFormat="false" ht="14.25" hidden="false" customHeight="true" outlineLevel="0" collapsed="false">
      <c r="A16" s="3" t="s">
        <v>13</v>
      </c>
    </row>
    <row r="17" customFormat="false" ht="14.25" hidden="false" customHeight="true" outlineLevel="0" collapsed="false">
      <c r="A17" s="3" t="s">
        <v>14</v>
      </c>
    </row>
    <row r="18" customFormat="false" ht="14.25" hidden="false" customHeight="true" outlineLevel="0" collapsed="false">
      <c r="A18" s="3"/>
    </row>
    <row r="19" customFormat="false" ht="14.25" hidden="false" customHeight="true" outlineLevel="0" collapsed="false">
      <c r="A19" s="5" t="s">
        <v>15</v>
      </c>
    </row>
    <row r="20" customFormat="false" ht="14.25" hidden="false" customHeight="true" outlineLevel="0" collapsed="false">
      <c r="A20" s="3" t="s">
        <v>16</v>
      </c>
    </row>
    <row r="21" customFormat="false" ht="14.25" hidden="false" customHeight="true" outlineLevel="0" collapsed="false">
      <c r="A21" s="3" t="s">
        <v>17</v>
      </c>
    </row>
    <row r="22" customFormat="false" ht="14.25" hidden="false" customHeight="true" outlineLevel="0" collapsed="false">
      <c r="A22" s="3" t="s">
        <v>18</v>
      </c>
    </row>
    <row r="23" customFormat="false" ht="14.25" hidden="false" customHeight="true" outlineLevel="0" collapsed="false">
      <c r="A23" s="3" t="s">
        <v>19</v>
      </c>
    </row>
    <row r="24" customFormat="false" ht="14.25" hidden="false" customHeight="true" outlineLevel="0" collapsed="false">
      <c r="A24" s="3" t="s">
        <v>20</v>
      </c>
    </row>
    <row r="25" customFormat="false" ht="14.25" hidden="false" customHeight="true" outlineLevel="0" collapsed="false">
      <c r="A25" s="3" t="s">
        <v>21</v>
      </c>
    </row>
    <row r="26" customFormat="false" ht="14.25" hidden="false" customHeight="true" outlineLevel="0" collapsed="false">
      <c r="A26" s="3" t="s">
        <v>22</v>
      </c>
    </row>
    <row r="27" customFormat="false" ht="14.25" hidden="false" customHeight="true" outlineLevel="0" collapsed="false">
      <c r="A27" s="6" t="s">
        <v>23</v>
      </c>
    </row>
    <row r="28" customFormat="false" ht="14.25" hidden="false" customHeight="true" outlineLevel="0" collapsed="false">
      <c r="A28" s="6" t="s">
        <v>24</v>
      </c>
    </row>
    <row r="29" customFormat="false" ht="14.25" hidden="false" customHeight="true" outlineLevel="0" collapsed="false">
      <c r="A29" s="3" t="s">
        <v>25</v>
      </c>
    </row>
    <row r="30" customFormat="false" ht="14.25" hidden="false" customHeight="true" outlineLevel="0" collapsed="false">
      <c r="A30" s="3" t="s">
        <v>26</v>
      </c>
    </row>
    <row r="31" customFormat="false" ht="32.25" hidden="false" customHeight="true" outlineLevel="0" collapsed="false">
      <c r="A31" s="3"/>
    </row>
    <row r="32" customFormat="false" ht="14.25" hidden="false" customHeight="true" outlineLevel="0" collapsed="false">
      <c r="A32" s="5" t="s">
        <v>27</v>
      </c>
    </row>
    <row r="33" customFormat="false" ht="32.25" hidden="false" customHeight="true" outlineLevel="0" collapsed="false">
      <c r="A33" s="3" t="s">
        <v>28</v>
      </c>
    </row>
    <row r="34" customFormat="false" ht="14.25" hidden="false" customHeight="true" outlineLevel="0" collapsed="false">
      <c r="A34" s="3" t="s">
        <v>29</v>
      </c>
    </row>
    <row r="35" customFormat="false" ht="21.75" hidden="false" customHeight="true" outlineLevel="0" collapsed="false"/>
    <row r="36" customFormat="false" ht="14.25" hidden="false" customHeight="true" outlineLevel="0" collapsed="false">
      <c r="A36" s="7" t="s">
        <v>30</v>
      </c>
    </row>
    <row r="37" customFormat="false" ht="14.25" hidden="false" customHeight="true" outlineLevel="0" collapsed="false">
      <c r="A37" s="8" t="s">
        <v>31</v>
      </c>
    </row>
    <row r="38" customFormat="false" ht="14.25" hidden="false" customHeight="true" outlineLevel="0" collapsed="false">
      <c r="A38" s="3"/>
    </row>
    <row r="39" customFormat="false" ht="14.25" hidden="false" customHeight="true" outlineLevel="0" collapsed="false">
      <c r="A39" s="5" t="s">
        <v>32</v>
      </c>
    </row>
    <row r="40" customFormat="false" ht="14.25" hidden="false" customHeight="true" outlineLevel="0" collapsed="false">
      <c r="A40" s="3" t="s">
        <v>33</v>
      </c>
    </row>
    <row r="41" customFormat="false" ht="14.25" hidden="false" customHeight="true" outlineLevel="0" collapsed="false">
      <c r="A41" s="3" t="s">
        <v>34</v>
      </c>
    </row>
    <row r="42" customFormat="false" ht="14.25" hidden="false" customHeight="true" outlineLevel="0" collapsed="false">
      <c r="A42" s="3" t="s">
        <v>35</v>
      </c>
    </row>
    <row r="43" customFormat="false" ht="14.25" hidden="false" customHeight="true" outlineLevel="0" collapsed="false">
      <c r="A43" s="3" t="s">
        <v>36</v>
      </c>
    </row>
    <row r="44" customFormat="false" ht="14.25" hidden="false" customHeight="true" outlineLevel="0" collapsed="false">
      <c r="A44" s="3" t="s">
        <v>37</v>
      </c>
    </row>
    <row r="45" customFormat="false" ht="14.25" hidden="false" customHeight="true" outlineLevel="0" collapsed="false">
      <c r="A45" s="3" t="s">
        <v>38</v>
      </c>
    </row>
    <row r="46" customFormat="false" ht="21.75" hidden="false" customHeight="true" outlineLevel="0" collapsed="false">
      <c r="A46" s="3" t="s">
        <v>39</v>
      </c>
    </row>
    <row r="47" customFormat="false" ht="14.25" hidden="false" customHeight="true" outlineLevel="0" collapsed="false">
      <c r="A47" s="3" t="s">
        <v>40</v>
      </c>
    </row>
    <row r="48" customFormat="false" ht="42.75" hidden="false" customHeight="true" outlineLevel="0" collapsed="false">
      <c r="A48" s="3" t="s">
        <v>41</v>
      </c>
    </row>
    <row r="49" customFormat="false" ht="14.25" hidden="false" customHeight="true" outlineLevel="0" collapsed="false">
      <c r="A49" s="3"/>
    </row>
    <row r="50" customFormat="false" ht="34.5" hidden="false" customHeight="true" outlineLevel="0" collapsed="false">
      <c r="A50" s="3" t="s">
        <v>42</v>
      </c>
    </row>
    <row r="51" customFormat="false" ht="34.5" hidden="false" customHeight="true" outlineLevel="0" collapsed="false">
      <c r="A51" s="3"/>
    </row>
    <row r="52" customFormat="false" ht="14.25" hidden="false" customHeight="true" outlineLevel="0" collapsed="false">
      <c r="A52" s="9" t="s">
        <v>43</v>
      </c>
    </row>
    <row r="53" customFormat="false" ht="14.25" hidden="false" customHeight="true" outlineLevel="0" collapsed="false">
      <c r="A53" s="9" t="s">
        <v>44</v>
      </c>
    </row>
    <row r="54" customFormat="false" ht="14.25" hidden="false" customHeight="true" outlineLevel="0" collapsed="false">
      <c r="A54" s="1" t="s">
        <v>45</v>
      </c>
    </row>
    <row r="55" customFormat="false" ht="14.25" hidden="false" customHeight="true" outlineLevel="0" collapsed="false">
      <c r="A55" s="1" t="s">
        <v>46</v>
      </c>
    </row>
    <row r="56" customFormat="false" ht="14.25" hidden="false" customHeight="true" outlineLevel="0" collapsed="false">
      <c r="A56" s="1" t="s">
        <v>47</v>
      </c>
    </row>
    <row r="57" customFormat="false" ht="14.25" hidden="false" customHeight="true" outlineLevel="0" collapsed="false">
      <c r="A57" s="1" t="s">
        <v>48</v>
      </c>
    </row>
    <row r="58" customFormat="false" ht="14.25" hidden="false" customHeight="true" outlineLevel="0" collapsed="false">
      <c r="A58" s="1" t="s">
        <v>49</v>
      </c>
    </row>
    <row r="59" customFormat="false" ht="14.25" hidden="false" customHeight="true" outlineLevel="0" collapsed="false">
      <c r="A59" s="1" t="s">
        <v>50</v>
      </c>
    </row>
  </sheetData>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66796875" defaultRowHeight="14.25" customHeight="false" zeroHeight="false" outlineLevelRow="0" outlineLevelCol="0"/>
  <cols>
    <col collapsed="false" customWidth="true" hidden="false" outlineLevel="0" max="1" min="1" style="1" width="22"/>
    <col collapsed="false" customWidth="true" hidden="false" outlineLevel="0" max="4" min="2" style="1" width="12"/>
    <col collapsed="false" customWidth="true" hidden="false" outlineLevel="0" max="5" min="5" style="1" width="11.89"/>
    <col collapsed="false" customWidth="true" hidden="false" outlineLevel="0" max="6" min="6" style="1" width="8"/>
  </cols>
  <sheetData>
    <row r="1" s="11" customFormat="true" ht="54" hidden="false" customHeight="true" outlineLevel="0" collapsed="false">
      <c r="A1" s="10" t="s">
        <v>51</v>
      </c>
      <c r="B1" s="10"/>
      <c r="C1" s="10"/>
      <c r="D1" s="10"/>
      <c r="E1" s="10"/>
      <c r="F1" s="10"/>
    </row>
    <row r="2" customFormat="false" ht="15" hidden="false" customHeight="true" outlineLevel="0" collapsed="false">
      <c r="A2" s="12" t="s">
        <v>52</v>
      </c>
      <c r="B2" s="12"/>
      <c r="C2" s="12"/>
      <c r="D2" s="12"/>
      <c r="E2" s="12"/>
      <c r="F2" s="12"/>
    </row>
    <row r="4" customFormat="false" ht="15" hidden="false" customHeight="true" outlineLevel="0" collapsed="false">
      <c r="A4" s="13" t="s">
        <v>53</v>
      </c>
      <c r="B4" s="13"/>
      <c r="C4" s="13"/>
      <c r="D4" s="13"/>
      <c r="E4" s="13"/>
      <c r="F4" s="13"/>
    </row>
    <row r="5" customFormat="false" ht="15" hidden="false" customHeight="true" outlineLevel="0" collapsed="false">
      <c r="A5" s="14" t="s">
        <v>54</v>
      </c>
      <c r="B5" s="14"/>
      <c r="C5" s="14"/>
      <c r="D5" s="14"/>
      <c r="E5" s="15" t="n">
        <f aca="false">COUNTIF('Watch List Tracker'!K3:K22,"*SELL WITHIN 30 DAYS*")</f>
        <v>0</v>
      </c>
      <c r="F5" s="15"/>
    </row>
    <row r="6" customFormat="false" ht="15" hidden="false" customHeight="true" outlineLevel="0" collapsed="false">
      <c r="A6" s="14" t="s">
        <v>55</v>
      </c>
      <c r="B6" s="14"/>
      <c r="C6" s="14"/>
      <c r="D6" s="14"/>
      <c r="E6" s="15" t="n">
        <f aca="false">COUNTIF('Watch List Tracker'!K3:K22,"DEADLINE APPROACHING")</f>
        <v>0</v>
      </c>
      <c r="F6" s="15"/>
    </row>
    <row r="7" customFormat="false" ht="15" hidden="false" customHeight="true" outlineLevel="0" collapsed="false">
      <c r="A7" s="14" t="s">
        <v>56</v>
      </c>
      <c r="B7" s="14"/>
      <c r="C7" s="14"/>
      <c r="D7" s="14"/>
      <c r="E7" s="15" t="n">
        <f aca="false">COUNTIF('Watch List Tracker'!K3:K22,"*RECOVERED*")</f>
        <v>0</v>
      </c>
      <c r="F7" s="15"/>
    </row>
    <row r="8" customFormat="false" ht="15" hidden="false" customHeight="true" outlineLevel="0" collapsed="false">
      <c r="A8" s="16"/>
      <c r="B8" s="16"/>
      <c r="C8" s="16"/>
      <c r="D8" s="16"/>
    </row>
    <row r="9" customFormat="false" ht="15" hidden="false" customHeight="true" outlineLevel="0" collapsed="false">
      <c r="A9" s="13" t="s">
        <v>57</v>
      </c>
      <c r="B9" s="13"/>
      <c r="C9" s="13"/>
      <c r="D9" s="13"/>
      <c r="E9" s="13"/>
      <c r="F9" s="13"/>
    </row>
    <row r="10" customFormat="false" ht="15" hidden="false" customHeight="true" outlineLevel="0" collapsed="false">
      <c r="A10" s="14" t="s">
        <v>58</v>
      </c>
      <c r="B10" s="14"/>
      <c r="C10" s="14"/>
      <c r="D10" s="14"/>
      <c r="E10" s="15" t="n">
        <f aca="false">COUNTIF('Holding Monitor'!AB4:AB23,"*ACTION REQUIRED*")</f>
        <v>0</v>
      </c>
      <c r="F10" s="15"/>
    </row>
    <row r="11" customFormat="false" ht="15" hidden="false" customHeight="true" outlineLevel="0" collapsed="false">
      <c r="A11" s="14" t="s">
        <v>59</v>
      </c>
      <c r="B11" s="14"/>
      <c r="C11" s="14"/>
      <c r="D11" s="14"/>
      <c r="E11" s="15" t="n">
        <f aca="false">COUNTIF('Holding Monitor'!AB4:AB23,"*Hold Through*")</f>
        <v>0</v>
      </c>
      <c r="F11" s="15"/>
    </row>
    <row r="12" customFormat="false" ht="15" hidden="false" customHeight="true" outlineLevel="0" collapsed="false">
      <c r="A12" s="16"/>
      <c r="B12" s="16"/>
      <c r="C12" s="16"/>
      <c r="D12" s="16"/>
    </row>
    <row r="13" customFormat="false" ht="15" hidden="false" customHeight="true" outlineLevel="0" collapsed="false">
      <c r="A13" s="13" t="s">
        <v>60</v>
      </c>
      <c r="B13" s="13"/>
      <c r="C13" s="13"/>
      <c r="D13" s="13"/>
      <c r="E13" s="13"/>
      <c r="F13" s="13"/>
    </row>
    <row r="14" customFormat="false" ht="15" hidden="false" customHeight="true" outlineLevel="0" collapsed="false">
      <c r="A14" s="14" t="s">
        <v>61</v>
      </c>
      <c r="B14" s="14"/>
      <c r="C14" s="14"/>
      <c r="D14" s="14"/>
      <c r="E14" s="17" t="str">
        <f aca="false">'Correlation Matrix'!J3</f>
        <v>REVIEW REQUIRED</v>
      </c>
      <c r="F14" s="17"/>
    </row>
    <row r="15" customFormat="false" ht="15" hidden="false" customHeight="true" outlineLevel="0" collapsed="false">
      <c r="A15" s="14" t="s">
        <v>62</v>
      </c>
      <c r="B15" s="14"/>
      <c r="C15" s="14"/>
      <c r="D15" s="14"/>
      <c r="E15" s="18" t="n">
        <f aca="false">'Correlation Matrix'!J2</f>
        <v>5</v>
      </c>
      <c r="F15" s="18"/>
    </row>
    <row r="16" customFormat="false" ht="15" hidden="false" customHeight="true" outlineLevel="0" collapsed="false">
      <c r="A16" s="16"/>
      <c r="B16" s="16"/>
      <c r="C16" s="16"/>
      <c r="D16" s="16"/>
    </row>
    <row r="17" customFormat="false" ht="15" hidden="false" customHeight="true" outlineLevel="0" collapsed="false">
      <c r="A17" s="13" t="s">
        <v>63</v>
      </c>
      <c r="B17" s="13"/>
      <c r="C17" s="13"/>
      <c r="D17" s="13"/>
      <c r="E17" s="13"/>
      <c r="F17" s="13"/>
    </row>
    <row r="18" customFormat="false" ht="15" hidden="false" customHeight="true" outlineLevel="0" collapsed="false">
      <c r="A18" s="14" t="s">
        <v>64</v>
      </c>
      <c r="B18" s="14"/>
      <c r="C18" s="14"/>
      <c r="D18" s="14"/>
      <c r="E18" s="15" t="str">
        <f aca="false">IFERROR(INDEX('Portfolio Drawdown Log'!E3:E42,COUNT('Portfolio Drawdown Log'!D3:D42)),"No entries yet")</f>
        <v>Normal</v>
      </c>
      <c r="F18" s="15"/>
    </row>
    <row r="19" customFormat="false" ht="15" hidden="false" customHeight="true" outlineLevel="0" collapsed="false">
      <c r="A19" s="14" t="s">
        <v>65</v>
      </c>
      <c r="B19" s="14"/>
      <c r="C19" s="14"/>
      <c r="D19" s="14"/>
      <c r="E19" s="19" t="n">
        <f aca="false">IFERROR(INDEX('Portfolio Drawdown Log'!D3:D42,COUNT('Portfolio Drawdown Log'!D3:D42)),"")</f>
        <v>0</v>
      </c>
      <c r="F19" s="19"/>
    </row>
    <row r="20" customFormat="false" ht="15" hidden="false" customHeight="true" outlineLevel="0" collapsed="false">
      <c r="A20" s="14" t="s">
        <v>66</v>
      </c>
      <c r="B20" s="14"/>
      <c r="C20" s="14"/>
      <c r="D20" s="14"/>
      <c r="E20" s="15" t="str">
        <f aca="false">IFERROR(INDEX('Portfolio Drawdown Log'!F3:F42,COUNT('Portfolio Drawdown Log'!D3:D42)),"")</f>
        <v>5-15%</v>
      </c>
      <c r="F20" s="15"/>
    </row>
    <row r="21" customFormat="false" ht="15" hidden="false" customHeight="true" outlineLevel="0" collapsed="false">
      <c r="A21" s="16"/>
      <c r="B21" s="16"/>
      <c r="C21" s="16"/>
      <c r="D21" s="16"/>
    </row>
    <row r="22" customFormat="false" ht="15" hidden="false" customHeight="true" outlineLevel="0" collapsed="false">
      <c r="A22" s="13" t="s">
        <v>67</v>
      </c>
      <c r="B22" s="13"/>
      <c r="C22" s="13"/>
      <c r="D22" s="13"/>
      <c r="E22" s="13"/>
      <c r="F22" s="13"/>
    </row>
    <row r="23" customFormat="false" ht="15" hidden="false" customHeight="true" outlineLevel="0" collapsed="false">
      <c r="A23" s="14" t="s">
        <v>68</v>
      </c>
      <c r="B23" s="14"/>
      <c r="C23" s="14"/>
      <c r="D23" s="14"/>
      <c r="E23" s="15" t="n">
        <f aca="false">COUNTIF(Scoring!AH3:AH60,"FAIL")</f>
        <v>19</v>
      </c>
      <c r="F23" s="15"/>
    </row>
    <row r="24" customFormat="false" ht="15" hidden="false" customHeight="true" outlineLevel="0" collapsed="false">
      <c r="A24" s="14" t="s">
        <v>69</v>
      </c>
      <c r="B24" s="14"/>
      <c r="C24" s="14"/>
      <c r="D24" s="14"/>
      <c r="E24" s="15" t="n">
        <f aca="false">COUNTIF(Scoring!AJ3:AJ60,"AVOID")</f>
        <v>23</v>
      </c>
      <c r="F24" s="15"/>
    </row>
    <row r="25" customFormat="false" ht="15" hidden="false" customHeight="true" outlineLevel="0" collapsed="false">
      <c r="A25" s="14" t="s">
        <v>70</v>
      </c>
      <c r="B25" s="14"/>
      <c r="C25" s="14"/>
      <c r="D25" s="14"/>
      <c r="E25" s="15" t="n">
        <f aca="false">COUNTIF(Scoring!AI3:AI60,"REVIEW")</f>
        <v>14</v>
      </c>
      <c r="F25" s="15"/>
    </row>
    <row r="26" customFormat="false" ht="15" hidden="false" customHeight="true" outlineLevel="0" collapsed="false">
      <c r="A26" s="14" t="s">
        <v>71</v>
      </c>
      <c r="B26" s="14"/>
      <c r="C26" s="14"/>
      <c r="D26" s="14"/>
      <c r="E26" s="15" t="n">
        <f aca="false">COUNTIF(Scoring!AK3:AK60,"CAP AT BUY")</f>
        <v>0</v>
      </c>
      <c r="F26" s="15"/>
    </row>
    <row r="27" customFormat="false" ht="15" hidden="false" customHeight="true" outlineLevel="0" collapsed="false">
      <c r="A27" s="13" t="s">
        <v>72</v>
      </c>
      <c r="B27" s="13"/>
      <c r="C27" s="13"/>
      <c r="D27" s="13"/>
      <c r="E27" s="13"/>
      <c r="F27" s="13"/>
    </row>
    <row r="28" customFormat="false" ht="15" hidden="false" customHeight="true" outlineLevel="0" collapsed="false">
      <c r="A28" s="20" t="s">
        <v>73</v>
      </c>
      <c r="B28" s="20"/>
      <c r="C28" s="20"/>
      <c r="D28" s="20"/>
      <c r="E28" s="15" t="n">
        <f aca="false">COUNTIF('Entry Checklist'!R3:R47,"NO*")</f>
        <v>1</v>
      </c>
      <c r="F28" s="15"/>
    </row>
    <row r="29" customFormat="false" ht="15" hidden="false" customHeight="true" outlineLevel="0" collapsed="false">
      <c r="A29" s="20" t="s">
        <v>74</v>
      </c>
      <c r="B29" s="20"/>
      <c r="C29" s="20"/>
      <c r="D29" s="20"/>
      <c r="E29" s="15" t="n">
        <f aca="false">COUNTIF('Entry Checklist'!H3:H47,"*50%*")</f>
        <v>0</v>
      </c>
      <c r="F29" s="15"/>
    </row>
    <row r="30" customFormat="false" ht="15" hidden="false" customHeight="true" outlineLevel="0" collapsed="false">
      <c r="A30" s="16"/>
      <c r="B30" s="16"/>
      <c r="C30" s="16"/>
      <c r="D30" s="16"/>
    </row>
    <row r="31" customFormat="false" ht="55.5" hidden="false" customHeight="true" outlineLevel="0" collapsed="false">
      <c r="A31" s="21" t="s">
        <v>75</v>
      </c>
      <c r="B31" s="21"/>
      <c r="C31" s="21"/>
      <c r="D31" s="21"/>
      <c r="E31" s="21"/>
      <c r="F31" s="21"/>
    </row>
    <row r="32" customFormat="false" ht="29.25" hidden="false" customHeight="true" outlineLevel="0" collapsed="false">
      <c r="A32" s="22" t="s">
        <v>76</v>
      </c>
      <c r="B32" s="22"/>
      <c r="C32" s="22"/>
      <c r="D32" s="22"/>
      <c r="E32" s="15" t="n">
        <f aca="false">COUNTIF(Scoring!AP3:AP60,"LOW CONF")</f>
        <v>2</v>
      </c>
      <c r="F32" s="15"/>
    </row>
    <row r="33" customFormat="false" ht="15" hidden="false" customHeight="true" outlineLevel="0" collapsed="false">
      <c r="A33" s="14" t="s">
        <v>77</v>
      </c>
      <c r="B33" s="14"/>
      <c r="C33" s="14"/>
      <c r="D33" s="14"/>
      <c r="E33" s="15" t="n">
        <f aca="false">COUNTIF(Scoring!AS3:AS60,"Increased")</f>
        <v>5</v>
      </c>
      <c r="F33" s="15"/>
    </row>
    <row r="34" customFormat="false" ht="15" hidden="false" customHeight="true" outlineLevel="0" collapsed="false">
      <c r="A34" s="16"/>
      <c r="B34" s="16"/>
      <c r="C34" s="16"/>
      <c r="D34" s="16"/>
    </row>
    <row r="35" customFormat="false" ht="15" hidden="false" customHeight="true" outlineLevel="0" collapsed="false">
      <c r="A35" s="16"/>
      <c r="B35" s="16"/>
      <c r="C35" s="16"/>
      <c r="D35" s="16"/>
    </row>
    <row r="36" customFormat="false" ht="15" hidden="false" customHeight="true" outlineLevel="0" collapsed="false">
      <c r="A36" s="16"/>
      <c r="B36" s="16"/>
      <c r="C36" s="16"/>
      <c r="D36" s="16"/>
    </row>
    <row r="37" customFormat="false" ht="15" hidden="false" customHeight="true" outlineLevel="0" collapsed="false">
      <c r="A37" s="16"/>
      <c r="B37" s="16"/>
      <c r="C37" s="16"/>
      <c r="D37" s="16"/>
    </row>
    <row r="38" customFormat="false" ht="15" hidden="false" customHeight="true" outlineLevel="0" collapsed="false">
      <c r="A38" s="16"/>
      <c r="B38" s="16"/>
      <c r="C38" s="16"/>
      <c r="D38" s="16"/>
    </row>
    <row r="39" customFormat="false" ht="15" hidden="false" customHeight="true" outlineLevel="0" collapsed="false">
      <c r="A39" s="16"/>
      <c r="B39" s="16"/>
      <c r="C39" s="16"/>
      <c r="D39" s="16"/>
    </row>
    <row r="40" customFormat="false" ht="15" hidden="false" customHeight="true" outlineLevel="0" collapsed="false">
      <c r="A40" s="16"/>
      <c r="B40" s="16"/>
      <c r="C40" s="16"/>
      <c r="D40" s="16"/>
    </row>
    <row r="41" customFormat="false" ht="15" hidden="false" customHeight="true" outlineLevel="0" collapsed="false">
      <c r="A41" s="16"/>
      <c r="B41" s="16"/>
      <c r="C41" s="16"/>
      <c r="D41" s="16"/>
    </row>
    <row r="42" customFormat="false" ht="15" hidden="false" customHeight="true" outlineLevel="0" collapsed="false">
      <c r="A42" s="16"/>
      <c r="B42" s="16"/>
      <c r="C42" s="16"/>
      <c r="D42" s="16"/>
    </row>
    <row r="43" customFormat="false" ht="15" hidden="false" customHeight="true" outlineLevel="0" collapsed="false">
      <c r="A43" s="16"/>
      <c r="B43" s="16"/>
      <c r="C43" s="16"/>
      <c r="D43" s="16"/>
    </row>
  </sheetData>
  <mergeCells count="45">
    <mergeCell ref="A1:F1"/>
    <mergeCell ref="A2:F2"/>
    <mergeCell ref="A4:F4"/>
    <mergeCell ref="A5:D5"/>
    <mergeCell ref="E5:F5"/>
    <mergeCell ref="A6:D6"/>
    <mergeCell ref="E6:F6"/>
    <mergeCell ref="A7:D7"/>
    <mergeCell ref="E7:F7"/>
    <mergeCell ref="A9:F9"/>
    <mergeCell ref="A10:D10"/>
    <mergeCell ref="E10:F10"/>
    <mergeCell ref="A11:D11"/>
    <mergeCell ref="E11:F11"/>
    <mergeCell ref="A13:F13"/>
    <mergeCell ref="A14:D14"/>
    <mergeCell ref="E14:F14"/>
    <mergeCell ref="A15:D15"/>
    <mergeCell ref="E15:F15"/>
    <mergeCell ref="A17:F17"/>
    <mergeCell ref="A18:D18"/>
    <mergeCell ref="E18:F18"/>
    <mergeCell ref="A19:D19"/>
    <mergeCell ref="E19:F19"/>
    <mergeCell ref="A20:D20"/>
    <mergeCell ref="E20:F20"/>
    <mergeCell ref="A22:F22"/>
    <mergeCell ref="A23:D23"/>
    <mergeCell ref="E23:F23"/>
    <mergeCell ref="A24:D24"/>
    <mergeCell ref="E24:F24"/>
    <mergeCell ref="A25:D25"/>
    <mergeCell ref="E25:F25"/>
    <mergeCell ref="A26:D26"/>
    <mergeCell ref="E26:F26"/>
    <mergeCell ref="A27:F27"/>
    <mergeCell ref="A28:D28"/>
    <mergeCell ref="E28:F28"/>
    <mergeCell ref="A29:D29"/>
    <mergeCell ref="E29:F29"/>
    <mergeCell ref="A31:F31"/>
    <mergeCell ref="A32:D32"/>
    <mergeCell ref="E32:F32"/>
    <mergeCell ref="A33:D33"/>
    <mergeCell ref="E33:F33"/>
  </mergeCells>
  <conditionalFormatting sqref="E5">
    <cfRule type="cellIs" priority="2" operator="greaterThan" aboveAverage="0" equalAverage="0" bottom="0" percent="0" rank="0" text="" dxfId="0">
      <formula>0</formula>
    </cfRule>
  </conditionalFormatting>
  <conditionalFormatting sqref="E10">
    <cfRule type="cellIs" priority="3" operator="greaterThan" aboveAverage="0" equalAverage="0" bottom="0" percent="0" rank="0" text="" dxfId="0">
      <formula>0</formula>
    </cfRule>
  </conditionalFormatting>
  <conditionalFormatting sqref="E23:E24">
    <cfRule type="cellIs" priority="4" operator="greaterThan" aboveAverage="0" equalAverage="0" bottom="0" percent="0" rank="0" text="" dxfId="0">
      <formula>0</formula>
    </cfRule>
  </conditionalFormatting>
  <conditionalFormatting sqref="E28">
    <cfRule type="cellIs" priority="5"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G32" activePane="bottomRight" state="frozen"/>
      <selection pane="topLeft" activeCell="A1" activeCellId="0" sqref="A1"/>
      <selection pane="topRight" activeCell="G1" activeCellId="0" sqref="G1"/>
      <selection pane="bottomLeft" activeCell="A32" activeCellId="0" sqref="A32"/>
      <selection pane="bottomRight" activeCell="I16" activeCellId="0" sqref="I16"/>
    </sheetView>
  </sheetViews>
  <sheetFormatPr defaultColWidth="8.66796875" defaultRowHeight="14.25" customHeight="false" zeroHeight="false" outlineLevelRow="1" outlineLevelCol="0"/>
  <cols>
    <col collapsed="false" customWidth="true" hidden="false" outlineLevel="0" max="1" min="1" style="1" width="11"/>
    <col collapsed="false" customWidth="true" hidden="false" outlineLevel="0" max="2" min="2" style="23" width="9"/>
    <col collapsed="false" customWidth="true" hidden="false" outlineLevel="0" max="3" min="3" style="1" width="30"/>
    <col collapsed="false" customWidth="true" hidden="false" outlineLevel="0" max="4" min="4" style="23" width="11.11"/>
    <col collapsed="false" customWidth="true" hidden="false" outlineLevel="0" max="5" min="5" style="1" width="11.77"/>
    <col collapsed="false" customWidth="true" hidden="false" outlineLevel="0" max="6" min="6" style="24" width="10"/>
    <col collapsed="false" customWidth="true" hidden="false" outlineLevel="0" max="7" min="7" style="1" width="13.75"/>
    <col collapsed="false" customWidth="true" hidden="false" outlineLevel="0" max="8" min="8" style="1" width="13"/>
    <col collapsed="false" customWidth="true" hidden="false" outlineLevel="0" max="9" min="9" style="1" width="9.88"/>
    <col collapsed="false" customWidth="true" hidden="false" outlineLevel="0" max="10" min="10" style="23" width="11"/>
    <col collapsed="false" customWidth="false" hidden="false" outlineLevel="0" max="11" min="11" style="23" width="8.67"/>
    <col collapsed="false" customWidth="true" hidden="false" outlineLevel="0" max="12" min="12" style="23" width="13"/>
    <col collapsed="false" customWidth="true" hidden="false" outlineLevel="0" max="13" min="13" style="1" width="34"/>
    <col collapsed="false" customWidth="true" hidden="false" outlineLevel="0" max="15" min="15" style="1" width="26"/>
    <col collapsed="false" customWidth="true" hidden="false" outlineLevel="0" max="16" min="16" style="1" width="13"/>
  </cols>
  <sheetData>
    <row r="1" customFormat="false" ht="52.5" hidden="false" customHeight="true" outlineLevel="0" collapsed="false">
      <c r="A1" s="25" t="s">
        <v>78</v>
      </c>
      <c r="B1" s="25"/>
      <c r="C1" s="25"/>
      <c r="D1" s="25"/>
      <c r="E1" s="25"/>
      <c r="F1" s="25"/>
      <c r="G1" s="25"/>
      <c r="H1" s="25"/>
      <c r="I1" s="25"/>
      <c r="J1" s="25"/>
      <c r="K1" s="25"/>
      <c r="L1" s="25"/>
      <c r="M1" s="25"/>
      <c r="O1" s="26" t="s">
        <v>79</v>
      </c>
      <c r="P1" s="26"/>
    </row>
    <row r="2" customFormat="false" ht="26.25" hidden="false" customHeight="true" outlineLevel="0" collapsed="false">
      <c r="A2" s="27" t="s">
        <v>80</v>
      </c>
      <c r="B2" s="27" t="s">
        <v>81</v>
      </c>
      <c r="C2" s="27" t="s">
        <v>82</v>
      </c>
      <c r="D2" s="27" t="s">
        <v>83</v>
      </c>
      <c r="E2" s="27" t="s">
        <v>84</v>
      </c>
      <c r="F2" s="27" t="s">
        <v>85</v>
      </c>
      <c r="G2" s="27" t="s">
        <v>86</v>
      </c>
      <c r="H2" s="27" t="s">
        <v>87</v>
      </c>
      <c r="I2" s="27" t="s">
        <v>88</v>
      </c>
      <c r="J2" s="27" t="s">
        <v>89</v>
      </c>
      <c r="K2" s="27" t="s">
        <v>90</v>
      </c>
      <c r="L2" s="27" t="s">
        <v>91</v>
      </c>
      <c r="M2" s="27" t="s">
        <v>92</v>
      </c>
      <c r="O2" s="1" t="s">
        <v>93</v>
      </c>
    </row>
    <row r="3" customFormat="false" ht="15" hidden="false" customHeight="true" outlineLevel="0" collapsed="false">
      <c r="A3" s="28" t="s">
        <v>94</v>
      </c>
      <c r="B3" s="29" t="s">
        <v>95</v>
      </c>
      <c r="C3" s="30" t="s">
        <v>96</v>
      </c>
      <c r="D3" s="31" t="s">
        <v>97</v>
      </c>
      <c r="E3" s="30" t="n">
        <v>65</v>
      </c>
      <c r="F3" s="32" t="n">
        <f aca="false">IF(IFERROR(INDEX('Monitor &amp; Recheck Triggers'!$H$3:$H$48,MATCH($B3,'Monitor &amp; Recheck Triggers'!$A$3:$A$48,0)),"")="",266.51,INDEX('Monitor &amp; Recheck Triggers'!$H$3:$H$48,MATCH($B3,'Monitor &amp; Recheck Triggers'!$A$3:$A$48,0)))</f>
        <v>266.51</v>
      </c>
      <c r="G3" s="33" t="n">
        <f aca="false">E3*F3</f>
        <v>17323.15</v>
      </c>
      <c r="H3" s="34" t="n">
        <v>19163.84</v>
      </c>
      <c r="I3" s="35" t="n">
        <f aca="false">G3-H3</f>
        <v>-1840.69</v>
      </c>
      <c r="J3" s="36" t="n">
        <f aca="false">IF(H3=0,"",G3/H3-1)</f>
        <v>-0.0960501653113365</v>
      </c>
      <c r="K3" s="36" t="n">
        <f aca="false">IFERROR(G3/SUM(G3:G23),"")</f>
        <v>0.037012962240533</v>
      </c>
      <c r="L3" s="36" t="n">
        <f aca="false">IFERROR(G3/(SUM(G3:G23,G27:G46)),"")</f>
        <v>0.0223045982701437</v>
      </c>
      <c r="M3" s="28" t="s">
        <v>98</v>
      </c>
      <c r="O3" s="1" t="s">
        <v>99</v>
      </c>
    </row>
    <row r="4" customFormat="false" ht="15" hidden="false" customHeight="true" outlineLevel="0" collapsed="false">
      <c r="A4" s="28" t="s">
        <v>94</v>
      </c>
      <c r="B4" s="29" t="s">
        <v>100</v>
      </c>
      <c r="C4" s="30" t="s">
        <v>101</v>
      </c>
      <c r="D4" s="31" t="s">
        <v>97</v>
      </c>
      <c r="E4" s="30" t="n">
        <v>70</v>
      </c>
      <c r="F4" s="32" t="n">
        <f aca="false">IF(IFERROR(INDEX('Monitor &amp; Recheck Triggers'!$H$3:$H$48,MATCH($B4,'Monitor &amp; Recheck Triggers'!$A$3:$A$48,0)),"")="",193.78,INDEX('Monitor &amp; Recheck Triggers'!$H$3:$H$48,MATCH($B4,'Monitor &amp; Recheck Triggers'!$A$3:$A$48,0)))</f>
        <v>193.78</v>
      </c>
      <c r="G4" s="33" t="n">
        <f aca="false">E4*F4</f>
        <v>13564.6</v>
      </c>
      <c r="H4" s="34" t="n">
        <v>10182.2</v>
      </c>
      <c r="I4" s="35" t="n">
        <f aca="false">G4-H4</f>
        <v>3382.4</v>
      </c>
      <c r="J4" s="36" t="n">
        <f aca="false">IF(H4=0,"",G4/H4-1)</f>
        <v>0.332187542967139</v>
      </c>
      <c r="K4" s="36" t="n">
        <f aca="false">IFERROR(G4/SUM(G3:G23),"")</f>
        <v>0.0289823748918606</v>
      </c>
      <c r="L4" s="36" t="n">
        <f aca="false">IFERROR(G4/(SUM(G3:G23,G27:G46)),"")</f>
        <v>0.0174652389256683</v>
      </c>
      <c r="M4" s="28"/>
    </row>
    <row r="5" customFormat="false" ht="15" hidden="false" customHeight="true" outlineLevel="0" collapsed="false">
      <c r="A5" s="28" t="s">
        <v>94</v>
      </c>
      <c r="B5" s="29" t="s">
        <v>102</v>
      </c>
      <c r="C5" s="30" t="s">
        <v>103</v>
      </c>
      <c r="D5" s="31" t="s">
        <v>97</v>
      </c>
      <c r="E5" s="30" t="n">
        <v>7</v>
      </c>
      <c r="F5" s="32" t="n">
        <f aca="false">IF(IFERROR(INDEX('Monitor &amp; Recheck Triggers'!$H$3:$H$48,MATCH($B5,'Monitor &amp; Recheck Triggers'!$A$3:$A$48,0)),"")="",1714.88,INDEX('Monitor &amp; Recheck Triggers'!$H$3:$H$48,MATCH($B5,'Monitor &amp; Recheck Triggers'!$A$3:$A$48,0)))</f>
        <v>1714.88</v>
      </c>
      <c r="G5" s="33" t="n">
        <f aca="false">E5*F5</f>
        <v>12004.16</v>
      </c>
      <c r="H5" s="34" t="n">
        <v>9989.88</v>
      </c>
      <c r="I5" s="35" t="n">
        <f aca="false">G5-H5</f>
        <v>2014.28</v>
      </c>
      <c r="J5" s="36" t="n">
        <f aca="false">IF(H5=0,"",G5/H5-1)</f>
        <v>0.201632051636256</v>
      </c>
      <c r="K5" s="36" t="n">
        <f aca="false">IFERROR(G5/SUM(G3:G23),"")</f>
        <v>0.0256483099672587</v>
      </c>
      <c r="L5" s="36" t="n">
        <f aca="false">IFERROR(G5/(SUM(G3:G23,G27:G46)),"")</f>
        <v>0.0154560785059604</v>
      </c>
      <c r="M5" s="28"/>
    </row>
    <row r="6" customFormat="false" ht="15" hidden="false" customHeight="true" outlineLevel="0" collapsed="false">
      <c r="A6" s="28" t="s">
        <v>94</v>
      </c>
      <c r="B6" s="29" t="s">
        <v>104</v>
      </c>
      <c r="C6" s="30" t="s">
        <v>105</v>
      </c>
      <c r="D6" s="31" t="s">
        <v>97</v>
      </c>
      <c r="E6" s="30" t="n">
        <v>40</v>
      </c>
      <c r="F6" s="32" t="n">
        <f aca="false">IF(IFERROR(INDEX('Monitor &amp; Recheck Triggers'!$H$3:$H$48,MATCH($B6,'Monitor &amp; Recheck Triggers'!$A$3:$A$48,0)),"")="",213.1,INDEX('Monitor &amp; Recheck Triggers'!$H$3:$H$48,MATCH($B6,'Monitor &amp; Recheck Triggers'!$A$3:$A$48,0)))</f>
        <v>213.1</v>
      </c>
      <c r="G6" s="33" t="n">
        <f aca="false">E6*F6</f>
        <v>8524</v>
      </c>
      <c r="H6" s="34" t="n">
        <v>4991.35</v>
      </c>
      <c r="I6" s="35" t="n">
        <f aca="false">G6-H6</f>
        <v>3532.65</v>
      </c>
      <c r="J6" s="36" t="n">
        <f aca="false">IF(H6=0,"",G6/H6-1)</f>
        <v>0.707754415138189</v>
      </c>
      <c r="K6" s="36" t="n">
        <f aca="false">IFERROR(G6/SUM(G3:G23),"")</f>
        <v>0.0182125358343202</v>
      </c>
      <c r="L6" s="36" t="n">
        <f aca="false">IFERROR(G6/(SUM(G3:G23,G27:G46)),"")</f>
        <v>0.0109751630422126</v>
      </c>
      <c r="M6" s="28"/>
    </row>
    <row r="7" customFormat="false" ht="15" hidden="false" customHeight="true" outlineLevel="0" collapsed="false">
      <c r="A7" s="28" t="s">
        <v>94</v>
      </c>
      <c r="B7" s="29" t="s">
        <v>106</v>
      </c>
      <c r="C7" s="30" t="s">
        <v>107</v>
      </c>
      <c r="D7" s="31" t="s">
        <v>97</v>
      </c>
      <c r="E7" s="30" t="n">
        <v>100</v>
      </c>
      <c r="F7" s="32" t="n">
        <f aca="false">IF(IFERROR(INDEX('Monitor &amp; Recheck Triggers'!$H$3:$H$48,MATCH($B7,'Monitor &amp; Recheck Triggers'!$A$3:$A$48,0)),"")="",185.6,INDEX('Monitor &amp; Recheck Triggers'!$H$3:$H$48,MATCH($B7,'Monitor &amp; Recheck Triggers'!$A$3:$A$48,0)))</f>
        <v>185.6</v>
      </c>
      <c r="G7" s="33" t="n">
        <f aca="false">E7*F7</f>
        <v>18560</v>
      </c>
      <c r="H7" s="34" t="n">
        <v>15412.54</v>
      </c>
      <c r="I7" s="35" t="n">
        <f aca="false">G7-H7</f>
        <v>3147.46</v>
      </c>
      <c r="J7" s="36" t="n">
        <f aca="false">IF(H7=0,"",G7/H7-1)</f>
        <v>0.204214230749766</v>
      </c>
      <c r="K7" s="36" t="n">
        <f aca="false">IFERROR(G7/SUM(G3:G23),"")</f>
        <v>0.0396556387945779</v>
      </c>
      <c r="L7" s="36" t="n">
        <f aca="false">IFERROR(G7/(SUM(G3:G23,G27:G46)),"")</f>
        <v>0.023897117088628</v>
      </c>
      <c r="M7" s="28"/>
    </row>
    <row r="8" customFormat="false" ht="15" hidden="false" customHeight="true" outlineLevel="0" collapsed="false">
      <c r="A8" s="28" t="s">
        <v>94</v>
      </c>
      <c r="B8" s="29" t="s">
        <v>108</v>
      </c>
      <c r="C8" s="30" t="s">
        <v>109</v>
      </c>
      <c r="D8" s="31" t="s">
        <v>97</v>
      </c>
      <c r="E8" s="30" t="n">
        <v>7</v>
      </c>
      <c r="F8" s="32" t="n">
        <f aca="false">IF(IFERROR(INDEX('Monitor &amp; Recheck Triggers'!$H$3:$H$48,MATCH($B8,'Monitor &amp; Recheck Triggers'!$A$3:$A$48,0)),"")="",1016.59,INDEX('Monitor &amp; Recheck Triggers'!$H$3:$H$48,MATCH($B8,'Monitor &amp; Recheck Triggers'!$A$3:$A$48,0)))</f>
        <v>1016.59</v>
      </c>
      <c r="G8" s="33" t="n">
        <f aca="false">E8*F8</f>
        <v>7116.13</v>
      </c>
      <c r="H8" s="34" t="n">
        <v>5836.11</v>
      </c>
      <c r="I8" s="35" t="n">
        <f aca="false">G8-H8</f>
        <v>1280.02</v>
      </c>
      <c r="J8" s="36" t="n">
        <f aca="false">IF(H8=0,"",G8/H8-1)</f>
        <v>0.219327600062371</v>
      </c>
      <c r="K8" s="36" t="n">
        <f aca="false">IFERROR(G8/SUM(G3:G23),"")</f>
        <v>0.0152044547896153</v>
      </c>
      <c r="L8" s="36" t="n">
        <f aca="false">IFERROR(G8/(SUM(G3:G23,G27:G46)),"")</f>
        <v>0.00916244568038246</v>
      </c>
      <c r="M8" s="28"/>
    </row>
    <row r="9" customFormat="false" ht="15" hidden="false" customHeight="true" outlineLevel="0" collapsed="false">
      <c r="A9" s="28" t="s">
        <v>94</v>
      </c>
      <c r="B9" s="29" t="s">
        <v>110</v>
      </c>
      <c r="C9" s="30" t="s">
        <v>111</v>
      </c>
      <c r="D9" s="31" t="s">
        <v>97</v>
      </c>
      <c r="E9" s="30" t="n">
        <v>155</v>
      </c>
      <c r="F9" s="32" t="n">
        <f aca="false">IF(IFERROR(INDEX('Monitor &amp; Recheck Triggers'!$H$3:$H$48,MATCH($B9,'Monitor &amp; Recheck Triggers'!$A$3:$A$48,0)),"")="",230.36,INDEX('Monitor &amp; Recheck Triggers'!$H$3:$H$48,MATCH($B9,'Monitor &amp; Recheck Triggers'!$A$3:$A$48,0)))</f>
        <v>230.36</v>
      </c>
      <c r="G9" s="33" t="n">
        <f aca="false">E9*F9</f>
        <v>35705.8</v>
      </c>
      <c r="H9" s="34" t="n">
        <v>26639.79</v>
      </c>
      <c r="I9" s="35" t="n">
        <f aca="false">G9-H9</f>
        <v>9066.01</v>
      </c>
      <c r="J9" s="36" t="n">
        <f aca="false">IF(H9=0,"",G9/H9-1)</f>
        <v>0.340318373380571</v>
      </c>
      <c r="K9" s="36" t="n">
        <f aca="false">IFERROR(G9/SUM(G3:G23),"")</f>
        <v>0.0762896717495388</v>
      </c>
      <c r="L9" s="36" t="n">
        <f aca="false">IFERROR(G9/(SUM(G3:G23,G27:G46)),"")</f>
        <v>0.0459733665594361</v>
      </c>
      <c r="M9" s="28"/>
    </row>
    <row r="10" customFormat="false" ht="15" hidden="false" customHeight="true" outlineLevel="0" collapsed="false">
      <c r="A10" s="28" t="s">
        <v>94</v>
      </c>
      <c r="B10" s="29" t="s">
        <v>112</v>
      </c>
      <c r="C10" s="30" t="s">
        <v>113</v>
      </c>
      <c r="D10" s="31" t="s">
        <v>97</v>
      </c>
      <c r="E10" s="30" t="n">
        <v>70</v>
      </c>
      <c r="F10" s="32" t="n">
        <f aca="false">IF(IFERROR(INDEX('Monitor &amp; Recheck Triggers'!$H$3:$H$48,MATCH($B10,'Monitor &amp; Recheck Triggers'!$A$3:$A$48,0)),"")="",174.33,INDEX('Monitor &amp; Recheck Triggers'!$H$3:$H$48,MATCH($B10,'Monitor &amp; Recheck Triggers'!$A$3:$A$48,0)))</f>
        <v>174.33</v>
      </c>
      <c r="G10" s="33" t="n">
        <f aca="false">E10*F10</f>
        <v>12203.1</v>
      </c>
      <c r="H10" s="34" t="n">
        <v>11612.3</v>
      </c>
      <c r="I10" s="35" t="n">
        <f aca="false">G10-H10</f>
        <v>590.800000000001</v>
      </c>
      <c r="J10" s="36" t="n">
        <f aca="false">IF(H10=0,"",G10/H10-1)</f>
        <v>0.0508770872264754</v>
      </c>
      <c r="K10" s="36" t="n">
        <f aca="false">IFERROR(G10/SUM(G3:G23),"")</f>
        <v>0.026073368845588</v>
      </c>
      <c r="L10" s="36" t="n">
        <f aca="false">IFERROR(G10/(SUM(G3:G23,G27:G46)),"")</f>
        <v>0.0157122257297541</v>
      </c>
      <c r="M10" s="28"/>
    </row>
    <row r="11" customFormat="false" ht="15" hidden="false" customHeight="true" outlineLevel="0" collapsed="false">
      <c r="A11" s="28" t="s">
        <v>94</v>
      </c>
      <c r="B11" s="29" t="s">
        <v>114</v>
      </c>
      <c r="C11" s="30" t="s">
        <v>115</v>
      </c>
      <c r="D11" s="31" t="s">
        <v>97</v>
      </c>
      <c r="E11" s="30" t="n">
        <v>25</v>
      </c>
      <c r="F11" s="32" t="n">
        <f aca="false">IF(IFERROR(INDEX('Monitor &amp; Recheck Triggers'!$H$3:$H$48,MATCH($B11,'Monitor &amp; Recheck Triggers'!$A$3:$A$48,0)),"")="",428.91,INDEX('Monitor &amp; Recheck Triggers'!$H$3:$H$48,MATCH($B11,'Monitor &amp; Recheck Triggers'!$A$3:$A$48,0)))</f>
        <v>428.91</v>
      </c>
      <c r="G11" s="33" t="n">
        <f aca="false">E11*F11</f>
        <v>10722.75</v>
      </c>
      <c r="H11" s="34" t="n">
        <v>6069.64</v>
      </c>
      <c r="I11" s="35" t="n">
        <f aca="false">G11-H11</f>
        <v>4653.11</v>
      </c>
      <c r="J11" s="36" t="n">
        <f aca="false">IF(H11=0,"",G11/H11-1)</f>
        <v>0.76662042559361</v>
      </c>
      <c r="K11" s="36" t="n">
        <f aca="false">IFERROR(G11/SUM(G3:G23),"")</f>
        <v>0.0229104256942112</v>
      </c>
      <c r="L11" s="36" t="n">
        <f aca="false">IFERROR(G11/(SUM(G3:G23,G27:G46)),"")</f>
        <v>0.0138061860055003</v>
      </c>
      <c r="M11" s="28"/>
    </row>
    <row r="12" customFormat="false" ht="15" hidden="false" customHeight="true" outlineLevel="0" collapsed="false">
      <c r="A12" s="28" t="s">
        <v>94</v>
      </c>
      <c r="B12" s="29" t="s">
        <v>116</v>
      </c>
      <c r="C12" s="30" t="s">
        <v>117</v>
      </c>
      <c r="D12" s="31" t="s">
        <v>97</v>
      </c>
      <c r="E12" s="30" t="n">
        <v>30</v>
      </c>
      <c r="F12" s="32" t="n">
        <f aca="false">IF(IFERROR(INDEX('Monitor &amp; Recheck Triggers'!$H$3:$H$48,MATCH($B12,'Monitor &amp; Recheck Triggers'!$A$3:$A$48,0)),"")="",280.53,INDEX('Monitor &amp; Recheck Triggers'!$H$3:$H$48,MATCH($B12,'Monitor &amp; Recheck Triggers'!$A$3:$A$48,0)))</f>
        <v>280.53</v>
      </c>
      <c r="G12" s="33" t="n">
        <f aca="false">E12*F12</f>
        <v>8415.9</v>
      </c>
      <c r="H12" s="34" t="n">
        <v>7876.8</v>
      </c>
      <c r="I12" s="35" t="n">
        <f aca="false">G12-H12</f>
        <v>539.1</v>
      </c>
      <c r="J12" s="36" t="n">
        <f aca="false">IF(H12=0,"",G12/H12-1)</f>
        <v>0.0684414990859232</v>
      </c>
      <c r="K12" s="36" t="n">
        <f aca="false">IFERROR(G12/SUM(G3:G23),"")</f>
        <v>0.0179815673777634</v>
      </c>
      <c r="L12" s="36" t="n">
        <f aca="false">IFERROR(G12/(SUM(G3:G23,G27:G46)),"")</f>
        <v>0.0108359777858936</v>
      </c>
      <c r="M12" s="28"/>
    </row>
    <row r="13" customFormat="false" ht="15" hidden="false" customHeight="true" outlineLevel="0" collapsed="false">
      <c r="A13" s="28" t="s">
        <v>94</v>
      </c>
      <c r="B13" s="29" t="s">
        <v>118</v>
      </c>
      <c r="C13" s="30" t="s">
        <v>119</v>
      </c>
      <c r="D13" s="31" t="s">
        <v>97</v>
      </c>
      <c r="E13" s="30" t="n">
        <v>50</v>
      </c>
      <c r="F13" s="32" t="n">
        <f aca="false">IF(IFERROR(INDEX('Monitor &amp; Recheck Triggers'!$H$3:$H$48,MATCH($B13,'Monitor &amp; Recheck Triggers'!$A$3:$A$48,0)),"")="",367.68,INDEX('Monitor &amp; Recheck Triggers'!$H$3:$H$48,MATCH($B13,'Monitor &amp; Recheck Triggers'!$A$3:$A$48,0)))</f>
        <v>367.68</v>
      </c>
      <c r="G13" s="33" t="n">
        <f aca="false">E13*F13</f>
        <v>18384</v>
      </c>
      <c r="H13" s="34" t="n">
        <v>18448.63</v>
      </c>
      <c r="I13" s="35" t="n">
        <f aca="false">G13-H13</f>
        <v>-64.630000000001</v>
      </c>
      <c r="J13" s="36" t="n">
        <f aca="false">IF(H13=0,"",G13/H13-1)</f>
        <v>-0.00350324116208089</v>
      </c>
      <c r="K13" s="36" t="n">
        <f aca="false">IFERROR(G13/SUM(G3:G23),"")</f>
        <v>0.0392795939439397</v>
      </c>
      <c r="L13" s="36" t="n">
        <f aca="false">IFERROR(G13/(SUM(G3:G23,G27:G46)),"")</f>
        <v>0.0236705064955462</v>
      </c>
      <c r="M13" s="28" t="s">
        <v>120</v>
      </c>
    </row>
    <row r="14" customFormat="false" ht="15" hidden="false" customHeight="true" outlineLevel="0" collapsed="false">
      <c r="A14" s="28" t="s">
        <v>94</v>
      </c>
      <c r="B14" s="37" t="s">
        <v>121</v>
      </c>
      <c r="C14" s="30" t="s">
        <v>122</v>
      </c>
      <c r="D14" s="31" t="s">
        <v>123</v>
      </c>
      <c r="E14" s="30" t="n">
        <v>92777.34</v>
      </c>
      <c r="F14" s="32" t="n">
        <v>1</v>
      </c>
      <c r="G14" s="33" t="n">
        <f aca="false">E14*F14</f>
        <v>92777.34</v>
      </c>
      <c r="H14" s="34" t="n">
        <v>137296.09</v>
      </c>
      <c r="I14" s="35" t="n">
        <f aca="false">G14-H14</f>
        <v>-44518.75</v>
      </c>
      <c r="J14" s="36" t="n">
        <f aca="false">IF(H14=0,"",G14/H14-1)</f>
        <v>-0.324253589450362</v>
      </c>
      <c r="K14" s="36" t="n">
        <f aca="false">IFERROR(G14/SUM(G3:G23),"")</f>
        <v>0.19822977819837</v>
      </c>
      <c r="L14" s="36" t="n">
        <f aca="false">IFERROR(G14/(SUM(G3:G23,G27:G46)),"")</f>
        <v>0.119456409329281</v>
      </c>
      <c r="M14" s="28"/>
    </row>
    <row r="15" customFormat="false" ht="15" hidden="false" customHeight="true" outlineLevel="0" collapsed="false">
      <c r="A15" s="28" t="s">
        <v>94</v>
      </c>
      <c r="B15" s="37" t="s">
        <v>124</v>
      </c>
      <c r="C15" s="30" t="s">
        <v>125</v>
      </c>
      <c r="D15" s="31" t="s">
        <v>123</v>
      </c>
      <c r="E15" s="30" t="n">
        <v>0</v>
      </c>
      <c r="F15" s="32" t="n">
        <v>1</v>
      </c>
      <c r="G15" s="33" t="n">
        <f aca="false">E15*F15</f>
        <v>0</v>
      </c>
      <c r="H15" s="34" t="n">
        <v>23</v>
      </c>
      <c r="I15" s="35" t="n">
        <f aca="false">G15-H15</f>
        <v>-23</v>
      </c>
      <c r="J15" s="36" t="n">
        <f aca="false">IF(H15=0,"",G15/H15-1)</f>
        <v>-1</v>
      </c>
      <c r="K15" s="36" t="n">
        <f aca="false">IFERROR(G15/SUM(G3:G23),"")</f>
        <v>0</v>
      </c>
      <c r="L15" s="36" t="n">
        <f aca="false">IFERROR(G15/(SUM(G3:G23,G27:G46)),"")</f>
        <v>0</v>
      </c>
      <c r="M15" s="28"/>
    </row>
    <row r="16" customFormat="false" ht="15" hidden="false" customHeight="true" outlineLevel="0" collapsed="false">
      <c r="A16" s="28" t="s">
        <v>94</v>
      </c>
      <c r="B16" s="37" t="s">
        <v>126</v>
      </c>
      <c r="C16" s="30" t="s">
        <v>127</v>
      </c>
      <c r="D16" s="31" t="s">
        <v>97</v>
      </c>
      <c r="E16" s="30" t="n">
        <v>150</v>
      </c>
      <c r="F16" s="32" t="n">
        <f aca="false">IF(IFERROR(INDEX('Monitor &amp; Recheck Triggers'!$H$3:$H$48,MATCH($B16,'Monitor &amp; Recheck Triggers'!$A$3:$A$48,0)),"")="",164.25,INDEX('Monitor &amp; Recheck Triggers'!$H$3:$H$48,MATCH($B16,'Monitor &amp; Recheck Triggers'!$A$3:$A$48,0)))</f>
        <v>164.25</v>
      </c>
      <c r="G16" s="33" t="n">
        <f aca="false">E16*F16</f>
        <v>24637.5</v>
      </c>
      <c r="H16" s="34" t="n">
        <v>24518.25</v>
      </c>
      <c r="I16" s="35" t="n">
        <f aca="false">G16-H16</f>
        <v>119.25</v>
      </c>
      <c r="J16" s="36" t="n">
        <f aca="false">IF(H16=0,"",G16/H16-1)</f>
        <v>0.00486372396072321</v>
      </c>
      <c r="K16" s="36" t="n">
        <f aca="false">IFERROR(G16/SUM(G3:G23),"")</f>
        <v>0.0526409375431796</v>
      </c>
      <c r="L16" s="36" t="n">
        <f aca="false">IFERROR(G16/(SUM(G3:G23,G27:G46)),"")</f>
        <v>0.0317222641309845</v>
      </c>
      <c r="M16" s="28" t="s">
        <v>128</v>
      </c>
    </row>
    <row r="17" customFormat="false" ht="15" hidden="false" customHeight="true" outlineLevel="0" collapsed="false">
      <c r="A17" s="28" t="s">
        <v>94</v>
      </c>
      <c r="B17" s="37" t="s">
        <v>129</v>
      </c>
      <c r="C17" s="30" t="s">
        <v>130</v>
      </c>
      <c r="D17" s="31" t="s">
        <v>97</v>
      </c>
      <c r="E17" s="30" t="n">
        <v>451.304</v>
      </c>
      <c r="F17" s="32" t="n">
        <f aca="false">IF(IFERROR(INDEX('Monitor &amp; Recheck Triggers'!$H$3:$H$48,MATCH($B17,'Monitor &amp; Recheck Triggers'!$A$3:$A$48,0)),"")="",55.29,INDEX('Monitor &amp; Recheck Triggers'!$H$3:$H$48,MATCH($B17,'Monitor &amp; Recheck Triggers'!$A$3:$A$48,0)))</f>
        <v>55.29</v>
      </c>
      <c r="G17" s="33" t="n">
        <f aca="false">E17*F17</f>
        <v>24952.59816</v>
      </c>
      <c r="H17" s="34" t="n">
        <v>24999.99</v>
      </c>
      <c r="I17" s="35" t="n">
        <f aca="false">G17-H17</f>
        <v>-47.3918400000039</v>
      </c>
      <c r="J17" s="36" t="n">
        <f aca="false">IF(H17=0,"",G17/H17-1)</f>
        <v>-0.00189567435826987</v>
      </c>
      <c r="K17" s="36" t="n">
        <f aca="false">IFERROR(G17/SUM(G3:G23),"")</f>
        <v>0.0533141820915523</v>
      </c>
      <c r="L17" s="36" t="n">
        <f aca="false">IFERROR(G17/(SUM(G3:G23,G27:G46)),"")</f>
        <v>0.0321279719771015</v>
      </c>
      <c r="M17" s="28" t="s">
        <v>131</v>
      </c>
    </row>
    <row r="18" customFormat="false" ht="15" hidden="false" customHeight="true" outlineLevel="0" collapsed="false">
      <c r="A18" s="28" t="s">
        <v>94</v>
      </c>
      <c r="B18" s="37" t="s">
        <v>132</v>
      </c>
      <c r="C18" s="30" t="s">
        <v>133</v>
      </c>
      <c r="D18" s="31" t="s">
        <v>97</v>
      </c>
      <c r="E18" s="30" t="n">
        <v>700</v>
      </c>
      <c r="F18" s="32" t="n">
        <f aca="false">IF(IFERROR(INDEX('Monitor &amp; Recheck Triggers'!$H$3:$H$48,MATCH($B18,'Monitor &amp; Recheck Triggers'!$A$3:$A$48,0)),"")="",34.8,INDEX('Monitor &amp; Recheck Triggers'!$H$3:$H$48,MATCH($B18,'Monitor &amp; Recheck Triggers'!$A$3:$A$48,0)))</f>
        <v>34.8</v>
      </c>
      <c r="G18" s="33" t="n">
        <f aca="false">E18*F18</f>
        <v>24360</v>
      </c>
      <c r="H18" s="34" t="n">
        <v>24377.5</v>
      </c>
      <c r="I18" s="35" t="n">
        <f aca="false">G18-H18</f>
        <v>-17.5000000000036</v>
      </c>
      <c r="J18" s="36" t="n">
        <f aca="false">IF(H18=0,"",G18/H18-1)</f>
        <v>-0.000717875089734532</v>
      </c>
      <c r="K18" s="36" t="n">
        <f aca="false">IFERROR(G18/SUM(G3:G23),"")</f>
        <v>0.0520480259178835</v>
      </c>
      <c r="L18" s="36" t="n">
        <f aca="false">IFERROR(G18/(SUM(G3:G23,G27:G46)),"")</f>
        <v>0.0313649661788243</v>
      </c>
      <c r="M18" s="28" t="s">
        <v>128</v>
      </c>
    </row>
    <row r="19" customFormat="false" ht="15" hidden="false" customHeight="true" outlineLevel="0" collapsed="false">
      <c r="A19" s="28" t="s">
        <v>94</v>
      </c>
      <c r="B19" s="37" t="s">
        <v>134</v>
      </c>
      <c r="C19" s="30" t="s">
        <v>135</v>
      </c>
      <c r="D19" s="31" t="s">
        <v>97</v>
      </c>
      <c r="E19" s="30" t="n">
        <v>150</v>
      </c>
      <c r="F19" s="32" t="n">
        <f aca="false">IF(IFERROR(INDEX('Monitor &amp; Recheck Triggers'!$H$3:$H$48,MATCH($B19,'Monitor &amp; Recheck Triggers'!$A$3:$A$48,0)),"")="",164.23,INDEX('Monitor &amp; Recheck Triggers'!$H$3:$H$48,MATCH($B19,'Monitor &amp; Recheck Triggers'!$A$3:$A$48,0)))</f>
        <v>164.23</v>
      </c>
      <c r="G19" s="33" t="n">
        <f aca="false">E19*F19</f>
        <v>24634.5</v>
      </c>
      <c r="H19" s="34" t="n">
        <v>24598.5</v>
      </c>
      <c r="I19" s="35" t="n">
        <f aca="false">G19-H19</f>
        <v>36</v>
      </c>
      <c r="J19" s="36" t="n">
        <f aca="false">IF(H19=0,"",G19/H19-1)</f>
        <v>0.0014635038721873</v>
      </c>
      <c r="K19" s="36" t="n">
        <f aca="false">IFERROR(G19/SUM(G3:G23),"")</f>
        <v>0.052634527687771</v>
      </c>
      <c r="L19" s="36" t="n">
        <f aca="false">IFERROR(G19/(SUM(G3:G23,G27:G46)),"")</f>
        <v>0.0317184014504206</v>
      </c>
      <c r="M19" s="28" t="s">
        <v>128</v>
      </c>
    </row>
    <row r="20" customFormat="false" ht="15" hidden="false" customHeight="true" outlineLevel="0" collapsed="false">
      <c r="A20" s="28" t="s">
        <v>94</v>
      </c>
      <c r="B20" s="37" t="s">
        <v>136</v>
      </c>
      <c r="C20" s="30" t="s">
        <v>137</v>
      </c>
      <c r="D20" s="31" t="s">
        <v>97</v>
      </c>
      <c r="E20" s="30" t="n">
        <v>1000</v>
      </c>
      <c r="F20" s="32" t="n">
        <f aca="false">IF(IFERROR(INDEX('Monitor &amp; Recheck Triggers'!$H$3:$H$48,MATCH($B20,'Monitor &amp; Recheck Triggers'!$A$3:$A$48,0)),"")="",54.63,INDEX('Monitor &amp; Recheck Triggers'!$H$3:$H$48,MATCH($B20,'Monitor &amp; Recheck Triggers'!$A$3:$A$48,0)))</f>
        <v>54.63</v>
      </c>
      <c r="G20" s="33" t="n">
        <f aca="false">E20*F20</f>
        <v>54630</v>
      </c>
      <c r="H20" s="34" t="n">
        <v>53709</v>
      </c>
      <c r="I20" s="35" t="n">
        <f aca="false">G20-H20</f>
        <v>921</v>
      </c>
      <c r="J20" s="36" t="n">
        <f aca="false">IF(H20=0,"",G20/H20-1)</f>
        <v>0.0171479640283752</v>
      </c>
      <c r="K20" s="36" t="n">
        <f aca="false">IFERROR(G20/SUM(G3:G23),"")</f>
        <v>0.116723466990722</v>
      </c>
      <c r="L20" s="36" t="n">
        <f aca="false">IFERROR(G20/(SUM(G3:G23,G27:G46)),"")</f>
        <v>0.0703394130685209</v>
      </c>
      <c r="M20" s="28" t="s">
        <v>128</v>
      </c>
    </row>
    <row r="21" customFormat="false" ht="15" hidden="false" customHeight="true" outlineLevel="0" collapsed="false">
      <c r="A21" s="28" t="s">
        <v>94</v>
      </c>
      <c r="B21" s="37" t="s">
        <v>138</v>
      </c>
      <c r="C21" s="30" t="s">
        <v>139</v>
      </c>
      <c r="D21" s="31" t="s">
        <v>97</v>
      </c>
      <c r="E21" s="30" t="n">
        <v>100</v>
      </c>
      <c r="F21" s="32" t="n">
        <f aca="false">IF(IFERROR(INDEX('Monitor &amp; Recheck Triggers'!$H$3:$H$48,MATCH($B21,'Monitor &amp; Recheck Triggers'!$A$3:$A$48,0)),"")="",149.72,INDEX('Monitor &amp; Recheck Triggers'!$H$3:$H$48,MATCH($B21,'Monitor &amp; Recheck Triggers'!$A$3:$A$48,0)))</f>
        <v>149.72</v>
      </c>
      <c r="G21" s="33" t="n">
        <f aca="false">E21*F21</f>
        <v>14972</v>
      </c>
      <c r="H21" s="34" t="n">
        <v>14696.99</v>
      </c>
      <c r="I21" s="35" t="n">
        <f aca="false">G21-H21</f>
        <v>275.01</v>
      </c>
      <c r="J21" s="36" t="n">
        <f aca="false">IF(H21=0,"",G21/H21-1)</f>
        <v>0.0187119947689969</v>
      </c>
      <c r="K21" s="36" t="n">
        <f aca="false">IFERROR(G21/SUM(G3:G23),"")</f>
        <v>0.0319894517258847</v>
      </c>
      <c r="L21" s="36" t="n">
        <f aca="false">IFERROR(G21/(SUM(G3:G23,G27:G46)),"")</f>
        <v>0.01927735113421</v>
      </c>
      <c r="M21" s="28" t="s">
        <v>131</v>
      </c>
    </row>
    <row r="22" customFormat="false" ht="15" hidden="false" customHeight="true" outlineLevel="0" collapsed="false">
      <c r="A22" s="28" t="s">
        <v>94</v>
      </c>
      <c r="B22" s="38" t="s">
        <v>140</v>
      </c>
      <c r="C22" s="30" t="s">
        <v>141</v>
      </c>
      <c r="D22" s="30" t="s">
        <v>97</v>
      </c>
      <c r="E22" s="30" t="n">
        <v>75</v>
      </c>
      <c r="F22" s="32" t="n">
        <f aca="false">IF(IFERROR(INDEX('Monitor &amp; Recheck Triggers'!$H$3:$H$48,MATCH($B22,'Monitor &amp; Recheck Triggers'!$A$3:$A$48,0)),"")="",314.71,INDEX('Monitor &amp; Recheck Triggers'!$H$3:$H$48,MATCH($B22,'Monitor &amp; Recheck Triggers'!$A$3:$A$48,0)))</f>
        <v>314.71</v>
      </c>
      <c r="G22" s="33" t="n">
        <f aca="false">E22*F22</f>
        <v>23603.25</v>
      </c>
      <c r="H22" s="34" t="n">
        <v>23603.25</v>
      </c>
      <c r="I22" s="35" t="n">
        <f aca="false">G22-H22</f>
        <v>0</v>
      </c>
      <c r="J22" s="39" t="n">
        <f aca="false">IF(H22=0,"",G22/H22-1)</f>
        <v>0</v>
      </c>
      <c r="K22" s="39" t="n">
        <f aca="false">IFERROR(G22/SUM(G3:G23),"")</f>
        <v>0.0504311398910626</v>
      </c>
      <c r="L22" s="39" t="n">
        <f aca="false">IFERROR(G22/(SUM(G3:G23,G27:G46)),"")</f>
        <v>0.0303906050065818</v>
      </c>
      <c r="M22" s="28" t="s">
        <v>142</v>
      </c>
    </row>
    <row r="23" customFormat="false" ht="13.5" hidden="false" customHeight="true" outlineLevel="0" collapsed="false">
      <c r="A23" s="28" t="s">
        <v>94</v>
      </c>
      <c r="B23" s="38" t="s">
        <v>143</v>
      </c>
      <c r="C23" s="30" t="s">
        <v>144</v>
      </c>
      <c r="D23" s="30" t="s">
        <v>97</v>
      </c>
      <c r="E23" s="30" t="n">
        <v>300</v>
      </c>
      <c r="F23" s="32" t="n">
        <f aca="false">IF(IFERROR(INDEX('Monitor &amp; Recheck Triggers'!$H$3:$H$48,MATCH($B23,'Monitor &amp; Recheck Triggers'!$A$3:$A$48,0)),"")="",69.795,INDEX('Monitor &amp; Recheck Triggers'!$H$3:$H$48,MATCH($B23,'Monitor &amp; Recheck Triggers'!$A$3:$A$48,0)))</f>
        <v>69.795</v>
      </c>
      <c r="G23" s="33" t="n">
        <f aca="false">E23*F23</f>
        <v>20938.5</v>
      </c>
      <c r="H23" s="34" t="n">
        <v>20938.5</v>
      </c>
      <c r="I23" s="35" t="n">
        <f aca="false">G23-H23</f>
        <v>0</v>
      </c>
      <c r="J23" s="39" t="n">
        <f aca="false">IF(H23=0,"",G23/H23-1)</f>
        <v>0</v>
      </c>
      <c r="K23" s="39" t="n">
        <f aca="false">IFERROR(G23/SUM(G3:G23),"")</f>
        <v>0.044737585824368</v>
      </c>
      <c r="L23" s="39" t="n">
        <f aca="false">IFERROR(G23/(SUM(G3:G23,G27:G46)),"")</f>
        <v>0.0269595789957025</v>
      </c>
      <c r="M23" s="28" t="s">
        <v>145</v>
      </c>
    </row>
    <row r="24" customFormat="false" ht="15" hidden="false" customHeight="true" outlineLevel="0" collapsed="false">
      <c r="A24" s="40" t="s">
        <v>146</v>
      </c>
      <c r="B24" s="41" t="n">
        <f aca="false">SUBTOTAL(103,B3:B23)</f>
        <v>21</v>
      </c>
      <c r="C24" s="42" t="s">
        <v>147</v>
      </c>
      <c r="D24" s="43"/>
      <c r="E24" s="44"/>
      <c r="F24" s="45"/>
      <c r="G24" s="46" t="n">
        <f aca="false">SUM(G3:G23)</f>
        <v>468029.27816</v>
      </c>
      <c r="H24" s="47" t="n">
        <f aca="false">SUM(H3:H23)</f>
        <v>484984.15</v>
      </c>
      <c r="I24" s="48" t="n">
        <f aca="false">SUM(I3:I23)</f>
        <v>-16954.87184</v>
      </c>
      <c r="J24" s="49" t="n">
        <f aca="false">CurrentPositionsTable[[#This Row],[Unrealized G/L ($)]]/CurrentPositionsTable[[#This Row],[Cost Basis
($)]]</f>
        <v>-0.0349596411346639</v>
      </c>
      <c r="K24" s="49" t="n">
        <f aca="false">SUM(K3:K23)</f>
        <v>1</v>
      </c>
      <c r="L24" s="49" t="n">
        <f aca="false">SUM(L3:L23)</f>
        <v>0.602615865360752</v>
      </c>
      <c r="M24" s="50"/>
      <c r="N24" s="51"/>
      <c r="O24" s="51"/>
    </row>
    <row r="25" customFormat="false" ht="15" hidden="false" customHeight="true" outlineLevel="0" collapsed="false">
      <c r="F25" s="32"/>
      <c r="I25" s="52" t="s">
        <v>148</v>
      </c>
      <c r="J25" s="53" t="n">
        <f aca="false">I24/(H24-H14-H13)</f>
        <v>-0.0514970878184305</v>
      </c>
    </row>
    <row r="26" customFormat="false" ht="15" hidden="false" customHeight="true" outlineLevel="0" collapsed="false">
      <c r="F26" s="32"/>
    </row>
    <row r="27" customFormat="false" ht="15" hidden="false" customHeight="true" outlineLevel="0" collapsed="false">
      <c r="A27" s="28" t="s">
        <v>149</v>
      </c>
      <c r="B27" s="37" t="s">
        <v>150</v>
      </c>
      <c r="C27" s="30" t="s">
        <v>151</v>
      </c>
      <c r="D27" s="31" t="s">
        <v>123</v>
      </c>
      <c r="E27" s="30" t="n">
        <v>36854.47</v>
      </c>
      <c r="F27" s="32" t="n">
        <v>1</v>
      </c>
      <c r="G27" s="33" t="n">
        <f aca="false">E27*F27</f>
        <v>36854.47</v>
      </c>
      <c r="H27" s="34" t="n">
        <v>36854.47</v>
      </c>
      <c r="I27" s="35" t="n">
        <f aca="false">G27-H27</f>
        <v>0</v>
      </c>
      <c r="J27" s="36" t="n">
        <f aca="false">IF(H27=0,"",G27/H27-1)</f>
        <v>0</v>
      </c>
      <c r="K27" s="36" t="n">
        <f aca="false">IFERROR(G27/SUM(G27:G46),"")</f>
        <v>0.119411783672803</v>
      </c>
      <c r="L27" s="36" t="n">
        <f aca="false">IFERROR(G27/(SUM(G3:G23,G27:G46)),"")</f>
        <v>0.0474523483205457</v>
      </c>
      <c r="M27" s="28"/>
    </row>
    <row r="28" customFormat="false" ht="15" hidden="true" customHeight="true" outlineLevel="1" collapsed="false">
      <c r="A28" s="28" t="s">
        <v>149</v>
      </c>
      <c r="B28" s="37" t="s">
        <v>152</v>
      </c>
      <c r="C28" s="30" t="s">
        <v>153</v>
      </c>
      <c r="D28" s="31" t="s">
        <v>154</v>
      </c>
      <c r="E28" s="30" t="n">
        <v>850.35693</v>
      </c>
      <c r="F28" s="32" t="n">
        <f aca="false">IF(IFERROR(INDEX('Monitor &amp; Recheck Triggers'!$H$3:$H$48,MATCH($B28,'Monitor &amp; Recheck Triggers'!$A$3:$A$48,0)),"")="",59.87,INDEX('Monitor &amp; Recheck Triggers'!$H$3:$H$48,MATCH($B28,'Monitor &amp; Recheck Triggers'!$A$3:$A$48,0)))</f>
        <v>59.87</v>
      </c>
      <c r="G28" s="33" t="n">
        <f aca="false">E28*F28</f>
        <v>50910.8693991</v>
      </c>
      <c r="H28" s="34" t="n">
        <v>43005.36</v>
      </c>
      <c r="I28" s="35" t="n">
        <f aca="false">G28-H28</f>
        <v>7905.5093991</v>
      </c>
      <c r="J28" s="36" t="n">
        <f aca="false">IF(H28=0,"",G28/H28-1)</f>
        <v>0.183826141650715</v>
      </c>
      <c r="K28" s="36" t="n">
        <f aca="false">IFERROR(G28/SUM(G27:G46),"")</f>
        <v>0.164955776688137</v>
      </c>
      <c r="L28" s="36" t="n">
        <f aca="false">IFERROR(G28/(SUM(G3:G23,G27:G46)),"")</f>
        <v>0.0655508085729602</v>
      </c>
      <c r="M28" s="28" t="s">
        <v>155</v>
      </c>
    </row>
    <row r="29" customFormat="false" ht="15" hidden="false" customHeight="true" outlineLevel="0" collapsed="false">
      <c r="A29" s="28" t="s">
        <v>149</v>
      </c>
      <c r="B29" s="29" t="s">
        <v>156</v>
      </c>
      <c r="C29" s="30" t="s">
        <v>157</v>
      </c>
      <c r="D29" s="31" t="s">
        <v>97</v>
      </c>
      <c r="E29" s="30" t="n">
        <v>400.00001</v>
      </c>
      <c r="F29" s="32" t="n">
        <f aca="false">IF(IFERROR(INDEX('Monitor &amp; Recheck Triggers'!$H$3:$H$48,MATCH($B29,'Monitor &amp; Recheck Triggers'!$A$3:$A$48,0)),"")="",126.93,INDEX('Monitor &amp; Recheck Triggers'!$H$3:$H$48,MATCH($B29,'Monitor &amp; Recheck Triggers'!$A$3:$A$48,0)))</f>
        <v>126.93</v>
      </c>
      <c r="G29" s="33" t="n">
        <f aca="false">E29*F29</f>
        <v>50772.0012693</v>
      </c>
      <c r="H29" s="34" t="n">
        <v>45116.29</v>
      </c>
      <c r="I29" s="35" t="n">
        <f aca="false">G29-H29</f>
        <v>5655.7112693</v>
      </c>
      <c r="J29" s="36" t="n">
        <f aca="false">IF(H29=0,"",G29/H29-1)</f>
        <v>0.125358518382163</v>
      </c>
      <c r="K29" s="36" t="n">
        <f aca="false">IFERROR(G29/SUM(G27:G46),"")</f>
        <v>0.164505831509852</v>
      </c>
      <c r="L29" s="36" t="n">
        <f aca="false">IFERROR(G29/(SUM(G3:G23,G27:G46)),"")</f>
        <v>0.0653720074976526</v>
      </c>
      <c r="M29" s="28" t="s">
        <v>158</v>
      </c>
    </row>
    <row r="30" customFormat="false" ht="15" hidden="false" customHeight="true" outlineLevel="0" collapsed="false">
      <c r="A30" s="28" t="s">
        <v>149</v>
      </c>
      <c r="B30" s="29" t="s">
        <v>159</v>
      </c>
      <c r="C30" s="30" t="s">
        <v>160</v>
      </c>
      <c r="D30" s="31" t="s">
        <v>97</v>
      </c>
      <c r="E30" s="30" t="n">
        <v>0</v>
      </c>
      <c r="F30" s="32" t="n">
        <f aca="false">IF(IFERROR(INDEX('Monitor &amp; Recheck Triggers'!$H$3:$H$48,MATCH($B30,'Monitor &amp; Recheck Triggers'!$A$3:$A$48,0)),"")="",56.12,INDEX('Monitor &amp; Recheck Triggers'!$H$3:$H$48,MATCH($B30,'Monitor &amp; Recheck Triggers'!$A$3:$A$48,0)))</f>
        <v>56.12</v>
      </c>
      <c r="G30" s="33" t="n">
        <f aca="false">E30*F30</f>
        <v>0</v>
      </c>
      <c r="H30" s="34" t="n">
        <v>0</v>
      </c>
      <c r="I30" s="35" t="n">
        <f aca="false">G30-H30</f>
        <v>0</v>
      </c>
      <c r="J30" s="36" t="str">
        <f aca="false">IF(H30=0,"",G30/H30-1)</f>
        <v/>
      </c>
      <c r="K30" s="36" t="n">
        <f aca="false">IFERROR(G30/SUM(G27:G46),"")</f>
        <v>0</v>
      </c>
      <c r="L30" s="36" t="n">
        <f aca="false">IFERROR(G30/(SUM(G3:G23,G27:G46)),"")</f>
        <v>0</v>
      </c>
      <c r="M30" s="28" t="s">
        <v>161</v>
      </c>
    </row>
    <row r="31" customFormat="false" ht="15" hidden="false" customHeight="true" outlineLevel="0" collapsed="false">
      <c r="A31" s="28" t="s">
        <v>149</v>
      </c>
      <c r="B31" s="37" t="s">
        <v>162</v>
      </c>
      <c r="C31" s="30" t="s">
        <v>163</v>
      </c>
      <c r="D31" s="31" t="s">
        <v>154</v>
      </c>
      <c r="E31" s="30" t="n">
        <v>500</v>
      </c>
      <c r="F31" s="32" t="n">
        <f aca="false">IF(IFERROR(INDEX('Monitor &amp; Recheck Triggers'!$H$3:$H$48,MATCH($B31,'Monitor &amp; Recheck Triggers'!$A$3:$A$48,0)),"")="",69.72,INDEX('Monitor &amp; Recheck Triggers'!$H$3:$H$48,MATCH($B31,'Monitor &amp; Recheck Triggers'!$A$3:$A$48,0)))</f>
        <v>69.72</v>
      </c>
      <c r="G31" s="33" t="n">
        <f aca="false">E31*F31</f>
        <v>34860</v>
      </c>
      <c r="H31" s="34" t="n">
        <v>30666</v>
      </c>
      <c r="I31" s="35" t="n">
        <f aca="false">G31-H31</f>
        <v>4194</v>
      </c>
      <c r="J31" s="36" t="n">
        <f aca="false">IF(H31=0,"",G31/H31-1)</f>
        <v>0.136763842692232</v>
      </c>
      <c r="K31" s="36" t="n">
        <f aca="false">IFERROR(G31/SUM(G27:G46),"")</f>
        <v>0.112949522237978</v>
      </c>
      <c r="L31" s="36" t="n">
        <f aca="false">IFERROR(G31/(SUM(G3:G23,G27:G46)),"")</f>
        <v>0.0448843481524554</v>
      </c>
      <c r="M31" s="28" t="s">
        <v>164</v>
      </c>
    </row>
    <row r="32" customFormat="false" ht="15" hidden="false" customHeight="true" outlineLevel="0" collapsed="false">
      <c r="A32" s="28" t="s">
        <v>149</v>
      </c>
      <c r="B32" s="29" t="s">
        <v>165</v>
      </c>
      <c r="C32" s="30" t="s">
        <v>166</v>
      </c>
      <c r="D32" s="31" t="s">
        <v>97</v>
      </c>
      <c r="E32" s="30" t="n">
        <v>35.07587</v>
      </c>
      <c r="F32" s="32" t="n">
        <f aca="false">IF(IFERROR(INDEX('Monitor &amp; Recheck Triggers'!$H$3:$H$48,MATCH($B32,'Monitor &amp; Recheck Triggers'!$A$3:$A$48,0)),"")="",357.895,INDEX('Monitor &amp; Recheck Triggers'!$H$3:$H$48,MATCH($B32,'Monitor &amp; Recheck Triggers'!$A$3:$A$48,0)))</f>
        <v>357.895</v>
      </c>
      <c r="G32" s="33" t="n">
        <f aca="false">E32*F32</f>
        <v>12553.47849365</v>
      </c>
      <c r="H32" s="34" t="n">
        <v>12653.43</v>
      </c>
      <c r="I32" s="35" t="n">
        <f aca="false">G32-H32</f>
        <v>-99.9515063500003</v>
      </c>
      <c r="J32" s="36" t="n">
        <f aca="false">IF(H32=0,"",G32/H32-1)</f>
        <v>-0.00789916302141003</v>
      </c>
      <c r="K32" s="36" t="n">
        <f aca="false">IFERROR(G32/SUM(G27:G46),"")</f>
        <v>0.0406743946724757</v>
      </c>
      <c r="L32" s="36" t="n">
        <f aca="false">IFERROR(G32/(SUM(G3:G23,G27:G46)),"")</f>
        <v>0.016163359128897</v>
      </c>
      <c r="M32" s="28"/>
    </row>
    <row r="33" customFormat="false" ht="15" hidden="false" customHeight="true" outlineLevel="0" collapsed="false">
      <c r="A33" s="28" t="s">
        <v>149</v>
      </c>
      <c r="B33" s="29" t="s">
        <v>110</v>
      </c>
      <c r="C33" s="30" t="s">
        <v>111</v>
      </c>
      <c r="D33" s="31" t="s">
        <v>97</v>
      </c>
      <c r="E33" s="30" t="n">
        <v>59.02188</v>
      </c>
      <c r="F33" s="32" t="n">
        <f aca="false">IF(IFERROR(INDEX('Monitor &amp; Recheck Triggers'!$H$3:$H$48,MATCH($B33,'Monitor &amp; Recheck Triggers'!$A$3:$A$48,0)),"")="",230.36,INDEX('Monitor &amp; Recheck Triggers'!$H$3:$H$48,MATCH($B33,'Monitor &amp; Recheck Triggers'!$A$3:$A$48,0)))</f>
        <v>230.36</v>
      </c>
      <c r="G33" s="33" t="n">
        <f aca="false">E33*F33</f>
        <v>13596.2802768</v>
      </c>
      <c r="H33" s="34" t="n">
        <v>11377.73</v>
      </c>
      <c r="I33" s="35" t="n">
        <f aca="false">G33-H33</f>
        <v>2218.5502768</v>
      </c>
      <c r="J33" s="36" t="n">
        <f aca="false">IF(H33=0,"",G33/H33-1)</f>
        <v>0.194990589230014</v>
      </c>
      <c r="K33" s="36" t="n">
        <f aca="false">IFERROR(G33/SUM(G27:G46),"")</f>
        <v>0.0440531658484855</v>
      </c>
      <c r="L33" s="36" t="n">
        <f aca="false">IFERROR(G33/(SUM(G3:G23,G27:G46)),"")</f>
        <v>0.0175060291888197</v>
      </c>
      <c r="M33" s="28"/>
    </row>
    <row r="34" customFormat="false" ht="15" hidden="false" customHeight="true" outlineLevel="0" collapsed="false">
      <c r="A34" s="28" t="s">
        <v>149</v>
      </c>
      <c r="B34" s="29" t="s">
        <v>167</v>
      </c>
      <c r="C34" s="30" t="s">
        <v>168</v>
      </c>
      <c r="D34" s="31" t="s">
        <v>97</v>
      </c>
      <c r="E34" s="30" t="n">
        <v>65</v>
      </c>
      <c r="F34" s="32" t="n">
        <f aca="false">IF(IFERROR(INDEX('Monitor &amp; Recheck Triggers'!$H$3:$H$48,MATCH($B34,'Monitor &amp; Recheck Triggers'!$A$3:$A$48,0)),"")="",528.64,INDEX('Monitor &amp; Recheck Triggers'!$H$3:$H$48,MATCH($B34,'Monitor &amp; Recheck Triggers'!$A$3:$A$48,0)))</f>
        <v>528.64</v>
      </c>
      <c r="G34" s="33" t="n">
        <f aca="false">E34*F34</f>
        <v>34361.6</v>
      </c>
      <c r="H34" s="34" t="n">
        <v>31479.64</v>
      </c>
      <c r="I34" s="35" t="n">
        <f aca="false">G34-H34</f>
        <v>2881.96</v>
      </c>
      <c r="J34" s="36" t="n">
        <f aca="false">IF(H34=0,"",G34/H34-1)</f>
        <v>0.0915499668992403</v>
      </c>
      <c r="K34" s="36" t="n">
        <f aca="false">IFERROR(G34/SUM(G27:G46),"")</f>
        <v>0.111334661598752</v>
      </c>
      <c r="L34" s="36" t="n">
        <f aca="false">IFERROR(G34/(SUM(G3:G23,G27:G46)),"")</f>
        <v>0.0442426281547737</v>
      </c>
      <c r="M34" s="28" t="s">
        <v>169</v>
      </c>
    </row>
    <row r="35" customFormat="false" ht="15" hidden="false" customHeight="true" outlineLevel="0" collapsed="false">
      <c r="A35" s="28" t="s">
        <v>149</v>
      </c>
      <c r="B35" s="37" t="s">
        <v>138</v>
      </c>
      <c r="C35" s="30" t="s">
        <v>139</v>
      </c>
      <c r="D35" s="31" t="s">
        <v>97</v>
      </c>
      <c r="E35" s="30" t="n">
        <v>76.93745</v>
      </c>
      <c r="F35" s="32" t="n">
        <f aca="false">IF(IFERROR(INDEX('Monitor &amp; Recheck Triggers'!$H$3:$H$48,MATCH($B35,'Monitor &amp; Recheck Triggers'!$A$3:$A$48,0)),"")="",149.72,INDEX('Monitor &amp; Recheck Triggers'!$H$3:$H$48,MATCH($B35,'Monitor &amp; Recheck Triggers'!$A$3:$A$48,0)))</f>
        <v>149.72</v>
      </c>
      <c r="G35" s="33" t="n">
        <f aca="false">E35*F35</f>
        <v>11519.075014</v>
      </c>
      <c r="H35" s="34" t="n">
        <v>9318.79</v>
      </c>
      <c r="I35" s="35" t="n">
        <f aca="false">G35-H35</f>
        <v>2200.285014</v>
      </c>
      <c r="J35" s="36" t="n">
        <f aca="false">IF(H35=0,"",G35/H35-1)</f>
        <v>0.236112737168667</v>
      </c>
      <c r="K35" s="36" t="n">
        <f aca="false">IFERROR(G35/SUM(G27:G46),"")</f>
        <v>0.0373228347520003</v>
      </c>
      <c r="L35" s="36" t="n">
        <f aca="false">IFERROR(G35/(SUM(G3:G23,G27:G46)),"")</f>
        <v>0.0148315023902073</v>
      </c>
      <c r="M35" s="28"/>
    </row>
    <row r="36" customFormat="false" ht="15" hidden="false" customHeight="true" outlineLevel="0" collapsed="false">
      <c r="A36" s="28" t="s">
        <v>149</v>
      </c>
      <c r="B36" s="37" t="s">
        <v>129</v>
      </c>
      <c r="C36" s="30" t="s">
        <v>130</v>
      </c>
      <c r="D36" s="31" t="s">
        <v>97</v>
      </c>
      <c r="E36" s="30" t="n">
        <v>200</v>
      </c>
      <c r="F36" s="32" t="n">
        <f aca="false">IF(IFERROR(INDEX('Monitor &amp; Recheck Triggers'!$H$3:$H$48,MATCH($B36,'Monitor &amp; Recheck Triggers'!$A$3:$A$48,0)),"")="",55.29,INDEX('Monitor &amp; Recheck Triggers'!$H$3:$H$48,MATCH($B36,'Monitor &amp; Recheck Triggers'!$A$3:$A$48,0)))</f>
        <v>55.29</v>
      </c>
      <c r="G36" s="33" t="n">
        <f aca="false">E36*F36</f>
        <v>11058</v>
      </c>
      <c r="H36" s="34" t="n">
        <v>9257</v>
      </c>
      <c r="I36" s="35" t="n">
        <f aca="false">G36-H36</f>
        <v>1801</v>
      </c>
      <c r="J36" s="36" t="n">
        <f aca="false">IF(H36=0,"",G36/H36-1)</f>
        <v>0.194555471535055</v>
      </c>
      <c r="K36" s="36" t="n">
        <f aca="false">IFERROR(G36/SUM(G27:G46),"")</f>
        <v>0.0358289104104292</v>
      </c>
      <c r="L36" s="36" t="n">
        <f aca="false">IFERROR(G36/(SUM(G3:G23,G27:G46)),"")</f>
        <v>0.0142378405585155</v>
      </c>
      <c r="M36" s="28"/>
    </row>
    <row r="37" customFormat="false" ht="15" hidden="false" customHeight="true" outlineLevel="0" collapsed="false">
      <c r="A37" s="28" t="s">
        <v>149</v>
      </c>
      <c r="B37" s="29" t="s">
        <v>100</v>
      </c>
      <c r="C37" s="30" t="s">
        <v>101</v>
      </c>
      <c r="D37" s="31" t="s">
        <v>97</v>
      </c>
      <c r="E37" s="30" t="n">
        <v>50</v>
      </c>
      <c r="F37" s="32" t="n">
        <f aca="false">IF(IFERROR(INDEX('Monitor &amp; Recheck Triggers'!$H$3:$H$48,MATCH($B37,'Monitor &amp; Recheck Triggers'!$A$3:$A$48,0)),"")="",193.78,INDEX('Monitor &amp; Recheck Triggers'!$H$3:$H$48,MATCH($B37,'Monitor &amp; Recheck Triggers'!$A$3:$A$48,0)))</f>
        <v>193.78</v>
      </c>
      <c r="G37" s="33" t="n">
        <f aca="false">E37*F37</f>
        <v>9689</v>
      </c>
      <c r="H37" s="34" t="n">
        <v>7394.5</v>
      </c>
      <c r="I37" s="35" t="n">
        <f aca="false">G37-H37</f>
        <v>2294.5</v>
      </c>
      <c r="J37" s="36" t="n">
        <f aca="false">IF(H37=0,"",G37/H37-1)</f>
        <v>0.310298194604098</v>
      </c>
      <c r="K37" s="36" t="n">
        <f aca="false">IFERROR(G37/SUM(G27:G46),"")</f>
        <v>0.0313932277958626</v>
      </c>
      <c r="L37" s="36" t="n">
        <f aca="false">IFERROR(G37/(SUM(G3:G23,G27:G46)),"")</f>
        <v>0.0124751706611916</v>
      </c>
      <c r="M37" s="28"/>
    </row>
    <row r="38" customFormat="false" ht="15" hidden="true" customHeight="true" outlineLevel="1" collapsed="false">
      <c r="A38" s="28" t="s">
        <v>149</v>
      </c>
      <c r="B38" s="29" t="s">
        <v>104</v>
      </c>
      <c r="C38" s="30" t="s">
        <v>105</v>
      </c>
      <c r="D38" s="31" t="s">
        <v>97</v>
      </c>
      <c r="E38" s="30" t="n">
        <v>45</v>
      </c>
      <c r="F38" s="32" t="n">
        <f aca="false">IF(IFERROR(INDEX('Monitor &amp; Recheck Triggers'!$H$3:$H$48,MATCH($B38,'Monitor &amp; Recheck Triggers'!$A$3:$A$48,0)),"")="",213.1,INDEX('Monitor &amp; Recheck Triggers'!$H$3:$H$48,MATCH($B38,'Monitor &amp; Recheck Triggers'!$A$3:$A$48,0)))</f>
        <v>213.1</v>
      </c>
      <c r="G38" s="33" t="n">
        <f aca="false">E38*F38</f>
        <v>9589.5</v>
      </c>
      <c r="H38" s="34" t="n">
        <v>7099.31</v>
      </c>
      <c r="I38" s="35" t="n">
        <f aca="false">G38-H38</f>
        <v>2490.19</v>
      </c>
      <c r="J38" s="36" t="n">
        <f aca="false">IF(H38=0,"",G38/H38-1)</f>
        <v>0.350765074352296</v>
      </c>
      <c r="K38" s="36" t="n">
        <f aca="false">IFERROR(G38/SUM(G27:G46),"")</f>
        <v>0.0310708388841392</v>
      </c>
      <c r="L38" s="36" t="n">
        <f aca="false">IFERROR(G38/(SUM(G3:G23,G27:G46)),"")</f>
        <v>0.0123470584224891</v>
      </c>
      <c r="M38" s="28"/>
    </row>
    <row r="39" customFormat="false" ht="15" hidden="true" customHeight="true" outlineLevel="1" collapsed="false">
      <c r="A39" s="28" t="s">
        <v>149</v>
      </c>
      <c r="B39" s="29" t="s">
        <v>170</v>
      </c>
      <c r="C39" s="30" t="s">
        <v>171</v>
      </c>
      <c r="D39" s="31" t="s">
        <v>97</v>
      </c>
      <c r="E39" s="30" t="n">
        <v>125.44837</v>
      </c>
      <c r="F39" s="32" t="n">
        <f aca="false">IF(IFERROR(INDEX('Monitor &amp; Recheck Triggers'!$H$3:$H$48,MATCH($B39,'Monitor &amp; Recheck Triggers'!$A$3:$A$48,0)),"")="",137.34,INDEX('Monitor &amp; Recheck Triggers'!$H$3:$H$48,MATCH($B39,'Monitor &amp; Recheck Triggers'!$A$3:$A$48,0)))</f>
        <v>137.34</v>
      </c>
      <c r="G39" s="33" t="n">
        <f aca="false">E39*F39</f>
        <v>17229.0791358</v>
      </c>
      <c r="H39" s="34" t="n">
        <v>16585.43</v>
      </c>
      <c r="I39" s="35" t="n">
        <f aca="false">G39-H39</f>
        <v>643.649135799999</v>
      </c>
      <c r="J39" s="36" t="n">
        <f aca="false">IF(H39=0,"",G39/H39-1)</f>
        <v>0.0388081066212935</v>
      </c>
      <c r="K39" s="36" t="n">
        <f aca="false">IFERROR(G39/SUM(G27:G46),"")</f>
        <v>0.0558237595234919</v>
      </c>
      <c r="L39" s="36" t="n">
        <f aca="false">IFERROR(G39/(SUM(G3:G23,G27:G46)),"")</f>
        <v>0.0221834763705523</v>
      </c>
      <c r="M39" s="28" t="s">
        <v>172</v>
      </c>
    </row>
    <row r="40" customFormat="false" ht="15" hidden="true" customHeight="true" outlineLevel="1" collapsed="false">
      <c r="A40" s="28" t="s">
        <v>149</v>
      </c>
      <c r="B40" s="29" t="s">
        <v>173</v>
      </c>
      <c r="C40" s="30" t="s">
        <v>174</v>
      </c>
      <c r="D40" s="31" t="s">
        <v>97</v>
      </c>
      <c r="E40" s="30" t="n">
        <v>0</v>
      </c>
      <c r="F40" s="32" t="n">
        <f aca="false">IF(IFERROR(INDEX('Monitor &amp; Recheck Triggers'!$H$3:$H$48,MATCH($B40,'Monitor &amp; Recheck Triggers'!$A$3:$A$48,0)),"")="",86.07,INDEX('Monitor &amp; Recheck Triggers'!$H$3:$H$48,MATCH($B40,'Monitor &amp; Recheck Triggers'!$A$3:$A$48,0)))</f>
        <v>86.07</v>
      </c>
      <c r="G40" s="33" t="n">
        <f aca="false">E40*F40</f>
        <v>0</v>
      </c>
      <c r="H40" s="34" t="n">
        <v>0</v>
      </c>
      <c r="I40" s="35" t="n">
        <f aca="false">G40-H40</f>
        <v>0</v>
      </c>
      <c r="J40" s="36" t="str">
        <f aca="false">IF(H40=0,"",G40/H40-1)</f>
        <v/>
      </c>
      <c r="K40" s="36" t="n">
        <f aca="false">IFERROR(G40/SUM(G27:G46),"")</f>
        <v>0</v>
      </c>
      <c r="L40" s="36" t="n">
        <f aca="false">IFERROR(G40/(SUM(G3:G23,G27:G46)),"")</f>
        <v>0</v>
      </c>
      <c r="M40" s="28" t="s">
        <v>175</v>
      </c>
    </row>
    <row r="41" customFormat="false" ht="15" hidden="false" customHeight="true" outlineLevel="0" collapsed="false">
      <c r="A41" s="28" t="s">
        <v>149</v>
      </c>
      <c r="B41" s="29" t="s">
        <v>176</v>
      </c>
      <c r="C41" s="30" t="s">
        <v>177</v>
      </c>
      <c r="D41" s="31" t="s">
        <v>97</v>
      </c>
      <c r="E41" s="30" t="n">
        <v>0</v>
      </c>
      <c r="F41" s="32" t="n">
        <f aca="false">IF(IFERROR(INDEX('Monitor &amp; Recheck Triggers'!$H$3:$H$48,MATCH($B41,'Monitor &amp; Recheck Triggers'!$A$3:$A$48,0)),"")="",327.35,INDEX('Monitor &amp; Recheck Triggers'!$H$3:$H$48,MATCH($B41,'Monitor &amp; Recheck Triggers'!$A$3:$A$48,0)))</f>
        <v>327.35</v>
      </c>
      <c r="G41" s="33" t="n">
        <f aca="false">E41*F41</f>
        <v>0</v>
      </c>
      <c r="H41" s="34" t="n">
        <v>0</v>
      </c>
      <c r="I41" s="35" t="n">
        <f aca="false">G41-H41</f>
        <v>0</v>
      </c>
      <c r="J41" s="36" t="str">
        <f aca="false">IF(H41=0,"",G41/H41-1)</f>
        <v/>
      </c>
      <c r="K41" s="36" t="n">
        <f aca="false">IFERROR(G41/SUM(G27:G46),"")</f>
        <v>0</v>
      </c>
      <c r="L41" s="36" t="n">
        <f aca="false">IFERROR(G41/(SUM(G3:G23,G27:G46)),"")</f>
        <v>0</v>
      </c>
      <c r="M41" s="28" t="s">
        <v>178</v>
      </c>
    </row>
    <row r="42" customFormat="false" ht="15" hidden="true" customHeight="true" outlineLevel="1" collapsed="false">
      <c r="A42" s="28" t="s">
        <v>149</v>
      </c>
      <c r="B42" s="29" t="s">
        <v>179</v>
      </c>
      <c r="C42" s="30" t="s">
        <v>180</v>
      </c>
      <c r="D42" s="31" t="s">
        <v>97</v>
      </c>
      <c r="E42" s="30" t="n">
        <v>0</v>
      </c>
      <c r="F42" s="32" t="n">
        <f aca="false">IF(IFERROR(INDEX('Monitor &amp; Recheck Triggers'!$H$3:$H$48,MATCH($B42,'Monitor &amp; Recheck Triggers'!$A$3:$A$48,0)),"")="",120.16,INDEX('Monitor &amp; Recheck Triggers'!$H$3:$H$48,MATCH($B42,'Monitor &amp; Recheck Triggers'!$A$3:$A$48,0)))</f>
        <v>120.16</v>
      </c>
      <c r="G42" s="33" t="n">
        <f aca="false">E42*F42</f>
        <v>0</v>
      </c>
      <c r="H42" s="34" t="n">
        <v>0</v>
      </c>
      <c r="I42" s="35" t="n">
        <f aca="false">G42-H42</f>
        <v>0</v>
      </c>
      <c r="J42" s="36" t="str">
        <f aca="false">IF(H42=0,"",G42/H42-1)</f>
        <v/>
      </c>
      <c r="K42" s="36" t="n">
        <f aca="false">IFERROR(G42/SUM(G27:G46),"")</f>
        <v>0</v>
      </c>
      <c r="L42" s="36" t="n">
        <f aca="false">IFERROR(G42/(SUM(G3:G23,G27:G46)),"")</f>
        <v>0</v>
      </c>
      <c r="M42" s="28" t="s">
        <v>181</v>
      </c>
    </row>
    <row r="43" customFormat="false" ht="15" hidden="false" customHeight="true" outlineLevel="0" collapsed="false">
      <c r="A43" s="28" t="s">
        <v>149</v>
      </c>
      <c r="B43" s="37" t="s">
        <v>182</v>
      </c>
      <c r="C43" s="30" t="s">
        <v>183</v>
      </c>
      <c r="D43" s="31" t="s">
        <v>123</v>
      </c>
      <c r="E43" s="30" t="n">
        <v>1853.89</v>
      </c>
      <c r="F43" s="32" t="n">
        <v>1</v>
      </c>
      <c r="G43" s="33" t="n">
        <f aca="false">E43*F43</f>
        <v>1853.89</v>
      </c>
      <c r="H43" s="34" t="n">
        <v>1853.89</v>
      </c>
      <c r="I43" s="35" t="n">
        <f aca="false">G43-H43</f>
        <v>0</v>
      </c>
      <c r="J43" s="36" t="n">
        <f aca="false">IF(H43=0,"",G43/H43-1)</f>
        <v>0</v>
      </c>
      <c r="K43" s="36" t="n">
        <f aca="false">IFERROR(G43/SUM(G27:G46),"")</f>
        <v>0.00600676964376837</v>
      </c>
      <c r="L43" s="36" t="n">
        <f aca="false">IFERROR(G43/(SUM(G3:G23,G27:G46)),"")</f>
        <v>0.00238699495686619</v>
      </c>
      <c r="M43" s="28"/>
    </row>
    <row r="44" customFormat="false" ht="15" hidden="false" customHeight="true" outlineLevel="0" collapsed="false">
      <c r="A44" s="28" t="s">
        <v>149</v>
      </c>
      <c r="B44" s="29" t="s">
        <v>184</v>
      </c>
      <c r="C44" s="30" t="s">
        <v>185</v>
      </c>
      <c r="D44" s="31" t="s">
        <v>97</v>
      </c>
      <c r="E44" s="30" t="n">
        <v>0</v>
      </c>
      <c r="F44" s="32" t="n">
        <f aca="false">IF(IFERROR(INDEX('Monitor &amp; Recheck Triggers'!$H$3:$H$48,MATCH($B44,'Monitor &amp; Recheck Triggers'!$A$3:$A$48,0)),"")="",37.61,INDEX('Monitor &amp; Recheck Triggers'!$H$3:$H$48,MATCH($B44,'Monitor &amp; Recheck Triggers'!$A$3:$A$48,0)))</f>
        <v>37.61</v>
      </c>
      <c r="G44" s="33" t="n">
        <f aca="false">E44*F44</f>
        <v>0</v>
      </c>
      <c r="H44" s="34" t="n">
        <v>0</v>
      </c>
      <c r="I44" s="35" t="n">
        <f aca="false">G44-H44</f>
        <v>0</v>
      </c>
      <c r="J44" s="36" t="str">
        <f aca="false">IF(H44=0,"",G44/H44-1)</f>
        <v/>
      </c>
      <c r="K44" s="36" t="n">
        <f aca="false">IFERROR(G44/SUM(G27:G46),"")</f>
        <v>0</v>
      </c>
      <c r="L44" s="36" t="n">
        <f aca="false">IFERROR(G44/(SUM(G3:G23,G27:G46)),"")</f>
        <v>0</v>
      </c>
      <c r="M44" s="28" t="s">
        <v>186</v>
      </c>
    </row>
    <row r="45" customFormat="false" ht="15" hidden="false" customHeight="true" outlineLevel="0" collapsed="false">
      <c r="A45" s="28" t="s">
        <v>149</v>
      </c>
      <c r="B45" s="29" t="s">
        <v>112</v>
      </c>
      <c r="C45" s="30" t="s">
        <v>113</v>
      </c>
      <c r="D45" s="31" t="s">
        <v>97</v>
      </c>
      <c r="E45" s="30" t="n">
        <v>20</v>
      </c>
      <c r="F45" s="32" t="n">
        <f aca="false">IF(IFERROR(INDEX('Monitor &amp; Recheck Triggers'!$H$3:$H$48,MATCH($B45,'Monitor &amp; Recheck Triggers'!$A$3:$A$48,0)),"")="",174.33,INDEX('Monitor &amp; Recheck Triggers'!$H$3:$H$48,MATCH($B45,'Monitor &amp; Recheck Triggers'!$A$3:$A$48,0)))</f>
        <v>174.33</v>
      </c>
      <c r="G45" s="33" t="n">
        <f aca="false">E45*F45</f>
        <v>3486.6</v>
      </c>
      <c r="H45" s="34" t="n">
        <v>3178</v>
      </c>
      <c r="I45" s="35" t="n">
        <f aca="false">G45-H45</f>
        <v>308.6</v>
      </c>
      <c r="J45" s="36" t="n">
        <f aca="false">IF(H45=0,"",G45/H45-1)</f>
        <v>0.0971050975456262</v>
      </c>
      <c r="K45" s="36" t="n">
        <f aca="false">IFERROR(G45/SUM(G27:G46),"")</f>
        <v>0.0112968962775369</v>
      </c>
      <c r="L45" s="36" t="n">
        <f aca="false">IFERROR(G45/(SUM(G3:G23,G27:G46)),"")</f>
        <v>0.00448920735135832</v>
      </c>
      <c r="M45" s="28"/>
    </row>
    <row r="46" customFormat="false" ht="13.5" hidden="false" customHeight="true" outlineLevel="0" collapsed="false">
      <c r="A46" s="28" t="s">
        <v>149</v>
      </c>
      <c r="B46" s="37" t="s">
        <v>187</v>
      </c>
      <c r="C46" s="30" t="s">
        <v>188</v>
      </c>
      <c r="D46" s="31" t="s">
        <v>154</v>
      </c>
      <c r="E46" s="30" t="n">
        <v>180</v>
      </c>
      <c r="F46" s="32" t="n">
        <f aca="false">IF(IFERROR(INDEX('Monitor &amp; Recheck Triggers'!$H$3:$H$48,MATCH($B46,'Monitor &amp; Recheck Triggers'!$A$3:$A$48,0)),"")="",57.22,INDEX('Monitor &amp; Recheck Triggers'!$H$3:$H$48,MATCH($B46,'Monitor &amp; Recheck Triggers'!$A$3:$A$48,0)))</f>
        <v>57.22</v>
      </c>
      <c r="G46" s="33" t="n">
        <f aca="false">E46*F46</f>
        <v>10299.6</v>
      </c>
      <c r="H46" s="34" t="n">
        <v>10500.57</v>
      </c>
      <c r="I46" s="35" t="n">
        <f aca="false">G46-H46</f>
        <v>-200.969999999999</v>
      </c>
      <c r="J46" s="36" t="n">
        <f aca="false">IF(H46=0,"",G46/H46-1)</f>
        <v>-0.0191389610278299</v>
      </c>
      <c r="K46" s="36" t="n">
        <f aca="false">IFERROR(G46/SUM(G27:G46),"")</f>
        <v>0.033371626484288</v>
      </c>
      <c r="L46" s="36" t="n">
        <f aca="false">IFERROR(G46/(SUM(G3:G23,G27:G46)),"")</f>
        <v>0.013261354911963</v>
      </c>
      <c r="M46" s="28" t="s">
        <v>128</v>
      </c>
    </row>
    <row r="47" customFormat="false" ht="15" hidden="false" customHeight="true" outlineLevel="0" collapsed="false">
      <c r="A47" s="40" t="s">
        <v>146</v>
      </c>
      <c r="B47" s="41" t="n">
        <f aca="false">SUBTOTAL(103,B27:B46)</f>
        <v>15</v>
      </c>
      <c r="C47" s="42" t="s">
        <v>189</v>
      </c>
      <c r="D47" s="43"/>
      <c r="E47" s="44"/>
      <c r="F47" s="45"/>
      <c r="G47" s="46" t="n">
        <f aca="false">SUM(G27:G46)</f>
        <v>308633.44358865</v>
      </c>
      <c r="H47" s="47" t="n">
        <f aca="false">SUM(H27:H46)</f>
        <v>276340.41</v>
      </c>
      <c r="I47" s="48" t="n">
        <f aca="false">SUM(I27:I46)</f>
        <v>32293.03358865</v>
      </c>
      <c r="J47" s="49" t="n">
        <f aca="false">CurrentPositionsTable[[#This Row],[Unrealized G/L ($)]]/CurrentPositionsTable[[#This Row],[Cost Basis
($)]]</f>
        <v>0.116859613795355</v>
      </c>
      <c r="K47" s="49" t="n">
        <f aca="false">SUM(K27:K46)</f>
        <v>1</v>
      </c>
      <c r="L47" s="49" t="n">
        <f aca="false">SUM(L27:L46)</f>
        <v>0.397384134639248</v>
      </c>
      <c r="M47" s="50"/>
      <c r="N47" s="51"/>
      <c r="O47" s="51"/>
    </row>
    <row r="48" customFormat="false" ht="15" hidden="false" customHeight="true" outlineLevel="0" collapsed="false">
      <c r="I48" s="52" t="s">
        <v>148</v>
      </c>
      <c r="J48" s="53" t="n">
        <f aca="false">I45/(H45-H41-H25)</f>
        <v>0.0971050975456263</v>
      </c>
    </row>
    <row r="49" customFormat="false" ht="15" hidden="false" customHeight="true" outlineLevel="0" collapsed="false"/>
    <row r="50" customFormat="false" ht="90" hidden="false" customHeight="true" outlineLevel="0" collapsed="false">
      <c r="A50" s="54"/>
      <c r="B50" s="54"/>
      <c r="C50" s="54"/>
      <c r="D50" s="54"/>
      <c r="E50" s="54"/>
      <c r="F50" s="54"/>
      <c r="G50" s="54"/>
      <c r="H50" s="54"/>
      <c r="I50" s="54"/>
      <c r="J50" s="54"/>
      <c r="K50" s="54"/>
      <c r="L50" s="54"/>
      <c r="M50" s="54"/>
    </row>
    <row r="51" customFormat="false" ht="14.25" hidden="false" customHeight="true" outlineLevel="0" collapsed="false">
      <c r="A51" s="28"/>
      <c r="B51" s="29"/>
      <c r="C51" s="30" t="s">
        <v>190</v>
      </c>
      <c r="D51" s="31"/>
      <c r="E51" s="30"/>
      <c r="F51" s="30"/>
      <c r="G51" s="33" t="n">
        <f aca="false">SUM(G14:G21)+G25+G26+G27+G29+G33+G34+G41+G44</f>
        <v>396548.2897061</v>
      </c>
      <c r="H51" s="34" t="n">
        <f aca="false">SUM(H14:H21)+H25+H26+H27+H29+H33+H34+H41+H44</f>
        <v>429047.45</v>
      </c>
      <c r="I51" s="35" t="n">
        <f aca="false">G49-H49</f>
        <v>0</v>
      </c>
      <c r="L51" s="36" t="str">
        <f aca="false">IFERROR(G49/G48,"")</f>
        <v/>
      </c>
      <c r="M51" s="28" t="s">
        <v>191</v>
      </c>
    </row>
    <row r="52" customFormat="false" ht="941.25" hidden="false" customHeight="true" outlineLevel="0" collapsed="false">
      <c r="A52" s="55" t="s">
        <v>192</v>
      </c>
    </row>
  </sheetData>
  <mergeCells count="3">
    <mergeCell ref="A1:M1"/>
    <mergeCell ref="O1:P1"/>
    <mergeCell ref="A50:M50"/>
  </mergeCells>
  <conditionalFormatting sqref="I1:K1048576">
    <cfRule type="cellIs" priority="2" operator="lessThan"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05555555556"/>
  <pageSetup paperSize="1"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2" topLeftCell="A8" activePane="bottomLeft" state="frozen"/>
      <selection pane="topLeft" activeCell="A1" activeCellId="0" sqref="A1"/>
      <selection pane="bottomLeft" activeCell="H30" activeCellId="0" sqref="H30"/>
    </sheetView>
  </sheetViews>
  <sheetFormatPr defaultColWidth="8.66796875" defaultRowHeight="14.25" customHeight="false" zeroHeight="false" outlineLevelRow="1" outlineLevelCol="0"/>
  <cols>
    <col collapsed="false" customWidth="true" hidden="false" outlineLevel="0" max="1" min="1" style="56" width="8"/>
    <col collapsed="false" customWidth="true" hidden="false" outlineLevel="0" max="2" min="2" style="1" width="12.44"/>
    <col collapsed="false" customWidth="true" hidden="false" outlineLevel="0" max="3" min="3" style="1" width="11"/>
    <col collapsed="false" customWidth="true" hidden="false" outlineLevel="0" max="5" min="4" style="1" width="10"/>
    <col collapsed="false" customWidth="true" hidden="false" outlineLevel="0" max="6" min="6" style="1" width="14"/>
    <col collapsed="false" customWidth="true" hidden="false" outlineLevel="0" max="7" min="7" style="57" width="10"/>
    <col collapsed="false" customWidth="true" hidden="false" outlineLevel="0" max="9" min="8" style="1" width="10"/>
    <col collapsed="false" customWidth="true" hidden="false" outlineLevel="0" max="10" min="10" style="1" width="12"/>
    <col collapsed="false" customWidth="true" hidden="false" outlineLevel="0" max="11" min="11" style="1" width="10"/>
    <col collapsed="false" customWidth="true" hidden="false" outlineLevel="0" max="12" min="12" style="1" width="22"/>
    <col collapsed="false" customWidth="true" hidden="false" outlineLevel="0" max="13" min="13" style="1" width="8.76"/>
    <col collapsed="false" customWidth="true" hidden="false" outlineLevel="0" max="14" min="14" style="1" width="22"/>
    <col collapsed="false" customWidth="true" hidden="false" outlineLevel="0" max="15" min="15" style="1" width="10"/>
    <col collapsed="false" customWidth="true" hidden="false" outlineLevel="0" max="16" min="16" style="1" width="24"/>
    <col collapsed="false" customWidth="true" hidden="false" outlineLevel="0" max="17" min="17" style="1" width="28"/>
  </cols>
  <sheetData>
    <row r="1" customFormat="false" ht="25.5" hidden="false" customHeight="true" outlineLevel="0" collapsed="false">
      <c r="A1" s="58" t="s">
        <v>193</v>
      </c>
      <c r="B1" s="58"/>
      <c r="C1" s="58"/>
      <c r="D1" s="58"/>
      <c r="E1" s="58"/>
      <c r="F1" s="58"/>
      <c r="G1" s="58"/>
      <c r="H1" s="58"/>
      <c r="I1" s="58"/>
      <c r="J1" s="58"/>
      <c r="K1" s="58"/>
      <c r="L1" s="58"/>
      <c r="M1" s="58"/>
      <c r="N1" s="58"/>
      <c r="O1" s="58"/>
      <c r="P1" s="58"/>
      <c r="Q1" s="58"/>
    </row>
    <row r="2" s="61" customFormat="true" ht="42" hidden="false" customHeight="true" outlineLevel="0" collapsed="false">
      <c r="A2" s="59" t="s">
        <v>81</v>
      </c>
      <c r="B2" s="59" t="s">
        <v>194</v>
      </c>
      <c r="C2" s="59" t="s">
        <v>195</v>
      </c>
      <c r="D2" s="59" t="s">
        <v>196</v>
      </c>
      <c r="E2" s="59" t="s">
        <v>197</v>
      </c>
      <c r="F2" s="59" t="s">
        <v>198</v>
      </c>
      <c r="G2" s="60" t="s">
        <v>199</v>
      </c>
      <c r="H2" s="59" t="s">
        <v>200</v>
      </c>
      <c r="I2" s="59" t="s">
        <v>201</v>
      </c>
      <c r="J2" s="59" t="s">
        <v>202</v>
      </c>
      <c r="K2" s="59" t="s">
        <v>203</v>
      </c>
      <c r="L2" s="59" t="s">
        <v>204</v>
      </c>
      <c r="M2" s="59" t="s">
        <v>205</v>
      </c>
      <c r="N2" s="59" t="s">
        <v>206</v>
      </c>
      <c r="O2" s="59" t="s">
        <v>207</v>
      </c>
      <c r="P2" s="59" t="s">
        <v>208</v>
      </c>
      <c r="Q2" s="59" t="s">
        <v>209</v>
      </c>
    </row>
    <row r="3" customFormat="false" ht="15" hidden="false" customHeight="true" outlineLevel="0" collapsed="false">
      <c r="A3" s="62" t="s">
        <v>95</v>
      </c>
      <c r="B3" s="63" t="s">
        <v>210</v>
      </c>
      <c r="C3" s="64" t="n">
        <v>46240</v>
      </c>
      <c r="D3" s="63" t="n">
        <v>85.8</v>
      </c>
      <c r="E3" s="63" t="n">
        <v>4.57</v>
      </c>
      <c r="F3" s="65" t="s">
        <v>211</v>
      </c>
      <c r="G3" s="66" t="n">
        <v>259.32</v>
      </c>
      <c r="H3" s="67" t="str">
        <f aca="false" t="array" ref="H3:H3">IFERROR(INDEX(_xlfn.stockhistory(A3,TODAY()-5,TODAY(),0,0,1),ROWS(_xlfn.stockhistory(A3,TODAY()-5,TODAY(),0,0,1)),1),"")</f>
        <v/>
      </c>
      <c r="I3" s="68" t="str">
        <f aca="false">IF(OR(G3="",H3=""),"",H3/G3-1)</f>
        <v/>
      </c>
      <c r="J3" s="69" t="n">
        <v>46275</v>
      </c>
      <c r="K3" s="63" t="s">
        <v>212</v>
      </c>
      <c r="L3" s="70"/>
      <c r="M3" s="63" t="s">
        <v>212</v>
      </c>
      <c r="N3" s="70"/>
      <c r="O3" s="71" t="n">
        <f aca="true">IF(C3="","",TODAY()-C3)</f>
        <v>55</v>
      </c>
      <c r="P3" s="72" t="str">
        <f aca="true">IF(A3="","",IF(O3&gt;180,"DUE — STALE (&gt;180 days)",IF(J3&lt;&gt;"",IF(ABS(J3-TODAY())&lt;=7,"DUE — EARNINGS WINDOW",IF(I3&lt;&gt;"",IF(ABS(I3)&gt;=0.2,"DUE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f>
        <v>Monitor Only</v>
      </c>
      <c r="Q3" s="70"/>
    </row>
    <row r="4" customFormat="false" ht="15" hidden="false" customHeight="true" outlineLevel="0" collapsed="false">
      <c r="A4" s="62" t="s">
        <v>100</v>
      </c>
      <c r="B4" s="63" t="s">
        <v>210</v>
      </c>
      <c r="C4" s="64" t="n">
        <v>46240</v>
      </c>
      <c r="D4" s="63" t="n">
        <v>85</v>
      </c>
      <c r="E4" s="63" t="n">
        <v>4.57</v>
      </c>
      <c r="F4" s="65" t="s">
        <v>211</v>
      </c>
      <c r="G4" s="66" t="n">
        <v>190.51</v>
      </c>
      <c r="H4" s="67" t="str">
        <f aca="false" t="array" ref="H4:H4">IFERROR(INDEX(_xlfn.stockhistory(A4,TODAY()-5,TODAY(),0,0,1),ROWS(_xlfn.stockhistory(A4,TODAY()-5,TODAY(),0,0,1)),1),"")</f>
        <v/>
      </c>
      <c r="I4" s="68" t="str">
        <f aca="false">IF(OR(G4="",H4=""),"",H4/G4-1)</f>
        <v/>
      </c>
      <c r="J4" s="69" t="n">
        <v>46329</v>
      </c>
      <c r="K4" s="63" t="s">
        <v>213</v>
      </c>
      <c r="L4" s="70" t="s">
        <v>214</v>
      </c>
      <c r="M4" s="63" t="s">
        <v>212</v>
      </c>
      <c r="N4" s="70"/>
      <c r="O4" s="71" t="n">
        <f aca="true">IF(C4="","",TODAY()-C4)</f>
        <v>55</v>
      </c>
      <c r="P4" s="72" t="str">
        <f aca="true">IF(A4="","",IF(O4&gt;180,"DUE — STALE (&gt;180 days)",IF(J4&lt;&gt;"",IF(ABS(J4-TODAY())&lt;=7,"DUE — EARNINGS WINDOW",IF(I4&lt;&gt;"",IF(ABS(I4)&gt;=0.2,"DUE — PRICE MOVE ±20%",IF(K4="Y","DUE — INSIDER ACTIVITY",IF(I4&lt;&gt;"",IF(ABS(I4)&gt;=0.15,"WATCH — PRICE MOVE ±15%",IF(M4="Y","WATCH — ANALYST SHIFT","Monitor Only")),IF(M4="Y","WATCH — ANALYST SHIFT","Monitor Only")))),IF(K4="Y","DUE — INSIDER ACTIVITY",IF(I4&lt;&gt;"",IF(ABS(I4)&gt;=0.15,"WATCH — PRICE MOVE ±15%",IF(M4="Y","WATCH — ANALYST SHIFT","Monitor Only")),IF(M4="Y","WATCH — ANALYST SHIFT","Monitor Only"))))),IF(I4&lt;&gt;"",IF(ABS(I4)&gt;=0.2,"DUE — PRICE MOVE ±20%",IF(K4="Y","DUE — INSIDER ACTIVITY",IF(I4&lt;&gt;"",IF(ABS(I4)&gt;=0.15,"WATCH — PRICE MOVE ±15%",IF(M4="Y","WATCH — ANALYST SHIFT","Monitor Only")),IF(M4="Y","WATCH — ANALYST SHIFT","Monitor Only")))),IF(K4="Y","DUE — INSIDER ACTIVITY",IF(I4&lt;&gt;"",IF(ABS(I4)&gt;=0.15,"WATCH — PRICE MOVE ±15%",IF(M4="Y","WATCH — ANALYST SHIFT","Monitor Only")),IF(M4="Y","WATCH — ANALYST SHIFT","Monitor Only")))))))</f>
        <v>DUE — INSIDER ACTIVITY</v>
      </c>
      <c r="Q4" s="70"/>
    </row>
    <row r="5" customFormat="false" ht="15" hidden="false" customHeight="true" outlineLevel="0" collapsed="false">
      <c r="A5" s="62" t="s">
        <v>102</v>
      </c>
      <c r="B5" s="63" t="s">
        <v>210</v>
      </c>
      <c r="C5" s="64" t="n">
        <v>46240</v>
      </c>
      <c r="D5" s="63" t="n">
        <v>73.2</v>
      </c>
      <c r="E5" s="63" t="n">
        <v>3.57</v>
      </c>
      <c r="F5" s="65" t="s">
        <v>215</v>
      </c>
      <c r="G5" s="66" t="n">
        <v>1678.22</v>
      </c>
      <c r="H5" s="67" t="str">
        <f aca="false" t="array" ref="H5:H5">IFERROR(INDEX(_xlfn.stockhistory(A5,TODAY()-5,TODAY(),0,0,1),ROWS(_xlfn.stockhistory(A5,TODAY()-5,TODAY(),0,0,1)),1),"")</f>
        <v/>
      </c>
      <c r="I5" s="68" t="str">
        <f aca="false">IF(OR(G5="",H5=""),"",H5/G5-1)</f>
        <v/>
      </c>
      <c r="J5" s="69" t="n">
        <v>46309</v>
      </c>
      <c r="K5" s="63" t="s">
        <v>212</v>
      </c>
      <c r="L5" s="70"/>
      <c r="M5" s="63" t="s">
        <v>212</v>
      </c>
      <c r="N5" s="70"/>
      <c r="O5" s="71" t="n">
        <f aca="true">IF(C5="","",TODAY()-C5)</f>
        <v>55</v>
      </c>
      <c r="P5" s="72" t="str">
        <f aca="true">IF(A5="","",IF(O5&gt;180,"DUE — STALE (&gt;180 days)",IF(J5&lt;&gt;"",IF(ABS(J5-TODAY())&lt;=7,"DUE — EARNINGS WINDOW",IF(I5&lt;&gt;"",IF(ABS(I5)&gt;=0.2,"DUE — PRICE MOVE ±20%",IF(K5="Y","DUE — INSIDER ACTIVITY",IF(I5&lt;&gt;"",IF(ABS(I5)&gt;=0.15,"WATCH — PRICE MOVE ±15%",IF(M5="Y","WATCH — ANALYST SHIFT","Monitor Only")),IF(M5="Y","WATCH — ANALYST SHIFT","Monitor Only")))),IF(K5="Y","DUE — INSIDER ACTIVITY",IF(I5&lt;&gt;"",IF(ABS(I5)&gt;=0.15,"WATCH — PRICE MOVE ±15%",IF(M5="Y","WATCH — ANALYST SHIFT","Monitor Only")),IF(M5="Y","WATCH — ANALYST SHIFT","Monitor Only"))))),IF(I5&lt;&gt;"",IF(ABS(I5)&gt;=0.2,"DUE — PRICE MOVE ±20%",IF(K5="Y","DUE — INSIDER ACTIVITY",IF(I5&lt;&gt;"",IF(ABS(I5)&gt;=0.15,"WATCH — PRICE MOVE ±15%",IF(M5="Y","WATCH — ANALYST SHIFT","Monitor Only")),IF(M5="Y","WATCH — ANALYST SHIFT","Monitor Only")))),IF(K5="Y","DUE — INSIDER ACTIVITY",IF(I5&lt;&gt;"",IF(ABS(I5)&gt;=0.15,"WATCH — PRICE MOVE ±15%",IF(M5="Y","WATCH — ANALYST SHIFT","Monitor Only")),IF(M5="Y","WATCH — ANALYST SHIFT","Monitor Only")))))))</f>
        <v>Monitor Only</v>
      </c>
      <c r="Q5" s="70"/>
    </row>
    <row r="6" customFormat="false" ht="15" hidden="false" customHeight="true" outlineLevel="0" collapsed="false">
      <c r="A6" s="62" t="s">
        <v>104</v>
      </c>
      <c r="B6" s="63" t="s">
        <v>210</v>
      </c>
      <c r="C6" s="64" t="n">
        <v>46240</v>
      </c>
      <c r="D6" s="63" t="n">
        <v>70.4</v>
      </c>
      <c r="E6" s="63" t="n">
        <v>4</v>
      </c>
      <c r="F6" s="65" t="s">
        <v>215</v>
      </c>
      <c r="G6" s="66" t="n">
        <v>211.22</v>
      </c>
      <c r="H6" s="67" t="str">
        <f aca="false" t="array" ref="H6:H6">IFERROR(INDEX(_xlfn.stockhistory(A6,TODAY()-5,TODAY(),0,0,1),ROWS(_xlfn.stockhistory(A6,TODAY()-5,TODAY(),0,0,1)),1),"")</f>
        <v/>
      </c>
      <c r="I6" s="68" t="str">
        <f aca="false">IF(OR(G6="",H6=""),"",H6/G6-1)</f>
        <v/>
      </c>
      <c r="J6" s="69" t="n">
        <v>46357</v>
      </c>
      <c r="K6" s="63" t="s">
        <v>213</v>
      </c>
      <c r="L6" s="70" t="s">
        <v>216</v>
      </c>
      <c r="M6" s="63" t="s">
        <v>212</v>
      </c>
      <c r="N6" s="70"/>
      <c r="O6" s="71" t="n">
        <f aca="true">IF(C6="","",TODAY()-C6)</f>
        <v>55</v>
      </c>
      <c r="P6" s="72" t="str">
        <f aca="true">IF(A6="","",IF(O6&gt;180,"DUE — STALE (&gt;180 days)",IF(J6&lt;&gt;"",IF(ABS(J6-TODAY())&lt;=7,"DUE — EARNINGS WINDOW",IF(I6&lt;&gt;"",IF(ABS(I6)&gt;=0.2,"DUE — PRICE MOVE ±20%",IF(K6="Y","DUE — INSIDER ACTIVITY",IF(I6&lt;&gt;"",IF(ABS(I6)&gt;=0.15,"WATCH — PRICE MOVE ±15%",IF(M6="Y","WATCH — ANALYST SHIFT","Monitor Only")),IF(M6="Y","WATCH — ANALYST SHIFT","Monitor Only")))),IF(K6="Y","DUE — INSIDER ACTIVITY",IF(I6&lt;&gt;"",IF(ABS(I6)&gt;=0.15,"WATCH — PRICE MOVE ±15%",IF(M6="Y","WATCH — ANALYST SHIFT","Monitor Only")),IF(M6="Y","WATCH — ANALYST SHIFT","Monitor Only"))))),IF(I6&lt;&gt;"",IF(ABS(I6)&gt;=0.2,"DUE — PRICE MOVE ±20%",IF(K6="Y","DUE — INSIDER ACTIVITY",IF(I6&lt;&gt;"",IF(ABS(I6)&gt;=0.15,"WATCH — PRICE MOVE ±15%",IF(M6="Y","WATCH — ANALYST SHIFT","Monitor Only")),IF(M6="Y","WATCH — ANALYST SHIFT","Monitor Only")))),IF(K6="Y","DUE — INSIDER ACTIVITY",IF(I6&lt;&gt;"",IF(ABS(I6)&gt;=0.15,"WATCH — PRICE MOVE ±15%",IF(M6="Y","WATCH — ANALYST SHIFT","Monitor Only")),IF(M6="Y","WATCH — ANALYST SHIFT","Monitor Only")))))))</f>
        <v>DUE — INSIDER ACTIVITY</v>
      </c>
      <c r="Q6" s="70"/>
    </row>
    <row r="7" customFormat="false" ht="15" hidden="false" customHeight="true" outlineLevel="0" collapsed="false">
      <c r="A7" s="62" t="s">
        <v>106</v>
      </c>
      <c r="B7" s="63" t="s">
        <v>210</v>
      </c>
      <c r="C7" s="64" t="n">
        <v>46240</v>
      </c>
      <c r="D7" s="63" t="n">
        <v>68.6</v>
      </c>
      <c r="E7" s="63" t="n">
        <v>3.43</v>
      </c>
      <c r="F7" s="65" t="s">
        <v>215</v>
      </c>
      <c r="G7" s="66" t="n">
        <v>192.8</v>
      </c>
      <c r="H7" s="67" t="str">
        <f aca="false" t="array" ref="H7:H7">IFERROR(INDEX(_xlfn.stockhistory(A7,TODAY()-5,TODAY(),0,0,1),ROWS(_xlfn.stockhistory(A7,TODAY()-5,TODAY(),0,0,1)),1),"")</f>
        <v/>
      </c>
      <c r="I7" s="68" t="str">
        <f aca="false">IF(OR(G7="",H7=""),"",H7/G7-1)</f>
        <v/>
      </c>
      <c r="J7" s="69" t="n">
        <v>46323</v>
      </c>
      <c r="K7" s="63" t="s">
        <v>213</v>
      </c>
      <c r="L7" s="70" t="s">
        <v>217</v>
      </c>
      <c r="M7" s="63" t="s">
        <v>212</v>
      </c>
      <c r="N7" s="70"/>
      <c r="O7" s="71" t="n">
        <f aca="true">IF(C7="","",TODAY()-C7)</f>
        <v>55</v>
      </c>
      <c r="P7" s="72" t="str">
        <f aca="true">IF(A7="","",IF(O7&gt;180,"DUE — STALE (&gt;180 days)",IF(J7&lt;&gt;"",IF(ABS(J7-TODAY())&lt;=7,"DUE — EARNINGS WINDOW",IF(I7&lt;&gt;"",IF(ABS(I7)&gt;=0.2,"DUE — PRICE MOVE ±20%",IF(K7="Y","DUE — INSIDER ACTIVITY",IF(I7&lt;&gt;"",IF(ABS(I7)&gt;=0.15,"WATCH — PRICE MOVE ±15%",IF(M7="Y","WATCH — ANALYST SHIFT","Monitor Only")),IF(M7="Y","WATCH — ANALYST SHIFT","Monitor Only")))),IF(K7="Y","DUE — INSIDER ACTIVITY",IF(I7&lt;&gt;"",IF(ABS(I7)&gt;=0.15,"WATCH — PRICE MOVE ±15%",IF(M7="Y","WATCH — ANALYST SHIFT","Monitor Only")),IF(M7="Y","WATCH — ANALYST SHIFT","Monitor Only"))))),IF(I7&lt;&gt;"",IF(ABS(I7)&gt;=0.2,"DUE — PRICE MOVE ±20%",IF(K7="Y","DUE — INSIDER ACTIVITY",IF(I7&lt;&gt;"",IF(ABS(I7)&gt;=0.15,"WATCH — PRICE MOVE ±15%",IF(M7="Y","WATCH — ANALYST SHIFT","Monitor Only")),IF(M7="Y","WATCH — ANALYST SHIFT","Monitor Only")))),IF(K7="Y","DUE — INSIDER ACTIVITY",IF(I7&lt;&gt;"",IF(ABS(I7)&gt;=0.15,"WATCH — PRICE MOVE ±15%",IF(M7="Y","WATCH — ANALYST SHIFT","Monitor Only")),IF(M7="Y","WATCH — ANALYST SHIFT","Monitor Only")))))))</f>
        <v>DUE — INSIDER ACTIVITY</v>
      </c>
      <c r="Q7" s="70"/>
    </row>
    <row r="8" customFormat="false" ht="15" hidden="false" customHeight="true" outlineLevel="0" collapsed="false">
      <c r="A8" s="62" t="s">
        <v>108</v>
      </c>
      <c r="B8" s="63" t="s">
        <v>210</v>
      </c>
      <c r="C8" s="64" t="n">
        <v>46240</v>
      </c>
      <c r="D8" s="63" t="n">
        <v>71.8</v>
      </c>
      <c r="E8" s="63" t="n">
        <v>3.64</v>
      </c>
      <c r="F8" s="65" t="s">
        <v>215</v>
      </c>
      <c r="G8" s="66" t="n">
        <v>893.19</v>
      </c>
      <c r="H8" s="67" t="str">
        <f aca="false" t="array" ref="H8:H8">IFERROR(INDEX(_xlfn.stockhistory(A8,TODAY()-5,TODAY(),0,0,1),ROWS(_xlfn.stockhistory(A8,TODAY()-5,TODAY(),0,0,1)),1),"")</f>
        <v/>
      </c>
      <c r="I8" s="68" t="str">
        <f aca="false">IF(OR(G8="",H8=""),"",H8/G8-1)</f>
        <v/>
      </c>
      <c r="J8" s="69" t="n">
        <v>46295</v>
      </c>
      <c r="K8" s="63" t="s">
        <v>213</v>
      </c>
      <c r="L8" s="70" t="s">
        <v>218</v>
      </c>
      <c r="M8" s="63" t="s">
        <v>212</v>
      </c>
      <c r="N8" s="70"/>
      <c r="O8" s="71" t="n">
        <f aca="true">IF(C8="","",TODAY()-C8)</f>
        <v>55</v>
      </c>
      <c r="P8" s="72" t="str">
        <f aca="true">IF(A8="","",IF(O8&gt;180,"DUE — STALE (&gt;180 days)",IF(J8&lt;&gt;"",IF(ABS(J8-TODAY())&lt;=7,"DUE — EARNINGS WINDOW",IF(I8&lt;&gt;"",IF(ABS(I8)&gt;=0.2,"DUE — PRICE MOVE ±20%",IF(K8="Y","DUE — INSIDER ACTIVITY",IF(I8&lt;&gt;"",IF(ABS(I8)&gt;=0.15,"WATCH — PRICE MOVE ±15%",IF(M8="Y","WATCH — ANALYST SHIFT","Monitor Only")),IF(M8="Y","WATCH — ANALYST SHIFT","Monitor Only")))),IF(K8="Y","DUE — INSIDER ACTIVITY",IF(I8&lt;&gt;"",IF(ABS(I8)&gt;=0.15,"WATCH — PRICE MOVE ±15%",IF(M8="Y","WATCH — ANALYST SHIFT","Monitor Only")),IF(M8="Y","WATCH — ANALYST SHIFT","Monitor Only"))))),IF(I8&lt;&gt;"",IF(ABS(I8)&gt;=0.2,"DUE — PRICE MOVE ±20%",IF(K8="Y","DUE — INSIDER ACTIVITY",IF(I8&lt;&gt;"",IF(ABS(I8)&gt;=0.15,"WATCH — PRICE MOVE ±15%",IF(M8="Y","WATCH — ANALYST SHIFT","Monitor Only")),IF(M8="Y","WATCH — ANALYST SHIFT","Monitor Only")))),IF(K8="Y","DUE — INSIDER ACTIVITY",IF(I8&lt;&gt;"",IF(ABS(I8)&gt;=0.15,"WATCH — PRICE MOVE ±15%",IF(M8="Y","WATCH — ANALYST SHIFT","Monitor Only")),IF(M8="Y","WATCH — ANALYST SHIFT","Monitor Only")))))))</f>
        <v>DUE — EARNINGS WINDOW</v>
      </c>
      <c r="Q8" s="70"/>
    </row>
    <row r="9" customFormat="false" ht="15" hidden="false" customHeight="true" outlineLevel="0" collapsed="false">
      <c r="A9" s="62" t="s">
        <v>110</v>
      </c>
      <c r="B9" s="63" t="s">
        <v>210</v>
      </c>
      <c r="C9" s="64" t="n">
        <v>46240</v>
      </c>
      <c r="D9" s="63" t="n">
        <v>93.2</v>
      </c>
      <c r="E9" s="63" t="n">
        <v>4.57</v>
      </c>
      <c r="F9" s="65" t="s">
        <v>211</v>
      </c>
      <c r="G9" s="66" t="n">
        <v>211.87</v>
      </c>
      <c r="H9" s="67" t="str">
        <f aca="false" t="array" ref="H9:H9">IFERROR(INDEX(_xlfn.stockhistory(A9,TODAY()-5,TODAY(),0,0,1),ROWS(_xlfn.stockhistory(A9,TODAY()-5,TODAY(),0,0,1)),1),"")</f>
        <v/>
      </c>
      <c r="I9" s="68" t="str">
        <f aca="false">IF(OR(G9="",H9=""),"",H9/G9-1)</f>
        <v/>
      </c>
      <c r="J9" s="69" t="n">
        <v>46343</v>
      </c>
      <c r="K9" s="63" t="s">
        <v>213</v>
      </c>
      <c r="L9" s="70" t="s">
        <v>219</v>
      </c>
      <c r="M9" s="63" t="s">
        <v>212</v>
      </c>
      <c r="N9" s="70"/>
      <c r="O9" s="71" t="n">
        <f aca="true">IF(C9="","",TODAY()-C9)</f>
        <v>55</v>
      </c>
      <c r="P9" s="72" t="str">
        <f aca="true">IF(A9="","",IF(O9&gt;180,"DUE — STALE (&gt;180 days)",IF(J9&lt;&gt;"",IF(ABS(J9-TODAY())&lt;=7,"DUE — EARNINGS WINDOW",IF(I9&lt;&gt;"",IF(ABS(I9)&gt;=0.2,"DUE — PRICE MOVE ±20%",IF(K9="Y","DUE — INSIDER ACTIVITY",IF(I9&lt;&gt;"",IF(ABS(I9)&gt;=0.15,"WATCH — PRICE MOVE ±15%",IF(M9="Y","WATCH — ANALYST SHIFT","Monitor Only")),IF(M9="Y","WATCH — ANALYST SHIFT","Monitor Only")))),IF(K9="Y","DUE — INSIDER ACTIVITY",IF(I9&lt;&gt;"",IF(ABS(I9)&gt;=0.15,"WATCH — PRICE MOVE ±15%",IF(M9="Y","WATCH — ANALYST SHIFT","Monitor Only")),IF(M9="Y","WATCH — ANALYST SHIFT","Monitor Only"))))),IF(I9&lt;&gt;"",IF(ABS(I9)&gt;=0.2,"DUE — PRICE MOVE ±20%",IF(K9="Y","DUE — INSIDER ACTIVITY",IF(I9&lt;&gt;"",IF(ABS(I9)&gt;=0.15,"WATCH — PRICE MOVE ±15%",IF(M9="Y","WATCH — ANALYST SHIFT","Monitor Only")),IF(M9="Y","WATCH — ANALYST SHIFT","Monitor Only")))),IF(K9="Y","DUE — INSIDER ACTIVITY",IF(I9&lt;&gt;"",IF(ABS(I9)&gt;=0.15,"WATCH — PRICE MOVE ±15%",IF(M9="Y","WATCH — ANALYST SHIFT","Monitor Only")),IF(M9="Y","WATCH — ANALYST SHIFT","Monitor Only")))))))</f>
        <v>DUE — INSIDER ACTIVITY</v>
      </c>
      <c r="Q9" s="70"/>
    </row>
    <row r="10" customFormat="false" ht="15" hidden="false" customHeight="true" outlineLevel="0" collapsed="false">
      <c r="A10" s="62" t="s">
        <v>112</v>
      </c>
      <c r="B10" s="63" t="s">
        <v>210</v>
      </c>
      <c r="C10" s="64" t="n">
        <v>46240</v>
      </c>
      <c r="D10" s="63" t="n">
        <v>75.2</v>
      </c>
      <c r="E10" s="63" t="n">
        <v>4</v>
      </c>
      <c r="F10" s="65" t="s">
        <v>215</v>
      </c>
      <c r="G10" s="66" t="n">
        <v>162.66</v>
      </c>
      <c r="H10" s="67" t="str">
        <f aca="false" t="array" ref="H10:H10">IFERROR(INDEX(_xlfn.stockhistory(A10,TODAY()-5,TODAY(),0,0,1),ROWS(_xlfn.stockhistory(A10,TODAY()-5,TODAY(),0,0,1)),1),"")</f>
        <v/>
      </c>
      <c r="I10" s="68" t="str">
        <f aca="false">IF(OR(G10="",H10=""),"",H10/G10-1)</f>
        <v/>
      </c>
      <c r="J10" s="69" t="n">
        <v>46328</v>
      </c>
      <c r="K10" s="63" t="s">
        <v>213</v>
      </c>
      <c r="L10" s="70" t="s">
        <v>220</v>
      </c>
      <c r="M10" s="63" t="s">
        <v>212</v>
      </c>
      <c r="N10" s="70"/>
      <c r="O10" s="71" t="n">
        <f aca="true">IF(C10="","",TODAY()-C10)</f>
        <v>55</v>
      </c>
      <c r="P10" s="72" t="str">
        <f aca="true">IF(A10="","",IF(O10&gt;180,"DUE — STALE (&gt;180 days)",IF(J10&lt;&gt;"",IF(ABS(J10-TODAY())&lt;=7,"DUE — EARNINGS WINDOW",IF(I10&lt;&gt;"",IF(ABS(I10)&gt;=0.2,"DUE — PRICE MOVE ±20%",IF(K10="Y","DUE — INSIDER ACTIVITY",IF(I10&lt;&gt;"",IF(ABS(I10)&gt;=0.15,"WATCH — PRICE MOVE ±15%",IF(M10="Y","WATCH — ANALYST SHIFT","Monitor Only")),IF(M10="Y","WATCH — ANALYST SHIFT","Monitor Only")))),IF(K10="Y","DUE — INSIDER ACTIVITY",IF(I10&lt;&gt;"",IF(ABS(I10)&gt;=0.15,"WATCH — PRICE MOVE ±15%",IF(M10="Y","WATCH — ANALYST SHIFT","Monitor Only")),IF(M10="Y","WATCH — ANALYST SHIFT","Monitor Only"))))),IF(I10&lt;&gt;"",IF(ABS(I10)&gt;=0.2,"DUE — PRICE MOVE ±20%",IF(K10="Y","DUE — INSIDER ACTIVITY",IF(I10&lt;&gt;"",IF(ABS(I10)&gt;=0.15,"WATCH — PRICE MOVE ±15%",IF(M10="Y","WATCH — ANALYST SHIFT","Monitor Only")),IF(M10="Y","WATCH — ANALYST SHIFT","Monitor Only")))),IF(K10="Y","DUE — INSIDER ACTIVITY",IF(I10&lt;&gt;"",IF(ABS(I10)&gt;=0.15,"WATCH — PRICE MOVE ±15%",IF(M10="Y","WATCH — ANALYST SHIFT","Monitor Only")),IF(M10="Y","WATCH — ANALYST SHIFT","Monitor Only")))))))</f>
        <v>DUE — INSIDER ACTIVITY</v>
      </c>
      <c r="Q10" s="70"/>
    </row>
    <row r="11" customFormat="false" ht="15" hidden="false" customHeight="true" outlineLevel="0" collapsed="false">
      <c r="A11" s="62" t="s">
        <v>114</v>
      </c>
      <c r="B11" s="63" t="s">
        <v>210</v>
      </c>
      <c r="C11" s="64" t="n">
        <v>46240</v>
      </c>
      <c r="D11" s="63" t="n">
        <v>81</v>
      </c>
      <c r="E11" s="63" t="n">
        <v>4</v>
      </c>
      <c r="F11" s="65" t="s">
        <v>211</v>
      </c>
      <c r="G11" s="66" t="n">
        <v>414</v>
      </c>
      <c r="H11" s="67" t="str">
        <f aca="false" t="array" ref="H11:H11">IFERROR(INDEX(_xlfn.stockhistory(A11,TODAY()-5,TODAY(),0,0,1),ROWS(_xlfn.stockhistory(A11,TODAY()-5,TODAY(),0,0,1)),1),"")</f>
        <v/>
      </c>
      <c r="I11" s="68" t="str">
        <f aca="false">IF(OR(G11="",H11=""),"",H11/G11-1)</f>
        <v/>
      </c>
      <c r="J11" s="69" t="n">
        <v>46310</v>
      </c>
      <c r="K11" s="63" t="s">
        <v>213</v>
      </c>
      <c r="L11" s="70" t="s">
        <v>221</v>
      </c>
      <c r="M11" s="63" t="s">
        <v>212</v>
      </c>
      <c r="N11" s="70"/>
      <c r="O11" s="71" t="n">
        <f aca="true">IF(C11="","",TODAY()-C11)</f>
        <v>55</v>
      </c>
      <c r="P11" s="72" t="str">
        <f aca="true">IF(A11="","",IF(O11&gt;180,"DUE — STALE (&gt;180 days)",IF(J11&lt;&gt;"",IF(ABS(J11-TODAY())&lt;=7,"DUE — EARNINGS WINDOW",IF(I11&lt;&gt;"",IF(ABS(I11)&gt;=0.2,"DUE — PRICE MOVE ±20%",IF(K11="Y","DUE — INSIDER ACTIVITY",IF(I11&lt;&gt;"",IF(ABS(I11)&gt;=0.15,"WATCH — PRICE MOVE ±15%",IF(M11="Y","WATCH — ANALYST SHIFT","Monitor Only")),IF(M11="Y","WATCH — ANALYST SHIFT","Monitor Only")))),IF(K11="Y","DUE — INSIDER ACTIVITY",IF(I11&lt;&gt;"",IF(ABS(I11)&gt;=0.15,"WATCH — PRICE MOVE ±15%",IF(M11="Y","WATCH — ANALYST SHIFT","Monitor Only")),IF(M11="Y","WATCH — ANALYST SHIFT","Monitor Only"))))),IF(I11&lt;&gt;"",IF(ABS(I11)&gt;=0.2,"DUE — PRICE MOVE ±20%",IF(K11="Y","DUE — INSIDER ACTIVITY",IF(I11&lt;&gt;"",IF(ABS(I11)&gt;=0.15,"WATCH — PRICE MOVE ±15%",IF(M11="Y","WATCH — ANALYST SHIFT","Monitor Only")),IF(M11="Y","WATCH — ANALYST SHIFT","Monitor Only")))),IF(K11="Y","DUE — INSIDER ACTIVITY",IF(I11&lt;&gt;"",IF(ABS(I11)&gt;=0.15,"WATCH — PRICE MOVE ±15%",IF(M11="Y","WATCH — ANALYST SHIFT","Monitor Only")),IF(M11="Y","WATCH — ANALYST SHIFT","Monitor Only")))))))</f>
        <v>DUE — INSIDER ACTIVITY</v>
      </c>
      <c r="Q11" s="70"/>
    </row>
    <row r="12" customFormat="false" ht="15" hidden="false" customHeight="true" outlineLevel="0" collapsed="false">
      <c r="A12" s="62" t="s">
        <v>116</v>
      </c>
      <c r="B12" s="63" t="s">
        <v>210</v>
      </c>
      <c r="C12" s="64" t="n">
        <v>46240</v>
      </c>
      <c r="D12" s="63" t="n">
        <v>82.8</v>
      </c>
      <c r="E12" s="63" t="n">
        <v>4.36</v>
      </c>
      <c r="F12" s="65" t="s">
        <v>211</v>
      </c>
      <c r="G12" s="66" t="n">
        <v>277.94</v>
      </c>
      <c r="H12" s="67" t="str">
        <f aca="false" t="array" ref="H12:H12">IFERROR(INDEX(_xlfn.stockhistory(A12,TODAY()-5,TODAY(),0,0,1),ROWS(_xlfn.stockhistory(A12,TODAY()-5,TODAY(),0,0,1)),1),"")</f>
        <v/>
      </c>
      <c r="I12" s="68" t="str">
        <f aca="false">IF(OR(G12="",H12=""),"",H12/G12-1)</f>
        <v/>
      </c>
      <c r="J12" s="69" t="n">
        <v>46316</v>
      </c>
      <c r="K12" s="63" t="s">
        <v>213</v>
      </c>
      <c r="L12" s="70" t="s">
        <v>222</v>
      </c>
      <c r="M12" s="63" t="s">
        <v>212</v>
      </c>
      <c r="N12" s="70"/>
      <c r="O12" s="71" t="n">
        <f aca="true">IF(C12="","",TODAY()-C12)</f>
        <v>55</v>
      </c>
      <c r="P12" s="72" t="str">
        <f aca="true">IF(A12="","",IF(O12&gt;180,"DUE — STALE (&gt;180 days)",IF(J12&lt;&gt;"",IF(ABS(J12-TODAY())&lt;=7,"DUE — EARNINGS WINDOW",IF(I12&lt;&gt;"",IF(ABS(I12)&gt;=0.2,"DUE — PRICE MOVE ±20%",IF(K12="Y","DUE — INSIDER ACTIVITY",IF(I12&lt;&gt;"",IF(ABS(I12)&gt;=0.15,"WATCH — PRICE MOVE ±15%",IF(M12="Y","WATCH — ANALYST SHIFT","Monitor Only")),IF(M12="Y","WATCH — ANALYST SHIFT","Monitor Only")))),IF(K12="Y","DUE — INSIDER ACTIVITY",IF(I12&lt;&gt;"",IF(ABS(I12)&gt;=0.15,"WATCH — PRICE MOVE ±15%",IF(M12="Y","WATCH — ANALYST SHIFT","Monitor Only")),IF(M12="Y","WATCH — ANALYST SHIFT","Monitor Only"))))),IF(I12&lt;&gt;"",IF(ABS(I12)&gt;=0.2,"DUE — PRICE MOVE ±20%",IF(K12="Y","DUE — INSIDER ACTIVITY",IF(I12&lt;&gt;"",IF(ABS(I12)&gt;=0.15,"WATCH — PRICE MOVE ±15%",IF(M12="Y","WATCH — ANALYST SHIFT","Monitor Only")),IF(M12="Y","WATCH — ANALYST SHIFT","Monitor Only")))),IF(K12="Y","DUE — INSIDER ACTIVITY",IF(I12&lt;&gt;"",IF(ABS(I12)&gt;=0.15,"WATCH — PRICE MOVE ±15%",IF(M12="Y","WATCH — ANALYST SHIFT","Monitor Only")),IF(M12="Y","WATCH — ANALYST SHIFT","Monitor Only")))))))</f>
        <v>DUE — INSIDER ACTIVITY</v>
      </c>
      <c r="Q12" s="70"/>
    </row>
    <row r="13" customFormat="false" ht="15" hidden="false" customHeight="true" outlineLevel="0" collapsed="false">
      <c r="A13" s="62" t="s">
        <v>165</v>
      </c>
      <c r="B13" s="63" t="s">
        <v>210</v>
      </c>
      <c r="C13" s="64" t="n">
        <v>46240</v>
      </c>
      <c r="D13" s="63" t="n">
        <v>80.8</v>
      </c>
      <c r="E13" s="63" t="n">
        <v>4.07</v>
      </c>
      <c r="F13" s="65" t="s">
        <v>211</v>
      </c>
      <c r="G13" s="66" t="n">
        <v>418.16</v>
      </c>
      <c r="H13" s="67" t="str">
        <f aca="false" t="array" ref="H13:H13">IFERROR(INDEX(_xlfn.stockhistory(A13,TODAY()-5,TODAY(),0,0,1),ROWS(_xlfn.stockhistory(A13,TODAY()-5,TODAY(),0,0,1)),1),"")</f>
        <v/>
      </c>
      <c r="I13" s="68" t="str">
        <f aca="false">IF(OR(G13="",H13=""),"",H13/G13-1)</f>
        <v/>
      </c>
      <c r="J13" s="69" t="n">
        <v>46267</v>
      </c>
      <c r="K13" s="63" t="s">
        <v>212</v>
      </c>
      <c r="L13" s="70"/>
      <c r="M13" s="63" t="s">
        <v>212</v>
      </c>
      <c r="N13" s="70"/>
      <c r="O13" s="71" t="n">
        <f aca="true">IF(C13="","",TODAY()-C13)</f>
        <v>55</v>
      </c>
      <c r="P13" s="72" t="str">
        <f aca="true">IF(A13="","",IF(O13&gt;180,"DUE — STALE (&gt;180 days)",IF(J13&lt;&gt;"",IF(ABS(J13-TODAY())&lt;=7,"DUE — EARNINGS WINDOW",IF(I13&lt;&gt;"",IF(ABS(I13)&gt;=0.2,"DUE — PRICE MOVE ±20%",IF(K13="Y","DUE — INSIDER ACTIVITY",IF(I13&lt;&gt;"",IF(ABS(I13)&gt;=0.15,"WATCH — PRICE MOVE ±15%",IF(M13="Y","WATCH — ANALYST SHIFT","Monitor Only")),IF(M13="Y","WATCH — ANALYST SHIFT","Monitor Only")))),IF(K13="Y","DUE — INSIDER ACTIVITY",IF(I13&lt;&gt;"",IF(ABS(I13)&gt;=0.15,"WATCH — PRICE MOVE ±15%",IF(M13="Y","WATCH — ANALYST SHIFT","Monitor Only")),IF(M13="Y","WATCH — ANALYST SHIFT","Monitor Only"))))),IF(I13&lt;&gt;"",IF(ABS(I13)&gt;=0.2,"DUE — PRICE MOVE ±20%",IF(K13="Y","DUE — INSIDER ACTIVITY",IF(I13&lt;&gt;"",IF(ABS(I13)&gt;=0.15,"WATCH — PRICE MOVE ±15%",IF(M13="Y","WATCH — ANALYST SHIFT","Monitor Only")),IF(M13="Y","WATCH — ANALYST SHIFT","Monitor Only")))),IF(K13="Y","DUE — INSIDER ACTIVITY",IF(I13&lt;&gt;"",IF(ABS(I13)&gt;=0.15,"WATCH — PRICE MOVE ±15%",IF(M13="Y","WATCH — ANALYST SHIFT","Monitor Only")),IF(M13="Y","WATCH — ANALYST SHIFT","Monitor Only")))))))</f>
        <v>Monitor Only</v>
      </c>
      <c r="Q13" s="70"/>
    </row>
    <row r="14" customFormat="false" ht="15" hidden="false" customHeight="true" outlineLevel="0" collapsed="false">
      <c r="A14" s="62" t="s">
        <v>170</v>
      </c>
      <c r="B14" s="63" t="s">
        <v>210</v>
      </c>
      <c r="C14" s="64" t="n">
        <v>46240</v>
      </c>
      <c r="D14" s="63" t="n">
        <v>82</v>
      </c>
      <c r="E14" s="63" t="n">
        <v>4.36</v>
      </c>
      <c r="F14" s="65" t="s">
        <v>211</v>
      </c>
      <c r="G14" s="66" t="n">
        <v>139.06</v>
      </c>
      <c r="H14" s="67" t="str">
        <f aca="false" t="array" ref="H14:H14">IFERROR(INDEX(_xlfn.stockhistory(A14,TODAY()-5,TODAY(),0,0,1),ROWS(_xlfn.stockhistory(A14,TODAY()-5,TODAY(),0,0,1)),1),"")</f>
        <v/>
      </c>
      <c r="I14" s="68" t="str">
        <f aca="false">IF(OR(G14="",H14=""),"",H14/G14-1)</f>
        <v/>
      </c>
      <c r="J14" s="69" t="n">
        <v>46310</v>
      </c>
      <c r="K14" s="63" t="s">
        <v>212</v>
      </c>
      <c r="L14" s="70"/>
      <c r="M14" s="63" t="s">
        <v>212</v>
      </c>
      <c r="N14" s="70"/>
      <c r="O14" s="71" t="n">
        <f aca="true">IF(C14="","",TODAY()-C14)</f>
        <v>55</v>
      </c>
      <c r="P14" s="72" t="str">
        <f aca="true">IF(A14="","",IF(O14&gt;180,"DUE — STALE (&gt;180 days)",IF(J14&lt;&gt;"",IF(ABS(J14-TODAY())&lt;=7,"DUE — EARNINGS WINDOW",IF(I14&lt;&gt;"",IF(ABS(I14)&gt;=0.2,"DUE — PRICE MOVE ±20%",IF(K14="Y","DUE — INSIDER ACTIVITY",IF(I14&lt;&gt;"",IF(ABS(I14)&gt;=0.15,"WATCH — PRICE MOVE ±15%",IF(M14="Y","WATCH — ANALYST SHIFT","Monitor Only")),IF(M14="Y","WATCH — ANALYST SHIFT","Monitor Only")))),IF(K14="Y","DUE — INSIDER ACTIVITY",IF(I14&lt;&gt;"",IF(ABS(I14)&gt;=0.15,"WATCH — PRICE MOVE ±15%",IF(M14="Y","WATCH — ANALYST SHIFT","Monitor Only")),IF(M14="Y","WATCH — ANALYST SHIFT","Monitor Only"))))),IF(I14&lt;&gt;"",IF(ABS(I14)&gt;=0.2,"DUE — PRICE MOVE ±20%",IF(K14="Y","DUE — INSIDER ACTIVITY",IF(I14&lt;&gt;"",IF(ABS(I14)&gt;=0.15,"WATCH — PRICE MOVE ±15%",IF(M14="Y","WATCH — ANALYST SHIFT","Monitor Only")),IF(M14="Y","WATCH — ANALYST SHIFT","Monitor Only")))),IF(K14="Y","DUE — INSIDER ACTIVITY",IF(I14&lt;&gt;"",IF(ABS(I14)&gt;=0.15,"WATCH — PRICE MOVE ±15%",IF(M14="Y","WATCH — ANALYST SHIFT","Monitor Only")),IF(M14="Y","WATCH — ANALYST SHIFT","Monitor Only")))))))</f>
        <v>Monitor Only</v>
      </c>
      <c r="Q14" s="70"/>
    </row>
    <row r="15" customFormat="false" ht="15" hidden="false" customHeight="true" outlineLevel="0" collapsed="false">
      <c r="A15" s="62" t="s">
        <v>167</v>
      </c>
      <c r="B15" s="63" t="s">
        <v>210</v>
      </c>
      <c r="C15" s="64" t="n">
        <v>46241</v>
      </c>
      <c r="D15" s="63" t="n">
        <v>75.6</v>
      </c>
      <c r="E15" s="63" t="n">
        <v>3.79</v>
      </c>
      <c r="F15" s="65" t="s">
        <v>215</v>
      </c>
      <c r="G15" s="66" t="n">
        <v>478.7</v>
      </c>
      <c r="H15" s="67" t="str">
        <f aca="false" t="array" ref="H15:H15">IFERROR(INDEX(_xlfn.stockhistory(A15,TODAY()-5,TODAY(),0,0,1),ROWS(_xlfn.stockhistory(A15,TODAY()-5,TODAY(),0,0,1)),1),"")</f>
        <v/>
      </c>
      <c r="I15" s="68" t="str">
        <f aca="false">IF(OR(G15="",H15=""),"",H15/G15-1)</f>
        <v/>
      </c>
      <c r="J15" s="69" t="n">
        <v>46328</v>
      </c>
      <c r="K15" s="63" t="s">
        <v>212</v>
      </c>
      <c r="L15" s="70"/>
      <c r="M15" s="63" t="s">
        <v>212</v>
      </c>
      <c r="N15" s="70"/>
      <c r="O15" s="71" t="n">
        <f aca="true">IF(C15="","",TODAY()-C15)</f>
        <v>54</v>
      </c>
      <c r="P15" s="72" t="str">
        <f aca="true">IF(A15="","",IF(O15&gt;180,"DUE — STALE (&gt;180 days)",IF(J15&lt;&gt;"",IF(ABS(J15-TODAY())&lt;=7,"DUE — EARNINGS WINDOW",IF(I15&lt;&gt;"",IF(ABS(I15)&gt;=0.2,"DUE — PRICE MOVE ±20%",IF(K15="Y","DUE — INSIDER ACTIVITY",IF(I15&lt;&gt;"",IF(ABS(I15)&gt;=0.15,"WATCH — PRICE MOVE ±15%",IF(M15="Y","WATCH — ANALYST SHIFT","Monitor Only")),IF(M15="Y","WATCH — ANALYST SHIFT","Monitor Only")))),IF(K15="Y","DUE — INSIDER ACTIVITY",IF(I15&lt;&gt;"",IF(ABS(I15)&gt;=0.15,"WATCH — PRICE MOVE ±15%",IF(M15="Y","WATCH — ANALYST SHIFT","Monitor Only")),IF(M15="Y","WATCH — ANALYST SHIFT","Monitor Only"))))),IF(I15&lt;&gt;"",IF(ABS(I15)&gt;=0.2,"DUE — PRICE MOVE ±20%",IF(K15="Y","DUE — INSIDER ACTIVITY",IF(I15&lt;&gt;"",IF(ABS(I15)&gt;=0.15,"WATCH — PRICE MOVE ±15%",IF(M15="Y","WATCH — ANALYST SHIFT","Monitor Only")),IF(M15="Y","WATCH — ANALYST SHIFT","Monitor Only")))),IF(K15="Y","DUE — INSIDER ACTIVITY",IF(I15&lt;&gt;"",IF(ABS(I15)&gt;=0.15,"WATCH — PRICE MOVE ±15%",IF(M15="Y","WATCH — ANALYST SHIFT","Monitor Only")),IF(M15="Y","WATCH — ANALYST SHIFT","Monitor Only")))))))</f>
        <v>Monitor Only</v>
      </c>
      <c r="Q15" s="70" t="s">
        <v>223</v>
      </c>
    </row>
    <row r="16" customFormat="false" ht="15" hidden="true" customHeight="true" outlineLevel="1" collapsed="false">
      <c r="A16" s="62" t="s">
        <v>224</v>
      </c>
      <c r="B16" s="70" t="s">
        <v>225</v>
      </c>
      <c r="C16" s="64" t="n">
        <v>46246</v>
      </c>
      <c r="D16" s="63"/>
      <c r="E16" s="63" t="n">
        <v>1.36</v>
      </c>
      <c r="F16" s="65"/>
      <c r="G16" s="66" t="n">
        <v>53.52</v>
      </c>
      <c r="H16" s="67" t="str">
        <f aca="false" t="array" ref="H16:H16">IFERROR(INDEX(_xlfn.stockhistory(A16,TODAY()-5,TODAY(),0,0,1),ROWS(_xlfn.stockhistory(A16,TODAY()-5,TODAY(),0,0,1)),1),"")</f>
        <v/>
      </c>
      <c r="I16" s="68" t="str">
        <f aca="false">IF(OR(G16="",H16=""),"",H16/G16-1)</f>
        <v/>
      </c>
      <c r="J16" s="69" t="n">
        <v>46331</v>
      </c>
      <c r="K16" s="63" t="s">
        <v>212</v>
      </c>
      <c r="L16" s="70"/>
      <c r="M16" s="63" t="s">
        <v>212</v>
      </c>
      <c r="N16" s="70"/>
      <c r="O16" s="71" t="n">
        <f aca="true">IF(C16="","",TODAY()-C16)</f>
        <v>49</v>
      </c>
      <c r="P16" s="72" t="str">
        <f aca="true">IF(A16="","",IF(O16&gt;180,"DUE — STALE (&gt;180 days)",IF(J16&lt;&gt;"",IF(ABS(J16-TODAY())&lt;=7,"DUE — EARNINGS WINDOW",IF(I16&lt;&gt;"",IF(ABS(I16)&gt;=0.2,"DUE — PRICE MOVE ±20%",IF(K16="Y","DUE — INSIDER ACTIVITY",IF(I16&lt;&gt;"",IF(ABS(I16)&gt;=0.15,"WATCH — PRICE MOVE ±15%",IF(M16="Y","WATCH — ANALYST SHIFT","Monitor Only")),IF(M16="Y","WATCH — ANALYST SHIFT","Monitor Only")))),IF(K16="Y","DUE — INSIDER ACTIVITY",IF(I16&lt;&gt;"",IF(ABS(I16)&gt;=0.15,"WATCH — PRICE MOVE ±15%",IF(M16="Y","WATCH — ANALYST SHIFT","Monitor Only")),IF(M16="Y","WATCH — ANALYST SHIFT","Monitor Only"))))),IF(I16&lt;&gt;"",IF(ABS(I16)&gt;=0.2,"DUE — PRICE MOVE ±20%",IF(K16="Y","DUE — INSIDER ACTIVITY",IF(I16&lt;&gt;"",IF(ABS(I16)&gt;=0.15,"WATCH — PRICE MOVE ±15%",IF(M16="Y","WATCH — ANALYST SHIFT","Monitor Only")),IF(M16="Y","WATCH — ANALYST SHIFT","Monitor Only")))),IF(K16="Y","DUE — INSIDER ACTIVITY",IF(I16&lt;&gt;"",IF(ABS(I16)&gt;=0.15,"WATCH — PRICE MOVE ±15%",IF(M16="Y","WATCH — ANALYST SHIFT","Monitor Only")),IF(M16="Y","WATCH — ANALYST SHIFT","Monitor Only")))))))</f>
        <v>Monitor Only</v>
      </c>
      <c r="Q16" s="70"/>
    </row>
    <row r="17" customFormat="false" ht="15" hidden="true" customHeight="true" outlineLevel="1" collapsed="false">
      <c r="A17" s="62" t="s">
        <v>226</v>
      </c>
      <c r="B17" s="70" t="s">
        <v>225</v>
      </c>
      <c r="C17" s="64" t="n">
        <v>46246</v>
      </c>
      <c r="D17" s="63"/>
      <c r="E17" s="63" t="n">
        <v>2.79</v>
      </c>
      <c r="F17" s="65"/>
      <c r="G17" s="66" t="n">
        <v>125.22</v>
      </c>
      <c r="H17" s="67" t="str">
        <f aca="false" t="array" ref="H17:H17">IFERROR(INDEX(_xlfn.stockhistory(A17,TODAY()-5,TODAY(),0,0,1),ROWS(_xlfn.stockhistory(A17,TODAY()-5,TODAY(),0,0,1)),1),"")</f>
        <v/>
      </c>
      <c r="I17" s="68" t="str">
        <f aca="false">IF(OR(G17="",H17=""),"",H17/G17-1)</f>
        <v/>
      </c>
      <c r="J17" s="69" t="n">
        <v>46350</v>
      </c>
      <c r="K17" s="63" t="s">
        <v>213</v>
      </c>
      <c r="L17" s="70" t="s">
        <v>227</v>
      </c>
      <c r="M17" s="63" t="s">
        <v>212</v>
      </c>
      <c r="N17" s="70"/>
      <c r="O17" s="71" t="n">
        <f aca="true">IF(C17="","",TODAY()-C17)</f>
        <v>49</v>
      </c>
      <c r="P17" s="72" t="str">
        <f aca="true">IF(A17="","",IF(O17&gt;180,"DUE — STALE (&gt;180 days)",IF(J17&lt;&gt;"",IF(ABS(J17-TODAY())&lt;=7,"DUE — EARNINGS WINDOW",IF(I17&lt;&gt;"",IF(ABS(I17)&gt;=0.2,"DUE — PRICE MOVE ±20%",IF(K17="Y","DUE — INSIDER ACTIVITY",IF(I17&lt;&gt;"",IF(ABS(I17)&gt;=0.15,"WATCH — PRICE MOVE ±15%",IF(M17="Y","WATCH — ANALYST SHIFT","Monitor Only")),IF(M17="Y","WATCH — ANALYST SHIFT","Monitor Only")))),IF(K17="Y","DUE — INSIDER ACTIVITY",IF(I17&lt;&gt;"",IF(ABS(I17)&gt;=0.15,"WATCH — PRICE MOVE ±15%",IF(M17="Y","WATCH — ANALYST SHIFT","Monitor Only")),IF(M17="Y","WATCH — ANALYST SHIFT","Monitor Only"))))),IF(I17&lt;&gt;"",IF(ABS(I17)&gt;=0.2,"DUE — PRICE MOVE ±20%",IF(K17="Y","DUE — INSIDER ACTIVITY",IF(I17&lt;&gt;"",IF(ABS(I17)&gt;=0.15,"WATCH — PRICE MOVE ±15%",IF(M17="Y","WATCH — ANALYST SHIFT","Monitor Only")),IF(M17="Y","WATCH — ANALYST SHIFT","Monitor Only")))),IF(K17="Y","DUE — INSIDER ACTIVITY",IF(I17&lt;&gt;"",IF(ABS(I17)&gt;=0.15,"WATCH — PRICE MOVE ±15%",IF(M17="Y","WATCH — ANALYST SHIFT","Monitor Only")),IF(M17="Y","WATCH — ANALYST SHIFT","Monitor Only")))))))</f>
        <v>DUE — INSIDER ACTIVITY</v>
      </c>
      <c r="Q17" s="70"/>
    </row>
    <row r="18" customFormat="false" ht="15" hidden="true" customHeight="true" outlineLevel="1" collapsed="false">
      <c r="A18" s="62" t="s">
        <v>228</v>
      </c>
      <c r="B18" s="70" t="s">
        <v>225</v>
      </c>
      <c r="C18" s="64" t="n">
        <v>46245</v>
      </c>
      <c r="D18" s="63"/>
      <c r="E18" s="63" t="n">
        <v>1.79</v>
      </c>
      <c r="F18" s="65"/>
      <c r="G18" s="66" t="n">
        <v>44.84</v>
      </c>
      <c r="H18" s="67" t="str">
        <f aca="false" t="array" ref="H18:H18">IFERROR(INDEX(_xlfn.stockhistory(A18,TODAY()-5,TODAY(),0,0,1),ROWS(_xlfn.stockhistory(A18,TODAY()-5,TODAY(),0,0,1)),1),"")</f>
        <v/>
      </c>
      <c r="I18" s="68" t="str">
        <f aca="false">IF(OR(G18="",H18=""),"",H18/G18-1)</f>
        <v/>
      </c>
      <c r="J18" s="69" t="n">
        <v>46331</v>
      </c>
      <c r="K18" s="63" t="s">
        <v>212</v>
      </c>
      <c r="L18" s="70"/>
      <c r="M18" s="63" t="s">
        <v>212</v>
      </c>
      <c r="N18" s="70"/>
      <c r="O18" s="71" t="n">
        <f aca="true">IF(C18="","",TODAY()-C18)</f>
        <v>50</v>
      </c>
      <c r="P18" s="72" t="str">
        <f aca="true">IF(A18="","",IF(O18&gt;180,"DUE — STALE (&gt;180 days)",IF(J18&lt;&gt;"",IF(ABS(J18-TODAY())&lt;=7,"DUE — EARNINGS WINDOW",IF(I18&lt;&gt;"",IF(ABS(I18)&gt;=0.2,"DUE — PRICE MOVE ±20%",IF(K18="Y","DUE — INSIDER ACTIVITY",IF(I18&lt;&gt;"",IF(ABS(I18)&gt;=0.15,"WATCH — PRICE MOVE ±15%",IF(M18="Y","WATCH — ANALYST SHIFT","Monitor Only")),IF(M18="Y","WATCH — ANALYST SHIFT","Monitor Only")))),IF(K18="Y","DUE — INSIDER ACTIVITY",IF(I18&lt;&gt;"",IF(ABS(I18)&gt;=0.15,"WATCH — PRICE MOVE ±15%",IF(M18="Y","WATCH — ANALYST SHIFT","Monitor Only")),IF(M18="Y","WATCH — ANALYST SHIFT","Monitor Only"))))),IF(I18&lt;&gt;"",IF(ABS(I18)&gt;=0.2,"DUE — PRICE MOVE ±20%",IF(K18="Y","DUE — INSIDER ACTIVITY",IF(I18&lt;&gt;"",IF(ABS(I18)&gt;=0.15,"WATCH — PRICE MOVE ±15%",IF(M18="Y","WATCH — ANALYST SHIFT","Monitor Only")),IF(M18="Y","WATCH — ANALYST SHIFT","Monitor Only")))),IF(K18="Y","DUE — INSIDER ACTIVITY",IF(I18&lt;&gt;"",IF(ABS(I18)&gt;=0.15,"WATCH — PRICE MOVE ±15%",IF(M18="Y","WATCH — ANALYST SHIFT","Monitor Only")),IF(M18="Y","WATCH — ANALYST SHIFT","Monitor Only")))))))</f>
        <v>Monitor Only</v>
      </c>
      <c r="Q18" s="70"/>
    </row>
    <row r="19" customFormat="false" ht="15" hidden="true" customHeight="true" outlineLevel="1" collapsed="false">
      <c r="A19" s="62" t="s">
        <v>229</v>
      </c>
      <c r="B19" s="70" t="s">
        <v>225</v>
      </c>
      <c r="C19" s="64" t="n">
        <v>46245</v>
      </c>
      <c r="D19" s="63"/>
      <c r="E19" s="63" t="n">
        <v>1.86</v>
      </c>
      <c r="F19" s="65"/>
      <c r="G19" s="66" t="n">
        <v>12.41</v>
      </c>
      <c r="H19" s="67" t="str">
        <f aca="false" t="array" ref="H19:H19">IFERROR(INDEX(_xlfn.stockhistory(A19,TODAY()-5,TODAY(),0,0,1),ROWS(_xlfn.stockhistory(A19,TODAY()-5,TODAY(),0,0,1)),1),"")</f>
        <v/>
      </c>
      <c r="I19" s="68" t="str">
        <f aca="false">IF(OR(G19="",H19=""),"",H19/G19-1)</f>
        <v/>
      </c>
      <c r="J19" s="69" t="n">
        <v>46314</v>
      </c>
      <c r="K19" s="63" t="s">
        <v>212</v>
      </c>
      <c r="L19" s="70"/>
      <c r="M19" s="63" t="s">
        <v>212</v>
      </c>
      <c r="N19" s="70"/>
      <c r="O19" s="71" t="n">
        <f aca="true">IF(C19="","",TODAY()-C19)</f>
        <v>50</v>
      </c>
      <c r="P19" s="72" t="str">
        <f aca="true">IF(A19="","",IF(O19&gt;180,"DUE — STALE (&gt;180 days)",IF(J19&lt;&gt;"",IF(ABS(J19-TODAY())&lt;=7,"DUE — EARNINGS WINDOW",IF(I19&lt;&gt;"",IF(ABS(I19)&gt;=0.2,"DUE — PRICE MOVE ±20%",IF(K19="Y","DUE — INSIDER ACTIVITY",IF(I19&lt;&gt;"",IF(ABS(I19)&gt;=0.15,"WATCH — PRICE MOVE ±15%",IF(M19="Y","WATCH — ANALYST SHIFT","Monitor Only")),IF(M19="Y","WATCH — ANALYST SHIFT","Monitor Only")))),IF(K19="Y","DUE — INSIDER ACTIVITY",IF(I19&lt;&gt;"",IF(ABS(I19)&gt;=0.15,"WATCH — PRICE MOVE ±15%",IF(M19="Y","WATCH — ANALYST SHIFT","Monitor Only")),IF(M19="Y","WATCH — ANALYST SHIFT","Monitor Only"))))),IF(I19&lt;&gt;"",IF(ABS(I19)&gt;=0.2,"DUE — PRICE MOVE ±20%",IF(K19="Y","DUE — INSIDER ACTIVITY",IF(I19&lt;&gt;"",IF(ABS(I19)&gt;=0.15,"WATCH — PRICE MOVE ±15%",IF(M19="Y","WATCH — ANALYST SHIFT","Monitor Only")),IF(M19="Y","WATCH — ANALYST SHIFT","Monitor Only")))),IF(K19="Y","DUE — INSIDER ACTIVITY",IF(I19&lt;&gt;"",IF(ABS(I19)&gt;=0.15,"WATCH — PRICE MOVE ±15%",IF(M19="Y","WATCH — ANALYST SHIFT","Monitor Only")),IF(M19="Y","WATCH — ANALYST SHIFT","Monitor Only")))))))</f>
        <v>Monitor Only</v>
      </c>
      <c r="Q19" s="70"/>
    </row>
    <row r="20" customFormat="false" ht="15" hidden="false" customHeight="true" outlineLevel="0" collapsed="false">
      <c r="A20" s="62" t="s">
        <v>230</v>
      </c>
      <c r="B20" s="73" t="s">
        <v>231</v>
      </c>
      <c r="C20" s="64" t="n">
        <v>46245</v>
      </c>
      <c r="D20" s="63"/>
      <c r="E20" s="63" t="n">
        <v>3.71</v>
      </c>
      <c r="F20" s="65"/>
      <c r="G20" s="66" t="n">
        <v>32</v>
      </c>
      <c r="H20" s="67" t="str">
        <f aca="false" t="array" ref="H20:H20">IFERROR(INDEX(_xlfn.stockhistory(A20,TODAY()-5,TODAY(),0,0,1),ROWS(_xlfn.stockhistory(A20,TODAY()-5,TODAY(),0,0,1)),1),"")</f>
        <v/>
      </c>
      <c r="I20" s="68" t="str">
        <f aca="false">IF(OR(G20="",H20=""),"",H20/G20-1)</f>
        <v/>
      </c>
      <c r="J20" s="69" t="n">
        <v>46330</v>
      </c>
      <c r="K20" s="63" t="s">
        <v>212</v>
      </c>
      <c r="L20" s="70"/>
      <c r="M20" s="63" t="s">
        <v>212</v>
      </c>
      <c r="N20" s="70"/>
      <c r="O20" s="71" t="n">
        <f aca="true">IF(C20="","",TODAY()-C20)</f>
        <v>50</v>
      </c>
      <c r="P20" s="72" t="str">
        <f aca="true">IF(A20="","",IF(O20&gt;180,"DUE — STALE (&gt;180 days)",IF(J20&lt;&gt;"",IF(ABS(J20-TODAY())&lt;=7,"DUE — EARNINGS WINDOW",IF(I20&lt;&gt;"",IF(ABS(I20)&gt;=0.2,"DUE — PRICE MOVE ±20%",IF(K20="Y","DUE — INSIDER ACTIVITY",IF(I20&lt;&gt;"",IF(ABS(I20)&gt;=0.15,"WATCH — PRICE MOVE ±15%",IF(M20="Y","WATCH — ANALYST SHIFT","Monitor Only")),IF(M20="Y","WATCH — ANALYST SHIFT","Monitor Only")))),IF(K20="Y","DUE — INSIDER ACTIVITY",IF(I20&lt;&gt;"",IF(ABS(I20)&gt;=0.15,"WATCH — PRICE MOVE ±15%",IF(M20="Y","WATCH — ANALYST SHIFT","Monitor Only")),IF(M20="Y","WATCH — ANALYST SHIFT","Monitor Only"))))),IF(I20&lt;&gt;"",IF(ABS(I20)&gt;=0.2,"DUE — PRICE MOVE ±20%",IF(K20="Y","DUE — INSIDER ACTIVITY",IF(I20&lt;&gt;"",IF(ABS(I20)&gt;=0.15,"WATCH — PRICE MOVE ±15%",IF(M20="Y","WATCH — ANALYST SHIFT","Monitor Only")),IF(M20="Y","WATCH — ANALYST SHIFT","Monitor Only")))),IF(K20="Y","DUE — INSIDER ACTIVITY",IF(I20&lt;&gt;"",IF(ABS(I20)&gt;=0.15,"WATCH — PRICE MOVE ±15%",IF(M20="Y","WATCH — ANALYST SHIFT","Monitor Only")),IF(M20="Y","WATCH — ANALYST SHIFT","Monitor Only")))))))</f>
        <v>Monitor Only</v>
      </c>
      <c r="Q20" s="70"/>
    </row>
    <row r="21" customFormat="false" ht="15" hidden="false" customHeight="true" outlineLevel="0" collapsed="false">
      <c r="A21" s="62" t="s">
        <v>232</v>
      </c>
      <c r="B21" s="73" t="s">
        <v>231</v>
      </c>
      <c r="C21" s="64" t="n">
        <v>46245</v>
      </c>
      <c r="D21" s="63" t="n">
        <v>77.4</v>
      </c>
      <c r="E21" s="63" t="n">
        <v>4.14</v>
      </c>
      <c r="F21" s="65" t="s">
        <v>215</v>
      </c>
      <c r="G21" s="66" t="n">
        <v>944.32</v>
      </c>
      <c r="H21" s="67" t="str">
        <f aca="false" t="array" ref="H21:H21">IFERROR(INDEX(_xlfn.stockhistory(A21,TODAY()-5,TODAY(),0,0,1),ROWS(_xlfn.stockhistory(A21,TODAY()-5,TODAY(),0,0,1)),1),"")</f>
        <v/>
      </c>
      <c r="I21" s="68" t="str">
        <f aca="false">IF(OR(G21="",H21=""),"",H21/G21-1)</f>
        <v/>
      </c>
      <c r="J21" s="69" t="n">
        <v>46289</v>
      </c>
      <c r="K21" s="63" t="s">
        <v>212</v>
      </c>
      <c r="L21" s="70"/>
      <c r="M21" s="63" t="s">
        <v>212</v>
      </c>
      <c r="N21" s="70"/>
      <c r="O21" s="71" t="n">
        <f aca="true">IF(C21="","",TODAY()-C21)</f>
        <v>50</v>
      </c>
      <c r="P21" s="72" t="str">
        <f aca="true">IF(A21="","",IF(O21&gt;180,"DUE — STALE (&gt;180 days)",IF(J21&lt;&gt;"",IF(ABS(J21-TODAY())&lt;=7,"DUE — EARNINGS WINDOW",IF(I21&lt;&gt;"",IF(ABS(I21)&gt;=0.2,"DUE — PRICE MOVE ±20%",IF(K21="Y","DUE — INSIDER ACTIVITY",IF(I21&lt;&gt;"",IF(ABS(I21)&gt;=0.15,"WATCH — PRICE MOVE ±15%",IF(M21="Y","WATCH — ANALYST SHIFT","Monitor Only")),IF(M21="Y","WATCH — ANALYST SHIFT","Monitor Only")))),IF(K21="Y","DUE — INSIDER ACTIVITY",IF(I21&lt;&gt;"",IF(ABS(I21)&gt;=0.15,"WATCH — PRICE MOVE ±15%",IF(M21="Y","WATCH — ANALYST SHIFT","Monitor Only")),IF(M21="Y","WATCH — ANALYST SHIFT","Monitor Only"))))),IF(I21&lt;&gt;"",IF(ABS(I21)&gt;=0.2,"DUE — PRICE MOVE ±20%",IF(K21="Y","DUE — INSIDER ACTIVITY",IF(I21&lt;&gt;"",IF(ABS(I21)&gt;=0.15,"WATCH — PRICE MOVE ±15%",IF(M21="Y","WATCH — ANALYST SHIFT","Monitor Only")),IF(M21="Y","WATCH — ANALYST SHIFT","Monitor Only")))),IF(K21="Y","DUE — INSIDER ACTIVITY",IF(I21&lt;&gt;"",IF(ABS(I21)&gt;=0.15,"WATCH — PRICE MOVE ±15%",IF(M21="Y","WATCH — ANALYST SHIFT","Monitor Only")),IF(M21="Y","WATCH — ANALYST SHIFT","Monitor Only")))))))</f>
        <v>DUE — EARNINGS WINDOW</v>
      </c>
      <c r="Q21" s="70"/>
    </row>
    <row r="22" customFormat="false" ht="15" hidden="true" customHeight="true" outlineLevel="1" collapsed="false">
      <c r="A22" s="62" t="s">
        <v>233</v>
      </c>
      <c r="B22" s="74" t="s">
        <v>225</v>
      </c>
      <c r="C22" s="64" t="n">
        <v>46245</v>
      </c>
      <c r="D22" s="63"/>
      <c r="E22" s="63" t="n">
        <v>1.21</v>
      </c>
      <c r="F22" s="65"/>
      <c r="G22" s="66" t="n">
        <v>14.39</v>
      </c>
      <c r="H22" s="67" t="str">
        <f aca="false" t="array" ref="H22:H22">IFERROR(INDEX(_xlfn.stockhistory(A22,TODAY()-5,TODAY(),0,0,1),ROWS(_xlfn.stockhistory(A22,TODAY()-5,TODAY(),0,0,1)),1),"")</f>
        <v/>
      </c>
      <c r="I22" s="68" t="str">
        <f aca="false">IF(OR(G22="",H22=""),"",H22/G22-1)</f>
        <v/>
      </c>
      <c r="J22" s="69" t="n">
        <v>46328</v>
      </c>
      <c r="K22" s="63" t="s">
        <v>212</v>
      </c>
      <c r="L22" s="70"/>
      <c r="M22" s="63" t="s">
        <v>212</v>
      </c>
      <c r="N22" s="70"/>
      <c r="O22" s="71" t="n">
        <f aca="true">IF(C22="","",TODAY()-C22)</f>
        <v>50</v>
      </c>
      <c r="P22" s="72" t="str">
        <f aca="true">IF(A22="","",IF(O22&gt;180,"DUE — STALE (&gt;180 days)",IF(J22&lt;&gt;"",IF(ABS(J22-TODAY())&lt;=7,"DUE — EARNINGS WINDOW",IF(I22&lt;&gt;"",IF(ABS(I22)&gt;=0.2,"DUE — PRICE MOVE ±20%",IF(K22="Y","DUE — INSIDER ACTIVITY",IF(I22&lt;&gt;"",IF(ABS(I22)&gt;=0.15,"WATCH — PRICE MOVE ±15%",IF(M22="Y","WATCH — ANALYST SHIFT","Monitor Only")),IF(M22="Y","WATCH — ANALYST SHIFT","Monitor Only")))),IF(K22="Y","DUE — INSIDER ACTIVITY",IF(I22&lt;&gt;"",IF(ABS(I22)&gt;=0.15,"WATCH — PRICE MOVE ±15%",IF(M22="Y","WATCH — ANALYST SHIFT","Monitor Only")),IF(M22="Y","WATCH — ANALYST SHIFT","Monitor Only"))))),IF(I22&lt;&gt;"",IF(ABS(I22)&gt;=0.2,"DUE — PRICE MOVE ±20%",IF(K22="Y","DUE — INSIDER ACTIVITY",IF(I22&lt;&gt;"",IF(ABS(I22)&gt;=0.15,"WATCH — PRICE MOVE ±15%",IF(M22="Y","WATCH — ANALYST SHIFT","Monitor Only")),IF(M22="Y","WATCH — ANALYST SHIFT","Monitor Only")))),IF(K22="Y","DUE — INSIDER ACTIVITY",IF(I22&lt;&gt;"",IF(ABS(I22)&gt;=0.15,"WATCH — PRICE MOVE ±15%",IF(M22="Y","WATCH — ANALYST SHIFT","Monitor Only")),IF(M22="Y","WATCH — ANALYST SHIFT","Monitor Only")))))))</f>
        <v>Monitor Only</v>
      </c>
      <c r="Q22" s="70"/>
    </row>
    <row r="23" customFormat="false" ht="15" hidden="true" customHeight="true" outlineLevel="1" collapsed="false">
      <c r="A23" s="62" t="s">
        <v>234</v>
      </c>
      <c r="B23" s="74" t="s">
        <v>225</v>
      </c>
      <c r="C23" s="64" t="n">
        <v>46245</v>
      </c>
      <c r="D23" s="63"/>
      <c r="E23" s="63" t="n">
        <v>2.36</v>
      </c>
      <c r="F23" s="65"/>
      <c r="G23" s="66" t="n">
        <v>94.94</v>
      </c>
      <c r="H23" s="67" t="str">
        <f aca="false" t="array" ref="H23:H23">IFERROR(INDEX(_xlfn.stockhistory(A23,TODAY()-5,TODAY(),0,0,1),ROWS(_xlfn.stockhistory(A23,TODAY()-5,TODAY(),0,0,1)),1),"")</f>
        <v/>
      </c>
      <c r="I23" s="68" t="str">
        <f aca="false">IF(OR(G23="",H23=""),"",H23/G23-1)</f>
        <v/>
      </c>
      <c r="J23" s="69" t="n">
        <v>46240</v>
      </c>
      <c r="K23" s="63" t="s">
        <v>212</v>
      </c>
      <c r="L23" s="70"/>
      <c r="M23" s="63" t="s">
        <v>212</v>
      </c>
      <c r="N23" s="70"/>
      <c r="O23" s="71" t="n">
        <f aca="true">IF(C23="","",TODAY()-C23)</f>
        <v>50</v>
      </c>
      <c r="P23" s="72" t="str">
        <f aca="true">IF(A23="","",IF(O23&gt;180,"DUE — STALE (&gt;180 days)",IF(J23&lt;&gt;"",IF(ABS(J23-TODAY())&lt;=7,"DUE — EARNINGS WINDOW",IF(I23&lt;&gt;"",IF(ABS(I23)&gt;=0.2,"DUE — PRICE MOVE ±20%",IF(K23="Y","DUE — INSIDER ACTIVITY",IF(I23&lt;&gt;"",IF(ABS(I23)&gt;=0.15,"WATCH — PRICE MOVE ±15%",IF(M23="Y","WATCH — ANALYST SHIFT","Monitor Only")),IF(M23="Y","WATCH — ANALYST SHIFT","Monitor Only")))),IF(K23="Y","DUE — INSIDER ACTIVITY",IF(I23&lt;&gt;"",IF(ABS(I23)&gt;=0.15,"WATCH — PRICE MOVE ±15%",IF(M23="Y","WATCH — ANALYST SHIFT","Monitor Only")),IF(M23="Y","WATCH — ANALYST SHIFT","Monitor Only"))))),IF(I23&lt;&gt;"",IF(ABS(I23)&gt;=0.2,"DUE — PRICE MOVE ±20%",IF(K23="Y","DUE — INSIDER ACTIVITY",IF(I23&lt;&gt;"",IF(ABS(I23)&gt;=0.15,"WATCH — PRICE MOVE ±15%",IF(M23="Y","WATCH — ANALYST SHIFT","Monitor Only")),IF(M23="Y","WATCH — ANALYST SHIFT","Monitor Only")))),IF(K23="Y","DUE — INSIDER ACTIVITY",IF(I23&lt;&gt;"",IF(ABS(I23)&gt;=0.15,"WATCH — PRICE MOVE ±15%",IF(M23="Y","WATCH — ANALYST SHIFT","Monitor Only")),IF(M23="Y","WATCH — ANALYST SHIFT","Monitor Only")))))))</f>
        <v>Monitor Only</v>
      </c>
      <c r="Q23" s="70"/>
    </row>
    <row r="24" customFormat="false" ht="15" hidden="true" customHeight="true" outlineLevel="1" collapsed="false">
      <c r="A24" s="62" t="s">
        <v>235</v>
      </c>
      <c r="B24" s="74" t="s">
        <v>225</v>
      </c>
      <c r="C24" s="64" t="n">
        <v>46258</v>
      </c>
      <c r="D24" s="63"/>
      <c r="E24" s="63" t="n">
        <v>2.93</v>
      </c>
      <c r="F24" s="65"/>
      <c r="G24" s="66" t="n">
        <v>110.61</v>
      </c>
      <c r="H24" s="67" t="str">
        <f aca="false" t="array" ref="H24:H24">IFERROR(INDEX(_xlfn.stockhistory(A24,TODAY()-5,TODAY(),0,0,1),ROWS(_xlfn.stockhistory(A24,TODAY()-5,TODAY(),0,0,1)),1),"")</f>
        <v/>
      </c>
      <c r="I24" s="68" t="str">
        <f aca="false">IF(OR(G24="",H24=""),"",H24/G24-1)</f>
        <v/>
      </c>
      <c r="J24" s="69" t="n">
        <v>46338</v>
      </c>
      <c r="K24" s="63" t="s">
        <v>213</v>
      </c>
      <c r="L24" s="70" t="s">
        <v>236</v>
      </c>
      <c r="M24" s="63" t="s">
        <v>212</v>
      </c>
      <c r="N24" s="70"/>
      <c r="O24" s="71" t="n">
        <f aca="true">IF(C24="","",TODAY()-C24)</f>
        <v>37</v>
      </c>
      <c r="P24" s="72" t="str">
        <f aca="true">IF(A24="","",IF(O24&gt;180,"DUE — STALE (&gt;180 days)",IF(J24&lt;&gt;"",IF(ABS(J24-TODAY())&lt;=7,"DUE — EARNINGS WINDOW",IF(I24&lt;&gt;"",IF(ABS(I24)&gt;=0.2,"DUE — PRICE MOVE ±20%",IF(K24="Y","DUE — INSIDER ACTIVITY",IF(I24&lt;&gt;"",IF(ABS(I24)&gt;=0.15,"WATCH — PRICE MOVE ±15%",IF(M24="Y","WATCH — ANALYST SHIFT","Monitor Only")),IF(M24="Y","WATCH — ANALYST SHIFT","Monitor Only")))),IF(K24="Y","DUE — INSIDER ACTIVITY",IF(I24&lt;&gt;"",IF(ABS(I24)&gt;=0.15,"WATCH — PRICE MOVE ±15%",IF(M24="Y","WATCH — ANALYST SHIFT","Monitor Only")),IF(M24="Y","WATCH — ANALYST SHIFT","Monitor Only"))))),IF(I24&lt;&gt;"",IF(ABS(I24)&gt;=0.2,"DUE — PRICE MOVE ±20%",IF(K24="Y","DUE — INSIDER ACTIVITY",IF(I24&lt;&gt;"",IF(ABS(I24)&gt;=0.15,"WATCH — PRICE MOVE ±15%",IF(M24="Y","WATCH — ANALYST SHIFT","Monitor Only")),IF(M24="Y","WATCH — ANALYST SHIFT","Monitor Only")))),IF(K24="Y","DUE — INSIDER ACTIVITY",IF(I24&lt;&gt;"",IF(ABS(I24)&gt;=0.15,"WATCH — PRICE MOVE ±15%",IF(M24="Y","WATCH — ANALYST SHIFT","Monitor Only")),IF(M24="Y","WATCH — ANALYST SHIFT","Monitor Only")))))))</f>
        <v>DUE — INSIDER ACTIVITY</v>
      </c>
      <c r="Q24" s="70"/>
    </row>
    <row r="25" customFormat="false" ht="15" hidden="false" customHeight="true" outlineLevel="0" collapsed="false">
      <c r="A25" s="62" t="s">
        <v>237</v>
      </c>
      <c r="B25" s="73" t="s">
        <v>231</v>
      </c>
      <c r="C25" s="64" t="n">
        <v>46245</v>
      </c>
      <c r="D25" s="63"/>
      <c r="E25" s="63" t="n">
        <v>4.86</v>
      </c>
      <c r="F25" s="65"/>
      <c r="G25" s="66" t="n">
        <v>357.34</v>
      </c>
      <c r="H25" s="67" t="str">
        <f aca="false" t="array" ref="H25:H25">IFERROR(INDEX(_xlfn.stockhistory(A25,TODAY()-5,TODAY(),0,0,1),ROWS(_xlfn.stockhistory(A25,TODAY()-5,TODAY(),0,0,1)),1),"")</f>
        <v/>
      </c>
      <c r="I25" s="68" t="str">
        <f aca="false">IF(OR(G25="",H25=""),"",H25/G25-1)</f>
        <v/>
      </c>
      <c r="J25" s="69" t="n">
        <v>46308</v>
      </c>
      <c r="K25" s="63" t="s">
        <v>212</v>
      </c>
      <c r="L25" s="70"/>
      <c r="M25" s="63" t="s">
        <v>212</v>
      </c>
      <c r="N25" s="70"/>
      <c r="O25" s="71" t="n">
        <f aca="true">IF(C25="","",TODAY()-C25)</f>
        <v>50</v>
      </c>
      <c r="P25" s="72" t="str">
        <f aca="true">IF(A25="","",IF(O25&gt;180,"DUE — STALE (&gt;180 days)",IF(J25&lt;&gt;"",IF(ABS(J25-TODAY())&lt;=7,"DUE — EARNINGS WINDOW",IF(I25&lt;&gt;"",IF(ABS(I25)&gt;=0.2,"DUE — PRICE MOVE ±20%",IF(K25="Y","DUE — INSIDER ACTIVITY",IF(I25&lt;&gt;"",IF(ABS(I25)&gt;=0.15,"WATCH — PRICE MOVE ±15%",IF(M25="Y","WATCH — ANALYST SHIFT","Monitor Only")),IF(M25="Y","WATCH — ANALYST SHIFT","Monitor Only")))),IF(K25="Y","DUE — INSIDER ACTIVITY",IF(I25&lt;&gt;"",IF(ABS(I25)&gt;=0.15,"WATCH — PRICE MOVE ±15%",IF(M25="Y","WATCH — ANALYST SHIFT","Monitor Only")),IF(M25="Y","WATCH — ANALYST SHIFT","Monitor Only"))))),IF(I25&lt;&gt;"",IF(ABS(I25)&gt;=0.2,"DUE — PRICE MOVE ±20%",IF(K25="Y","DUE — INSIDER ACTIVITY",IF(I25&lt;&gt;"",IF(ABS(I25)&gt;=0.15,"WATCH — PRICE MOVE ±15%",IF(M25="Y","WATCH — ANALYST SHIFT","Monitor Only")),IF(M25="Y","WATCH — ANALYST SHIFT","Monitor Only")))),IF(K25="Y","DUE — INSIDER ACTIVITY",IF(I25&lt;&gt;"",IF(ABS(I25)&gt;=0.15,"WATCH — PRICE MOVE ±15%",IF(M25="Y","WATCH — ANALYST SHIFT","Monitor Only")),IF(M25="Y","WATCH — ANALYST SHIFT","Monitor Only")))))))</f>
        <v>Monitor Only</v>
      </c>
      <c r="Q25" s="70"/>
    </row>
    <row r="26" customFormat="false" ht="15" hidden="true" customHeight="true" outlineLevel="1" collapsed="false">
      <c r="A26" s="62" t="s">
        <v>238</v>
      </c>
      <c r="B26" s="74" t="s">
        <v>225</v>
      </c>
      <c r="C26" s="64" t="n">
        <v>46245</v>
      </c>
      <c r="D26" s="63"/>
      <c r="E26" s="63" t="n">
        <v>2.14</v>
      </c>
      <c r="F26" s="65"/>
      <c r="G26" s="66" t="n">
        <v>87.78</v>
      </c>
      <c r="H26" s="67" t="str">
        <f aca="false" t="array" ref="H26:H26">IFERROR(INDEX(_xlfn.stockhistory(A26,TODAY()-5,TODAY(),0,0,1),ROWS(_xlfn.stockhistory(A26,TODAY()-5,TODAY(),0,0,1)),1),"")</f>
        <v/>
      </c>
      <c r="I26" s="68" t="str">
        <f aca="false">IF(OR(G26="",H26=""),"",H26/G26-1)</f>
        <v/>
      </c>
      <c r="J26" s="69" t="n">
        <v>46328</v>
      </c>
      <c r="K26" s="63" t="s">
        <v>213</v>
      </c>
      <c r="L26" s="70" t="s">
        <v>239</v>
      </c>
      <c r="M26" s="63" t="s">
        <v>212</v>
      </c>
      <c r="N26" s="70"/>
      <c r="O26" s="71" t="n">
        <f aca="true">IF(C26="","",TODAY()-C26)</f>
        <v>50</v>
      </c>
      <c r="P26" s="72" t="str">
        <f aca="true">IF(A26="","",IF(O26&gt;180,"DUE — STALE (&gt;180 days)",IF(J26&lt;&gt;"",IF(ABS(J26-TODAY())&lt;=7,"DUE — EARNINGS WINDOW",IF(I26&lt;&gt;"",IF(ABS(I26)&gt;=0.2,"DUE — PRICE MOVE ±20%",IF(K26="Y","DUE — INSIDER ACTIVITY",IF(I26&lt;&gt;"",IF(ABS(I26)&gt;=0.15,"WATCH — PRICE MOVE ±15%",IF(M26="Y","WATCH — ANALYST SHIFT","Monitor Only")),IF(M26="Y","WATCH — ANALYST SHIFT","Monitor Only")))),IF(K26="Y","DUE — INSIDER ACTIVITY",IF(I26&lt;&gt;"",IF(ABS(I26)&gt;=0.15,"WATCH — PRICE MOVE ±15%",IF(M26="Y","WATCH — ANALYST SHIFT","Monitor Only")),IF(M26="Y","WATCH — ANALYST SHIFT","Monitor Only"))))),IF(I26&lt;&gt;"",IF(ABS(I26)&gt;=0.2,"DUE — PRICE MOVE ±20%",IF(K26="Y","DUE — INSIDER ACTIVITY",IF(I26&lt;&gt;"",IF(ABS(I26)&gt;=0.15,"WATCH — PRICE MOVE ±15%",IF(M26="Y","WATCH — ANALYST SHIFT","Monitor Only")),IF(M26="Y","WATCH — ANALYST SHIFT","Monitor Only")))),IF(K26="Y","DUE — INSIDER ACTIVITY",IF(I26&lt;&gt;"",IF(ABS(I26)&gt;=0.15,"WATCH — PRICE MOVE ±15%",IF(M26="Y","WATCH — ANALYST SHIFT","Monitor Only")),IF(M26="Y","WATCH — ANALYST SHIFT","Monitor Only")))))))</f>
        <v>DUE — INSIDER ACTIVITY</v>
      </c>
      <c r="Q26" s="70"/>
    </row>
    <row r="27" customFormat="false" ht="15" hidden="false" customHeight="true" outlineLevel="0" collapsed="false">
      <c r="A27" s="62" t="s">
        <v>240</v>
      </c>
      <c r="B27" s="73" t="s">
        <v>231</v>
      </c>
      <c r="C27" s="64" t="n">
        <v>46276</v>
      </c>
      <c r="D27" s="63"/>
      <c r="E27" s="63" t="n">
        <v>3.07</v>
      </c>
      <c r="F27" s="65"/>
      <c r="G27" s="66" t="n">
        <v>20.78</v>
      </c>
      <c r="H27" s="67" t="str">
        <f aca="false" t="array" ref="H27:H27">IFERROR(INDEX(_xlfn.stockhistory(A27,TODAY()-5,TODAY(),0,0,1),ROWS(_xlfn.stockhistory(A27,TODAY()-5,TODAY(),0,0,1)),1),"")</f>
        <v/>
      </c>
      <c r="I27" s="68" t="str">
        <f aca="false">IF(OR(G27="",H27=""),"",H27/G27-1)</f>
        <v/>
      </c>
      <c r="J27" s="69" t="n">
        <v>46330</v>
      </c>
      <c r="K27" s="63" t="s">
        <v>213</v>
      </c>
      <c r="L27" s="70" t="s">
        <v>241</v>
      </c>
      <c r="M27" s="63" t="s">
        <v>212</v>
      </c>
      <c r="N27" s="70"/>
      <c r="O27" s="71" t="n">
        <f aca="true">IF(C27="","",TODAY()-C27)</f>
        <v>19</v>
      </c>
      <c r="P27" s="72" t="str">
        <f aca="true">IF(A27="","",IF(O27&gt;180,"DUE — STALE (&gt;180 days)",IF(J27&lt;&gt;"",IF(ABS(J27-TODAY())&lt;=7,"DUE — EARNINGS WINDOW",IF(I27&lt;&gt;"",IF(ABS(I27)&gt;=0.2,"DUE — PRICE MOVE ±20%",IF(K27="Y","DUE — INSIDER ACTIVITY",IF(I27&lt;&gt;"",IF(ABS(I27)&gt;=0.15,"WATCH — PRICE MOVE ±15%",IF(M27="Y","WATCH — ANALYST SHIFT","Monitor Only")),IF(M27="Y","WATCH — ANALYST SHIFT","Monitor Only")))),IF(K27="Y","DUE — INSIDER ACTIVITY",IF(I27&lt;&gt;"",IF(ABS(I27)&gt;=0.15,"WATCH — PRICE MOVE ±15%",IF(M27="Y","WATCH — ANALYST SHIFT","Monitor Only")),IF(M27="Y","WATCH — ANALYST SHIFT","Monitor Only"))))),IF(I27&lt;&gt;"",IF(ABS(I27)&gt;=0.2,"DUE — PRICE MOVE ±20%",IF(K27="Y","DUE — INSIDER ACTIVITY",IF(I27&lt;&gt;"",IF(ABS(I27)&gt;=0.15,"WATCH — PRICE MOVE ±15%",IF(M27="Y","WATCH — ANALYST SHIFT","Monitor Only")),IF(M27="Y","WATCH — ANALYST SHIFT","Monitor Only")))),IF(K27="Y","DUE — INSIDER ACTIVITY",IF(I27&lt;&gt;"",IF(ABS(I27)&gt;=0.15,"WATCH — PRICE MOVE ±15%",IF(M27="Y","WATCH — ANALYST SHIFT","Monitor Only")),IF(M27="Y","WATCH — ANALYST SHIFT","Monitor Only")))))))</f>
        <v>DUE — INSIDER ACTIVITY</v>
      </c>
      <c r="Q27" s="70"/>
    </row>
    <row r="28" customFormat="false" ht="15" hidden="false" customHeight="true" outlineLevel="0" collapsed="false">
      <c r="A28" s="62" t="s">
        <v>242</v>
      </c>
      <c r="B28" s="73" t="s">
        <v>231</v>
      </c>
      <c r="C28" s="64" t="n">
        <v>46247</v>
      </c>
      <c r="D28" s="63"/>
      <c r="E28" s="63" t="n">
        <v>3.5</v>
      </c>
      <c r="F28" s="65"/>
      <c r="G28" s="66" t="n">
        <v>453.33</v>
      </c>
      <c r="H28" s="67" t="str">
        <f aca="false" t="array" ref="H28:H28">IFERROR(INDEX(_xlfn.stockhistory(A28,TODAY()-5,TODAY(),0,0,1),ROWS(_xlfn.stockhistory(A28,TODAY()-5,TODAY(),0,0,1)),1),"")</f>
        <v/>
      </c>
      <c r="I28" s="68" t="str">
        <f aca="false">IF(OR(G28="",H28=""),"",H28/G28-1)</f>
        <v/>
      </c>
      <c r="J28" s="69" t="n">
        <v>46329</v>
      </c>
      <c r="K28" s="63" t="s">
        <v>213</v>
      </c>
      <c r="L28" s="70" t="s">
        <v>243</v>
      </c>
      <c r="M28" s="63" t="s">
        <v>212</v>
      </c>
      <c r="N28" s="70"/>
      <c r="O28" s="71" t="n">
        <f aca="true">IF(C28="","",TODAY()-C28)</f>
        <v>48</v>
      </c>
      <c r="P28" s="72" t="str">
        <f aca="true">IF(A28="","",IF(O28&gt;180,"DUE — STALE (&gt;180 days)",IF(J28&lt;&gt;"",IF(ABS(J28-TODAY())&lt;=7,"DUE — EARNINGS WINDOW",IF(I28&lt;&gt;"",IF(ABS(I28)&gt;=0.2,"DUE — PRICE MOVE ±20%",IF(K28="Y","DUE — INSIDER ACTIVITY",IF(I28&lt;&gt;"",IF(ABS(I28)&gt;=0.15,"WATCH — PRICE MOVE ±15%",IF(M28="Y","WATCH — ANALYST SHIFT","Monitor Only")),IF(M28="Y","WATCH — ANALYST SHIFT","Monitor Only")))),IF(K28="Y","DUE — INSIDER ACTIVITY",IF(I28&lt;&gt;"",IF(ABS(I28)&gt;=0.15,"WATCH — PRICE MOVE ±15%",IF(M28="Y","WATCH — ANALYST SHIFT","Monitor Only")),IF(M28="Y","WATCH — ANALYST SHIFT","Monitor Only"))))),IF(I28&lt;&gt;"",IF(ABS(I28)&gt;=0.2,"DUE — PRICE MOVE ±20%",IF(K28="Y","DUE — INSIDER ACTIVITY",IF(I28&lt;&gt;"",IF(ABS(I28)&gt;=0.15,"WATCH — PRICE MOVE ±15%",IF(M28="Y","WATCH — ANALYST SHIFT","Monitor Only")),IF(M28="Y","WATCH — ANALYST SHIFT","Monitor Only")))),IF(K28="Y","DUE — INSIDER ACTIVITY",IF(I28&lt;&gt;"",IF(ABS(I28)&gt;=0.15,"WATCH — PRICE MOVE ±15%",IF(M28="Y","WATCH — ANALYST SHIFT","Monitor Only")),IF(M28="Y","WATCH — ANALYST SHIFT","Monitor Only")))))))</f>
        <v>DUE — INSIDER ACTIVITY</v>
      </c>
      <c r="Q28" s="70"/>
    </row>
    <row r="29" customFormat="false" ht="15" hidden="false" customHeight="true" outlineLevel="0" collapsed="false">
      <c r="A29" s="62" t="s">
        <v>244</v>
      </c>
      <c r="B29" s="73" t="s">
        <v>231</v>
      </c>
      <c r="C29" s="64" t="n">
        <v>46246</v>
      </c>
      <c r="D29" s="63"/>
      <c r="E29" s="63" t="n">
        <v>3.43</v>
      </c>
      <c r="F29" s="65"/>
      <c r="G29" s="66" t="n">
        <v>79.63</v>
      </c>
      <c r="H29" s="67" t="str">
        <f aca="false" t="array" ref="H29:H29">IFERROR(INDEX(_xlfn.stockhistory(A29,TODAY()-5,TODAY(),0,0,1),ROWS(_xlfn.stockhistory(A29,TODAY()-5,TODAY(),0,0,1)),1),"")</f>
        <v/>
      </c>
      <c r="I29" s="68" t="str">
        <f aca="false">IF(OR(G29="",H29=""),"",H29/G29-1)</f>
        <v/>
      </c>
      <c r="J29" s="69" t="n">
        <v>46330</v>
      </c>
      <c r="K29" s="63" t="s">
        <v>213</v>
      </c>
      <c r="L29" s="70" t="s">
        <v>245</v>
      </c>
      <c r="M29" s="63" t="s">
        <v>212</v>
      </c>
      <c r="N29" s="70"/>
      <c r="O29" s="71" t="n">
        <f aca="true">IF(C29="","",TODAY()-C29)</f>
        <v>49</v>
      </c>
      <c r="P29" s="72" t="str">
        <f aca="true">IF(A29="","",IF(O29&gt;180,"DUE — STALE (&gt;180 days)",IF(J29&lt;&gt;"",IF(ABS(J29-TODAY())&lt;=7,"DUE — EARNINGS WINDOW",IF(I29&lt;&gt;"",IF(ABS(I29)&gt;=0.2,"DUE — PRICE MOVE ±20%",IF(K29="Y","DUE — INSIDER ACTIVITY",IF(I29&lt;&gt;"",IF(ABS(I29)&gt;=0.15,"WATCH — PRICE MOVE ±15%",IF(M29="Y","WATCH — ANALYST SHIFT","Monitor Only")),IF(M29="Y","WATCH — ANALYST SHIFT","Monitor Only")))),IF(K29="Y","DUE — INSIDER ACTIVITY",IF(I29&lt;&gt;"",IF(ABS(I29)&gt;=0.15,"WATCH — PRICE MOVE ±15%",IF(M29="Y","WATCH — ANALYST SHIFT","Monitor Only")),IF(M29="Y","WATCH — ANALYST SHIFT","Monitor Only"))))),IF(I29&lt;&gt;"",IF(ABS(I29)&gt;=0.2,"DUE — PRICE MOVE ±20%",IF(K29="Y","DUE — INSIDER ACTIVITY",IF(I29&lt;&gt;"",IF(ABS(I29)&gt;=0.15,"WATCH — PRICE MOVE ±15%",IF(M29="Y","WATCH — ANALYST SHIFT","Monitor Only")),IF(M29="Y","WATCH — ANALYST SHIFT","Monitor Only")))),IF(K29="Y","DUE — INSIDER ACTIVITY",IF(I29&lt;&gt;"",IF(ABS(I29)&gt;=0.15,"WATCH — PRICE MOVE ±15%",IF(M29="Y","WATCH — ANALYST SHIFT","Monitor Only")),IF(M29="Y","WATCH — ANALYST SHIFT","Monitor Only")))))))</f>
        <v>DUE — INSIDER ACTIVITY</v>
      </c>
      <c r="Q29" s="70"/>
    </row>
    <row r="30" customFormat="false" ht="15" hidden="false" customHeight="true" outlineLevel="0" collapsed="false">
      <c r="A30" s="62" t="s">
        <v>140</v>
      </c>
      <c r="B30" s="73" t="s">
        <v>210</v>
      </c>
      <c r="C30" s="64" t="n">
        <v>46247</v>
      </c>
      <c r="D30" s="63"/>
      <c r="E30" s="63" t="n">
        <v>3.86</v>
      </c>
      <c r="F30" s="65"/>
      <c r="G30" s="66" t="n">
        <v>360.64</v>
      </c>
      <c r="H30" s="67" t="str">
        <f aca="false" t="array" ref="H30:H30">IFERROR(INDEX(_xlfn.stockhistory(A30,TODAY()-5,TODAY(),0,0,1),ROWS(_xlfn.stockhistory(A30,TODAY()-5,TODAY(),0,0,1)),1),"")</f>
        <v/>
      </c>
      <c r="I30" s="68" t="str">
        <f aca="false">IF(OR(G30="",H30=""),"",H30/G30-1)</f>
        <v/>
      </c>
      <c r="J30" s="69" t="n">
        <v>46315</v>
      </c>
      <c r="K30" s="63" t="s">
        <v>213</v>
      </c>
      <c r="L30" s="70" t="s">
        <v>246</v>
      </c>
      <c r="M30" s="63" t="s">
        <v>212</v>
      </c>
      <c r="N30" s="70"/>
      <c r="O30" s="71" t="n">
        <f aca="true">IF(C30="","",TODAY()-C30)</f>
        <v>48</v>
      </c>
      <c r="P30" s="72" t="str">
        <f aca="true">IF(A30="","",IF(O30&gt;180,"DUE — STALE (&gt;180 days)",IF(J30&lt;&gt;"",IF(ABS(J30-TODAY())&lt;=7,"DUE — EARNINGS WINDOW",IF(I30&lt;&gt;"",IF(ABS(I30)&gt;=0.2,"DUE — PRICE MOVE ±20%",IF(K30="Y","DUE — INSIDER ACTIVITY",IF(I30&lt;&gt;"",IF(ABS(I30)&gt;=0.15,"WATCH — PRICE MOVE ±15%",IF(M30="Y","WATCH — ANALYST SHIFT","Monitor Only")),IF(M30="Y","WATCH — ANALYST SHIFT","Monitor Only")))),IF(K30="Y","DUE — INSIDER ACTIVITY",IF(I30&lt;&gt;"",IF(ABS(I30)&gt;=0.15,"WATCH — PRICE MOVE ±15%",IF(M30="Y","WATCH — ANALYST SHIFT","Monitor Only")),IF(M30="Y","WATCH — ANALYST SHIFT","Monitor Only"))))),IF(I30&lt;&gt;"",IF(ABS(I30)&gt;=0.2,"DUE — PRICE MOVE ±20%",IF(K30="Y","DUE — INSIDER ACTIVITY",IF(I30&lt;&gt;"",IF(ABS(I30)&gt;=0.15,"WATCH — PRICE MOVE ±15%",IF(M30="Y","WATCH — ANALYST SHIFT","Monitor Only")),IF(M30="Y","WATCH — ANALYST SHIFT","Monitor Only")))),IF(K30="Y","DUE — INSIDER ACTIVITY",IF(I30&lt;&gt;"",IF(ABS(I30)&gt;=0.15,"WATCH — PRICE MOVE ±15%",IF(M30="Y","WATCH — ANALYST SHIFT","Monitor Only")),IF(M30="Y","WATCH — ANALYST SHIFT","Monitor Only")))))))</f>
        <v>DUE — INSIDER ACTIVITY</v>
      </c>
      <c r="Q30" s="70"/>
    </row>
    <row r="31" customFormat="false" ht="15" hidden="true" customHeight="true" outlineLevel="1" collapsed="false">
      <c r="A31" s="62" t="s">
        <v>247</v>
      </c>
      <c r="B31" s="74" t="s">
        <v>225</v>
      </c>
      <c r="C31" s="64" t="n">
        <v>46246</v>
      </c>
      <c r="D31" s="63"/>
      <c r="E31" s="63" t="n">
        <v>2.5</v>
      </c>
      <c r="F31" s="65"/>
      <c r="G31" s="66" t="n">
        <v>8.64</v>
      </c>
      <c r="H31" s="67" t="str">
        <f aca="false" t="array" ref="H31:H31">IFERROR(INDEX(_xlfn.stockhistory(A31,TODAY()-5,TODAY(),0,0,1),ROWS(_xlfn.stockhistory(A31,TODAY()-5,TODAY(),0,0,1)),1),"")</f>
        <v/>
      </c>
      <c r="I31" s="68" t="str">
        <f aca="false">IF(OR(G31="",H31=""),"",H31/G31-1)</f>
        <v/>
      </c>
      <c r="J31" s="69" t="n">
        <v>46331</v>
      </c>
      <c r="K31" s="63" t="s">
        <v>212</v>
      </c>
      <c r="L31" s="70"/>
      <c r="M31" s="63"/>
      <c r="N31" s="70"/>
      <c r="O31" s="71" t="n">
        <f aca="true">IF(C31="","",TODAY()-C31)</f>
        <v>49</v>
      </c>
      <c r="P31" s="72" t="str">
        <f aca="true">IF(A31="","",IF(O31&gt;180,"DUE — STALE (&gt;180 days)",IF(J31&lt;&gt;"",IF(ABS(J31-TODAY())&lt;=7,"DUE — EARNINGS WINDOW",IF(I31&lt;&gt;"",IF(ABS(I31)&gt;=0.2,"DUE — PRICE MOVE ±20%",IF(K31="Y","DUE — INSIDER ACTIVITY",IF(I31&lt;&gt;"",IF(ABS(I31)&gt;=0.15,"WATCH — PRICE MOVE ±15%",IF(M31="Y","WATCH — ANALYST SHIFT","Monitor Only")),IF(M31="Y","WATCH — ANALYST SHIFT","Monitor Only")))),IF(K31="Y","DUE — INSIDER ACTIVITY",IF(I31&lt;&gt;"",IF(ABS(I31)&gt;=0.15,"WATCH — PRICE MOVE ±15%",IF(M31="Y","WATCH — ANALYST SHIFT","Monitor Only")),IF(M31="Y","WATCH — ANALYST SHIFT","Monitor Only"))))),IF(I31&lt;&gt;"",IF(ABS(I31)&gt;=0.2,"DUE — PRICE MOVE ±20%",IF(K31="Y","DUE — INSIDER ACTIVITY",IF(I31&lt;&gt;"",IF(ABS(I31)&gt;=0.15,"WATCH — PRICE MOVE ±15%",IF(M31="Y","WATCH — ANALYST SHIFT","Monitor Only")),IF(M31="Y","WATCH — ANALYST SHIFT","Monitor Only")))),IF(K31="Y","DUE — INSIDER ACTIVITY",IF(I31&lt;&gt;"",IF(ABS(I31)&gt;=0.15,"WATCH — PRICE MOVE ±15%",IF(M31="Y","WATCH — ANALYST SHIFT","Monitor Only")),IF(M31="Y","WATCH — ANALYST SHIFT","Monitor Only")))))))</f>
        <v>Monitor Only</v>
      </c>
      <c r="Q31" s="70"/>
    </row>
    <row r="32" customFormat="false" ht="15" hidden="true" customHeight="true" outlineLevel="1" collapsed="false">
      <c r="A32" s="62" t="s">
        <v>248</v>
      </c>
      <c r="B32" s="74" t="s">
        <v>225</v>
      </c>
      <c r="C32" s="64" t="n">
        <v>46245</v>
      </c>
      <c r="D32" s="63"/>
      <c r="E32" s="63" t="n">
        <v>1.93</v>
      </c>
      <c r="F32" s="65"/>
      <c r="G32" s="66" t="n">
        <v>24.3</v>
      </c>
      <c r="H32" s="67" t="str">
        <f aca="false" t="array" ref="H32:H32">IFERROR(INDEX(_xlfn.stockhistory(A32,TODAY()-5,TODAY(),0,0,1),ROWS(_xlfn.stockhistory(A32,TODAY()-5,TODAY(),0,0,1)),1),"")</f>
        <v/>
      </c>
      <c r="I32" s="68" t="str">
        <f aca="false">IF(OR(G32="",H32=""),"",H32/G32-1)</f>
        <v/>
      </c>
      <c r="J32" s="69" t="n">
        <v>46261</v>
      </c>
      <c r="K32" s="63" t="s">
        <v>212</v>
      </c>
      <c r="L32" s="70"/>
      <c r="M32" s="63" t="s">
        <v>212</v>
      </c>
      <c r="N32" s="70"/>
      <c r="O32" s="71" t="n">
        <f aca="true">IF(C32="","",TODAY()-C32)</f>
        <v>50</v>
      </c>
      <c r="P32" s="72" t="str">
        <f aca="true">IF(A32="","",IF(O32&gt;180,"DUE — STALE (&gt;180 days)",IF(J32&lt;&gt;"",IF(ABS(J32-TODAY())&lt;=7,"DUE — EARNINGS WINDOW",IF(I32&lt;&gt;"",IF(ABS(I32)&gt;=0.2,"DUE — PRICE MOVE ±20%",IF(K32="Y","DUE — INSIDER ACTIVITY",IF(I32&lt;&gt;"",IF(ABS(I32)&gt;=0.15,"WATCH — PRICE MOVE ±15%",IF(M32="Y","WATCH — ANALYST SHIFT","Monitor Only")),IF(M32="Y","WATCH — ANALYST SHIFT","Monitor Only")))),IF(K32="Y","DUE — INSIDER ACTIVITY",IF(I32&lt;&gt;"",IF(ABS(I32)&gt;=0.15,"WATCH — PRICE MOVE ±15%",IF(M32="Y","WATCH — ANALYST SHIFT","Monitor Only")),IF(M32="Y","WATCH — ANALYST SHIFT","Monitor Only"))))),IF(I32&lt;&gt;"",IF(ABS(I32)&gt;=0.2,"DUE — PRICE MOVE ±20%",IF(K32="Y","DUE — INSIDER ACTIVITY",IF(I32&lt;&gt;"",IF(ABS(I32)&gt;=0.15,"WATCH — PRICE MOVE ±15%",IF(M32="Y","WATCH — ANALYST SHIFT","Monitor Only")),IF(M32="Y","WATCH — ANALYST SHIFT","Monitor Only")))),IF(K32="Y","DUE — INSIDER ACTIVITY",IF(I32&lt;&gt;"",IF(ABS(I32)&gt;=0.15,"WATCH — PRICE MOVE ±15%",IF(M32="Y","WATCH — ANALYST SHIFT","Monitor Only")),IF(M32="Y","WATCH — ANALYST SHIFT","Monitor Only")))))))</f>
        <v>Monitor Only</v>
      </c>
      <c r="Q32" s="70"/>
    </row>
    <row r="33" customFormat="false" ht="15" hidden="true" customHeight="true" outlineLevel="1" collapsed="false">
      <c r="A33" s="62" t="s">
        <v>249</v>
      </c>
      <c r="B33" s="74" t="s">
        <v>225</v>
      </c>
      <c r="C33" s="64" t="n">
        <v>46245</v>
      </c>
      <c r="D33" s="63"/>
      <c r="E33" s="63" t="n">
        <v>2.07</v>
      </c>
      <c r="F33" s="65"/>
      <c r="G33" s="66" t="n">
        <v>21.48</v>
      </c>
      <c r="H33" s="67" t="str">
        <f aca="false" t="array" ref="H33:H33">IFERROR(INDEX(_xlfn.stockhistory(A33,TODAY()-5,TODAY(),0,0,1),ROWS(_xlfn.stockhistory(A33,TODAY()-5,TODAY(),0,0,1)),1),"")</f>
        <v/>
      </c>
      <c r="I33" s="68" t="str">
        <f aca="false">IF(OR(G33="",H33=""),"",H33/G33-1)</f>
        <v/>
      </c>
      <c r="J33" s="69" t="n">
        <v>46309</v>
      </c>
      <c r="K33" s="63" t="s">
        <v>213</v>
      </c>
      <c r="L33" s="70" t="s">
        <v>250</v>
      </c>
      <c r="M33" s="63" t="s">
        <v>212</v>
      </c>
      <c r="N33" s="70"/>
      <c r="O33" s="71" t="n">
        <f aca="true">IF(C33="","",TODAY()-C33)</f>
        <v>50</v>
      </c>
      <c r="P33" s="72" t="str">
        <f aca="true">IF(A33="","",IF(O33&gt;180,"DUE — STALE (&gt;180 days)",IF(J33&lt;&gt;"",IF(ABS(J33-TODAY())&lt;=7,"DUE — EARNINGS WINDOW",IF(I33&lt;&gt;"",IF(ABS(I33)&gt;=0.2,"DUE — PRICE MOVE ±20%",IF(K33="Y","DUE — INSIDER ACTIVITY",IF(I33&lt;&gt;"",IF(ABS(I33)&gt;=0.15,"WATCH — PRICE MOVE ±15%",IF(M33="Y","WATCH — ANALYST SHIFT","Monitor Only")),IF(M33="Y","WATCH — ANALYST SHIFT","Monitor Only")))),IF(K33="Y","DUE — INSIDER ACTIVITY",IF(I33&lt;&gt;"",IF(ABS(I33)&gt;=0.15,"WATCH — PRICE MOVE ±15%",IF(M33="Y","WATCH — ANALYST SHIFT","Monitor Only")),IF(M33="Y","WATCH — ANALYST SHIFT","Monitor Only"))))),IF(I33&lt;&gt;"",IF(ABS(I33)&gt;=0.2,"DUE — PRICE MOVE ±20%",IF(K33="Y","DUE — INSIDER ACTIVITY",IF(I33&lt;&gt;"",IF(ABS(I33)&gt;=0.15,"WATCH — PRICE MOVE ±15%",IF(M33="Y","WATCH — ANALYST SHIFT","Monitor Only")),IF(M33="Y","WATCH — ANALYST SHIFT","Monitor Only")))),IF(K33="Y","DUE — INSIDER ACTIVITY",IF(I33&lt;&gt;"",IF(ABS(I33)&gt;=0.15,"WATCH — PRICE MOVE ±15%",IF(M33="Y","WATCH — ANALYST SHIFT","Monitor Only")),IF(M33="Y","WATCH — ANALYST SHIFT","Monitor Only")))))))</f>
        <v>DUE — INSIDER ACTIVITY</v>
      </c>
      <c r="Q33" s="70"/>
    </row>
    <row r="34" customFormat="false" ht="15" hidden="false" customHeight="true" outlineLevel="0" collapsed="false">
      <c r="A34" s="62" t="s">
        <v>251</v>
      </c>
      <c r="B34" s="73" t="s">
        <v>231</v>
      </c>
      <c r="C34" s="64" t="n">
        <v>46245</v>
      </c>
      <c r="D34" s="63"/>
      <c r="E34" s="63" t="n">
        <v>4.5</v>
      </c>
      <c r="F34" s="65"/>
      <c r="G34" s="66" t="n">
        <v>490.53</v>
      </c>
      <c r="H34" s="67" t="str">
        <f aca="false" t="array" ref="H34:H34">IFERROR(INDEX(_xlfn.stockhistory(A34,TODAY()-5,TODAY(),0,0,1),ROWS(_xlfn.stockhistory(A34,TODAY()-5,TODAY(),0,0,1)),1),"")</f>
        <v/>
      </c>
      <c r="I34" s="68" t="str">
        <f aca="false">IF(OR(G34="",H34=""),"",H34/G34-1)</f>
        <v/>
      </c>
      <c r="J34" s="69" t="n">
        <v>46325</v>
      </c>
      <c r="K34" s="63" t="s">
        <v>213</v>
      </c>
      <c r="L34" s="70" t="s">
        <v>252</v>
      </c>
      <c r="M34" s="63" t="s">
        <v>212</v>
      </c>
      <c r="N34" s="70"/>
      <c r="O34" s="71" t="n">
        <f aca="true">IF(C34="","",TODAY()-C34)</f>
        <v>50</v>
      </c>
      <c r="P34" s="72" t="str">
        <f aca="true">IF(A34="","",IF(O34&gt;180,"DUE — STALE (&gt;180 days)",IF(J34&lt;&gt;"",IF(ABS(J34-TODAY())&lt;=7,"DUE — EARNINGS WINDOW",IF(I34&lt;&gt;"",IF(ABS(I34)&gt;=0.2,"DUE — PRICE MOVE ±20%",IF(K34="Y","DUE — INSIDER ACTIVITY",IF(I34&lt;&gt;"",IF(ABS(I34)&gt;=0.15,"WATCH — PRICE MOVE ±15%",IF(M34="Y","WATCH — ANALYST SHIFT","Monitor Only")),IF(M34="Y","WATCH — ANALYST SHIFT","Monitor Only")))),IF(K34="Y","DUE — INSIDER ACTIVITY",IF(I34&lt;&gt;"",IF(ABS(I34)&gt;=0.15,"WATCH — PRICE MOVE ±15%",IF(M34="Y","WATCH — ANALYST SHIFT","Monitor Only")),IF(M34="Y","WATCH — ANALYST SHIFT","Monitor Only"))))),IF(I34&lt;&gt;"",IF(ABS(I34)&gt;=0.2,"DUE — PRICE MOVE ±20%",IF(K34="Y","DUE — INSIDER ACTIVITY",IF(I34&lt;&gt;"",IF(ABS(I34)&gt;=0.15,"WATCH — PRICE MOVE ±15%",IF(M34="Y","WATCH — ANALYST SHIFT","Monitor Only")),IF(M34="Y","WATCH — ANALYST SHIFT","Monitor Only")))),IF(K34="Y","DUE — INSIDER ACTIVITY",IF(I34&lt;&gt;"",IF(ABS(I34)&gt;=0.15,"WATCH — PRICE MOVE ±15%",IF(M34="Y","WATCH — ANALYST SHIFT","Monitor Only")),IF(M34="Y","WATCH — ANALYST SHIFT","Monitor Only")))))))</f>
        <v>DUE — INSIDER ACTIVITY</v>
      </c>
      <c r="Q34" s="70"/>
    </row>
    <row r="35" customFormat="false" ht="15" hidden="true" customHeight="true" outlineLevel="1" collapsed="false">
      <c r="A35" s="62" t="s">
        <v>253</v>
      </c>
      <c r="B35" s="74" t="s">
        <v>225</v>
      </c>
      <c r="C35" s="64" t="n">
        <v>46245</v>
      </c>
      <c r="D35" s="63"/>
      <c r="E35" s="63" t="n">
        <v>2.5</v>
      </c>
      <c r="F35" s="65"/>
      <c r="G35" s="66" t="n">
        <v>85.74</v>
      </c>
      <c r="H35" s="67" t="str">
        <f aca="false" t="array" ref="H35:H35">IFERROR(INDEX(_xlfn.stockhistory(A35,TODAY()-5,TODAY(),0,0,1),ROWS(_xlfn.stockhistory(A35,TODAY()-5,TODAY(),0,0,1)),1),"")</f>
        <v/>
      </c>
      <c r="I35" s="68" t="str">
        <f aca="false">IF(OR(G35="",H35=""),"",H35/G35-1)</f>
        <v/>
      </c>
      <c r="J35" s="69" t="n">
        <v>46322</v>
      </c>
      <c r="K35" s="63" t="s">
        <v>212</v>
      </c>
      <c r="L35" s="70"/>
      <c r="M35" s="63" t="s">
        <v>212</v>
      </c>
      <c r="N35" s="70"/>
      <c r="O35" s="71" t="n">
        <f aca="true">IF(C35="","",TODAY()-C35)</f>
        <v>50</v>
      </c>
      <c r="P35" s="72" t="str">
        <f aca="true">IF(A35="","",IF(O35&gt;180,"DUE — STALE (&gt;180 days)",IF(J35&lt;&gt;"",IF(ABS(J35-TODAY())&lt;=7,"DUE — EARNINGS WINDOW",IF(I35&lt;&gt;"",IF(ABS(I35)&gt;=0.2,"DUE — PRICE MOVE ±20%",IF(K35="Y","DUE — INSIDER ACTIVITY",IF(I35&lt;&gt;"",IF(ABS(I35)&gt;=0.15,"WATCH — PRICE MOVE ±15%",IF(M35="Y","WATCH — ANALYST SHIFT","Monitor Only")),IF(M35="Y","WATCH — ANALYST SHIFT","Monitor Only")))),IF(K35="Y","DUE — INSIDER ACTIVITY",IF(I35&lt;&gt;"",IF(ABS(I35)&gt;=0.15,"WATCH — PRICE MOVE ±15%",IF(M35="Y","WATCH — ANALYST SHIFT","Monitor Only")),IF(M35="Y","WATCH — ANALYST SHIFT","Monitor Only"))))),IF(I35&lt;&gt;"",IF(ABS(I35)&gt;=0.2,"DUE — PRICE MOVE ±20%",IF(K35="Y","DUE — INSIDER ACTIVITY",IF(I35&lt;&gt;"",IF(ABS(I35)&gt;=0.15,"WATCH — PRICE MOVE ±15%",IF(M35="Y","WATCH — ANALYST SHIFT","Monitor Only")),IF(M35="Y","WATCH — ANALYST SHIFT","Monitor Only")))),IF(K35="Y","DUE — INSIDER ACTIVITY",IF(I35&lt;&gt;"",IF(ABS(I35)&gt;=0.15,"WATCH — PRICE MOVE ±15%",IF(M35="Y","WATCH — ANALYST SHIFT","Monitor Only")),IF(M35="Y","WATCH — ANALYST SHIFT","Monitor Only")))))))</f>
        <v>Monitor Only</v>
      </c>
      <c r="Q35" s="70"/>
    </row>
    <row r="36" customFormat="false" ht="15" hidden="false" customHeight="true" outlineLevel="0" collapsed="false">
      <c r="A36" s="62" t="s">
        <v>143</v>
      </c>
      <c r="B36" s="73" t="s">
        <v>210</v>
      </c>
      <c r="C36" s="64" t="n">
        <v>46258</v>
      </c>
      <c r="D36" s="63"/>
      <c r="E36" s="63" t="n">
        <v>4.21</v>
      </c>
      <c r="F36" s="65"/>
      <c r="G36" s="66" t="n">
        <v>80.01</v>
      </c>
      <c r="H36" s="67" t="str">
        <f aca="false" t="array" ref="H36:H36">IFERROR(INDEX(_xlfn.stockhistory(A36,TODAY()-5,TODAY(),0,0,1),ROWS(_xlfn.stockhistory(A36,TODAY()-5,TODAY(),0,0,1)),1),"")</f>
        <v/>
      </c>
      <c r="I36" s="68" t="str">
        <f aca="false">IF(OR(G36="",H36=""),"",H36/G36-1)</f>
        <v/>
      </c>
      <c r="J36" s="69" t="n">
        <v>46315</v>
      </c>
      <c r="K36" s="63" t="s">
        <v>213</v>
      </c>
      <c r="L36" s="70" t="s">
        <v>254</v>
      </c>
      <c r="M36" s="63" t="s">
        <v>212</v>
      </c>
      <c r="N36" s="70"/>
      <c r="O36" s="71" t="n">
        <f aca="true">IF(C36="","",TODAY()-C36)</f>
        <v>37</v>
      </c>
      <c r="P36" s="72" t="str">
        <f aca="true">IF(A36="","",IF(O36&gt;180,"DUE — STALE (&gt;180 days)",IF(J36&lt;&gt;"",IF(ABS(J36-TODAY())&lt;=7,"DUE — EARNINGS WINDOW",IF(I36&lt;&gt;"",IF(ABS(I36)&gt;=0.2,"DUE — PRICE MOVE ±20%",IF(K36="Y","DUE — INSIDER ACTIVITY",IF(I36&lt;&gt;"",IF(ABS(I36)&gt;=0.15,"WATCH — PRICE MOVE ±15%",IF(M36="Y","WATCH — ANALYST SHIFT","Monitor Only")),IF(M36="Y","WATCH — ANALYST SHIFT","Monitor Only")))),IF(K36="Y","DUE — INSIDER ACTIVITY",IF(I36&lt;&gt;"",IF(ABS(I36)&gt;=0.15,"WATCH — PRICE MOVE ±15%",IF(M36="Y","WATCH — ANALYST SHIFT","Monitor Only")),IF(M36="Y","WATCH — ANALYST SHIFT","Monitor Only"))))),IF(I36&lt;&gt;"",IF(ABS(I36)&gt;=0.2,"DUE — PRICE MOVE ±20%",IF(K36="Y","DUE — INSIDER ACTIVITY",IF(I36&lt;&gt;"",IF(ABS(I36)&gt;=0.15,"WATCH — PRICE MOVE ±15%",IF(M36="Y","WATCH — ANALYST SHIFT","Monitor Only")),IF(M36="Y","WATCH — ANALYST SHIFT","Monitor Only")))),IF(K36="Y","DUE — INSIDER ACTIVITY",IF(I36&lt;&gt;"",IF(ABS(I36)&gt;=0.15,"WATCH — PRICE MOVE ±15%",IF(M36="Y","WATCH — ANALYST SHIFT","Monitor Only")),IF(M36="Y","WATCH — ANALYST SHIFT","Monitor Only")))))))</f>
        <v>DUE — INSIDER ACTIVITY</v>
      </c>
      <c r="Q36" s="70"/>
    </row>
    <row r="37" customFormat="false" ht="15" hidden="true" customHeight="true" outlineLevel="1" collapsed="false">
      <c r="A37" s="62" t="s">
        <v>255</v>
      </c>
      <c r="B37" s="74" t="s">
        <v>225</v>
      </c>
      <c r="C37" s="64" t="n">
        <v>46246</v>
      </c>
      <c r="D37" s="63"/>
      <c r="E37" s="63" t="n">
        <v>1.57</v>
      </c>
      <c r="F37" s="65"/>
      <c r="G37" s="66" t="n">
        <v>40.51</v>
      </c>
      <c r="H37" s="67" t="str">
        <f aca="false" t="array" ref="H37:H37">IFERROR(INDEX(_xlfn.stockhistory(A37,TODAY()-5,TODAY(),0,0,1),ROWS(_xlfn.stockhistory(A37,TODAY()-5,TODAY(),0,0,1)),1),"")</f>
        <v/>
      </c>
      <c r="I37" s="68" t="str">
        <f aca="false">IF(OR(G37="",H37=""),"",H37/G37-1)</f>
        <v/>
      </c>
      <c r="J37" s="69" t="n">
        <v>46294</v>
      </c>
      <c r="K37" s="63" t="s">
        <v>213</v>
      </c>
      <c r="L37" s="70" t="s">
        <v>256</v>
      </c>
      <c r="M37" s="63" t="s">
        <v>213</v>
      </c>
      <c r="N37" s="70" t="s">
        <v>257</v>
      </c>
      <c r="O37" s="71" t="n">
        <f aca="true">IF(C37="","",TODAY()-C37)</f>
        <v>49</v>
      </c>
      <c r="P37" s="72" t="str">
        <f aca="true">IF(A37="","",IF(O37&gt;180,"DUE — STALE (&gt;180 days)",IF(J37&lt;&gt;"",IF(ABS(J37-TODAY())&lt;=7,"DUE — EARNINGS WINDOW",IF(I37&lt;&gt;"",IF(ABS(I37)&gt;=0.2,"DUE — PRICE MOVE ±20%",IF(K37="Y","DUE — INSIDER ACTIVITY",IF(I37&lt;&gt;"",IF(ABS(I37)&gt;=0.15,"WATCH — PRICE MOVE ±15%",IF(M37="Y","WATCH — ANALYST SHIFT","Monitor Only")),IF(M37="Y","WATCH — ANALYST SHIFT","Monitor Only")))),IF(K37="Y","DUE — INSIDER ACTIVITY",IF(I37&lt;&gt;"",IF(ABS(I37)&gt;=0.15,"WATCH — PRICE MOVE ±15%",IF(M37="Y","WATCH — ANALYST SHIFT","Monitor Only")),IF(M37="Y","WATCH — ANALYST SHIFT","Monitor Only"))))),IF(I37&lt;&gt;"",IF(ABS(I37)&gt;=0.2,"DUE — PRICE MOVE ±20%",IF(K37="Y","DUE — INSIDER ACTIVITY",IF(I37&lt;&gt;"",IF(ABS(I37)&gt;=0.15,"WATCH — PRICE MOVE ±15%",IF(M37="Y","WATCH — ANALYST SHIFT","Monitor Only")),IF(M37="Y","WATCH — ANALYST SHIFT","Monitor Only")))),IF(K37="Y","DUE — INSIDER ACTIVITY",IF(I37&lt;&gt;"",IF(ABS(I37)&gt;=0.15,"WATCH — PRICE MOVE ±15%",IF(M37="Y","WATCH — ANALYST SHIFT","Monitor Only")),IF(M37="Y","WATCH — ANALYST SHIFT","Monitor Only")))))))</f>
        <v>DUE — EARNINGS WINDOW</v>
      </c>
      <c r="Q37" s="70"/>
    </row>
    <row r="38" customFormat="false" ht="15" hidden="true" customHeight="true" outlineLevel="1" collapsed="false">
      <c r="A38" s="62" t="s">
        <v>258</v>
      </c>
      <c r="B38" s="74" t="s">
        <v>225</v>
      </c>
      <c r="C38" s="64" t="n">
        <v>46245</v>
      </c>
      <c r="D38" s="63"/>
      <c r="E38" s="63" t="n">
        <v>2.64</v>
      </c>
      <c r="F38" s="65"/>
      <c r="G38" s="66" t="n">
        <v>21.02</v>
      </c>
      <c r="H38" s="67" t="str">
        <f aca="false" t="array" ref="H38:H38">IFERROR(INDEX(_xlfn.stockhistory(A38,TODAY()-5,TODAY(),0,0,1),ROWS(_xlfn.stockhistory(A38,TODAY()-5,TODAY(),0,0,1)),1),"")</f>
        <v/>
      </c>
      <c r="I38" s="68" t="str">
        <f aca="false">IF(OR(G38="",H38=""),"",H38/G38-1)</f>
        <v/>
      </c>
      <c r="J38" s="69" t="n">
        <v>46321</v>
      </c>
      <c r="K38" s="63" t="s">
        <v>213</v>
      </c>
      <c r="L38" s="70" t="s">
        <v>259</v>
      </c>
      <c r="M38" s="63" t="s">
        <v>213</v>
      </c>
      <c r="N38" s="70" t="s">
        <v>260</v>
      </c>
      <c r="O38" s="71" t="n">
        <f aca="true">IF(C38="","",TODAY()-C38)</f>
        <v>50</v>
      </c>
      <c r="P38" s="72" t="str">
        <f aca="true">IF(A38="","",IF(O38&gt;180,"DUE — STALE (&gt;180 days)",IF(J38&lt;&gt;"",IF(ABS(J38-TODAY())&lt;=7,"DUE — EARNINGS WINDOW",IF(I38&lt;&gt;"",IF(ABS(I38)&gt;=0.2,"DUE — PRICE MOVE ±20%",IF(K38="Y","DUE — INSIDER ACTIVITY",IF(I38&lt;&gt;"",IF(ABS(I38)&gt;=0.15,"WATCH — PRICE MOVE ±15%",IF(M38="Y","WATCH — ANALYST SHIFT","Monitor Only")),IF(M38="Y","WATCH — ANALYST SHIFT","Monitor Only")))),IF(K38="Y","DUE — INSIDER ACTIVITY",IF(I38&lt;&gt;"",IF(ABS(I38)&gt;=0.15,"WATCH — PRICE MOVE ±15%",IF(M38="Y","WATCH — ANALYST SHIFT","Monitor Only")),IF(M38="Y","WATCH — ANALYST SHIFT","Monitor Only"))))),IF(I38&lt;&gt;"",IF(ABS(I38)&gt;=0.2,"DUE — PRICE MOVE ±20%",IF(K38="Y","DUE — INSIDER ACTIVITY",IF(I38&lt;&gt;"",IF(ABS(I38)&gt;=0.15,"WATCH — PRICE MOVE ±15%",IF(M38="Y","WATCH — ANALYST SHIFT","Monitor Only")),IF(M38="Y","WATCH — ANALYST SHIFT","Monitor Only")))),IF(K38="Y","DUE — INSIDER ACTIVITY",IF(I38&lt;&gt;"",IF(ABS(I38)&gt;=0.15,"WATCH — PRICE MOVE ±15%",IF(M38="Y","WATCH — ANALYST SHIFT","Monitor Only")),IF(M38="Y","WATCH — ANALYST SHIFT","Monitor Only")))))))</f>
        <v>DUE — INSIDER ACTIVITY</v>
      </c>
      <c r="Q38" s="70"/>
    </row>
    <row r="39" customFormat="false" ht="15" hidden="true" customHeight="true" outlineLevel="1" collapsed="false">
      <c r="A39" s="62" t="s">
        <v>184</v>
      </c>
      <c r="B39" s="74" t="s">
        <v>225</v>
      </c>
      <c r="C39" s="64" t="n">
        <v>46240</v>
      </c>
      <c r="D39" s="63"/>
      <c r="E39" s="63" t="n">
        <v>2.64</v>
      </c>
      <c r="F39" s="65"/>
      <c r="G39" s="66" t="n">
        <v>37.34</v>
      </c>
      <c r="H39" s="67" t="str">
        <f aca="false" t="array" ref="H39:H39">IFERROR(INDEX(_xlfn.stockhistory(A39,TODAY()-5,TODAY(),0,0,1),ROWS(_xlfn.stockhistory(A39,TODAY()-5,TODAY(),0,0,1)),1),"")</f>
        <v/>
      </c>
      <c r="I39" s="68" t="str">
        <f aca="false">IF(OR(G39="",H39=""),"",H39/G39-1)</f>
        <v/>
      </c>
      <c r="J39" s="69" t="n">
        <v>46337</v>
      </c>
      <c r="K39" s="63" t="s">
        <v>213</v>
      </c>
      <c r="L39" s="70" t="s">
        <v>261</v>
      </c>
      <c r="M39" s="63" t="s">
        <v>212</v>
      </c>
      <c r="N39" s="70"/>
      <c r="O39" s="71" t="n">
        <f aca="true">IF(C39="","",TODAY()-C39)</f>
        <v>55</v>
      </c>
      <c r="P39" s="72" t="str">
        <f aca="true">IF(A39="","",IF(O39&gt;180,"DUE — STALE (&gt;180 days)",IF(J39&lt;&gt;"",IF(ABS(J39-TODAY())&lt;=7,"DUE — EARNINGS WINDOW",IF(I39&lt;&gt;"",IF(ABS(I39)&gt;=0.2,"DUE — PRICE MOVE ±20%",IF(K39="Y","DUE — INSIDER ACTIVITY",IF(I39&lt;&gt;"",IF(ABS(I39)&gt;=0.15,"WATCH — PRICE MOVE ±15%",IF(M39="Y","WATCH — ANALYST SHIFT","Monitor Only")),IF(M39="Y","WATCH — ANALYST SHIFT","Monitor Only")))),IF(K39="Y","DUE — INSIDER ACTIVITY",IF(I39&lt;&gt;"",IF(ABS(I39)&gt;=0.15,"WATCH — PRICE MOVE ±15%",IF(M39="Y","WATCH — ANALYST SHIFT","Monitor Only")),IF(M39="Y","WATCH — ANALYST SHIFT","Monitor Only"))))),IF(I39&lt;&gt;"",IF(ABS(I39)&gt;=0.2,"DUE — PRICE MOVE ±20%",IF(K39="Y","DUE — INSIDER ACTIVITY",IF(I39&lt;&gt;"",IF(ABS(I39)&gt;=0.15,"WATCH — PRICE MOVE ±15%",IF(M39="Y","WATCH — ANALYST SHIFT","Monitor Only")),IF(M39="Y","WATCH — ANALYST SHIFT","Monitor Only")))),IF(K39="Y","DUE — INSIDER ACTIVITY",IF(I39&lt;&gt;"",IF(ABS(I39)&gt;=0.15,"WATCH — PRICE MOVE ±15%",IF(M39="Y","WATCH — ANALYST SHIFT","Monitor Only")),IF(M39="Y","WATCH — ANALYST SHIFT","Monitor Only")))))))</f>
        <v>DUE — INSIDER ACTIVITY</v>
      </c>
      <c r="Q39" s="70"/>
    </row>
    <row r="40" customFormat="false" ht="15" hidden="false" customHeight="true" outlineLevel="0" collapsed="false">
      <c r="A40" s="62" t="s">
        <v>262</v>
      </c>
      <c r="B40" s="73" t="s">
        <v>231</v>
      </c>
      <c r="C40" s="64" t="n">
        <v>46245</v>
      </c>
      <c r="D40" s="63"/>
      <c r="E40" s="63" t="n">
        <v>4.21</v>
      </c>
      <c r="F40" s="65"/>
      <c r="G40" s="66" t="n">
        <v>145.21</v>
      </c>
      <c r="H40" s="67" t="str">
        <f aca="false" t="array" ref="H40:H40">IFERROR(INDEX(_xlfn.stockhistory(A40,TODAY()-5,TODAY(),0,0,1),ROWS(_xlfn.stockhistory(A40,TODAY()-5,TODAY(),0,0,1)),1),"")</f>
        <v/>
      </c>
      <c r="I40" s="68" t="str">
        <f aca="false">IF(OR(G40="",H40=""),"",H40/G40-1)</f>
        <v/>
      </c>
      <c r="J40" s="69" t="n">
        <v>46317</v>
      </c>
      <c r="K40" s="63" t="s">
        <v>213</v>
      </c>
      <c r="L40" s="70" t="s">
        <v>263</v>
      </c>
      <c r="M40" s="63" t="s">
        <v>212</v>
      </c>
      <c r="N40" s="70"/>
      <c r="O40" s="71" t="n">
        <f aca="true">IF(C40="","",TODAY()-C40)</f>
        <v>50</v>
      </c>
      <c r="P40" s="72" t="str">
        <f aca="true">IF(A40="","",IF(O40&gt;180,"DUE — STALE (&gt;180 days)",IF(J40&lt;&gt;"",IF(ABS(J40-TODAY())&lt;=7,"DUE — EARNINGS WINDOW",IF(I40&lt;&gt;"",IF(ABS(I40)&gt;=0.2,"DUE — PRICE MOVE ±20%",IF(K40="Y","DUE — INSIDER ACTIVITY",IF(I40&lt;&gt;"",IF(ABS(I40)&gt;=0.15,"WATCH — PRICE MOVE ±15%",IF(M40="Y","WATCH — ANALYST SHIFT","Monitor Only")),IF(M40="Y","WATCH — ANALYST SHIFT","Monitor Only")))),IF(K40="Y","DUE — INSIDER ACTIVITY",IF(I40&lt;&gt;"",IF(ABS(I40)&gt;=0.15,"WATCH — PRICE MOVE ±15%",IF(M40="Y","WATCH — ANALYST SHIFT","Monitor Only")),IF(M40="Y","WATCH — ANALYST SHIFT","Monitor Only"))))),IF(I40&lt;&gt;"",IF(ABS(I40)&gt;=0.2,"DUE — PRICE MOVE ±20%",IF(K40="Y","DUE — INSIDER ACTIVITY",IF(I40&lt;&gt;"",IF(ABS(I40)&gt;=0.15,"WATCH — PRICE MOVE ±15%",IF(M40="Y","WATCH — ANALYST SHIFT","Monitor Only")),IF(M40="Y","WATCH — ANALYST SHIFT","Monitor Only")))),IF(K40="Y","DUE — INSIDER ACTIVITY",IF(I40&lt;&gt;"",IF(ABS(I40)&gt;=0.15,"WATCH — PRICE MOVE ±15%",IF(M40="Y","WATCH — ANALYST SHIFT","Monitor Only")),IF(M40="Y","WATCH — ANALYST SHIFT","Monitor Only")))))))</f>
        <v>DUE — INSIDER ACTIVITY</v>
      </c>
      <c r="Q40" s="70"/>
    </row>
    <row r="41" customFormat="false" ht="15" hidden="false" customHeight="true" outlineLevel="0" collapsed="false">
      <c r="A41" s="62" t="s">
        <v>264</v>
      </c>
      <c r="B41" s="73" t="s">
        <v>231</v>
      </c>
      <c r="C41" s="64" t="n">
        <v>46247</v>
      </c>
      <c r="D41" s="63"/>
      <c r="E41" s="63" t="n">
        <v>3.29</v>
      </c>
      <c r="F41" s="65"/>
      <c r="G41" s="66" t="n">
        <v>1058.87</v>
      </c>
      <c r="H41" s="67" t="str">
        <f aca="false" t="array" ref="H41:H41">IFERROR(INDEX(_xlfn.stockhistory(A41,TODAY()-5,TODAY(),0,0,1),ROWS(_xlfn.stockhistory(A41,TODAY()-5,TODAY(),0,0,1)),1),"")</f>
        <v/>
      </c>
      <c r="I41" s="68" t="str">
        <f aca="false">IF(OR(G41="",H41=""),"",H41/G41-1)</f>
        <v/>
      </c>
      <c r="J41" s="69" t="n">
        <v>46331</v>
      </c>
      <c r="K41" s="63" t="s">
        <v>213</v>
      </c>
      <c r="L41" s="70" t="s">
        <v>265</v>
      </c>
      <c r="M41" s="63" t="s">
        <v>212</v>
      </c>
      <c r="N41" s="70"/>
      <c r="O41" s="71" t="n">
        <f aca="true">IF(C41="","",TODAY()-C41)</f>
        <v>48</v>
      </c>
      <c r="P41" s="72" t="str">
        <f aca="true">IF(A41="","",IF(O41&gt;180,"DUE — STALE (&gt;180 days)",IF(J41&lt;&gt;"",IF(ABS(J41-TODAY())&lt;=7,"DUE — EARNINGS WINDOW",IF(I41&lt;&gt;"",IF(ABS(I41)&gt;=0.2,"DUE — PRICE MOVE ±20%",IF(K41="Y","DUE — INSIDER ACTIVITY",IF(I41&lt;&gt;"",IF(ABS(I41)&gt;=0.15,"WATCH — PRICE MOVE ±15%",IF(M41="Y","WATCH — ANALYST SHIFT","Monitor Only")),IF(M41="Y","WATCH — ANALYST SHIFT","Monitor Only")))),IF(K41="Y","DUE — INSIDER ACTIVITY",IF(I41&lt;&gt;"",IF(ABS(I41)&gt;=0.15,"WATCH — PRICE MOVE ±15%",IF(M41="Y","WATCH — ANALYST SHIFT","Monitor Only")),IF(M41="Y","WATCH — ANALYST SHIFT","Monitor Only"))))),IF(I41&lt;&gt;"",IF(ABS(I41)&gt;=0.2,"DUE — PRICE MOVE ±20%",IF(K41="Y","DUE — INSIDER ACTIVITY",IF(I41&lt;&gt;"",IF(ABS(I41)&gt;=0.15,"WATCH — PRICE MOVE ±15%",IF(M41="Y","WATCH — ANALYST SHIFT","Monitor Only")),IF(M41="Y","WATCH — ANALYST SHIFT","Monitor Only")))),IF(K41="Y","DUE — INSIDER ACTIVITY",IF(I41&lt;&gt;"",IF(ABS(I41)&gt;=0.15,"WATCH — PRICE MOVE ±15%",IF(M41="Y","WATCH — ANALYST SHIFT","Monitor Only")),IF(M41="Y","WATCH — ANALYST SHIFT","Monitor Only")))))))</f>
        <v>DUE — INSIDER ACTIVITY</v>
      </c>
      <c r="Q41" s="70"/>
    </row>
    <row r="42" customFormat="false" ht="15" hidden="true" customHeight="true" outlineLevel="1" collapsed="false">
      <c r="A42" s="62" t="s">
        <v>266</v>
      </c>
      <c r="B42" s="70" t="s">
        <v>225</v>
      </c>
      <c r="C42" s="64" t="n">
        <v>46245</v>
      </c>
      <c r="D42" s="63"/>
      <c r="E42" s="63" t="n">
        <v>1.36</v>
      </c>
      <c r="F42" s="65"/>
      <c r="G42" s="66" t="n">
        <v>24.32</v>
      </c>
      <c r="H42" s="67" t="str">
        <f aca="false" t="array" ref="H42:H42">IFERROR(INDEX(_xlfn.stockhistory(A42,TODAY()-5,TODAY(),0,0,1),ROWS(_xlfn.stockhistory(A42,TODAY()-5,TODAY(),0,0,1)),1),"")</f>
        <v/>
      </c>
      <c r="I42" s="68" t="str">
        <f aca="false">IF(OR(G42="",H42=""),"",H42/G42-1)</f>
        <v/>
      </c>
      <c r="J42" s="69" t="n">
        <v>46331</v>
      </c>
      <c r="K42" s="63" t="s">
        <v>212</v>
      </c>
      <c r="L42" s="70"/>
      <c r="M42" s="63" t="s">
        <v>213</v>
      </c>
      <c r="N42" s="70" t="s">
        <v>267</v>
      </c>
      <c r="O42" s="71" t="n">
        <f aca="true">IF(C42="","",TODAY()-C42)</f>
        <v>50</v>
      </c>
      <c r="P42" s="72" t="str">
        <f aca="true">IF(A42="","",IF(O42&gt;180,"DUE — STALE (&gt;180 days)",IF(J42&lt;&gt;"",IF(ABS(J42-TODAY())&lt;=7,"DUE — EARNINGS WINDOW",IF(I42&lt;&gt;"",IF(ABS(I42)&gt;=0.2,"DUE — PRICE MOVE ±20%",IF(K42="Y","DUE — INSIDER ACTIVITY",IF(I42&lt;&gt;"",IF(ABS(I42)&gt;=0.15,"WATCH — PRICE MOVE ±15%",IF(M42="Y","WATCH — ANALYST SHIFT","Monitor Only")),IF(M42="Y","WATCH — ANALYST SHIFT","Monitor Only")))),IF(K42="Y","DUE — INSIDER ACTIVITY",IF(I42&lt;&gt;"",IF(ABS(I42)&gt;=0.15,"WATCH — PRICE MOVE ±15%",IF(M42="Y","WATCH — ANALYST SHIFT","Monitor Only")),IF(M42="Y","WATCH — ANALYST SHIFT","Monitor Only"))))),IF(I42&lt;&gt;"",IF(ABS(I42)&gt;=0.2,"DUE — PRICE MOVE ±20%",IF(K42="Y","DUE — INSIDER ACTIVITY",IF(I42&lt;&gt;"",IF(ABS(I42)&gt;=0.15,"WATCH — PRICE MOVE ±15%",IF(M42="Y","WATCH — ANALYST SHIFT","Monitor Only")),IF(M42="Y","WATCH — ANALYST SHIFT","Monitor Only")))),IF(K42="Y","DUE — INSIDER ACTIVITY",IF(I42&lt;&gt;"",IF(ABS(I42)&gt;=0.15,"WATCH — PRICE MOVE ±15%",IF(M42="Y","WATCH — ANALYST SHIFT","Monitor Only")),IF(M42="Y","WATCH — ANALYST SHIFT","Monitor Only")))))))</f>
        <v>WATCH — ANALYST SHIFT</v>
      </c>
      <c r="Q42" s="70"/>
    </row>
    <row r="43" customFormat="false" ht="15" hidden="true" customHeight="true" outlineLevel="1" collapsed="false">
      <c r="A43" s="75" t="s">
        <v>173</v>
      </c>
      <c r="B43" s="76" t="s">
        <v>225</v>
      </c>
      <c r="C43" s="77" t="n">
        <v>46240</v>
      </c>
      <c r="D43" s="78"/>
      <c r="E43" s="78" t="n">
        <v>1.86</v>
      </c>
      <c r="F43" s="65"/>
      <c r="G43" s="79" t="n">
        <v>87.2</v>
      </c>
      <c r="H43" s="80" t="str">
        <f aca="false" t="array" ref="H43:H43">IFERROR(INDEX(_xlfn.stockhistory(A43,TODAY()-5,TODAY(),0,0,1),ROWS(_xlfn.stockhistory(A43,TODAY()-5,TODAY(),0,0,1)),1),"")</f>
        <v/>
      </c>
      <c r="I43" s="19" t="str">
        <f aca="false">IF(OR(G43="",H43=""),"",H43/G43-1)</f>
        <v/>
      </c>
      <c r="J43" s="81" t="n">
        <v>46323</v>
      </c>
      <c r="K43" s="78" t="s">
        <v>213</v>
      </c>
      <c r="L43" s="76" t="s">
        <v>268</v>
      </c>
      <c r="M43" s="78" t="s">
        <v>212</v>
      </c>
      <c r="N43" s="76"/>
      <c r="O43" s="82" t="n">
        <f aca="true">IF(C43="","",TODAY()-C43)</f>
        <v>55</v>
      </c>
      <c r="P43" s="15" t="str">
        <f aca="true">IF(A43="","",IF(O43&gt;180,"DUE — STALE (&gt;180 days)",IF(J43&lt;&gt;"",IF(ABS(J43-TODAY())&lt;=7,"DUE — EARNINGS WINDOW",IF(I43&lt;&gt;"",IF(ABS(I43)&gt;=0.2,"DUE — PRICE MOVE ±20%",IF(K43="Y","DUE — INSIDER ACTIVITY",IF(I43&lt;&gt;"",IF(ABS(I43)&gt;=0.15,"WATCH — PRICE MOVE ±15%",IF(M43="Y","WATCH — ANALYST SHIFT","Monitor Only")),IF(M43="Y","WATCH — ANALYST SHIFT","Monitor Only")))),IF(K43="Y","DUE — INSIDER ACTIVITY",IF(I43&lt;&gt;"",IF(ABS(I43)&gt;=0.15,"WATCH — PRICE MOVE ±15%",IF(M43="Y","WATCH — ANALYST SHIFT","Monitor Only")),IF(M43="Y","WATCH — ANALYST SHIFT","Monitor Only"))))),IF(I43&lt;&gt;"",IF(ABS(I43)&gt;=0.2,"DUE — PRICE MOVE ±20%",IF(K43="Y","DUE — INSIDER ACTIVITY",IF(I43&lt;&gt;"",IF(ABS(I43)&gt;=0.15,"WATCH — PRICE MOVE ±15%",IF(M43="Y","WATCH — ANALYST SHIFT","Monitor Only")),IF(M43="Y","WATCH — ANALYST SHIFT","Monitor Only")))),IF(K43="Y","DUE — INSIDER ACTIVITY",IF(I43&lt;&gt;"",IF(ABS(I43)&gt;=0.15,"WATCH — PRICE MOVE ±15%",IF(M43="Y","WATCH — ANALYST SHIFT","Monitor Only")),IF(M43="Y","WATCH — ANALYST SHIFT","Monitor Only")))))))</f>
        <v>DUE — INSIDER ACTIVITY</v>
      </c>
      <c r="Q43" s="76"/>
    </row>
    <row r="44" customFormat="false" ht="15" hidden="true" customHeight="true" outlineLevel="1" collapsed="false">
      <c r="A44" s="75" t="s">
        <v>176</v>
      </c>
      <c r="B44" s="76" t="s">
        <v>225</v>
      </c>
      <c r="C44" s="77" t="n">
        <v>46240</v>
      </c>
      <c r="D44" s="78"/>
      <c r="E44" s="78" t="n">
        <v>1.93</v>
      </c>
      <c r="F44" s="65"/>
      <c r="G44" s="79" t="n">
        <v>319.53</v>
      </c>
      <c r="H44" s="80" t="str">
        <f aca="false" t="array" ref="H44:H44">IFERROR(INDEX(_xlfn.stockhistory(A44,TODAY()-5,TODAY(),0,0,1),ROWS(_xlfn.stockhistory(A44,TODAY()-5,TODAY(),0,0,1)),1),"")</f>
        <v/>
      </c>
      <c r="I44" s="19" t="str">
        <f aca="false">IF(OR(G44="",H44=""),"",H44/G44-1)</f>
        <v/>
      </c>
      <c r="J44" s="81" t="n">
        <v>46316</v>
      </c>
      <c r="K44" s="78" t="s">
        <v>212</v>
      </c>
      <c r="L44" s="76"/>
      <c r="M44" s="78" t="s">
        <v>212</v>
      </c>
      <c r="N44" s="76"/>
      <c r="O44" s="82" t="n">
        <f aca="true">IF(C44="","",TODAY()-C44)</f>
        <v>55</v>
      </c>
      <c r="P44" s="15" t="str">
        <f aca="true">IF(A44="","",IF(O44&gt;180,"DUE — STALE (&gt;180 days)",IF(J44&lt;&gt;"",IF(ABS(J44-TODAY())&lt;=7,"DUE — EARNINGS WINDOW",IF(I44&lt;&gt;"",IF(ABS(I44)&gt;=0.2,"DUE — PRICE MOVE ±20%",IF(K44="Y","DUE — INSIDER ACTIVITY",IF(I44&lt;&gt;"",IF(ABS(I44)&gt;=0.15,"WATCH — PRICE MOVE ±15%",IF(M44="Y","WATCH — ANALYST SHIFT","Monitor Only")),IF(M44="Y","WATCH — ANALYST SHIFT","Monitor Only")))),IF(K44="Y","DUE — INSIDER ACTIVITY",IF(I44&lt;&gt;"",IF(ABS(I44)&gt;=0.15,"WATCH — PRICE MOVE ±15%",IF(M44="Y","WATCH — ANALYST SHIFT","Monitor Only")),IF(M44="Y","WATCH — ANALYST SHIFT","Monitor Only"))))),IF(I44&lt;&gt;"",IF(ABS(I44)&gt;=0.2,"DUE — PRICE MOVE ±20%",IF(K44="Y","DUE — INSIDER ACTIVITY",IF(I44&lt;&gt;"",IF(ABS(I44)&gt;=0.15,"WATCH — PRICE MOVE ±15%",IF(M44="Y","WATCH — ANALYST SHIFT","Monitor Only")),IF(M44="Y","WATCH — ANALYST SHIFT","Monitor Only")))),IF(K44="Y","DUE — INSIDER ACTIVITY",IF(I44&lt;&gt;"",IF(ABS(I44)&gt;=0.15,"WATCH — PRICE MOVE ±15%",IF(M44="Y","WATCH — ANALYST SHIFT","Monitor Only")),IF(M44="Y","WATCH — ANALYST SHIFT","Monitor Only")))))))</f>
        <v>Monitor Only</v>
      </c>
      <c r="Q44" s="76"/>
    </row>
    <row r="45" customFormat="false" ht="15" hidden="false" customHeight="true" outlineLevel="0" collapsed="false">
      <c r="A45" s="75" t="s">
        <v>118</v>
      </c>
      <c r="B45" s="78" t="s">
        <v>210</v>
      </c>
      <c r="C45" s="77" t="n">
        <v>46245</v>
      </c>
      <c r="D45" s="78" t="n">
        <v>86.4</v>
      </c>
      <c r="E45" s="78" t="n">
        <v>4.57</v>
      </c>
      <c r="F45" s="65" t="s">
        <v>211</v>
      </c>
      <c r="G45" s="79" t="n">
        <v>362.82</v>
      </c>
      <c r="H45" s="80" t="str">
        <f aca="false" t="array" ref="H45:H45">IFERROR(INDEX(_xlfn.stockhistory(A45,TODAY()-5,TODAY(),0,0,1),ROWS(_xlfn.stockhistory(A45,TODAY()-5,TODAY(),0,0,1)),1),"")</f>
        <v/>
      </c>
      <c r="I45" s="19" t="str">
        <f aca="false">IF(OR(G45="",H45=""),"",H45/G45-1)</f>
        <v/>
      </c>
      <c r="J45" s="81" t="n">
        <v>46322</v>
      </c>
      <c r="K45" s="78" t="s">
        <v>213</v>
      </c>
      <c r="L45" s="76" t="s">
        <v>269</v>
      </c>
      <c r="M45" s="78" t="s">
        <v>212</v>
      </c>
      <c r="N45" s="76"/>
      <c r="O45" s="82" t="n">
        <f aca="true">IF(C45="","",TODAY()-C45)</f>
        <v>50</v>
      </c>
      <c r="P45" s="15" t="str">
        <f aca="true">IF(A45="","",IF(O45&gt;180,"DUE — STALE (&gt;180 days)",IF(J45&lt;&gt;"",IF(ABS(J45-TODAY())&lt;=7,"DUE — EARNINGS WINDOW",IF(I45&lt;&gt;"",IF(ABS(I45)&gt;=0.2,"DUE — PRICE MOVE ±20%",IF(K45="Y","DUE — INSIDER ACTIVITY",IF(I45&lt;&gt;"",IF(ABS(I45)&gt;=0.15,"WATCH — PRICE MOVE ±15%",IF(M45="Y","WATCH — ANALYST SHIFT","Monitor Only")),IF(M45="Y","WATCH — ANALYST SHIFT","Monitor Only")))),IF(K45="Y","DUE — INSIDER ACTIVITY",IF(I45&lt;&gt;"",IF(ABS(I45)&gt;=0.15,"WATCH — PRICE MOVE ±15%",IF(M45="Y","WATCH — ANALYST SHIFT","Monitor Only")),IF(M45="Y","WATCH — ANALYST SHIFT","Monitor Only"))))),IF(I45&lt;&gt;"",IF(ABS(I45)&gt;=0.2,"DUE — PRICE MOVE ±20%",IF(K45="Y","DUE — INSIDER ACTIVITY",IF(I45&lt;&gt;"",IF(ABS(I45)&gt;=0.15,"WATCH — PRICE MOVE ±15%",IF(M45="Y","WATCH — ANALYST SHIFT","Monitor Only")),IF(M45="Y","WATCH — ANALYST SHIFT","Monitor Only")))),IF(K45="Y","DUE — INSIDER ACTIVITY",IF(I45&lt;&gt;"",IF(ABS(I45)&gt;=0.15,"WATCH — PRICE MOVE ±15%",IF(M45="Y","WATCH — ANALYST SHIFT","Monitor Only")),IF(M45="Y","WATCH — ANALYST SHIFT","Monitor Only")))))))</f>
        <v>DUE — INSIDER ACTIVITY</v>
      </c>
      <c r="Q45" s="76"/>
    </row>
    <row r="46" customFormat="false" ht="15" hidden="true" customHeight="true" outlineLevel="1" collapsed="false">
      <c r="A46" s="75" t="s">
        <v>270</v>
      </c>
      <c r="B46" s="76" t="s">
        <v>225</v>
      </c>
      <c r="C46" s="77" t="n">
        <v>46246</v>
      </c>
      <c r="D46" s="78"/>
      <c r="E46" s="78" t="n">
        <v>2.86</v>
      </c>
      <c r="F46" s="65"/>
      <c r="G46" s="79" t="n">
        <v>14.57</v>
      </c>
      <c r="H46" s="80" t="str">
        <f aca="false" t="array" ref="H46:H46">IFERROR(INDEX(_xlfn.stockhistory(A46,TODAY()-5,TODAY(),0,0,1),ROWS(_xlfn.stockhistory(A46,TODAY()-5,TODAY(),0,0,1)),1),"")</f>
        <v/>
      </c>
      <c r="I46" s="19" t="str">
        <f aca="false">IF(OR(G46="",H46=""),"",H46/G46-1)</f>
        <v/>
      </c>
      <c r="J46" s="81" t="n">
        <v>46321</v>
      </c>
      <c r="K46" s="78" t="s">
        <v>213</v>
      </c>
      <c r="L46" s="76" t="s">
        <v>271</v>
      </c>
      <c r="M46" s="78" t="s">
        <v>212</v>
      </c>
      <c r="N46" s="76"/>
      <c r="O46" s="82" t="n">
        <f aca="true">IF(C46="","",TODAY()-C46)</f>
        <v>49</v>
      </c>
      <c r="P46" s="15" t="str">
        <f aca="true">IF(A46="","",IF(O46&gt;180,"DUE — STALE (&gt;180 days)",IF(J46&lt;&gt;"",IF(ABS(J46-TODAY())&lt;=7,"DUE — EARNINGS WINDOW",IF(I46&lt;&gt;"",IF(ABS(I46)&gt;=0.2,"DUE — PRICE MOVE ±20%",IF(K46="Y","DUE — INSIDER ACTIVITY",IF(I46&lt;&gt;"",IF(ABS(I46)&gt;=0.15,"WATCH — PRICE MOVE ±15%",IF(M46="Y","WATCH — ANALYST SHIFT","Monitor Only")),IF(M46="Y","WATCH — ANALYST SHIFT","Monitor Only")))),IF(K46="Y","DUE — INSIDER ACTIVITY",IF(I46&lt;&gt;"",IF(ABS(I46)&gt;=0.15,"WATCH — PRICE MOVE ±15%",IF(M46="Y","WATCH — ANALYST SHIFT","Monitor Only")),IF(M46="Y","WATCH — ANALYST SHIFT","Monitor Only"))))),IF(I46&lt;&gt;"",IF(ABS(I46)&gt;=0.2,"DUE — PRICE MOVE ±20%",IF(K46="Y","DUE — INSIDER ACTIVITY",IF(I46&lt;&gt;"",IF(ABS(I46)&gt;=0.15,"WATCH — PRICE MOVE ±15%",IF(M46="Y","WATCH — ANALYST SHIFT","Monitor Only")),IF(M46="Y","WATCH — ANALYST SHIFT","Monitor Only")))),IF(K46="Y","DUE — INSIDER ACTIVITY",IF(I46&lt;&gt;"",IF(ABS(I46)&gt;=0.15,"WATCH — PRICE MOVE ±15%",IF(M46="Y","WATCH — ANALYST SHIFT","Monitor Only")),IF(M46="Y","WATCH — ANALYST SHIFT","Monitor Only")))))))</f>
        <v>DUE — INSIDER ACTIVITY</v>
      </c>
      <c r="Q46" s="76"/>
    </row>
    <row r="47" customFormat="false" ht="15" hidden="false" customHeight="true" outlineLevel="0" collapsed="false">
      <c r="A47" s="75" t="s">
        <v>272</v>
      </c>
      <c r="B47" s="73" t="s">
        <v>231</v>
      </c>
      <c r="C47" s="77" t="n">
        <v>46245</v>
      </c>
      <c r="D47" s="78"/>
      <c r="E47" s="78" t="n">
        <v>4.29</v>
      </c>
      <c r="F47" s="65"/>
      <c r="G47" s="79" t="n">
        <v>144.75</v>
      </c>
      <c r="H47" s="80" t="str">
        <f aca="false" t="array" ref="H47:H47">IFERROR(INDEX(_xlfn.stockhistory(A47,TODAY()-5,TODAY(),0,0,1),ROWS(_xlfn.stockhistory(A47,TODAY()-5,TODAY(),0,0,1)),1),"")</f>
        <v/>
      </c>
      <c r="I47" s="19" t="str">
        <f aca="false">IF(OR(G47="",H47=""),"",H47/G47-1)</f>
        <v/>
      </c>
      <c r="J47" s="81" t="n">
        <v>46329</v>
      </c>
      <c r="K47" s="78" t="s">
        <v>213</v>
      </c>
      <c r="L47" s="76" t="s">
        <v>273</v>
      </c>
      <c r="M47" s="78" t="s">
        <v>212</v>
      </c>
      <c r="N47" s="76"/>
      <c r="O47" s="82" t="n">
        <f aca="true">IF(C47="","",TODAY()-C47)</f>
        <v>50</v>
      </c>
      <c r="P47" s="15" t="str">
        <f aca="true">IF(A47="","",IF(O47&gt;180,"DUE — STALE (&gt;180 days)",IF(J47&lt;&gt;"",IF(ABS(J47-TODAY())&lt;=7,"DUE — EARNINGS WINDOW",IF(I47&lt;&gt;"",IF(ABS(I47)&gt;=0.2,"DUE — PRICE MOVE ±20%",IF(K47="Y","DUE — INSIDER ACTIVITY",IF(I47&lt;&gt;"",IF(ABS(I47)&gt;=0.15,"WATCH — PRICE MOVE ±15%",IF(M47="Y","WATCH — ANALYST SHIFT","Monitor Only")),IF(M47="Y","WATCH — ANALYST SHIFT","Monitor Only")))),IF(K47="Y","DUE — INSIDER ACTIVITY",IF(I47&lt;&gt;"",IF(ABS(I47)&gt;=0.15,"WATCH — PRICE MOVE ±15%",IF(M47="Y","WATCH — ANALYST SHIFT","Monitor Only")),IF(M47="Y","WATCH — ANALYST SHIFT","Monitor Only"))))),IF(I47&lt;&gt;"",IF(ABS(I47)&gt;=0.2,"DUE — PRICE MOVE ±20%",IF(K47="Y","DUE — INSIDER ACTIVITY",IF(I47&lt;&gt;"",IF(ABS(I47)&gt;=0.15,"WATCH — PRICE MOVE ±15%",IF(M47="Y","WATCH — ANALYST SHIFT","Monitor Only")),IF(M47="Y","WATCH — ANALYST SHIFT","Monitor Only")))),IF(K47="Y","DUE — INSIDER ACTIVITY",IF(I47&lt;&gt;"",IF(ABS(I47)&gt;=0.15,"WATCH — PRICE MOVE ±15%",IF(M47="Y","WATCH — ANALYST SHIFT","Monitor Only")),IF(M47="Y","WATCH — ANALYST SHIFT","Monitor Only")))))))</f>
        <v>DUE — INSIDER ACTIVITY</v>
      </c>
      <c r="Q47" s="76"/>
    </row>
    <row r="48" customFormat="false" ht="15" hidden="false" customHeight="true" outlineLevel="0" collapsed="false">
      <c r="A48" s="62" t="s">
        <v>274</v>
      </c>
      <c r="B48" s="73" t="s">
        <v>231</v>
      </c>
      <c r="C48" s="64" t="n">
        <v>46276</v>
      </c>
      <c r="D48" s="63"/>
      <c r="E48" s="63" t="n">
        <v>4</v>
      </c>
      <c r="F48" s="65"/>
      <c r="G48" s="66" t="n">
        <v>63.85</v>
      </c>
      <c r="H48" s="67" t="str">
        <f aca="false" t="array" ref="H48:H48">IFERROR(INDEX(_xlfn.stockhistory(A48,TODAY()-5,TODAY(),0,0,1),ROWS(_xlfn.stockhistory(A48,TODAY()-5,TODAY(),0,0,1)),1),"")</f>
        <v/>
      </c>
      <c r="I48" s="68" t="str">
        <f aca="false">IF(OR(G48="",H48=""),"",H48/G48-1)</f>
        <v/>
      </c>
      <c r="J48" s="69" t="n">
        <v>46329</v>
      </c>
      <c r="K48" s="63" t="s">
        <v>212</v>
      </c>
      <c r="L48" s="70"/>
      <c r="M48" s="63" t="s">
        <v>212</v>
      </c>
      <c r="N48" s="70"/>
      <c r="O48" s="71" t="n">
        <f aca="true">IF(C48="","",TODAY()-C48)</f>
        <v>19</v>
      </c>
      <c r="P48" s="72" t="str">
        <f aca="true">IF(A48="","",IF(O48&gt;180,"DUE — STALE (&gt;180 days)",IF(J48&lt;&gt;"",IF(ABS(J48-TODAY())&lt;=7,"DUE — EARNINGS WINDOW",IF(I48&lt;&gt;"",IF(ABS(I48)&gt;=0.2,"DUE — PRICE MOVE ±20%",IF(K48="Y","DUE — INSIDER ACTIVITY",IF(I48&lt;&gt;"",IF(ABS(I48)&gt;=0.15,"WATCH — PRICE MOVE ±15%",IF(M48="Y","WATCH — ANALYST SHIFT","Monitor Only")),IF(M48="Y","WATCH — ANALYST SHIFT","Monitor Only")))),IF(K48="Y","DUE — INSIDER ACTIVITY",IF(I48&lt;&gt;"",IF(ABS(I48)&gt;=0.15,"WATCH — PRICE MOVE ±15%",IF(M48="Y","WATCH — ANALYST SHIFT","Monitor Only")),IF(M48="Y","WATCH — ANALYST SHIFT","Monitor Only"))))),IF(I48&lt;&gt;"",IF(ABS(I48)&gt;=0.2,"DUE — PRICE MOVE ±20%",IF(K48="Y","DUE — INSIDER ACTIVITY",IF(I48&lt;&gt;"",IF(ABS(I48)&gt;=0.15,"WATCH — PRICE MOVE ±15%",IF(M48="Y","WATCH — ANALYST SHIFT","Monitor Only")),IF(M48="Y","WATCH — ANALYST SHIFT","Monitor Only")))),IF(K48="Y","DUE — INSIDER ACTIVITY",IF(I48&lt;&gt;"",IF(ABS(I48)&gt;=0.15,"WATCH — PRICE MOVE ±15%",IF(M48="Y","WATCH — ANALYST SHIFT","Monitor Only")),IF(M48="Y","WATCH — ANALYST SHIFT","Monitor Only")))))))</f>
        <v>Monitor Only</v>
      </c>
      <c r="Q48" s="70" t="s">
        <v>275</v>
      </c>
    </row>
  </sheetData>
  <mergeCells count="1">
    <mergeCell ref="A1:Q1"/>
  </mergeCells>
  <conditionalFormatting sqref="F3:F47">
    <cfRule type="cellIs" priority="2" operator="equal" aboveAverage="0" equalAverage="0" bottom="0" percent="0" rank="0" text="" dxfId="17">
      <formula>"STRONG BUY"</formula>
    </cfRule>
    <cfRule type="cellIs" priority="3" operator="equal" aboveAverage="0" equalAverage="0" bottom="0" percent="0" rank="0" text="" dxfId="18">
      <formula>"BUY"</formula>
    </cfRule>
    <cfRule type="cellIs" priority="4" operator="equal" aboveAverage="0" equalAverage="0" bottom="0" percent="0" rank="0" text="" dxfId="19">
      <formula>"WATCH LIST"</formula>
    </cfRule>
    <cfRule type="cellIs" priority="5" operator="equal" aboveAverage="0" equalAverage="0" bottom="0" percent="0" rank="0" text="" dxfId="20">
      <formula>"AVOID"</formula>
    </cfRule>
    <cfRule type="cellIs" priority="6" operator="equal" aboveAverage="0" equalAverage="0" bottom="0" percent="0" rank="0" text="" dxfId="0">
      <formula>"PASS"</formula>
    </cfRule>
  </conditionalFormatting>
  <conditionalFormatting sqref="P3:P47">
    <cfRule type="expression" priority="7" aboveAverage="0" equalAverage="0" bottom="0" percent="0" rank="0" text="" dxfId="0">
      <formula>ISNUMBER(SEARCH("DUE",O3))</formula>
    </cfRule>
    <cfRule type="expression" priority="8" aboveAverage="0" equalAverage="0" bottom="0" percent="0" rank="0" text="" dxfId="19">
      <formula>ISNUMBER(SEARCH("WATCH",O3))</formula>
    </cfRule>
    <cfRule type="expression" priority="9" aboveAverage="0" equalAverage="0" bottom="0" percent="0" rank="0" text="" dxfId="21">
      <formula>O3="Monitor Only"</formula>
    </cfRule>
  </conditionalFormatting>
  <conditionalFormatting sqref="B3:B47">
    <cfRule type="expression" priority="10" aboveAverage="0" equalAverage="0" bottom="0" percent="0" rank="0" text="" dxfId="20">
      <formula>ISNUMBER(SEARCH("AVOID",B3))</formula>
    </cfRule>
  </conditionalFormatting>
  <dataValidations count="2">
    <dataValidation allowBlank="true" errorStyle="stop" operator="between" showDropDown="false" showErrorMessage="false" showInputMessage="false" sqref="B19:B42" type="list">
      <formula1>"Owned,Owned - Tier1 AVOID,Closed,Watch List,Tier-1 Avoid (external),Near-Miss"</formula1>
      <formula2>0</formula2>
    </dataValidation>
    <dataValidation allowBlank="true" errorStyle="stop" operator="between" showDropDown="false" showErrorMessage="false" showInputMessage="false" sqref="K3:K42 M3:M42" type="list">
      <formula1>"Y,N"</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Q128" activeCellId="0" sqref="Q128"/>
    </sheetView>
  </sheetViews>
  <sheetFormatPr defaultColWidth="8.66796875" defaultRowHeight="13.5" customHeight="false" zeroHeight="false" outlineLevelRow="0" outlineLevelCol="0"/>
  <cols>
    <col collapsed="false" customWidth="true" hidden="false" outlineLevel="0" max="1" min="1" style="83" width="12"/>
    <col collapsed="false" customWidth="true" hidden="false" outlineLevel="0" max="2" min="2" style="83" width="6.67"/>
    <col collapsed="false" customWidth="true" hidden="false" outlineLevel="0" max="3" min="3" style="83" width="6.56"/>
    <col collapsed="false" customWidth="true" hidden="false" outlineLevel="0" max="5" min="4" style="83" width="7"/>
    <col collapsed="false" customWidth="true" hidden="false" outlineLevel="0" max="6" min="6" style="83" width="7.11"/>
    <col collapsed="false" customWidth="true" hidden="false" outlineLevel="0" max="7" min="7" style="83" width="6.56"/>
    <col collapsed="false" customWidth="true" hidden="false" outlineLevel="0" max="8" min="8" style="83" width="7"/>
    <col collapsed="false" customWidth="true" hidden="false" outlineLevel="0" max="9" min="9" style="83" width="6.77"/>
    <col collapsed="false" customWidth="true" hidden="false" outlineLevel="0" max="10" min="10" style="83" width="5.66"/>
    <col collapsed="false" customWidth="true" hidden="false" outlineLevel="0" max="11" min="11" style="83" width="6.11"/>
    <col collapsed="false" customWidth="true" hidden="false" outlineLevel="0" max="13" min="12" style="83" width="5.66"/>
    <col collapsed="false" customWidth="true" hidden="false" outlineLevel="0" max="14" min="14" style="83" width="6.56"/>
    <col collapsed="false" customWidth="true" hidden="false" outlineLevel="0" max="15" min="15" style="83" width="6.77"/>
    <col collapsed="false" customWidth="true" hidden="false" outlineLevel="0" max="16" min="16" style="83" width="4.44"/>
    <col collapsed="false" customWidth="true" hidden="false" outlineLevel="0" max="17" min="17" style="83" width="6.56"/>
    <col collapsed="false" customWidth="true" hidden="false" outlineLevel="0" max="18" min="18" style="83" width="6.33"/>
    <col collapsed="false" customWidth="true" hidden="false" outlineLevel="0" max="19" min="19" style="83" width="6.77"/>
    <col collapsed="false" customWidth="true" hidden="false" outlineLevel="0" max="20" min="20" style="83" width="6.56"/>
    <col collapsed="false" customWidth="true" hidden="false" outlineLevel="0" max="21" min="21" style="83" width="3.76"/>
    <col collapsed="false" customWidth="true" hidden="false" outlineLevel="0" max="22" min="22" style="83" width="6.56"/>
    <col collapsed="false" customWidth="true" hidden="false" outlineLevel="0" max="27" min="23" style="83" width="5.66"/>
    <col collapsed="false" customWidth="false" hidden="false" outlineLevel="0" max="16384" min="28" style="83" width="8.67"/>
  </cols>
  <sheetData>
    <row r="1" customFormat="false" ht="25.5" hidden="false" customHeight="true" outlineLevel="0" collapsed="false">
      <c r="A1" s="84" t="s">
        <v>276</v>
      </c>
      <c r="B1" s="85"/>
      <c r="C1" s="85"/>
      <c r="D1" s="85"/>
      <c r="E1" s="85"/>
      <c r="F1" s="85"/>
      <c r="G1" s="85"/>
      <c r="H1" s="85"/>
      <c r="I1" s="85"/>
      <c r="J1" s="85"/>
      <c r="K1" s="85"/>
      <c r="L1" s="85"/>
      <c r="M1" s="85"/>
      <c r="N1" s="85"/>
      <c r="O1" s="85"/>
      <c r="P1" s="85"/>
      <c r="Q1" s="85"/>
    </row>
    <row r="2" customFormat="false" ht="15" hidden="false" customHeight="true" outlineLevel="0" collapsed="false">
      <c r="A2" s="86" t="s">
        <v>277</v>
      </c>
      <c r="B2" s="86" t="s">
        <v>95</v>
      </c>
      <c r="C2" s="86" t="s">
        <v>100</v>
      </c>
      <c r="D2" s="86" t="s">
        <v>102</v>
      </c>
      <c r="E2" s="86" t="s">
        <v>165</v>
      </c>
      <c r="F2" s="86" t="s">
        <v>156</v>
      </c>
      <c r="G2" s="86" t="s">
        <v>104</v>
      </c>
      <c r="H2" s="86" t="s">
        <v>126</v>
      </c>
      <c r="I2" s="86" t="s">
        <v>106</v>
      </c>
      <c r="J2" s="86" t="s">
        <v>108</v>
      </c>
      <c r="K2" s="86" t="s">
        <v>110</v>
      </c>
      <c r="L2" s="86" t="s">
        <v>170</v>
      </c>
      <c r="M2" s="86" t="s">
        <v>112</v>
      </c>
      <c r="N2" s="86" t="s">
        <v>132</v>
      </c>
      <c r="O2" s="86" t="s">
        <v>138</v>
      </c>
      <c r="P2" s="86" t="s">
        <v>114</v>
      </c>
      <c r="Q2" s="86" t="s">
        <v>118</v>
      </c>
      <c r="R2" s="86" t="s">
        <v>152</v>
      </c>
      <c r="S2" s="86" t="s">
        <v>138</v>
      </c>
      <c r="T2" s="86" t="s">
        <v>129</v>
      </c>
      <c r="U2" s="86"/>
      <c r="V2" s="86" t="s">
        <v>118</v>
      </c>
      <c r="W2" s="86"/>
      <c r="X2" s="86"/>
      <c r="Y2" s="86"/>
      <c r="Z2" s="86"/>
      <c r="AA2" s="86"/>
    </row>
    <row r="3" customFormat="false" ht="15" hidden="false" customHeight="true" outlineLevel="0" collapsed="false">
      <c r="A3" s="87" t="n">
        <v>45184</v>
      </c>
      <c r="B3" s="88" t="n">
        <v>528.89</v>
      </c>
      <c r="C3" s="88" t="n">
        <v>46.18</v>
      </c>
      <c r="D3" s="88" t="n">
        <v>582.01</v>
      </c>
      <c r="E3" s="88" t="n">
        <v>82</v>
      </c>
      <c r="F3" s="88" t="n">
        <v>75.31</v>
      </c>
      <c r="G3" s="88" t="n">
        <v>41.36</v>
      </c>
      <c r="H3" s="88" t="n">
        <v>100.59</v>
      </c>
      <c r="I3" s="88" t="n">
        <v>44.35</v>
      </c>
      <c r="J3" s="88" t="n">
        <v>69.11</v>
      </c>
      <c r="K3" s="88" t="n">
        <v>43.77</v>
      </c>
      <c r="L3" s="88" t="n">
        <v>111.84</v>
      </c>
      <c r="M3" s="88" t="n">
        <v>15.33</v>
      </c>
      <c r="N3" s="88" t="n">
        <v>21.8</v>
      </c>
      <c r="O3" s="88" t="n">
        <v>57.63</v>
      </c>
      <c r="P3" s="88" t="n">
        <v>85.75</v>
      </c>
      <c r="Q3" s="88" t="n">
        <v>235.63</v>
      </c>
      <c r="R3" s="88" t="n">
        <v>47.82</v>
      </c>
      <c r="S3" s="88" t="n">
        <v>58.54</v>
      </c>
      <c r="T3" s="88" t="n">
        <v>26.91</v>
      </c>
      <c r="U3" s="88"/>
      <c r="V3" s="88"/>
      <c r="W3" s="88"/>
      <c r="X3" s="88"/>
      <c r="Y3" s="88"/>
      <c r="Z3" s="88"/>
      <c r="AA3" s="88"/>
    </row>
    <row r="4" customFormat="false" ht="15" hidden="false" customHeight="true" outlineLevel="0" collapsed="false">
      <c r="A4" s="69" t="n">
        <v>45191</v>
      </c>
      <c r="B4" s="66" t="n">
        <v>512.9</v>
      </c>
      <c r="C4" s="66" t="n">
        <v>45.08</v>
      </c>
      <c r="D4" s="66" t="n">
        <v>572.69</v>
      </c>
      <c r="E4" s="66" t="n">
        <v>80.26</v>
      </c>
      <c r="F4" s="66" t="n">
        <v>73.11</v>
      </c>
      <c r="G4" s="66" t="n">
        <v>40.64</v>
      </c>
      <c r="H4" s="66" t="n">
        <v>98.44</v>
      </c>
      <c r="I4" s="66" t="n">
        <v>44.12</v>
      </c>
      <c r="J4" s="66" t="n">
        <v>68.12</v>
      </c>
      <c r="K4" s="66" t="n">
        <v>41.49</v>
      </c>
      <c r="L4" s="66" t="n">
        <v>103.57</v>
      </c>
      <c r="M4" s="66" t="n">
        <v>14.13</v>
      </c>
      <c r="N4" s="66" t="n">
        <v>21.3</v>
      </c>
      <c r="O4" s="66" t="n">
        <v>56.23</v>
      </c>
      <c r="P4" s="66" t="n">
        <v>82.28</v>
      </c>
      <c r="Q4" s="66" t="n">
        <v>229.78</v>
      </c>
      <c r="R4" s="66" t="n">
        <v>46.93</v>
      </c>
      <c r="S4" s="66" t="n">
        <v>58.05</v>
      </c>
      <c r="T4" s="66" t="n">
        <v>26.19</v>
      </c>
      <c r="U4" s="66"/>
      <c r="V4" s="66"/>
      <c r="W4" s="66"/>
      <c r="X4" s="66"/>
      <c r="Y4" s="66"/>
      <c r="Z4" s="66"/>
      <c r="AA4" s="66"/>
    </row>
    <row r="5" customFormat="false" ht="15" hidden="false" customHeight="true" outlineLevel="0" collapsed="false">
      <c r="A5" s="69" t="n">
        <v>45198</v>
      </c>
      <c r="B5" s="66" t="n">
        <v>509.9</v>
      </c>
      <c r="C5" s="66" t="n">
        <v>45.98</v>
      </c>
      <c r="D5" s="66" t="n">
        <v>574.21</v>
      </c>
      <c r="E5" s="66" t="n">
        <v>80.41</v>
      </c>
      <c r="F5" s="66" t="n">
        <v>74.31</v>
      </c>
      <c r="G5" s="66" t="n">
        <v>41.85</v>
      </c>
      <c r="H5" s="66" t="n">
        <v>96.59</v>
      </c>
      <c r="I5" s="66" t="n">
        <v>44.79</v>
      </c>
      <c r="J5" s="66" t="n">
        <v>67.28</v>
      </c>
      <c r="K5" s="66" t="n">
        <v>43.37</v>
      </c>
      <c r="L5" s="66" t="n">
        <v>101.88</v>
      </c>
      <c r="M5" s="66" t="n">
        <v>16</v>
      </c>
      <c r="N5" s="66" t="n">
        <v>21.14</v>
      </c>
      <c r="O5" s="66" t="n">
        <v>56.06</v>
      </c>
      <c r="P5" s="66" t="n">
        <v>83.49</v>
      </c>
      <c r="Q5" s="66" t="n">
        <v>224.82</v>
      </c>
      <c r="R5" s="66" t="n">
        <v>47.68</v>
      </c>
      <c r="S5" s="66" t="n">
        <v>57.89</v>
      </c>
      <c r="T5" s="66" t="n">
        <v>25.98</v>
      </c>
      <c r="U5" s="66"/>
      <c r="V5" s="66"/>
      <c r="W5" s="66"/>
      <c r="X5" s="66"/>
      <c r="Y5" s="66"/>
      <c r="Z5" s="66"/>
      <c r="AA5" s="66"/>
    </row>
    <row r="6" customFormat="false" ht="15" hidden="false" customHeight="true" outlineLevel="0" collapsed="false">
      <c r="A6" s="69" t="n">
        <v>45205</v>
      </c>
      <c r="B6" s="66" t="n">
        <v>526.68</v>
      </c>
      <c r="C6" s="66" t="n">
        <v>48.51</v>
      </c>
      <c r="D6" s="66" t="n">
        <v>582.69</v>
      </c>
      <c r="E6" s="66" t="n">
        <v>81.83</v>
      </c>
      <c r="F6" s="66" t="n">
        <v>72.07</v>
      </c>
      <c r="G6" s="66" t="n">
        <v>44.17</v>
      </c>
      <c r="H6" s="66" t="n">
        <v>94.44</v>
      </c>
      <c r="I6" s="66" t="n">
        <v>45.7</v>
      </c>
      <c r="J6" s="66" t="n">
        <v>69.3</v>
      </c>
      <c r="K6" s="66" t="n">
        <v>45.63</v>
      </c>
      <c r="L6" s="66" t="n">
        <v>98.88</v>
      </c>
      <c r="M6" s="66" t="n">
        <v>16.61</v>
      </c>
      <c r="N6" s="66" t="n">
        <v>20.8</v>
      </c>
      <c r="O6" s="66" t="n">
        <v>56.68</v>
      </c>
      <c r="P6" s="66" t="n">
        <v>85.79</v>
      </c>
      <c r="Q6" s="66" t="n">
        <v>229.74</v>
      </c>
      <c r="R6" s="66" t="n">
        <v>48.55</v>
      </c>
      <c r="S6" s="66" t="n">
        <v>58.82</v>
      </c>
      <c r="T6" s="66" t="n">
        <v>26.66</v>
      </c>
      <c r="U6" s="66"/>
      <c r="V6" s="66"/>
      <c r="W6" s="66"/>
      <c r="X6" s="66"/>
      <c r="Y6" s="66"/>
      <c r="Z6" s="66"/>
      <c r="AA6" s="66"/>
    </row>
    <row r="7" customFormat="false" ht="15" hidden="false" customHeight="true" outlineLevel="0" collapsed="false">
      <c r="A7" s="69" t="n">
        <v>45212</v>
      </c>
      <c r="B7" s="66" t="n">
        <v>548.76</v>
      </c>
      <c r="C7" s="66" t="n">
        <v>47.46</v>
      </c>
      <c r="D7" s="66" t="n">
        <v>585.03</v>
      </c>
      <c r="E7" s="66" t="n">
        <v>85.5</v>
      </c>
      <c r="F7" s="66" t="n">
        <v>72.26</v>
      </c>
      <c r="G7" s="66" t="n">
        <v>46.43</v>
      </c>
      <c r="H7" s="66" t="n">
        <v>95.73</v>
      </c>
      <c r="I7" s="66" t="n">
        <v>47.54</v>
      </c>
      <c r="J7" s="66" t="n">
        <v>68.56</v>
      </c>
      <c r="K7" s="66" t="n">
        <v>45.33</v>
      </c>
      <c r="L7" s="66" t="n">
        <v>99.56</v>
      </c>
      <c r="M7" s="66" t="n">
        <v>17.36</v>
      </c>
      <c r="N7" s="66" t="n">
        <v>21.01</v>
      </c>
      <c r="O7" s="66" t="n">
        <v>57</v>
      </c>
      <c r="P7" s="66" t="n">
        <v>86.92</v>
      </c>
      <c r="Q7" s="66" t="n">
        <v>232.31</v>
      </c>
      <c r="R7" s="66" t="n">
        <v>48.23</v>
      </c>
      <c r="S7" s="66" t="n">
        <v>59.17</v>
      </c>
      <c r="T7" s="66" t="n">
        <v>26.47</v>
      </c>
      <c r="U7" s="66"/>
      <c r="V7" s="66" t="n">
        <v>241.71</v>
      </c>
      <c r="W7" s="66"/>
      <c r="X7" s="66"/>
      <c r="Y7" s="66"/>
      <c r="Z7" s="66"/>
      <c r="AA7" s="66"/>
    </row>
    <row r="8" customFormat="false" ht="15" hidden="false" customHeight="true" outlineLevel="0" collapsed="false">
      <c r="A8" s="69" t="n">
        <v>45219</v>
      </c>
      <c r="B8" s="66" t="n">
        <v>540.96</v>
      </c>
      <c r="C8" s="66" t="n">
        <v>46.53</v>
      </c>
      <c r="D8" s="66" t="n">
        <v>565.86</v>
      </c>
      <c r="E8" s="66" t="n">
        <v>82.64</v>
      </c>
      <c r="F8" s="66" t="n">
        <v>71.05</v>
      </c>
      <c r="G8" s="66" t="n">
        <v>44.69</v>
      </c>
      <c r="H8" s="66" t="n">
        <v>93.91</v>
      </c>
      <c r="I8" s="66" t="n">
        <v>45.16</v>
      </c>
      <c r="J8" s="66" t="n">
        <v>66.59</v>
      </c>
      <c r="K8" s="66" t="n">
        <v>41.26</v>
      </c>
      <c r="L8" s="66" t="n">
        <v>93</v>
      </c>
      <c r="M8" s="66" t="n">
        <v>16.11</v>
      </c>
      <c r="N8" s="66" t="n">
        <v>20.7</v>
      </c>
      <c r="O8" s="66" t="n">
        <v>55.35</v>
      </c>
      <c r="P8" s="66" t="n">
        <v>87.73</v>
      </c>
      <c r="Q8" s="66" t="n">
        <v>228.12</v>
      </c>
      <c r="R8" s="66" t="n">
        <v>48.21</v>
      </c>
      <c r="S8" s="66" t="n">
        <v>59.17</v>
      </c>
      <c r="T8" s="66" t="n">
        <v>26.3</v>
      </c>
      <c r="U8" s="66"/>
      <c r="V8" s="66" t="n">
        <v>235.63</v>
      </c>
      <c r="W8" s="66"/>
      <c r="X8" s="66"/>
      <c r="Y8" s="66"/>
      <c r="Z8" s="66"/>
      <c r="AA8" s="66"/>
    </row>
    <row r="9" customFormat="false" ht="15" hidden="false" customHeight="true" outlineLevel="0" collapsed="false">
      <c r="A9" s="69" t="n">
        <v>45226</v>
      </c>
      <c r="B9" s="66" t="n">
        <v>508.12</v>
      </c>
      <c r="C9" s="66" t="n">
        <v>44.05</v>
      </c>
      <c r="D9" s="66" t="n">
        <v>575.52</v>
      </c>
      <c r="E9" s="66" t="n">
        <v>81.16</v>
      </c>
      <c r="F9" s="66" t="n">
        <v>69.95</v>
      </c>
      <c r="G9" s="66" t="n">
        <v>43.21</v>
      </c>
      <c r="H9" s="66" t="n">
        <v>92.4</v>
      </c>
      <c r="I9" s="66" t="n">
        <v>44.72</v>
      </c>
      <c r="J9" s="66" t="n">
        <v>65.03</v>
      </c>
      <c r="K9" s="66" t="n">
        <v>40.38</v>
      </c>
      <c r="L9" s="66" t="n">
        <v>88.36</v>
      </c>
      <c r="M9" s="66" t="n">
        <v>15.07</v>
      </c>
      <c r="N9" s="66" t="n">
        <v>19.99</v>
      </c>
      <c r="O9" s="66" t="n">
        <v>54.23</v>
      </c>
      <c r="P9" s="66" t="n">
        <v>82.62</v>
      </c>
      <c r="Q9" s="66" t="n">
        <v>224.1</v>
      </c>
      <c r="R9" s="66" t="n">
        <v>46.91</v>
      </c>
      <c r="S9" s="66" t="n">
        <v>57.46</v>
      </c>
      <c r="T9" s="66" t="n">
        <v>25.91</v>
      </c>
      <c r="U9" s="66"/>
      <c r="V9" s="66" t="n">
        <v>229.78</v>
      </c>
      <c r="W9" s="66"/>
      <c r="X9" s="66"/>
      <c r="Y9" s="66"/>
      <c r="Z9" s="66"/>
      <c r="AA9" s="66"/>
    </row>
    <row r="10" customFormat="false" ht="15" hidden="false" customHeight="true" outlineLevel="0" collapsed="false">
      <c r="A10" s="69" t="n">
        <v>45233</v>
      </c>
      <c r="B10" s="66" t="n">
        <v>563.66</v>
      </c>
      <c r="C10" s="66" t="n">
        <v>53.12</v>
      </c>
      <c r="D10" s="66" t="n">
        <v>628.24</v>
      </c>
      <c r="E10" s="66" t="n">
        <v>85.45</v>
      </c>
      <c r="F10" s="66" t="n">
        <v>74.96</v>
      </c>
      <c r="G10" s="66" t="n">
        <v>47.06</v>
      </c>
      <c r="H10" s="66" t="n">
        <v>97.82</v>
      </c>
      <c r="I10" s="66" t="n">
        <v>48.79</v>
      </c>
      <c r="J10" s="66" t="n">
        <v>71.9</v>
      </c>
      <c r="K10" s="66" t="n">
        <v>44.87</v>
      </c>
      <c r="L10" s="66" t="n">
        <v>96.74</v>
      </c>
      <c r="M10" s="66" t="n">
        <v>18.89</v>
      </c>
      <c r="N10" s="66" t="n">
        <v>20.99</v>
      </c>
      <c r="O10" s="66" t="n">
        <v>57.4</v>
      </c>
      <c r="P10" s="66" t="n">
        <v>88.19</v>
      </c>
      <c r="Q10" s="66" t="n">
        <v>238.11</v>
      </c>
      <c r="R10" s="66" t="n">
        <v>46.93</v>
      </c>
      <c r="S10" s="66" t="n">
        <v>57.28</v>
      </c>
      <c r="T10" s="66" t="n">
        <v>25.98</v>
      </c>
      <c r="U10" s="66"/>
      <c r="V10" s="66" t="n">
        <v>224.82</v>
      </c>
      <c r="W10" s="66"/>
      <c r="X10" s="66"/>
      <c r="Y10" s="66"/>
      <c r="Z10" s="66"/>
      <c r="AA10" s="66"/>
    </row>
    <row r="11" customFormat="false" ht="15" hidden="false" customHeight="true" outlineLevel="0" collapsed="false">
      <c r="A11" s="69" t="n">
        <v>45240</v>
      </c>
      <c r="B11" s="66" t="n">
        <v>597.22</v>
      </c>
      <c r="C11" s="66" t="n">
        <v>51.71</v>
      </c>
      <c r="D11" s="66" t="n">
        <v>646.7</v>
      </c>
      <c r="E11" s="66" t="n">
        <v>92.69</v>
      </c>
      <c r="F11" s="66" t="n">
        <v>72.4</v>
      </c>
      <c r="G11" s="66" t="n">
        <v>49.08</v>
      </c>
      <c r="H11" s="66" t="n">
        <v>95.61</v>
      </c>
      <c r="I11" s="66" t="n">
        <v>52.17</v>
      </c>
      <c r="J11" s="66" t="n">
        <v>74.65</v>
      </c>
      <c r="K11" s="66" t="n">
        <v>48.19</v>
      </c>
      <c r="L11" s="66" t="n">
        <v>94.93</v>
      </c>
      <c r="M11" s="66" t="n">
        <v>19.67</v>
      </c>
      <c r="N11" s="66" t="n">
        <v>20.75</v>
      </c>
      <c r="O11" s="66" t="n">
        <v>59.09</v>
      </c>
      <c r="P11" s="66" t="n">
        <v>93.62</v>
      </c>
      <c r="Q11" s="66" t="n">
        <v>240.23</v>
      </c>
      <c r="R11" s="66" t="n">
        <v>47.13</v>
      </c>
      <c r="S11" s="66" t="n">
        <v>57.92</v>
      </c>
      <c r="T11" s="66" t="n">
        <v>25.5</v>
      </c>
      <c r="U11" s="66"/>
      <c r="V11" s="66" t="n">
        <v>229.74</v>
      </c>
      <c r="W11" s="66"/>
      <c r="X11" s="66"/>
      <c r="Y11" s="66"/>
      <c r="Z11" s="66"/>
      <c r="AA11" s="66"/>
    </row>
    <row r="12" customFormat="false" ht="15" hidden="false" customHeight="true" outlineLevel="0" collapsed="false">
      <c r="A12" s="69" t="n">
        <v>45247</v>
      </c>
      <c r="B12" s="66" t="n">
        <v>602.66</v>
      </c>
      <c r="C12" s="66" t="n">
        <v>53.66</v>
      </c>
      <c r="D12" s="66" t="n">
        <v>670.96</v>
      </c>
      <c r="E12" s="66" t="n">
        <v>94.65</v>
      </c>
      <c r="F12" s="66" t="n">
        <v>76.42</v>
      </c>
      <c r="G12" s="66" t="n">
        <v>51.77</v>
      </c>
      <c r="H12" s="66" t="n">
        <v>99</v>
      </c>
      <c r="I12" s="66" t="n">
        <v>53.32</v>
      </c>
      <c r="J12" s="66" t="n">
        <v>76.83</v>
      </c>
      <c r="K12" s="66" t="n">
        <v>49.15</v>
      </c>
      <c r="L12" s="66" t="n">
        <v>99.94</v>
      </c>
      <c r="M12" s="66" t="n">
        <v>20.49</v>
      </c>
      <c r="N12" s="66" t="n">
        <v>21.25</v>
      </c>
      <c r="O12" s="66" t="n">
        <v>60.37</v>
      </c>
      <c r="P12" s="66" t="n">
        <v>95.68</v>
      </c>
      <c r="Q12" s="66" t="n">
        <v>244.45</v>
      </c>
      <c r="R12" s="66" t="n">
        <v>47.26</v>
      </c>
      <c r="S12" s="66" t="n">
        <v>58.25</v>
      </c>
      <c r="T12" s="66" t="n">
        <v>25.83</v>
      </c>
      <c r="U12" s="66"/>
      <c r="V12" s="66" t="n">
        <v>232.31</v>
      </c>
      <c r="W12" s="66"/>
      <c r="X12" s="66"/>
      <c r="Y12" s="66"/>
      <c r="Z12" s="66"/>
      <c r="AA12" s="66"/>
    </row>
    <row r="13" customFormat="false" ht="15" hidden="false" customHeight="true" outlineLevel="0" collapsed="false">
      <c r="A13" s="69" t="n">
        <v>45254</v>
      </c>
      <c r="B13" s="66" t="n">
        <v>619.43</v>
      </c>
      <c r="C13" s="66" t="n">
        <v>54.6</v>
      </c>
      <c r="D13" s="66" t="n">
        <v>675.94</v>
      </c>
      <c r="E13" s="66" t="n">
        <v>94.76</v>
      </c>
      <c r="F13" s="66" t="n">
        <v>76.43</v>
      </c>
      <c r="G13" s="66" t="n">
        <v>52.67</v>
      </c>
      <c r="H13" s="66" t="n">
        <v>99.35</v>
      </c>
      <c r="I13" s="66" t="n">
        <v>54.41</v>
      </c>
      <c r="J13" s="66" t="n">
        <v>76.15</v>
      </c>
      <c r="K13" s="66" t="n">
        <v>47.63</v>
      </c>
      <c r="L13" s="66" t="n">
        <v>101.69</v>
      </c>
      <c r="M13" s="66" t="n">
        <v>19.2</v>
      </c>
      <c r="N13" s="66" t="n">
        <v>21.45</v>
      </c>
      <c r="O13" s="66" t="n">
        <v>60.7</v>
      </c>
      <c r="P13" s="66" t="n">
        <v>94</v>
      </c>
      <c r="Q13" s="66" t="n">
        <v>249.1</v>
      </c>
      <c r="R13" s="66" t="n">
        <v>46.32</v>
      </c>
      <c r="S13" s="66" t="n">
        <v>56.56</v>
      </c>
      <c r="T13" s="66" t="n">
        <v>25.5</v>
      </c>
      <c r="U13" s="66"/>
      <c r="V13" s="66" t="n">
        <v>228.12</v>
      </c>
      <c r="W13" s="66"/>
      <c r="X13" s="66"/>
      <c r="Y13" s="66"/>
      <c r="Z13" s="66"/>
      <c r="AA13" s="66"/>
    </row>
    <row r="14" customFormat="false" ht="15" hidden="false" customHeight="true" outlineLevel="0" collapsed="false">
      <c r="A14" s="69" t="n">
        <v>45261</v>
      </c>
      <c r="B14" s="66" t="n">
        <v>612.47</v>
      </c>
      <c r="C14" s="66" t="n">
        <v>54.16</v>
      </c>
      <c r="D14" s="66" t="n">
        <v>676.94</v>
      </c>
      <c r="E14" s="66" t="n">
        <v>90.03</v>
      </c>
      <c r="F14" s="66" t="n">
        <v>78.99</v>
      </c>
      <c r="G14" s="66" t="n">
        <v>58.76</v>
      </c>
      <c r="H14" s="66" t="n">
        <v>102.26</v>
      </c>
      <c r="I14" s="66" t="n">
        <v>53.76</v>
      </c>
      <c r="J14" s="66" t="n">
        <v>75.22</v>
      </c>
      <c r="K14" s="66" t="n">
        <v>46.63</v>
      </c>
      <c r="L14" s="66" t="n">
        <v>107.37</v>
      </c>
      <c r="M14" s="66" t="n">
        <v>20.27</v>
      </c>
      <c r="N14" s="66" t="n">
        <v>21.85</v>
      </c>
      <c r="O14" s="66" t="n">
        <v>60.57</v>
      </c>
      <c r="P14" s="66" t="n">
        <v>94.69</v>
      </c>
      <c r="Q14" s="66" t="n">
        <v>251.2</v>
      </c>
      <c r="R14" s="66" t="n">
        <v>45.36</v>
      </c>
      <c r="S14" s="66" t="n">
        <v>55.42</v>
      </c>
      <c r="T14" s="66" t="n">
        <v>24.66</v>
      </c>
      <c r="U14" s="66"/>
      <c r="V14" s="66" t="n">
        <v>224.1</v>
      </c>
      <c r="W14" s="66"/>
      <c r="X14" s="66"/>
      <c r="Y14" s="66"/>
      <c r="Z14" s="66"/>
      <c r="AA14" s="66"/>
    </row>
    <row r="15" customFormat="false" ht="15" hidden="false" customHeight="true" outlineLevel="0" collapsed="false">
      <c r="A15" s="69" t="n">
        <v>45268</v>
      </c>
      <c r="B15" s="66" t="n">
        <v>610.01</v>
      </c>
      <c r="C15" s="66" t="n">
        <v>56.01</v>
      </c>
      <c r="D15" s="66" t="n">
        <v>681.07</v>
      </c>
      <c r="E15" s="66" t="n">
        <v>91.41</v>
      </c>
      <c r="F15" s="66" t="n">
        <v>79.65</v>
      </c>
      <c r="G15" s="66" t="n">
        <v>60.64</v>
      </c>
      <c r="H15" s="66" t="n">
        <v>102.48</v>
      </c>
      <c r="I15" s="66" t="n">
        <v>52.33</v>
      </c>
      <c r="J15" s="66" t="n">
        <v>74.26</v>
      </c>
      <c r="K15" s="66" t="n">
        <v>47.37</v>
      </c>
      <c r="L15" s="66" t="n">
        <v>108.82</v>
      </c>
      <c r="M15" s="66" t="n">
        <v>17.77</v>
      </c>
      <c r="N15" s="66" t="n">
        <v>21.89</v>
      </c>
      <c r="O15" s="66" t="n">
        <v>60.79</v>
      </c>
      <c r="P15" s="66" t="n">
        <v>96.42</v>
      </c>
      <c r="Q15" s="66" t="n">
        <v>250.51</v>
      </c>
      <c r="R15" s="66" t="n">
        <v>47.52</v>
      </c>
      <c r="S15" s="66" t="n">
        <v>58.65</v>
      </c>
      <c r="T15" s="66" t="n">
        <v>26.11</v>
      </c>
      <c r="U15" s="66"/>
      <c r="V15" s="66" t="n">
        <v>238.11</v>
      </c>
      <c r="W15" s="66"/>
      <c r="X15" s="66"/>
      <c r="Y15" s="66"/>
      <c r="Z15" s="66"/>
      <c r="AA15" s="66"/>
    </row>
    <row r="16" customFormat="false" ht="15" hidden="false" customHeight="true" outlineLevel="0" collapsed="false">
      <c r="A16" s="69" t="n">
        <v>45275</v>
      </c>
      <c r="B16" s="66" t="n">
        <v>584.68</v>
      </c>
      <c r="C16" s="66" t="n">
        <v>58.9</v>
      </c>
      <c r="D16" s="66" t="n">
        <v>736.36</v>
      </c>
      <c r="E16" s="66" t="n">
        <v>109.37</v>
      </c>
      <c r="F16" s="66" t="n">
        <v>84.02</v>
      </c>
      <c r="G16" s="66" t="n">
        <v>65.02</v>
      </c>
      <c r="H16" s="66" t="n">
        <v>105.54</v>
      </c>
      <c r="I16" s="66" t="n">
        <v>57.29</v>
      </c>
      <c r="J16" s="66" t="n">
        <v>80.64</v>
      </c>
      <c r="K16" s="66" t="n">
        <v>48.75</v>
      </c>
      <c r="L16" s="66" t="n">
        <v>122.68</v>
      </c>
      <c r="M16" s="66" t="n">
        <v>18.2</v>
      </c>
      <c r="N16" s="66" t="n">
        <v>22.77</v>
      </c>
      <c r="O16" s="66" t="n">
        <v>62.87</v>
      </c>
      <c r="P16" s="66" t="n">
        <v>98.99</v>
      </c>
      <c r="Q16" s="66" t="n">
        <v>252.75</v>
      </c>
      <c r="R16" s="66" t="n">
        <v>48.51</v>
      </c>
      <c r="S16" s="66" t="n">
        <v>60.38</v>
      </c>
      <c r="T16" s="66" t="n">
        <v>25.93</v>
      </c>
      <c r="U16" s="66"/>
      <c r="V16" s="66" t="n">
        <v>240.23</v>
      </c>
      <c r="W16" s="66"/>
      <c r="X16" s="66"/>
      <c r="Y16" s="66"/>
      <c r="Z16" s="66"/>
      <c r="AA16" s="66"/>
    </row>
    <row r="17" customFormat="false" ht="15" hidden="false" customHeight="true" outlineLevel="0" collapsed="false">
      <c r="A17" s="69" t="n">
        <v>45282</v>
      </c>
      <c r="B17" s="66" t="n">
        <v>598.75</v>
      </c>
      <c r="C17" s="66" t="n">
        <v>59.56</v>
      </c>
      <c r="D17" s="66" t="n">
        <v>735.94</v>
      </c>
      <c r="E17" s="66" t="n">
        <v>109.11</v>
      </c>
      <c r="F17" s="66" t="n">
        <v>86.35</v>
      </c>
      <c r="G17" s="66" t="n">
        <v>63.91</v>
      </c>
      <c r="H17" s="66" t="n">
        <v>105.82</v>
      </c>
      <c r="I17" s="66" t="n">
        <v>57.05</v>
      </c>
      <c r="J17" s="66" t="n">
        <v>85.68</v>
      </c>
      <c r="K17" s="66" t="n">
        <v>48.69</v>
      </c>
      <c r="L17" s="66" t="n">
        <v>120.98</v>
      </c>
      <c r="M17" s="66" t="n">
        <v>17.41</v>
      </c>
      <c r="N17" s="66" t="n">
        <v>22.89</v>
      </c>
      <c r="O17" s="66" t="n">
        <v>63.81</v>
      </c>
      <c r="P17" s="66" t="n">
        <v>99.57</v>
      </c>
      <c r="Q17" s="66" t="n">
        <v>253.14</v>
      </c>
      <c r="R17" s="66" t="n">
        <v>48.97</v>
      </c>
      <c r="S17" s="66" t="n">
        <v>61.69</v>
      </c>
      <c r="T17" s="66" t="n">
        <v>26.59</v>
      </c>
      <c r="U17" s="66"/>
      <c r="V17" s="66" t="n">
        <v>244.45</v>
      </c>
      <c r="W17" s="66"/>
      <c r="X17" s="66"/>
      <c r="Y17" s="66"/>
      <c r="Z17" s="66"/>
      <c r="AA17" s="66"/>
    </row>
    <row r="18" customFormat="false" ht="15" hidden="false" customHeight="true" outlineLevel="0" collapsed="false">
      <c r="A18" s="69" t="n">
        <v>45289</v>
      </c>
      <c r="B18" s="66" t="n">
        <v>596.6</v>
      </c>
      <c r="C18" s="66" t="n">
        <v>58.88</v>
      </c>
      <c r="D18" s="66" t="n">
        <v>740.23</v>
      </c>
      <c r="E18" s="66" t="n">
        <v>108.56</v>
      </c>
      <c r="F18" s="66" t="n">
        <v>86.03</v>
      </c>
      <c r="G18" s="66" t="n">
        <v>63.83</v>
      </c>
      <c r="H18" s="66" t="n">
        <v>106.25</v>
      </c>
      <c r="I18" s="66" t="n">
        <v>56.92</v>
      </c>
      <c r="J18" s="66" t="n">
        <v>84.65</v>
      </c>
      <c r="K18" s="66" t="n">
        <v>49.38</v>
      </c>
      <c r="L18" s="66" t="n">
        <v>121.8</v>
      </c>
      <c r="M18" s="66" t="n">
        <v>17.17</v>
      </c>
      <c r="N18" s="66" t="n">
        <v>22.98</v>
      </c>
      <c r="O18" s="66" t="n">
        <v>64.26</v>
      </c>
      <c r="P18" s="66" t="n">
        <v>100.4</v>
      </c>
      <c r="Q18" s="66" t="n">
        <v>255.02</v>
      </c>
      <c r="R18" s="66" t="n">
        <v>49.23</v>
      </c>
      <c r="S18" s="66" t="n">
        <v>62.03</v>
      </c>
      <c r="T18" s="66" t="n">
        <v>26.78</v>
      </c>
      <c r="U18" s="66"/>
      <c r="V18" s="66" t="n">
        <v>249.1</v>
      </c>
      <c r="W18" s="66"/>
      <c r="X18" s="66"/>
      <c r="Y18" s="66"/>
      <c r="Z18" s="66"/>
      <c r="AA18" s="66"/>
    </row>
    <row r="19" customFormat="false" ht="15" hidden="false" customHeight="true" outlineLevel="0" collapsed="false">
      <c r="A19" s="69" t="n">
        <v>45296</v>
      </c>
      <c r="B19" s="66" t="n">
        <v>564.6</v>
      </c>
      <c r="C19" s="66" t="n">
        <v>57.73</v>
      </c>
      <c r="D19" s="66" t="n">
        <v>687.83</v>
      </c>
      <c r="E19" s="66" t="n">
        <v>102.04</v>
      </c>
      <c r="F19" s="66" t="n">
        <v>83.8</v>
      </c>
      <c r="G19" s="66" t="n">
        <v>61.87</v>
      </c>
      <c r="H19" s="66" t="n">
        <v>107</v>
      </c>
      <c r="I19" s="66" t="n">
        <v>53.3</v>
      </c>
      <c r="J19" s="66" t="n">
        <v>82.78</v>
      </c>
      <c r="K19" s="66" t="n">
        <v>48.96</v>
      </c>
      <c r="L19" s="66" t="n">
        <v>119.3</v>
      </c>
      <c r="M19" s="66" t="n">
        <v>15.98</v>
      </c>
      <c r="N19" s="66" t="n">
        <v>23.05</v>
      </c>
      <c r="O19" s="66" t="n">
        <v>63.6</v>
      </c>
      <c r="P19" s="66" t="n">
        <v>96.16</v>
      </c>
      <c r="Q19" s="66" t="n">
        <v>254.38</v>
      </c>
      <c r="R19" s="66" t="n">
        <v>48.9</v>
      </c>
      <c r="S19" s="66" t="n">
        <v>61.89</v>
      </c>
      <c r="T19" s="66" t="n">
        <v>27.14</v>
      </c>
      <c r="U19" s="66"/>
      <c r="V19" s="66" t="n">
        <v>251.2</v>
      </c>
      <c r="W19" s="66"/>
      <c r="X19" s="66"/>
      <c r="Y19" s="66"/>
      <c r="Z19" s="66"/>
      <c r="AA19" s="66"/>
    </row>
    <row r="20" customFormat="false" ht="15" hidden="false" customHeight="true" outlineLevel="0" collapsed="false">
      <c r="A20" s="69" t="n">
        <v>45303</v>
      </c>
      <c r="B20" s="66" t="n">
        <v>596.54</v>
      </c>
      <c r="C20" s="66" t="n">
        <v>63.01</v>
      </c>
      <c r="D20" s="66" t="n">
        <v>697.49</v>
      </c>
      <c r="E20" s="66" t="n">
        <v>107.72</v>
      </c>
      <c r="F20" s="66" t="n">
        <v>82.85</v>
      </c>
      <c r="G20" s="66" t="n">
        <v>70.84</v>
      </c>
      <c r="H20" s="66" t="n">
        <v>105.52</v>
      </c>
      <c r="I20" s="66" t="n">
        <v>54.89</v>
      </c>
      <c r="J20" s="66" t="n">
        <v>81.72</v>
      </c>
      <c r="K20" s="66" t="n">
        <v>54.55</v>
      </c>
      <c r="L20" s="66" t="n">
        <v>120.2</v>
      </c>
      <c r="M20" s="66" t="n">
        <v>16.76</v>
      </c>
      <c r="N20" s="66" t="n">
        <v>23.02</v>
      </c>
      <c r="O20" s="66" t="n">
        <v>65.57</v>
      </c>
      <c r="P20" s="66" t="n">
        <v>97.73</v>
      </c>
      <c r="Q20" s="66" t="n">
        <v>258.76</v>
      </c>
      <c r="R20" s="66" t="n">
        <v>49.26</v>
      </c>
      <c r="S20" s="66" t="n">
        <v>62.12</v>
      </c>
      <c r="T20" s="66" t="n">
        <v>27.38</v>
      </c>
      <c r="U20" s="66"/>
      <c r="V20" s="66" t="n">
        <v>250.51</v>
      </c>
      <c r="W20" s="66"/>
      <c r="X20" s="66"/>
      <c r="Y20" s="66"/>
      <c r="Z20" s="66"/>
      <c r="AA20" s="66"/>
    </row>
    <row r="21" customFormat="false" ht="15" hidden="false" customHeight="true" outlineLevel="0" collapsed="false">
      <c r="A21" s="69" t="n">
        <v>45310</v>
      </c>
      <c r="B21" s="66" t="n">
        <v>611.55</v>
      </c>
      <c r="C21" s="66" t="n">
        <v>65.88</v>
      </c>
      <c r="D21" s="66" t="n">
        <v>741.12</v>
      </c>
      <c r="E21" s="66" t="n">
        <v>117.79</v>
      </c>
      <c r="F21" s="66" t="n">
        <v>83.1</v>
      </c>
      <c r="G21" s="66" t="n">
        <v>72.64</v>
      </c>
      <c r="H21" s="66" t="n">
        <v>104.13</v>
      </c>
      <c r="I21" s="66" t="n">
        <v>60.02</v>
      </c>
      <c r="J21" s="66" t="n">
        <v>86.8</v>
      </c>
      <c r="K21" s="66" t="n">
        <v>59.32</v>
      </c>
      <c r="L21" s="66" t="n">
        <v>117.36</v>
      </c>
      <c r="M21" s="66" t="n">
        <v>16.78</v>
      </c>
      <c r="N21" s="66" t="n">
        <v>23.12</v>
      </c>
      <c r="O21" s="66" t="n">
        <v>66.96</v>
      </c>
      <c r="P21" s="66" t="n">
        <v>110.24</v>
      </c>
      <c r="Q21" s="66" t="n">
        <v>265.36</v>
      </c>
      <c r="R21" s="66" t="n">
        <v>50</v>
      </c>
      <c r="S21" s="66" t="n">
        <v>64.24</v>
      </c>
      <c r="T21" s="66" t="n">
        <v>28.14</v>
      </c>
      <c r="U21" s="66"/>
      <c r="V21" s="66" t="n">
        <v>252.75</v>
      </c>
      <c r="W21" s="66"/>
      <c r="X21" s="66"/>
      <c r="Y21" s="66"/>
      <c r="Z21" s="66"/>
      <c r="AA21" s="66"/>
    </row>
    <row r="22" customFormat="false" ht="15" hidden="false" customHeight="true" outlineLevel="0" collapsed="false">
      <c r="A22" s="69" t="n">
        <v>45317</v>
      </c>
      <c r="B22" s="66" t="n">
        <v>613.93</v>
      </c>
      <c r="C22" s="66" t="n">
        <v>66.1</v>
      </c>
      <c r="D22" s="66" t="n">
        <v>848.61</v>
      </c>
      <c r="E22" s="66" t="n">
        <v>117.18</v>
      </c>
      <c r="F22" s="66" t="n">
        <v>85.06</v>
      </c>
      <c r="G22" s="66" t="n">
        <v>72.58</v>
      </c>
      <c r="H22" s="66" t="n">
        <v>105.77</v>
      </c>
      <c r="I22" s="66" t="n">
        <v>58.69</v>
      </c>
      <c r="J22" s="66" t="n">
        <v>87.34</v>
      </c>
      <c r="K22" s="66" t="n">
        <v>60.85</v>
      </c>
      <c r="L22" s="66" t="n">
        <v>115.93</v>
      </c>
      <c r="M22" s="66" t="n">
        <v>16.35</v>
      </c>
      <c r="N22" s="66" t="n">
        <v>23.25</v>
      </c>
      <c r="O22" s="66" t="n">
        <v>68.04</v>
      </c>
      <c r="P22" s="66" t="n">
        <v>113.2</v>
      </c>
      <c r="Q22" s="66" t="n">
        <v>262.46</v>
      </c>
      <c r="R22" s="66" t="n">
        <v>50.16</v>
      </c>
      <c r="S22" s="66" t="n">
        <v>65.04</v>
      </c>
      <c r="T22" s="66" t="n">
        <v>28.41</v>
      </c>
      <c r="U22" s="66"/>
      <c r="V22" s="66" t="n">
        <v>253.14</v>
      </c>
      <c r="W22" s="66"/>
      <c r="X22" s="66"/>
      <c r="Y22" s="66"/>
      <c r="Z22" s="66"/>
      <c r="AA22" s="66"/>
    </row>
    <row r="23" customFormat="false" ht="15" hidden="false" customHeight="true" outlineLevel="0" collapsed="false">
      <c r="A23" s="69" t="n">
        <v>45324</v>
      </c>
      <c r="B23" s="66" t="n">
        <v>634.76</v>
      </c>
      <c r="C23" s="66" t="n">
        <v>68.28</v>
      </c>
      <c r="D23" s="66" t="n">
        <v>871.02</v>
      </c>
      <c r="E23" s="66" t="n">
        <v>119.07</v>
      </c>
      <c r="F23" s="66" t="n">
        <v>83.47</v>
      </c>
      <c r="G23" s="66" t="n">
        <v>75.89</v>
      </c>
      <c r="H23" s="66" t="n">
        <v>104.41</v>
      </c>
      <c r="I23" s="66" t="n">
        <v>59.17</v>
      </c>
      <c r="J23" s="66" t="n">
        <v>85.78</v>
      </c>
      <c r="K23" s="66" t="n">
        <v>65.97</v>
      </c>
      <c r="L23" s="66" t="n">
        <v>118.1</v>
      </c>
      <c r="M23" s="66" t="n">
        <v>17.02</v>
      </c>
      <c r="N23" s="66" t="n">
        <v>23.24</v>
      </c>
      <c r="O23" s="66" t="n">
        <v>71.15</v>
      </c>
      <c r="P23" s="66" t="n">
        <v>111.74</v>
      </c>
      <c r="Q23" s="66" t="n">
        <v>271.51</v>
      </c>
      <c r="R23" s="66" t="n">
        <v>49.93</v>
      </c>
      <c r="S23" s="66" t="n">
        <v>65.5</v>
      </c>
      <c r="T23" s="66" t="n">
        <v>28.34</v>
      </c>
      <c r="U23" s="66"/>
      <c r="V23" s="66" t="n">
        <v>255.02</v>
      </c>
      <c r="W23" s="66"/>
      <c r="X23" s="66"/>
      <c r="Y23" s="66"/>
      <c r="Z23" s="66"/>
      <c r="AA23" s="66"/>
    </row>
    <row r="24" customFormat="false" ht="15" hidden="false" customHeight="true" outlineLevel="0" collapsed="false">
      <c r="A24" s="69" t="n">
        <v>45331</v>
      </c>
      <c r="B24" s="66" t="n">
        <v>627.21</v>
      </c>
      <c r="C24" s="66" t="n">
        <v>70.61</v>
      </c>
      <c r="D24" s="66" t="n">
        <v>930.28</v>
      </c>
      <c r="E24" s="66" t="n">
        <v>124.82</v>
      </c>
      <c r="F24" s="66" t="n">
        <v>84.22</v>
      </c>
      <c r="G24" s="66" t="n">
        <v>82.33</v>
      </c>
      <c r="H24" s="66" t="n">
        <v>103.48</v>
      </c>
      <c r="I24" s="66" t="n">
        <v>63.63</v>
      </c>
      <c r="J24" s="66" t="n">
        <v>84.87</v>
      </c>
      <c r="K24" s="66" t="n">
        <v>71.92</v>
      </c>
      <c r="L24" s="66" t="n">
        <v>121.05</v>
      </c>
      <c r="M24" s="66" t="n">
        <v>24.38</v>
      </c>
      <c r="N24" s="66" t="n">
        <v>23.18</v>
      </c>
      <c r="O24" s="66" t="n">
        <v>72.85</v>
      </c>
      <c r="P24" s="66" t="n">
        <v>128.5</v>
      </c>
      <c r="Q24" s="66" t="n">
        <v>271.28</v>
      </c>
      <c r="R24" s="66" t="n">
        <v>49.15</v>
      </c>
      <c r="S24" s="66" t="n">
        <v>64.82</v>
      </c>
      <c r="T24" s="66" t="n">
        <v>28.37</v>
      </c>
      <c r="U24" s="66"/>
      <c r="V24" s="66" t="n">
        <v>254.37</v>
      </c>
      <c r="W24" s="66"/>
      <c r="X24" s="66"/>
      <c r="Y24" s="66"/>
      <c r="Z24" s="66"/>
      <c r="AA24" s="66"/>
    </row>
    <row r="25" customFormat="false" ht="15" hidden="false" customHeight="true" outlineLevel="0" collapsed="false">
      <c r="A25" s="69" t="n">
        <v>45338</v>
      </c>
      <c r="B25" s="66" t="n">
        <v>546.66</v>
      </c>
      <c r="C25" s="66" t="n">
        <v>65.44</v>
      </c>
      <c r="D25" s="66" t="n">
        <v>910.05</v>
      </c>
      <c r="E25" s="66" t="n">
        <v>121.12</v>
      </c>
      <c r="F25" s="66" t="n">
        <v>84.82</v>
      </c>
      <c r="G25" s="66" t="n">
        <v>82.31</v>
      </c>
      <c r="H25" s="66" t="n">
        <v>104.69</v>
      </c>
      <c r="I25" s="66" t="n">
        <v>64.9</v>
      </c>
      <c r="J25" s="66" t="n">
        <v>78.86</v>
      </c>
      <c r="K25" s="66" t="n">
        <v>72.4</v>
      </c>
      <c r="L25" s="66" t="n">
        <v>121.88</v>
      </c>
      <c r="M25" s="66" t="n">
        <v>24.44</v>
      </c>
      <c r="N25" s="66" t="n">
        <v>23.24</v>
      </c>
      <c r="O25" s="66" t="n">
        <v>73.46</v>
      </c>
      <c r="P25" s="66" t="n">
        <v>122.3</v>
      </c>
      <c r="Q25" s="66" t="n">
        <v>273.37</v>
      </c>
      <c r="R25" s="66" t="n">
        <v>50.49</v>
      </c>
      <c r="S25" s="66" t="n">
        <v>66.84</v>
      </c>
      <c r="T25" s="66" t="n">
        <v>28.29</v>
      </c>
      <c r="U25" s="66"/>
      <c r="V25" s="66" t="n">
        <v>258.76</v>
      </c>
      <c r="W25" s="66"/>
      <c r="X25" s="66"/>
      <c r="Y25" s="66"/>
      <c r="Z25" s="66"/>
      <c r="AA25" s="66"/>
    </row>
    <row r="26" customFormat="false" ht="15" hidden="false" customHeight="true" outlineLevel="0" collapsed="false">
      <c r="A26" s="69" t="n">
        <v>45345</v>
      </c>
      <c r="B26" s="66" t="n">
        <v>553.44</v>
      </c>
      <c r="C26" s="66" t="n">
        <v>66.92</v>
      </c>
      <c r="D26" s="66" t="n">
        <v>914.27</v>
      </c>
      <c r="E26" s="66" t="n">
        <v>126.07</v>
      </c>
      <c r="F26" s="66" t="n">
        <v>84.54</v>
      </c>
      <c r="G26" s="66" t="n">
        <v>77.87</v>
      </c>
      <c r="H26" s="66" t="n">
        <v>105.57</v>
      </c>
      <c r="I26" s="66" t="n">
        <v>65.63</v>
      </c>
      <c r="J26" s="66" t="n">
        <v>85.31</v>
      </c>
      <c r="K26" s="66" t="n">
        <v>78.59</v>
      </c>
      <c r="L26" s="66" t="n">
        <v>121.72</v>
      </c>
      <c r="M26" s="66" t="n">
        <v>22.97</v>
      </c>
      <c r="N26" s="66" t="n">
        <v>23.51</v>
      </c>
      <c r="O26" s="66" t="n">
        <v>75.1</v>
      </c>
      <c r="P26" s="66" t="n">
        <v>125.04</v>
      </c>
      <c r="Q26" s="66" t="n">
        <v>278.31</v>
      </c>
      <c r="R26" s="66" t="n">
        <v>51.39</v>
      </c>
      <c r="S26" s="66" t="n">
        <v>68.25</v>
      </c>
      <c r="T26" s="66" t="n">
        <v>28.02</v>
      </c>
      <c r="U26" s="66"/>
      <c r="V26" s="66" t="n">
        <v>265.36</v>
      </c>
      <c r="W26" s="66"/>
      <c r="X26" s="66"/>
      <c r="Y26" s="66"/>
      <c r="Z26" s="66"/>
      <c r="AA26" s="66"/>
    </row>
    <row r="27" customFormat="false" ht="15" hidden="false" customHeight="true" outlineLevel="0" collapsed="false">
      <c r="A27" s="69" t="n">
        <v>45352</v>
      </c>
      <c r="B27" s="66" t="n">
        <v>570.93</v>
      </c>
      <c r="C27" s="66" t="n">
        <v>71.93</v>
      </c>
      <c r="D27" s="66" t="n">
        <v>970.78</v>
      </c>
      <c r="E27" s="66" t="n">
        <v>136.07</v>
      </c>
      <c r="F27" s="66" t="n">
        <v>85.87</v>
      </c>
      <c r="G27" s="66" t="n">
        <v>78.65</v>
      </c>
      <c r="H27" s="66" t="n">
        <v>105.59</v>
      </c>
      <c r="I27" s="66" t="n">
        <v>70.42</v>
      </c>
      <c r="J27" s="66" t="n">
        <v>94.38</v>
      </c>
      <c r="K27" s="66" t="n">
        <v>82.04</v>
      </c>
      <c r="L27" s="66" t="n">
        <v>122.99</v>
      </c>
      <c r="M27" s="66" t="n">
        <v>24.93</v>
      </c>
      <c r="N27" s="66" t="n">
        <v>23.59</v>
      </c>
      <c r="O27" s="66" t="n">
        <v>77.21</v>
      </c>
      <c r="P27" s="66" t="n">
        <v>129.26</v>
      </c>
      <c r="Q27" s="66" t="n">
        <v>277.88</v>
      </c>
      <c r="R27" s="66" t="n">
        <v>51.79</v>
      </c>
      <c r="S27" s="66" t="n">
        <v>69.35</v>
      </c>
      <c r="T27" s="66" t="n">
        <v>28.25</v>
      </c>
      <c r="U27" s="66"/>
      <c r="V27" s="66" t="n">
        <v>262.46</v>
      </c>
      <c r="W27" s="66"/>
      <c r="X27" s="66"/>
      <c r="Y27" s="66"/>
      <c r="Z27" s="66"/>
      <c r="AA27" s="66"/>
    </row>
    <row r="28" customFormat="false" ht="15" hidden="false" customHeight="true" outlineLevel="0" collapsed="false">
      <c r="A28" s="69" t="n">
        <v>45359</v>
      </c>
      <c r="B28" s="66" t="n">
        <v>551.69</v>
      </c>
      <c r="C28" s="66" t="n">
        <v>68.28</v>
      </c>
      <c r="D28" s="66" t="n">
        <v>974.11</v>
      </c>
      <c r="E28" s="66" t="n">
        <v>127.27</v>
      </c>
      <c r="F28" s="66" t="n">
        <v>85.97</v>
      </c>
      <c r="G28" s="66" t="n">
        <v>80.71</v>
      </c>
      <c r="H28" s="66" t="n">
        <v>108.41</v>
      </c>
      <c r="I28" s="66" t="n">
        <v>68.62</v>
      </c>
      <c r="J28" s="66" t="n">
        <v>96.83</v>
      </c>
      <c r="K28" s="66" t="n">
        <v>87.28</v>
      </c>
      <c r="L28" s="66" t="n">
        <v>123.42</v>
      </c>
      <c r="M28" s="66" t="n">
        <v>26.04</v>
      </c>
      <c r="N28" s="66" t="n">
        <v>23.67</v>
      </c>
      <c r="O28" s="66" t="n">
        <v>77.51</v>
      </c>
      <c r="P28" s="66" t="n">
        <v>141.3</v>
      </c>
      <c r="Q28" s="66" t="n">
        <v>274.82</v>
      </c>
      <c r="R28" s="66" t="n">
        <v>51.94</v>
      </c>
      <c r="S28" s="66" t="n">
        <v>72.52</v>
      </c>
      <c r="T28" s="66" t="n">
        <v>28.52</v>
      </c>
      <c r="U28" s="66"/>
      <c r="V28" s="66" t="n">
        <v>271.51</v>
      </c>
      <c r="W28" s="66"/>
      <c r="X28" s="66"/>
      <c r="Y28" s="66"/>
      <c r="Z28" s="66"/>
      <c r="AA28" s="66"/>
    </row>
    <row r="29" customFormat="false" ht="15" hidden="false" customHeight="true" outlineLevel="0" collapsed="false">
      <c r="A29" s="69" t="n">
        <v>45366</v>
      </c>
      <c r="B29" s="66" t="n">
        <v>492.46</v>
      </c>
      <c r="C29" s="66" t="n">
        <v>69.43</v>
      </c>
      <c r="D29" s="66" t="n">
        <v>921.09</v>
      </c>
      <c r="E29" s="66" t="n">
        <v>120.15</v>
      </c>
      <c r="F29" s="66" t="n">
        <v>85.24</v>
      </c>
      <c r="G29" s="66" t="n">
        <v>78.91</v>
      </c>
      <c r="H29" s="66" t="n">
        <v>108.06</v>
      </c>
      <c r="I29" s="66" t="n">
        <v>67.11</v>
      </c>
      <c r="J29" s="66" t="n">
        <v>92.5</v>
      </c>
      <c r="K29" s="66" t="n">
        <v>87.59</v>
      </c>
      <c r="L29" s="66" t="n">
        <v>118.76</v>
      </c>
      <c r="M29" s="66" t="n">
        <v>23.49</v>
      </c>
      <c r="N29" s="66" t="n">
        <v>23.71</v>
      </c>
      <c r="O29" s="66" t="n">
        <v>77.11</v>
      </c>
      <c r="P29" s="66" t="n">
        <v>132.23</v>
      </c>
      <c r="Q29" s="66" t="n">
        <v>277.76</v>
      </c>
      <c r="R29" s="66" t="n">
        <v>52.49</v>
      </c>
      <c r="S29" s="66" t="n">
        <v>74.25</v>
      </c>
      <c r="T29" s="66" t="n">
        <v>28.63</v>
      </c>
      <c r="U29" s="66"/>
      <c r="V29" s="66" t="n">
        <v>271.28</v>
      </c>
      <c r="W29" s="66"/>
      <c r="X29" s="66"/>
      <c r="Y29" s="66"/>
      <c r="Z29" s="66"/>
      <c r="AA29" s="66"/>
    </row>
    <row r="30" customFormat="false" ht="15" hidden="false" customHeight="true" outlineLevel="0" collapsed="false">
      <c r="A30" s="69" t="n">
        <v>45373</v>
      </c>
      <c r="B30" s="66" t="n">
        <v>499.52</v>
      </c>
      <c r="C30" s="66" t="n">
        <v>76.61</v>
      </c>
      <c r="D30" s="66" t="n">
        <v>960.03</v>
      </c>
      <c r="E30" s="66" t="n">
        <v>132.19</v>
      </c>
      <c r="F30" s="66" t="n">
        <v>87.57</v>
      </c>
      <c r="G30" s="66" t="n">
        <v>81.89</v>
      </c>
      <c r="H30" s="66" t="n">
        <v>109.81</v>
      </c>
      <c r="I30" s="66" t="n">
        <v>69.73</v>
      </c>
      <c r="J30" s="66" t="n">
        <v>109.32</v>
      </c>
      <c r="K30" s="66" t="n">
        <v>94.02</v>
      </c>
      <c r="L30" s="66" t="n">
        <v>118.4</v>
      </c>
      <c r="M30" s="66" t="n">
        <v>24.18</v>
      </c>
      <c r="N30" s="66" t="n">
        <v>24.15</v>
      </c>
      <c r="O30" s="66" t="n">
        <v>79.43</v>
      </c>
      <c r="P30" s="66" t="n">
        <v>136.22</v>
      </c>
      <c r="Q30" s="66" t="n">
        <v>277.98</v>
      </c>
      <c r="R30" s="66" t="n">
        <v>52.32</v>
      </c>
      <c r="S30" s="66" t="n">
        <v>74.87</v>
      </c>
      <c r="T30" s="66" t="n">
        <v>28.87</v>
      </c>
      <c r="U30" s="66"/>
      <c r="V30" s="66" t="n">
        <v>273.37</v>
      </c>
      <c r="W30" s="66"/>
      <c r="X30" s="66"/>
      <c r="Y30" s="66"/>
      <c r="Z30" s="66"/>
      <c r="AA30" s="66"/>
    </row>
    <row r="31" customFormat="false" ht="15" hidden="false" customHeight="true" outlineLevel="0" collapsed="false">
      <c r="A31" s="69" t="n">
        <v>45380</v>
      </c>
      <c r="B31" s="66" t="n">
        <v>504.6</v>
      </c>
      <c r="C31" s="66" t="n">
        <v>72.5</v>
      </c>
      <c r="D31" s="66" t="n">
        <v>950.73</v>
      </c>
      <c r="E31" s="66" t="n">
        <v>129.45</v>
      </c>
      <c r="F31" s="66" t="n">
        <v>90.08</v>
      </c>
      <c r="G31" s="66" t="n">
        <v>80.15</v>
      </c>
      <c r="H31" s="66" t="n">
        <v>112.58</v>
      </c>
      <c r="I31" s="66" t="n">
        <v>68.55</v>
      </c>
      <c r="J31" s="66" t="n">
        <v>117.05</v>
      </c>
      <c r="K31" s="66" t="n">
        <v>90.1</v>
      </c>
      <c r="L31" s="66" t="n">
        <v>119.87</v>
      </c>
      <c r="M31" s="66" t="n">
        <v>23.01</v>
      </c>
      <c r="N31" s="66" t="n">
        <v>24.53</v>
      </c>
      <c r="O31" s="66" t="n">
        <v>78.83</v>
      </c>
      <c r="P31" s="66" t="n">
        <v>131.87</v>
      </c>
      <c r="Q31" s="66" t="n">
        <v>273.88</v>
      </c>
      <c r="R31" s="66" t="n">
        <v>52.98</v>
      </c>
      <c r="S31" s="66" t="n">
        <v>76.55</v>
      </c>
      <c r="T31" s="66" t="n">
        <v>29.5</v>
      </c>
      <c r="U31" s="66"/>
      <c r="V31" s="66" t="n">
        <v>278.31</v>
      </c>
      <c r="W31" s="66"/>
      <c r="X31" s="66"/>
      <c r="Y31" s="66"/>
      <c r="Z31" s="66"/>
      <c r="AA31" s="66"/>
    </row>
    <row r="32" customFormat="false" ht="15" hidden="false" customHeight="true" outlineLevel="0" collapsed="false">
      <c r="A32" s="69" t="n">
        <v>45387</v>
      </c>
      <c r="B32" s="66" t="n">
        <v>485.12</v>
      </c>
      <c r="C32" s="66" t="n">
        <v>74.4</v>
      </c>
      <c r="D32" s="66" t="n">
        <v>959.63</v>
      </c>
      <c r="E32" s="66" t="n">
        <v>130.82</v>
      </c>
      <c r="F32" s="66" t="n">
        <v>88.14</v>
      </c>
      <c r="G32" s="66" t="n">
        <v>78.88</v>
      </c>
      <c r="H32" s="66" t="n">
        <v>110.58</v>
      </c>
      <c r="I32" s="66" t="n">
        <v>67.01</v>
      </c>
      <c r="J32" s="66" t="n">
        <v>122.7</v>
      </c>
      <c r="K32" s="66" t="n">
        <v>87.76</v>
      </c>
      <c r="L32" s="66" t="n">
        <v>114.82</v>
      </c>
      <c r="M32" s="66" t="n">
        <v>22.96</v>
      </c>
      <c r="N32" s="66" t="n">
        <v>24.03</v>
      </c>
      <c r="O32" s="66" t="n">
        <v>79.06</v>
      </c>
      <c r="P32" s="66" t="n">
        <v>137.01</v>
      </c>
      <c r="Q32" s="66" t="n">
        <v>271.97</v>
      </c>
      <c r="R32" s="66" t="n">
        <v>53.26</v>
      </c>
      <c r="S32" s="66" t="n">
        <v>78.7</v>
      </c>
      <c r="T32" s="66" t="n">
        <v>30.15</v>
      </c>
      <c r="U32" s="66"/>
      <c r="V32" s="66" t="n">
        <v>277.88</v>
      </c>
      <c r="W32" s="66"/>
      <c r="X32" s="66"/>
      <c r="Y32" s="66"/>
      <c r="Z32" s="66"/>
      <c r="AA32" s="66"/>
    </row>
    <row r="33" customFormat="false" ht="15" hidden="false" customHeight="true" outlineLevel="0" collapsed="false">
      <c r="A33" s="69" t="n">
        <v>45394</v>
      </c>
      <c r="B33" s="66" t="n">
        <v>474.09</v>
      </c>
      <c r="C33" s="66" t="n">
        <v>67.81</v>
      </c>
      <c r="D33" s="66" t="n">
        <v>942.28</v>
      </c>
      <c r="E33" s="66" t="n">
        <v>131.27</v>
      </c>
      <c r="F33" s="66" t="n">
        <v>85.42</v>
      </c>
      <c r="G33" s="66" t="n">
        <v>77.26</v>
      </c>
      <c r="H33" s="66" t="n">
        <v>107.42</v>
      </c>
      <c r="I33" s="66" t="n">
        <v>66.81</v>
      </c>
      <c r="J33" s="66" t="n">
        <v>121.65</v>
      </c>
      <c r="K33" s="66" t="n">
        <v>87.94</v>
      </c>
      <c r="L33" s="66" t="n">
        <v>109.54</v>
      </c>
      <c r="M33" s="66" t="n">
        <v>22.67</v>
      </c>
      <c r="N33" s="66" t="n">
        <v>23.36</v>
      </c>
      <c r="O33" s="66" t="n">
        <v>77.95</v>
      </c>
      <c r="P33" s="66" t="n">
        <v>138.14</v>
      </c>
      <c r="Q33" s="66" t="n">
        <v>270.82</v>
      </c>
      <c r="R33" s="66" t="n">
        <v>53.19</v>
      </c>
      <c r="S33" s="66" t="n">
        <v>79</v>
      </c>
      <c r="T33" s="66" t="n">
        <v>30.74</v>
      </c>
      <c r="U33" s="66"/>
      <c r="V33" s="66" t="n">
        <v>274.82</v>
      </c>
      <c r="W33" s="66"/>
      <c r="X33" s="66"/>
      <c r="Y33" s="66"/>
      <c r="Z33" s="66"/>
      <c r="AA33" s="66"/>
    </row>
    <row r="34" customFormat="false" ht="15" hidden="false" customHeight="true" outlineLevel="0" collapsed="false">
      <c r="A34" s="69" t="n">
        <v>45401</v>
      </c>
      <c r="B34" s="66" t="n">
        <v>465.02</v>
      </c>
      <c r="C34" s="66" t="n">
        <v>61.52</v>
      </c>
      <c r="D34" s="66" t="n">
        <v>842.06</v>
      </c>
      <c r="E34" s="66" t="n">
        <v>117.66</v>
      </c>
      <c r="F34" s="66" t="n">
        <v>84.65</v>
      </c>
      <c r="G34" s="66" t="n">
        <v>70.66</v>
      </c>
      <c r="H34" s="66" t="n">
        <v>108.48</v>
      </c>
      <c r="I34" s="66" t="n">
        <v>61.64</v>
      </c>
      <c r="J34" s="66" t="n">
        <v>106.01</v>
      </c>
      <c r="K34" s="66" t="n">
        <v>75.98</v>
      </c>
      <c r="L34" s="66" t="n">
        <v>95.26</v>
      </c>
      <c r="M34" s="66" t="n">
        <v>20.47</v>
      </c>
      <c r="N34" s="66" t="n">
        <v>23.32</v>
      </c>
      <c r="O34" s="66" t="n">
        <v>73.52</v>
      </c>
      <c r="P34" s="66" t="n">
        <v>123.77</v>
      </c>
      <c r="Q34" s="66" t="n">
        <v>264.75</v>
      </c>
      <c r="R34" s="66" t="n">
        <v>52.91</v>
      </c>
      <c r="S34" s="66" t="n">
        <v>78.59</v>
      </c>
      <c r="T34" s="66" t="n">
        <v>31.16</v>
      </c>
      <c r="U34" s="66"/>
      <c r="V34" s="66" t="n">
        <v>277.76</v>
      </c>
      <c r="W34" s="66"/>
      <c r="X34" s="66"/>
      <c r="Y34" s="66"/>
      <c r="Z34" s="66"/>
      <c r="AA34" s="66"/>
    </row>
    <row r="35" customFormat="false" ht="15" hidden="false" customHeight="true" outlineLevel="0" collapsed="false">
      <c r="A35" s="69" t="n">
        <v>45408</v>
      </c>
      <c r="B35" s="66" t="n">
        <v>477.56</v>
      </c>
      <c r="C35" s="66" t="n">
        <v>66.18</v>
      </c>
      <c r="D35" s="66" t="n">
        <v>902.15</v>
      </c>
      <c r="E35" s="66" t="n">
        <v>131.27</v>
      </c>
      <c r="F35" s="66" t="n">
        <v>86.75</v>
      </c>
      <c r="G35" s="66" t="n">
        <v>76.02</v>
      </c>
      <c r="H35" s="66" t="n">
        <v>109.47</v>
      </c>
      <c r="I35" s="66" t="n">
        <v>69.31</v>
      </c>
      <c r="J35" s="66" t="n">
        <v>114.02</v>
      </c>
      <c r="K35" s="66" t="n">
        <v>87.49</v>
      </c>
      <c r="L35" s="66" t="n">
        <v>95.79</v>
      </c>
      <c r="M35" s="66" t="n">
        <v>22.52</v>
      </c>
      <c r="N35" s="66" t="n">
        <v>23.57</v>
      </c>
      <c r="O35" s="66" t="n">
        <v>75.73</v>
      </c>
      <c r="P35" s="66" t="n">
        <v>134.05</v>
      </c>
      <c r="Q35" s="66" t="n">
        <v>269.4</v>
      </c>
      <c r="R35" s="66" t="n">
        <v>54.26</v>
      </c>
      <c r="S35" s="66" t="n">
        <v>80.83</v>
      </c>
      <c r="T35" s="66" t="n">
        <v>31.91</v>
      </c>
      <c r="U35" s="66"/>
      <c r="V35" s="66" t="n">
        <v>277.98</v>
      </c>
      <c r="W35" s="66"/>
      <c r="X35" s="66"/>
      <c r="Y35" s="66"/>
      <c r="Z35" s="66"/>
      <c r="AA35" s="66"/>
    </row>
    <row r="36" customFormat="false" ht="15" hidden="false" customHeight="true" outlineLevel="0" collapsed="false">
      <c r="A36" s="69" t="n">
        <v>45415</v>
      </c>
      <c r="B36" s="66" t="n">
        <v>486.18</v>
      </c>
      <c r="C36" s="66" t="n">
        <v>68.6</v>
      </c>
      <c r="D36" s="66" t="n">
        <v>885.13</v>
      </c>
      <c r="E36" s="66" t="n">
        <v>124.83</v>
      </c>
      <c r="F36" s="66" t="n">
        <v>87.34</v>
      </c>
      <c r="G36" s="66" t="n">
        <v>77.55</v>
      </c>
      <c r="H36" s="66" t="n">
        <v>110.81</v>
      </c>
      <c r="I36" s="66" t="n">
        <v>68.36</v>
      </c>
      <c r="J36" s="66" t="n">
        <v>113.88</v>
      </c>
      <c r="K36" s="66" t="n">
        <v>88.54</v>
      </c>
      <c r="L36" s="66" t="n">
        <v>97.47</v>
      </c>
      <c r="M36" s="66" t="n">
        <v>23.33</v>
      </c>
      <c r="N36" s="66" t="n">
        <v>23.72</v>
      </c>
      <c r="O36" s="66" t="n">
        <v>76.47</v>
      </c>
      <c r="P36" s="66" t="n">
        <v>137.21</v>
      </c>
      <c r="Q36" s="66" t="n">
        <v>263.49</v>
      </c>
      <c r="R36" s="66" t="n">
        <v>54.24</v>
      </c>
      <c r="S36" s="66" t="n">
        <v>80.22</v>
      </c>
      <c r="T36" s="66" t="n">
        <v>32.41</v>
      </c>
      <c r="U36" s="66"/>
      <c r="V36" s="66"/>
      <c r="W36" s="66"/>
      <c r="X36" s="66"/>
      <c r="Y36" s="66"/>
      <c r="Z36" s="66"/>
      <c r="AA36" s="66"/>
    </row>
    <row r="37" customFormat="false" ht="15" hidden="false" customHeight="true" outlineLevel="0" collapsed="false">
      <c r="A37" s="69" t="n">
        <v>45422</v>
      </c>
      <c r="B37" s="66" t="n">
        <v>482.29</v>
      </c>
      <c r="C37" s="66" t="n">
        <v>78.51</v>
      </c>
      <c r="D37" s="66" t="n">
        <v>913.26</v>
      </c>
      <c r="E37" s="66" t="n">
        <v>130.17</v>
      </c>
      <c r="F37" s="66" t="n">
        <v>88.85</v>
      </c>
      <c r="G37" s="66" t="n">
        <v>80.19</v>
      </c>
      <c r="H37" s="66" t="n">
        <v>113.55</v>
      </c>
      <c r="I37" s="66" t="n">
        <v>70.49</v>
      </c>
      <c r="J37" s="66" t="n">
        <v>120.38</v>
      </c>
      <c r="K37" s="66" t="n">
        <v>89.62</v>
      </c>
      <c r="L37" s="66" t="n">
        <v>98.95</v>
      </c>
      <c r="M37" s="66" t="n">
        <v>20.6</v>
      </c>
      <c r="N37" s="66" t="n">
        <v>24.12</v>
      </c>
      <c r="O37" s="66" t="n">
        <v>78.17</v>
      </c>
      <c r="P37" s="66" t="n">
        <v>144.67</v>
      </c>
      <c r="Q37" s="66" t="n">
        <v>275.51</v>
      </c>
      <c r="R37" s="66" t="n">
        <v>53.59</v>
      </c>
      <c r="S37" s="66" t="n">
        <v>80.45</v>
      </c>
      <c r="T37" s="66" t="n">
        <v>32.33</v>
      </c>
      <c r="U37" s="66"/>
      <c r="V37" s="66" t="n">
        <v>271.97</v>
      </c>
      <c r="W37" s="66"/>
      <c r="X37" s="66"/>
      <c r="Y37" s="66"/>
      <c r="Z37" s="66"/>
      <c r="AA37" s="66"/>
    </row>
    <row r="38" customFormat="false" ht="15" hidden="false" customHeight="true" outlineLevel="0" collapsed="false">
      <c r="A38" s="69" t="n">
        <v>45429</v>
      </c>
      <c r="B38" s="66" t="n">
        <v>483.43</v>
      </c>
      <c r="C38" s="66" t="n">
        <v>79.97</v>
      </c>
      <c r="D38" s="66" t="n">
        <v>908.04</v>
      </c>
      <c r="E38" s="66" t="n">
        <v>136.27</v>
      </c>
      <c r="F38" s="66" t="n">
        <v>89.83</v>
      </c>
      <c r="G38" s="66" t="n">
        <v>86.48</v>
      </c>
      <c r="H38" s="66" t="n">
        <v>114.93</v>
      </c>
      <c r="I38" s="66" t="n">
        <v>73.52</v>
      </c>
      <c r="J38" s="66" t="n">
        <v>124.4</v>
      </c>
      <c r="K38" s="66" t="n">
        <v>92.22</v>
      </c>
      <c r="L38" s="66" t="n">
        <v>102.64</v>
      </c>
      <c r="M38" s="66" t="n">
        <v>21.76</v>
      </c>
      <c r="N38" s="66" t="n">
        <v>24.36</v>
      </c>
      <c r="O38" s="66" t="n">
        <v>79.35</v>
      </c>
      <c r="P38" s="66" t="n">
        <v>147.02</v>
      </c>
      <c r="Q38" s="66" t="n">
        <v>275.39</v>
      </c>
      <c r="R38" s="66" t="n">
        <v>53.4</v>
      </c>
      <c r="S38" s="66" t="n">
        <v>79.32</v>
      </c>
      <c r="T38" s="66" t="n">
        <v>31.49</v>
      </c>
      <c r="U38" s="66"/>
      <c r="V38" s="66" t="n">
        <v>270.82</v>
      </c>
      <c r="W38" s="66"/>
      <c r="X38" s="66"/>
      <c r="Y38" s="66"/>
      <c r="Z38" s="66"/>
      <c r="AA38" s="66"/>
    </row>
    <row r="39" customFormat="false" ht="15" hidden="false" customHeight="true" outlineLevel="0" collapsed="false">
      <c r="A39" s="69" t="n">
        <v>45436</v>
      </c>
      <c r="B39" s="66" t="n">
        <v>475.43</v>
      </c>
      <c r="C39" s="66" t="n">
        <v>76.64</v>
      </c>
      <c r="D39" s="66" t="n">
        <v>938.72</v>
      </c>
      <c r="E39" s="66" t="n">
        <v>137.5</v>
      </c>
      <c r="F39" s="66" t="n">
        <v>88.5</v>
      </c>
      <c r="G39" s="66" t="n">
        <v>87.87</v>
      </c>
      <c r="H39" s="66" t="n">
        <v>112.58</v>
      </c>
      <c r="I39" s="66" t="n">
        <v>76.61</v>
      </c>
      <c r="J39" s="66" t="n">
        <v>128.57</v>
      </c>
      <c r="K39" s="66" t="n">
        <v>106.17</v>
      </c>
      <c r="L39" s="66" t="n">
        <v>96.42</v>
      </c>
      <c r="M39" s="66" t="n">
        <v>21.01</v>
      </c>
      <c r="N39" s="66" t="n">
        <v>23.76</v>
      </c>
      <c r="O39" s="66" t="n">
        <v>80.9</v>
      </c>
      <c r="P39" s="66" t="n">
        <v>155.08</v>
      </c>
      <c r="Q39" s="66" t="n">
        <v>269.87</v>
      </c>
      <c r="R39" s="66" t="n">
        <v>50.84</v>
      </c>
      <c r="S39" s="66" t="n">
        <v>74.81</v>
      </c>
      <c r="T39" s="66" t="n">
        <v>30.93</v>
      </c>
      <c r="U39" s="66"/>
      <c r="V39" s="66" t="n">
        <v>264.75</v>
      </c>
      <c r="W39" s="66"/>
      <c r="X39" s="66"/>
      <c r="Y39" s="66"/>
      <c r="Z39" s="66"/>
      <c r="AA39" s="66"/>
    </row>
    <row r="40" customFormat="false" ht="15" hidden="false" customHeight="true" outlineLevel="0" collapsed="false">
      <c r="A40" s="69" t="n">
        <v>45443</v>
      </c>
      <c r="B40" s="66" t="n">
        <v>444.76</v>
      </c>
      <c r="C40" s="66" t="n">
        <v>74.41</v>
      </c>
      <c r="D40" s="66" t="n">
        <v>942.77</v>
      </c>
      <c r="E40" s="66" t="n">
        <v>129.75</v>
      </c>
      <c r="F40" s="66" t="n">
        <v>89.45</v>
      </c>
      <c r="G40" s="66" t="n">
        <v>78.42</v>
      </c>
      <c r="H40" s="66" t="n">
        <v>113.76</v>
      </c>
      <c r="I40" s="66" t="n">
        <v>74.69</v>
      </c>
      <c r="J40" s="66" t="n">
        <v>124.11</v>
      </c>
      <c r="K40" s="66" t="n">
        <v>109.32</v>
      </c>
      <c r="L40" s="66" t="n">
        <v>101.71</v>
      </c>
      <c r="M40" s="66" t="n">
        <v>21.68</v>
      </c>
      <c r="N40" s="66" t="n">
        <v>23.9</v>
      </c>
      <c r="O40" s="66" t="n">
        <v>80.01</v>
      </c>
      <c r="P40" s="66" t="n">
        <v>146.4</v>
      </c>
      <c r="Q40" s="66" t="n">
        <v>267.88</v>
      </c>
      <c r="R40" s="66" t="n">
        <v>52.66</v>
      </c>
      <c r="S40" s="66" t="n">
        <v>77.06</v>
      </c>
      <c r="T40" s="66" t="n">
        <v>31.32</v>
      </c>
      <c r="U40" s="66"/>
      <c r="V40" s="66" t="n">
        <v>269.4</v>
      </c>
      <c r="W40" s="66"/>
      <c r="X40" s="66"/>
      <c r="Y40" s="66"/>
      <c r="Z40" s="66"/>
      <c r="AA40" s="66"/>
    </row>
    <row r="41" customFormat="false" ht="15" hidden="false" customHeight="true" outlineLevel="0" collapsed="false">
      <c r="A41" s="69" t="n">
        <v>45450</v>
      </c>
      <c r="B41" s="66" t="n">
        <v>465.43</v>
      </c>
      <c r="C41" s="66" t="n">
        <v>74.2</v>
      </c>
      <c r="D41" s="66" t="n">
        <v>1009.6</v>
      </c>
      <c r="E41" s="66" t="n">
        <v>137.38</v>
      </c>
      <c r="F41" s="66" t="n">
        <v>86.4</v>
      </c>
      <c r="G41" s="66" t="n">
        <v>87.28</v>
      </c>
      <c r="H41" s="66" t="n">
        <v>111.46</v>
      </c>
      <c r="I41" s="66" t="n">
        <v>75.61</v>
      </c>
      <c r="J41" s="66" t="n">
        <v>130.01</v>
      </c>
      <c r="K41" s="66" t="n">
        <v>120.54</v>
      </c>
      <c r="L41" s="66" t="n">
        <v>101.44</v>
      </c>
      <c r="M41" s="66" t="n">
        <v>23.31</v>
      </c>
      <c r="N41" s="66" t="n">
        <v>23.69</v>
      </c>
      <c r="O41" s="66" t="n">
        <v>82.44</v>
      </c>
      <c r="P41" s="66" t="n">
        <v>159.34</v>
      </c>
      <c r="Q41" s="66" t="n">
        <v>273.98</v>
      </c>
      <c r="R41" s="66" t="n">
        <v>52.75</v>
      </c>
      <c r="S41" s="66" t="n">
        <v>77.82</v>
      </c>
      <c r="T41" s="66" t="n">
        <v>30.83</v>
      </c>
      <c r="U41" s="66"/>
      <c r="V41" s="66" t="n">
        <v>263.49</v>
      </c>
      <c r="W41" s="66"/>
      <c r="X41" s="66"/>
      <c r="Y41" s="66"/>
      <c r="Z41" s="66"/>
      <c r="AA41" s="66"/>
    </row>
    <row r="42" customFormat="false" ht="15" hidden="false" customHeight="true" outlineLevel="0" collapsed="false">
      <c r="A42" s="69" t="n">
        <v>45457</v>
      </c>
      <c r="B42" s="66" t="n">
        <v>525.31</v>
      </c>
      <c r="C42" s="66" t="n">
        <v>82.12</v>
      </c>
      <c r="D42" s="66" t="n">
        <v>1009.09</v>
      </c>
      <c r="E42" s="66" t="n">
        <v>169.45</v>
      </c>
      <c r="F42" s="66" t="n">
        <v>84.34</v>
      </c>
      <c r="G42" s="66" t="n">
        <v>96.36</v>
      </c>
      <c r="H42" s="66" t="n">
        <v>109.58</v>
      </c>
      <c r="I42" s="66" t="n">
        <v>81.11</v>
      </c>
      <c r="J42" s="66" t="n">
        <v>140.35</v>
      </c>
      <c r="K42" s="66" t="n">
        <v>131.52</v>
      </c>
      <c r="L42" s="66" t="n">
        <v>103.36</v>
      </c>
      <c r="M42" s="66" t="n">
        <v>23.57</v>
      </c>
      <c r="N42" s="66" t="n">
        <v>23.36</v>
      </c>
      <c r="O42" s="66" t="n">
        <v>85.92</v>
      </c>
      <c r="P42" s="66" t="n">
        <v>167.73</v>
      </c>
      <c r="Q42" s="66" t="n">
        <v>266.11</v>
      </c>
      <c r="R42" s="66" t="n">
        <v>53.48</v>
      </c>
      <c r="S42" s="66" t="n">
        <v>79.55</v>
      </c>
      <c r="T42" s="66" t="n">
        <v>31.51</v>
      </c>
      <c r="U42" s="66"/>
      <c r="V42" s="66" t="n">
        <v>275.51</v>
      </c>
      <c r="W42" s="66"/>
      <c r="X42" s="66"/>
      <c r="Y42" s="66"/>
      <c r="Z42" s="66"/>
      <c r="AA42" s="66"/>
    </row>
    <row r="43" customFormat="false" ht="15" hidden="false" customHeight="true" outlineLevel="0" collapsed="false">
      <c r="A43" s="69" t="n">
        <v>45464</v>
      </c>
      <c r="B43" s="66" t="n">
        <v>533.44</v>
      </c>
      <c r="C43" s="66" t="n">
        <v>84.34</v>
      </c>
      <c r="D43" s="66" t="n">
        <v>1017.63</v>
      </c>
      <c r="E43" s="66" t="n">
        <v>161.99</v>
      </c>
      <c r="F43" s="66" t="n">
        <v>85.25</v>
      </c>
      <c r="G43" s="66" t="n">
        <v>95.16</v>
      </c>
      <c r="H43" s="66" t="n">
        <v>111.09</v>
      </c>
      <c r="I43" s="66" t="n">
        <v>80.29</v>
      </c>
      <c r="J43" s="66" t="n">
        <v>138.55</v>
      </c>
      <c r="K43" s="66" t="n">
        <v>126.22</v>
      </c>
      <c r="L43" s="66" t="n">
        <v>101.57</v>
      </c>
      <c r="M43" s="66" t="n">
        <v>23.84</v>
      </c>
      <c r="N43" s="66" t="n">
        <v>23.76</v>
      </c>
      <c r="O43" s="66" t="n">
        <v>85.85</v>
      </c>
      <c r="P43" s="66" t="n">
        <v>169.14</v>
      </c>
      <c r="Q43" s="66" t="n">
        <v>270.59</v>
      </c>
      <c r="R43" s="66" t="n">
        <v>54.12</v>
      </c>
      <c r="S43" s="66" t="n">
        <v>80.75</v>
      </c>
      <c r="T43" s="66" t="n">
        <v>31.8</v>
      </c>
      <c r="U43" s="66"/>
      <c r="V43" s="66" t="n">
        <v>275.39</v>
      </c>
      <c r="W43" s="66"/>
      <c r="X43" s="66"/>
      <c r="Y43" s="66"/>
      <c r="Z43" s="66"/>
      <c r="AA43" s="66"/>
    </row>
    <row r="44" customFormat="false" ht="15" hidden="false" customHeight="true" outlineLevel="0" collapsed="false">
      <c r="A44" s="69" t="n">
        <v>45471</v>
      </c>
      <c r="B44" s="66" t="n">
        <v>555.54</v>
      </c>
      <c r="C44" s="66" t="n">
        <v>87.62</v>
      </c>
      <c r="D44" s="66" t="n">
        <v>1004.01</v>
      </c>
      <c r="E44" s="66" t="n">
        <v>157.3</v>
      </c>
      <c r="F44" s="66" t="n">
        <v>86.67</v>
      </c>
      <c r="G44" s="66" t="n">
        <v>95.8</v>
      </c>
      <c r="H44" s="66" t="n">
        <v>111.42</v>
      </c>
      <c r="I44" s="66" t="n">
        <v>81.08</v>
      </c>
      <c r="J44" s="66" t="n">
        <v>130.59</v>
      </c>
      <c r="K44" s="66" t="n">
        <v>123.2</v>
      </c>
      <c r="L44" s="66" t="n">
        <v>104.27</v>
      </c>
      <c r="M44" s="66" t="n">
        <v>25.33</v>
      </c>
      <c r="N44" s="66" t="n">
        <v>23.9</v>
      </c>
      <c r="O44" s="66" t="n">
        <v>86.01</v>
      </c>
      <c r="P44" s="66" t="n">
        <v>169</v>
      </c>
      <c r="Q44" s="66" t="n">
        <v>258.05</v>
      </c>
      <c r="R44" s="66" t="n">
        <v>54.38</v>
      </c>
      <c r="S44" s="66" t="n">
        <v>82.32</v>
      </c>
      <c r="T44" s="66" t="n">
        <v>31.26</v>
      </c>
      <c r="U44" s="66"/>
      <c r="V44" s="66" t="n">
        <v>269.87</v>
      </c>
      <c r="W44" s="66"/>
      <c r="X44" s="66"/>
      <c r="Y44" s="66"/>
      <c r="Z44" s="66"/>
      <c r="AA44" s="66"/>
    </row>
    <row r="45" customFormat="false" ht="15" hidden="false" customHeight="true" outlineLevel="0" collapsed="false">
      <c r="A45" s="69" t="n">
        <v>45478</v>
      </c>
      <c r="B45" s="66" t="n">
        <v>578.34</v>
      </c>
      <c r="C45" s="66" t="n">
        <v>91.54</v>
      </c>
      <c r="D45" s="66" t="n">
        <v>1054.81</v>
      </c>
      <c r="E45" s="66" t="n">
        <v>166.88</v>
      </c>
      <c r="F45" s="66" t="n">
        <v>85.24</v>
      </c>
      <c r="G45" s="66" t="n">
        <v>97.42</v>
      </c>
      <c r="H45" s="66" t="n">
        <v>110.51</v>
      </c>
      <c r="I45" s="66" t="n">
        <v>84.1</v>
      </c>
      <c r="J45" s="66" t="n">
        <v>130.66</v>
      </c>
      <c r="K45" s="66" t="n">
        <v>125.48</v>
      </c>
      <c r="L45" s="66" t="n">
        <v>106.27</v>
      </c>
      <c r="M45" s="66" t="n">
        <v>27.23</v>
      </c>
      <c r="N45" s="66" t="n">
        <v>23.68</v>
      </c>
      <c r="O45" s="66" t="n">
        <v>88.68</v>
      </c>
      <c r="P45" s="66" t="n">
        <v>178.9</v>
      </c>
      <c r="Q45" s="66" t="n">
        <v>265.81</v>
      </c>
      <c r="R45" s="66" t="n">
        <v>54.19</v>
      </c>
      <c r="S45" s="66" t="n">
        <v>81.42</v>
      </c>
      <c r="T45" s="66" t="n">
        <v>31.62</v>
      </c>
      <c r="U45" s="66"/>
      <c r="V45" s="66" t="n">
        <v>267.88</v>
      </c>
      <c r="W45" s="66"/>
      <c r="X45" s="66"/>
      <c r="Y45" s="66"/>
      <c r="Z45" s="66"/>
      <c r="AA45" s="66"/>
    </row>
    <row r="46" customFormat="false" ht="15" hidden="false" customHeight="true" outlineLevel="0" collapsed="false">
      <c r="A46" s="69" t="n">
        <v>45485</v>
      </c>
      <c r="B46" s="66" t="n">
        <v>559.05</v>
      </c>
      <c r="C46" s="66" t="n">
        <v>90.47</v>
      </c>
      <c r="D46" s="66" t="n">
        <v>1065.4</v>
      </c>
      <c r="E46" s="66" t="n">
        <v>166.62</v>
      </c>
      <c r="F46" s="66" t="n">
        <v>89.99</v>
      </c>
      <c r="G46" s="66" t="n">
        <v>92.83</v>
      </c>
      <c r="H46" s="66" t="n">
        <v>115.16</v>
      </c>
      <c r="I46" s="66" t="n">
        <v>84.34</v>
      </c>
      <c r="J46" s="66" t="n">
        <v>132.72</v>
      </c>
      <c r="K46" s="66" t="n">
        <v>128.88</v>
      </c>
      <c r="L46" s="66" t="n">
        <v>111.55</v>
      </c>
      <c r="M46" s="66" t="n">
        <v>28.07</v>
      </c>
      <c r="N46" s="66" t="n">
        <v>24.48</v>
      </c>
      <c r="O46" s="66" t="n">
        <v>88.5</v>
      </c>
      <c r="P46" s="66" t="n">
        <v>182.16</v>
      </c>
      <c r="Q46" s="66" t="n">
        <v>261.27</v>
      </c>
      <c r="R46" s="66" t="n">
        <v>54.49</v>
      </c>
      <c r="S46" s="66" t="n">
        <v>83.89</v>
      </c>
      <c r="T46" s="66" t="n">
        <v>30.95</v>
      </c>
      <c r="U46" s="66"/>
      <c r="V46" s="66" t="n">
        <v>273.98</v>
      </c>
      <c r="W46" s="66"/>
      <c r="X46" s="66"/>
      <c r="Y46" s="66"/>
      <c r="Z46" s="66"/>
      <c r="AA46" s="66"/>
    </row>
    <row r="47" customFormat="false" ht="15" hidden="false" customHeight="true" outlineLevel="0" collapsed="false">
      <c r="A47" s="69" t="n">
        <v>45492</v>
      </c>
      <c r="B47" s="66" t="n">
        <v>551</v>
      </c>
      <c r="C47" s="66" t="n">
        <v>82.64</v>
      </c>
      <c r="D47" s="66" t="n">
        <v>878.98</v>
      </c>
      <c r="E47" s="66" t="n">
        <v>154.16</v>
      </c>
      <c r="F47" s="66" t="n">
        <v>92.37</v>
      </c>
      <c r="G47" s="66" t="n">
        <v>76.24</v>
      </c>
      <c r="H47" s="66" t="n">
        <v>116.79</v>
      </c>
      <c r="I47" s="66" t="n">
        <v>74.98</v>
      </c>
      <c r="J47" s="66" t="n">
        <v>113.55</v>
      </c>
      <c r="K47" s="66" t="n">
        <v>117.6</v>
      </c>
      <c r="L47" s="66" t="n">
        <v>114.9</v>
      </c>
      <c r="M47" s="66" t="n">
        <v>28.58</v>
      </c>
      <c r="N47" s="66" t="n">
        <v>24.93</v>
      </c>
      <c r="O47" s="66" t="n">
        <v>84.92</v>
      </c>
      <c r="P47" s="66" t="n">
        <v>161.18</v>
      </c>
      <c r="Q47" s="66" t="n">
        <v>260.99</v>
      </c>
      <c r="R47" s="66" t="n">
        <v>55.18</v>
      </c>
      <c r="S47" s="66" t="n">
        <v>87.43</v>
      </c>
      <c r="T47" s="66" t="n">
        <v>30.82</v>
      </c>
      <c r="U47" s="66"/>
      <c r="V47" s="66" t="n">
        <v>266.11</v>
      </c>
      <c r="W47" s="66"/>
      <c r="X47" s="66"/>
      <c r="Y47" s="66"/>
      <c r="Z47" s="66"/>
      <c r="AA47" s="66"/>
    </row>
    <row r="48" customFormat="false" ht="15" hidden="false" customHeight="true" outlineLevel="0" collapsed="false">
      <c r="A48" s="69" t="n">
        <v>45499</v>
      </c>
      <c r="B48" s="66" t="n">
        <v>542.44</v>
      </c>
      <c r="C48" s="66" t="n">
        <v>79.8</v>
      </c>
      <c r="D48" s="66" t="n">
        <v>872.13</v>
      </c>
      <c r="E48" s="66" t="n">
        <v>148.56</v>
      </c>
      <c r="F48" s="66" t="n">
        <v>95.72</v>
      </c>
      <c r="G48" s="66" t="n">
        <v>64.04</v>
      </c>
      <c r="H48" s="66" t="n">
        <v>119.26</v>
      </c>
      <c r="I48" s="66" t="n">
        <v>77.43</v>
      </c>
      <c r="J48" s="66" t="n">
        <v>108.73</v>
      </c>
      <c r="K48" s="66" t="n">
        <v>112.75</v>
      </c>
      <c r="L48" s="66" t="n">
        <v>113.9</v>
      </c>
      <c r="M48" s="66" t="n">
        <v>27.18</v>
      </c>
      <c r="N48" s="66" t="n">
        <v>25.35</v>
      </c>
      <c r="O48" s="66" t="n">
        <v>83.32</v>
      </c>
      <c r="P48" s="66" t="n">
        <v>157.46</v>
      </c>
      <c r="Q48" s="66" t="n">
        <v>255.09</v>
      </c>
      <c r="R48" s="66" t="n">
        <v>55.24</v>
      </c>
      <c r="S48" s="66" t="n">
        <v>87.36</v>
      </c>
      <c r="T48" s="66" t="n">
        <v>31.12</v>
      </c>
      <c r="U48" s="66"/>
      <c r="V48" s="66" t="n">
        <v>270.59</v>
      </c>
      <c r="W48" s="66"/>
      <c r="X48" s="66"/>
      <c r="Y48" s="66"/>
      <c r="Z48" s="66"/>
      <c r="AA48" s="66"/>
    </row>
    <row r="49" customFormat="false" ht="15" hidden="false" customHeight="true" outlineLevel="0" collapsed="false">
      <c r="A49" s="69" t="n">
        <v>45506</v>
      </c>
      <c r="B49" s="66" t="n">
        <v>526.17</v>
      </c>
      <c r="C49" s="66" t="n">
        <v>79.83</v>
      </c>
      <c r="D49" s="66" t="n">
        <v>796.01</v>
      </c>
      <c r="E49" s="66" t="n">
        <v>140.91</v>
      </c>
      <c r="F49" s="66" t="n">
        <v>88.88</v>
      </c>
      <c r="G49" s="66" t="n">
        <v>54.47</v>
      </c>
      <c r="H49" s="66" t="n">
        <v>117.54</v>
      </c>
      <c r="I49" s="66" t="n">
        <v>68.46</v>
      </c>
      <c r="J49" s="66" t="n">
        <v>92.12</v>
      </c>
      <c r="K49" s="66" t="n">
        <v>106.97</v>
      </c>
      <c r="L49" s="66" t="n">
        <v>115.11</v>
      </c>
      <c r="M49" s="66" t="n">
        <v>24.74</v>
      </c>
      <c r="N49" s="66" t="n">
        <v>24.84</v>
      </c>
      <c r="O49" s="66" t="n">
        <v>80.84</v>
      </c>
      <c r="P49" s="66" t="n">
        <v>145.71</v>
      </c>
      <c r="Q49" s="66" t="n">
        <v>262.1</v>
      </c>
      <c r="R49" s="66" t="n">
        <v>55.5</v>
      </c>
      <c r="S49" s="66" t="n">
        <v>87.46</v>
      </c>
      <c r="T49" s="66" t="n">
        <v>30.92</v>
      </c>
      <c r="U49" s="66"/>
      <c r="V49" s="66" t="n">
        <v>258.05</v>
      </c>
      <c r="W49" s="66"/>
      <c r="X49" s="66"/>
      <c r="Y49" s="66"/>
      <c r="Z49" s="66"/>
      <c r="AA49" s="66"/>
    </row>
    <row r="50" customFormat="false" ht="15" hidden="false" customHeight="true" outlineLevel="0" collapsed="false">
      <c r="A50" s="69" t="n">
        <v>45513</v>
      </c>
      <c r="B50" s="66" t="n">
        <v>536.3</v>
      </c>
      <c r="C50" s="66" t="n">
        <v>83.95</v>
      </c>
      <c r="D50" s="66" t="n">
        <v>846.36</v>
      </c>
      <c r="E50" s="66" t="n">
        <v>145.26</v>
      </c>
      <c r="F50" s="66" t="n">
        <v>87.31</v>
      </c>
      <c r="G50" s="66" t="n">
        <v>60.22</v>
      </c>
      <c r="H50" s="66" t="n">
        <v>116.35</v>
      </c>
      <c r="I50" s="66" t="n">
        <v>73.43</v>
      </c>
      <c r="J50" s="66" t="n">
        <v>92.5</v>
      </c>
      <c r="K50" s="66" t="n">
        <v>104.46</v>
      </c>
      <c r="L50" s="66" t="n">
        <v>113.18</v>
      </c>
      <c r="M50" s="66" t="n">
        <v>30.01</v>
      </c>
      <c r="N50" s="66" t="n">
        <v>24.64</v>
      </c>
      <c r="O50" s="66" t="n">
        <v>82.24</v>
      </c>
      <c r="P50" s="66" t="n">
        <v>162.49</v>
      </c>
      <c r="Q50" s="66" t="n">
        <v>255.9</v>
      </c>
      <c r="R50" s="66" t="n">
        <v>55.88</v>
      </c>
      <c r="S50" s="66" t="n">
        <v>90.17</v>
      </c>
      <c r="T50" s="66" t="n">
        <v>30.3</v>
      </c>
      <c r="U50" s="66"/>
      <c r="V50" s="66" t="n">
        <v>265.81</v>
      </c>
      <c r="W50" s="66"/>
      <c r="X50" s="66"/>
      <c r="Y50" s="66"/>
      <c r="Z50" s="66"/>
      <c r="AA50" s="66"/>
    </row>
    <row r="51" customFormat="false" ht="15" hidden="false" customHeight="true" outlineLevel="0" collapsed="false">
      <c r="A51" s="69" t="n">
        <v>45520</v>
      </c>
      <c r="B51" s="66" t="n">
        <v>553.46</v>
      </c>
      <c r="C51" s="66" t="n">
        <v>88.47</v>
      </c>
      <c r="D51" s="66" t="n">
        <v>903.52</v>
      </c>
      <c r="E51" s="66" t="n">
        <v>162.37</v>
      </c>
      <c r="F51" s="66" t="n">
        <v>89.81</v>
      </c>
      <c r="G51" s="66" t="n">
        <v>65.64</v>
      </c>
      <c r="H51" s="66" t="n">
        <v>119.33</v>
      </c>
      <c r="I51" s="66" t="n">
        <v>80.74</v>
      </c>
      <c r="J51" s="66" t="n">
        <v>107.32</v>
      </c>
      <c r="K51" s="66" t="n">
        <v>124.24</v>
      </c>
      <c r="L51" s="66" t="n">
        <v>114.06</v>
      </c>
      <c r="M51" s="66" t="n">
        <v>32.08</v>
      </c>
      <c r="N51" s="66" t="n">
        <v>25.2</v>
      </c>
      <c r="O51" s="66" t="n">
        <v>86.93</v>
      </c>
      <c r="P51" s="66" t="n">
        <v>169.71</v>
      </c>
      <c r="Q51" s="66" t="n">
        <v>263.41</v>
      </c>
      <c r="R51" s="66" t="n">
        <v>55.84</v>
      </c>
      <c r="S51" s="66" t="n">
        <v>89.99</v>
      </c>
      <c r="T51" s="66" t="n">
        <v>31.46</v>
      </c>
      <c r="U51" s="66"/>
      <c r="V51" s="66" t="n">
        <v>261.27</v>
      </c>
      <c r="W51" s="66"/>
      <c r="X51" s="66"/>
      <c r="Y51" s="66"/>
      <c r="Z51" s="66"/>
      <c r="AA51" s="66"/>
    </row>
    <row r="52" customFormat="false" ht="15" hidden="false" customHeight="true" outlineLevel="0" collapsed="false">
      <c r="A52" s="69" t="n">
        <v>45527</v>
      </c>
      <c r="B52" s="66" t="n">
        <v>558.3</v>
      </c>
      <c r="C52" s="66" t="n">
        <v>88.78</v>
      </c>
      <c r="D52" s="66" t="n">
        <v>892.3</v>
      </c>
      <c r="E52" s="66" t="n">
        <v>162.99</v>
      </c>
      <c r="F52" s="66" t="n">
        <v>92.6</v>
      </c>
      <c r="G52" s="66" t="n">
        <v>67.89</v>
      </c>
      <c r="H52" s="66" t="n">
        <v>121.81</v>
      </c>
      <c r="I52" s="66" t="n">
        <v>80.57</v>
      </c>
      <c r="J52" s="66" t="n">
        <v>102.21</v>
      </c>
      <c r="K52" s="66" t="n">
        <v>129.01</v>
      </c>
      <c r="L52" s="66" t="n">
        <v>119.64</v>
      </c>
      <c r="M52" s="66" t="n">
        <v>31.78</v>
      </c>
      <c r="N52" s="66" t="n">
        <v>25.67</v>
      </c>
      <c r="O52" s="66" t="n">
        <v>88.13</v>
      </c>
      <c r="P52" s="66" t="n">
        <v>166.54</v>
      </c>
      <c r="Q52" s="66" t="n">
        <v>263.47</v>
      </c>
      <c r="R52" s="66" t="n">
        <v>54.19</v>
      </c>
      <c r="S52" s="66" t="n">
        <v>86.35</v>
      </c>
      <c r="T52" s="66" t="n">
        <v>31.94</v>
      </c>
      <c r="U52" s="66"/>
      <c r="V52" s="66" t="n">
        <v>260.99</v>
      </c>
      <c r="W52" s="66"/>
      <c r="X52" s="66"/>
      <c r="Y52" s="66"/>
      <c r="Z52" s="66"/>
      <c r="AA52" s="66"/>
    </row>
    <row r="53" customFormat="false" ht="15" hidden="false" customHeight="true" outlineLevel="0" collapsed="false">
      <c r="A53" s="69" t="n">
        <v>45534</v>
      </c>
      <c r="B53" s="66" t="n">
        <v>574.41</v>
      </c>
      <c r="C53" s="66" t="n">
        <v>88.35</v>
      </c>
      <c r="D53" s="66" t="n">
        <v>888.97</v>
      </c>
      <c r="E53" s="66" t="n">
        <v>159.52</v>
      </c>
      <c r="F53" s="66" t="n">
        <v>92.65</v>
      </c>
      <c r="G53" s="66" t="n">
        <v>69.32</v>
      </c>
      <c r="H53" s="66" t="n">
        <v>123.48</v>
      </c>
      <c r="I53" s="66" t="n">
        <v>80.72</v>
      </c>
      <c r="J53" s="66" t="n">
        <v>95.64</v>
      </c>
      <c r="K53" s="66" t="n">
        <v>119.04</v>
      </c>
      <c r="L53" s="66" t="n">
        <v>118.67</v>
      </c>
      <c r="M53" s="66" t="n">
        <v>31.48</v>
      </c>
      <c r="N53" s="66" t="n">
        <v>25.99</v>
      </c>
      <c r="O53" s="66" t="n">
        <v>87.78</v>
      </c>
      <c r="P53" s="66" t="n">
        <v>166.95</v>
      </c>
      <c r="Q53" s="66" t="n">
        <v>272.27</v>
      </c>
      <c r="R53" s="66" t="n">
        <v>52.96</v>
      </c>
      <c r="S53" s="66" t="n">
        <v>84.72</v>
      </c>
      <c r="T53" s="66" t="n">
        <v>32.51</v>
      </c>
      <c r="U53" s="66"/>
      <c r="V53" s="66" t="n">
        <v>255.09</v>
      </c>
      <c r="W53" s="66"/>
      <c r="X53" s="66"/>
      <c r="Y53" s="66"/>
      <c r="Z53" s="66"/>
      <c r="AA53" s="66"/>
    </row>
    <row r="54" customFormat="false" ht="15" hidden="false" customHeight="true" outlineLevel="0" collapsed="false">
      <c r="A54" s="69" t="n">
        <v>45541</v>
      </c>
      <c r="B54" s="66" t="n">
        <v>563.41</v>
      </c>
      <c r="C54" s="66" t="n">
        <v>78.58</v>
      </c>
      <c r="D54" s="66" t="n">
        <v>740.38</v>
      </c>
      <c r="E54" s="66" t="n">
        <v>134.23</v>
      </c>
      <c r="F54" s="66" t="n">
        <v>87.4</v>
      </c>
      <c r="G54" s="66" t="n">
        <v>61.6</v>
      </c>
      <c r="H54" s="66" t="n">
        <v>120.84</v>
      </c>
      <c r="I54" s="66" t="n">
        <v>69.23</v>
      </c>
      <c r="J54" s="66" t="n">
        <v>85.84</v>
      </c>
      <c r="K54" s="66" t="n">
        <v>102.55</v>
      </c>
      <c r="L54" s="66" t="n">
        <v>118.13</v>
      </c>
      <c r="M54" s="66" t="n">
        <v>30.33</v>
      </c>
      <c r="N54" s="66" t="n">
        <v>25.21</v>
      </c>
      <c r="O54" s="66" t="n">
        <v>82.53</v>
      </c>
      <c r="P54" s="66" t="n">
        <v>152.48</v>
      </c>
      <c r="Q54" s="66" t="n">
        <v>275.22</v>
      </c>
      <c r="R54" s="66" t="n">
        <v>51.14</v>
      </c>
      <c r="S54" s="66" t="n">
        <v>82.2</v>
      </c>
      <c r="T54" s="66" t="n">
        <v>31.58</v>
      </c>
      <c r="U54" s="66"/>
      <c r="V54" s="66" t="n">
        <v>262.1</v>
      </c>
      <c r="W54" s="66"/>
      <c r="X54" s="66"/>
      <c r="Y54" s="66"/>
      <c r="Z54" s="66"/>
      <c r="AA54" s="66"/>
    </row>
    <row r="55" customFormat="false" ht="15" hidden="false" customHeight="true" outlineLevel="0" collapsed="false">
      <c r="A55" s="69" t="n">
        <v>45548</v>
      </c>
      <c r="B55" s="66" t="n">
        <v>536.87</v>
      </c>
      <c r="C55" s="66" t="n">
        <v>89.94</v>
      </c>
      <c r="D55" s="66" t="n">
        <v>802.9</v>
      </c>
      <c r="E55" s="66" t="n">
        <v>164.3</v>
      </c>
      <c r="F55" s="66" t="n">
        <v>89.92</v>
      </c>
      <c r="G55" s="66" t="n">
        <v>64.78</v>
      </c>
      <c r="H55" s="66" t="n">
        <v>123.08</v>
      </c>
      <c r="I55" s="66" t="n">
        <v>74.03</v>
      </c>
      <c r="J55" s="66" t="n">
        <v>90.65</v>
      </c>
      <c r="K55" s="66" t="n">
        <v>118.78</v>
      </c>
      <c r="L55" s="66" t="n">
        <v>120.68</v>
      </c>
      <c r="M55" s="66" t="n">
        <v>35.59</v>
      </c>
      <c r="N55" s="66" t="n">
        <v>25.63</v>
      </c>
      <c r="O55" s="66" t="n">
        <v>87.61</v>
      </c>
      <c r="P55" s="66" t="n">
        <v>168.34</v>
      </c>
      <c r="Q55" s="66" t="n">
        <v>283.08</v>
      </c>
      <c r="R55" s="66" t="n">
        <v>51.29</v>
      </c>
      <c r="S55" s="66" t="n">
        <v>83.62</v>
      </c>
      <c r="T55" s="66" t="n">
        <v>31.53</v>
      </c>
      <c r="U55" s="66"/>
      <c r="V55" s="66" t="n">
        <v>255.9</v>
      </c>
      <c r="W55" s="66"/>
      <c r="X55" s="66"/>
      <c r="Y55" s="66"/>
      <c r="Z55" s="66"/>
      <c r="AA55" s="66"/>
    </row>
    <row r="56" customFormat="false" ht="15" hidden="false" customHeight="true" outlineLevel="0" collapsed="false">
      <c r="A56" s="69" t="n">
        <v>45555</v>
      </c>
      <c r="B56" s="66" t="n">
        <v>522.3</v>
      </c>
      <c r="C56" s="66" t="n">
        <v>96.11</v>
      </c>
      <c r="D56" s="66" t="n">
        <v>782.17</v>
      </c>
      <c r="E56" s="66" t="n">
        <v>168.19</v>
      </c>
      <c r="F56" s="66" t="n">
        <v>92.64</v>
      </c>
      <c r="G56" s="66" t="n">
        <v>74.96</v>
      </c>
      <c r="H56" s="66" t="n">
        <v>124.57</v>
      </c>
      <c r="I56" s="66" t="n">
        <v>74.76</v>
      </c>
      <c r="J56" s="66" t="n">
        <v>90.33</v>
      </c>
      <c r="K56" s="66" t="n">
        <v>115.69</v>
      </c>
      <c r="L56" s="66" t="n">
        <v>117.36</v>
      </c>
      <c r="M56" s="66" t="n">
        <v>37.2</v>
      </c>
      <c r="N56" s="66" t="n">
        <v>25.97</v>
      </c>
      <c r="O56" s="66" t="n">
        <v>89.03</v>
      </c>
      <c r="P56" s="66" t="n">
        <v>169.89</v>
      </c>
      <c r="Q56" s="66" t="n">
        <v>280.54</v>
      </c>
      <c r="R56" s="66" t="n">
        <v>53.45</v>
      </c>
      <c r="S56" s="66" t="n">
        <v>88.39</v>
      </c>
      <c r="T56" s="66" t="n">
        <v>32.04</v>
      </c>
      <c r="U56" s="66"/>
      <c r="V56" s="66" t="n">
        <v>263.41</v>
      </c>
      <c r="W56" s="66"/>
      <c r="X56" s="66"/>
      <c r="Y56" s="66"/>
      <c r="Z56" s="66"/>
      <c r="AA56" s="66"/>
    </row>
    <row r="57" customFormat="false" ht="15" hidden="false" customHeight="true" outlineLevel="0" collapsed="false">
      <c r="A57" s="69" t="n">
        <v>45562</v>
      </c>
      <c r="B57" s="66" t="n">
        <v>515.48</v>
      </c>
      <c r="C57" s="66" t="n">
        <v>95.07</v>
      </c>
      <c r="D57" s="66" t="n">
        <v>827.67</v>
      </c>
      <c r="E57" s="66" t="n">
        <v>169.75</v>
      </c>
      <c r="F57" s="66" t="n">
        <v>92.68</v>
      </c>
      <c r="G57" s="66" t="n">
        <v>71.46</v>
      </c>
      <c r="H57" s="66" t="n">
        <v>125.53</v>
      </c>
      <c r="I57" s="66" t="n">
        <v>77.08</v>
      </c>
      <c r="J57" s="66" t="n">
        <v>106.83</v>
      </c>
      <c r="K57" s="66" t="n">
        <v>121.08</v>
      </c>
      <c r="L57" s="66" t="n">
        <v>117.47</v>
      </c>
      <c r="M57" s="66" t="n">
        <v>36.84</v>
      </c>
      <c r="N57" s="66" t="n">
        <v>26.13</v>
      </c>
      <c r="O57" s="66" t="n">
        <v>88.91</v>
      </c>
      <c r="P57" s="66" t="n">
        <v>173.68</v>
      </c>
      <c r="Q57" s="66" t="n">
        <v>271.08</v>
      </c>
      <c r="R57" s="66" t="n">
        <v>53.9</v>
      </c>
      <c r="S57" s="66" t="n">
        <v>89.61</v>
      </c>
      <c r="T57" s="66" t="n">
        <v>33.09</v>
      </c>
      <c r="U57" s="66"/>
      <c r="V57" s="66" t="n">
        <v>263.47</v>
      </c>
      <c r="W57" s="66"/>
      <c r="X57" s="66"/>
      <c r="Y57" s="66"/>
      <c r="Z57" s="66"/>
      <c r="AA57" s="66"/>
    </row>
    <row r="58" customFormat="false" ht="15" hidden="false" customHeight="true" outlineLevel="0" collapsed="false">
      <c r="A58" s="69" t="n">
        <v>45569</v>
      </c>
      <c r="B58" s="66" t="n">
        <v>507.22</v>
      </c>
      <c r="C58" s="66" t="n">
        <v>98.99</v>
      </c>
      <c r="D58" s="66" t="n">
        <v>819.27</v>
      </c>
      <c r="E58" s="66" t="n">
        <v>173.63</v>
      </c>
      <c r="F58" s="66" t="n">
        <v>92.94</v>
      </c>
      <c r="G58" s="66" t="n">
        <v>73.06</v>
      </c>
      <c r="H58" s="66" t="n">
        <v>125.03</v>
      </c>
      <c r="I58" s="66" t="n">
        <v>77.57</v>
      </c>
      <c r="J58" s="66" t="n">
        <v>101.61</v>
      </c>
      <c r="K58" s="66" t="n">
        <v>124.59</v>
      </c>
      <c r="L58" s="66" t="n">
        <v>114.51</v>
      </c>
      <c r="M58" s="66" t="n">
        <v>40.01</v>
      </c>
      <c r="N58" s="66" t="n">
        <v>26.26</v>
      </c>
      <c r="O58" s="66" t="n">
        <v>90.24</v>
      </c>
      <c r="P58" s="66" t="n">
        <v>176.8</v>
      </c>
      <c r="Q58" s="66" t="n">
        <v>273.8</v>
      </c>
      <c r="R58" s="66" t="n">
        <v>54.08</v>
      </c>
      <c r="S58" s="66" t="n">
        <v>89.25</v>
      </c>
      <c r="T58" s="66" t="n">
        <v>33.2</v>
      </c>
      <c r="U58" s="66"/>
      <c r="V58" s="66" t="n">
        <v>272.27</v>
      </c>
      <c r="W58" s="66"/>
      <c r="X58" s="66"/>
      <c r="Y58" s="66"/>
      <c r="Z58" s="66"/>
      <c r="AA58" s="66"/>
    </row>
    <row r="59" customFormat="false" ht="15" hidden="false" customHeight="true" outlineLevel="0" collapsed="false">
      <c r="A59" s="69" t="n">
        <v>45576</v>
      </c>
      <c r="B59" s="66" t="n">
        <v>495.42</v>
      </c>
      <c r="C59" s="66" t="n">
        <v>104.23</v>
      </c>
      <c r="D59" s="66" t="n">
        <v>826.83</v>
      </c>
      <c r="E59" s="66" t="n">
        <v>178.39</v>
      </c>
      <c r="F59" s="66" t="n">
        <v>94.05</v>
      </c>
      <c r="G59" s="66" t="n">
        <v>80.05</v>
      </c>
      <c r="H59" s="66" t="n">
        <v>125.1</v>
      </c>
      <c r="I59" s="66" t="n">
        <v>79.18</v>
      </c>
      <c r="J59" s="66" t="n">
        <v>106.37</v>
      </c>
      <c r="K59" s="66" t="n">
        <v>134.44</v>
      </c>
      <c r="L59" s="66" t="n">
        <v>112.47</v>
      </c>
      <c r="M59" s="66" t="n">
        <v>43.51</v>
      </c>
      <c r="N59" s="66" t="n">
        <v>26.56</v>
      </c>
      <c r="O59" s="66" t="n">
        <v>92.19</v>
      </c>
      <c r="P59" s="66" t="n">
        <v>186.21</v>
      </c>
      <c r="Q59" s="66" t="n">
        <v>273.71</v>
      </c>
      <c r="R59" s="66" t="n">
        <v>51.36</v>
      </c>
      <c r="S59" s="66" t="n">
        <v>83.92</v>
      </c>
      <c r="T59" s="66" t="n">
        <v>31.83</v>
      </c>
      <c r="U59" s="66"/>
      <c r="V59" s="66" t="n">
        <v>275.22</v>
      </c>
      <c r="W59" s="66"/>
      <c r="X59" s="66"/>
      <c r="Y59" s="66"/>
      <c r="Z59" s="66"/>
      <c r="AA59" s="66"/>
    </row>
    <row r="60" customFormat="false" ht="15" hidden="false" customHeight="true" outlineLevel="0" collapsed="false">
      <c r="A60" s="69" t="n">
        <v>45583</v>
      </c>
      <c r="B60" s="66" t="n">
        <v>494.9</v>
      </c>
      <c r="C60" s="66" t="n">
        <v>100.5</v>
      </c>
      <c r="D60" s="66" t="n">
        <v>711.34</v>
      </c>
      <c r="E60" s="66" t="n">
        <v>176.83</v>
      </c>
      <c r="F60" s="66" t="n">
        <v>95.23</v>
      </c>
      <c r="G60" s="66" t="n">
        <v>77.54</v>
      </c>
      <c r="H60" s="66" t="n">
        <v>127.52</v>
      </c>
      <c r="I60" s="66" t="n">
        <v>66.84</v>
      </c>
      <c r="J60" s="66" t="n">
        <v>110.58</v>
      </c>
      <c r="K60" s="66" t="n">
        <v>137.63</v>
      </c>
      <c r="L60" s="66" t="n">
        <v>114.58</v>
      </c>
      <c r="M60" s="66" t="n">
        <v>42.97</v>
      </c>
      <c r="N60" s="66" t="n">
        <v>26.81</v>
      </c>
      <c r="O60" s="66" t="n">
        <v>92.59</v>
      </c>
      <c r="P60" s="66" t="n">
        <v>195.94</v>
      </c>
      <c r="Q60" s="66" t="n">
        <v>286.3</v>
      </c>
      <c r="R60" s="66" t="n">
        <v>53.75</v>
      </c>
      <c r="S60" s="66" t="n">
        <v>89.08</v>
      </c>
      <c r="T60" s="66" t="n">
        <v>32.58</v>
      </c>
      <c r="U60" s="66"/>
      <c r="V60" s="66" t="n">
        <v>283.08</v>
      </c>
      <c r="W60" s="66"/>
      <c r="X60" s="66"/>
      <c r="Y60" s="66"/>
      <c r="Z60" s="66"/>
      <c r="AA60" s="66"/>
    </row>
    <row r="61" customFormat="false" ht="15" hidden="false" customHeight="true" outlineLevel="0" collapsed="false">
      <c r="A61" s="69" t="n">
        <v>45590</v>
      </c>
      <c r="B61" s="66" t="n">
        <v>483.72</v>
      </c>
      <c r="C61" s="66" t="n">
        <v>98.52</v>
      </c>
      <c r="D61" s="66" t="n">
        <v>699.97</v>
      </c>
      <c r="E61" s="66" t="n">
        <v>170.06</v>
      </c>
      <c r="F61" s="66" t="n">
        <v>92.06</v>
      </c>
      <c r="G61" s="66" t="n">
        <v>75.15</v>
      </c>
      <c r="H61" s="66" t="n">
        <v>124.51</v>
      </c>
      <c r="I61" s="66" t="n">
        <v>66.31</v>
      </c>
      <c r="J61" s="66" t="n">
        <v>107.36</v>
      </c>
      <c r="K61" s="66" t="n">
        <v>141.16</v>
      </c>
      <c r="L61" s="66" t="n">
        <v>109.94</v>
      </c>
      <c r="M61" s="66" t="n">
        <v>44.86</v>
      </c>
      <c r="N61" s="66" t="n">
        <v>26.19</v>
      </c>
      <c r="O61" s="66" t="n">
        <v>91.23</v>
      </c>
      <c r="P61" s="66" t="n">
        <v>198.54</v>
      </c>
      <c r="Q61" s="66" t="n">
        <v>277.55</v>
      </c>
      <c r="R61" s="66" t="n">
        <v>54.41</v>
      </c>
      <c r="S61" s="66" t="n">
        <v>90.53</v>
      </c>
      <c r="T61" s="66" t="n">
        <v>33.14</v>
      </c>
      <c r="U61" s="66"/>
      <c r="V61" s="66" t="n">
        <v>280.54</v>
      </c>
      <c r="W61" s="66"/>
      <c r="X61" s="66"/>
      <c r="Y61" s="66"/>
      <c r="Z61" s="66"/>
      <c r="AA61" s="66"/>
    </row>
    <row r="62" customFormat="false" ht="15" hidden="false" customHeight="true" outlineLevel="0" collapsed="false">
      <c r="A62" s="69" t="n">
        <v>45597</v>
      </c>
      <c r="B62" s="66" t="n">
        <v>482.8</v>
      </c>
      <c r="C62" s="66" t="n">
        <v>98.54</v>
      </c>
      <c r="D62" s="66" t="n">
        <v>665.15</v>
      </c>
      <c r="E62" s="66" t="n">
        <v>166.04</v>
      </c>
      <c r="F62" s="66" t="n">
        <v>91.84</v>
      </c>
      <c r="G62" s="66" t="n">
        <v>75.78</v>
      </c>
      <c r="H62" s="66" t="n">
        <v>124.39</v>
      </c>
      <c r="I62" s="66" t="n">
        <v>65.94</v>
      </c>
      <c r="J62" s="66" t="n">
        <v>99.22</v>
      </c>
      <c r="K62" s="66" t="n">
        <v>135.04</v>
      </c>
      <c r="L62" s="66" t="n">
        <v>106.07</v>
      </c>
      <c r="M62" s="66" t="n">
        <v>41.92</v>
      </c>
      <c r="N62" s="66" t="n">
        <v>26.15</v>
      </c>
      <c r="O62" s="66" t="n">
        <v>89.98</v>
      </c>
      <c r="P62" s="66" t="n">
        <v>188.3</v>
      </c>
      <c r="Q62" s="66" t="n">
        <v>286.42</v>
      </c>
      <c r="R62" s="66" t="n">
        <v>54.8</v>
      </c>
      <c r="S62" s="66" t="n">
        <v>90.34</v>
      </c>
      <c r="T62" s="66" t="n">
        <v>33.21</v>
      </c>
      <c r="U62" s="66"/>
      <c r="V62" s="66" t="n">
        <v>271.08</v>
      </c>
      <c r="W62" s="66"/>
      <c r="X62" s="66"/>
      <c r="Y62" s="66"/>
      <c r="Z62" s="66"/>
      <c r="AA62" s="66"/>
    </row>
    <row r="63" customFormat="false" ht="15" hidden="false" customHeight="true" outlineLevel="0" collapsed="false">
      <c r="A63" s="69" t="n">
        <v>45604</v>
      </c>
      <c r="B63" s="66" t="n">
        <v>494.68</v>
      </c>
      <c r="C63" s="66" t="n">
        <v>100.11</v>
      </c>
      <c r="D63" s="66" t="n">
        <v>659.96</v>
      </c>
      <c r="E63" s="66" t="n">
        <v>180.51</v>
      </c>
      <c r="F63" s="66" t="n">
        <v>99.98</v>
      </c>
      <c r="G63" s="66" t="n">
        <v>82.51</v>
      </c>
      <c r="H63" s="66" t="n">
        <v>128.71</v>
      </c>
      <c r="I63" s="66" t="n">
        <v>67.72</v>
      </c>
      <c r="J63" s="66" t="n">
        <v>111.33</v>
      </c>
      <c r="K63" s="66" t="n">
        <v>147.23</v>
      </c>
      <c r="L63" s="66" t="n">
        <v>108.34</v>
      </c>
      <c r="M63" s="66" t="n">
        <v>58.39</v>
      </c>
      <c r="N63" s="66" t="n">
        <v>27.06</v>
      </c>
      <c r="O63" s="66" t="n">
        <v>95.36</v>
      </c>
      <c r="P63" s="66" t="n">
        <v>196.35</v>
      </c>
      <c r="Q63" s="66" t="n">
        <v>303.3</v>
      </c>
      <c r="R63" s="66" t="n">
        <v>54.37</v>
      </c>
      <c r="S63" s="66" t="n">
        <v>91.69</v>
      </c>
      <c r="T63" s="66" t="n">
        <v>33.83</v>
      </c>
      <c r="U63" s="66"/>
      <c r="V63" s="66" t="n">
        <v>273.8</v>
      </c>
      <c r="W63" s="66"/>
      <c r="X63" s="66"/>
      <c r="Y63" s="66"/>
      <c r="Z63" s="66"/>
      <c r="AA63" s="66"/>
    </row>
    <row r="64" customFormat="false" ht="15" hidden="false" customHeight="true" outlineLevel="0" collapsed="false">
      <c r="A64" s="69" t="n">
        <v>45611</v>
      </c>
      <c r="B64" s="66" t="n">
        <v>503.37</v>
      </c>
      <c r="C64" s="66" t="n">
        <v>93.6</v>
      </c>
      <c r="D64" s="66" t="n">
        <v>649.28</v>
      </c>
      <c r="E64" s="66" t="n">
        <v>162.03</v>
      </c>
      <c r="F64" s="66" t="n">
        <v>98.04</v>
      </c>
      <c r="G64" s="66" t="n">
        <v>84.19</v>
      </c>
      <c r="H64" s="66" t="n">
        <v>128.87</v>
      </c>
      <c r="I64" s="66" t="n">
        <v>60.53</v>
      </c>
      <c r="J64" s="66" t="n">
        <v>95.85</v>
      </c>
      <c r="K64" s="66" t="n">
        <v>141.6</v>
      </c>
      <c r="L64" s="66" t="n">
        <v>106.09</v>
      </c>
      <c r="M64" s="66" t="n">
        <v>65.77</v>
      </c>
      <c r="N64" s="66" t="n">
        <v>26.64</v>
      </c>
      <c r="O64" s="66" t="n">
        <v>92.42</v>
      </c>
      <c r="P64" s="66" t="n">
        <v>181.53</v>
      </c>
      <c r="Q64" s="66" t="n">
        <v>305.62</v>
      </c>
      <c r="R64" s="66" t="n">
        <v>54.86</v>
      </c>
      <c r="S64" s="66" t="n">
        <v>93.67</v>
      </c>
      <c r="T64" s="66" t="n">
        <v>33.95</v>
      </c>
      <c r="U64" s="66"/>
      <c r="V64" s="66" t="n">
        <v>273.71</v>
      </c>
      <c r="W64" s="66"/>
      <c r="X64" s="66"/>
      <c r="Y64" s="66"/>
      <c r="Z64" s="66"/>
      <c r="AA64" s="66"/>
    </row>
    <row r="65" customFormat="false" ht="15" hidden="false" customHeight="true" outlineLevel="0" collapsed="false">
      <c r="A65" s="69" t="n">
        <v>45618</v>
      </c>
      <c r="B65" s="66" t="n">
        <v>512.15</v>
      </c>
      <c r="C65" s="66" t="n">
        <v>101.62</v>
      </c>
      <c r="D65" s="66" t="n">
        <v>663.32</v>
      </c>
      <c r="E65" s="66" t="n">
        <v>161.43</v>
      </c>
      <c r="F65" s="66" t="n">
        <v>101.62</v>
      </c>
      <c r="G65" s="66" t="n">
        <v>93.07</v>
      </c>
      <c r="H65" s="66" t="n">
        <v>132.37</v>
      </c>
      <c r="I65" s="66" t="n">
        <v>63.18</v>
      </c>
      <c r="J65" s="66" t="n">
        <v>102.11</v>
      </c>
      <c r="K65" s="66" t="n">
        <v>141.57</v>
      </c>
      <c r="L65" s="66" t="n">
        <v>108.31</v>
      </c>
      <c r="M65" s="66" t="n">
        <v>64.35</v>
      </c>
      <c r="N65" s="66" t="n">
        <v>27.31</v>
      </c>
      <c r="O65" s="66" t="n">
        <v>94.07</v>
      </c>
      <c r="P65" s="66" t="n">
        <v>185.5</v>
      </c>
      <c r="Q65" s="66" t="n">
        <v>305.9</v>
      </c>
      <c r="R65" s="66" t="n">
        <v>55.27</v>
      </c>
      <c r="S65" s="66" t="n">
        <v>94.07</v>
      </c>
      <c r="T65" s="66" t="n">
        <v>33.79</v>
      </c>
      <c r="U65" s="66"/>
      <c r="V65" s="66" t="n">
        <v>286.3</v>
      </c>
      <c r="W65" s="66"/>
      <c r="X65" s="66"/>
      <c r="Y65" s="66"/>
      <c r="Z65" s="66"/>
      <c r="AA65" s="66"/>
    </row>
    <row r="66" customFormat="false" ht="15" hidden="false" customHeight="true" outlineLevel="0" collapsed="false">
      <c r="A66" s="69" t="n">
        <v>45625</v>
      </c>
      <c r="B66" s="66" t="n">
        <v>515.93</v>
      </c>
      <c r="C66" s="66" t="n">
        <v>101.46</v>
      </c>
      <c r="D66" s="66" t="n">
        <v>676.86</v>
      </c>
      <c r="E66" s="66" t="n">
        <v>159.32</v>
      </c>
      <c r="F66" s="66" t="n">
        <v>102.31</v>
      </c>
      <c r="G66" s="66" t="n">
        <v>86.49</v>
      </c>
      <c r="H66" s="66" t="n">
        <v>133.61</v>
      </c>
      <c r="I66" s="66" t="n">
        <v>63.92</v>
      </c>
      <c r="J66" s="66" t="n">
        <v>97.45</v>
      </c>
      <c r="K66" s="66" t="n">
        <v>137.88</v>
      </c>
      <c r="L66" s="66" t="n">
        <v>109.23</v>
      </c>
      <c r="M66" s="66" t="n">
        <v>67.08</v>
      </c>
      <c r="N66" s="66" t="n">
        <v>27.48</v>
      </c>
      <c r="O66" s="66" t="n">
        <v>95.3</v>
      </c>
      <c r="P66" s="66" t="n">
        <v>180.21</v>
      </c>
      <c r="Q66" s="66" t="n">
        <v>310.99</v>
      </c>
      <c r="R66" s="66" t="n">
        <v>55.4</v>
      </c>
      <c r="S66" s="66" t="n">
        <v>92.69</v>
      </c>
      <c r="T66" s="66" t="n">
        <v>33.14</v>
      </c>
      <c r="U66" s="66"/>
      <c r="V66" s="66" t="n">
        <v>277.55</v>
      </c>
      <c r="W66" s="66"/>
      <c r="X66" s="66"/>
      <c r="Y66" s="66"/>
      <c r="Z66" s="66"/>
      <c r="AA66" s="66"/>
    </row>
    <row r="67" customFormat="false" ht="15" hidden="false" customHeight="true" outlineLevel="0" collapsed="false">
      <c r="A67" s="69" t="n">
        <v>45632</v>
      </c>
      <c r="B67" s="66" t="n">
        <v>552.96</v>
      </c>
      <c r="C67" s="66" t="n">
        <v>108.25</v>
      </c>
      <c r="D67" s="66" t="n">
        <v>698.91</v>
      </c>
      <c r="E67" s="66" t="n">
        <v>176.47</v>
      </c>
      <c r="F67" s="66" t="n">
        <v>100.18</v>
      </c>
      <c r="G67" s="66" t="n">
        <v>91.41</v>
      </c>
      <c r="H67" s="66" t="n">
        <v>130.23</v>
      </c>
      <c r="I67" s="66" t="n">
        <v>64.05</v>
      </c>
      <c r="J67" s="66" t="n">
        <v>100.65</v>
      </c>
      <c r="K67" s="66" t="n">
        <v>142.07</v>
      </c>
      <c r="L67" s="66" t="n">
        <v>104.76</v>
      </c>
      <c r="M67" s="66" t="n">
        <v>76.34</v>
      </c>
      <c r="N67" s="66" t="n">
        <v>26.82</v>
      </c>
      <c r="O67" s="66" t="n">
        <v>97.14</v>
      </c>
      <c r="P67" s="66" t="n">
        <v>198.13</v>
      </c>
      <c r="Q67" s="66" t="n">
        <v>306.97</v>
      </c>
      <c r="R67" s="66" t="n">
        <v>54.44</v>
      </c>
      <c r="S67" s="66" t="n">
        <v>91.42</v>
      </c>
      <c r="T67" s="66" t="n">
        <v>33.16</v>
      </c>
      <c r="U67" s="66"/>
      <c r="V67" s="66" t="n">
        <v>286.42</v>
      </c>
      <c r="W67" s="66"/>
      <c r="X67" s="66"/>
      <c r="Y67" s="66"/>
      <c r="Z67" s="66"/>
      <c r="AA67" s="66"/>
    </row>
    <row r="68" customFormat="false" ht="15" hidden="false" customHeight="true" outlineLevel="0" collapsed="false">
      <c r="A68" s="69" t="n">
        <v>45639</v>
      </c>
      <c r="B68" s="66" t="n">
        <v>465.69</v>
      </c>
      <c r="C68" s="66" t="n">
        <v>112.37</v>
      </c>
      <c r="D68" s="66" t="n">
        <v>708.38</v>
      </c>
      <c r="E68" s="66" t="n">
        <v>220.97</v>
      </c>
      <c r="F68" s="66" t="n">
        <v>98.94</v>
      </c>
      <c r="G68" s="66" t="n">
        <v>92</v>
      </c>
      <c r="H68" s="66" t="n">
        <v>127.6</v>
      </c>
      <c r="I68" s="66" t="n">
        <v>64.58</v>
      </c>
      <c r="J68" s="66" t="n">
        <v>101.97</v>
      </c>
      <c r="K68" s="66" t="n">
        <v>133.9</v>
      </c>
      <c r="L68" s="66" t="n">
        <v>103.95</v>
      </c>
      <c r="M68" s="66" t="n">
        <v>76.07</v>
      </c>
      <c r="N68" s="66" t="n">
        <v>26.42</v>
      </c>
      <c r="O68" s="66" t="n">
        <v>96.23</v>
      </c>
      <c r="P68" s="66" t="n">
        <v>196.77</v>
      </c>
      <c r="Q68" s="66" t="n">
        <v>310.65</v>
      </c>
      <c r="R68" s="66" t="n">
        <v>56.54</v>
      </c>
      <c r="S68" s="66" t="n">
        <v>96.89</v>
      </c>
      <c r="T68" s="66" t="n">
        <v>35.73</v>
      </c>
      <c r="U68" s="66"/>
      <c r="V68" s="66" t="n">
        <v>303.3</v>
      </c>
      <c r="W68" s="66"/>
      <c r="X68" s="66"/>
      <c r="Y68" s="66"/>
      <c r="Z68" s="66"/>
      <c r="AA68" s="66"/>
    </row>
    <row r="69" customFormat="false" ht="15" hidden="false" customHeight="true" outlineLevel="0" collapsed="false">
      <c r="A69" s="69" t="n">
        <v>45646</v>
      </c>
      <c r="B69" s="66" t="n">
        <v>447.17</v>
      </c>
      <c r="C69" s="66" t="n">
        <v>112.81</v>
      </c>
      <c r="D69" s="66" t="n">
        <v>695.66</v>
      </c>
      <c r="E69" s="66" t="n">
        <v>217.03</v>
      </c>
      <c r="F69" s="66" t="n">
        <v>93.61</v>
      </c>
      <c r="G69" s="66" t="n">
        <v>90.57</v>
      </c>
      <c r="H69" s="66" t="n">
        <v>123.57</v>
      </c>
      <c r="I69" s="66" t="n">
        <v>62.17</v>
      </c>
      <c r="J69" s="66" t="n">
        <v>89.66</v>
      </c>
      <c r="K69" s="66" t="n">
        <v>134.35</v>
      </c>
      <c r="L69" s="66" t="n">
        <v>97.48</v>
      </c>
      <c r="M69" s="66" t="n">
        <v>80.55</v>
      </c>
      <c r="N69" s="66" t="n">
        <v>25.63</v>
      </c>
      <c r="O69" s="66" t="n">
        <v>94.07</v>
      </c>
      <c r="P69" s="66" t="n">
        <v>193.07</v>
      </c>
      <c r="Q69" s="66" t="n">
        <v>313.59</v>
      </c>
      <c r="R69" s="66" t="n">
        <v>55.61</v>
      </c>
      <c r="S69" s="66" t="n">
        <v>93.9</v>
      </c>
      <c r="T69" s="66" t="n">
        <v>35.18</v>
      </c>
      <c r="U69" s="66"/>
      <c r="V69" s="66" t="n">
        <v>305.62</v>
      </c>
      <c r="W69" s="66"/>
      <c r="X69" s="66"/>
      <c r="Y69" s="66"/>
      <c r="Z69" s="66"/>
      <c r="AA69" s="66"/>
    </row>
    <row r="70" customFormat="false" ht="15" hidden="false" customHeight="true" outlineLevel="0" collapsed="false">
      <c r="A70" s="69" t="n">
        <v>45653</v>
      </c>
      <c r="B70" s="66" t="n">
        <v>446.48</v>
      </c>
      <c r="C70" s="66" t="n">
        <v>113.03</v>
      </c>
      <c r="D70" s="66" t="n">
        <v>703.46</v>
      </c>
      <c r="E70" s="66" t="n">
        <v>238.27</v>
      </c>
      <c r="F70" s="66" t="n">
        <v>93.98</v>
      </c>
      <c r="G70" s="66" t="n">
        <v>88.75</v>
      </c>
      <c r="H70" s="66" t="n">
        <v>124.13</v>
      </c>
      <c r="I70" s="66" t="n">
        <v>63.7</v>
      </c>
      <c r="J70" s="66" t="n">
        <v>88.18</v>
      </c>
      <c r="K70" s="66" t="n">
        <v>136.65</v>
      </c>
      <c r="L70" s="66" t="n">
        <v>99.29</v>
      </c>
      <c r="M70" s="66" t="n">
        <v>79.08</v>
      </c>
      <c r="N70" s="66" t="n">
        <v>25.8</v>
      </c>
      <c r="O70" s="66" t="n">
        <v>95.26</v>
      </c>
      <c r="P70" s="66" t="n">
        <v>197.4</v>
      </c>
      <c r="Q70" s="66" t="n">
        <v>314.52</v>
      </c>
      <c r="R70" s="66" t="n">
        <v>56.57</v>
      </c>
      <c r="S70" s="66" t="n">
        <v>95.58</v>
      </c>
      <c r="T70" s="66" t="n">
        <v>36.54</v>
      </c>
      <c r="U70" s="66"/>
      <c r="V70" s="66" t="n">
        <v>305.9</v>
      </c>
      <c r="W70" s="66"/>
      <c r="X70" s="66"/>
      <c r="Y70" s="66"/>
      <c r="Z70" s="66"/>
      <c r="AA70" s="66"/>
    </row>
    <row r="71" customFormat="false" ht="15" hidden="false" customHeight="true" outlineLevel="0" collapsed="false">
      <c r="A71" s="69" t="n">
        <v>45660</v>
      </c>
      <c r="B71" s="66" t="n">
        <v>430.57</v>
      </c>
      <c r="C71" s="66" t="n">
        <v>115.2</v>
      </c>
      <c r="D71" s="66" t="n">
        <v>704.22</v>
      </c>
      <c r="E71" s="66" t="n">
        <v>229.2</v>
      </c>
      <c r="F71" s="66" t="n">
        <v>94.72</v>
      </c>
      <c r="G71" s="66" t="n">
        <v>89.75</v>
      </c>
      <c r="H71" s="66" t="n">
        <v>124.06</v>
      </c>
      <c r="I71" s="66" t="n">
        <v>64.9</v>
      </c>
      <c r="J71" s="66" t="n">
        <v>89.53</v>
      </c>
      <c r="K71" s="66" t="n">
        <v>144.09</v>
      </c>
      <c r="L71" s="66" t="n">
        <v>99.66</v>
      </c>
      <c r="M71" s="66" t="n">
        <v>79.89</v>
      </c>
      <c r="N71" s="66" t="n">
        <v>25.77</v>
      </c>
      <c r="O71" s="66" t="n">
        <v>95.55</v>
      </c>
      <c r="P71" s="66" t="n">
        <v>204.23</v>
      </c>
      <c r="Q71" s="66" t="n">
        <v>310.82</v>
      </c>
      <c r="R71" s="66" t="n">
        <v>57.09</v>
      </c>
      <c r="S71" s="66" t="n">
        <v>96.83</v>
      </c>
      <c r="T71" s="66" t="n">
        <v>36.61</v>
      </c>
      <c r="U71" s="66"/>
      <c r="V71" s="66" t="n">
        <v>310.99</v>
      </c>
      <c r="W71" s="66"/>
      <c r="X71" s="66"/>
      <c r="Y71" s="66"/>
      <c r="Z71" s="66"/>
      <c r="AA71" s="66"/>
    </row>
    <row r="72" customFormat="false" ht="15" hidden="false" customHeight="true" outlineLevel="0" collapsed="false">
      <c r="A72" s="69" t="n">
        <v>45667</v>
      </c>
      <c r="B72" s="66" t="n">
        <v>405.92</v>
      </c>
      <c r="C72" s="66" t="n">
        <v>114.34</v>
      </c>
      <c r="D72" s="66" t="n">
        <v>728.52</v>
      </c>
      <c r="E72" s="66" t="n">
        <v>221.08</v>
      </c>
      <c r="F72" s="66" t="n">
        <v>92.23</v>
      </c>
      <c r="G72" s="66" t="n">
        <v>87.21</v>
      </c>
      <c r="H72" s="66" t="n">
        <v>120.96</v>
      </c>
      <c r="I72" s="66" t="n">
        <v>67.48</v>
      </c>
      <c r="J72" s="66" t="n">
        <v>98.96</v>
      </c>
      <c r="K72" s="66" t="n">
        <v>135.56</v>
      </c>
      <c r="L72" s="66" t="n">
        <v>97.74</v>
      </c>
      <c r="M72" s="66" t="n">
        <v>67.26</v>
      </c>
      <c r="N72" s="66" t="n">
        <v>25.37</v>
      </c>
      <c r="O72" s="66" t="n">
        <v>94.26</v>
      </c>
      <c r="P72" s="66" t="n">
        <v>204</v>
      </c>
      <c r="Q72" s="66" t="n">
        <v>303.72</v>
      </c>
      <c r="R72" s="66" t="n">
        <v>57.62</v>
      </c>
      <c r="S72" s="66" t="n">
        <v>98.7</v>
      </c>
      <c r="T72" s="66" t="n">
        <v>36.58</v>
      </c>
      <c r="U72" s="66"/>
      <c r="V72" s="66" t="n">
        <v>306.97</v>
      </c>
      <c r="W72" s="66"/>
      <c r="X72" s="66"/>
      <c r="Y72" s="66"/>
      <c r="Z72" s="66"/>
      <c r="AA72" s="66"/>
    </row>
    <row r="73" customFormat="false" ht="15" hidden="false" customHeight="true" outlineLevel="0" collapsed="false">
      <c r="A73" s="69" t="n">
        <v>45674</v>
      </c>
      <c r="B73" s="66" t="n">
        <v>429.99</v>
      </c>
      <c r="C73" s="66" t="n">
        <v>119.95</v>
      </c>
      <c r="D73" s="66" t="n">
        <v>745.59</v>
      </c>
      <c r="E73" s="66" t="n">
        <v>234.02</v>
      </c>
      <c r="F73" s="66" t="n">
        <v>96.74</v>
      </c>
      <c r="G73" s="66" t="n">
        <v>89.25</v>
      </c>
      <c r="H73" s="66" t="n">
        <v>126.81</v>
      </c>
      <c r="I73" s="66" t="n">
        <v>74.83</v>
      </c>
      <c r="J73" s="66" t="n">
        <v>105.34</v>
      </c>
      <c r="K73" s="66" t="n">
        <v>137.35</v>
      </c>
      <c r="L73" s="66" t="n">
        <v>103.29</v>
      </c>
      <c r="M73" s="66" t="n">
        <v>71.77</v>
      </c>
      <c r="N73" s="66" t="n">
        <v>26.29</v>
      </c>
      <c r="O73" s="66" t="n">
        <v>97.29</v>
      </c>
      <c r="P73" s="66" t="n">
        <v>207.06</v>
      </c>
      <c r="Q73" s="66" t="n">
        <v>315.47</v>
      </c>
      <c r="R73" s="66" t="n">
        <v>57.85</v>
      </c>
      <c r="S73" s="66" t="n">
        <v>97.77</v>
      </c>
      <c r="T73" s="66" t="n">
        <v>34.97</v>
      </c>
      <c r="U73" s="66"/>
      <c r="V73" s="66" t="n">
        <v>310.65</v>
      </c>
      <c r="W73" s="66"/>
      <c r="X73" s="66"/>
      <c r="Y73" s="66"/>
      <c r="Z73" s="66"/>
      <c r="AA73" s="66"/>
    </row>
    <row r="74" customFormat="false" ht="15" hidden="false" customHeight="true" outlineLevel="0" collapsed="false">
      <c r="A74" s="69" t="n">
        <v>45681</v>
      </c>
      <c r="B74" s="66" t="n">
        <v>435.38</v>
      </c>
      <c r="C74" s="66" t="n">
        <v>129.17</v>
      </c>
      <c r="D74" s="66" t="n">
        <v>721.85</v>
      </c>
      <c r="E74" s="66" t="n">
        <v>241.18</v>
      </c>
      <c r="F74" s="66" t="n">
        <v>97.23</v>
      </c>
      <c r="G74" s="66" t="n">
        <v>93.73</v>
      </c>
      <c r="H74" s="66" t="n">
        <v>127.09</v>
      </c>
      <c r="I74" s="66" t="n">
        <v>74.07</v>
      </c>
      <c r="J74" s="66" t="n">
        <v>102.79</v>
      </c>
      <c r="K74" s="66" t="n">
        <v>142.25</v>
      </c>
      <c r="L74" s="66" t="n">
        <v>112.21</v>
      </c>
      <c r="M74" s="66" t="n">
        <v>78.98</v>
      </c>
      <c r="N74" s="66" t="n">
        <v>26.36</v>
      </c>
      <c r="O74" s="66" t="n">
        <v>99.93</v>
      </c>
      <c r="P74" s="66" t="n">
        <v>217.22</v>
      </c>
      <c r="Q74" s="66" t="n">
        <v>325.91</v>
      </c>
      <c r="R74" s="66" t="n">
        <v>57.2</v>
      </c>
      <c r="S74" s="66" t="n">
        <v>95.58</v>
      </c>
      <c r="T74" s="66" t="n">
        <v>33.9</v>
      </c>
      <c r="U74" s="66"/>
      <c r="V74" s="66" t="n">
        <v>313.59</v>
      </c>
      <c r="W74" s="66"/>
      <c r="X74" s="66"/>
      <c r="Y74" s="66"/>
      <c r="Z74" s="66"/>
      <c r="AA74" s="66"/>
    </row>
    <row r="75" customFormat="false" ht="15" hidden="false" customHeight="true" outlineLevel="0" collapsed="false">
      <c r="A75" s="69" t="n">
        <v>45688</v>
      </c>
      <c r="B75" s="66" t="n">
        <v>437.45</v>
      </c>
      <c r="C75" s="66" t="n">
        <v>115.23</v>
      </c>
      <c r="D75" s="66" t="n">
        <v>728.81</v>
      </c>
      <c r="E75" s="66" t="n">
        <v>218.09</v>
      </c>
      <c r="F75" s="66" t="n">
        <v>95.76</v>
      </c>
      <c r="G75" s="66" t="n">
        <v>99.52</v>
      </c>
      <c r="H75" s="66" t="n">
        <v>126.76</v>
      </c>
      <c r="I75" s="66" t="n">
        <v>72.93</v>
      </c>
      <c r="J75" s="66" t="n">
        <v>90.89</v>
      </c>
      <c r="K75" s="66" t="n">
        <v>119.76</v>
      </c>
      <c r="L75" s="66" t="n">
        <v>112.51</v>
      </c>
      <c r="M75" s="66" t="n">
        <v>82.49</v>
      </c>
      <c r="N75" s="66" t="n">
        <v>26.14</v>
      </c>
      <c r="O75" s="66" t="n">
        <v>98.66</v>
      </c>
      <c r="P75" s="66" t="n">
        <v>204.93</v>
      </c>
      <c r="Q75" s="66" t="n">
        <v>337.36</v>
      </c>
      <c r="R75" s="66" t="n">
        <v>57.74</v>
      </c>
      <c r="S75" s="66" t="n">
        <v>96.59</v>
      </c>
      <c r="T75" s="66" t="n">
        <v>34.21</v>
      </c>
      <c r="U75" s="66"/>
      <c r="V75" s="66" t="n">
        <v>314.52</v>
      </c>
      <c r="W75" s="66"/>
      <c r="X75" s="66"/>
      <c r="Y75" s="66"/>
      <c r="Z75" s="66"/>
      <c r="AA75" s="66"/>
    </row>
    <row r="76" customFormat="false" ht="15" hidden="false" customHeight="true" outlineLevel="0" collapsed="false">
      <c r="A76" s="69" t="n">
        <v>45695</v>
      </c>
      <c r="B76" s="66" t="n">
        <v>433.07</v>
      </c>
      <c r="C76" s="66" t="n">
        <v>118.47</v>
      </c>
      <c r="D76" s="66" t="n">
        <v>717.37</v>
      </c>
      <c r="E76" s="66" t="n">
        <v>221.63</v>
      </c>
      <c r="F76" s="66" t="n">
        <v>94.65</v>
      </c>
      <c r="G76" s="66" t="n">
        <v>105.4</v>
      </c>
      <c r="H76" s="66" t="n">
        <v>126.15</v>
      </c>
      <c r="I76" s="66" t="n">
        <v>73.86</v>
      </c>
      <c r="J76" s="66" t="n">
        <v>91.95</v>
      </c>
      <c r="K76" s="66" t="n">
        <v>129.5</v>
      </c>
      <c r="L76" s="66" t="n">
        <v>110.72</v>
      </c>
      <c r="M76" s="66" t="n">
        <v>110.85</v>
      </c>
      <c r="N76" s="66" t="n">
        <v>25.88</v>
      </c>
      <c r="O76" s="66" t="n">
        <v>100.62</v>
      </c>
      <c r="P76" s="66" t="n">
        <v>201.79</v>
      </c>
      <c r="Q76" s="66" t="n">
        <v>343.5</v>
      </c>
      <c r="R76" s="66" t="n">
        <v>57.08</v>
      </c>
      <c r="S76" s="66" t="n">
        <v>96.89</v>
      </c>
      <c r="T76" s="66" t="n">
        <v>34.47</v>
      </c>
      <c r="U76" s="66"/>
      <c r="V76" s="66" t="n">
        <v>310.82</v>
      </c>
      <c r="W76" s="66"/>
      <c r="X76" s="66"/>
      <c r="Y76" s="66"/>
      <c r="Z76" s="66"/>
      <c r="AA76" s="66"/>
    </row>
    <row r="77" customFormat="false" ht="15" hidden="false" customHeight="true" outlineLevel="0" collapsed="false">
      <c r="A77" s="69" t="n">
        <v>45702</v>
      </c>
      <c r="B77" s="66" t="n">
        <v>460.16</v>
      </c>
      <c r="C77" s="66" t="n">
        <v>106.87</v>
      </c>
      <c r="D77" s="66" t="n">
        <v>742.44</v>
      </c>
      <c r="E77" s="66" t="n">
        <v>229.69</v>
      </c>
      <c r="F77" s="66" t="n">
        <v>94.94</v>
      </c>
      <c r="G77" s="66" t="n">
        <v>112.93</v>
      </c>
      <c r="H77" s="66" t="n">
        <v>127.66</v>
      </c>
      <c r="I77" s="66" t="n">
        <v>74.16</v>
      </c>
      <c r="J77" s="66" t="n">
        <v>99.14</v>
      </c>
      <c r="K77" s="66" t="n">
        <v>138.49</v>
      </c>
      <c r="L77" s="66" t="n">
        <v>114.02</v>
      </c>
      <c r="M77" s="66" t="n">
        <v>119.16</v>
      </c>
      <c r="N77" s="66" t="n">
        <v>26.1</v>
      </c>
      <c r="O77" s="66" t="n">
        <v>101.64</v>
      </c>
      <c r="P77" s="66" t="n">
        <v>199.62</v>
      </c>
      <c r="Q77" s="66" t="n">
        <v>349.81</v>
      </c>
      <c r="R77" s="66" t="n">
        <v>55.98</v>
      </c>
      <c r="S77" s="66" t="n">
        <v>95.58</v>
      </c>
      <c r="T77" s="66" t="n">
        <v>34.46</v>
      </c>
      <c r="U77" s="66"/>
      <c r="V77" s="66" t="n">
        <v>303.72</v>
      </c>
      <c r="W77" s="66"/>
      <c r="X77" s="66"/>
      <c r="Y77" s="66"/>
      <c r="Z77" s="66"/>
      <c r="AA77" s="66"/>
    </row>
    <row r="78" customFormat="false" ht="15" hidden="false" customHeight="true" outlineLevel="0" collapsed="false">
      <c r="A78" s="69" t="n">
        <v>45709</v>
      </c>
      <c r="B78" s="66" t="n">
        <v>444.32</v>
      </c>
      <c r="C78" s="66" t="n">
        <v>98.3</v>
      </c>
      <c r="D78" s="66" t="n">
        <v>728.28</v>
      </c>
      <c r="E78" s="66" t="n">
        <v>215.51</v>
      </c>
      <c r="F78" s="66" t="n">
        <v>91.47</v>
      </c>
      <c r="G78" s="66" t="n">
        <v>101.67</v>
      </c>
      <c r="H78" s="66" t="n">
        <v>128.59</v>
      </c>
      <c r="I78" s="66" t="n">
        <v>74.51</v>
      </c>
      <c r="J78" s="66" t="n">
        <v>98.46</v>
      </c>
      <c r="K78" s="66" t="n">
        <v>134.08</v>
      </c>
      <c r="L78" s="66" t="n">
        <v>114.14</v>
      </c>
      <c r="M78" s="66" t="n">
        <v>101.35</v>
      </c>
      <c r="N78" s="66" t="n">
        <v>26.49</v>
      </c>
      <c r="O78" s="66" t="n">
        <v>98.53</v>
      </c>
      <c r="P78" s="66" t="n">
        <v>194.08</v>
      </c>
      <c r="Q78" s="66" t="n">
        <v>344.59</v>
      </c>
      <c r="R78" s="66" t="n">
        <v>57.27</v>
      </c>
      <c r="S78" s="66" t="n">
        <v>98.65</v>
      </c>
      <c r="T78" s="66" t="n">
        <v>35.79</v>
      </c>
      <c r="U78" s="66"/>
      <c r="V78" s="66" t="n">
        <v>315.47</v>
      </c>
      <c r="W78" s="66"/>
      <c r="X78" s="66"/>
      <c r="Y78" s="66"/>
      <c r="Z78" s="66"/>
      <c r="AA78" s="66"/>
    </row>
    <row r="79" customFormat="false" ht="15" hidden="false" customHeight="true" outlineLevel="0" collapsed="false">
      <c r="A79" s="69" t="n">
        <v>45716</v>
      </c>
      <c r="B79" s="66" t="n">
        <v>438.56</v>
      </c>
      <c r="C79" s="66" t="n">
        <v>93.05</v>
      </c>
      <c r="D79" s="66" t="n">
        <v>700.49</v>
      </c>
      <c r="E79" s="66" t="n">
        <v>196.56</v>
      </c>
      <c r="F79" s="66" t="n">
        <v>90.44</v>
      </c>
      <c r="G79" s="66" t="n">
        <v>97.42</v>
      </c>
      <c r="H79" s="66" t="n">
        <v>129.91</v>
      </c>
      <c r="I79" s="66" t="n">
        <v>70.18</v>
      </c>
      <c r="J79" s="66" t="n">
        <v>93.27</v>
      </c>
      <c r="K79" s="66" t="n">
        <v>124.59</v>
      </c>
      <c r="L79" s="66" t="n">
        <v>116.92</v>
      </c>
      <c r="M79" s="66" t="n">
        <v>84.92</v>
      </c>
      <c r="N79" s="66" t="n">
        <v>26.8</v>
      </c>
      <c r="O79" s="66" t="n">
        <v>98.42</v>
      </c>
      <c r="P79" s="66" t="n">
        <v>176.74</v>
      </c>
      <c r="Q79" s="66" t="n">
        <v>358.6</v>
      </c>
      <c r="R79" s="66" t="n">
        <v>58.07</v>
      </c>
      <c r="S79" s="66" t="n">
        <v>101.33</v>
      </c>
      <c r="T79" s="66" t="n">
        <v>35.88</v>
      </c>
      <c r="U79" s="66"/>
      <c r="V79" s="66" t="n">
        <v>325.91</v>
      </c>
      <c r="W79" s="66"/>
      <c r="X79" s="66"/>
      <c r="Y79" s="66"/>
      <c r="Z79" s="66"/>
      <c r="AA79" s="66"/>
    </row>
    <row r="80" customFormat="false" ht="15" hidden="false" customHeight="true" outlineLevel="0" collapsed="false">
      <c r="A80" s="69" t="n">
        <v>45723</v>
      </c>
      <c r="B80" s="66" t="n">
        <v>449.4</v>
      </c>
      <c r="C80" s="66" t="n">
        <v>83.36</v>
      </c>
      <c r="D80" s="66" t="n">
        <v>723.35</v>
      </c>
      <c r="E80" s="66" t="n">
        <v>192.16</v>
      </c>
      <c r="F80" s="66" t="n">
        <v>86.38</v>
      </c>
      <c r="G80" s="66" t="n">
        <v>83.38</v>
      </c>
      <c r="H80" s="66" t="n">
        <v>126.34</v>
      </c>
      <c r="I80" s="66" t="n">
        <v>70.42</v>
      </c>
      <c r="J80" s="66" t="n">
        <v>92.6</v>
      </c>
      <c r="K80" s="66" t="n">
        <v>112.4</v>
      </c>
      <c r="L80" s="66" t="n">
        <v>113.14</v>
      </c>
      <c r="M80" s="66" t="n">
        <v>84.91</v>
      </c>
      <c r="N80" s="66" t="n">
        <v>26.73</v>
      </c>
      <c r="O80" s="66" t="n">
        <v>93.24</v>
      </c>
      <c r="P80" s="66" t="n">
        <v>173.38</v>
      </c>
      <c r="Q80" s="66" t="n">
        <v>341.41</v>
      </c>
      <c r="R80" s="66" t="n">
        <v>57.47</v>
      </c>
      <c r="S80" s="66" t="n">
        <v>100.04</v>
      </c>
      <c r="T80" s="66" t="n">
        <v>35.51</v>
      </c>
      <c r="U80" s="66"/>
      <c r="V80" s="66" t="n">
        <v>337.36</v>
      </c>
      <c r="W80" s="66"/>
      <c r="X80" s="66"/>
      <c r="Y80" s="66"/>
      <c r="Z80" s="66"/>
      <c r="AA80" s="66"/>
    </row>
    <row r="81" customFormat="false" ht="15" hidden="false" customHeight="true" outlineLevel="0" collapsed="false">
      <c r="A81" s="69" t="n">
        <v>45730</v>
      </c>
      <c r="B81" s="66" t="n">
        <v>394.74</v>
      </c>
      <c r="C81" s="66" t="n">
        <v>83.51</v>
      </c>
      <c r="D81" s="66" t="n">
        <v>705.35</v>
      </c>
      <c r="E81" s="66" t="n">
        <v>192.73</v>
      </c>
      <c r="F81" s="66" t="n">
        <v>84.76</v>
      </c>
      <c r="G81" s="66" t="n">
        <v>88.43</v>
      </c>
      <c r="H81" s="66" t="n">
        <v>125.28</v>
      </c>
      <c r="I81" s="66" t="n">
        <v>70.59</v>
      </c>
      <c r="J81" s="66" t="n">
        <v>100.4</v>
      </c>
      <c r="K81" s="66" t="n">
        <v>121.36</v>
      </c>
      <c r="L81" s="66" t="n">
        <v>105.57</v>
      </c>
      <c r="M81" s="66" t="n">
        <v>86.24</v>
      </c>
      <c r="N81" s="66" t="n">
        <v>25.96</v>
      </c>
      <c r="O81" s="66" t="n">
        <v>92.57</v>
      </c>
      <c r="P81" s="66" t="n">
        <v>170.44</v>
      </c>
      <c r="Q81" s="66" t="n">
        <v>328.04</v>
      </c>
      <c r="R81" s="66" t="n">
        <v>57.17</v>
      </c>
      <c r="S81" s="66" t="n">
        <v>102.03</v>
      </c>
      <c r="T81" s="66" t="n">
        <v>35.2</v>
      </c>
      <c r="U81" s="66"/>
      <c r="V81" s="66" t="n">
        <v>343.5</v>
      </c>
      <c r="W81" s="66"/>
      <c r="X81" s="66"/>
      <c r="Y81" s="66"/>
      <c r="Z81" s="66"/>
      <c r="AA81" s="66"/>
    </row>
    <row r="82" customFormat="false" ht="15" hidden="false" customHeight="true" outlineLevel="0" collapsed="false">
      <c r="A82" s="69" t="n">
        <v>45737</v>
      </c>
      <c r="B82" s="66" t="n">
        <v>387.26</v>
      </c>
      <c r="C82" s="66" t="n">
        <v>83.13</v>
      </c>
      <c r="D82" s="66" t="n">
        <v>707.54</v>
      </c>
      <c r="E82" s="66" t="n">
        <v>189.47</v>
      </c>
      <c r="F82" s="66" t="n">
        <v>85.58</v>
      </c>
      <c r="G82" s="66" t="n">
        <v>90.56</v>
      </c>
      <c r="H82" s="66" t="n">
        <v>125.88</v>
      </c>
      <c r="I82" s="66" t="n">
        <v>69.95</v>
      </c>
      <c r="J82" s="66" t="n">
        <v>94.36</v>
      </c>
      <c r="K82" s="66" t="n">
        <v>117.4</v>
      </c>
      <c r="L82" s="66" t="n">
        <v>103.21</v>
      </c>
      <c r="M82" s="66" t="n">
        <v>90.96</v>
      </c>
      <c r="N82" s="66" t="n">
        <v>26.07</v>
      </c>
      <c r="O82" s="66" t="n">
        <v>92.92</v>
      </c>
      <c r="P82" s="66" t="n">
        <v>173.69</v>
      </c>
      <c r="Q82" s="66" t="n">
        <v>331.86</v>
      </c>
      <c r="R82" s="66" t="n">
        <v>58.27</v>
      </c>
      <c r="S82" s="66" t="n">
        <v>103.06</v>
      </c>
      <c r="T82" s="66" t="n">
        <v>35.61</v>
      </c>
      <c r="U82" s="66"/>
      <c r="V82" s="66" t="n">
        <v>349.81</v>
      </c>
      <c r="W82" s="66"/>
      <c r="X82" s="66"/>
      <c r="Y82" s="66"/>
      <c r="Z82" s="66"/>
      <c r="AA82" s="66"/>
    </row>
    <row r="83" customFormat="false" ht="15" hidden="false" customHeight="true" outlineLevel="0" collapsed="false">
      <c r="A83" s="69" t="n">
        <v>45744</v>
      </c>
      <c r="B83" s="66" t="n">
        <v>385.71</v>
      </c>
      <c r="C83" s="66" t="n">
        <v>77.94</v>
      </c>
      <c r="D83" s="66" t="n">
        <v>666.41</v>
      </c>
      <c r="E83" s="66" t="n">
        <v>167.19</v>
      </c>
      <c r="F83" s="66" t="n">
        <v>85.18</v>
      </c>
      <c r="G83" s="66" t="n">
        <v>89.28</v>
      </c>
      <c r="H83" s="66" t="n">
        <v>125.85</v>
      </c>
      <c r="I83" s="66" t="n">
        <v>66.69</v>
      </c>
      <c r="J83" s="66" t="n">
        <v>88.1</v>
      </c>
      <c r="K83" s="66" t="n">
        <v>109.39</v>
      </c>
      <c r="L83" s="66" t="n">
        <v>105.14</v>
      </c>
      <c r="M83" s="66" t="n">
        <v>85.85</v>
      </c>
      <c r="N83" s="66" t="n">
        <v>26.14</v>
      </c>
      <c r="O83" s="66" t="n">
        <v>91.09</v>
      </c>
      <c r="P83" s="66" t="n">
        <v>162.41</v>
      </c>
      <c r="Q83" s="66" t="n">
        <v>338.97</v>
      </c>
      <c r="R83" s="66" t="n">
        <v>57.57</v>
      </c>
      <c r="S83" s="66" t="n">
        <v>99.91</v>
      </c>
      <c r="T83" s="66" t="n">
        <v>35.49</v>
      </c>
      <c r="U83" s="66"/>
      <c r="V83" s="66" t="n">
        <v>344.59</v>
      </c>
      <c r="W83" s="66"/>
      <c r="X83" s="66"/>
      <c r="Y83" s="66"/>
      <c r="Z83" s="66"/>
      <c r="AA83" s="66"/>
    </row>
    <row r="84" customFormat="false" ht="15" hidden="false" customHeight="true" outlineLevel="0" collapsed="false">
      <c r="A84" s="69" t="n">
        <v>45751</v>
      </c>
      <c r="B84" s="66" t="n">
        <v>349.07</v>
      </c>
      <c r="C84" s="66" t="n">
        <v>64.37</v>
      </c>
      <c r="D84" s="66" t="n">
        <v>598.21</v>
      </c>
      <c r="E84" s="66" t="n">
        <v>144.62</v>
      </c>
      <c r="F84" s="66" t="n">
        <v>76.26</v>
      </c>
      <c r="G84" s="66" t="n">
        <v>80.41</v>
      </c>
      <c r="H84" s="66" t="n">
        <v>115.74</v>
      </c>
      <c r="I84" s="66" t="n">
        <v>57.08</v>
      </c>
      <c r="J84" s="66" t="n">
        <v>64.56</v>
      </c>
      <c r="K84" s="66" t="n">
        <v>94.07</v>
      </c>
      <c r="L84" s="66" t="n">
        <v>93.51</v>
      </c>
      <c r="M84" s="66" t="n">
        <v>74.01</v>
      </c>
      <c r="N84" s="66" t="n">
        <v>23.96</v>
      </c>
      <c r="O84" s="66" t="n">
        <v>81.34</v>
      </c>
      <c r="P84" s="66" t="n">
        <v>144.28</v>
      </c>
      <c r="Q84" s="66" t="n">
        <v>309.59</v>
      </c>
      <c r="R84" s="66" t="n">
        <v>55.98</v>
      </c>
      <c r="S84" s="66" t="n">
        <v>99.8</v>
      </c>
      <c r="T84" s="66" t="n">
        <v>35.32</v>
      </c>
      <c r="U84" s="66"/>
      <c r="V84" s="66" t="n">
        <v>358.6</v>
      </c>
      <c r="W84" s="66"/>
      <c r="X84" s="66"/>
      <c r="Y84" s="66"/>
      <c r="Z84" s="66"/>
      <c r="AA84" s="66"/>
    </row>
    <row r="85" customFormat="false" ht="15" hidden="false" customHeight="true" outlineLevel="0" collapsed="false">
      <c r="A85" s="69" t="n">
        <v>45758</v>
      </c>
      <c r="B85" s="66" t="n">
        <v>352.47</v>
      </c>
      <c r="C85" s="66" t="n">
        <v>72.67</v>
      </c>
      <c r="D85" s="66" t="n">
        <v>660.71</v>
      </c>
      <c r="E85" s="66" t="n">
        <v>179.86</v>
      </c>
      <c r="F85" s="66" t="n">
        <v>77.22</v>
      </c>
      <c r="G85" s="66" t="n">
        <v>94.47</v>
      </c>
      <c r="H85" s="66" t="n">
        <v>117.6</v>
      </c>
      <c r="I85" s="66" t="n">
        <v>66.36</v>
      </c>
      <c r="J85" s="66" t="n">
        <v>69.37</v>
      </c>
      <c r="K85" s="66" t="n">
        <v>110.65</v>
      </c>
      <c r="L85" s="66" t="n">
        <v>91.6</v>
      </c>
      <c r="M85" s="66" t="n">
        <v>88.55</v>
      </c>
      <c r="N85" s="66" t="n">
        <v>23.98</v>
      </c>
      <c r="O85" s="66" t="n">
        <v>88.75</v>
      </c>
      <c r="P85" s="66" t="n">
        <v>154.38</v>
      </c>
      <c r="Q85" s="66" t="n">
        <v>329.63</v>
      </c>
      <c r="R85" s="66" t="n">
        <v>53.76</v>
      </c>
      <c r="S85" s="66" t="n">
        <v>94.54</v>
      </c>
      <c r="T85" s="66" t="n">
        <v>34.81</v>
      </c>
      <c r="U85" s="66"/>
      <c r="V85" s="66" t="n">
        <v>341.41</v>
      </c>
      <c r="W85" s="66"/>
      <c r="X85" s="66"/>
      <c r="Y85" s="66"/>
      <c r="Z85" s="66"/>
      <c r="AA85" s="66"/>
    </row>
    <row r="86" customFormat="false" ht="15" hidden="false" customHeight="true" outlineLevel="0" collapsed="false">
      <c r="A86" s="69" t="n">
        <v>45765</v>
      </c>
      <c r="B86" s="66" t="n">
        <v>348.8</v>
      </c>
      <c r="C86" s="66" t="n">
        <v>71.2</v>
      </c>
      <c r="D86" s="66" t="n">
        <v>632.4</v>
      </c>
      <c r="E86" s="66" t="n">
        <v>169.04</v>
      </c>
      <c r="F86" s="66" t="n">
        <v>78.66</v>
      </c>
      <c r="G86" s="66" t="n">
        <v>93.9</v>
      </c>
      <c r="H86" s="66" t="n">
        <v>119.33</v>
      </c>
      <c r="I86" s="66" t="n">
        <v>62.81</v>
      </c>
      <c r="J86" s="66" t="n">
        <v>68.63</v>
      </c>
      <c r="K86" s="66" t="n">
        <v>101.23</v>
      </c>
      <c r="L86" s="66" t="n">
        <v>97.19</v>
      </c>
      <c r="M86" s="66" t="n">
        <v>93.78</v>
      </c>
      <c r="N86" s="66" t="n">
        <v>24.09</v>
      </c>
      <c r="O86" s="66" t="n">
        <v>87.21</v>
      </c>
      <c r="P86" s="66" t="n">
        <v>149.13</v>
      </c>
      <c r="Q86" s="66" t="n">
        <v>325.88</v>
      </c>
      <c r="R86" s="66" t="n">
        <v>52.61</v>
      </c>
      <c r="S86" s="66" t="n">
        <v>93.86</v>
      </c>
      <c r="T86" s="66" t="n">
        <v>34.09</v>
      </c>
      <c r="U86" s="66"/>
      <c r="V86" s="66" t="n">
        <v>328.04</v>
      </c>
      <c r="W86" s="66"/>
      <c r="X86" s="66"/>
      <c r="Y86" s="66"/>
      <c r="Z86" s="66"/>
      <c r="AA86" s="66"/>
    </row>
    <row r="87" customFormat="false" ht="15" hidden="false" customHeight="true" outlineLevel="0" collapsed="false">
      <c r="A87" s="69" t="n">
        <v>45772</v>
      </c>
      <c r="B87" s="66" t="n">
        <v>367.72</v>
      </c>
      <c r="C87" s="66" t="n">
        <v>77.91</v>
      </c>
      <c r="D87" s="66" t="n">
        <v>669.06</v>
      </c>
      <c r="E87" s="66" t="n">
        <v>190.12</v>
      </c>
      <c r="F87" s="66" t="n">
        <v>80.87</v>
      </c>
      <c r="G87" s="66" t="n">
        <v>106.22</v>
      </c>
      <c r="H87" s="66" t="n">
        <v>121.04</v>
      </c>
      <c r="I87" s="66" t="n">
        <v>68.77</v>
      </c>
      <c r="J87" s="66" t="n">
        <v>79.58</v>
      </c>
      <c r="K87" s="66" t="n">
        <v>110.73</v>
      </c>
      <c r="L87" s="66" t="n">
        <v>97.32</v>
      </c>
      <c r="M87" s="66" t="n">
        <v>112.78</v>
      </c>
      <c r="N87" s="66" t="n">
        <v>24.33</v>
      </c>
      <c r="O87" s="66" t="n">
        <v>92.9</v>
      </c>
      <c r="P87" s="66" t="n">
        <v>162.26</v>
      </c>
      <c r="Q87" s="66" t="n">
        <v>331.38</v>
      </c>
      <c r="R87" s="66" t="n">
        <v>52.8</v>
      </c>
      <c r="S87" s="66" t="n">
        <v>94.22</v>
      </c>
      <c r="T87" s="66" t="n">
        <v>34.67</v>
      </c>
      <c r="U87" s="66"/>
      <c r="V87" s="66" t="n">
        <v>331.86</v>
      </c>
      <c r="W87" s="66"/>
      <c r="X87" s="66"/>
      <c r="Y87" s="66"/>
      <c r="Z87" s="66"/>
      <c r="AA87" s="66"/>
    </row>
    <row r="88" customFormat="false" ht="15" hidden="false" customHeight="true" outlineLevel="0" collapsed="false">
      <c r="A88" s="69" t="n">
        <v>45779</v>
      </c>
      <c r="B88" s="66" t="n">
        <v>380.87</v>
      </c>
      <c r="C88" s="66" t="n">
        <v>91.02</v>
      </c>
      <c r="D88" s="66" t="n">
        <v>684.08</v>
      </c>
      <c r="E88" s="66" t="n">
        <v>201.32</v>
      </c>
      <c r="F88" s="66" t="n">
        <v>83.61</v>
      </c>
      <c r="G88" s="66" t="n">
        <v>110.14</v>
      </c>
      <c r="H88" s="66" t="n">
        <v>123.05</v>
      </c>
      <c r="I88" s="66" t="n">
        <v>69.12</v>
      </c>
      <c r="J88" s="66" t="n">
        <v>80.51</v>
      </c>
      <c r="K88" s="66" t="n">
        <v>114.21</v>
      </c>
      <c r="L88" s="66" t="n">
        <v>100.34</v>
      </c>
      <c r="M88" s="66" t="n">
        <v>124.28</v>
      </c>
      <c r="N88" s="66" t="n">
        <v>24.7</v>
      </c>
      <c r="O88" s="66" t="n">
        <v>96.64</v>
      </c>
      <c r="P88" s="66" t="n">
        <v>176.2</v>
      </c>
      <c r="Q88" s="66" t="n">
        <v>343.67</v>
      </c>
      <c r="R88" s="66" t="n">
        <v>51.81</v>
      </c>
      <c r="S88" s="66" t="n">
        <v>92.19</v>
      </c>
      <c r="T88" s="66" t="n">
        <v>34.1</v>
      </c>
      <c r="U88" s="66"/>
      <c r="V88" s="66" t="n">
        <v>338.97</v>
      </c>
      <c r="W88" s="66"/>
      <c r="X88" s="66"/>
      <c r="Y88" s="66"/>
      <c r="Z88" s="66"/>
      <c r="AA88" s="66"/>
    </row>
    <row r="89" customFormat="false" ht="15" hidden="false" customHeight="true" outlineLevel="0" collapsed="false">
      <c r="A89" s="69" t="n">
        <v>45786</v>
      </c>
      <c r="B89" s="66" t="n">
        <v>383.28</v>
      </c>
      <c r="C89" s="66" t="n">
        <v>86.52</v>
      </c>
      <c r="D89" s="66" t="n">
        <v>699.81</v>
      </c>
      <c r="E89" s="66" t="n">
        <v>205.83</v>
      </c>
      <c r="F89" s="66" t="n">
        <v>84.58</v>
      </c>
      <c r="G89" s="66" t="n">
        <v>102.64</v>
      </c>
      <c r="H89" s="66" t="n">
        <v>122.9</v>
      </c>
      <c r="I89" s="66" t="n">
        <v>69.43</v>
      </c>
      <c r="J89" s="66" t="n">
        <v>85.64</v>
      </c>
      <c r="K89" s="66" t="n">
        <v>116.36</v>
      </c>
      <c r="L89" s="66" t="n">
        <v>101.77</v>
      </c>
      <c r="M89" s="66" t="n">
        <v>117.3</v>
      </c>
      <c r="N89" s="66" t="n">
        <v>24.38</v>
      </c>
      <c r="O89" s="66" t="n">
        <v>97.31</v>
      </c>
      <c r="P89" s="66" t="n">
        <v>173.49</v>
      </c>
      <c r="Q89" s="66" t="n">
        <v>348.55</v>
      </c>
      <c r="R89" s="66" t="n">
        <v>46.6</v>
      </c>
      <c r="S89" s="66" t="n">
        <v>82.32</v>
      </c>
      <c r="T89" s="66" t="n">
        <v>30.95</v>
      </c>
      <c r="U89" s="66"/>
      <c r="V89" s="66" t="n">
        <v>309.59</v>
      </c>
      <c r="W89" s="66"/>
      <c r="X89" s="66"/>
      <c r="Y89" s="66"/>
      <c r="Z89" s="66"/>
      <c r="AA89" s="66"/>
    </row>
    <row r="90" customFormat="false" ht="15" hidden="false" customHeight="true" outlineLevel="0" collapsed="false">
      <c r="A90" s="69" t="n">
        <v>45793</v>
      </c>
      <c r="B90" s="66" t="n">
        <v>417.13</v>
      </c>
      <c r="C90" s="66" t="n">
        <v>96.42</v>
      </c>
      <c r="D90" s="66" t="n">
        <v>741.32</v>
      </c>
      <c r="E90" s="66" t="n">
        <v>226</v>
      </c>
      <c r="F90" s="66" t="n">
        <v>88.72</v>
      </c>
      <c r="G90" s="66" t="n">
        <v>109.82</v>
      </c>
      <c r="H90" s="66" t="n">
        <v>126.84</v>
      </c>
      <c r="I90" s="66" t="n">
        <v>78.33</v>
      </c>
      <c r="J90" s="66" t="n">
        <v>97.75</v>
      </c>
      <c r="K90" s="66" t="n">
        <v>135.06</v>
      </c>
      <c r="L90" s="66" t="n">
        <v>105.23</v>
      </c>
      <c r="M90" s="66" t="n">
        <v>129.52</v>
      </c>
      <c r="N90" s="66" t="n">
        <v>25.21</v>
      </c>
      <c r="O90" s="66" t="n">
        <v>103.95</v>
      </c>
      <c r="P90" s="66" t="n">
        <v>190.88</v>
      </c>
      <c r="Q90" s="66" t="n">
        <v>361.59</v>
      </c>
      <c r="R90" s="66" t="n">
        <v>49.54</v>
      </c>
      <c r="S90" s="66" t="n">
        <v>89.82</v>
      </c>
      <c r="T90" s="66" t="n">
        <v>31.56</v>
      </c>
      <c r="U90" s="66"/>
      <c r="V90" s="66" t="n">
        <v>329.63</v>
      </c>
      <c r="W90" s="66"/>
      <c r="X90" s="66"/>
      <c r="Y90" s="66"/>
      <c r="Z90" s="66"/>
      <c r="AA90" s="66"/>
    </row>
    <row r="91" customFormat="false" ht="15" hidden="false" customHeight="true" outlineLevel="0" collapsed="false">
      <c r="A91" s="69" t="n">
        <v>45800</v>
      </c>
      <c r="B91" s="66" t="n">
        <v>407.69</v>
      </c>
      <c r="C91" s="66" t="n">
        <v>91.2</v>
      </c>
      <c r="D91" s="66" t="n">
        <v>725.86</v>
      </c>
      <c r="E91" s="66" t="n">
        <v>226.11</v>
      </c>
      <c r="F91" s="66" t="n">
        <v>85.17</v>
      </c>
      <c r="G91" s="66" t="n">
        <v>113.9</v>
      </c>
      <c r="H91" s="66" t="n">
        <v>123.56</v>
      </c>
      <c r="I91" s="66" t="n">
        <v>75.15</v>
      </c>
      <c r="J91" s="66" t="n">
        <v>93.13</v>
      </c>
      <c r="K91" s="66" t="n">
        <v>130.96</v>
      </c>
      <c r="L91" s="66" t="n">
        <v>99.04</v>
      </c>
      <c r="M91" s="66" t="n">
        <v>123.31</v>
      </c>
      <c r="N91" s="66" t="n">
        <v>24.53</v>
      </c>
      <c r="O91" s="66" t="n">
        <v>101.63</v>
      </c>
      <c r="P91" s="66" t="n">
        <v>188.68</v>
      </c>
      <c r="Q91" s="66" t="n">
        <v>350.12</v>
      </c>
      <c r="R91" s="66" t="n">
        <v>48.74</v>
      </c>
      <c r="S91" s="66" t="n">
        <v>88.26</v>
      </c>
      <c r="T91" s="66" t="n">
        <v>31.78</v>
      </c>
      <c r="U91" s="66"/>
      <c r="V91" s="66"/>
      <c r="W91" s="66"/>
      <c r="X91" s="66"/>
      <c r="Y91" s="66"/>
      <c r="Z91" s="66"/>
      <c r="AA91" s="66"/>
    </row>
    <row r="92" customFormat="false" ht="15" hidden="false" customHeight="true" outlineLevel="0" collapsed="false">
      <c r="A92" s="69" t="n">
        <v>45807</v>
      </c>
      <c r="B92" s="66" t="n">
        <v>415.09</v>
      </c>
      <c r="C92" s="66" t="n">
        <v>86.64</v>
      </c>
      <c r="D92" s="66" t="n">
        <v>730.1</v>
      </c>
      <c r="E92" s="66" t="n">
        <v>239.31</v>
      </c>
      <c r="F92" s="66" t="n">
        <v>86.17</v>
      </c>
      <c r="G92" s="66" t="n">
        <v>117.84</v>
      </c>
      <c r="H92" s="66" t="n">
        <v>124.36</v>
      </c>
      <c r="I92" s="66" t="n">
        <v>75.12</v>
      </c>
      <c r="J92" s="66" t="n">
        <v>94.22</v>
      </c>
      <c r="K92" s="66" t="n">
        <v>134.79</v>
      </c>
      <c r="L92" s="66" t="n">
        <v>103.38</v>
      </c>
      <c r="M92" s="66" t="n">
        <v>131.78</v>
      </c>
      <c r="N92" s="66" t="n">
        <v>24.8</v>
      </c>
      <c r="O92" s="66" t="n">
        <v>104.1</v>
      </c>
      <c r="P92" s="66" t="n">
        <v>190</v>
      </c>
      <c r="Q92" s="66" t="n">
        <v>361.66</v>
      </c>
      <c r="R92" s="66" t="n">
        <v>51.09</v>
      </c>
      <c r="S92" s="66" t="n">
        <v>94.02</v>
      </c>
      <c r="T92" s="66" t="n">
        <v>32.83</v>
      </c>
      <c r="U92" s="66"/>
      <c r="V92" s="66" t="n">
        <v>331.38</v>
      </c>
      <c r="W92" s="66"/>
      <c r="X92" s="66"/>
      <c r="Y92" s="66"/>
      <c r="Z92" s="66"/>
      <c r="AA92" s="66"/>
    </row>
    <row r="93" customFormat="false" ht="15" hidden="false" customHeight="true" outlineLevel="0" collapsed="false">
      <c r="A93" s="69" t="n">
        <v>45814</v>
      </c>
      <c r="B93" s="66" t="n">
        <v>416.92</v>
      </c>
      <c r="C93" s="66" t="n">
        <v>97.25</v>
      </c>
      <c r="D93" s="66" t="n">
        <v>746.2</v>
      </c>
      <c r="E93" s="66" t="n">
        <v>244.11</v>
      </c>
      <c r="F93" s="66" t="n">
        <v>87.76</v>
      </c>
      <c r="G93" s="66" t="n">
        <v>117.1</v>
      </c>
      <c r="H93" s="66" t="n">
        <v>124.82</v>
      </c>
      <c r="I93" s="66" t="n">
        <v>80.19</v>
      </c>
      <c r="J93" s="66" t="n">
        <v>108.28</v>
      </c>
      <c r="K93" s="66" t="n">
        <v>141.36</v>
      </c>
      <c r="L93" s="66" t="n">
        <v>103.56</v>
      </c>
      <c r="M93" s="66" t="n">
        <v>127.72</v>
      </c>
      <c r="N93" s="66" t="n">
        <v>25.15</v>
      </c>
      <c r="O93" s="66" t="n">
        <v>105.65</v>
      </c>
      <c r="P93" s="66" t="n">
        <v>201.66</v>
      </c>
      <c r="Q93" s="66" t="n">
        <v>366.64</v>
      </c>
      <c r="R93" s="66" t="n">
        <v>51.49</v>
      </c>
      <c r="S93" s="66" t="n">
        <v>97.8</v>
      </c>
      <c r="T93" s="66" t="n">
        <v>33.46</v>
      </c>
      <c r="U93" s="66"/>
      <c r="V93" s="66" t="n">
        <v>343.67</v>
      </c>
      <c r="W93" s="66"/>
      <c r="X93" s="66"/>
      <c r="Y93" s="66"/>
      <c r="Z93" s="66"/>
      <c r="AA93" s="66"/>
    </row>
    <row r="94" customFormat="false" ht="15" hidden="false" customHeight="true" outlineLevel="0" collapsed="false">
      <c r="A94" s="69" t="n">
        <v>45821</v>
      </c>
      <c r="B94" s="66" t="n">
        <v>391.68</v>
      </c>
      <c r="C94" s="66" t="n">
        <v>92.35</v>
      </c>
      <c r="D94" s="66" t="n">
        <v>754.11</v>
      </c>
      <c r="E94" s="66" t="n">
        <v>245.86</v>
      </c>
      <c r="F94" s="66" t="n">
        <v>87.23</v>
      </c>
      <c r="G94" s="66" t="n">
        <v>120.15</v>
      </c>
      <c r="H94" s="66" t="n">
        <v>124.38</v>
      </c>
      <c r="I94" s="66" t="n">
        <v>86.11</v>
      </c>
      <c r="J94" s="66" t="n">
        <v>115.31</v>
      </c>
      <c r="K94" s="66" t="n">
        <v>141.62</v>
      </c>
      <c r="L94" s="66" t="n">
        <v>102.12</v>
      </c>
      <c r="M94" s="66" t="n">
        <v>137.4</v>
      </c>
      <c r="N94" s="66" t="n">
        <v>25.49</v>
      </c>
      <c r="O94" s="66" t="n">
        <v>104.9</v>
      </c>
      <c r="P94" s="66" t="n">
        <v>208.23</v>
      </c>
      <c r="Q94" s="66" t="n">
        <v>349.44</v>
      </c>
      <c r="R94" s="66" t="n">
        <v>51.63</v>
      </c>
      <c r="S94" s="66" t="n">
        <v>98.48</v>
      </c>
      <c r="T94" s="66" t="n">
        <v>33.4</v>
      </c>
      <c r="U94" s="66"/>
      <c r="V94" s="66" t="n">
        <v>348.55</v>
      </c>
      <c r="W94" s="66"/>
      <c r="X94" s="66"/>
      <c r="Y94" s="66"/>
      <c r="Z94" s="66"/>
      <c r="AA94" s="66"/>
    </row>
    <row r="95" customFormat="false" ht="15" hidden="false" customHeight="true" outlineLevel="0" collapsed="false">
      <c r="A95" s="69" t="n">
        <v>45828</v>
      </c>
      <c r="B95" s="66" t="n">
        <v>376.92</v>
      </c>
      <c r="C95" s="66" t="n">
        <v>86.25</v>
      </c>
      <c r="D95" s="66" t="n">
        <v>749.68</v>
      </c>
      <c r="E95" s="66" t="n">
        <v>247.72</v>
      </c>
      <c r="F95" s="66" t="n">
        <v>87.38</v>
      </c>
      <c r="G95" s="66" t="n">
        <v>119.07</v>
      </c>
      <c r="H95" s="66" t="n">
        <v>124.75</v>
      </c>
      <c r="I95" s="66" t="n">
        <v>84.36</v>
      </c>
      <c r="J95" s="66" t="n">
        <v>123.29</v>
      </c>
      <c r="K95" s="66" t="n">
        <v>143.5</v>
      </c>
      <c r="L95" s="66" t="n">
        <v>101.57</v>
      </c>
      <c r="M95" s="66" t="n">
        <v>137.3</v>
      </c>
      <c r="N95" s="66" t="n">
        <v>25.3</v>
      </c>
      <c r="O95" s="66" t="n">
        <v>105.64</v>
      </c>
      <c r="P95" s="66" t="n">
        <v>206.66</v>
      </c>
      <c r="Q95" s="66" t="n">
        <v>335.29</v>
      </c>
      <c r="R95" s="66" t="n">
        <v>52.52</v>
      </c>
      <c r="S95" s="66" t="n">
        <v>105.2</v>
      </c>
      <c r="T95" s="66" t="n">
        <v>34.84</v>
      </c>
      <c r="U95" s="66"/>
      <c r="V95" s="66" t="n">
        <v>361.59</v>
      </c>
      <c r="W95" s="66"/>
      <c r="X95" s="66"/>
      <c r="Y95" s="66"/>
      <c r="Z95" s="66"/>
      <c r="AA95" s="66"/>
    </row>
    <row r="96" customFormat="false" ht="15" hidden="false" customHeight="true" outlineLevel="0" collapsed="false">
      <c r="A96" s="69" t="n">
        <v>45835</v>
      </c>
      <c r="B96" s="66" t="n">
        <v>385.83</v>
      </c>
      <c r="C96" s="66" t="n">
        <v>99.39</v>
      </c>
      <c r="D96" s="66" t="n">
        <v>788.74</v>
      </c>
      <c r="E96" s="66" t="n">
        <v>266.9</v>
      </c>
      <c r="F96" s="66" t="n">
        <v>89.61</v>
      </c>
      <c r="G96" s="66" t="n">
        <v>124.83</v>
      </c>
      <c r="H96" s="66" t="n">
        <v>126.47</v>
      </c>
      <c r="I96" s="66" t="n">
        <v>88.32</v>
      </c>
      <c r="J96" s="66" t="n">
        <v>124.44</v>
      </c>
      <c r="K96" s="66" t="n">
        <v>157.36</v>
      </c>
      <c r="L96" s="66" t="n">
        <v>101.5</v>
      </c>
      <c r="M96" s="66" t="n">
        <v>130.74</v>
      </c>
      <c r="N96" s="66" t="n">
        <v>25.25</v>
      </c>
      <c r="O96" s="66" t="n">
        <v>110.73</v>
      </c>
      <c r="P96" s="66" t="n">
        <v>225.46</v>
      </c>
      <c r="Q96" s="66" t="n">
        <v>345.24</v>
      </c>
      <c r="R96" s="66" t="n">
        <v>52.04</v>
      </c>
      <c r="S96" s="66" t="n">
        <v>102.85</v>
      </c>
      <c r="T96" s="66" t="n">
        <v>33.63</v>
      </c>
      <c r="U96" s="66"/>
      <c r="V96" s="66" t="n">
        <v>350.12</v>
      </c>
      <c r="W96" s="66"/>
      <c r="X96" s="66"/>
      <c r="Y96" s="66"/>
      <c r="Z96" s="66"/>
      <c r="AA96" s="66"/>
    </row>
    <row r="97" customFormat="false" ht="15" hidden="false" customHeight="true" outlineLevel="0" collapsed="false">
      <c r="A97" s="69" t="n">
        <v>45842</v>
      </c>
      <c r="B97" s="66" t="n">
        <v>379.31</v>
      </c>
      <c r="C97" s="66" t="n">
        <v>102.52</v>
      </c>
      <c r="D97" s="66" t="n">
        <v>787.3</v>
      </c>
      <c r="E97" s="66" t="n">
        <v>272.68</v>
      </c>
      <c r="F97" s="66" t="n">
        <v>93.34</v>
      </c>
      <c r="G97" s="66" t="n">
        <v>128.52</v>
      </c>
      <c r="H97" s="66" t="n">
        <v>130.79</v>
      </c>
      <c r="I97" s="66" t="n">
        <v>91.76</v>
      </c>
      <c r="J97" s="66" t="n">
        <v>121.98</v>
      </c>
      <c r="K97" s="66" t="n">
        <v>158.95</v>
      </c>
      <c r="L97" s="66" t="n">
        <v>103.81</v>
      </c>
      <c r="M97" s="66" t="n">
        <v>134.36</v>
      </c>
      <c r="N97" s="66" t="n">
        <v>26.17</v>
      </c>
      <c r="O97" s="66" t="n">
        <v>111.39</v>
      </c>
      <c r="P97" s="66" t="n">
        <v>231.61</v>
      </c>
      <c r="Q97" s="66" t="n">
        <v>355.39</v>
      </c>
      <c r="R97" s="66" t="n">
        <v>52.63</v>
      </c>
      <c r="S97" s="66" t="n">
        <v>105.35</v>
      </c>
      <c r="T97" s="66" t="n">
        <v>33.89</v>
      </c>
      <c r="U97" s="66"/>
      <c r="V97" s="66" t="n">
        <v>361.66</v>
      </c>
      <c r="W97" s="66"/>
      <c r="X97" s="66"/>
      <c r="Y97" s="66"/>
      <c r="Z97" s="66"/>
      <c r="AA97" s="66"/>
    </row>
    <row r="98" customFormat="false" ht="15" hidden="false" customHeight="true" outlineLevel="0" collapsed="false">
      <c r="A98" s="69" t="n">
        <v>45849</v>
      </c>
      <c r="B98" s="66" t="n">
        <v>363.35</v>
      </c>
      <c r="C98" s="66" t="n">
        <v>108.57</v>
      </c>
      <c r="D98" s="66" t="n">
        <v>794.67</v>
      </c>
      <c r="E98" s="66" t="n">
        <v>271.89</v>
      </c>
      <c r="F98" s="66" t="n">
        <v>93.22</v>
      </c>
      <c r="G98" s="66" t="n">
        <v>119.61</v>
      </c>
      <c r="H98" s="66" t="n">
        <v>130.35</v>
      </c>
      <c r="I98" s="66" t="n">
        <v>91.76</v>
      </c>
      <c r="J98" s="66" t="n">
        <v>124.33</v>
      </c>
      <c r="K98" s="66" t="n">
        <v>164.52</v>
      </c>
      <c r="L98" s="66" t="n">
        <v>104.91</v>
      </c>
      <c r="M98" s="66" t="n">
        <v>142.1</v>
      </c>
      <c r="N98" s="66" t="n">
        <v>26.15</v>
      </c>
      <c r="O98" s="66" t="n">
        <v>111.05</v>
      </c>
      <c r="P98" s="66" t="n">
        <v>227.27</v>
      </c>
      <c r="Q98" s="66" t="n">
        <v>344.56</v>
      </c>
      <c r="R98" s="66" t="n">
        <v>52.7</v>
      </c>
      <c r="S98" s="66" t="n">
        <v>106.92</v>
      </c>
      <c r="T98" s="66" t="n">
        <v>34.69</v>
      </c>
      <c r="U98" s="66"/>
      <c r="V98" s="66" t="n">
        <v>366.64</v>
      </c>
      <c r="W98" s="66"/>
      <c r="X98" s="66"/>
      <c r="Y98" s="66"/>
      <c r="Z98" s="66"/>
      <c r="AA98" s="66"/>
    </row>
    <row r="99" customFormat="false" ht="15" hidden="false" customHeight="true" outlineLevel="0" collapsed="false">
      <c r="A99" s="69" t="n">
        <v>45856</v>
      </c>
      <c r="B99" s="66" t="n">
        <v>365.79</v>
      </c>
      <c r="C99" s="66" t="n">
        <v>111.78</v>
      </c>
      <c r="D99" s="66" t="n">
        <v>727.93</v>
      </c>
      <c r="E99" s="66" t="n">
        <v>280.77</v>
      </c>
      <c r="F99" s="66" t="n">
        <v>92.12</v>
      </c>
      <c r="G99" s="66" t="n">
        <v>118.99</v>
      </c>
      <c r="H99" s="66" t="n">
        <v>129.8</v>
      </c>
      <c r="I99" s="66" t="n">
        <v>92.41</v>
      </c>
      <c r="J99" s="66" t="n">
        <v>114.21</v>
      </c>
      <c r="K99" s="66" t="n">
        <v>171.99</v>
      </c>
      <c r="L99" s="66" t="n">
        <v>102.61</v>
      </c>
      <c r="M99" s="66" t="n">
        <v>153.52</v>
      </c>
      <c r="N99" s="66" t="n">
        <v>25.86</v>
      </c>
      <c r="O99" s="66" t="n">
        <v>112.7</v>
      </c>
      <c r="P99" s="66" t="n">
        <v>237.13</v>
      </c>
      <c r="Q99" s="66" t="n">
        <v>345.67</v>
      </c>
      <c r="R99" s="66" t="n">
        <v>52.59</v>
      </c>
      <c r="S99" s="66" t="n">
        <v>106.16</v>
      </c>
      <c r="T99" s="66" t="n">
        <v>35.07</v>
      </c>
      <c r="U99" s="66"/>
      <c r="V99" s="66" t="n">
        <v>349.44</v>
      </c>
      <c r="W99" s="66"/>
      <c r="X99" s="66"/>
      <c r="Y99" s="66"/>
      <c r="Z99" s="66"/>
      <c r="AA99" s="66"/>
    </row>
    <row r="100" customFormat="false" ht="15" hidden="false" customHeight="true" outlineLevel="0" collapsed="false">
      <c r="A100" s="69" t="n">
        <v>45863</v>
      </c>
      <c r="B100" s="66" t="n">
        <v>370.74</v>
      </c>
      <c r="C100" s="66" t="n">
        <v>114.28</v>
      </c>
      <c r="D100" s="66" t="n">
        <v>704.81</v>
      </c>
      <c r="E100" s="66" t="n">
        <v>287.55</v>
      </c>
      <c r="F100" s="66" t="n">
        <v>93.48</v>
      </c>
      <c r="G100" s="66" t="n">
        <v>116.98</v>
      </c>
      <c r="H100" s="66" t="n">
        <v>132.16</v>
      </c>
      <c r="I100" s="66" t="n">
        <v>89.53</v>
      </c>
      <c r="J100" s="66" t="n">
        <v>111.08</v>
      </c>
      <c r="K100" s="66" t="n">
        <v>173.08</v>
      </c>
      <c r="L100" s="66" t="n">
        <v>105.99</v>
      </c>
      <c r="M100" s="66" t="n">
        <v>158.8</v>
      </c>
      <c r="N100" s="66" t="n">
        <v>26.14</v>
      </c>
      <c r="O100" s="66" t="n">
        <v>113.89</v>
      </c>
      <c r="P100" s="66" t="n">
        <v>242.26</v>
      </c>
      <c r="Q100" s="66" t="n">
        <v>353.59</v>
      </c>
      <c r="R100" s="66" t="n">
        <v>52.75</v>
      </c>
      <c r="S100" s="66" t="n">
        <v>106.91</v>
      </c>
      <c r="T100" s="66" t="n">
        <v>35.03</v>
      </c>
      <c r="U100" s="66"/>
      <c r="V100" s="66" t="n">
        <v>335.29</v>
      </c>
      <c r="W100" s="66"/>
      <c r="X100" s="66"/>
      <c r="Y100" s="66"/>
      <c r="Z100" s="66"/>
      <c r="AA100" s="66"/>
    </row>
    <row r="101" customFormat="false" ht="15" hidden="false" customHeight="true" outlineLevel="0" collapsed="false">
      <c r="A101" s="69" t="n">
        <v>45870</v>
      </c>
      <c r="B101" s="66" t="n">
        <v>347.8</v>
      </c>
      <c r="C101" s="66" t="n">
        <v>117.57</v>
      </c>
      <c r="D101" s="66" t="n">
        <v>685.31</v>
      </c>
      <c r="E101" s="66" t="n">
        <v>286.02</v>
      </c>
      <c r="F101" s="66" t="n">
        <v>88.78</v>
      </c>
      <c r="G101" s="66" t="n">
        <v>111.67</v>
      </c>
      <c r="H101" s="66" t="n">
        <v>128.19</v>
      </c>
      <c r="I101" s="66" t="n">
        <v>88</v>
      </c>
      <c r="J101" s="66" t="n">
        <v>104.71</v>
      </c>
      <c r="K101" s="66" t="n">
        <v>173.3</v>
      </c>
      <c r="L101" s="66" t="n">
        <v>100.82</v>
      </c>
      <c r="M101" s="66" t="n">
        <v>154.27</v>
      </c>
      <c r="N101" s="66" t="n">
        <v>25.24</v>
      </c>
      <c r="O101" s="66" t="n">
        <v>112.1</v>
      </c>
      <c r="P101" s="66" t="n">
        <v>232.01</v>
      </c>
      <c r="Q101" s="66" t="n">
        <v>336.07</v>
      </c>
      <c r="R101" s="66" t="n">
        <v>54.27</v>
      </c>
      <c r="S101" s="66" t="n">
        <v>111.84</v>
      </c>
      <c r="T101" s="66" t="n">
        <v>35.33</v>
      </c>
      <c r="U101" s="66"/>
      <c r="V101" s="66" t="n">
        <v>345.24</v>
      </c>
      <c r="W101" s="66"/>
      <c r="X101" s="66"/>
      <c r="Y101" s="66"/>
      <c r="Z101" s="66"/>
      <c r="AA101" s="66"/>
    </row>
    <row r="102" customFormat="false" ht="15" hidden="false" customHeight="true" outlineLevel="0" collapsed="false">
      <c r="A102" s="69" t="n">
        <v>45877</v>
      </c>
      <c r="B102" s="66" t="n">
        <v>341.05</v>
      </c>
      <c r="C102" s="66" t="n">
        <v>139.18</v>
      </c>
      <c r="D102" s="66" t="n">
        <v>717.59</v>
      </c>
      <c r="E102" s="66" t="n">
        <v>302.2</v>
      </c>
      <c r="F102" s="66" t="n">
        <v>90.85</v>
      </c>
      <c r="G102" s="66" t="n">
        <v>106.12</v>
      </c>
      <c r="H102" s="66" t="n">
        <v>130.26</v>
      </c>
      <c r="I102" s="66" t="n">
        <v>90.79</v>
      </c>
      <c r="J102" s="66" t="n">
        <v>118.7</v>
      </c>
      <c r="K102" s="66" t="n">
        <v>182.25</v>
      </c>
      <c r="L102" s="66" t="n">
        <v>101.56</v>
      </c>
      <c r="M102" s="66" t="n">
        <v>186.96</v>
      </c>
      <c r="N102" s="66" t="n">
        <v>25.72</v>
      </c>
      <c r="O102" s="66" t="n">
        <v>116.02</v>
      </c>
      <c r="P102" s="66" t="n">
        <v>238.54</v>
      </c>
      <c r="Q102" s="66" t="n">
        <v>333.52</v>
      </c>
      <c r="R102" s="66" t="n">
        <v>54.16</v>
      </c>
      <c r="S102" s="66" t="n">
        <v>112.51</v>
      </c>
      <c r="T102" s="66" t="n">
        <v>35.77</v>
      </c>
      <c r="U102" s="66"/>
      <c r="V102" s="66"/>
      <c r="W102" s="66"/>
      <c r="X102" s="66"/>
      <c r="Y102" s="66"/>
      <c r="Z102" s="66"/>
      <c r="AA102" s="66"/>
    </row>
    <row r="103" customFormat="false" ht="15" hidden="false" customHeight="true" outlineLevel="0" collapsed="false">
      <c r="A103" s="69" t="n">
        <v>45884</v>
      </c>
      <c r="B103" s="66" t="n">
        <v>354.85</v>
      </c>
      <c r="C103" s="66" t="n">
        <v>137.3</v>
      </c>
      <c r="D103" s="66" t="n">
        <v>737.3</v>
      </c>
      <c r="E103" s="66" t="n">
        <v>303.56</v>
      </c>
      <c r="F103" s="66" t="n">
        <v>93.56</v>
      </c>
      <c r="G103" s="66" t="n">
        <v>106.97</v>
      </c>
      <c r="H103" s="66" t="n">
        <v>132.26</v>
      </c>
      <c r="I103" s="66" t="n">
        <v>86.84</v>
      </c>
      <c r="J103" s="66" t="n">
        <v>120.68</v>
      </c>
      <c r="K103" s="66" t="n">
        <v>180.01</v>
      </c>
      <c r="L103" s="66" t="n">
        <v>102.43</v>
      </c>
      <c r="M103" s="66" t="n">
        <v>177.17</v>
      </c>
      <c r="N103" s="66" t="n">
        <v>26.15</v>
      </c>
      <c r="O103" s="66" t="n">
        <v>116.14</v>
      </c>
      <c r="P103" s="66" t="n">
        <v>235.63</v>
      </c>
      <c r="Q103" s="66" t="n">
        <v>341.74</v>
      </c>
      <c r="R103" s="66" t="n">
        <v>54.36</v>
      </c>
      <c r="S103" s="66" t="n">
        <v>112.17</v>
      </c>
      <c r="T103" s="66" t="n">
        <v>35.84</v>
      </c>
      <c r="U103" s="66"/>
      <c r="V103" s="66" t="n">
        <v>344.56</v>
      </c>
      <c r="W103" s="66"/>
      <c r="X103" s="66"/>
      <c r="Y103" s="66"/>
      <c r="Z103" s="66"/>
      <c r="AA103" s="66"/>
    </row>
    <row r="104" customFormat="false" ht="15" hidden="false" customHeight="true" outlineLevel="0" collapsed="false">
      <c r="A104" s="69" t="n">
        <v>45891</v>
      </c>
      <c r="B104" s="66" t="n">
        <v>362.09</v>
      </c>
      <c r="C104" s="66" t="n">
        <v>133.25</v>
      </c>
      <c r="D104" s="66" t="n">
        <v>749.95</v>
      </c>
      <c r="E104" s="66" t="n">
        <v>291.33</v>
      </c>
      <c r="F104" s="66" t="n">
        <v>97.28</v>
      </c>
      <c r="G104" s="66" t="n">
        <v>105.14</v>
      </c>
      <c r="H104" s="66" t="n">
        <v>136.08</v>
      </c>
      <c r="I104" s="66" t="n">
        <v>86.56</v>
      </c>
      <c r="J104" s="66" t="n">
        <v>117.49</v>
      </c>
      <c r="K104" s="66" t="n">
        <v>177.55</v>
      </c>
      <c r="L104" s="66" t="n">
        <v>107.9</v>
      </c>
      <c r="M104" s="66" t="n">
        <v>158.74</v>
      </c>
      <c r="N104" s="66" t="n">
        <v>26.75</v>
      </c>
      <c r="O104" s="66" t="n">
        <v>115.35</v>
      </c>
      <c r="P104" s="66" t="n">
        <v>229.82</v>
      </c>
      <c r="Q104" s="66" t="n">
        <v>347.26</v>
      </c>
      <c r="R104" s="66" t="n">
        <v>54.69</v>
      </c>
      <c r="S104" s="66" t="n">
        <v>113.83</v>
      </c>
      <c r="T104" s="66" t="n">
        <v>35.08</v>
      </c>
      <c r="U104" s="66"/>
      <c r="V104" s="66" t="n">
        <v>345.67</v>
      </c>
      <c r="W104" s="66"/>
      <c r="X104" s="66"/>
      <c r="Y104" s="66"/>
      <c r="Z104" s="66"/>
      <c r="AA104" s="66"/>
    </row>
    <row r="105" customFormat="false" ht="15" hidden="false" customHeight="true" outlineLevel="0" collapsed="false">
      <c r="A105" s="69" t="n">
        <v>45898</v>
      </c>
      <c r="B105" s="66" t="n">
        <v>356.7</v>
      </c>
      <c r="C105" s="66" t="n">
        <v>136.55</v>
      </c>
      <c r="D105" s="66" t="n">
        <v>737.76</v>
      </c>
      <c r="E105" s="66" t="n">
        <v>294.69</v>
      </c>
      <c r="F105" s="66" t="n">
        <v>98.1</v>
      </c>
      <c r="G105" s="66" t="n">
        <v>105.93</v>
      </c>
      <c r="H105" s="66" t="n">
        <v>135.78</v>
      </c>
      <c r="I105" s="66" t="n">
        <v>86.73</v>
      </c>
      <c r="J105" s="66" t="n">
        <v>118.82</v>
      </c>
      <c r="K105" s="66" t="n">
        <v>173.75</v>
      </c>
      <c r="L105" s="66" t="n">
        <v>109.34</v>
      </c>
      <c r="M105" s="66" t="n">
        <v>156.71</v>
      </c>
      <c r="N105" s="66" t="n">
        <v>26.72</v>
      </c>
      <c r="O105" s="66" t="n">
        <v>115.32</v>
      </c>
      <c r="P105" s="66" t="n">
        <v>227.73</v>
      </c>
      <c r="Q105" s="66" t="n">
        <v>348.99</v>
      </c>
      <c r="R105" s="66" t="n">
        <v>55.08</v>
      </c>
      <c r="S105" s="66" t="n">
        <v>115.03</v>
      </c>
      <c r="T105" s="66" t="n">
        <v>35.85</v>
      </c>
      <c r="U105" s="66"/>
      <c r="V105" s="66" t="n">
        <v>353.59</v>
      </c>
      <c r="W105" s="66"/>
      <c r="X105" s="66"/>
      <c r="Y105" s="66"/>
      <c r="Z105" s="66"/>
      <c r="AA105" s="66"/>
    </row>
    <row r="106" customFormat="false" ht="15" hidden="false" customHeight="true" outlineLevel="0" collapsed="false">
      <c r="A106" s="69" t="n">
        <v>45905</v>
      </c>
      <c r="B106" s="66" t="n">
        <v>348.97</v>
      </c>
      <c r="C106" s="66" t="n">
        <v>142.85</v>
      </c>
      <c r="D106" s="66" t="n">
        <v>776.58</v>
      </c>
      <c r="E106" s="66" t="n">
        <v>331.85</v>
      </c>
      <c r="F106" s="66" t="n">
        <v>99.17</v>
      </c>
      <c r="G106" s="66" t="n">
        <v>104.41</v>
      </c>
      <c r="H106" s="66" t="n">
        <v>135.66</v>
      </c>
      <c r="I106" s="66" t="n">
        <v>90.02</v>
      </c>
      <c r="J106" s="66" t="n">
        <v>131.16</v>
      </c>
      <c r="K106" s="66" t="n">
        <v>166.61</v>
      </c>
      <c r="L106" s="66" t="n">
        <v>109.22</v>
      </c>
      <c r="M106" s="66" t="n">
        <v>153.11</v>
      </c>
      <c r="N106" s="66" t="n">
        <v>26.45</v>
      </c>
      <c r="O106" s="66" t="n">
        <v>115.89</v>
      </c>
      <c r="P106" s="66" t="n">
        <v>240.1</v>
      </c>
      <c r="Q106" s="66" t="n">
        <v>340.5</v>
      </c>
      <c r="R106" s="66" t="n">
        <v>53.81</v>
      </c>
      <c r="S106" s="66" t="n">
        <v>113.23</v>
      </c>
      <c r="T106" s="66" t="n">
        <v>34.35</v>
      </c>
      <c r="U106" s="66"/>
      <c r="V106" s="66" t="n">
        <v>336.07</v>
      </c>
      <c r="W106" s="66"/>
      <c r="X106" s="66"/>
      <c r="Y106" s="66"/>
      <c r="Z106" s="66"/>
      <c r="AA106" s="66"/>
    </row>
    <row r="107" customFormat="false" ht="15" hidden="false" customHeight="true" outlineLevel="0" collapsed="false">
      <c r="A107" s="69" t="n">
        <v>45912</v>
      </c>
      <c r="B107" s="66" t="n">
        <v>349.36</v>
      </c>
      <c r="C107" s="66" t="n">
        <v>139.39</v>
      </c>
      <c r="D107" s="66" t="n">
        <v>808.54</v>
      </c>
      <c r="E107" s="66" t="n">
        <v>356.6</v>
      </c>
      <c r="F107" s="66" t="n">
        <v>98.38</v>
      </c>
      <c r="G107" s="66" t="n">
        <v>109.03</v>
      </c>
      <c r="H107" s="66" t="n">
        <v>135.84</v>
      </c>
      <c r="I107" s="66" t="n">
        <v>95.88</v>
      </c>
      <c r="J107" s="66" t="n">
        <v>156.98</v>
      </c>
      <c r="K107" s="66" t="n">
        <v>177.4</v>
      </c>
      <c r="L107" s="66" t="n">
        <v>110.85</v>
      </c>
      <c r="M107" s="66" t="n">
        <v>171.43</v>
      </c>
      <c r="N107" s="66" t="n">
        <v>26.3</v>
      </c>
      <c r="O107" s="66" t="n">
        <v>119.28</v>
      </c>
      <c r="P107" s="66" t="n">
        <v>255.81</v>
      </c>
      <c r="Q107" s="66" t="n">
        <v>336.74</v>
      </c>
      <c r="R107" s="66" t="n">
        <v>55.32</v>
      </c>
      <c r="S107" s="66" t="n">
        <v>117.19</v>
      </c>
      <c r="T107" s="66" t="n">
        <v>34.69</v>
      </c>
      <c r="U107" s="66"/>
      <c r="V107" s="66" t="n">
        <v>333.52</v>
      </c>
      <c r="W107" s="66"/>
      <c r="X107" s="66"/>
      <c r="Y107" s="66"/>
      <c r="Z107" s="66"/>
      <c r="AA107" s="66"/>
    </row>
    <row r="108" customFormat="false" ht="15" hidden="false" customHeight="true" outlineLevel="0" collapsed="false">
      <c r="A108" s="69" t="n">
        <v>45919</v>
      </c>
      <c r="B108" s="66" t="n">
        <v>365.9</v>
      </c>
      <c r="C108" s="66" t="n">
        <v>149.61</v>
      </c>
      <c r="D108" s="66" t="n">
        <v>926.05</v>
      </c>
      <c r="E108" s="66" t="n">
        <v>341.81</v>
      </c>
      <c r="F108" s="66" t="n">
        <v>98.94</v>
      </c>
      <c r="G108" s="66" t="n">
        <v>125.64</v>
      </c>
      <c r="H108" s="66" t="n">
        <v>135.46</v>
      </c>
      <c r="I108" s="66" t="n">
        <v>103.92</v>
      </c>
      <c r="J108" s="66" t="n">
        <v>162.47</v>
      </c>
      <c r="K108" s="66" t="n">
        <v>176.25</v>
      </c>
      <c r="L108" s="66" t="n">
        <v>110.05</v>
      </c>
      <c r="M108" s="66" t="n">
        <v>182.39</v>
      </c>
      <c r="N108" s="66" t="n">
        <v>26.15</v>
      </c>
      <c r="O108" s="66" t="n">
        <v>120.72</v>
      </c>
      <c r="P108" s="66" t="n">
        <v>262.1</v>
      </c>
      <c r="Q108" s="66" t="n">
        <v>338.9</v>
      </c>
      <c r="R108" s="66" t="n">
        <v>55.8</v>
      </c>
      <c r="S108" s="66" t="n">
        <v>117.31</v>
      </c>
      <c r="T108" s="66" t="n">
        <v>36.06</v>
      </c>
      <c r="U108" s="66"/>
      <c r="V108" s="66" t="n">
        <v>341.74</v>
      </c>
      <c r="W108" s="66"/>
      <c r="X108" s="66"/>
      <c r="Y108" s="66"/>
      <c r="Z108" s="66"/>
      <c r="AA108" s="66"/>
    </row>
    <row r="109" customFormat="false" ht="15" hidden="false" customHeight="true" outlineLevel="0" collapsed="false">
      <c r="A109" s="69" t="n">
        <v>45926</v>
      </c>
      <c r="B109" s="66" t="n">
        <v>360.37</v>
      </c>
      <c r="C109" s="66" t="n">
        <v>142.5</v>
      </c>
      <c r="D109" s="66" t="n">
        <v>945.29</v>
      </c>
      <c r="E109" s="66" t="n">
        <v>332.06</v>
      </c>
      <c r="F109" s="66" t="n">
        <v>99.24</v>
      </c>
      <c r="G109" s="66" t="n">
        <v>120.36</v>
      </c>
      <c r="H109" s="66" t="n">
        <v>136.5</v>
      </c>
      <c r="I109" s="66" t="n">
        <v>105.86</v>
      </c>
      <c r="J109" s="66" t="n">
        <v>157.02</v>
      </c>
      <c r="K109" s="66" t="n">
        <v>177.76</v>
      </c>
      <c r="L109" s="66" t="n">
        <v>110.71</v>
      </c>
      <c r="M109" s="66" t="n">
        <v>177.57</v>
      </c>
      <c r="N109" s="66" t="n">
        <v>26.29</v>
      </c>
      <c r="O109" s="66" t="n">
        <v>119.57</v>
      </c>
      <c r="P109" s="66" t="n">
        <v>270.5</v>
      </c>
      <c r="Q109" s="66" t="n">
        <v>334.69</v>
      </c>
      <c r="R109" s="66" t="n">
        <v>55.67</v>
      </c>
      <c r="S109" s="66" t="n">
        <v>116.51</v>
      </c>
      <c r="T109" s="66" t="n">
        <v>36.99</v>
      </c>
      <c r="U109" s="66"/>
      <c r="V109" s="66" t="n">
        <v>347.26</v>
      </c>
      <c r="W109" s="66"/>
      <c r="X109" s="66"/>
      <c r="Y109" s="66"/>
      <c r="Z109" s="66"/>
      <c r="AA109" s="66"/>
    </row>
    <row r="110" customFormat="false" ht="15" hidden="false" customHeight="true" outlineLevel="0" collapsed="false">
      <c r="A110" s="69" t="n">
        <v>45933</v>
      </c>
      <c r="B110" s="66" t="n">
        <v>346.74</v>
      </c>
      <c r="C110" s="66" t="n">
        <v>145.5</v>
      </c>
      <c r="D110" s="66" t="n">
        <v>1025.47</v>
      </c>
      <c r="E110" s="66" t="n">
        <v>335.87</v>
      </c>
      <c r="F110" s="66" t="n">
        <v>99.35</v>
      </c>
      <c r="G110" s="66" t="n">
        <v>122.47</v>
      </c>
      <c r="H110" s="66" t="n">
        <v>138.19</v>
      </c>
      <c r="I110" s="66" t="n">
        <v>109.56</v>
      </c>
      <c r="J110" s="66" t="n">
        <v>187.65</v>
      </c>
      <c r="K110" s="66" t="n">
        <v>187.17</v>
      </c>
      <c r="L110" s="66" t="n">
        <v>113.5</v>
      </c>
      <c r="M110" s="66" t="n">
        <v>173.07</v>
      </c>
      <c r="N110" s="66" t="n">
        <v>26.48</v>
      </c>
      <c r="O110" s="66" t="n">
        <v>119.08</v>
      </c>
      <c r="P110" s="66" t="n">
        <v>289.13</v>
      </c>
      <c r="Q110" s="66" t="n">
        <v>347.06</v>
      </c>
      <c r="R110" s="66" t="n">
        <v>55.68</v>
      </c>
      <c r="S110" s="66" t="n">
        <v>116.48</v>
      </c>
      <c r="T110" s="66" t="n">
        <v>37.33</v>
      </c>
      <c r="U110" s="66"/>
      <c r="V110" s="66" t="n">
        <v>348.99</v>
      </c>
      <c r="W110" s="66"/>
      <c r="X110" s="66"/>
      <c r="Y110" s="66"/>
      <c r="Z110" s="66"/>
      <c r="AA110" s="66"/>
    </row>
    <row r="111" customFormat="false" ht="15" hidden="false" customHeight="true" outlineLevel="0" collapsed="false">
      <c r="A111" s="69" t="n">
        <v>45940</v>
      </c>
      <c r="B111" s="66" t="n">
        <v>337.51</v>
      </c>
      <c r="C111" s="66" t="n">
        <v>154.1</v>
      </c>
      <c r="D111" s="66" t="n">
        <v>930.06</v>
      </c>
      <c r="E111" s="66" t="n">
        <v>322.23</v>
      </c>
      <c r="F111" s="66" t="n">
        <v>93.95</v>
      </c>
      <c r="G111" s="66" t="n">
        <v>123.42</v>
      </c>
      <c r="H111" s="66" t="n">
        <v>133.41</v>
      </c>
      <c r="I111" s="66" t="n">
        <v>97.75</v>
      </c>
      <c r="J111" s="66" t="n">
        <v>181.42</v>
      </c>
      <c r="K111" s="66" t="n">
        <v>182.72</v>
      </c>
      <c r="L111" s="66" t="n">
        <v>107.84</v>
      </c>
      <c r="M111" s="66" t="n">
        <v>175.44</v>
      </c>
      <c r="N111" s="66" t="n">
        <v>25.64</v>
      </c>
      <c r="O111" s="66" t="n">
        <v>117.51</v>
      </c>
      <c r="P111" s="66" t="n">
        <v>277.72</v>
      </c>
      <c r="Q111" s="66" t="n">
        <v>340.92</v>
      </c>
      <c r="R111" s="66" t="n">
        <v>55.78</v>
      </c>
      <c r="S111" s="66" t="n">
        <v>117.05</v>
      </c>
      <c r="T111" s="66" t="n">
        <v>37.61</v>
      </c>
      <c r="U111" s="66"/>
      <c r="V111" s="66" t="n">
        <v>340.5</v>
      </c>
      <c r="W111" s="66"/>
      <c r="X111" s="66"/>
      <c r="Y111" s="66"/>
      <c r="Z111" s="66"/>
      <c r="AA111" s="66"/>
    </row>
    <row r="112" customFormat="false" ht="15" hidden="false" customHeight="true" outlineLevel="0" collapsed="false">
      <c r="A112" s="69" t="n">
        <v>45947</v>
      </c>
      <c r="B112" s="66" t="n">
        <v>333.26</v>
      </c>
      <c r="C112" s="66" t="n">
        <v>143.1</v>
      </c>
      <c r="D112" s="66" t="n">
        <v>1022.53</v>
      </c>
      <c r="E112" s="66" t="n">
        <v>346.75</v>
      </c>
      <c r="F112" s="66" t="n">
        <v>95.79</v>
      </c>
      <c r="G112" s="66" t="n">
        <v>121.16</v>
      </c>
      <c r="H112" s="66" t="n">
        <v>135.37</v>
      </c>
      <c r="I112" s="66" t="n">
        <v>110.07</v>
      </c>
      <c r="J112" s="66" t="n">
        <v>202.18</v>
      </c>
      <c r="K112" s="66" t="n">
        <v>182.78</v>
      </c>
      <c r="L112" s="66" t="n">
        <v>120.3</v>
      </c>
      <c r="M112" s="66" t="n">
        <v>178.15</v>
      </c>
      <c r="N112" s="66" t="n">
        <v>25.88</v>
      </c>
      <c r="O112" s="66" t="n">
        <v>119.41</v>
      </c>
      <c r="P112" s="66" t="n">
        <v>291.99</v>
      </c>
      <c r="Q112" s="66" t="n">
        <v>339.18</v>
      </c>
      <c r="R112" s="66" t="n">
        <v>56.54</v>
      </c>
      <c r="S112" s="66" t="n">
        <v>120.48</v>
      </c>
      <c r="T112" s="66" t="n">
        <v>37.5</v>
      </c>
      <c r="U112" s="66"/>
      <c r="V112" s="66" t="n">
        <v>336.74</v>
      </c>
      <c r="W112" s="66"/>
      <c r="X112" s="66"/>
      <c r="Y112" s="66"/>
      <c r="Z112" s="66"/>
      <c r="AA112" s="66"/>
    </row>
    <row r="113" customFormat="false" ht="15" hidden="false" customHeight="true" outlineLevel="0" collapsed="false">
      <c r="A113" s="69" t="n">
        <v>45954</v>
      </c>
      <c r="B113" s="66" t="n">
        <v>353.52</v>
      </c>
      <c r="C113" s="66" t="n">
        <v>153.82</v>
      </c>
      <c r="D113" s="66" t="n">
        <v>1026.34</v>
      </c>
      <c r="E113" s="66" t="n">
        <v>351.52</v>
      </c>
      <c r="F113" s="66" t="n">
        <v>98.61</v>
      </c>
      <c r="G113" s="66" t="n">
        <v>131.83</v>
      </c>
      <c r="H113" s="66" t="n">
        <v>137.67</v>
      </c>
      <c r="I113" s="66" t="n">
        <v>117.65</v>
      </c>
      <c r="J113" s="66" t="n">
        <v>218.81</v>
      </c>
      <c r="K113" s="66" t="n">
        <v>185.81</v>
      </c>
      <c r="L113" s="66" t="n">
        <v>122.58</v>
      </c>
      <c r="M113" s="66" t="n">
        <v>184.63</v>
      </c>
      <c r="N113" s="66" t="n">
        <v>26.11</v>
      </c>
      <c r="O113" s="66" t="n">
        <v>120.69</v>
      </c>
      <c r="P113" s="66" t="n">
        <v>291.87</v>
      </c>
      <c r="Q113" s="66" t="n">
        <v>344.62</v>
      </c>
      <c r="R113" s="66" t="n">
        <v>57.16</v>
      </c>
      <c r="S113" s="66" t="n">
        <v>121.93</v>
      </c>
      <c r="T113" s="66" t="n">
        <v>37.45</v>
      </c>
      <c r="U113" s="66"/>
      <c r="V113" s="66" t="n">
        <v>338.9</v>
      </c>
      <c r="W113" s="66"/>
      <c r="X113" s="66"/>
      <c r="Y113" s="66"/>
      <c r="Z113" s="66"/>
      <c r="AA113" s="66"/>
    </row>
    <row r="114" customFormat="false" ht="15" hidden="false" customHeight="true" outlineLevel="0" collapsed="false">
      <c r="A114" s="69" t="n">
        <v>45961</v>
      </c>
      <c r="B114" s="66" t="n">
        <v>340.31</v>
      </c>
      <c r="C114" s="66" t="n">
        <v>157.69</v>
      </c>
      <c r="D114" s="66" t="n">
        <v>1054.17</v>
      </c>
      <c r="E114" s="66" t="n">
        <v>366.9</v>
      </c>
      <c r="F114" s="66" t="n">
        <v>96.52</v>
      </c>
      <c r="G114" s="66" t="n">
        <v>135.75</v>
      </c>
      <c r="H114" s="66" t="n">
        <v>134.39</v>
      </c>
      <c r="I114" s="66" t="n">
        <v>120.23</v>
      </c>
      <c r="J114" s="66" t="n">
        <v>223.55</v>
      </c>
      <c r="K114" s="66" t="n">
        <v>202.01</v>
      </c>
      <c r="L114" s="66" t="n">
        <v>120.31</v>
      </c>
      <c r="M114" s="66" t="n">
        <v>200.47</v>
      </c>
      <c r="N114" s="66" t="n">
        <v>25.84</v>
      </c>
      <c r="O114" s="66" t="n">
        <v>120.68</v>
      </c>
      <c r="P114" s="66" t="n">
        <v>297.28</v>
      </c>
      <c r="Q114" s="66" t="n">
        <v>338.04</v>
      </c>
      <c r="R114" s="66" t="n">
        <v>57.25</v>
      </c>
      <c r="S114" s="66" t="n">
        <v>120.58</v>
      </c>
      <c r="T114" s="66" t="n">
        <v>37.74</v>
      </c>
      <c r="U114" s="66"/>
      <c r="V114" s="66" t="n">
        <v>334.69</v>
      </c>
      <c r="W114" s="66"/>
      <c r="X114" s="66"/>
      <c r="Y114" s="66"/>
      <c r="Z114" s="66"/>
      <c r="AA114" s="66"/>
    </row>
    <row r="115" customFormat="false" ht="15" hidden="false" customHeight="true" outlineLevel="0" collapsed="false">
      <c r="A115" s="69" t="n">
        <v>45968</v>
      </c>
      <c r="B115" s="66" t="n">
        <v>326.95</v>
      </c>
      <c r="C115" s="66" t="n">
        <v>134.65</v>
      </c>
      <c r="D115" s="66" t="n">
        <v>1012.1</v>
      </c>
      <c r="E115" s="66" t="n">
        <v>346.85</v>
      </c>
      <c r="F115" s="66" t="n">
        <v>96.46</v>
      </c>
      <c r="G115" s="66" t="n">
        <v>134.95</v>
      </c>
      <c r="H115" s="66" t="n">
        <v>135.39</v>
      </c>
      <c r="I115" s="66" t="n">
        <v>118.7</v>
      </c>
      <c r="J115" s="66" t="n">
        <v>237.69</v>
      </c>
      <c r="K115" s="66" t="n">
        <v>187.7</v>
      </c>
      <c r="L115" s="66" t="n">
        <v>121.78</v>
      </c>
      <c r="M115" s="66" t="n">
        <v>177.93</v>
      </c>
      <c r="N115" s="66" t="n">
        <v>25.81</v>
      </c>
      <c r="O115" s="66" t="n">
        <v>117.54</v>
      </c>
      <c r="P115" s="66" t="n">
        <v>283.5</v>
      </c>
      <c r="Q115" s="66" t="n">
        <v>333.35</v>
      </c>
      <c r="R115" s="66" t="n">
        <v>57.28</v>
      </c>
      <c r="S115" s="66" t="n">
        <v>120.09</v>
      </c>
      <c r="T115" s="66" t="n">
        <v>37.87</v>
      </c>
      <c r="U115" s="66"/>
      <c r="V115" s="66" t="n">
        <v>347.06</v>
      </c>
      <c r="W115" s="66"/>
      <c r="X115" s="66"/>
      <c r="Y115" s="66"/>
      <c r="Z115" s="66"/>
      <c r="AA115" s="66"/>
    </row>
    <row r="116" customFormat="false" ht="15" hidden="false" customHeight="true" outlineLevel="0" collapsed="false">
      <c r="A116" s="69" t="n">
        <v>45975</v>
      </c>
      <c r="B116" s="66" t="n">
        <v>331.11</v>
      </c>
      <c r="C116" s="66" t="n">
        <v>131.37</v>
      </c>
      <c r="D116" s="66" t="n">
        <v>1002.17</v>
      </c>
      <c r="E116" s="66" t="n">
        <v>339.93</v>
      </c>
      <c r="F116" s="66" t="n">
        <v>96.32</v>
      </c>
      <c r="G116" s="66" t="n">
        <v>134.39</v>
      </c>
      <c r="H116" s="66" t="n">
        <v>135.81</v>
      </c>
      <c r="I116" s="66" t="n">
        <v>112.82</v>
      </c>
      <c r="J116" s="66" t="n">
        <v>246.59</v>
      </c>
      <c r="K116" s="66" t="n">
        <v>189.72</v>
      </c>
      <c r="L116" s="66" t="n">
        <v>119.09</v>
      </c>
      <c r="M116" s="66" t="n">
        <v>174.01</v>
      </c>
      <c r="N116" s="66" t="n">
        <v>26.32</v>
      </c>
      <c r="O116" s="66" t="n">
        <v>116.84</v>
      </c>
      <c r="P116" s="66" t="n">
        <v>281.84</v>
      </c>
      <c r="Q116" s="66" t="n">
        <v>328.05</v>
      </c>
      <c r="R116" s="66" t="n">
        <v>56.33</v>
      </c>
      <c r="S116" s="66" t="n">
        <v>118.5</v>
      </c>
      <c r="T116" s="66" t="n">
        <v>36.58</v>
      </c>
      <c r="U116" s="66"/>
      <c r="V116" s="66" t="n">
        <v>340.92</v>
      </c>
      <c r="W116" s="66"/>
      <c r="X116" s="66"/>
      <c r="Y116" s="66"/>
      <c r="Z116" s="66"/>
      <c r="AA116" s="66"/>
    </row>
    <row r="117" customFormat="false" ht="15" hidden="false" customHeight="true" outlineLevel="0" collapsed="false">
      <c r="A117" s="69" t="n">
        <v>45982</v>
      </c>
      <c r="B117" s="66" t="n">
        <v>324.19</v>
      </c>
      <c r="C117" s="66" t="n">
        <v>117.43</v>
      </c>
      <c r="D117" s="66" t="n">
        <v>961.95</v>
      </c>
      <c r="E117" s="66" t="n">
        <v>337.69</v>
      </c>
      <c r="F117" s="66" t="n">
        <v>95.57</v>
      </c>
      <c r="G117" s="66" t="n">
        <v>122.67</v>
      </c>
      <c r="H117" s="66" t="n">
        <v>135.14</v>
      </c>
      <c r="I117" s="66" t="n">
        <v>109.31</v>
      </c>
      <c r="J117" s="66" t="n">
        <v>207.17</v>
      </c>
      <c r="K117" s="66" t="n">
        <v>178.45</v>
      </c>
      <c r="L117" s="66" t="n">
        <v>121.96</v>
      </c>
      <c r="M117" s="66" t="n">
        <v>154.85</v>
      </c>
      <c r="N117" s="66" t="n">
        <v>26.18</v>
      </c>
      <c r="O117" s="66" t="n">
        <v>113.34</v>
      </c>
      <c r="P117" s="66" t="n">
        <v>272.18</v>
      </c>
      <c r="Q117" s="66" t="n">
        <v>326.02</v>
      </c>
      <c r="R117" s="66" t="n">
        <v>57.48</v>
      </c>
      <c r="S117" s="66" t="n">
        <v>120.42</v>
      </c>
      <c r="T117" s="66" t="n">
        <v>37.09</v>
      </c>
      <c r="U117" s="66"/>
      <c r="V117" s="66" t="n">
        <v>339.18</v>
      </c>
      <c r="W117" s="66"/>
      <c r="X117" s="66"/>
      <c r="Y117" s="66"/>
      <c r="Z117" s="66"/>
      <c r="AA117" s="66"/>
    </row>
    <row r="118" customFormat="false" ht="15" hidden="false" customHeight="true" outlineLevel="0" collapsed="false">
      <c r="A118" s="69" t="n">
        <v>45989</v>
      </c>
      <c r="B118" s="66" t="n">
        <v>320.13</v>
      </c>
      <c r="C118" s="66" t="n">
        <v>130.68</v>
      </c>
      <c r="D118" s="66" t="n">
        <v>1054.93</v>
      </c>
      <c r="E118" s="66" t="n">
        <v>399.99</v>
      </c>
      <c r="F118" s="66" t="n">
        <v>99.81</v>
      </c>
      <c r="G118" s="66" t="n">
        <v>127.29</v>
      </c>
      <c r="H118" s="66" t="n">
        <v>138.62</v>
      </c>
      <c r="I118" s="66" t="n">
        <v>117.11</v>
      </c>
      <c r="J118" s="66" t="n">
        <v>236.25</v>
      </c>
      <c r="K118" s="66" t="n">
        <v>176.58</v>
      </c>
      <c r="L118" s="66" t="n">
        <v>124.62</v>
      </c>
      <c r="M118" s="66" t="n">
        <v>168.45</v>
      </c>
      <c r="N118" s="66" t="n">
        <v>26.66</v>
      </c>
      <c r="O118" s="66" t="n">
        <v>119.11</v>
      </c>
      <c r="P118" s="66" t="n">
        <v>288.46</v>
      </c>
      <c r="Q118" s="66" t="n">
        <v>332.44</v>
      </c>
      <c r="R118" s="66" t="n">
        <v>58.55</v>
      </c>
      <c r="S118" s="66" t="n">
        <v>121.71</v>
      </c>
      <c r="T118" s="66" t="n">
        <v>38.06</v>
      </c>
      <c r="U118" s="66"/>
      <c r="V118" s="66" t="n">
        <v>344.62</v>
      </c>
      <c r="W118" s="66"/>
      <c r="X118" s="66"/>
      <c r="Y118" s="66"/>
      <c r="Z118" s="66"/>
      <c r="AA118" s="66"/>
    </row>
    <row r="119" customFormat="false" ht="15" hidden="false" customHeight="true" outlineLevel="0" collapsed="false">
      <c r="A119" s="69" t="n">
        <v>45996</v>
      </c>
      <c r="B119" s="66" t="n">
        <v>346.26</v>
      </c>
      <c r="C119" s="66" t="n">
        <v>128.59</v>
      </c>
      <c r="D119" s="66" t="n">
        <v>1094.21</v>
      </c>
      <c r="E119" s="66" t="n">
        <v>387.36</v>
      </c>
      <c r="F119" s="66" t="n">
        <v>101.56</v>
      </c>
      <c r="G119" s="66" t="n">
        <v>128.01</v>
      </c>
      <c r="H119" s="66" t="n">
        <v>136.97</v>
      </c>
      <c r="I119" s="66" t="n">
        <v>121</v>
      </c>
      <c r="J119" s="66" t="n">
        <v>236.99</v>
      </c>
      <c r="K119" s="66" t="n">
        <v>181.98</v>
      </c>
      <c r="L119" s="66" t="n">
        <v>124.08</v>
      </c>
      <c r="M119" s="66" t="n">
        <v>181.76</v>
      </c>
      <c r="N119" s="66" t="n">
        <v>26.77</v>
      </c>
      <c r="O119" s="66" t="n">
        <v>119.84</v>
      </c>
      <c r="P119" s="66" t="n">
        <v>291.63</v>
      </c>
      <c r="Q119" s="66" t="n">
        <v>329.26</v>
      </c>
      <c r="R119" s="66" t="n">
        <v>59.1</v>
      </c>
      <c r="S119" s="66" t="n">
        <v>121.7</v>
      </c>
      <c r="T119" s="66" t="n">
        <v>37.82</v>
      </c>
      <c r="U119" s="66"/>
      <c r="V119" s="66" t="n">
        <v>338.04</v>
      </c>
      <c r="W119" s="66"/>
      <c r="X119" s="66"/>
      <c r="Y119" s="66"/>
      <c r="Z119" s="66"/>
      <c r="AA119" s="66"/>
    </row>
    <row r="120" customFormat="false" ht="15" hidden="false" customHeight="true" outlineLevel="0" collapsed="false">
      <c r="A120" s="69" t="n">
        <v>46003</v>
      </c>
      <c r="B120" s="66" t="n">
        <v>356.43</v>
      </c>
      <c r="C120" s="66" t="n">
        <v>124.76</v>
      </c>
      <c r="D120" s="66" t="n">
        <v>1075.68</v>
      </c>
      <c r="E120" s="66" t="n">
        <v>357.27</v>
      </c>
      <c r="F120" s="66" t="n">
        <v>103.74</v>
      </c>
      <c r="G120" s="66" t="n">
        <v>126.19</v>
      </c>
      <c r="H120" s="66" t="n">
        <v>139.19</v>
      </c>
      <c r="I120" s="66" t="n">
        <v>118.95</v>
      </c>
      <c r="J120" s="66" t="n">
        <v>240.9</v>
      </c>
      <c r="K120" s="66" t="n">
        <v>174.61</v>
      </c>
      <c r="L120" s="66" t="n">
        <v>126.22</v>
      </c>
      <c r="M120" s="66" t="n">
        <v>183.57</v>
      </c>
      <c r="N120" s="66" t="n">
        <v>27.02</v>
      </c>
      <c r="O120" s="66" t="n">
        <v>118.1</v>
      </c>
      <c r="P120" s="66" t="n">
        <v>289.76</v>
      </c>
      <c r="Q120" s="66" t="n">
        <v>345.75</v>
      </c>
      <c r="R120" s="66" t="n">
        <v>57.71</v>
      </c>
      <c r="S120" s="66" t="n">
        <v>118.53</v>
      </c>
      <c r="T120" s="66" t="n">
        <v>37.88</v>
      </c>
      <c r="U120" s="66"/>
      <c r="V120" s="66" t="n">
        <v>333.35</v>
      </c>
      <c r="W120" s="66"/>
      <c r="X120" s="66"/>
      <c r="Y120" s="66"/>
      <c r="Z120" s="66"/>
      <c r="AA120" s="66"/>
    </row>
    <row r="121" customFormat="false" ht="15" hidden="false" customHeight="true" outlineLevel="0" collapsed="false">
      <c r="A121" s="69" t="n">
        <v>46010</v>
      </c>
      <c r="B121" s="66" t="n">
        <v>355.86</v>
      </c>
      <c r="C121" s="66" t="n">
        <v>131.12</v>
      </c>
      <c r="D121" s="66" t="n">
        <v>1050.97</v>
      </c>
      <c r="E121" s="66" t="n">
        <v>337.85</v>
      </c>
      <c r="F121" s="66" t="n">
        <v>102.8</v>
      </c>
      <c r="G121" s="66" t="n">
        <v>120.32</v>
      </c>
      <c r="H121" s="66" t="n">
        <v>138.55</v>
      </c>
      <c r="I121" s="66" t="n">
        <v>124.11</v>
      </c>
      <c r="J121" s="66" t="n">
        <v>265.66</v>
      </c>
      <c r="K121" s="66" t="n">
        <v>180.57</v>
      </c>
      <c r="L121" s="66" t="n">
        <v>124.32</v>
      </c>
      <c r="M121" s="66" t="n">
        <v>193.38</v>
      </c>
      <c r="N121" s="66" t="n">
        <v>26.8</v>
      </c>
      <c r="O121" s="66" t="n">
        <v>118.53</v>
      </c>
      <c r="P121" s="66" t="n">
        <v>286.7</v>
      </c>
      <c r="Q121" s="66" t="n">
        <v>347.17</v>
      </c>
      <c r="R121" s="66" t="n">
        <v>57.82</v>
      </c>
      <c r="S121" s="66" t="n">
        <v>117.83</v>
      </c>
      <c r="T121" s="66" t="n">
        <v>38.3</v>
      </c>
      <c r="U121" s="66"/>
      <c r="V121" s="66" t="n">
        <v>328.05</v>
      </c>
      <c r="W121" s="66"/>
      <c r="X121" s="66"/>
      <c r="Y121" s="66"/>
      <c r="Z121" s="66"/>
      <c r="AA121" s="66"/>
    </row>
    <row r="122" customFormat="false" ht="15" hidden="false" customHeight="true" outlineLevel="0" collapsed="false">
      <c r="A122" s="69" t="n">
        <v>46017</v>
      </c>
      <c r="B122" s="66" t="n">
        <v>353.8</v>
      </c>
      <c r="C122" s="66" t="n">
        <v>131.84</v>
      </c>
      <c r="D122" s="66" t="n">
        <v>1067.62</v>
      </c>
      <c r="E122" s="66" t="n">
        <v>350.2</v>
      </c>
      <c r="F122" s="66" t="n">
        <v>102.71</v>
      </c>
      <c r="G122" s="66" t="n">
        <v>120.3</v>
      </c>
      <c r="H122" s="66" t="n">
        <v>139.28</v>
      </c>
      <c r="I122" s="66" t="n">
        <v>127.49</v>
      </c>
      <c r="J122" s="66" t="n">
        <v>284.51</v>
      </c>
      <c r="K122" s="66" t="n">
        <v>190.09</v>
      </c>
      <c r="L122" s="66" t="n">
        <v>125.76</v>
      </c>
      <c r="M122" s="66" t="n">
        <v>188.71</v>
      </c>
      <c r="N122" s="66" t="n">
        <v>26.98</v>
      </c>
      <c r="O122" s="66" t="n">
        <v>120.66</v>
      </c>
      <c r="P122" s="66" t="n">
        <v>300.48</v>
      </c>
      <c r="Q122" s="66" t="n">
        <v>352.88</v>
      </c>
      <c r="R122" s="66" t="n">
        <v>56.24</v>
      </c>
      <c r="S122" s="66" t="n">
        <v>114.3</v>
      </c>
      <c r="T122" s="66" t="n">
        <v>37.53</v>
      </c>
      <c r="U122" s="66"/>
      <c r="V122" s="66" t="n">
        <v>326.02</v>
      </c>
      <c r="W122" s="66"/>
      <c r="X122" s="66"/>
      <c r="Y122" s="66"/>
      <c r="Z122" s="66"/>
      <c r="AA122" s="66"/>
    </row>
    <row r="123" customFormat="false" ht="15" hidden="false" customHeight="true" outlineLevel="0" collapsed="false">
      <c r="A123" s="69" t="n">
        <v>46024</v>
      </c>
      <c r="B123" s="66" t="n">
        <v>333.3</v>
      </c>
      <c r="C123" s="66" t="n">
        <v>133.6</v>
      </c>
      <c r="D123" s="66" t="n">
        <v>1158.22</v>
      </c>
      <c r="E123" s="66" t="n">
        <v>345.71</v>
      </c>
      <c r="F123" s="66" t="n">
        <v>102.14</v>
      </c>
      <c r="G123" s="66" t="n">
        <v>113.39</v>
      </c>
      <c r="H123" s="66" t="n">
        <v>139.29</v>
      </c>
      <c r="I123" s="66" t="n">
        <v>126.98</v>
      </c>
      <c r="J123" s="66" t="n">
        <v>315.24</v>
      </c>
      <c r="K123" s="66" t="n">
        <v>188.41</v>
      </c>
      <c r="L123" s="66" t="n">
        <v>126.1</v>
      </c>
      <c r="M123" s="66" t="n">
        <v>167.86</v>
      </c>
      <c r="N123" s="66" t="n">
        <v>27.06</v>
      </c>
      <c r="O123" s="66" t="n">
        <v>118.96</v>
      </c>
      <c r="P123" s="66" t="n">
        <v>317.12</v>
      </c>
      <c r="Q123" s="66" t="n">
        <v>344.41</v>
      </c>
      <c r="R123" s="66" t="n">
        <v>58.81</v>
      </c>
      <c r="S123" s="66" t="n">
        <v>120.12</v>
      </c>
      <c r="T123" s="66" t="n">
        <v>38.82</v>
      </c>
      <c r="U123" s="66"/>
      <c r="V123" s="66" t="n">
        <v>332.44</v>
      </c>
      <c r="W123" s="66"/>
      <c r="X123" s="66"/>
      <c r="Y123" s="66"/>
      <c r="Z123" s="66"/>
      <c r="AA123" s="66"/>
    </row>
    <row r="124" customFormat="false" ht="15" hidden="false" customHeight="true" outlineLevel="0" collapsed="false">
      <c r="A124" s="69" t="n">
        <v>46031</v>
      </c>
      <c r="B124" s="66" t="n">
        <v>333.95</v>
      </c>
      <c r="C124" s="66" t="n">
        <v>122.89</v>
      </c>
      <c r="D124" s="66" t="n">
        <v>1267.79</v>
      </c>
      <c r="E124" s="66" t="n">
        <v>343.08</v>
      </c>
      <c r="F124" s="66" t="n">
        <v>106.31</v>
      </c>
      <c r="G124" s="66" t="n">
        <v>117.65</v>
      </c>
      <c r="H124" s="66" t="n">
        <v>142.21</v>
      </c>
      <c r="I124" s="66" t="n">
        <v>139.48</v>
      </c>
      <c r="J124" s="66" t="n">
        <v>344.89</v>
      </c>
      <c r="K124" s="66" t="n">
        <v>184.43</v>
      </c>
      <c r="L124" s="66" t="n">
        <v>126.44</v>
      </c>
      <c r="M124" s="66" t="n">
        <v>177.49</v>
      </c>
      <c r="N124" s="66" t="n">
        <v>27.86</v>
      </c>
      <c r="O124" s="66" t="n">
        <v>119.31</v>
      </c>
      <c r="P124" s="66" t="n">
        <v>321.11</v>
      </c>
      <c r="Q124" s="66" t="n">
        <v>347.68</v>
      </c>
      <c r="R124" s="66" t="n">
        <v>58.82</v>
      </c>
      <c r="S124" s="66" t="n">
        <v>120.85</v>
      </c>
      <c r="T124" s="66" t="n">
        <v>39.42</v>
      </c>
      <c r="U124" s="66"/>
      <c r="V124" s="66" t="n">
        <v>329.26</v>
      </c>
      <c r="W124" s="66"/>
      <c r="X124" s="66"/>
      <c r="Y124" s="66"/>
      <c r="Z124" s="66"/>
      <c r="AA124" s="66"/>
    </row>
    <row r="125" customFormat="false" ht="15" hidden="false" customHeight="true" outlineLevel="0" collapsed="false">
      <c r="A125" s="69" t="n">
        <v>46038</v>
      </c>
      <c r="B125" s="66" t="n">
        <v>296.12</v>
      </c>
      <c r="C125" s="66" t="n">
        <v>129.83</v>
      </c>
      <c r="D125" s="66" t="n">
        <v>1352.07</v>
      </c>
      <c r="E125" s="66" t="n">
        <v>349.78</v>
      </c>
      <c r="F125" s="66" t="n">
        <v>107.48</v>
      </c>
      <c r="G125" s="66" t="n">
        <v>113.47</v>
      </c>
      <c r="H125" s="66" t="n">
        <v>144.06</v>
      </c>
      <c r="I125" s="66" t="n">
        <v>156.2</v>
      </c>
      <c r="J125" s="66" t="n">
        <v>362.54</v>
      </c>
      <c r="K125" s="66" t="n">
        <v>185.8</v>
      </c>
      <c r="L125" s="66" t="n">
        <v>130.16</v>
      </c>
      <c r="M125" s="66" t="n">
        <v>170.96</v>
      </c>
      <c r="N125" s="66" t="n">
        <v>28.21</v>
      </c>
      <c r="O125" s="66" t="n">
        <v>119.28</v>
      </c>
      <c r="P125" s="66" t="n">
        <v>339.73</v>
      </c>
      <c r="Q125" s="66" t="n">
        <v>326.34</v>
      </c>
      <c r="R125" s="66" t="n">
        <v>58.18</v>
      </c>
      <c r="S125" s="66" t="n">
        <v>119.1</v>
      </c>
      <c r="T125" s="66" t="n">
        <v>39.7</v>
      </c>
      <c r="U125" s="66"/>
      <c r="V125" s="66" t="n">
        <v>345.75</v>
      </c>
      <c r="W125" s="66"/>
      <c r="X125" s="66"/>
      <c r="Y125" s="66"/>
      <c r="Z125" s="66"/>
      <c r="AA125" s="66"/>
    </row>
    <row r="126" customFormat="false" ht="15" hidden="false" customHeight="true" outlineLevel="0" collapsed="false">
      <c r="A126" s="69" t="n">
        <v>46045</v>
      </c>
      <c r="B126" s="66" t="n">
        <v>301.07</v>
      </c>
      <c r="C126" s="66" t="n">
        <v>136.34</v>
      </c>
      <c r="D126" s="66" t="n">
        <v>1382.4</v>
      </c>
      <c r="E126" s="66" t="n">
        <v>318.3</v>
      </c>
      <c r="F126" s="66" t="n">
        <v>107.46</v>
      </c>
      <c r="G126" s="66" t="n">
        <v>113.12</v>
      </c>
      <c r="H126" s="66" t="n">
        <v>144.42</v>
      </c>
      <c r="I126" s="66" t="n">
        <v>150.72</v>
      </c>
      <c r="J126" s="66" t="n">
        <v>399.42</v>
      </c>
      <c r="K126" s="66" t="n">
        <v>187.23</v>
      </c>
      <c r="L126" s="66" t="n">
        <v>124.24</v>
      </c>
      <c r="M126" s="66" t="n">
        <v>169.6</v>
      </c>
      <c r="N126" s="66" t="n">
        <v>28.44</v>
      </c>
      <c r="O126" s="66" t="n">
        <v>117.22</v>
      </c>
      <c r="P126" s="66" t="n">
        <v>332.26</v>
      </c>
      <c r="Q126" s="66" t="n">
        <v>324.23</v>
      </c>
      <c r="R126" s="66" t="n">
        <v>58.62</v>
      </c>
      <c r="S126" s="66" t="n">
        <v>119.53</v>
      </c>
      <c r="T126" s="66" t="n">
        <v>39.53</v>
      </c>
      <c r="U126" s="66"/>
      <c r="V126" s="66" t="n">
        <v>347.17</v>
      </c>
      <c r="W126" s="66"/>
      <c r="X126" s="66"/>
      <c r="Y126" s="66"/>
      <c r="Z126" s="66"/>
      <c r="AA126" s="66"/>
    </row>
    <row r="127" customFormat="false" ht="15" hidden="false" customHeight="true" outlineLevel="0" collapsed="false">
      <c r="A127" s="69" t="n">
        <v>46052</v>
      </c>
      <c r="B127" s="66" t="n">
        <v>293.25</v>
      </c>
      <c r="C127" s="66" t="n">
        <v>141.74</v>
      </c>
      <c r="D127" s="66" t="n">
        <v>1416.2</v>
      </c>
      <c r="E127" s="66" t="n">
        <v>329.48</v>
      </c>
      <c r="F127" s="66" t="n">
        <v>108.24</v>
      </c>
      <c r="G127" s="66" t="n">
        <v>110.35</v>
      </c>
      <c r="H127" s="66" t="n">
        <v>146.93</v>
      </c>
      <c r="I127" s="66" t="n">
        <v>142.27</v>
      </c>
      <c r="J127" s="66" t="n">
        <v>414.64</v>
      </c>
      <c r="K127" s="66" t="n">
        <v>190.68</v>
      </c>
      <c r="L127" s="66" t="n">
        <v>127.57</v>
      </c>
      <c r="M127" s="66" t="n">
        <v>146.59</v>
      </c>
      <c r="N127" s="66" t="n">
        <v>29.1</v>
      </c>
      <c r="O127" s="66" t="n">
        <v>119.15</v>
      </c>
      <c r="P127" s="66" t="n">
        <v>327.98</v>
      </c>
      <c r="Q127" s="66" t="n">
        <v>319.91</v>
      </c>
      <c r="R127" s="66" t="n">
        <v>59.34</v>
      </c>
      <c r="S127" s="66" t="n">
        <v>121.38</v>
      </c>
      <c r="T127" s="66" t="n">
        <v>39.79</v>
      </c>
      <c r="U127" s="66"/>
      <c r="V127" s="66" t="n">
        <v>352.88</v>
      </c>
      <c r="W127" s="66"/>
      <c r="X127" s="66"/>
      <c r="Y127" s="66"/>
      <c r="Z127" s="66"/>
      <c r="AA127" s="66"/>
    </row>
    <row r="128" customFormat="false" ht="15" hidden="false" customHeight="true" outlineLevel="0" collapsed="false">
      <c r="A128" s="69" t="n">
        <v>46059</v>
      </c>
      <c r="B128" s="66" t="n">
        <v>268.38</v>
      </c>
      <c r="C128" s="66" t="n">
        <v>137.49</v>
      </c>
      <c r="D128" s="66" t="n">
        <v>1406.25</v>
      </c>
      <c r="E128" s="66" t="n">
        <v>331.1</v>
      </c>
      <c r="F128" s="66" t="n">
        <v>114.1</v>
      </c>
      <c r="G128" s="66" t="n">
        <v>98.88</v>
      </c>
      <c r="H128" s="66" t="n">
        <v>151.79</v>
      </c>
      <c r="I128" s="66" t="n">
        <v>143.76</v>
      </c>
      <c r="J128" s="66" t="n">
        <v>394.46</v>
      </c>
      <c r="K128" s="66" t="n">
        <v>184.98</v>
      </c>
      <c r="L128" s="66" t="n">
        <v>133.82</v>
      </c>
      <c r="M128" s="66" t="n">
        <v>135.9</v>
      </c>
      <c r="N128" s="66" t="n">
        <v>30.71</v>
      </c>
      <c r="O128" s="66" t="n">
        <v>119.12</v>
      </c>
      <c r="P128" s="66" t="n">
        <v>346.13</v>
      </c>
      <c r="Q128" s="66" t="n">
        <v>329.6</v>
      </c>
      <c r="R128" s="66" t="n">
        <v>58.09</v>
      </c>
      <c r="S128" s="66" t="n">
        <v>119.67</v>
      </c>
      <c r="T128" s="66" t="n">
        <v>39.42</v>
      </c>
      <c r="U128" s="66"/>
      <c r="V128" s="66" t="n">
        <v>344.41</v>
      </c>
      <c r="W128" s="66"/>
      <c r="X128" s="66"/>
      <c r="Y128" s="66"/>
      <c r="Z128" s="66"/>
      <c r="AA128" s="66"/>
    </row>
    <row r="129" customFormat="false" ht="15" hidden="false" customHeight="true" outlineLevel="0" collapsed="false">
      <c r="A129" s="69" t="n">
        <v>46066</v>
      </c>
      <c r="B129" s="66" t="n">
        <v>263.97</v>
      </c>
      <c r="C129" s="66" t="n">
        <v>141.59</v>
      </c>
      <c r="D129" s="66" t="n">
        <v>1401.73</v>
      </c>
      <c r="E129" s="66" t="n">
        <v>323.39</v>
      </c>
      <c r="F129" s="66" t="n">
        <v>113.81</v>
      </c>
      <c r="G129" s="66" t="n">
        <v>107.41</v>
      </c>
      <c r="H129" s="66" t="n">
        <v>154.23</v>
      </c>
      <c r="I129" s="66" t="n">
        <v>145.87</v>
      </c>
      <c r="J129" s="66" t="n">
        <v>411.42</v>
      </c>
      <c r="K129" s="66" t="n">
        <v>182.38</v>
      </c>
      <c r="L129" s="66" t="n">
        <v>135.79</v>
      </c>
      <c r="M129" s="66" t="n">
        <v>131.41</v>
      </c>
      <c r="N129" s="66" t="n">
        <v>30.85</v>
      </c>
      <c r="O129" s="66" t="n">
        <v>117.54</v>
      </c>
      <c r="P129" s="66" t="n">
        <v>363.5</v>
      </c>
      <c r="Q129" s="66" t="n">
        <v>312.85</v>
      </c>
      <c r="R129" s="66" t="n">
        <v>59.16</v>
      </c>
      <c r="S129" s="66" t="n">
        <v>120.03</v>
      </c>
      <c r="T129" s="66" t="n">
        <v>40.43</v>
      </c>
      <c r="U129" s="66"/>
      <c r="V129" s="66" t="n">
        <v>347.68</v>
      </c>
      <c r="W129" s="66"/>
      <c r="X129" s="66"/>
      <c r="Y129" s="66"/>
      <c r="Z129" s="66"/>
      <c r="AA129" s="66"/>
    </row>
    <row r="130" customFormat="false" ht="15" hidden="false" customHeight="true" outlineLevel="0" collapsed="false">
      <c r="A130" s="69" t="n">
        <v>46073</v>
      </c>
      <c r="B130" s="66" t="n">
        <v>258.61</v>
      </c>
      <c r="C130" s="66" t="n">
        <v>132.79</v>
      </c>
      <c r="D130" s="66" t="n">
        <v>1464.49</v>
      </c>
      <c r="E130" s="66" t="n">
        <v>330.83</v>
      </c>
      <c r="F130" s="66" t="n">
        <v>114.45</v>
      </c>
      <c r="G130" s="66" t="n">
        <v>97.15</v>
      </c>
      <c r="H130" s="66" t="n">
        <v>153.13</v>
      </c>
      <c r="I130" s="66" t="n">
        <v>149.24</v>
      </c>
      <c r="J130" s="66" t="n">
        <v>427.92</v>
      </c>
      <c r="K130" s="66" t="n">
        <v>189.38</v>
      </c>
      <c r="L130" s="66" t="n">
        <v>138.27</v>
      </c>
      <c r="M130" s="66" t="n">
        <v>135.24</v>
      </c>
      <c r="N130" s="66" t="n">
        <v>30.85</v>
      </c>
      <c r="O130" s="66" t="n">
        <v>119.24</v>
      </c>
      <c r="P130" s="66" t="n">
        <v>367.65</v>
      </c>
      <c r="Q130" s="66" t="n">
        <v>319.69</v>
      </c>
      <c r="R130" s="66" t="n">
        <v>58.92</v>
      </c>
      <c r="S130" s="66" t="n">
        <v>120</v>
      </c>
      <c r="T130" s="66" t="n">
        <v>39.61</v>
      </c>
      <c r="U130" s="66"/>
      <c r="V130" s="66" t="n">
        <v>326.34</v>
      </c>
      <c r="W130" s="66"/>
      <c r="X130" s="66"/>
      <c r="Y130" s="66"/>
      <c r="Z130" s="66"/>
      <c r="AA130" s="66"/>
    </row>
    <row r="131" customFormat="false" ht="15" hidden="false" customHeight="true" outlineLevel="0" collapsed="false">
      <c r="A131" s="69" t="n">
        <v>46080</v>
      </c>
      <c r="B131" s="66" t="n">
        <v>262.41</v>
      </c>
      <c r="C131" s="66" t="n">
        <v>133.5</v>
      </c>
      <c r="D131" s="66" t="n">
        <v>1445.53</v>
      </c>
      <c r="E131" s="66" t="n">
        <v>317.8</v>
      </c>
      <c r="F131" s="66" t="n">
        <v>111.91</v>
      </c>
      <c r="G131" s="66" t="n">
        <v>93</v>
      </c>
      <c r="H131" s="66" t="n">
        <v>152.62</v>
      </c>
      <c r="I131" s="66" t="n">
        <v>152.09</v>
      </c>
      <c r="J131" s="66" t="n">
        <v>412.13</v>
      </c>
      <c r="K131" s="66" t="n">
        <v>176.78</v>
      </c>
      <c r="L131" s="66" t="n">
        <v>139.31</v>
      </c>
      <c r="M131" s="66" t="n">
        <v>137.19</v>
      </c>
      <c r="N131" s="66" t="n">
        <v>31.01</v>
      </c>
      <c r="O131" s="66" t="n">
        <v>118.76</v>
      </c>
      <c r="P131" s="66" t="n">
        <v>371.66</v>
      </c>
      <c r="Q131" s="66" t="n">
        <v>318.89</v>
      </c>
      <c r="R131" s="66" t="n">
        <v>59.22</v>
      </c>
      <c r="S131" s="66" t="n">
        <v>117.92</v>
      </c>
      <c r="T131" s="66" t="n">
        <v>39.86</v>
      </c>
      <c r="U131" s="66"/>
      <c r="V131" s="66" t="n">
        <v>324.23</v>
      </c>
      <c r="W131" s="66"/>
      <c r="X131" s="66"/>
      <c r="Y131" s="66"/>
      <c r="Z131" s="66"/>
      <c r="AA131" s="66"/>
    </row>
    <row r="132" customFormat="false" ht="15" hidden="false" customHeight="true" outlineLevel="0" collapsed="false">
      <c r="A132" s="69" t="n">
        <v>46087</v>
      </c>
      <c r="B132" s="66" t="n">
        <v>283.62</v>
      </c>
      <c r="C132" s="66" t="n">
        <v>132.89</v>
      </c>
      <c r="D132" s="66" t="n">
        <v>1288.32</v>
      </c>
      <c r="E132" s="66" t="n">
        <v>328.67</v>
      </c>
      <c r="F132" s="66" t="n">
        <v>107.62</v>
      </c>
      <c r="G132" s="66" t="n">
        <v>107.25</v>
      </c>
      <c r="H132" s="66" t="n">
        <v>148.85</v>
      </c>
      <c r="I132" s="66" t="n">
        <v>134.13</v>
      </c>
      <c r="J132" s="66" t="n">
        <v>370.09</v>
      </c>
      <c r="K132" s="66" t="n">
        <v>177.4</v>
      </c>
      <c r="L132" s="66" t="n">
        <v>131.46</v>
      </c>
      <c r="M132" s="66" t="n">
        <v>157.16</v>
      </c>
      <c r="N132" s="66" t="n">
        <v>30.38</v>
      </c>
      <c r="O132" s="66" t="n">
        <v>117.53</v>
      </c>
      <c r="P132" s="66" t="n">
        <v>336.25</v>
      </c>
      <c r="Q132" s="66" t="n">
        <v>316.12</v>
      </c>
      <c r="R132" s="66" t="n">
        <v>59.43</v>
      </c>
      <c r="S132" s="66" t="n">
        <v>119.87</v>
      </c>
      <c r="T132" s="66" t="n">
        <v>39.47</v>
      </c>
      <c r="U132" s="66"/>
      <c r="V132" s="66" t="n">
        <v>319.91</v>
      </c>
      <c r="W132" s="66"/>
      <c r="X132" s="66"/>
      <c r="Y132" s="66"/>
      <c r="Z132" s="66"/>
      <c r="AA132" s="66"/>
    </row>
    <row r="133" customFormat="false" ht="15" hidden="false" customHeight="true" outlineLevel="0" collapsed="false">
      <c r="A133" s="69" t="n">
        <v>46094</v>
      </c>
      <c r="B133" s="66" t="n">
        <v>249.32</v>
      </c>
      <c r="C133" s="66" t="n">
        <v>133.57</v>
      </c>
      <c r="D133" s="66" t="n">
        <v>1341.02</v>
      </c>
      <c r="E133" s="66" t="n">
        <v>320.39</v>
      </c>
      <c r="F133" s="66" t="n">
        <v>105.56</v>
      </c>
      <c r="G133" s="66" t="n">
        <v>110.44</v>
      </c>
      <c r="H133" s="66" t="n">
        <v>147.04</v>
      </c>
      <c r="I133" s="66" t="n">
        <v>141.52</v>
      </c>
      <c r="J133" s="66" t="n">
        <v>425.89</v>
      </c>
      <c r="K133" s="66" t="n">
        <v>179.84</v>
      </c>
      <c r="L133" s="66" t="n">
        <v>128.73</v>
      </c>
      <c r="M133" s="66" t="n">
        <v>150.95</v>
      </c>
      <c r="N133" s="66" t="n">
        <v>30.06</v>
      </c>
      <c r="O133" s="66" t="n">
        <v>115.49</v>
      </c>
      <c r="P133" s="66" t="n">
        <v>335.67</v>
      </c>
      <c r="Q133" s="66" t="n">
        <v>305.94</v>
      </c>
      <c r="R133" s="66" t="n">
        <v>58.05</v>
      </c>
      <c r="S133" s="66" t="n">
        <v>119.84</v>
      </c>
      <c r="T133" s="66" t="n">
        <v>40.43</v>
      </c>
      <c r="U133" s="66"/>
      <c r="V133" s="66" t="n">
        <v>329.6</v>
      </c>
      <c r="W133" s="66"/>
      <c r="X133" s="66"/>
      <c r="Y133" s="66"/>
      <c r="Z133" s="66"/>
      <c r="AA133" s="66"/>
    </row>
    <row r="134" customFormat="false" ht="15" hidden="false" customHeight="true" outlineLevel="0" collapsed="false">
      <c r="A134" s="69" t="n">
        <v>46101</v>
      </c>
      <c r="B134" s="66" t="n">
        <v>248.15</v>
      </c>
      <c r="C134" s="66" t="n">
        <v>131.22</v>
      </c>
      <c r="D134" s="66" t="n">
        <v>1312.68</v>
      </c>
      <c r="E134" s="66" t="n">
        <v>308.81</v>
      </c>
      <c r="F134" s="66" t="n">
        <v>105.35</v>
      </c>
      <c r="G134" s="66" t="n">
        <v>102.25</v>
      </c>
      <c r="H134" s="66" t="n">
        <v>143.6</v>
      </c>
      <c r="I134" s="66" t="n">
        <v>149.51</v>
      </c>
      <c r="J134" s="66" t="n">
        <v>422.66</v>
      </c>
      <c r="K134" s="66" t="n">
        <v>172.31</v>
      </c>
      <c r="L134" s="66" t="n">
        <v>126.09</v>
      </c>
      <c r="M134" s="66" t="n">
        <v>150.68</v>
      </c>
      <c r="N134" s="66" t="n">
        <v>29.66</v>
      </c>
      <c r="O134" s="66" t="n">
        <v>113.1</v>
      </c>
      <c r="P134" s="66" t="n">
        <v>327.59</v>
      </c>
      <c r="Q134" s="66" t="n">
        <v>300.44</v>
      </c>
      <c r="R134" s="66" t="n">
        <v>57.51</v>
      </c>
      <c r="S134" s="66" t="n">
        <v>118.25</v>
      </c>
      <c r="T134" s="66" t="n">
        <v>40.26</v>
      </c>
      <c r="U134" s="66"/>
      <c r="V134" s="66" t="n">
        <v>312.85</v>
      </c>
      <c r="W134" s="66"/>
      <c r="X134" s="66"/>
      <c r="Y134" s="66"/>
      <c r="Z134" s="66"/>
      <c r="AA134" s="66"/>
    </row>
    <row r="135" customFormat="false" ht="15" hidden="false" customHeight="true" outlineLevel="0" collapsed="false">
      <c r="A135" s="69" t="n">
        <v>46108</v>
      </c>
      <c r="B135" s="66" t="n">
        <v>234.84</v>
      </c>
      <c r="C135" s="66" t="n">
        <v>120.77</v>
      </c>
      <c r="D135" s="66" t="n">
        <v>1297.95</v>
      </c>
      <c r="E135" s="66" t="n">
        <v>299.66</v>
      </c>
      <c r="F135" s="66" t="n">
        <v>108.47</v>
      </c>
      <c r="G135" s="66" t="n">
        <v>92.39</v>
      </c>
      <c r="H135" s="66" t="n">
        <v>147.11</v>
      </c>
      <c r="I135" s="66" t="n">
        <v>143.97</v>
      </c>
      <c r="J135" s="66" t="n">
        <v>357.02</v>
      </c>
      <c r="K135" s="66" t="n">
        <v>167.14</v>
      </c>
      <c r="L135" s="66" t="n">
        <v>126.96</v>
      </c>
      <c r="M135" s="66" t="n">
        <v>143.06</v>
      </c>
      <c r="N135" s="66" t="n">
        <v>29.96</v>
      </c>
      <c r="O135" s="66" t="n">
        <v>109.96</v>
      </c>
      <c r="P135" s="66" t="n">
        <v>325.1</v>
      </c>
      <c r="Q135" s="66" t="n">
        <v>294.36</v>
      </c>
      <c r="R135" s="66" t="n">
        <v>58.15</v>
      </c>
      <c r="S135" s="66" t="n">
        <v>119.96</v>
      </c>
      <c r="T135" s="66" t="n">
        <v>40.34</v>
      </c>
      <c r="U135" s="66"/>
      <c r="V135" s="66" t="n">
        <v>319.69</v>
      </c>
      <c r="W135" s="66"/>
      <c r="X135" s="66"/>
      <c r="Y135" s="66"/>
      <c r="Z135" s="66"/>
      <c r="AA135" s="66"/>
    </row>
    <row r="136" customFormat="false" ht="15" hidden="false" customHeight="true" outlineLevel="0" collapsed="false">
      <c r="A136" s="69" t="n">
        <v>46115</v>
      </c>
      <c r="B136" s="66" t="n">
        <v>242.92</v>
      </c>
      <c r="C136" s="66" t="n">
        <v>126.68</v>
      </c>
      <c r="D136" s="66" t="n">
        <v>1312.66</v>
      </c>
      <c r="E136" s="66" t="n">
        <v>313.48</v>
      </c>
      <c r="F136" s="66" t="n">
        <v>110.65</v>
      </c>
      <c r="G136" s="66" t="n">
        <v>99.78</v>
      </c>
      <c r="H136" s="66" t="n">
        <v>149.24</v>
      </c>
      <c r="I136" s="66" t="n">
        <v>151.32</v>
      </c>
      <c r="J136" s="66" t="n">
        <v>366.18</v>
      </c>
      <c r="K136" s="66" t="n">
        <v>176.99</v>
      </c>
      <c r="L136" s="66" t="n">
        <v>131.76</v>
      </c>
      <c r="M136" s="66" t="n">
        <v>148.46</v>
      </c>
      <c r="N136" s="66" t="n">
        <v>30.08</v>
      </c>
      <c r="O136" s="66" t="n">
        <v>114.38</v>
      </c>
      <c r="P136" s="66" t="n">
        <v>337.34</v>
      </c>
      <c r="Q136" s="66" t="n">
        <v>299.62</v>
      </c>
      <c r="R136" s="66" t="n">
        <v>58.04</v>
      </c>
      <c r="S136" s="66" t="n">
        <v>119.47</v>
      </c>
      <c r="T136" s="66" t="n">
        <v>40.48</v>
      </c>
      <c r="U136" s="66"/>
      <c r="V136" s="66" t="n">
        <v>318.89</v>
      </c>
      <c r="W136" s="66"/>
      <c r="X136" s="66"/>
      <c r="Y136" s="66"/>
      <c r="Z136" s="66"/>
      <c r="AA136" s="66"/>
    </row>
    <row r="137" customFormat="false" ht="15" hidden="false" customHeight="true" outlineLevel="0" collapsed="false">
      <c r="A137" s="69" t="n">
        <v>46122</v>
      </c>
      <c r="B137" s="66" t="n">
        <v>225.35</v>
      </c>
      <c r="C137" s="66" t="n">
        <v>147.35</v>
      </c>
      <c r="D137" s="66" t="n">
        <v>1473.15</v>
      </c>
      <c r="E137" s="66" t="n">
        <v>370.29</v>
      </c>
      <c r="F137" s="66" t="n">
        <v>113.94</v>
      </c>
      <c r="G137" s="66" t="n">
        <v>94.75</v>
      </c>
      <c r="H137" s="66" t="n">
        <v>150.01</v>
      </c>
      <c r="I137" s="66" t="n">
        <v>173.31</v>
      </c>
      <c r="J137" s="66" t="n">
        <v>420.53</v>
      </c>
      <c r="K137" s="66" t="n">
        <v>188.2</v>
      </c>
      <c r="L137" s="66" t="n">
        <v>135.13</v>
      </c>
      <c r="M137" s="66" t="n">
        <v>128.06</v>
      </c>
      <c r="N137" s="66" t="n">
        <v>30.08</v>
      </c>
      <c r="O137" s="66" t="n">
        <v>122.95</v>
      </c>
      <c r="P137" s="66" t="n">
        <v>368.74</v>
      </c>
      <c r="Q137" s="66" t="n">
        <v>303.17</v>
      </c>
      <c r="R137" s="66" t="n">
        <v>56.85</v>
      </c>
      <c r="S137" s="66" t="n">
        <v>118.24</v>
      </c>
      <c r="T137" s="66" t="n">
        <v>40.11</v>
      </c>
      <c r="U137" s="66"/>
      <c r="V137" s="66" t="n">
        <v>316.12</v>
      </c>
      <c r="W137" s="66"/>
      <c r="X137" s="66"/>
      <c r="Y137" s="66"/>
      <c r="Z137" s="66"/>
      <c r="AA137" s="66"/>
    </row>
    <row r="138" customFormat="false" ht="15" hidden="false" customHeight="true" outlineLevel="0" collapsed="false">
      <c r="A138" s="69" t="n">
        <v>46129</v>
      </c>
      <c r="B138" s="66" t="n">
        <v>244.45</v>
      </c>
      <c r="C138" s="66" t="n">
        <v>164.23</v>
      </c>
      <c r="D138" s="66" t="n">
        <v>1454.74</v>
      </c>
      <c r="E138" s="66" t="n">
        <v>405.16</v>
      </c>
      <c r="F138" s="66" t="n">
        <v>116.71</v>
      </c>
      <c r="G138" s="66" t="n">
        <v>105.99</v>
      </c>
      <c r="H138" s="66" t="n">
        <v>150.7</v>
      </c>
      <c r="I138" s="66" t="n">
        <v>178.71</v>
      </c>
      <c r="J138" s="66" t="n">
        <v>455</v>
      </c>
      <c r="K138" s="66" t="n">
        <v>201.22</v>
      </c>
      <c r="L138" s="66" t="n">
        <v>142.92</v>
      </c>
      <c r="M138" s="66" t="n">
        <v>146.39</v>
      </c>
      <c r="N138" s="66" t="n">
        <v>30.56</v>
      </c>
      <c r="O138" s="66" t="n">
        <v>127.89</v>
      </c>
      <c r="P138" s="66" t="n">
        <v>368.65</v>
      </c>
      <c r="Q138" s="66" t="n">
        <v>315.78</v>
      </c>
      <c r="R138" s="66" t="n">
        <v>56.56</v>
      </c>
      <c r="S138" s="66" t="n">
        <v>116.18</v>
      </c>
      <c r="T138" s="66" t="n">
        <v>39.2</v>
      </c>
      <c r="U138" s="66"/>
      <c r="V138" s="66" t="n">
        <v>305.94</v>
      </c>
      <c r="W138" s="66"/>
      <c r="X138" s="66"/>
      <c r="Y138" s="66"/>
      <c r="Z138" s="66"/>
      <c r="AA138" s="66"/>
    </row>
    <row r="139" customFormat="false" ht="15" hidden="false" customHeight="true" outlineLevel="0" collapsed="false">
      <c r="A139" s="69" t="n">
        <v>46136</v>
      </c>
      <c r="B139" s="66" t="n">
        <v>245.44</v>
      </c>
      <c r="C139" s="66" t="n">
        <v>176.91</v>
      </c>
      <c r="D139" s="66" t="n">
        <v>1452.64</v>
      </c>
      <c r="E139" s="66" t="n">
        <v>421.32</v>
      </c>
      <c r="F139" s="66" t="n">
        <v>118.14</v>
      </c>
      <c r="G139" s="66" t="n">
        <v>112.03</v>
      </c>
      <c r="H139" s="66" t="n">
        <v>149.48</v>
      </c>
      <c r="I139" s="66" t="n">
        <v>193.04</v>
      </c>
      <c r="J139" s="66" t="n">
        <v>496.64</v>
      </c>
      <c r="K139" s="66" t="n">
        <v>207.8</v>
      </c>
      <c r="L139" s="66" t="n">
        <v>139.96</v>
      </c>
      <c r="M139" s="66" t="n">
        <v>143.09</v>
      </c>
      <c r="N139" s="66" t="n">
        <v>30.71</v>
      </c>
      <c r="O139" s="66" t="n">
        <v>131.1</v>
      </c>
      <c r="P139" s="66" t="n">
        <v>400.45</v>
      </c>
      <c r="Q139" s="66" t="n">
        <v>308.21</v>
      </c>
      <c r="R139" s="66" t="n">
        <v>55.76</v>
      </c>
      <c r="S139" s="66" t="n">
        <v>113.78</v>
      </c>
      <c r="T139" s="66" t="n">
        <v>39.24</v>
      </c>
      <c r="U139" s="66"/>
      <c r="V139" s="66" t="n">
        <v>300.44</v>
      </c>
      <c r="W139" s="66"/>
      <c r="X139" s="66"/>
      <c r="Y139" s="66"/>
      <c r="Z139" s="66"/>
      <c r="AA139" s="66"/>
    </row>
    <row r="140" customFormat="false" ht="15" hidden="false" customHeight="true" outlineLevel="0" collapsed="false">
      <c r="A140" s="69" t="n">
        <v>46143</v>
      </c>
      <c r="B140" s="66" t="n">
        <v>250.71</v>
      </c>
      <c r="C140" s="66" t="n">
        <v>172.7</v>
      </c>
      <c r="D140" s="66" t="n">
        <v>1425.18</v>
      </c>
      <c r="E140" s="66" t="n">
        <v>419.85</v>
      </c>
      <c r="F140" s="66" t="n">
        <v>119.13</v>
      </c>
      <c r="G140" s="66" t="n">
        <v>113.91</v>
      </c>
      <c r="H140" s="66" t="n">
        <v>152.16</v>
      </c>
      <c r="I140" s="66" t="n">
        <v>172.21</v>
      </c>
      <c r="J140" s="66" t="n">
        <v>542.13</v>
      </c>
      <c r="K140" s="66" t="n">
        <v>198</v>
      </c>
      <c r="L140" s="66" t="n">
        <v>139.29</v>
      </c>
      <c r="M140" s="66" t="n">
        <v>144.07</v>
      </c>
      <c r="N140" s="66" t="n">
        <v>31.36</v>
      </c>
      <c r="O140" s="66" t="n">
        <v>134</v>
      </c>
      <c r="P140" s="66" t="n">
        <v>395.68</v>
      </c>
      <c r="Q140" s="66" t="n">
        <v>326.74</v>
      </c>
      <c r="R140" s="66" t="n">
        <v>54.13</v>
      </c>
      <c r="S140" s="66" t="n">
        <v>110.31</v>
      </c>
      <c r="T140" s="66" t="n">
        <v>38.75</v>
      </c>
      <c r="U140" s="66"/>
      <c r="V140" s="66" t="n">
        <v>294.36</v>
      </c>
      <c r="W140" s="66"/>
      <c r="X140" s="66"/>
      <c r="Y140" s="66"/>
      <c r="Z140" s="66"/>
      <c r="AA140" s="66"/>
    </row>
    <row r="141" customFormat="false" ht="15" hidden="false" customHeight="true" outlineLevel="0" collapsed="false">
      <c r="A141" s="69" t="n">
        <v>46150</v>
      </c>
      <c r="B141" s="66" t="n">
        <v>253.04</v>
      </c>
      <c r="C141" s="66" t="n">
        <v>141.77</v>
      </c>
      <c r="D141" s="66" t="n">
        <v>1589.96</v>
      </c>
      <c r="E141" s="66" t="n">
        <v>428.54</v>
      </c>
      <c r="F141" s="66" t="n">
        <v>119.01</v>
      </c>
      <c r="G141" s="66" t="n">
        <v>131.94</v>
      </c>
      <c r="H141" s="66" t="n">
        <v>149.85</v>
      </c>
      <c r="I141" s="66" t="n">
        <v>186.47</v>
      </c>
      <c r="J141" s="66" t="n">
        <v>746.7</v>
      </c>
      <c r="K141" s="66" t="n">
        <v>214.71</v>
      </c>
      <c r="L141" s="66" t="n">
        <v>141.92</v>
      </c>
      <c r="M141" s="66" t="n">
        <v>137.8</v>
      </c>
      <c r="N141" s="66" t="n">
        <v>31.12</v>
      </c>
      <c r="O141" s="66" t="n">
        <v>143.36</v>
      </c>
      <c r="P141" s="66" t="n">
        <v>409.62</v>
      </c>
      <c r="Q141" s="66" t="n">
        <v>317.54</v>
      </c>
      <c r="R141" s="66" t="n">
        <v>55.59</v>
      </c>
      <c r="S141" s="66" t="n">
        <v>114.74</v>
      </c>
      <c r="T141" s="66" t="n">
        <v>39.84</v>
      </c>
      <c r="U141" s="66"/>
      <c r="V141" s="66"/>
      <c r="W141" s="66"/>
      <c r="X141" s="66"/>
      <c r="Y141" s="66"/>
      <c r="Z141" s="66"/>
      <c r="AA141" s="66"/>
    </row>
    <row r="142" customFormat="false" ht="15" hidden="false" customHeight="true" outlineLevel="0" collapsed="false">
      <c r="A142" s="69" t="n">
        <v>46157</v>
      </c>
      <c r="B142" s="66" t="n">
        <v>247.6</v>
      </c>
      <c r="C142" s="66" t="n">
        <v>141.97</v>
      </c>
      <c r="D142" s="66" t="n">
        <v>1499.87</v>
      </c>
      <c r="E142" s="66" t="n">
        <v>423.75</v>
      </c>
      <c r="F142" s="66" t="n">
        <v>116.44</v>
      </c>
      <c r="G142" s="66" t="n">
        <v>148.52</v>
      </c>
      <c r="H142" s="66" t="n">
        <v>148.55</v>
      </c>
      <c r="I142" s="66" t="n">
        <v>180</v>
      </c>
      <c r="J142" s="66" t="n">
        <v>724.55</v>
      </c>
      <c r="K142" s="66" t="n">
        <v>224.81</v>
      </c>
      <c r="L142" s="66" t="n">
        <v>138.42</v>
      </c>
      <c r="M142" s="66" t="n">
        <v>133.99</v>
      </c>
      <c r="N142" s="66" t="n">
        <v>31.22</v>
      </c>
      <c r="O142" s="66" t="n">
        <v>143.03</v>
      </c>
      <c r="P142" s="66" t="n">
        <v>402.33</v>
      </c>
      <c r="Q142" s="66" t="n">
        <v>325.15</v>
      </c>
      <c r="R142" s="66" t="n">
        <v>57.62</v>
      </c>
      <c r="S142" s="66" t="n">
        <v>123.34</v>
      </c>
      <c r="T142" s="66" t="n">
        <v>39.64</v>
      </c>
      <c r="U142" s="66"/>
      <c r="V142" s="66" t="n">
        <v>303.17</v>
      </c>
      <c r="W142" s="66"/>
      <c r="X142" s="66"/>
      <c r="Y142" s="66"/>
      <c r="Z142" s="66"/>
      <c r="AA142" s="66"/>
    </row>
    <row r="143" customFormat="false" ht="15" hidden="false" customHeight="true" outlineLevel="0" collapsed="false">
      <c r="A143" s="69" t="n">
        <v>46164</v>
      </c>
      <c r="B143" s="66" t="n">
        <v>244.76</v>
      </c>
      <c r="C143" s="66" t="n">
        <v>154.03</v>
      </c>
      <c r="D143" s="66" t="n">
        <v>1630.79</v>
      </c>
      <c r="E143" s="66" t="n">
        <v>412.73</v>
      </c>
      <c r="F143" s="66" t="n">
        <v>119.2</v>
      </c>
      <c r="G143" s="66" t="n">
        <v>165.87</v>
      </c>
      <c r="H143" s="66" t="n">
        <v>153.27</v>
      </c>
      <c r="I143" s="66" t="n">
        <v>188.62</v>
      </c>
      <c r="J143" s="66" t="n">
        <v>750.88</v>
      </c>
      <c r="K143" s="66" t="n">
        <v>214.84</v>
      </c>
      <c r="L143" s="66" t="n">
        <v>143.71</v>
      </c>
      <c r="M143" s="66" t="n">
        <v>136.88</v>
      </c>
      <c r="N143" s="66" t="n">
        <v>32.31</v>
      </c>
      <c r="O143" s="66" t="n">
        <v>144.48</v>
      </c>
      <c r="P143" s="66" t="n">
        <v>402.5</v>
      </c>
      <c r="Q143" s="66" t="n">
        <v>328.27</v>
      </c>
      <c r="R143" s="66" t="n">
        <v>58.66</v>
      </c>
      <c r="S143" s="66" t="n">
        <v>128.3</v>
      </c>
      <c r="T143" s="66" t="n">
        <v>41.76</v>
      </c>
      <c r="U143" s="66"/>
      <c r="V143" s="66" t="n">
        <v>315.78</v>
      </c>
      <c r="W143" s="66"/>
      <c r="X143" s="66"/>
      <c r="Y143" s="66"/>
      <c r="Z143" s="66"/>
      <c r="AA143" s="66"/>
    </row>
    <row r="144" customFormat="false" ht="15" hidden="false" customHeight="true" outlineLevel="0" collapsed="false">
      <c r="A144" s="69" t="n">
        <v>46171</v>
      </c>
      <c r="B144" s="66" t="n">
        <v>259.21</v>
      </c>
      <c r="C144" s="66" t="n">
        <v>159.47</v>
      </c>
      <c r="D144" s="66" t="n">
        <v>1610.68</v>
      </c>
      <c r="E144" s="66" t="n">
        <v>445.25</v>
      </c>
      <c r="F144" s="66" t="n">
        <v>119.22</v>
      </c>
      <c r="G144" s="66" t="n">
        <v>182.75</v>
      </c>
      <c r="H144" s="66" t="n">
        <v>152.49</v>
      </c>
      <c r="I144" s="66" t="n">
        <v>191.95</v>
      </c>
      <c r="J144" s="66" t="n">
        <v>970.85</v>
      </c>
      <c r="K144" s="66" t="n">
        <v>210.66</v>
      </c>
      <c r="L144" s="66" t="n">
        <v>141.31</v>
      </c>
      <c r="M144" s="66" t="n">
        <v>156.54</v>
      </c>
      <c r="N144" s="66" t="n">
        <v>31.99</v>
      </c>
      <c r="O144" s="66" t="n">
        <v>150.11</v>
      </c>
      <c r="P144" s="66" t="n">
        <v>416.36</v>
      </c>
      <c r="Q144" s="66" t="n">
        <v>325.75</v>
      </c>
      <c r="R144" s="66" t="n">
        <v>58.99</v>
      </c>
      <c r="S144" s="66" t="n">
        <v>131.52</v>
      </c>
      <c r="T144" s="66" t="n">
        <v>41.52</v>
      </c>
      <c r="U144" s="66"/>
      <c r="V144" s="66" t="n">
        <v>308.21</v>
      </c>
      <c r="W144" s="66"/>
      <c r="X144" s="66"/>
      <c r="Y144" s="66"/>
      <c r="Z144" s="66"/>
      <c r="AA144" s="66"/>
    </row>
    <row r="145" customFormat="false" ht="15" hidden="false" customHeight="true" outlineLevel="0" collapsed="false">
      <c r="A145" s="69" t="n">
        <v>46178</v>
      </c>
      <c r="B145" s="66" t="n">
        <v>251.44</v>
      </c>
      <c r="C145" s="66" t="n">
        <v>154.27</v>
      </c>
      <c r="D145" s="66" t="n">
        <v>1639.62</v>
      </c>
      <c r="E145" s="66" t="n">
        <v>384.42</v>
      </c>
      <c r="F145" s="66" t="n">
        <v>118.87</v>
      </c>
      <c r="G145" s="66" t="n">
        <v>167.76</v>
      </c>
      <c r="H145" s="66" t="n">
        <v>152.92</v>
      </c>
      <c r="I145" s="66" t="n">
        <v>192.7</v>
      </c>
      <c r="J145" s="66" t="n">
        <v>863.88</v>
      </c>
      <c r="K145" s="66" t="n">
        <v>204.87</v>
      </c>
      <c r="L145" s="66" t="n">
        <v>142.37</v>
      </c>
      <c r="M145" s="66" t="n">
        <v>135.53</v>
      </c>
      <c r="N145" s="66" t="n">
        <v>31.79</v>
      </c>
      <c r="O145" s="66" t="n">
        <v>143.82</v>
      </c>
      <c r="P145" s="66" t="n">
        <v>413.09</v>
      </c>
      <c r="Q145" s="66" t="n">
        <v>322.97</v>
      </c>
      <c r="R145" s="66" t="n">
        <v>58.86</v>
      </c>
      <c r="S145" s="66" t="n">
        <v>134.42</v>
      </c>
      <c r="T145" s="66" t="n">
        <v>42.59</v>
      </c>
      <c r="U145" s="66"/>
      <c r="V145" s="66" t="n">
        <v>326.74</v>
      </c>
      <c r="W145" s="66"/>
      <c r="X145" s="66"/>
      <c r="Y145" s="66"/>
      <c r="Z145" s="66"/>
      <c r="AA145" s="66"/>
    </row>
    <row r="146" customFormat="false" ht="15" hidden="false" customHeight="true" outlineLevel="0" collapsed="false">
      <c r="A146" s="69" t="n">
        <v>46185</v>
      </c>
      <c r="B146" s="66" t="n">
        <v>204.02</v>
      </c>
      <c r="C146" s="66" t="n">
        <v>163.24</v>
      </c>
      <c r="D146" s="66" t="n">
        <v>1861.14</v>
      </c>
      <c r="E146" s="66" t="n">
        <v>380.77</v>
      </c>
      <c r="F146" s="66" t="n">
        <v>123.97</v>
      </c>
      <c r="G146" s="66" t="n">
        <v>170.7</v>
      </c>
      <c r="H146" s="66" t="n">
        <v>156.3</v>
      </c>
      <c r="I146" s="66" t="n">
        <v>254.25</v>
      </c>
      <c r="J146" s="66" t="n">
        <v>981.46</v>
      </c>
      <c r="K146" s="66" t="n">
        <v>204.96</v>
      </c>
      <c r="L146" s="66" t="n">
        <v>146.51</v>
      </c>
      <c r="M146" s="66" t="n">
        <v>127.99</v>
      </c>
      <c r="N146" s="66" t="n">
        <v>32.3</v>
      </c>
      <c r="O146" s="66" t="n">
        <v>152</v>
      </c>
      <c r="P146" s="66" t="n">
        <v>422.8</v>
      </c>
      <c r="Q146" s="66" t="n">
        <v>321.79</v>
      </c>
      <c r="R146" s="66" t="n">
        <v>59.61</v>
      </c>
      <c r="S146" s="66" t="n">
        <v>143.81</v>
      </c>
      <c r="T146" s="66" t="n">
        <v>43.62</v>
      </c>
      <c r="U146" s="66"/>
      <c r="V146" s="66" t="n">
        <v>317.54</v>
      </c>
      <c r="W146" s="66"/>
      <c r="X146" s="66"/>
      <c r="Y146" s="66"/>
      <c r="Z146" s="66"/>
      <c r="AA146" s="66"/>
    </row>
    <row r="147" customFormat="false" ht="15" hidden="false" customHeight="true" outlineLevel="0" collapsed="false">
      <c r="A147" s="69" t="n">
        <v>46192</v>
      </c>
      <c r="B147" s="66" t="n">
        <v>195.16</v>
      </c>
      <c r="C147" s="66" t="n">
        <v>169.67</v>
      </c>
      <c r="D147" s="66" t="n">
        <v>1927.19</v>
      </c>
      <c r="E147" s="66" t="n">
        <v>409.95</v>
      </c>
      <c r="F147" s="66" t="n">
        <v>121.6</v>
      </c>
      <c r="G147" s="66" t="n">
        <v>171.21</v>
      </c>
      <c r="H147" s="66" t="n">
        <v>152.05</v>
      </c>
      <c r="I147" s="66" t="n">
        <v>259.27</v>
      </c>
      <c r="J147" s="66" t="n">
        <v>1133.82</v>
      </c>
      <c r="K147" s="66" t="n">
        <v>210.45</v>
      </c>
      <c r="L147" s="66" t="n">
        <v>139.43</v>
      </c>
      <c r="M147" s="66" t="n">
        <v>128.47</v>
      </c>
      <c r="N147" s="66" t="n">
        <v>31.36</v>
      </c>
      <c r="O147" s="66" t="n">
        <v>159.39</v>
      </c>
      <c r="P147" s="66" t="n">
        <v>460.88</v>
      </c>
      <c r="Q147" s="66" t="n">
        <v>326.63</v>
      </c>
      <c r="R147" s="66" t="n">
        <v>59.77</v>
      </c>
      <c r="S147" s="66" t="n">
        <v>143.48</v>
      </c>
      <c r="T147" s="66" t="n">
        <v>42.5</v>
      </c>
      <c r="U147" s="66"/>
      <c r="V147" s="66" t="n">
        <v>325.15</v>
      </c>
      <c r="W147" s="66"/>
      <c r="X147" s="66"/>
      <c r="Y147" s="66"/>
      <c r="Z147" s="66"/>
      <c r="AA147" s="66"/>
    </row>
    <row r="148" customFormat="false" ht="15" hidden="false" customHeight="true" outlineLevel="0" collapsed="false">
      <c r="A148" s="69" t="n">
        <v>46199</v>
      </c>
      <c r="B148" s="66" t="n">
        <v>202.73</v>
      </c>
      <c r="C148" s="66" t="n">
        <v>157.6</v>
      </c>
      <c r="D148" s="66" t="n">
        <v>1792.3</v>
      </c>
      <c r="E148" s="66" t="n">
        <v>364.36</v>
      </c>
      <c r="F148" s="66" t="n">
        <v>124.53</v>
      </c>
      <c r="G148" s="66" t="n">
        <v>175.27</v>
      </c>
      <c r="H148" s="66" t="n">
        <v>156.87</v>
      </c>
      <c r="I148" s="66" t="n">
        <v>248.36</v>
      </c>
      <c r="J148" s="66" t="n">
        <v>1132.16</v>
      </c>
      <c r="K148" s="66" t="n">
        <v>192.31</v>
      </c>
      <c r="L148" s="66" t="n">
        <v>138.87</v>
      </c>
      <c r="M148" s="66" t="n">
        <v>112.93</v>
      </c>
      <c r="N148" s="66" t="n">
        <v>31.84</v>
      </c>
      <c r="O148" s="66" t="n">
        <v>153.95</v>
      </c>
      <c r="P148" s="66" t="n">
        <v>431.19</v>
      </c>
      <c r="Q148" s="66" t="n">
        <v>335.61</v>
      </c>
      <c r="R148" s="66" t="n">
        <v>60.21</v>
      </c>
      <c r="S148" s="66" t="n">
        <v>144.94</v>
      </c>
      <c r="T148" s="66" t="n">
        <v>44.18</v>
      </c>
      <c r="U148" s="66"/>
      <c r="V148" s="66" t="n">
        <v>328.27</v>
      </c>
      <c r="W148" s="66"/>
      <c r="X148" s="66"/>
      <c r="Y148" s="66"/>
      <c r="Z148" s="66"/>
      <c r="AA148" s="66"/>
    </row>
    <row r="149" customFormat="false" ht="15" hidden="false" customHeight="true" outlineLevel="0" collapsed="false">
      <c r="A149" s="69" t="n">
        <v>46206</v>
      </c>
      <c r="B149" s="66" t="n">
        <v>219.72</v>
      </c>
      <c r="C149" s="66" t="n">
        <v>159.99</v>
      </c>
      <c r="D149" s="66" t="n">
        <v>1767.03</v>
      </c>
      <c r="E149" s="66" t="n">
        <v>359.79</v>
      </c>
      <c r="F149" s="66" t="n">
        <v>123.11</v>
      </c>
      <c r="G149" s="66" t="n">
        <v>193.98</v>
      </c>
      <c r="H149" s="66" t="n">
        <v>157.78</v>
      </c>
      <c r="I149" s="66" t="n">
        <v>235.28</v>
      </c>
      <c r="J149" s="66" t="n">
        <v>975.41</v>
      </c>
      <c r="K149" s="66" t="n">
        <v>194.61</v>
      </c>
      <c r="L149" s="66" t="n">
        <v>138.33</v>
      </c>
      <c r="M149" s="66" t="n">
        <v>129.3</v>
      </c>
      <c r="N149" s="66" t="n">
        <v>32.13</v>
      </c>
      <c r="O149" s="66" t="n">
        <v>150.58</v>
      </c>
      <c r="P149" s="66" t="n">
        <v>433</v>
      </c>
      <c r="Q149" s="66" t="n">
        <v>361.46</v>
      </c>
      <c r="R149" s="66" t="n">
        <v>61.15</v>
      </c>
      <c r="S149" s="66" t="n">
        <v>150.59</v>
      </c>
      <c r="T149" s="66" t="n">
        <v>46.57</v>
      </c>
      <c r="U149" s="66"/>
      <c r="V149" s="66" t="n">
        <v>325.75</v>
      </c>
      <c r="W149" s="66"/>
      <c r="X149" s="66"/>
      <c r="Y149" s="66"/>
      <c r="Z149" s="66"/>
      <c r="AA149" s="66"/>
    </row>
    <row r="150" customFormat="false" ht="15" hidden="false" customHeight="true" outlineLevel="0" collapsed="false">
      <c r="A150" s="69" t="n">
        <v>46213</v>
      </c>
      <c r="B150" s="66" t="n">
        <v>223.64</v>
      </c>
      <c r="C150" s="66" t="n">
        <v>186.96</v>
      </c>
      <c r="D150" s="66" t="n">
        <v>1795</v>
      </c>
      <c r="E150" s="66" t="n">
        <v>399.24</v>
      </c>
      <c r="F150" s="66" t="n">
        <v>123.55</v>
      </c>
      <c r="G150" s="66" t="n">
        <v>187.18</v>
      </c>
      <c r="H150" s="66" t="n">
        <v>158.15</v>
      </c>
      <c r="I150" s="66" t="n">
        <v>231.26</v>
      </c>
      <c r="J150" s="66" t="n">
        <v>979.3</v>
      </c>
      <c r="K150" s="66" t="n">
        <v>210.72</v>
      </c>
      <c r="L150" s="66" t="n">
        <v>139.76</v>
      </c>
      <c r="M150" s="66" t="n">
        <v>126.79</v>
      </c>
      <c r="N150" s="66" t="n">
        <v>32.14</v>
      </c>
      <c r="O150" s="66" t="n">
        <v>153.5</v>
      </c>
      <c r="P150" s="66" t="n">
        <v>432.95</v>
      </c>
      <c r="Q150" s="66" t="n">
        <v>348.32</v>
      </c>
      <c r="R150" s="66" t="n">
        <v>58.9</v>
      </c>
      <c r="S150" s="66" t="n">
        <v>144.28</v>
      </c>
      <c r="T150" s="66" t="n">
        <v>46.05</v>
      </c>
      <c r="U150" s="66"/>
      <c r="V150" s="66" t="n">
        <v>322.97</v>
      </c>
      <c r="W150" s="66"/>
      <c r="X150" s="66"/>
      <c r="Y150" s="66"/>
      <c r="Z150" s="66"/>
      <c r="AA150" s="66"/>
    </row>
    <row r="151" customFormat="false" ht="15" hidden="false" customHeight="true" outlineLevel="0" collapsed="false">
      <c r="A151" s="69" t="n">
        <v>46220</v>
      </c>
      <c r="B151" s="66" t="n">
        <v>237.25</v>
      </c>
      <c r="C151" s="66" t="n">
        <v>168.61</v>
      </c>
      <c r="D151" s="66" t="n">
        <v>1745.32</v>
      </c>
      <c r="E151" s="66" t="n">
        <v>370.16</v>
      </c>
      <c r="F151" s="66" t="n">
        <v>124.94</v>
      </c>
      <c r="G151" s="66" t="n">
        <v>203.08</v>
      </c>
      <c r="H151" s="66" t="n">
        <v>160.51</v>
      </c>
      <c r="I151" s="66" t="n">
        <v>212.51</v>
      </c>
      <c r="J151" s="66" t="n">
        <v>848.95</v>
      </c>
      <c r="K151" s="66" t="n">
        <v>202.58</v>
      </c>
      <c r="L151" s="66" t="n">
        <v>148.61</v>
      </c>
      <c r="M151" s="66" t="n">
        <v>132.38</v>
      </c>
      <c r="N151" s="66" t="n">
        <v>32.65</v>
      </c>
      <c r="O151" s="66" t="n">
        <v>143.66</v>
      </c>
      <c r="P151" s="66" t="n">
        <v>397.3</v>
      </c>
      <c r="Q151" s="66" t="n">
        <v>357.9</v>
      </c>
      <c r="R151" s="66" t="n">
        <v>59.86</v>
      </c>
      <c r="S151" s="66" t="n">
        <v>152.48</v>
      </c>
      <c r="T151" s="66" t="n">
        <v>46.29</v>
      </c>
      <c r="U151" s="66"/>
      <c r="V151" s="66" t="n">
        <v>321.79</v>
      </c>
      <c r="W151" s="66"/>
      <c r="X151" s="66"/>
      <c r="Y151" s="66"/>
      <c r="Z151" s="66"/>
      <c r="AA151" s="66"/>
    </row>
    <row r="152" customFormat="false" ht="15" hidden="false" customHeight="true" outlineLevel="0" collapsed="false">
      <c r="A152" s="69" t="n">
        <v>46227</v>
      </c>
      <c r="B152" s="66" t="n">
        <v>225.11</v>
      </c>
      <c r="C152" s="66" t="n">
        <v>173.99</v>
      </c>
      <c r="D152" s="66" t="n">
        <v>1754.82</v>
      </c>
      <c r="E152" s="66" t="n">
        <v>381.23</v>
      </c>
      <c r="F152" s="66" t="n">
        <v>124.87</v>
      </c>
      <c r="G152" s="66" t="n">
        <v>183.28</v>
      </c>
      <c r="H152" s="66" t="n">
        <v>161.66</v>
      </c>
      <c r="I152" s="66" t="n">
        <v>210.28</v>
      </c>
      <c r="J152" s="66" t="n">
        <v>920.95</v>
      </c>
      <c r="K152" s="66" t="n">
        <v>206.61</v>
      </c>
      <c r="L152" s="66" t="n">
        <v>146.47</v>
      </c>
      <c r="M152" s="66" t="n">
        <v>122.92</v>
      </c>
      <c r="N152" s="66" t="n">
        <v>33.03</v>
      </c>
      <c r="O152" s="66" t="n">
        <v>146.27</v>
      </c>
      <c r="P152" s="66" t="n">
        <v>402.33</v>
      </c>
      <c r="Q152" s="66" t="n">
        <v>355.08</v>
      </c>
      <c r="R152" s="66" t="n">
        <v>61.34</v>
      </c>
      <c r="S152" s="66" t="n">
        <v>159.9</v>
      </c>
      <c r="T152" s="66" t="n">
        <v>45.25</v>
      </c>
      <c r="U152" s="66"/>
      <c r="V152" s="66"/>
      <c r="W152" s="66"/>
      <c r="X152" s="66"/>
      <c r="Y152" s="66"/>
      <c r="Z152" s="66"/>
      <c r="AA152" s="66"/>
    </row>
    <row r="153" customFormat="false" ht="15" hidden="false" customHeight="true" outlineLevel="0" collapsed="false">
      <c r="A153" s="69" t="n">
        <v>46234</v>
      </c>
      <c r="B153" s="66" t="n">
        <v>250.41</v>
      </c>
      <c r="C153" s="66" t="n">
        <v>180.35</v>
      </c>
      <c r="D153" s="66" t="n">
        <v>1629</v>
      </c>
      <c r="E153" s="66" t="n">
        <v>388.57</v>
      </c>
      <c r="F153" s="66" t="n">
        <v>124.87</v>
      </c>
      <c r="G153" s="66" t="n">
        <v>190.86</v>
      </c>
      <c r="H153" s="66" t="n">
        <v>159.89</v>
      </c>
      <c r="I153" s="66" t="n">
        <v>182.61</v>
      </c>
      <c r="J153" s="66" t="n">
        <v>823.03</v>
      </c>
      <c r="K153" s="66" t="n">
        <v>200.53</v>
      </c>
      <c r="L153" s="66" t="n">
        <v>143.47</v>
      </c>
      <c r="M153" s="66" t="n">
        <v>123.06</v>
      </c>
      <c r="N153" s="66" t="n">
        <v>33.21</v>
      </c>
      <c r="O153" s="66" t="n">
        <v>143.6</v>
      </c>
      <c r="P153" s="66" t="n">
        <v>403.17</v>
      </c>
      <c r="Q153" s="89" t="n">
        <v>365.45</v>
      </c>
      <c r="R153" s="66" t="n">
        <v>59.42</v>
      </c>
      <c r="S153" s="66" t="n">
        <v>154.2</v>
      </c>
      <c r="T153" s="66" t="n">
        <v>46.19</v>
      </c>
      <c r="U153" s="66"/>
      <c r="V153" s="66" t="n">
        <v>335.61</v>
      </c>
      <c r="W153" s="66"/>
      <c r="X153" s="66"/>
      <c r="Y153" s="66"/>
      <c r="Z153" s="66"/>
      <c r="AA153" s="66"/>
    </row>
    <row r="154" customFormat="false" ht="15" hidden="false" customHeight="true" outlineLevel="0" collapsed="false">
      <c r="A154" s="69" t="n">
        <v>46241</v>
      </c>
      <c r="B154" s="66" t="n">
        <v>265.21</v>
      </c>
      <c r="C154" s="66" t="n">
        <v>188.67</v>
      </c>
      <c r="D154" s="66" t="n">
        <v>1740.99</v>
      </c>
      <c r="E154" s="66" t="n">
        <v>426.98</v>
      </c>
      <c r="F154" s="66" t="n">
        <v>126.47</v>
      </c>
      <c r="G154" s="66" t="n">
        <v>214.42</v>
      </c>
      <c r="H154" s="66" t="n">
        <v>160.58</v>
      </c>
      <c r="I154" s="66" t="n">
        <v>197.89</v>
      </c>
      <c r="J154" s="66" t="n">
        <v>877.57</v>
      </c>
      <c r="K154" s="66" t="n">
        <v>223.71</v>
      </c>
      <c r="L154" s="66" t="n">
        <v>139.06</v>
      </c>
      <c r="M154" s="66" t="n">
        <v>172.01</v>
      </c>
      <c r="N154" s="66" t="n">
        <v>33.63</v>
      </c>
      <c r="O154" s="66" t="n">
        <v>149.45</v>
      </c>
      <c r="P154" s="66" t="n">
        <v>418.92</v>
      </c>
      <c r="Q154" s="66" t="n">
        <v>361.83</v>
      </c>
      <c r="R154" s="66" t="n">
        <v>59.39</v>
      </c>
      <c r="S154" s="66" t="n">
        <v>150.83</v>
      </c>
      <c r="T154" s="66" t="n">
        <v>47</v>
      </c>
      <c r="U154" s="66"/>
      <c r="V154" s="66"/>
      <c r="W154" s="66"/>
      <c r="X154" s="66"/>
      <c r="Y154" s="66"/>
      <c r="Z154" s="66"/>
      <c r="AA154" s="66"/>
    </row>
    <row r="155" customFormat="false" ht="15" hidden="false" customHeight="true" outlineLevel="0" collapsed="false">
      <c r="A155" s="69" t="n">
        <v>46248</v>
      </c>
      <c r="B155" s="66" t="n">
        <v>264.02</v>
      </c>
      <c r="C155" s="66" t="n">
        <v>198.82</v>
      </c>
      <c r="D155" s="66" t="n">
        <v>1844.08</v>
      </c>
      <c r="E155" s="66" t="n">
        <v>392.28</v>
      </c>
      <c r="F155" s="66" t="n">
        <v>128.31</v>
      </c>
      <c r="G155" s="66" t="n">
        <v>216.95</v>
      </c>
      <c r="H155" s="66" t="n">
        <v>164.15</v>
      </c>
      <c r="I155" s="66" t="n">
        <v>203.49</v>
      </c>
      <c r="J155" s="66" t="n">
        <v>971.66</v>
      </c>
      <c r="K155" s="66" t="n">
        <v>224.91</v>
      </c>
      <c r="L155" s="66" t="n">
        <v>139.92</v>
      </c>
      <c r="M155" s="66" t="n">
        <v>174.04</v>
      </c>
      <c r="N155" s="66" t="n">
        <v>34.25</v>
      </c>
      <c r="O155" s="66" t="n">
        <v>153.06</v>
      </c>
      <c r="P155" s="66" t="n">
        <v>425.21</v>
      </c>
      <c r="Q155" s="89" t="n">
        <v>364.15</v>
      </c>
      <c r="R155" s="66" t="n">
        <v>60.51</v>
      </c>
      <c r="S155" s="66" t="n">
        <v>153.75</v>
      </c>
      <c r="T155" s="66" t="n">
        <v>47.39</v>
      </c>
      <c r="U155" s="66"/>
      <c r="V155" s="66" t="n">
        <v>348.32</v>
      </c>
      <c r="W155" s="66"/>
      <c r="X155" s="66"/>
      <c r="Y155" s="66"/>
      <c r="Z155" s="66"/>
      <c r="AA155" s="66"/>
    </row>
    <row r="156" customFormat="false" ht="15" hidden="false" customHeight="true" outlineLevel="0" collapsed="false">
      <c r="A156" s="69" t="n">
        <v>46255</v>
      </c>
      <c r="B156" s="66" t="n">
        <v>275.3</v>
      </c>
      <c r="C156" s="66" t="n">
        <v>188.65</v>
      </c>
      <c r="D156" s="66" t="n">
        <v>1763.76</v>
      </c>
      <c r="E156" s="66" t="n">
        <v>367.78</v>
      </c>
      <c r="F156" s="66" t="n">
        <v>126.04</v>
      </c>
      <c r="G156" s="66" t="n">
        <v>191.95</v>
      </c>
      <c r="H156" s="66" t="n">
        <v>162.75</v>
      </c>
      <c r="I156" s="66" t="n">
        <v>183.99</v>
      </c>
      <c r="J156" s="66" t="n">
        <v>966.78</v>
      </c>
      <c r="K156" s="66" t="n">
        <v>214.48</v>
      </c>
      <c r="L156" s="66" t="n">
        <v>140.68</v>
      </c>
      <c r="M156" s="66" t="n">
        <v>179.94</v>
      </c>
      <c r="N156" s="66" t="n">
        <v>34.83</v>
      </c>
      <c r="O156" s="66" t="n">
        <v>148.49</v>
      </c>
      <c r="P156" s="66" t="n">
        <v>417.83</v>
      </c>
      <c r="Q156" s="66" t="n">
        <v>371.04</v>
      </c>
      <c r="R156" s="66" t="n">
        <v>58.51</v>
      </c>
      <c r="S156" s="66" t="n">
        <v>143.89</v>
      </c>
      <c r="T156" s="66" t="n">
        <v>47.8</v>
      </c>
      <c r="U156" s="66"/>
      <c r="V156" s="66" t="n">
        <v>357.9</v>
      </c>
      <c r="W156" s="66"/>
      <c r="X156" s="66"/>
      <c r="Y156" s="66"/>
      <c r="Z156" s="66"/>
      <c r="AA156" s="66"/>
    </row>
    <row r="157" customFormat="false" ht="15" hidden="false" customHeight="true" outlineLevel="0" collapsed="false">
      <c r="A157" s="69" t="n">
        <v>46262</v>
      </c>
      <c r="B157" s="66" t="n">
        <v>291.52</v>
      </c>
      <c r="C157" s="66" t="n">
        <v>195.38</v>
      </c>
      <c r="D157" s="66" t="n">
        <v>1696.16</v>
      </c>
      <c r="E157" s="66" t="n">
        <v>368.12</v>
      </c>
      <c r="F157" s="66" t="n">
        <v>125.16</v>
      </c>
      <c r="G157" s="66" t="n">
        <v>218.4</v>
      </c>
      <c r="H157" s="66" t="n">
        <v>162.46</v>
      </c>
      <c r="I157" s="66" t="n">
        <v>175.54</v>
      </c>
      <c r="J157" s="66" t="n">
        <v>932.86</v>
      </c>
      <c r="K157" s="66" t="n">
        <v>217.31</v>
      </c>
      <c r="L157" s="66" t="n">
        <v>139.59</v>
      </c>
      <c r="M157" s="66" t="n">
        <v>186.29</v>
      </c>
      <c r="N157" s="66" t="n">
        <v>34.62</v>
      </c>
      <c r="O157" s="66" t="n">
        <v>146.54</v>
      </c>
      <c r="P157" s="66" t="n">
        <v>416.4</v>
      </c>
      <c r="Q157" s="66" t="n">
        <v>381.6</v>
      </c>
      <c r="R157" s="66" t="n">
        <v>57.96</v>
      </c>
      <c r="S157" s="66" t="n">
        <v>146.51</v>
      </c>
      <c r="T157" s="66" t="n">
        <v>48.14</v>
      </c>
      <c r="U157" s="66"/>
      <c r="V157" s="66" t="n">
        <v>355.08</v>
      </c>
      <c r="W157" s="66"/>
      <c r="X157" s="66"/>
      <c r="Y157" s="66"/>
      <c r="Z157" s="66"/>
      <c r="AA157" s="66"/>
    </row>
    <row r="158" customFormat="false" ht="15" hidden="false" customHeight="true" outlineLevel="0" collapsed="false">
      <c r="A158" s="69" t="n">
        <v>46269</v>
      </c>
      <c r="B158" s="66" t="n">
        <v>266.51</v>
      </c>
      <c r="C158" s="66" t="n">
        <v>193.78</v>
      </c>
      <c r="D158" s="66" t="n">
        <v>1714.88</v>
      </c>
      <c r="E158" s="66" t="n">
        <v>357.25</v>
      </c>
      <c r="F158" s="66" t="n">
        <v>126.52</v>
      </c>
      <c r="G158" s="66" t="n">
        <v>213.1</v>
      </c>
      <c r="H158" s="66" t="n">
        <v>162.91</v>
      </c>
      <c r="I158" s="66" t="n">
        <v>185.6</v>
      </c>
      <c r="J158" s="66" t="n">
        <v>1016.59</v>
      </c>
      <c r="K158" s="66" t="n">
        <v>230.1</v>
      </c>
      <c r="L158" s="66" t="n">
        <v>136.26</v>
      </c>
      <c r="M158" s="66" t="n">
        <v>174.33</v>
      </c>
      <c r="N158" s="66" t="n">
        <v>34.52</v>
      </c>
      <c r="O158" s="66" t="n">
        <v>149.48</v>
      </c>
      <c r="P158" s="66" t="n">
        <v>427.76</v>
      </c>
      <c r="Q158" s="66" t="n">
        <v>375.07</v>
      </c>
      <c r="R158" s="66" t="n">
        <v>58.25</v>
      </c>
      <c r="S158" s="66" t="n">
        <v>143.83</v>
      </c>
      <c r="T158" s="66" t="n">
        <v>49.74</v>
      </c>
      <c r="U158" s="66"/>
      <c r="V158" s="66" t="n">
        <v>365.45</v>
      </c>
      <c r="W158" s="66"/>
      <c r="X158" s="66"/>
      <c r="Y158" s="66"/>
      <c r="Z158" s="66"/>
      <c r="AA158" s="66"/>
    </row>
    <row r="159" customFormat="false" ht="15" hidden="false" customHeight="true" outlineLevel="0" collapsed="false">
      <c r="A159" s="69" t="n">
        <v>46276</v>
      </c>
      <c r="B159" s="66" t="n">
        <v>252.23</v>
      </c>
      <c r="C159" s="66" t="n">
        <v>199.59</v>
      </c>
      <c r="D159" s="66" t="n">
        <v>1698.3</v>
      </c>
      <c r="E159" s="66" t="n">
        <v>361.33</v>
      </c>
      <c r="F159" s="66" t="n">
        <v>124.5</v>
      </c>
      <c r="G159" s="66" t="n">
        <v>206.74</v>
      </c>
      <c r="H159" s="66" t="n">
        <v>161.03</v>
      </c>
      <c r="I159" s="66" t="n">
        <v>180.64</v>
      </c>
      <c r="J159" s="66" t="n">
        <v>975.26</v>
      </c>
      <c r="K159" s="66" t="n">
        <v>218.29</v>
      </c>
      <c r="L159" s="66" t="n">
        <v>134.68</v>
      </c>
      <c r="M159" s="66" t="n">
        <v>167.23</v>
      </c>
      <c r="N159" s="66" t="n">
        <v>33.85</v>
      </c>
      <c r="O159" s="66" t="n">
        <v>148.07</v>
      </c>
      <c r="P159" s="66" t="n">
        <v>432.08</v>
      </c>
      <c r="Q159" s="66" t="n">
        <v>370.45</v>
      </c>
      <c r="R159" s="66" t="n">
        <v>59.74</v>
      </c>
      <c r="S159" s="66" t="n">
        <v>149.69</v>
      </c>
      <c r="T159" s="66" t="n">
        <v>51.46</v>
      </c>
      <c r="U159" s="66"/>
      <c r="V159" s="66" t="n">
        <v>361.83</v>
      </c>
      <c r="W159" s="66"/>
      <c r="X159" s="66"/>
      <c r="Y159" s="66"/>
      <c r="Z159" s="66"/>
      <c r="AA159" s="66"/>
    </row>
    <row r="160" customFormat="false" ht="15" hidden="false" customHeight="true" outlineLevel="0" collapsed="false">
      <c r="A160" s="69" t="n">
        <v>46283</v>
      </c>
      <c r="B160" s="66" t="n">
        <v>248.92</v>
      </c>
      <c r="C160" s="66" t="n">
        <v>199.39</v>
      </c>
      <c r="D160" s="66" t="n">
        <v>1679.92</v>
      </c>
      <c r="E160" s="66" t="n">
        <v>356.96</v>
      </c>
      <c r="F160" s="66" t="n">
        <v>121.96</v>
      </c>
      <c r="G160" s="66" t="n">
        <v>237.65</v>
      </c>
      <c r="H160" s="66" t="n">
        <v>158.24</v>
      </c>
      <c r="I160" s="66" t="n">
        <v>176.99</v>
      </c>
      <c r="J160" s="66" t="n">
        <v>1015.8</v>
      </c>
      <c r="K160" s="66" t="n">
        <v>222.27</v>
      </c>
      <c r="L160" s="66" t="n">
        <v>134.84</v>
      </c>
      <c r="M160" s="66" t="n">
        <v>177.64</v>
      </c>
      <c r="N160" s="66" t="n">
        <v>33.41</v>
      </c>
      <c r="O160" s="66" t="n">
        <v>148.97</v>
      </c>
      <c r="P160" s="66" t="n">
        <v>434.67</v>
      </c>
      <c r="Q160" s="66" t="n">
        <v>368.29</v>
      </c>
      <c r="R160" s="66" t="n">
        <v>60.53</v>
      </c>
      <c r="S160" s="66" t="n">
        <v>153.31</v>
      </c>
      <c r="T160" s="66" t="n">
        <v>53.71</v>
      </c>
      <c r="U160" s="66"/>
      <c r="V160" s="66" t="n">
        <v>364.15</v>
      </c>
      <c r="W160" s="66"/>
      <c r="X160" s="66"/>
      <c r="Y160" s="66"/>
      <c r="Z160" s="66"/>
      <c r="AA160" s="66"/>
    </row>
    <row r="161" customFormat="false" ht="15" hidden="false" customHeight="true" outlineLevel="0" collapsed="false">
      <c r="A161" s="69" t="n">
        <v>46290</v>
      </c>
      <c r="B161" s="66" t="n">
        <v>235.47</v>
      </c>
      <c r="C161" s="66" t="n">
        <v>206.55</v>
      </c>
      <c r="D161" s="66" t="n">
        <v>1743.94</v>
      </c>
      <c r="E161" s="66" t="n">
        <v>352.81</v>
      </c>
      <c r="F161" s="66" t="n">
        <v>120.41</v>
      </c>
      <c r="G161" s="66" t="n">
        <v>252.13</v>
      </c>
      <c r="H161" s="66" t="n">
        <v>154.73</v>
      </c>
      <c r="I161" s="66" t="n">
        <v>187.92</v>
      </c>
      <c r="J161" s="66" t="n">
        <v>1082.28</v>
      </c>
      <c r="K161" s="66" t="n">
        <v>225.07</v>
      </c>
      <c r="L161" s="66" t="n">
        <v>133.05</v>
      </c>
      <c r="M161" s="66" t="n">
        <v>189.67</v>
      </c>
      <c r="N161" s="66" t="n">
        <v>33.21</v>
      </c>
      <c r="O161" s="66" t="n">
        <v>152.92</v>
      </c>
      <c r="P161" s="66" t="n">
        <v>450.61</v>
      </c>
      <c r="Q161" s="66" t="n">
        <v>367.38</v>
      </c>
      <c r="R161" s="66" t="n">
        <v>59.84</v>
      </c>
      <c r="S161" s="66" t="n">
        <v>148.73</v>
      </c>
      <c r="T161" s="66" t="n">
        <v>55.45</v>
      </c>
      <c r="U161" s="66"/>
      <c r="V161" s="66" t="n">
        <v>371.04</v>
      </c>
      <c r="W161" s="66"/>
      <c r="X161" s="66"/>
      <c r="Y161" s="66"/>
      <c r="Z161" s="66"/>
      <c r="AA161" s="66"/>
    </row>
    <row r="162" customFormat="false" ht="15" hidden="false" customHeight="true" outlineLevel="0" collapsed="false">
      <c r="A162" s="69" t="n">
        <v>46297</v>
      </c>
      <c r="B162" s="66" t="n">
        <v>231.01</v>
      </c>
      <c r="C162" s="66" t="n">
        <v>204.92</v>
      </c>
      <c r="D162" s="66" t="n">
        <v>1771.41</v>
      </c>
      <c r="E162" s="66" t="n">
        <v>349.57</v>
      </c>
      <c r="F162" s="66" t="n">
        <v>119.55</v>
      </c>
      <c r="G162" s="66" t="n">
        <v>259.25</v>
      </c>
      <c r="H162" s="66" t="n">
        <v>153.65</v>
      </c>
      <c r="I162" s="66" t="n">
        <v>189.17</v>
      </c>
      <c r="J162" s="66" t="n">
        <v>1053.98</v>
      </c>
      <c r="K162" s="66" t="n">
        <v>228.86</v>
      </c>
      <c r="L162" s="66" t="n">
        <v>132.44</v>
      </c>
      <c r="M162" s="66" t="n">
        <v>187.48</v>
      </c>
      <c r="N162" s="66" t="n">
        <v>33.01</v>
      </c>
      <c r="O162" s="66" t="n">
        <v>151.18</v>
      </c>
      <c r="P162" s="66" t="n">
        <v>452.88</v>
      </c>
      <c r="Q162" s="66" t="n">
        <v>367.74</v>
      </c>
      <c r="R162" s="66" t="n">
        <v>59.47</v>
      </c>
      <c r="S162" s="66" t="n">
        <v>146.78</v>
      </c>
      <c r="T162" s="66" t="n">
        <v>55.66</v>
      </c>
      <c r="U162" s="66"/>
      <c r="V162" s="66" t="n">
        <v>381.6</v>
      </c>
      <c r="W162" s="66"/>
      <c r="X162" s="66"/>
      <c r="Y162" s="66"/>
      <c r="Z162" s="66"/>
      <c r="AA162" s="66"/>
    </row>
    <row r="163" customFormat="false" ht="15" hidden="false" customHeight="true" outlineLevel="0" collapsed="false">
      <c r="A163" s="69" t="n">
        <v>46269</v>
      </c>
      <c r="B163" s="66" t="n">
        <v>266.51</v>
      </c>
      <c r="C163" s="66" t="n">
        <v>193.78</v>
      </c>
      <c r="D163" s="66" t="n">
        <v>1714.88</v>
      </c>
      <c r="E163" s="66" t="n">
        <v>357.9</v>
      </c>
      <c r="F163" s="66" t="n">
        <v>213.1</v>
      </c>
      <c r="G163" s="66" t="n">
        <v>185.6</v>
      </c>
      <c r="H163" s="66" t="n">
        <v>1016.59</v>
      </c>
      <c r="I163" s="66" t="n">
        <v>230.36</v>
      </c>
      <c r="J163" s="66" t="n">
        <v>137.34</v>
      </c>
      <c r="K163" s="66" t="n">
        <v>174.33</v>
      </c>
      <c r="L163" s="66" t="n">
        <v>428.91</v>
      </c>
      <c r="M163" s="66" t="n">
        <v>280.53</v>
      </c>
      <c r="N163" s="66" t="n">
        <v>546.12</v>
      </c>
      <c r="O163" s="66" t="n">
        <v>126.93</v>
      </c>
      <c r="P163" s="66"/>
      <c r="Q163" s="66" t="n">
        <v>69.72</v>
      </c>
      <c r="R163" s="66" t="n">
        <v>59.87</v>
      </c>
      <c r="S163" s="66" t="n">
        <v>149.72</v>
      </c>
      <c r="T163" s="66" t="n">
        <v>55.29</v>
      </c>
      <c r="U163" s="66"/>
      <c r="V163" s="66" t="n">
        <v>375.07</v>
      </c>
      <c r="W163" s="66"/>
      <c r="X163" s="66"/>
      <c r="Y163" s="66"/>
      <c r="Z163" s="66"/>
      <c r="AA163" s="66"/>
    </row>
    <row r="164" customFormat="false" ht="15" hidden="false" customHeight="true" outlineLevel="0" collapsed="false"/>
    <row r="165" customFormat="false" ht="15" hidden="false" customHeight="true" outlineLevel="0" collapsed="false">
      <c r="A165" s="90" t="n">
        <f aca="false">COUNT(A3:A163)</f>
        <v>161</v>
      </c>
      <c r="B165" s="90" t="s">
        <v>278</v>
      </c>
    </row>
  </sheetData>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13" activePane="bottomLeft" state="frozen"/>
      <selection pane="topLeft" activeCell="A1" activeCellId="0" sqref="A1"/>
      <selection pane="bottomLeft" activeCell="H53" activeCellId="0" sqref="H53"/>
    </sheetView>
  </sheetViews>
  <sheetFormatPr defaultColWidth="8.66796875" defaultRowHeight="14.25" customHeight="false" zeroHeight="false" outlineLevelRow="1" outlineLevelCol="0"/>
  <cols>
    <col collapsed="false" customWidth="true" hidden="false" outlineLevel="0" max="1" min="1" style="1" width="10"/>
    <col collapsed="false" customWidth="true" hidden="false" outlineLevel="0" max="2" min="2" style="1" width="18"/>
    <col collapsed="false" customWidth="true" hidden="false" outlineLevel="0" max="3" min="3" style="1" width="12"/>
    <col collapsed="false" customWidth="true" hidden="false" outlineLevel="0" max="5" min="5" style="1" width="10.2"/>
    <col collapsed="false" customWidth="true" hidden="false" outlineLevel="0" max="6" min="6" style="1" width="13"/>
    <col collapsed="false" customWidth="true" hidden="false" outlineLevel="0" max="8" min="7" style="1" width="9"/>
    <col collapsed="false" customWidth="true" hidden="false" outlineLevel="0" max="9" min="9" style="1" width="7.33"/>
    <col collapsed="false" customWidth="true" hidden="false" outlineLevel="0" max="10" min="10" style="1" width="8"/>
  </cols>
  <sheetData>
    <row r="1" customFormat="false" ht="31.5" hidden="false" customHeight="true" outlineLevel="0" collapsed="false">
      <c r="A1" s="91" t="s">
        <v>81</v>
      </c>
      <c r="B1" s="91" t="s">
        <v>279</v>
      </c>
      <c r="C1" s="91" t="s">
        <v>280</v>
      </c>
      <c r="D1" s="92" t="s">
        <v>281</v>
      </c>
      <c r="E1" s="92" t="s">
        <v>282</v>
      </c>
      <c r="F1" s="91" t="s">
        <v>283</v>
      </c>
      <c r="G1" s="91" t="s">
        <v>284</v>
      </c>
      <c r="H1" s="91" t="s">
        <v>285</v>
      </c>
      <c r="I1" s="91" t="s">
        <v>286</v>
      </c>
      <c r="J1" s="91" t="s">
        <v>287</v>
      </c>
    </row>
    <row r="2" customFormat="false" ht="15" hidden="false" customHeight="true" outlineLevel="0" collapsed="false">
      <c r="A2" s="93" t="str">
        <f aca="false">IF(Scoring!A3="","",Scoring!A3)</f>
        <v>MU</v>
      </c>
      <c r="B2" s="94" t="str">
        <f aca="false">IF(Scoring!B3="","",Scoring!B3)</f>
        <v>Micron Technology</v>
      </c>
      <c r="C2" s="95" t="n">
        <f aca="false">IF(Scoring!C3="","",Scoring!C3)</f>
        <v>46295</v>
      </c>
      <c r="D2" s="96" t="n">
        <f aca="false">IF(Scoring!N3="","",Scoring!N3)</f>
        <v>3.35714285714286</v>
      </c>
      <c r="E2" s="97" t="n">
        <f aca="false">IF(Scoring!AF3="","",Scoring!AF3)</f>
        <v>67.8</v>
      </c>
      <c r="F2" s="65" t="str">
        <f aca="false">IF(Scoring!AG3&lt;&gt;"",Scoring!AG3,IF(Scoring!AH3="OK","PENDING",""))</f>
        <v>BUY</v>
      </c>
      <c r="G2" s="65" t="str">
        <f aca="false">IF(Scoring!AH3="","",Scoring!AH3)</f>
        <v>OK</v>
      </c>
      <c r="H2" s="65" t="str">
        <f aca="false">IF(Scoring!AI3="","",Scoring!AI3)</f>
        <v>OK</v>
      </c>
      <c r="I2" s="65" t="str">
        <f aca="false">IF(Scoring!AJ3="","",Scoring!AJ3)</f>
        <v>OK</v>
      </c>
      <c r="J2" s="65" t="str">
        <f aca="false">IF(Scoring!AK3="","",Scoring!AK3)</f>
        <v>OK</v>
      </c>
    </row>
    <row r="3" customFormat="false" ht="15" hidden="false" customHeight="true" outlineLevel="0" collapsed="false">
      <c r="A3" s="93" t="str">
        <f aca="false">IF(Scoring!A4="","",Scoring!A4)</f>
        <v>AVGO</v>
      </c>
      <c r="B3" s="94" t="str">
        <f aca="false">IF(Scoring!B4="","",Scoring!B4)</f>
        <v>Broadcom Inc.</v>
      </c>
      <c r="C3" s="95" t="n">
        <f aca="false">IF(Scoring!C4="","",Scoring!C4)</f>
        <v>46295</v>
      </c>
      <c r="D3" s="96" t="n">
        <f aca="false">IF(Scoring!N4="","",Scoring!N4)</f>
        <v>3.14285714285714</v>
      </c>
      <c r="E3" s="97" t="n">
        <f aca="false">IF(Scoring!AF4="","",Scoring!AF4)</f>
        <v>67.8</v>
      </c>
      <c r="F3" s="65" t="str">
        <f aca="false">IF(Scoring!AG4&lt;&gt;"",Scoring!AG4,IF(Scoring!AH4="OK","PENDING",""))</f>
        <v>BUY</v>
      </c>
      <c r="G3" s="65" t="str">
        <f aca="false">IF(Scoring!AH4="","",Scoring!AH4)</f>
        <v>OK</v>
      </c>
      <c r="H3" s="65" t="str">
        <f aca="false">IF(Scoring!AI4="","",Scoring!AI4)</f>
        <v>OK</v>
      </c>
      <c r="I3" s="65" t="str">
        <f aca="false">IF(Scoring!AJ4="","",Scoring!AJ4)</f>
        <v>AVOID</v>
      </c>
      <c r="J3" s="65" t="str">
        <f aca="false">IF(Scoring!AK4="","",Scoring!AK4)</f>
        <v>OK</v>
      </c>
    </row>
    <row r="4" customFormat="false" ht="15" hidden="false" customHeight="true" outlineLevel="0" collapsed="false">
      <c r="A4" s="93" t="str">
        <f aca="false">IF(Scoring!A5="","",Scoring!A5)</f>
        <v>PLTR</v>
      </c>
      <c r="B4" s="94" t="str">
        <f aca="false">IF(Scoring!B5="","",Scoring!B5)</f>
        <v>Palantir Technologies</v>
      </c>
      <c r="C4" s="95" t="n">
        <f aca="false">IF(Scoring!C5="","",Scoring!C5)</f>
        <v>46295</v>
      </c>
      <c r="D4" s="96" t="n">
        <f aca="false">IF(Scoring!N5="","",Scoring!N5)</f>
        <v>4.07142857142857</v>
      </c>
      <c r="E4" s="97" t="n">
        <f aca="false">IF(Scoring!AF5="","",Scoring!AF5)</f>
        <v>76.2</v>
      </c>
      <c r="F4" s="65" t="str">
        <f aca="false">IF(Scoring!AG5&lt;&gt;"",Scoring!AG5,IF(Scoring!AH5="OK","PENDING",""))</f>
        <v>BUY</v>
      </c>
      <c r="G4" s="65" t="str">
        <f aca="false">IF(Scoring!AH5="","",Scoring!AH5)</f>
        <v>OK</v>
      </c>
      <c r="H4" s="65" t="str">
        <f aca="false">IF(Scoring!AI5="","",Scoring!AI5)</f>
        <v>OK</v>
      </c>
      <c r="I4" s="65" t="str">
        <f aca="false">IF(Scoring!AJ5="","",Scoring!AJ5)</f>
        <v>OK</v>
      </c>
      <c r="J4" s="65" t="str">
        <f aca="false">IF(Scoring!AK5="","",Scoring!AK5)</f>
        <v>OK</v>
      </c>
    </row>
    <row r="5" customFormat="false" ht="15" hidden="false" customHeight="true" outlineLevel="0" collapsed="false">
      <c r="A5" s="93" t="str">
        <f aca="false">IF(Scoring!A6="","",Scoring!A6)</f>
        <v>NVDA</v>
      </c>
      <c r="B5" s="94" t="str">
        <f aca="false">IF(Scoring!B6="","",Scoring!B6)</f>
        <v>NVIDIA Corporation</v>
      </c>
      <c r="C5" s="95" t="n">
        <f aca="false">IF(Scoring!C6="","",Scoring!C6)</f>
        <v>46295</v>
      </c>
      <c r="D5" s="96" t="n">
        <f aca="false">IF(Scoring!N6="","",Scoring!N6)</f>
        <v>4.28571428571429</v>
      </c>
      <c r="E5" s="97" t="n">
        <f aca="false">IF(Scoring!AF6="","",Scoring!AF6)</f>
        <v>89.2</v>
      </c>
      <c r="F5" s="65" t="str">
        <f aca="false">IF(Scoring!AG6&lt;&gt;"",Scoring!AG6,IF(Scoring!AH6="OK","PENDING",""))</f>
        <v>STRONG BUY</v>
      </c>
      <c r="G5" s="65" t="str">
        <f aca="false">IF(Scoring!AH6="","",Scoring!AH6)</f>
        <v>OK</v>
      </c>
      <c r="H5" s="65" t="str">
        <f aca="false">IF(Scoring!AI6="","",Scoring!AI6)</f>
        <v>OK</v>
      </c>
      <c r="I5" s="65" t="str">
        <f aca="false">IF(Scoring!AJ6="","",Scoring!AJ6)</f>
        <v>OK</v>
      </c>
      <c r="J5" s="65" t="str">
        <f aca="false">IF(Scoring!AK6="","",Scoring!AK6)</f>
        <v>OK</v>
      </c>
    </row>
    <row r="6" customFormat="false" ht="15" hidden="false" customHeight="true" outlineLevel="0" collapsed="false">
      <c r="A6" s="93" t="str">
        <f aca="false">IF(Scoring!A7="","",Scoring!A7)</f>
        <v>VRTX</v>
      </c>
      <c r="B6" s="94" t="str">
        <f aca="false">IF(Scoring!B7="","",Scoring!B7)</f>
        <v>Vertex Pharmaceuticals</v>
      </c>
      <c r="C6" s="95" t="n">
        <f aca="false">IF(Scoring!C7="","",Scoring!C7)</f>
        <v>46295</v>
      </c>
      <c r="D6" s="96" t="n">
        <f aca="false">IF(Scoring!N7="","",Scoring!N7)</f>
        <v>3.14285714285714</v>
      </c>
      <c r="E6" s="97" t="n">
        <f aca="false">IF(Scoring!AF7="","",Scoring!AF7)</f>
        <v>66.6</v>
      </c>
      <c r="F6" s="65" t="str">
        <f aca="false">IF(Scoring!AG7&lt;&gt;"",Scoring!AG7,IF(Scoring!AH7="OK","PENDING",""))</f>
        <v>BUY</v>
      </c>
      <c r="G6" s="65" t="str">
        <f aca="false">IF(Scoring!AH7="","",Scoring!AH7)</f>
        <v>OK</v>
      </c>
      <c r="H6" s="65" t="str">
        <f aca="false">IF(Scoring!AI7="","",Scoring!AI7)</f>
        <v>OK</v>
      </c>
      <c r="I6" s="65" t="str">
        <f aca="false">IF(Scoring!AJ7="","",Scoring!AJ7)</f>
        <v>AVOID</v>
      </c>
      <c r="J6" s="65" t="str">
        <f aca="false">IF(Scoring!AK7="","",Scoring!AK7)</f>
        <v>OK</v>
      </c>
    </row>
    <row r="7" customFormat="false" ht="15" hidden="false" customHeight="true" outlineLevel="0" collapsed="false">
      <c r="A7" s="93" t="str">
        <f aca="false">IF(Scoring!A8="","",Scoring!A8)</f>
        <v>PLD</v>
      </c>
      <c r="B7" s="94" t="str">
        <f aca="false">IF(Scoring!B8="","",Scoring!B8)</f>
        <v>Prologis Inc. (REIT-adapted)</v>
      </c>
      <c r="C7" s="95" t="n">
        <f aca="false">IF(Scoring!C8="","",Scoring!C8)</f>
        <v>46295</v>
      </c>
      <c r="D7" s="96" t="n">
        <f aca="false">IF(Scoring!N8="","",Scoring!N8)</f>
        <v>3.92857142857143</v>
      </c>
      <c r="E7" s="97" t="n">
        <f aca="false">IF(Scoring!AF8="","",Scoring!AF8)</f>
        <v>76</v>
      </c>
      <c r="F7" s="65" t="str">
        <f aca="false">IF(Scoring!AG8&lt;&gt;"",Scoring!AG8,IF(Scoring!AH8="OK","PENDING",""))</f>
        <v>BUY</v>
      </c>
      <c r="G7" s="65" t="str">
        <f aca="false">IF(Scoring!AH8="","",Scoring!AH8)</f>
        <v>OK</v>
      </c>
      <c r="H7" s="65" t="str">
        <f aca="false">IF(Scoring!AI8="","",Scoring!AI8)</f>
        <v>OK</v>
      </c>
      <c r="I7" s="65" t="str">
        <f aca="false">IF(Scoring!AJ8="","",Scoring!AJ8)</f>
        <v>OK</v>
      </c>
      <c r="J7" s="65" t="str">
        <f aca="false">IF(Scoring!AK8="","",Scoring!AK8)</f>
        <v>OK</v>
      </c>
    </row>
    <row r="8" customFormat="false" ht="15" hidden="true" customHeight="true" outlineLevel="1" collapsed="false">
      <c r="A8" s="93" t="str">
        <f aca="false">IF(Scoring!A9="","",Scoring!A9)</f>
        <v>SFM</v>
      </c>
      <c r="B8" s="94" t="str">
        <f aca="false">IF(Scoring!B9="","",Scoring!B9)</f>
        <v>Sprouts Farmers Market</v>
      </c>
      <c r="C8" s="95" t="n">
        <f aca="false">IF(Scoring!C9="","",Scoring!C9)</f>
        <v>46240</v>
      </c>
      <c r="D8" s="96" t="n">
        <f aca="false">IF(Scoring!N9="","",Scoring!N9)</f>
        <v>1.85714285714286</v>
      </c>
      <c r="E8" s="97" t="str">
        <f aca="false">IF(Scoring!AF9="","",Scoring!AF9)</f>
        <v/>
      </c>
      <c r="F8" s="65" t="str">
        <f aca="false">IF(Scoring!AG9&lt;&gt;"",Scoring!AG9,IF(Scoring!AH9="OK","PENDING",""))</f>
        <v/>
      </c>
      <c r="G8" s="65" t="str">
        <f aca="false">IF(Scoring!AH9="","",Scoring!AH9)</f>
        <v>FAIL</v>
      </c>
      <c r="H8" s="65" t="str">
        <f aca="false">IF(Scoring!AI9="","",Scoring!AI9)</f>
        <v>REVIEW</v>
      </c>
      <c r="I8" s="65" t="str">
        <f aca="false">IF(Scoring!AJ9="","",Scoring!AJ9)</f>
        <v>AVOID</v>
      </c>
      <c r="J8" s="65" t="str">
        <f aca="false">IF(Scoring!AK9="","",Scoring!AK9)</f>
        <v>OK</v>
      </c>
    </row>
    <row r="9" customFormat="false" ht="15" hidden="true" customHeight="true" outlineLevel="1" collapsed="false">
      <c r="A9" s="93" t="str">
        <f aca="false">IF(Scoring!A10="","",Scoring!A10)</f>
        <v>ONON</v>
      </c>
      <c r="B9" s="94" t="str">
        <f aca="false">IF(Scoring!B10="","",Scoring!B10)</f>
        <v>On Holding AG</v>
      </c>
      <c r="C9" s="95" t="n">
        <f aca="false">IF(Scoring!C10="","",Scoring!C10)</f>
        <v>46240</v>
      </c>
      <c r="D9" s="96" t="n">
        <f aca="false">IF(Scoring!N10="","",Scoring!N10)</f>
        <v>2.64285714285714</v>
      </c>
      <c r="E9" s="97" t="str">
        <f aca="false">IF(Scoring!AF10="","",Scoring!AF10)</f>
        <v/>
      </c>
      <c r="F9" s="65" t="str">
        <f aca="false">IF(Scoring!AG10&lt;&gt;"",Scoring!AG10,IF(Scoring!AH10="OK","PENDING",""))</f>
        <v/>
      </c>
      <c r="G9" s="65" t="str">
        <f aca="false">IF(Scoring!AH10="","",Scoring!AH10)</f>
        <v>FAIL</v>
      </c>
      <c r="H9" s="65" t="str">
        <f aca="false">IF(Scoring!AI10="","",Scoring!AI10)</f>
        <v>OK</v>
      </c>
      <c r="I9" s="65" t="str">
        <f aca="false">IF(Scoring!AJ10="","",Scoring!AJ10)</f>
        <v>AVOID</v>
      </c>
      <c r="J9" s="65" t="str">
        <f aca="false">IF(Scoring!AK10="","",Scoring!AK10)</f>
        <v>OK</v>
      </c>
    </row>
    <row r="10" customFormat="false" ht="15" hidden="true" customHeight="true" outlineLevel="1" collapsed="false">
      <c r="A10" s="93" t="str">
        <f aca="false">IF(Scoring!A11="","",Scoring!A11)</f>
        <v>TSLA</v>
      </c>
      <c r="B10" s="94" t="str">
        <f aca="false">IF(Scoring!B11="","",Scoring!B11)</f>
        <v>Tesla Inc.</v>
      </c>
      <c r="C10" s="95" t="n">
        <f aca="false">IF(Scoring!C11="","",Scoring!C11)</f>
        <v>46240</v>
      </c>
      <c r="D10" s="96" t="n">
        <f aca="false">IF(Scoring!N11="","",Scoring!N11)</f>
        <v>1.92857142857143</v>
      </c>
      <c r="E10" s="97" t="str">
        <f aca="false">IF(Scoring!AF11="","",Scoring!AF11)</f>
        <v/>
      </c>
      <c r="F10" s="65" t="str">
        <f aca="false">IF(Scoring!AG11&lt;&gt;"",Scoring!AG11,IF(Scoring!AH11="OK","PENDING",""))</f>
        <v/>
      </c>
      <c r="G10" s="65" t="str">
        <f aca="false">IF(Scoring!AH11="","",Scoring!AH11)</f>
        <v>FAIL</v>
      </c>
      <c r="H10" s="65" t="str">
        <f aca="false">IF(Scoring!AI11="","",Scoring!AI11)</f>
        <v>REVIEW</v>
      </c>
      <c r="I10" s="65" t="str">
        <f aca="false">IF(Scoring!AJ11="","",Scoring!AJ11)</f>
        <v>AVOID</v>
      </c>
      <c r="J10" s="65" t="str">
        <f aca="false">IF(Scoring!AK11="","",Scoring!AK11)</f>
        <v>OK</v>
      </c>
    </row>
    <row r="11" customFormat="false" ht="15" hidden="false" customHeight="true" outlineLevel="0" collapsed="false">
      <c r="A11" s="93" t="str">
        <f aca="false">IF(Scoring!A12="","",Scoring!A12)</f>
        <v>ADBE</v>
      </c>
      <c r="B11" s="94" t="str">
        <f aca="false">IF(Scoring!B12="","",Scoring!B12)</f>
        <v>Adobe Inc.</v>
      </c>
      <c r="C11" s="95" t="n">
        <f aca="false">IF(Scoring!C12="","",Scoring!C12)</f>
        <v>46295</v>
      </c>
      <c r="D11" s="96" t="n">
        <f aca="false">IF(Scoring!N12="","",Scoring!N12)</f>
        <v>4.57142857142857</v>
      </c>
      <c r="E11" s="97" t="n">
        <f aca="false">IF(Scoring!AF12="","",Scoring!AF12)</f>
        <v>85.8</v>
      </c>
      <c r="F11" s="65" t="str">
        <f aca="false">IF(Scoring!AG12&lt;&gt;"",Scoring!AG12,IF(Scoring!AH12="OK","PENDING",""))</f>
        <v>STRONG BUY</v>
      </c>
      <c r="G11" s="65" t="str">
        <f aca="false">IF(Scoring!AH12="","",Scoring!AH12)</f>
        <v>OK</v>
      </c>
      <c r="H11" s="65" t="str">
        <f aca="false">IF(Scoring!AI12="","",Scoring!AI12)</f>
        <v>OK</v>
      </c>
      <c r="I11" s="65" t="str">
        <f aca="false">IF(Scoring!AJ12="","",Scoring!AJ12)</f>
        <v>OK</v>
      </c>
      <c r="J11" s="65" t="str">
        <f aca="false">IF(Scoring!AK12="","",Scoring!AK12)</f>
        <v>OK</v>
      </c>
    </row>
    <row r="12" customFormat="false" ht="15" hidden="false" customHeight="true" outlineLevel="0" collapsed="false">
      <c r="A12" s="93" t="str">
        <f aca="false">IF(Scoring!A13="","",Scoring!A13)</f>
        <v>ANET</v>
      </c>
      <c r="B12" s="94" t="str">
        <f aca="false">IF(Scoring!B13="","",Scoring!B13)</f>
        <v>Arista Networks</v>
      </c>
      <c r="C12" s="95" t="n">
        <f aca="false">IF(Scoring!C13="","",Scoring!C13)</f>
        <v>46295</v>
      </c>
      <c r="D12" s="96" t="n">
        <f aca="false">IF(Scoring!N13="","",Scoring!N13)</f>
        <v>4.28571428571429</v>
      </c>
      <c r="E12" s="97" t="n">
        <f aca="false">IF(Scoring!AF13="","",Scoring!AF13)</f>
        <v>81</v>
      </c>
      <c r="F12" s="65" t="str">
        <f aca="false">IF(Scoring!AG13&lt;&gt;"",Scoring!AG13,IF(Scoring!AH13="OK","PENDING",""))</f>
        <v>STRONG BUY</v>
      </c>
      <c r="G12" s="65" t="str">
        <f aca="false">IF(Scoring!AH13="","",Scoring!AH13)</f>
        <v>OK</v>
      </c>
      <c r="H12" s="65" t="str">
        <f aca="false">IF(Scoring!AI13="","",Scoring!AI13)</f>
        <v>OK</v>
      </c>
      <c r="I12" s="65" t="str">
        <f aca="false">IF(Scoring!AJ13="","",Scoring!AJ13)</f>
        <v>OK</v>
      </c>
      <c r="J12" s="65" t="str">
        <f aca="false">IF(Scoring!AK13="","",Scoring!AK13)</f>
        <v>OK</v>
      </c>
    </row>
    <row r="13" customFormat="false" ht="15" hidden="false" customHeight="true" outlineLevel="0" collapsed="false">
      <c r="A13" s="93" t="str">
        <f aca="false">IF(Scoring!A14="","",Scoring!A14)</f>
        <v>ASML</v>
      </c>
      <c r="B13" s="94" t="str">
        <f aca="false">IF(Scoring!B14="","",Scoring!B14)</f>
        <v>ASML Holding</v>
      </c>
      <c r="C13" s="95" t="n">
        <f aca="false">IF(Scoring!C14="","",Scoring!C14)</f>
        <v>46295</v>
      </c>
      <c r="D13" s="96" t="n">
        <f aca="false">IF(Scoring!N14="","",Scoring!N14)</f>
        <v>3.85714285714286</v>
      </c>
      <c r="E13" s="97" t="n">
        <f aca="false">IF(Scoring!AF14="","",Scoring!AF14)</f>
        <v>77.2</v>
      </c>
      <c r="F13" s="65" t="str">
        <f aca="false">IF(Scoring!AG14&lt;&gt;"",Scoring!AG14,IF(Scoring!AH14="OK","PENDING",""))</f>
        <v>BUY</v>
      </c>
      <c r="G13" s="65" t="str">
        <f aca="false">IF(Scoring!AH14="","",Scoring!AH14)</f>
        <v>OK</v>
      </c>
      <c r="H13" s="65" t="str">
        <f aca="false">IF(Scoring!AI14="","",Scoring!AI14)</f>
        <v>OK</v>
      </c>
      <c r="I13" s="65" t="str">
        <f aca="false">IF(Scoring!AJ14="","",Scoring!AJ14)</f>
        <v>OK</v>
      </c>
      <c r="J13" s="65" t="str">
        <f aca="false">IF(Scoring!AK14="","",Scoring!AK14)</f>
        <v>OK</v>
      </c>
    </row>
    <row r="14" customFormat="false" ht="15" hidden="false" customHeight="true" outlineLevel="0" collapsed="false">
      <c r="A14" s="93" t="str">
        <f aca="false">IF(Scoring!A15="","",Scoring!A15)</f>
        <v>CRWD</v>
      </c>
      <c r="B14" s="94" t="str">
        <f aca="false">IF(Scoring!B15="","",Scoring!B15)</f>
        <v>CrowdStrike Holdings</v>
      </c>
      <c r="C14" s="95" t="n">
        <f aca="false">IF(Scoring!C15="","",Scoring!C15)</f>
        <v>46295</v>
      </c>
      <c r="D14" s="96" t="n">
        <f aca="false">IF(Scoring!N15="","",Scoring!N15)</f>
        <v>3.5</v>
      </c>
      <c r="E14" s="97" t="n">
        <f aca="false">IF(Scoring!AF15="","",Scoring!AF15)</f>
        <v>63.4</v>
      </c>
      <c r="F14" s="65" t="str">
        <f aca="false">IF(Scoring!AG15&lt;&gt;"",Scoring!AG15,IF(Scoring!AH15="OK","PENDING",""))</f>
        <v>WATCH LIST</v>
      </c>
      <c r="G14" s="65" t="str">
        <f aca="false">IF(Scoring!AH15="","",Scoring!AH15)</f>
        <v>OK</v>
      </c>
      <c r="H14" s="65" t="str">
        <f aca="false">IF(Scoring!AI15="","",Scoring!AI15)</f>
        <v>OK</v>
      </c>
      <c r="I14" s="65" t="str">
        <f aca="false">IF(Scoring!AJ15="","",Scoring!AJ15)</f>
        <v>AVOID</v>
      </c>
      <c r="J14" s="65" t="str">
        <f aca="false">IF(Scoring!AK15="","",Scoring!AK15)</f>
        <v>OK</v>
      </c>
    </row>
    <row r="15" customFormat="false" ht="15" hidden="false" customHeight="true" outlineLevel="0" collapsed="false">
      <c r="A15" s="93" t="str">
        <f aca="false">IF(Scoring!A16="","",Scoring!A16)</f>
        <v>KLAC</v>
      </c>
      <c r="B15" s="94" t="str">
        <f aca="false">IF(Scoring!B16="","",Scoring!B16)</f>
        <v>KLA Corporation</v>
      </c>
      <c r="C15" s="95" t="n">
        <f aca="false">IF(Scoring!C16="","",Scoring!C16)</f>
        <v>46295</v>
      </c>
      <c r="D15" s="96" t="n">
        <f aca="false">IF(Scoring!N16="","",Scoring!N16)</f>
        <v>3.71428571428572</v>
      </c>
      <c r="E15" s="97" t="n">
        <f aca="false">IF(Scoring!AF16="","",Scoring!AF16)</f>
        <v>72.6</v>
      </c>
      <c r="F15" s="65" t="str">
        <f aca="false">IF(Scoring!AG16&lt;&gt;"",Scoring!AG16,IF(Scoring!AH16="OK","PENDING",""))</f>
        <v>BUY</v>
      </c>
      <c r="G15" s="65" t="str">
        <f aca="false">IF(Scoring!AH16="","",Scoring!AH16)</f>
        <v>OK</v>
      </c>
      <c r="H15" s="65" t="str">
        <f aca="false">IF(Scoring!AI16="","",Scoring!AI16)</f>
        <v>OK</v>
      </c>
      <c r="I15" s="65" t="str">
        <f aca="false">IF(Scoring!AJ16="","",Scoring!AJ16)</f>
        <v>OK</v>
      </c>
      <c r="J15" s="65" t="str">
        <f aca="false">IF(Scoring!AK16="","",Scoring!AK16)</f>
        <v>OK</v>
      </c>
    </row>
    <row r="16" customFormat="false" ht="15" hidden="false" customHeight="true" outlineLevel="0" collapsed="false">
      <c r="A16" s="93" t="str">
        <f aca="false">IF(Scoring!A17="","",Scoring!A17)</f>
        <v>TSM</v>
      </c>
      <c r="B16" s="94" t="str">
        <f aca="false">IF(Scoring!B17="","",Scoring!B17)</f>
        <v>Taiwan Semiconductor Mfg.</v>
      </c>
      <c r="C16" s="95" t="n">
        <f aca="false">IF(Scoring!C17="","",Scoring!C17)</f>
        <v>46295</v>
      </c>
      <c r="D16" s="96" t="n">
        <f aca="false">IF(Scoring!N17="","",Scoring!N17)</f>
        <v>4.21428571428571</v>
      </c>
      <c r="E16" s="97" t="n">
        <f aca="false">IF(Scoring!AF17="","",Scoring!AF17)</f>
        <v>84</v>
      </c>
      <c r="F16" s="65" t="str">
        <f aca="false">IF(Scoring!AG17&lt;&gt;"",Scoring!AG17,IF(Scoring!AH17="OK","PENDING",""))</f>
        <v>STRONG BUY</v>
      </c>
      <c r="G16" s="65" t="str">
        <f aca="false">IF(Scoring!AH17="","",Scoring!AH17)</f>
        <v>OK</v>
      </c>
      <c r="H16" s="65" t="str">
        <f aca="false">IF(Scoring!AI17="","",Scoring!AI17)</f>
        <v>OK</v>
      </c>
      <c r="I16" s="65" t="str">
        <f aca="false">IF(Scoring!AJ17="","",Scoring!AJ17)</f>
        <v>OK</v>
      </c>
      <c r="J16" s="65" t="str">
        <f aca="false">IF(Scoring!AK17="","",Scoring!AK17)</f>
        <v>OK</v>
      </c>
    </row>
    <row r="17" customFormat="false" ht="15" hidden="false" customHeight="true" outlineLevel="0" collapsed="false">
      <c r="A17" s="93" t="str">
        <f aca="false">IF(Scoring!A18="","",Scoring!A18)</f>
        <v>VRT</v>
      </c>
      <c r="B17" s="94" t="str">
        <f aca="false">IF(Scoring!B18="","",Scoring!B18)</f>
        <v>Vertiv Holdings</v>
      </c>
      <c r="C17" s="95" t="n">
        <f aca="false">IF(Scoring!C18="","",Scoring!C18)</f>
        <v>46295</v>
      </c>
      <c r="D17" s="96" t="n">
        <f aca="false">IF(Scoring!N18="","",Scoring!N18)</f>
        <v>3.92857142857143</v>
      </c>
      <c r="E17" s="97" t="n">
        <f aca="false">IF(Scoring!AF18="","",Scoring!AF18)</f>
        <v>76.8</v>
      </c>
      <c r="F17" s="65" t="str">
        <f aca="false">IF(Scoring!AG18&lt;&gt;"",Scoring!AG18,IF(Scoring!AH18="OK","PENDING",""))</f>
        <v>BUY</v>
      </c>
      <c r="G17" s="65" t="str">
        <f aca="false">IF(Scoring!AH18="","",Scoring!AH18)</f>
        <v>OK</v>
      </c>
      <c r="H17" s="65" t="str">
        <f aca="false">IF(Scoring!AI18="","",Scoring!AI18)</f>
        <v>OK</v>
      </c>
      <c r="I17" s="65" t="str">
        <f aca="false">IF(Scoring!AJ18="","",Scoring!AJ18)</f>
        <v>OK</v>
      </c>
      <c r="J17" s="65" t="str">
        <f aca="false">IF(Scoring!AK18="","",Scoring!AK18)</f>
        <v>OK</v>
      </c>
    </row>
    <row r="18" customFormat="false" ht="15" hidden="false" customHeight="true" outlineLevel="0" collapsed="false">
      <c r="A18" s="93" t="str">
        <f aca="false">IF(Scoring!A19="","",Scoring!A19)</f>
        <v>COST</v>
      </c>
      <c r="B18" s="94" t="str">
        <f aca="false">IF(Scoring!B19="","",Scoring!B19)</f>
        <v>Costco Wholesale Corp.</v>
      </c>
      <c r="C18" s="95" t="n">
        <f aca="false">IF(Scoring!C19="","",Scoring!C19)</f>
        <v>46245</v>
      </c>
      <c r="D18" s="96" t="n">
        <f aca="false">IF(Scoring!N19="","",Scoring!N19)</f>
        <v>4.14285714285714</v>
      </c>
      <c r="E18" s="97" t="n">
        <f aca="false">IF(Scoring!AF19="","",Scoring!AF19)</f>
        <v>77.4</v>
      </c>
      <c r="F18" s="65" t="str">
        <f aca="false">IF(Scoring!AG19&lt;&gt;"",Scoring!AG19,IF(Scoring!AH19="OK","PENDING",""))</f>
        <v>BUY</v>
      </c>
      <c r="G18" s="65" t="str">
        <f aca="false">IF(Scoring!AH19="","",Scoring!AH19)</f>
        <v>OK</v>
      </c>
      <c r="H18" s="65" t="str">
        <f aca="false">IF(Scoring!AI19="","",Scoring!AI19)</f>
        <v>OK</v>
      </c>
      <c r="I18" s="65" t="str">
        <f aca="false">IF(Scoring!AJ19="","",Scoring!AJ19)</f>
        <v>OK</v>
      </c>
      <c r="J18" s="65" t="str">
        <f aca="false">IF(Scoring!AK19="","",Scoring!AK19)</f>
        <v>OK</v>
      </c>
    </row>
    <row r="19" customFormat="false" ht="15" hidden="false" customHeight="true" outlineLevel="0" collapsed="false">
      <c r="A19" s="93" t="str">
        <f aca="false">IF(Scoring!A20="","",Scoring!A20)</f>
        <v>V</v>
      </c>
      <c r="B19" s="94" t="str">
        <f aca="false">IF(Scoring!B20="","",Scoring!B20)</f>
        <v>Visa Inc.</v>
      </c>
      <c r="C19" s="95" t="n">
        <f aca="false">IF(Scoring!C20="","",Scoring!C20)</f>
        <v>46295</v>
      </c>
      <c r="D19" s="96" t="n">
        <f aca="false">IF(Scoring!N20="","",Scoring!N20)</f>
        <v>3.64285714285714</v>
      </c>
      <c r="E19" s="97" t="n">
        <f aca="false">IF(Scoring!AF20="","",Scoring!AF20)</f>
        <v>73.4</v>
      </c>
      <c r="F19" s="65" t="str">
        <f aca="false">IF(Scoring!AG20&lt;&gt;"",Scoring!AG20,IF(Scoring!AH20="OK","PENDING",""))</f>
        <v>BUY</v>
      </c>
      <c r="G19" s="65" t="str">
        <f aca="false">IF(Scoring!AH20="","",Scoring!AH20)</f>
        <v>OK</v>
      </c>
      <c r="H19" s="65" t="str">
        <f aca="false">IF(Scoring!AI20="","",Scoring!AI20)</f>
        <v>OK</v>
      </c>
      <c r="I19" s="65" t="str">
        <f aca="false">IF(Scoring!AJ20="","",Scoring!AJ20)</f>
        <v>OK</v>
      </c>
      <c r="J19" s="65" t="str">
        <f aca="false">IF(Scoring!AK20="","",Scoring!AK20)</f>
        <v>OK</v>
      </c>
    </row>
    <row r="20" customFormat="false" ht="15" hidden="true" customHeight="true" outlineLevel="1" collapsed="false">
      <c r="A20" s="93" t="str">
        <f aca="false">IF(Scoring!A21="","",Scoring!A21)</f>
        <v>NEE</v>
      </c>
      <c r="B20" s="94" t="str">
        <f aca="false">IF(Scoring!B21="","",Scoring!B21)</f>
        <v>NextEra Energy Inc.</v>
      </c>
      <c r="C20" s="95" t="n">
        <f aca="false">IF(Scoring!C21="","",Scoring!C21)</f>
        <v>46245</v>
      </c>
      <c r="D20" s="96" t="n">
        <f aca="false">IF(Scoring!N21="","",Scoring!N21)</f>
        <v>2.5</v>
      </c>
      <c r="E20" s="97" t="str">
        <f aca="false">IF(Scoring!AF21="","",Scoring!AF21)</f>
        <v/>
      </c>
      <c r="F20" s="65" t="str">
        <f aca="false">IF(Scoring!AG21&lt;&gt;"",Scoring!AG21,IF(Scoring!AH21="OK","PENDING",""))</f>
        <v/>
      </c>
      <c r="G20" s="65" t="str">
        <f aca="false">IF(Scoring!AH21="","",Scoring!AH21)</f>
        <v>FAIL</v>
      </c>
      <c r="H20" s="65" t="str">
        <f aca="false">IF(Scoring!AI21="","",Scoring!AI21)</f>
        <v>REVIEW</v>
      </c>
      <c r="I20" s="65" t="str">
        <f aca="false">IF(Scoring!AJ21="","",Scoring!AJ21)</f>
        <v>AVOID</v>
      </c>
      <c r="J20" s="65" t="str">
        <f aca="false">IF(Scoring!AK21="","",Scoring!AK21)</f>
        <v>OK</v>
      </c>
    </row>
    <row r="21" customFormat="false" ht="15" hidden="true" customHeight="true" outlineLevel="1" collapsed="false">
      <c r="A21" s="93" t="str">
        <f aca="false">IF(Scoring!A22="","",Scoring!A22)</f>
        <v>CRK</v>
      </c>
      <c r="B21" s="94" t="str">
        <f aca="false">IF(Scoring!B22="","",Scoring!B22)</f>
        <v>Comstock Resources Inc.</v>
      </c>
      <c r="C21" s="95" t="n">
        <f aca="false">IF(Scoring!C22="","",Scoring!C22)</f>
        <v>46245</v>
      </c>
      <c r="D21" s="96" t="n">
        <f aca="false">IF(Scoring!N22="","",Scoring!N22)</f>
        <v>1.21428571428571</v>
      </c>
      <c r="E21" s="97" t="str">
        <f aca="false">IF(Scoring!AF22="","",Scoring!AF22)</f>
        <v/>
      </c>
      <c r="F21" s="65" t="str">
        <f aca="false">IF(Scoring!AG22&lt;&gt;"",Scoring!AG22,IF(Scoring!AH22="OK","PENDING",""))</f>
        <v/>
      </c>
      <c r="G21" s="65" t="str">
        <f aca="false">IF(Scoring!AH22="","",Scoring!AH22)</f>
        <v>FAIL</v>
      </c>
      <c r="H21" s="65" t="str">
        <f aca="false">IF(Scoring!AI22="","",Scoring!AI22)</f>
        <v>REVIEW</v>
      </c>
      <c r="I21" s="65" t="str">
        <f aca="false">IF(Scoring!AJ22="","",Scoring!AJ22)</f>
        <v>AVOID</v>
      </c>
      <c r="J21" s="65" t="str">
        <f aca="false">IF(Scoring!AK22="","",Scoring!AK22)</f>
        <v>OK</v>
      </c>
    </row>
    <row r="22" customFormat="false" ht="15" hidden="false" customHeight="true" outlineLevel="0" collapsed="false">
      <c r="A22" s="93" t="str">
        <f aca="false">IF(Scoring!A23="","",Scoring!A23)</f>
        <v>ET</v>
      </c>
      <c r="B22" s="94" t="str">
        <f aca="false">IF(Scoring!B23="","",Scoring!B23)</f>
        <v>Energy Transfer LP</v>
      </c>
      <c r="C22" s="95" t="n">
        <f aca="false">IF(Scoring!C23="","",Scoring!C23)</f>
        <v>46276</v>
      </c>
      <c r="D22" s="96" t="n">
        <f aca="false">IF(Scoring!N23="","",Scoring!N23)</f>
        <v>3.07142857142857</v>
      </c>
      <c r="E22" s="97" t="str">
        <f aca="false">IF(Scoring!AF23="","",Scoring!AF23)</f>
        <v/>
      </c>
      <c r="F22" s="65" t="str">
        <f aca="false">IF(Scoring!AG23&lt;&gt;"",Scoring!AG23,IF(Scoring!AH23="OK","PENDING",""))</f>
        <v>PENDING</v>
      </c>
      <c r="G22" s="65" t="str">
        <f aca="false">IF(Scoring!AH23="","",Scoring!AH23)</f>
        <v>OK</v>
      </c>
      <c r="H22" s="65" t="str">
        <f aca="false">IF(Scoring!AI23="","",Scoring!AI23)</f>
        <v>REVIEW</v>
      </c>
      <c r="I22" s="65" t="str">
        <f aca="false">IF(Scoring!AJ23="","",Scoring!AJ23)</f>
        <v>AVOID</v>
      </c>
      <c r="J22" s="65" t="str">
        <f aca="false">IF(Scoring!AK23="","",Scoring!AK23)</f>
        <v>OK</v>
      </c>
    </row>
    <row r="23" customFormat="false" ht="15" hidden="true" customHeight="true" outlineLevel="1" collapsed="false">
      <c r="A23" s="93" t="str">
        <f aca="false">IF(Scoring!A24="","",Scoring!A24)</f>
        <v>LBRT</v>
      </c>
      <c r="B23" s="94" t="str">
        <f aca="false">IF(Scoring!B24="","",Scoring!B24)</f>
        <v>Liberty Energy Inc.</v>
      </c>
      <c r="C23" s="95" t="n">
        <f aca="false">IF(Scoring!C24="","",Scoring!C24)</f>
        <v>46245</v>
      </c>
      <c r="D23" s="96" t="n">
        <f aca="false">IF(Scoring!N24="","",Scoring!N24)</f>
        <v>2.07142857142857</v>
      </c>
      <c r="E23" s="97" t="str">
        <f aca="false">IF(Scoring!AF24="","",Scoring!AF24)</f>
        <v/>
      </c>
      <c r="F23" s="65" t="str">
        <f aca="false">IF(Scoring!AG24&lt;&gt;"",Scoring!AG24,IF(Scoring!AH24="OK","PENDING",""))</f>
        <v/>
      </c>
      <c r="G23" s="65" t="str">
        <f aca="false">IF(Scoring!AH24="","",Scoring!AH24)</f>
        <v>FAIL</v>
      </c>
      <c r="H23" s="65" t="str">
        <f aca="false">IF(Scoring!AI24="","",Scoring!AI24)</f>
        <v>REVIEW</v>
      </c>
      <c r="I23" s="65" t="str">
        <f aca="false">IF(Scoring!AJ24="","",Scoring!AJ24)</f>
        <v>AVOID</v>
      </c>
      <c r="J23" s="65" t="str">
        <f aca="false">IF(Scoring!AK24="","",Scoring!AK24)</f>
        <v>OK</v>
      </c>
    </row>
    <row r="24" customFormat="false" ht="15" hidden="true" customHeight="true" outlineLevel="1" collapsed="false">
      <c r="A24" s="93" t="str">
        <f aca="false">IF(Scoring!A25="","",Scoring!A25)</f>
        <v>NOV</v>
      </c>
      <c r="B24" s="94" t="str">
        <f aca="false">IF(Scoring!B25="","",Scoring!B25)</f>
        <v>NOV Inc.</v>
      </c>
      <c r="C24" s="95" t="n">
        <f aca="false">IF(Scoring!C25="","",Scoring!C25)</f>
        <v>46245</v>
      </c>
      <c r="D24" s="96" t="n">
        <f aca="false">IF(Scoring!N25="","",Scoring!N25)</f>
        <v>2.64285714285714</v>
      </c>
      <c r="E24" s="97" t="str">
        <f aca="false">IF(Scoring!AF25="","",Scoring!AF25)</f>
        <v/>
      </c>
      <c r="F24" s="65" t="str">
        <f aca="false">IF(Scoring!AG25&lt;&gt;"",Scoring!AG25,IF(Scoring!AH25="OK","PENDING",""))</f>
        <v/>
      </c>
      <c r="G24" s="65" t="str">
        <f aca="false">IF(Scoring!AH25="","",Scoring!AH25)</f>
        <v>FAIL</v>
      </c>
      <c r="H24" s="65" t="str">
        <f aca="false">IF(Scoring!AI25="","",Scoring!AI25)</f>
        <v>OK</v>
      </c>
      <c r="I24" s="65" t="str">
        <f aca="false">IF(Scoring!AJ25="","",Scoring!AJ25)</f>
        <v>AVOID</v>
      </c>
      <c r="J24" s="65" t="str">
        <f aca="false">IF(Scoring!AK25="","",Scoring!AK25)</f>
        <v>OK</v>
      </c>
    </row>
    <row r="25" customFormat="false" ht="15" hidden="true" customHeight="true" outlineLevel="1" collapsed="false">
      <c r="A25" s="93" t="str">
        <f aca="false">IF(Scoring!A26="","",Scoring!A26)</f>
        <v>CE</v>
      </c>
      <c r="B25" s="94" t="str">
        <f aca="false">IF(Scoring!B26="","",Scoring!B26)</f>
        <v>Celanese Corp.</v>
      </c>
      <c r="C25" s="95" t="n">
        <f aca="false">IF(Scoring!C26="","",Scoring!C26)</f>
        <v>46245</v>
      </c>
      <c r="D25" s="96" t="n">
        <f aca="false">IF(Scoring!N26="","",Scoring!N26)</f>
        <v>1.78571428571429</v>
      </c>
      <c r="E25" s="97" t="str">
        <f aca="false">IF(Scoring!AF26="","",Scoring!AF26)</f>
        <v/>
      </c>
      <c r="F25" s="65" t="str">
        <f aca="false">IF(Scoring!AG26&lt;&gt;"",Scoring!AG26,IF(Scoring!AH26="OK","PENDING",""))</f>
        <v/>
      </c>
      <c r="G25" s="65" t="str">
        <f aca="false">IF(Scoring!AH26="","",Scoring!AH26)</f>
        <v>FAIL</v>
      </c>
      <c r="H25" s="65" t="str">
        <f aca="false">IF(Scoring!AI26="","",Scoring!AI26)</f>
        <v>REVIEW</v>
      </c>
      <c r="I25" s="65" t="str">
        <f aca="false">IF(Scoring!AJ26="","",Scoring!AJ26)</f>
        <v>AVOID</v>
      </c>
      <c r="J25" s="65" t="str">
        <f aca="false">IF(Scoring!AK26="","",Scoring!AK26)</f>
        <v>OK</v>
      </c>
    </row>
    <row r="26" customFormat="false" ht="15" hidden="true" customHeight="true" outlineLevel="1" collapsed="false">
      <c r="A26" s="93" t="str">
        <f aca="false">IF(Scoring!A27="","",Scoring!A27)</f>
        <v>CLF</v>
      </c>
      <c r="B26" s="94" t="str">
        <f aca="false">IF(Scoring!B27="","",Scoring!B27)</f>
        <v>Cleveland-Cliffs Inc.</v>
      </c>
      <c r="C26" s="95" t="n">
        <f aca="false">IF(Scoring!C27="","",Scoring!C27)</f>
        <v>46245</v>
      </c>
      <c r="D26" s="96" t="n">
        <f aca="false">IF(Scoring!N27="","",Scoring!N27)</f>
        <v>1.85714285714286</v>
      </c>
      <c r="E26" s="97" t="str">
        <f aca="false">IF(Scoring!AF27="","",Scoring!AF27)</f>
        <v/>
      </c>
      <c r="F26" s="65" t="str">
        <f aca="false">IF(Scoring!AG27&lt;&gt;"",Scoring!AG27,IF(Scoring!AH27="OK","PENDING",""))</f>
        <v/>
      </c>
      <c r="G26" s="65" t="str">
        <f aca="false">IF(Scoring!AH27="","",Scoring!AH27)</f>
        <v>FAIL</v>
      </c>
      <c r="H26" s="65" t="str">
        <f aca="false">IF(Scoring!AI27="","",Scoring!AI27)</f>
        <v>REVIEW</v>
      </c>
      <c r="I26" s="65" t="str">
        <f aca="false">IF(Scoring!AJ27="","",Scoring!AJ27)</f>
        <v>AVOID</v>
      </c>
      <c r="J26" s="65" t="str">
        <f aca="false">IF(Scoring!AK27="","",Scoring!AK27)</f>
        <v>OK</v>
      </c>
    </row>
    <row r="27" customFormat="false" ht="15" hidden="false" customHeight="true" outlineLevel="0" collapsed="false">
      <c r="A27" s="93" t="str">
        <f aca="false">IF(Scoring!A28="","",Scoring!A28)</f>
        <v>LIN</v>
      </c>
      <c r="B27" s="94" t="str">
        <f aca="false">IF(Scoring!B28="","",Scoring!B28)</f>
        <v>Linde plc</v>
      </c>
      <c r="C27" s="95" t="n">
        <f aca="false">IF(Scoring!C28="","",Scoring!C28)</f>
        <v>46276</v>
      </c>
      <c r="D27" s="96" t="n">
        <f aca="false">IF(Scoring!N28="","",Scoring!N28)</f>
        <v>3.07142857142857</v>
      </c>
      <c r="E27" s="97" t="str">
        <f aca="false">IF(Scoring!AF28="","",Scoring!AF28)</f>
        <v/>
      </c>
      <c r="F27" s="65" t="str">
        <f aca="false">IF(Scoring!AG28&lt;&gt;"",Scoring!AG28,IF(Scoring!AH28="OK","PENDING",""))</f>
        <v>PENDING</v>
      </c>
      <c r="G27" s="65" t="str">
        <f aca="false">IF(Scoring!AH28="","",Scoring!AH28)</f>
        <v>OK</v>
      </c>
      <c r="H27" s="65" t="str">
        <f aca="false">IF(Scoring!AI28="","",Scoring!AI28)</f>
        <v>OK</v>
      </c>
      <c r="I27" s="65" t="str">
        <f aca="false">IF(Scoring!AJ28="","",Scoring!AJ28)</f>
        <v>AVOID</v>
      </c>
      <c r="J27" s="65" t="str">
        <f aca="false">IF(Scoring!AK28="","",Scoring!AK28)</f>
        <v>OK</v>
      </c>
    </row>
    <row r="28" customFormat="false" ht="15" hidden="true" customHeight="true" outlineLevel="1" collapsed="false">
      <c r="A28" s="93" t="str">
        <f aca="false">IF(Scoring!A29="","",Scoring!A29)</f>
        <v>DEO</v>
      </c>
      <c r="B28" s="94" t="str">
        <f aca="false">IF(Scoring!B29="","",Scoring!B29)</f>
        <v>Diageo plc</v>
      </c>
      <c r="C28" s="95" t="n">
        <f aca="false">IF(Scoring!C29="","",Scoring!C29)</f>
        <v>46245</v>
      </c>
      <c r="D28" s="96" t="n">
        <f aca="false">IF(Scoring!N29="","",Scoring!N29)</f>
        <v>2.35714285714286</v>
      </c>
      <c r="E28" s="97" t="str">
        <f aca="false">IF(Scoring!AF29="","",Scoring!AF29)</f>
        <v/>
      </c>
      <c r="F28" s="65" t="str">
        <f aca="false">IF(Scoring!AG29&lt;&gt;"",Scoring!AG29,IF(Scoring!AH29="OK","PENDING",""))</f>
        <v/>
      </c>
      <c r="G28" s="65" t="str">
        <f aca="false">IF(Scoring!AH29="","",Scoring!AH29)</f>
        <v>FAIL</v>
      </c>
      <c r="H28" s="65" t="str">
        <f aca="false">IF(Scoring!AI29="","",Scoring!AI29)</f>
        <v>OK</v>
      </c>
      <c r="I28" s="65" t="str">
        <f aca="false">IF(Scoring!AJ29="","",Scoring!AJ29)</f>
        <v>AVOID</v>
      </c>
      <c r="J28" s="65" t="str">
        <f aca="false">IF(Scoring!AK29="","",Scoring!AK29)</f>
        <v>OK</v>
      </c>
    </row>
    <row r="29" customFormat="false" ht="15" hidden="true" customHeight="true" outlineLevel="1" collapsed="false">
      <c r="A29" s="93" t="str">
        <f aca="false">IF(Scoring!A30="","",Scoring!A30)</f>
        <v>EL</v>
      </c>
      <c r="B29" s="94" t="str">
        <f aca="false">IF(Scoring!B30="","",Scoring!B30)</f>
        <v>Estee Lauder Companies</v>
      </c>
      <c r="C29" s="95" t="n">
        <f aca="false">IF(Scoring!C30="","",Scoring!C30)</f>
        <v>46245</v>
      </c>
      <c r="D29" s="96" t="n">
        <f aca="false">IF(Scoring!N30="","",Scoring!N30)</f>
        <v>2.14285714285714</v>
      </c>
      <c r="E29" s="97" t="str">
        <f aca="false">IF(Scoring!AF30="","",Scoring!AF30)</f>
        <v/>
      </c>
      <c r="F29" s="65" t="str">
        <f aca="false">IF(Scoring!AG30&lt;&gt;"",Scoring!AG30,IF(Scoring!AH30="OK","PENDING",""))</f>
        <v/>
      </c>
      <c r="G29" s="65" t="str">
        <f aca="false">IF(Scoring!AH30="","",Scoring!AH30)</f>
        <v>FAIL</v>
      </c>
      <c r="H29" s="65" t="str">
        <f aca="false">IF(Scoring!AI30="","",Scoring!AI30)</f>
        <v>REVIEW</v>
      </c>
      <c r="I29" s="65" t="str">
        <f aca="false">IF(Scoring!AJ30="","",Scoring!AJ30)</f>
        <v>AVOID</v>
      </c>
      <c r="J29" s="65" t="str">
        <f aca="false">IF(Scoring!AK30="","",Scoring!AK30)</f>
        <v>OK</v>
      </c>
    </row>
    <row r="30" customFormat="false" ht="15" hidden="true" customHeight="true" outlineLevel="1" collapsed="false">
      <c r="A30" s="93" t="str">
        <f aca="false">IF(Scoring!A31="","",Scoring!A31)</f>
        <v>HRL</v>
      </c>
      <c r="B30" s="94" t="str">
        <f aca="false">IF(Scoring!B31="","",Scoring!B31)</f>
        <v>Hormel Foods Corp.</v>
      </c>
      <c r="C30" s="95" t="n">
        <f aca="false">IF(Scoring!C31="","",Scoring!C31)</f>
        <v>46245</v>
      </c>
      <c r="D30" s="96" t="n">
        <f aca="false">IF(Scoring!N31="","",Scoring!N31)</f>
        <v>1.92857142857143</v>
      </c>
      <c r="E30" s="97" t="str">
        <f aca="false">IF(Scoring!AF31="","",Scoring!AF31)</f>
        <v/>
      </c>
      <c r="F30" s="65" t="str">
        <f aca="false">IF(Scoring!AG31&lt;&gt;"",Scoring!AG31,IF(Scoring!AH31="OK","PENDING",""))</f>
        <v/>
      </c>
      <c r="G30" s="65" t="str">
        <f aca="false">IF(Scoring!AH31="","",Scoring!AH31)</f>
        <v>FAIL</v>
      </c>
      <c r="H30" s="65" t="str">
        <f aca="false">IF(Scoring!AI31="","",Scoring!AI31)</f>
        <v>REVIEW</v>
      </c>
      <c r="I30" s="65" t="str">
        <f aca="false">IF(Scoring!AJ31="","",Scoring!AJ31)</f>
        <v>AVOID</v>
      </c>
      <c r="J30" s="65" t="str">
        <f aca="false">IF(Scoring!AK31="","",Scoring!AK31)</f>
        <v>OK</v>
      </c>
    </row>
    <row r="31" customFormat="false" ht="15" hidden="false" customHeight="true" outlineLevel="0" collapsed="false">
      <c r="A31" s="93" t="str">
        <f aca="false">IF(Scoring!A32="","",Scoring!A32)</f>
        <v>PG</v>
      </c>
      <c r="B31" s="94" t="str">
        <f aca="false">IF(Scoring!B32="","",Scoring!B32)</f>
        <v>Procter &amp; Gamble Co.</v>
      </c>
      <c r="C31" s="95" t="n">
        <f aca="false">IF(Scoring!C32="","",Scoring!C32)</f>
        <v>46295</v>
      </c>
      <c r="D31" s="96" t="n">
        <f aca="false">IF(Scoring!N32="","",Scoring!N32)</f>
        <v>4</v>
      </c>
      <c r="E31" s="97" t="str">
        <f aca="false">IF(Scoring!AF32="","",Scoring!AF32)</f>
        <v/>
      </c>
      <c r="F31" s="65" t="str">
        <f aca="false">IF(Scoring!AG32&lt;&gt;"",Scoring!AG32,IF(Scoring!AH32="OK","PENDING",""))</f>
        <v>PENDING</v>
      </c>
      <c r="G31" s="65" t="str">
        <f aca="false">IF(Scoring!AH32="","",Scoring!AH32)</f>
        <v>OK</v>
      </c>
      <c r="H31" s="65" t="str">
        <f aca="false">IF(Scoring!AI32="","",Scoring!AI32)</f>
        <v>OK</v>
      </c>
      <c r="I31" s="65" t="str">
        <f aca="false">IF(Scoring!AJ32="","",Scoring!AJ32)</f>
        <v>OK</v>
      </c>
      <c r="J31" s="65" t="str">
        <f aca="false">IF(Scoring!AK32="","",Scoring!AK32)</f>
        <v>OK</v>
      </c>
    </row>
    <row r="32" customFormat="false" ht="15" hidden="false" customHeight="true" outlineLevel="0" collapsed="false">
      <c r="A32" s="93" t="str">
        <f aca="false">IF(Scoring!A33="","",Scoring!A33)</f>
        <v>CMG</v>
      </c>
      <c r="B32" s="94" t="str">
        <f aca="false">IF(Scoring!B33="","",Scoring!B33)</f>
        <v>Chipotle Mexican Grill</v>
      </c>
      <c r="C32" s="95" t="n">
        <f aca="false">IF(Scoring!C33="","",Scoring!C33)</f>
        <v>46245</v>
      </c>
      <c r="D32" s="96" t="n">
        <f aca="false">IF(Scoring!N33="","",Scoring!N33)</f>
        <v>3.71428571428571</v>
      </c>
      <c r="E32" s="97" t="str">
        <f aca="false">IF(Scoring!AF33="","",Scoring!AF33)</f>
        <v/>
      </c>
      <c r="F32" s="65" t="str">
        <f aca="false">IF(Scoring!AG33&lt;&gt;"",Scoring!AG33,IF(Scoring!AH33="OK","PENDING",""))</f>
        <v>PENDING</v>
      </c>
      <c r="G32" s="65" t="str">
        <f aca="false">IF(Scoring!AH33="","",Scoring!AH33)</f>
        <v>OK</v>
      </c>
      <c r="H32" s="65" t="str">
        <f aca="false">IF(Scoring!AI33="","",Scoring!AI33)</f>
        <v>OK</v>
      </c>
      <c r="I32" s="65" t="str">
        <f aca="false">IF(Scoring!AJ33="","",Scoring!AJ33)</f>
        <v>OK</v>
      </c>
      <c r="J32" s="65" t="str">
        <f aca="false">IF(Scoring!AK33="","",Scoring!AK33)</f>
        <v>OK</v>
      </c>
    </row>
    <row r="33" customFormat="false" ht="15" hidden="false" customHeight="true" outlineLevel="0" collapsed="false">
      <c r="A33" s="93" t="str">
        <f aca="false">IF(Scoring!A34="","",Scoring!A34)</f>
        <v>DPZ</v>
      </c>
      <c r="B33" s="94" t="str">
        <f aca="false">IF(Scoring!B34="","",Scoring!B34)</f>
        <v>Domino's Pizza Inc.</v>
      </c>
      <c r="C33" s="95" t="n">
        <f aca="false">IF(Scoring!C34="","",Scoring!C34)</f>
        <v>46295</v>
      </c>
      <c r="D33" s="96" t="n">
        <f aca="false">IF(Scoring!N34="","",Scoring!N34)</f>
        <v>3.92857142857143</v>
      </c>
      <c r="E33" s="97" t="str">
        <f aca="false">IF(Scoring!AF34="","",Scoring!AF34)</f>
        <v/>
      </c>
      <c r="F33" s="65" t="str">
        <f aca="false">IF(Scoring!AG34&lt;&gt;"",Scoring!AG34,IF(Scoring!AH34="OK","PENDING",""))</f>
        <v>PENDING</v>
      </c>
      <c r="G33" s="65" t="str">
        <f aca="false">IF(Scoring!AH34="","",Scoring!AH34)</f>
        <v>OK</v>
      </c>
      <c r="H33" s="65" t="str">
        <f aca="false">IF(Scoring!AI34="","",Scoring!AI34)</f>
        <v>OK</v>
      </c>
      <c r="I33" s="65" t="str">
        <f aca="false">IF(Scoring!AJ34="","",Scoring!AJ34)</f>
        <v>OK</v>
      </c>
      <c r="J33" s="65" t="str">
        <f aca="false">IF(Scoring!AK34="","",Scoring!AK34)</f>
        <v>OK</v>
      </c>
    </row>
    <row r="34" customFormat="false" ht="15" hidden="true" customHeight="true" outlineLevel="1" collapsed="false">
      <c r="A34" s="93" t="str">
        <f aca="false">IF(Scoring!A35="","",Scoring!A35)</f>
        <v>PZZA</v>
      </c>
      <c r="B34" s="94" t="str">
        <f aca="false">IF(Scoring!B35="","",Scoring!B35)</f>
        <v>Papa John's Intl.</v>
      </c>
      <c r="C34" s="95" t="n">
        <f aca="false">IF(Scoring!C35="","",Scoring!C35)</f>
        <v>46245</v>
      </c>
      <c r="D34" s="96" t="n">
        <f aca="false">IF(Scoring!N35="","",Scoring!N35)</f>
        <v>1.35714285714286</v>
      </c>
      <c r="E34" s="97" t="str">
        <f aca="false">IF(Scoring!AF35="","",Scoring!AF35)</f>
        <v/>
      </c>
      <c r="F34" s="65" t="str">
        <f aca="false">IF(Scoring!AG35&lt;&gt;"",Scoring!AG35,IF(Scoring!AH35="OK","PENDING",""))</f>
        <v/>
      </c>
      <c r="G34" s="65" t="str">
        <f aca="false">IF(Scoring!AH35="","",Scoring!AH35)</f>
        <v>FAIL</v>
      </c>
      <c r="H34" s="65" t="str">
        <f aca="false">IF(Scoring!AI35="","",Scoring!AI35)</f>
        <v>REVIEW</v>
      </c>
      <c r="I34" s="65" t="str">
        <f aca="false">IF(Scoring!AJ35="","",Scoring!AJ35)</f>
        <v>AVOID</v>
      </c>
      <c r="J34" s="65" t="str">
        <f aca="false">IF(Scoring!AK35="","",Scoring!AK35)</f>
        <v>OK</v>
      </c>
    </row>
    <row r="35" customFormat="false" ht="15" hidden="false" customHeight="true" outlineLevel="0" collapsed="false">
      <c r="A35" s="93" t="str">
        <f aca="false">IF(Scoring!A36="","",Scoring!A36)</f>
        <v>YUM</v>
      </c>
      <c r="B35" s="94" t="str">
        <f aca="false">IF(Scoring!B36="","",Scoring!B36)</f>
        <v>Yum! Brands Inc.</v>
      </c>
      <c r="C35" s="95" t="n">
        <f aca="false">IF(Scoring!C36="","",Scoring!C36)</f>
        <v>46295</v>
      </c>
      <c r="D35" s="96" t="n">
        <f aca="false">IF(Scoring!N36="","",Scoring!N36)</f>
        <v>3.78571428571429</v>
      </c>
      <c r="E35" s="97" t="str">
        <f aca="false">IF(Scoring!AF36="","",Scoring!AF36)</f>
        <v/>
      </c>
      <c r="F35" s="65" t="str">
        <f aca="false">IF(Scoring!AG36&lt;&gt;"",Scoring!AG36,IF(Scoring!AH36="OK","PENDING",""))</f>
        <v>PENDING</v>
      </c>
      <c r="G35" s="65" t="str">
        <f aca="false">IF(Scoring!AH36="","",Scoring!AH36)</f>
        <v>OK</v>
      </c>
      <c r="H35" s="65" t="str">
        <f aca="false">IF(Scoring!AI36="","",Scoring!AI36)</f>
        <v>OK</v>
      </c>
      <c r="I35" s="65" t="str">
        <f aca="false">IF(Scoring!AJ36="","",Scoring!AJ36)</f>
        <v>OK</v>
      </c>
      <c r="J35" s="65" t="str">
        <f aca="false">IF(Scoring!AK36="","",Scoring!AK36)</f>
        <v>OK</v>
      </c>
    </row>
    <row r="36" customFormat="false" ht="15" hidden="true" customHeight="true" outlineLevel="1" collapsed="false">
      <c r="A36" s="93" t="str">
        <f aca="false">IF(Scoring!A37="","",Scoring!A37)</f>
        <v>NKE</v>
      </c>
      <c r="B36" s="94" t="str">
        <f aca="false">IF(Scoring!B37="","",Scoring!B37)</f>
        <v>Nike Inc.</v>
      </c>
      <c r="C36" s="95" t="n">
        <f aca="false">IF(Scoring!C37="","",Scoring!C37)</f>
        <v>46246</v>
      </c>
      <c r="D36" s="96" t="n">
        <f aca="false">IF(Scoring!N37="","",Scoring!N37)</f>
        <v>1.57142857142857</v>
      </c>
      <c r="E36" s="97" t="str">
        <f aca="false">IF(Scoring!AF37="","",Scoring!AF37)</f>
        <v/>
      </c>
      <c r="F36" s="65" t="str">
        <f aca="false">IF(Scoring!AG37&lt;&gt;"",Scoring!AG37,IF(Scoring!AH37="OK","PENDING",""))</f>
        <v/>
      </c>
      <c r="G36" s="65" t="str">
        <f aca="false">IF(Scoring!AH37="","",Scoring!AH37)</f>
        <v>FAIL</v>
      </c>
      <c r="H36" s="65" t="str">
        <f aca="false">IF(Scoring!AI37="","",Scoring!AI37)</f>
        <v>REVIEW</v>
      </c>
      <c r="I36" s="65" t="str">
        <f aca="false">IF(Scoring!AJ37="","",Scoring!AJ37)</f>
        <v>AVOID</v>
      </c>
      <c r="J36" s="65" t="str">
        <f aca="false">IF(Scoring!AK37="","",Scoring!AK37)</f>
        <v>OK</v>
      </c>
    </row>
    <row r="37" customFormat="false" ht="15" hidden="true" customHeight="true" outlineLevel="1" collapsed="false">
      <c r="A37" s="93" t="str">
        <f aca="false">IF(Scoring!A38="","",Scoring!A38)</f>
        <v>VFC</v>
      </c>
      <c r="B37" s="94" t="str">
        <f aca="false">IF(Scoring!B38="","",Scoring!B38)</f>
        <v>V.F. Corporation</v>
      </c>
      <c r="C37" s="95" t="n">
        <f aca="false">IF(Scoring!C38="","",Scoring!C38)</f>
        <v>46246</v>
      </c>
      <c r="D37" s="96" t="n">
        <f aca="false">IF(Scoring!N38="","",Scoring!N38)</f>
        <v>2.85714285714286</v>
      </c>
      <c r="E37" s="97" t="str">
        <f aca="false">IF(Scoring!AF38="","",Scoring!AF38)</f>
        <v/>
      </c>
      <c r="F37" s="65" t="str">
        <f aca="false">IF(Scoring!AG38&lt;&gt;"",Scoring!AG38,IF(Scoring!AH38="OK","PENDING",""))</f>
        <v/>
      </c>
      <c r="G37" s="65" t="str">
        <f aca="false">IF(Scoring!AH38="","",Scoring!AH38)</f>
        <v>FAIL</v>
      </c>
      <c r="H37" s="65" t="str">
        <f aca="false">IF(Scoring!AI38="","",Scoring!AI38)</f>
        <v>OK</v>
      </c>
      <c r="I37" s="65" t="str">
        <f aca="false">IF(Scoring!AJ38="","",Scoring!AJ38)</f>
        <v>OK</v>
      </c>
      <c r="J37" s="65" t="str">
        <f aca="false">IF(Scoring!AK38="","",Scoring!AK38)</f>
        <v>OK</v>
      </c>
    </row>
    <row r="38" customFormat="false" ht="15" hidden="true" customHeight="true" outlineLevel="1" collapsed="false">
      <c r="A38" s="93" t="str">
        <f aca="false">IF(Scoring!A39="","",Scoring!A39)</f>
        <v>GOOS</v>
      </c>
      <c r="B38" s="94" t="str">
        <f aca="false">IF(Scoring!B39="","",Scoring!B39)</f>
        <v>Canada Goose Holdings</v>
      </c>
      <c r="C38" s="95" t="n">
        <f aca="false">IF(Scoring!C39="","",Scoring!C39)</f>
        <v>46246</v>
      </c>
      <c r="D38" s="96" t="n">
        <f aca="false">IF(Scoring!N39="","",Scoring!N39)</f>
        <v>2.5</v>
      </c>
      <c r="E38" s="97" t="str">
        <f aca="false">IF(Scoring!AF39="","",Scoring!AF39)</f>
        <v/>
      </c>
      <c r="F38" s="65" t="str">
        <f aca="false">IF(Scoring!AG39&lt;&gt;"",Scoring!AG39,IF(Scoring!AH39="OK","PENDING",""))</f>
        <v/>
      </c>
      <c r="G38" s="65" t="str">
        <f aca="false">IF(Scoring!AH39="","",Scoring!AH39)</f>
        <v>FAIL</v>
      </c>
      <c r="H38" s="65" t="str">
        <f aca="false">IF(Scoring!AI39="","",Scoring!AI39)</f>
        <v>REVIEW</v>
      </c>
      <c r="I38" s="65" t="str">
        <f aca="false">IF(Scoring!AJ39="","",Scoring!AJ39)</f>
        <v>AVOID</v>
      </c>
      <c r="J38" s="65" t="str">
        <f aca="false">IF(Scoring!AK39="","",Scoring!AK39)</f>
        <v>OK</v>
      </c>
    </row>
    <row r="39" customFormat="false" ht="15" hidden="true" customHeight="true" outlineLevel="1" collapsed="false">
      <c r="A39" s="93" t="str">
        <f aca="false">IF(Scoring!A40="","",Scoring!A40)</f>
        <v>AAP</v>
      </c>
      <c r="B39" s="94" t="str">
        <f aca="false">IF(Scoring!B40="","",Scoring!B40)</f>
        <v>Advance Auto Parts Inc.</v>
      </c>
      <c r="C39" s="95" t="n">
        <f aca="false">IF(Scoring!C40="","",Scoring!C40)</f>
        <v>46246</v>
      </c>
      <c r="D39" s="96" t="n">
        <f aca="false">IF(Scoring!N40="","",Scoring!N40)</f>
        <v>1.35714285714286</v>
      </c>
      <c r="E39" s="97" t="str">
        <f aca="false">IF(Scoring!AF40="","",Scoring!AF40)</f>
        <v/>
      </c>
      <c r="F39" s="65" t="str">
        <f aca="false">IF(Scoring!AG40&lt;&gt;"",Scoring!AG40,IF(Scoring!AH40="OK","PENDING",""))</f>
        <v/>
      </c>
      <c r="G39" s="65" t="str">
        <f aca="false">IF(Scoring!AH40="","",Scoring!AH40)</f>
        <v>FAIL</v>
      </c>
      <c r="H39" s="65" t="str">
        <f aca="false">IF(Scoring!AI40="","",Scoring!AI40)</f>
        <v>REVIEW</v>
      </c>
      <c r="I39" s="65" t="str">
        <f aca="false">IF(Scoring!AJ40="","",Scoring!AJ40)</f>
        <v>AVOID</v>
      </c>
      <c r="J39" s="65" t="str">
        <f aca="false">IF(Scoring!AK40="","",Scoring!AK40)</f>
        <v>OK</v>
      </c>
    </row>
    <row r="40" customFormat="false" ht="15" hidden="true" customHeight="true" outlineLevel="1" collapsed="false">
      <c r="A40" s="93" t="str">
        <f aca="false">IF(Scoring!A41="","",Scoring!A41)</f>
        <v>BABA</v>
      </c>
      <c r="B40" s="94" t="str">
        <f aca="false">IF(Scoring!B41="","",Scoring!B41)</f>
        <v>Alibaba Group Holding Ltd.</v>
      </c>
      <c r="C40" s="95" t="n">
        <f aca="false">IF(Scoring!C41="","",Scoring!C41)</f>
        <v>46246</v>
      </c>
      <c r="D40" s="96" t="n">
        <f aca="false">IF(Scoring!N41="","",Scoring!N41)</f>
        <v>2.78571428571429</v>
      </c>
      <c r="E40" s="97" t="str">
        <f aca="false">IF(Scoring!AF41="","",Scoring!AF41)</f>
        <v/>
      </c>
      <c r="F40" s="65" t="str">
        <f aca="false">IF(Scoring!AG41&lt;&gt;"",Scoring!AG41,IF(Scoring!AH41="OK","PENDING",""))</f>
        <v/>
      </c>
      <c r="G40" s="65" t="str">
        <f aca="false">IF(Scoring!AH41="","",Scoring!AH41)</f>
        <v>FAIL</v>
      </c>
      <c r="H40" s="65" t="str">
        <f aca="false">IF(Scoring!AI41="","",Scoring!AI41)</f>
        <v>OK</v>
      </c>
      <c r="I40" s="65" t="str">
        <f aca="false">IF(Scoring!AJ41="","",Scoring!AJ41)</f>
        <v>AVOID</v>
      </c>
      <c r="J40" s="65" t="str">
        <f aca="false">IF(Scoring!AK41="","",Scoring!AK41)</f>
        <v>OK</v>
      </c>
    </row>
    <row r="41" customFormat="false" ht="15" hidden="false" customHeight="true" outlineLevel="0" collapsed="false">
      <c r="A41" s="93" t="str">
        <f aca="false">IF(Scoring!A42="","",Scoring!A42)</f>
        <v>ETSY</v>
      </c>
      <c r="B41" s="94" t="str">
        <f aca="false">IF(Scoring!B42="","",Scoring!B42)</f>
        <v>Etsy Inc.</v>
      </c>
      <c r="C41" s="95" t="n">
        <f aca="false">IF(Scoring!C42="","",Scoring!C42)</f>
        <v>46246</v>
      </c>
      <c r="D41" s="96" t="n">
        <f aca="false">IF(Scoring!N42="","",Scoring!N42)</f>
        <v>3.42857142857143</v>
      </c>
      <c r="E41" s="97" t="str">
        <f aca="false">IF(Scoring!AF42="","",Scoring!AF42)</f>
        <v/>
      </c>
      <c r="F41" s="65" t="str">
        <f aca="false">IF(Scoring!AG42&lt;&gt;"",Scoring!AG42,IF(Scoring!AH42="OK","PENDING",""))</f>
        <v>PENDING</v>
      </c>
      <c r="G41" s="65" t="str">
        <f aca="false">IF(Scoring!AH42="","",Scoring!AH42)</f>
        <v>OK</v>
      </c>
      <c r="H41" s="65" t="str">
        <f aca="false">IF(Scoring!AI42="","",Scoring!AI42)</f>
        <v>OK</v>
      </c>
      <c r="I41" s="65" t="str">
        <f aca="false">IF(Scoring!AJ42="","",Scoring!AJ42)</f>
        <v>OK</v>
      </c>
      <c r="J41" s="65" t="str">
        <f aca="false">IF(Scoring!AK42="","",Scoring!AK42)</f>
        <v>OK</v>
      </c>
    </row>
    <row r="42" customFormat="false" ht="15" hidden="false" customHeight="true" outlineLevel="0" collapsed="false">
      <c r="A42" s="93" t="str">
        <f aca="false">IF(Scoring!A43="","",Scoring!A43)</f>
        <v>GE</v>
      </c>
      <c r="B42" s="94" t="str">
        <f aca="false">IF(Scoring!B43="","",Scoring!B43)</f>
        <v>GE Aerospace</v>
      </c>
      <c r="C42" s="95" t="n">
        <f aca="false">IF(Scoring!C43="","",Scoring!C43)</f>
        <v>46295</v>
      </c>
      <c r="D42" s="96" t="n">
        <f aca="false">IF(Scoring!N43="","",Scoring!N43)</f>
        <v>4.14285714285714</v>
      </c>
      <c r="E42" s="97" t="n">
        <f aca="false">IF(Scoring!AF43="","",Scoring!AF43)</f>
        <v>84.2</v>
      </c>
      <c r="F42" s="65" t="str">
        <f aca="false">IF(Scoring!AG43&lt;&gt;"",Scoring!AG43,IF(Scoring!AH43="OK","PENDING",""))</f>
        <v>STRONG BUY</v>
      </c>
      <c r="G42" s="65" t="str">
        <f aca="false">IF(Scoring!AH43="","",Scoring!AH43)</f>
        <v>OK</v>
      </c>
      <c r="H42" s="65" t="str">
        <f aca="false">IF(Scoring!AI43="","",Scoring!AI43)</f>
        <v>OK</v>
      </c>
      <c r="I42" s="65" t="str">
        <f aca="false">IF(Scoring!AJ43="","",Scoring!AJ43)</f>
        <v>OK</v>
      </c>
      <c r="J42" s="65" t="str">
        <f aca="false">IF(Scoring!AK43="","",Scoring!AK43)</f>
        <v>OK</v>
      </c>
    </row>
    <row r="43" customFormat="false" ht="15" hidden="false" customHeight="true" outlineLevel="0" collapsed="false">
      <c r="A43" s="93" t="str">
        <f aca="false">IF(Scoring!A44="","",Scoring!A44)</f>
        <v>PH</v>
      </c>
      <c r="B43" s="94" t="str">
        <f aca="false">IF(Scoring!B44="","",Scoring!B44)</f>
        <v>Parker-Hannifin Corporation</v>
      </c>
      <c r="C43" s="95" t="n">
        <f aca="false">IF(Scoring!C44="","",Scoring!C44)</f>
        <v>46247</v>
      </c>
      <c r="D43" s="96" t="n">
        <f aca="false">IF(Scoring!N44="","",Scoring!N44)</f>
        <v>3.28571428571429</v>
      </c>
      <c r="E43" s="97" t="str">
        <f aca="false">IF(Scoring!AF44="","",Scoring!AF44)</f>
        <v/>
      </c>
      <c r="F43" s="65" t="str">
        <f aca="false">IF(Scoring!AG44&lt;&gt;"",Scoring!AG44,IF(Scoring!AH44="OK","PENDING",""))</f>
        <v>PENDING</v>
      </c>
      <c r="G43" s="65" t="str">
        <f aca="false">IF(Scoring!AH44="","",Scoring!AH44)</f>
        <v>OK</v>
      </c>
      <c r="H43" s="65" t="str">
        <f aca="false">IF(Scoring!AI44="","",Scoring!AI44)</f>
        <v>OK</v>
      </c>
      <c r="I43" s="65" t="str">
        <f aca="false">IF(Scoring!AJ44="","",Scoring!AJ44)</f>
        <v>OK</v>
      </c>
      <c r="J43" s="65" t="str">
        <f aca="false">IF(Scoring!AK44="","",Scoring!AK44)</f>
        <v>OK</v>
      </c>
    </row>
    <row r="44" customFormat="false" ht="15" hidden="false" customHeight="true" outlineLevel="0" collapsed="false">
      <c r="A44" s="93" t="str">
        <f aca="false">IF(Scoring!A45="","",Scoring!A45)</f>
        <v>ETN</v>
      </c>
      <c r="B44" s="94" t="str">
        <f aca="false">IF(Scoring!B45="","",Scoring!B45)</f>
        <v>Eaton Corporation plc</v>
      </c>
      <c r="C44" s="95" t="n">
        <f aca="false">IF(Scoring!C45="","",Scoring!C45)</f>
        <v>46247</v>
      </c>
      <c r="D44" s="96" t="n">
        <f aca="false">IF(Scoring!N45="","",Scoring!N45)</f>
        <v>3.5</v>
      </c>
      <c r="E44" s="97" t="str">
        <f aca="false">IF(Scoring!AF45="","",Scoring!AF45)</f>
        <v/>
      </c>
      <c r="F44" s="65" t="str">
        <f aca="false">IF(Scoring!AG45&lt;&gt;"",Scoring!AG45,IF(Scoring!AH45="OK","PENDING",""))</f>
        <v>PENDING</v>
      </c>
      <c r="G44" s="65" t="str">
        <f aca="false">IF(Scoring!AH45="","",Scoring!AH45)</f>
        <v>OK</v>
      </c>
      <c r="H44" s="65" t="str">
        <f aca="false">IF(Scoring!AI45="","",Scoring!AI45)</f>
        <v>OK</v>
      </c>
      <c r="I44" s="65" t="str">
        <f aca="false">IF(Scoring!AJ45="","",Scoring!AJ45)</f>
        <v>OK</v>
      </c>
      <c r="J44" s="65" t="str">
        <f aca="false">IF(Scoring!AK45="","",Scoring!AK45)</f>
        <v>OK</v>
      </c>
    </row>
    <row r="45" customFormat="false" ht="15" hidden="true" customHeight="true" outlineLevel="1" collapsed="false">
      <c r="A45" s="93" t="str">
        <f aca="false">IF(Scoring!A46="","",Scoring!A46)</f>
        <v>DIS</v>
      </c>
      <c r="B45" s="94" t="str">
        <f aca="false">IF(Scoring!B46="","",Scoring!B46)</f>
        <v>The Walt Disney Company</v>
      </c>
      <c r="C45" s="95" t="n">
        <f aca="false">IF(Scoring!C46="","",Scoring!C46)</f>
        <v>46258</v>
      </c>
      <c r="D45" s="96" t="n">
        <f aca="false">IF(Scoring!N46="","",Scoring!N46)</f>
        <v>2.92857142857143</v>
      </c>
      <c r="E45" s="97" t="str">
        <f aca="false">IF(Scoring!AF46="","",Scoring!AF46)</f>
        <v/>
      </c>
      <c r="F45" s="65" t="str">
        <f aca="false">IF(Scoring!AG46&lt;&gt;"",Scoring!AG46,IF(Scoring!AH46="OK","PENDING",""))</f>
        <v/>
      </c>
      <c r="G45" s="65" t="str">
        <f aca="false">IF(Scoring!AH46="","",Scoring!AH46)</f>
        <v>FAIL</v>
      </c>
      <c r="H45" s="65" t="str">
        <f aca="false">IF(Scoring!AI46="","",Scoring!AI46)</f>
        <v>OK</v>
      </c>
      <c r="I45" s="65" t="str">
        <f aca="false">IF(Scoring!AJ46="","",Scoring!AJ46)</f>
        <v>AVOID</v>
      </c>
      <c r="J45" s="65" t="str">
        <f aca="false">IF(Scoring!AK46="","",Scoring!AK46)</f>
        <v>OK</v>
      </c>
    </row>
    <row r="46" customFormat="false" ht="15" hidden="false" customHeight="true" outlineLevel="0" collapsed="false">
      <c r="A46" s="93" t="str">
        <f aca="false">IF(Scoring!A47="","",Scoring!A47)</f>
        <v>NFLX</v>
      </c>
      <c r="B46" s="94" t="str">
        <f aca="false">IF(Scoring!B47="","",Scoring!B47)</f>
        <v>Netflix, Inc.</v>
      </c>
      <c r="C46" s="95" t="n">
        <f aca="false">IF(Scoring!C47="","",Scoring!C47)</f>
        <v>46295</v>
      </c>
      <c r="D46" s="96" t="n">
        <f aca="false">IF(Scoring!N47="","",Scoring!N47)</f>
        <v>4.21428571428571</v>
      </c>
      <c r="E46" s="97" t="n">
        <f aca="false">IF(Scoring!AF47="","",Scoring!AF47)</f>
        <v>83.8</v>
      </c>
      <c r="F46" s="65" t="str">
        <f aca="false">IF(Scoring!AG47&lt;&gt;"",Scoring!AG47,IF(Scoring!AH47="OK","PENDING",""))</f>
        <v>STRONG BUY</v>
      </c>
      <c r="G46" s="65" t="str">
        <f aca="false">IF(Scoring!AH47="","",Scoring!AH47)</f>
        <v>OK</v>
      </c>
      <c r="H46" s="65" t="str">
        <f aca="false">IF(Scoring!AI47="","",Scoring!AI47)</f>
        <v>OK</v>
      </c>
      <c r="I46" s="65" t="str">
        <f aca="false">IF(Scoring!AJ47="","",Scoring!AJ47)</f>
        <v>OK</v>
      </c>
      <c r="J46" s="65" t="str">
        <f aca="false">IF(Scoring!AK47="","",Scoring!AK47)</f>
        <v>OK</v>
      </c>
    </row>
    <row r="47" customFormat="false" ht="14.25" hidden="false" customHeight="true" outlineLevel="0" collapsed="false">
      <c r="A47" s="98" t="str">
        <f aca="false">IF(Scoring!A48="","",Scoring!A48)</f>
        <v>KGS</v>
      </c>
      <c r="B47" s="98" t="str">
        <f aca="false">IF(Scoring!B48="","",Scoring!B48)</f>
        <v>Kodiak Gas Services, Inc.</v>
      </c>
      <c r="C47" s="99" t="n">
        <f aca="false">IF(Scoring!C48="","",Scoring!C48)</f>
        <v>46276</v>
      </c>
      <c r="D47" s="100" t="n">
        <f aca="false">IF(Scoring!N48="","",Scoring!N48)</f>
        <v>4</v>
      </c>
      <c r="E47" s="98" t="str">
        <f aca="false">IF(Scoring!AF48="","",Scoring!AF48)</f>
        <v/>
      </c>
      <c r="F47" s="98" t="str">
        <f aca="false">IF(Scoring!AG48&lt;&gt;"",Scoring!AG48,IF(Scoring!AH48="OK","PENDING",""))</f>
        <v>PENDING</v>
      </c>
      <c r="G47" s="98" t="str">
        <f aca="false">IF(Scoring!AH48="","",Scoring!AH48)</f>
        <v>OK</v>
      </c>
      <c r="H47" s="98" t="str">
        <f aca="false">IF(Scoring!AI48="","",Scoring!AI48)</f>
        <v>OK</v>
      </c>
      <c r="I47" s="98" t="str">
        <f aca="false">IF(Scoring!AJ48="","",Scoring!AJ48)</f>
        <v>OK</v>
      </c>
      <c r="J47" s="98" t="str">
        <f aca="false">IF(Scoring!AK48="","",Scoring!AK48)</f>
        <v>OK</v>
      </c>
    </row>
    <row r="48" customFormat="false" ht="15" hidden="false" customHeight="true" outlineLevel="0" collapsed="false">
      <c r="A48" s="98" t="str">
        <f aca="false">IF(Scoring!A49="","",Scoring!A49)</f>
        <v>ABT</v>
      </c>
      <c r="B48" s="98" t="str">
        <f aca="false">IF(Scoring!B49="","",Scoring!B49)</f>
        <v>Abbott Laboratories</v>
      </c>
      <c r="C48" s="101" t="n">
        <f aca="false">IF(Scoring!C49="","",Scoring!C49)</f>
        <v>46295</v>
      </c>
      <c r="D48" s="100" t="n">
        <f aca="false">IF(Scoring!N49="","",Scoring!N49)</f>
        <v>3.5</v>
      </c>
      <c r="E48" s="98" t="n">
        <f aca="false">IF(Scoring!AF49="","",Scoring!AF49)</f>
        <v>70.8</v>
      </c>
      <c r="F48" s="98" t="str">
        <f aca="false">IF(Scoring!AG49&lt;&gt;"",Scoring!AG49,IF(Scoring!AH49="OK","PENDING",""))</f>
        <v>BUY</v>
      </c>
      <c r="G48" s="98" t="str">
        <f aca="false">IF(Scoring!AH49="","",Scoring!AH49)</f>
        <v>OK</v>
      </c>
      <c r="H48" s="98" t="str">
        <f aca="false">IF(Scoring!AI49="","",Scoring!AI49)</f>
        <v>OK</v>
      </c>
      <c r="I48" s="98" t="str">
        <f aca="false">IF(Scoring!AJ49="","",Scoring!AJ49)</f>
        <v>OK</v>
      </c>
      <c r="J48" s="98" t="str">
        <f aca="false">IF(Scoring!AK49="","",Scoring!AK49)</f>
        <v>OK</v>
      </c>
    </row>
    <row r="49" customFormat="false" ht="15.75" hidden="false" customHeight="true" outlineLevel="0" collapsed="false">
      <c r="A49" s="102" t="str">
        <f aca="false">IF(Scoring!A50="","",Scoring!A50)</f>
        <v>SLB</v>
      </c>
      <c r="B49" s="103" t="str">
        <f aca="false">IF(Scoring!B50="","",Scoring!B50)</f>
        <v>SLB N.V.</v>
      </c>
      <c r="C49" s="101" t="n">
        <f aca="false">IF(Scoring!C50="","",Scoring!C50)</f>
        <v>46295</v>
      </c>
      <c r="D49" s="100" t="n">
        <f aca="false">IF(Scoring!N50="","",Scoring!N50)</f>
        <v>3.5</v>
      </c>
      <c r="E49" s="98" t="n">
        <f aca="false">IF(Scoring!AF50="","",Scoring!AF50)</f>
        <v>72.4</v>
      </c>
      <c r="F49" s="98" t="str">
        <f aca="false">IF(Scoring!AG50&lt;&gt;"",Scoring!AG50,IF(Scoring!AH50="OK","PENDING",""))</f>
        <v>BUY</v>
      </c>
      <c r="G49" s="98" t="str">
        <f aca="false">IF(Scoring!AH50="","",Scoring!AH50)</f>
        <v>OK</v>
      </c>
      <c r="H49" s="98" t="str">
        <f aca="false">IF(Scoring!AI50="","",Scoring!AI50)</f>
        <v>OK</v>
      </c>
      <c r="I49" s="98" t="str">
        <f aca="false">IF(Scoring!AJ50="","",Scoring!AJ50)</f>
        <v>OK</v>
      </c>
      <c r="J49" s="98" t="str">
        <f aca="false">IF(Scoring!AK50="","",Scoring!AK50)</f>
        <v>OK</v>
      </c>
    </row>
    <row r="51" customFormat="false" ht="14.25" hidden="false" customHeight="true" outlineLevel="0" collapsed="false">
      <c r="A51" s="1" t="s">
        <v>288</v>
      </c>
    </row>
    <row r="52" customFormat="false" ht="15" hidden="false" customHeight="true" outlineLevel="0" collapsed="false">
      <c r="A52" s="104" t="n">
        <f aca="false">SUBTOTAL(103,A2:A50)</f>
        <v>29</v>
      </c>
      <c r="B52" s="104" t="s">
        <v>289</v>
      </c>
    </row>
  </sheetData>
  <conditionalFormatting sqref="F2:F46">
    <cfRule type="cellIs" priority="2" operator="equal" aboveAverage="0" equalAverage="0" bottom="0" percent="0" rank="0" text="" dxfId="17">
      <formula>"STRONG BUY"</formula>
    </cfRule>
    <cfRule type="cellIs" priority="3" operator="equal" aboveAverage="0" equalAverage="0" bottom="0" percent="0" rank="0" text="" dxfId="18">
      <formula>"BUY"</formula>
    </cfRule>
    <cfRule type="cellIs" priority="4" operator="equal" aboveAverage="0" equalAverage="0" bottom="0" percent="0" rank="0" text="" dxfId="19">
      <formula>"WATCH LIST"</formula>
    </cfRule>
    <cfRule type="cellIs" priority="5" operator="equal" aboveAverage="0" equalAverage="0" bottom="0" percent="0" rank="0" text="" dxfId="20">
      <formula>"AVOID"</formula>
    </cfRule>
    <cfRule type="cellIs" priority="6" operator="equal" aboveAverage="0" equalAverage="0" bottom="0" percent="0" rank="0" text="" dxfId="0">
      <formula>"PASS"</formula>
    </cfRule>
  </conditionalFormatting>
  <conditionalFormatting sqref="G2:G46">
    <cfRule type="cellIs" priority="7" operator="equal" aboveAverage="0" equalAverage="0" bottom="0" percent="0" rank="0" text="" dxfId="0">
      <formula>"FAIL"</formula>
    </cfRule>
  </conditionalFormatting>
  <conditionalFormatting sqref="I2:I46">
    <cfRule type="cellIs" priority="8" operator="equal" aboveAverage="0" equalAverage="0" bottom="0" percent="0" rank="0" text="" dxfId="0">
      <formula>"AVOID"</formula>
    </cfRule>
  </conditionalFormatting>
  <conditionalFormatting sqref="H2:H46">
    <cfRule type="cellIs" priority="9" operator="equal" aboveAverage="0" equalAverage="0" bottom="0" percent="0" rank="0" text="" dxfId="19">
      <formula>"REVIEW"</formula>
    </cfRule>
  </conditionalFormatting>
  <conditionalFormatting sqref="J2:J46">
    <cfRule type="cellIs" priority="10" operator="equal" aboveAverage="0" equalAverage="0" bottom="0" percent="0" rank="0" text="" dxfId="19">
      <formula>"CAP AT BUY"</formula>
    </cfRule>
  </conditionalFormatting>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 topLeftCell="AI43" activePane="bottomRight" state="frozen"/>
      <selection pane="topLeft" activeCell="A1" activeCellId="0" sqref="A1"/>
      <selection pane="topRight" activeCell="AI1" activeCellId="0" sqref="AI1"/>
      <selection pane="bottomLeft" activeCell="A43" activeCellId="0" sqref="A43"/>
      <selection pane="bottomRight" activeCell="AM55" activeCellId="0" sqref="AM55"/>
    </sheetView>
  </sheetViews>
  <sheetFormatPr defaultColWidth="8.66796875" defaultRowHeight="13.5" customHeight="false" zeroHeight="false" outlineLevelRow="1" outlineLevelCol="1"/>
  <cols>
    <col collapsed="false" customWidth="true" hidden="false" outlineLevel="0" max="1" min="1" style="24" width="8"/>
    <col collapsed="false" customWidth="true" hidden="false" outlineLevel="0" max="2" min="2" style="24" width="19.79"/>
    <col collapsed="false" customWidth="true" hidden="false" outlineLevel="0" max="3" min="3" style="24" width="10"/>
    <col collapsed="false" customWidth="true" hidden="false" outlineLevel="1" max="4" min="4" style="24" width="8.76"/>
    <col collapsed="false" customWidth="true" hidden="false" outlineLevel="1" max="5" min="5" style="24" width="7.11"/>
    <col collapsed="false" customWidth="true" hidden="false" outlineLevel="1" max="6" min="6" style="24" width="7.67"/>
    <col collapsed="false" customWidth="true" hidden="false" outlineLevel="1" max="7" min="7" style="24" width="6.77"/>
    <col collapsed="false" customWidth="true" hidden="false" outlineLevel="1" max="8" min="8" style="24" width="7.22"/>
    <col collapsed="false" customWidth="true" hidden="false" outlineLevel="1" max="9" min="9" style="24" width="6.44"/>
    <col collapsed="false" customWidth="true" hidden="false" outlineLevel="1" max="10" min="10" style="24" width="7.88"/>
    <col collapsed="false" customWidth="true" hidden="false" outlineLevel="1" max="11" min="11" style="24" width="6.44"/>
    <col collapsed="false" customWidth="true" hidden="false" outlineLevel="1" max="12" min="12" style="24" width="7.44"/>
    <col collapsed="false" customWidth="true" hidden="false" outlineLevel="1" max="13" min="13" style="24" width="9.56"/>
    <col collapsed="false" customWidth="true" hidden="false" outlineLevel="1" max="14" min="14" style="24" width="8.76"/>
    <col collapsed="false" customWidth="true" hidden="false" outlineLevel="1" max="15" min="15" style="24" width="7.56"/>
    <col collapsed="false" customWidth="true" hidden="false" outlineLevel="1" max="16" min="16" style="24" width="8.76"/>
    <col collapsed="false" customWidth="true" hidden="false" outlineLevel="1" max="17" min="17" style="24" width="6.44"/>
    <col collapsed="false" customWidth="true" hidden="false" outlineLevel="1" max="18" min="18" style="24" width="6.88"/>
    <col collapsed="false" customWidth="true" hidden="false" outlineLevel="1" max="19" min="19" style="24" width="6.33"/>
    <col collapsed="false" customWidth="true" hidden="false" outlineLevel="1" max="20" min="20" style="24" width="7.76"/>
    <col collapsed="false" customWidth="true" hidden="false" outlineLevel="1" max="21" min="21" style="24" width="6.33"/>
    <col collapsed="false" customWidth="true" hidden="false" outlineLevel="1" max="22" min="22" style="24" width="8.76"/>
    <col collapsed="false" customWidth="true" hidden="false" outlineLevel="1" max="23" min="23" style="24" width="6.33"/>
    <col collapsed="false" customWidth="true" hidden="false" outlineLevel="1" max="24" min="24" style="24" width="7.11"/>
    <col collapsed="false" customWidth="true" hidden="false" outlineLevel="1" max="25" min="25" style="24" width="8"/>
    <col collapsed="false" customWidth="true" hidden="false" outlineLevel="1" max="26" min="26" style="24" width="6.11"/>
    <col collapsed="false" customWidth="true" hidden="false" outlineLevel="1" max="27" min="27" style="24" width="9.56"/>
    <col collapsed="false" customWidth="true" hidden="false" outlineLevel="1" max="28" min="28" style="24" width="6.88"/>
    <col collapsed="false" customWidth="true" hidden="false" outlineLevel="1" max="29" min="29" style="24" width="8"/>
    <col collapsed="false" customWidth="true" hidden="false" outlineLevel="1" max="30" min="30" style="24" width="6.56"/>
    <col collapsed="false" customWidth="true" hidden="false" outlineLevel="1" max="31" min="31" style="24" width="7.67"/>
    <col collapsed="false" customWidth="true" hidden="false" outlineLevel="1" max="32" min="32" style="24" width="9"/>
    <col collapsed="false" customWidth="true" hidden="false" outlineLevel="0" max="33" min="33" style="24" width="12"/>
    <col collapsed="false" customWidth="true" hidden="false" outlineLevel="0" max="34" min="34" style="24" width="8"/>
    <col collapsed="false" customWidth="true" hidden="false" outlineLevel="0" max="35" min="35" style="24" width="6.44"/>
    <col collapsed="false" customWidth="true" hidden="false" outlineLevel="0" max="36" min="36" style="24" width="7"/>
    <col collapsed="false" customWidth="true" hidden="false" outlineLevel="0" max="37" min="37" style="24" width="7.67"/>
    <col collapsed="false" customWidth="true" hidden="false" outlineLevel="0" max="38" min="38" style="24" width="16.22"/>
    <col collapsed="false" customWidth="true" hidden="false" outlineLevel="0" max="39" min="39" style="24" width="24.78"/>
    <col collapsed="false" customWidth="true" hidden="true" outlineLevel="1" max="40" min="40" style="24" width="13.67"/>
    <col collapsed="false" customWidth="true" hidden="true" outlineLevel="1" max="41" min="41" style="24" width="14.11"/>
    <col collapsed="false" customWidth="true" hidden="true" outlineLevel="1" max="45" min="42" style="24" width="10"/>
    <col collapsed="false" customWidth="false" hidden="false" outlineLevel="0" max="16384" min="46" style="24" width="8.67"/>
  </cols>
  <sheetData>
    <row r="1" customFormat="false" ht="21.75" hidden="false" customHeight="true" outlineLevel="0" collapsed="false">
      <c r="D1" s="105" t="s">
        <v>290</v>
      </c>
      <c r="E1" s="105"/>
      <c r="F1" s="105"/>
      <c r="G1" s="105"/>
      <c r="H1" s="105"/>
      <c r="I1" s="105"/>
      <c r="J1" s="105"/>
      <c r="K1" s="105"/>
      <c r="L1" s="105"/>
      <c r="M1" s="105"/>
      <c r="N1" s="105"/>
      <c r="O1" s="105"/>
      <c r="P1" s="105" t="s">
        <v>291</v>
      </c>
      <c r="Q1" s="105"/>
      <c r="R1" s="105"/>
      <c r="S1" s="105"/>
      <c r="T1" s="105"/>
      <c r="U1" s="105"/>
      <c r="V1" s="105"/>
      <c r="W1" s="105"/>
      <c r="X1" s="105"/>
      <c r="Y1" s="106" t="s">
        <v>292</v>
      </c>
      <c r="Z1" s="106"/>
      <c r="AA1" s="106"/>
      <c r="AB1" s="106"/>
      <c r="AC1" s="106"/>
      <c r="AD1" s="106"/>
      <c r="AE1" s="106"/>
      <c r="AH1" s="107" t="s">
        <v>293</v>
      </c>
      <c r="AI1" s="107"/>
      <c r="AJ1" s="107"/>
      <c r="AK1" s="107"/>
      <c r="AL1" s="107" t="s">
        <v>294</v>
      </c>
      <c r="AM1" s="107"/>
      <c r="AN1" s="108" t="s">
        <v>295</v>
      </c>
      <c r="AO1" s="108"/>
      <c r="AP1" s="108"/>
      <c r="AQ1" s="108"/>
      <c r="AR1" s="108"/>
      <c r="AS1" s="108"/>
    </row>
    <row r="2" customFormat="false" ht="39.75" hidden="false" customHeight="true" outlineLevel="0" collapsed="false">
      <c r="A2" s="109" t="s">
        <v>81</v>
      </c>
      <c r="B2" s="109" t="s">
        <v>279</v>
      </c>
      <c r="C2" s="109" t="s">
        <v>296</v>
      </c>
      <c r="D2" s="109" t="s">
        <v>297</v>
      </c>
      <c r="E2" s="109" t="s">
        <v>298</v>
      </c>
      <c r="F2" s="109" t="s">
        <v>299</v>
      </c>
      <c r="G2" s="109" t="s">
        <v>298</v>
      </c>
      <c r="H2" s="109" t="s">
        <v>300</v>
      </c>
      <c r="I2" s="109" t="s">
        <v>298</v>
      </c>
      <c r="J2" s="109" t="s">
        <v>301</v>
      </c>
      <c r="K2" s="109" t="s">
        <v>298</v>
      </c>
      <c r="L2" s="109" t="s">
        <v>302</v>
      </c>
      <c r="M2" s="109" t="s">
        <v>303</v>
      </c>
      <c r="N2" s="109" t="s">
        <v>304</v>
      </c>
      <c r="O2" s="109" t="s">
        <v>305</v>
      </c>
      <c r="P2" s="109" t="s">
        <v>306</v>
      </c>
      <c r="Q2" s="109" t="s">
        <v>298</v>
      </c>
      <c r="R2" s="109" t="s">
        <v>307</v>
      </c>
      <c r="S2" s="109" t="s">
        <v>298</v>
      </c>
      <c r="T2" s="109" t="s">
        <v>308</v>
      </c>
      <c r="U2" s="109" t="s">
        <v>298</v>
      </c>
      <c r="V2" s="109" t="s">
        <v>309</v>
      </c>
      <c r="W2" s="109" t="s">
        <v>298</v>
      </c>
      <c r="X2" s="109" t="s">
        <v>310</v>
      </c>
      <c r="Y2" s="109" t="s">
        <v>311</v>
      </c>
      <c r="Z2" s="109" t="s">
        <v>298</v>
      </c>
      <c r="AA2" s="109" t="s">
        <v>312</v>
      </c>
      <c r="AB2" s="109" t="s">
        <v>298</v>
      </c>
      <c r="AC2" s="109" t="s">
        <v>313</v>
      </c>
      <c r="AD2" s="109" t="s">
        <v>298</v>
      </c>
      <c r="AE2" s="109" t="s">
        <v>314</v>
      </c>
      <c r="AF2" s="109" t="s">
        <v>315</v>
      </c>
      <c r="AG2" s="109" t="s">
        <v>283</v>
      </c>
      <c r="AH2" s="110" t="s">
        <v>316</v>
      </c>
      <c r="AI2" s="110" t="s">
        <v>317</v>
      </c>
      <c r="AJ2" s="110" t="s">
        <v>318</v>
      </c>
      <c r="AK2" s="110" t="s">
        <v>319</v>
      </c>
      <c r="AL2" s="107" t="s">
        <v>320</v>
      </c>
      <c r="AM2" s="92" t="s">
        <v>321</v>
      </c>
      <c r="AN2" s="111" t="s">
        <v>322</v>
      </c>
      <c r="AO2" s="111" t="s">
        <v>323</v>
      </c>
      <c r="AP2" s="111" t="s">
        <v>324</v>
      </c>
      <c r="AQ2" s="111" t="s">
        <v>325</v>
      </c>
      <c r="AR2" s="111" t="s">
        <v>326</v>
      </c>
      <c r="AS2" s="112" t="s">
        <v>327</v>
      </c>
    </row>
    <row r="3" customFormat="false" ht="15" hidden="false" customHeight="true" outlineLevel="0" collapsed="false">
      <c r="A3" s="62" t="s">
        <v>108</v>
      </c>
      <c r="B3" s="113" t="s">
        <v>109</v>
      </c>
      <c r="C3" s="114" t="n">
        <v>46295</v>
      </c>
      <c r="D3" s="115" t="n">
        <v>3</v>
      </c>
      <c r="E3" s="115" t="s">
        <v>328</v>
      </c>
      <c r="F3" s="115" t="n">
        <v>3</v>
      </c>
      <c r="G3" s="115" t="s">
        <v>328</v>
      </c>
      <c r="H3" s="115" t="n">
        <v>4</v>
      </c>
      <c r="I3" s="115" t="s">
        <v>329</v>
      </c>
      <c r="J3" s="115" t="n">
        <v>5</v>
      </c>
      <c r="K3" s="115" t="s">
        <v>329</v>
      </c>
      <c r="L3" s="115" t="n">
        <v>2</v>
      </c>
      <c r="M3" s="115" t="s">
        <v>328</v>
      </c>
      <c r="N3" s="116" t="n">
        <f aca="false">IF(COUNT(D3,F3,H3,J3,L3)=0,"",(D3*0.2+F3*0.15+H3*0.15+J3*0.1+L3*0.1)/(IF(D3&lt;&gt;"",0.2,0)+IF(F3&lt;&gt;"",0.15,0)+IF(H3&lt;&gt;"",0.15,0)+IF(J3&lt;&gt;"",0.1,0)+IF(L3&lt;&gt;"",0.1,0)))</f>
        <v>3.35714285714286</v>
      </c>
      <c r="O3" s="117" t="n">
        <f aca="false">IF(COUNT(D3,F3,H3,J3,L3)=0,"",D3*0.2+F3*0.15+H3*0.15+J3*0.1+L3*0.1)</f>
        <v>2.35</v>
      </c>
      <c r="P3" s="115" t="n">
        <v>4</v>
      </c>
      <c r="Q3" s="115" t="s">
        <v>328</v>
      </c>
      <c r="R3" s="115" t="n">
        <v>5</v>
      </c>
      <c r="S3" s="115" t="s">
        <v>328</v>
      </c>
      <c r="T3" s="115" t="n">
        <v>5</v>
      </c>
      <c r="U3" s="115" t="s">
        <v>329</v>
      </c>
      <c r="V3" s="115" t="n">
        <v>1</v>
      </c>
      <c r="W3" s="115" t="s">
        <v>329</v>
      </c>
      <c r="X3" s="117" t="n">
        <f aca="false">IF(COUNT(P3,R3,T3,V3)=0,"",P3*0.08+R3*0.06+T3*0.03+V3*0.08)</f>
        <v>0.85</v>
      </c>
      <c r="Y3" s="115" t="n">
        <v>5</v>
      </c>
      <c r="Z3" s="115" t="s">
        <v>329</v>
      </c>
      <c r="AA3" s="115" t="n">
        <v>3</v>
      </c>
      <c r="AB3" s="115" t="s">
        <v>328</v>
      </c>
      <c r="AC3" s="115" t="n">
        <v>3</v>
      </c>
      <c r="AD3" s="115" t="s">
        <v>330</v>
      </c>
      <c r="AE3" s="117" t="n">
        <f aca="false">IF(COUNT(Y3,AA3,AC3)=0,"",Y3*0.02+AA3*0.02+AC3*0.01)</f>
        <v>0.19</v>
      </c>
      <c r="AF3" s="97" t="n">
        <f aca="false">IF(OR(COUNT(D3,F3,H3,J3,L3)&lt;5,COUNT(P3,R3,T3,V3)&lt;4,COUNT(Y3,AA3,AC3)&lt;3),"",(O3+X3+AE3)*20)</f>
        <v>67.8</v>
      </c>
      <c r="AG3" s="93" t="str">
        <f aca="false">IF(AF3="","",IF(AF3&gt;=80,"STRONG BUY",IF(AF3&gt;=65,"BUY",IF(AF3&gt;=50,"WATCH LIST",IF(AF3&gt;=35,"AVOID","PASS")))))</f>
        <v>BUY</v>
      </c>
      <c r="AH3" s="93" t="str">
        <f aca="false">IF(N3="","",IF(N3&lt;3,"FAIL","OK"))</f>
        <v>OK</v>
      </c>
      <c r="AI3" s="93" t="str">
        <f aca="false">IF(COUNT(D3:L3)=0,"",IF(COUNTIF(D3:L3,1)&gt;0,"REVIEW","OK"))</f>
        <v>OK</v>
      </c>
      <c r="AJ3" s="93" t="str">
        <f aca="false">IF(COUNT(D3:L3)=0,"",IF(COUNTIF(D3:L3,"&lt;=2")&gt;=2,"AVOID","OK"))</f>
        <v>OK</v>
      </c>
      <c r="AK3" s="93" t="str">
        <f aca="false">IF(COUNTA(E3:M3)=0,"",IF(COUNTIF(E3:M3,"L")&gt;=2,"CAP AT BUY","OK"))</f>
        <v>OK</v>
      </c>
      <c r="AL3" s="118" t="s">
        <v>331</v>
      </c>
      <c r="AM3" s="119" t="s">
        <v>332</v>
      </c>
      <c r="AN3" s="120" t="n">
        <v>17525000000</v>
      </c>
      <c r="AO3" s="121" t="n">
        <v>8539000000</v>
      </c>
      <c r="AP3" s="115" t="str">
        <f aca="false">IF(OR(AN3="",AO3=""),"",IF(AN3&gt;AO3,"OK","LOW CONF"))</f>
        <v>OK</v>
      </c>
      <c r="AQ3" s="122" t="n">
        <v>9.159</v>
      </c>
      <c r="AR3" s="117" t="n">
        <v>115.76</v>
      </c>
      <c r="AS3" s="123" t="str">
        <f aca="false">IF(OR(AQ3="",AR3=""),"",IF(AQ3&lt;AR3,"Decreased",IF(AQ3&gt;AR3,"Increased","Flat")))</f>
        <v>Decreased</v>
      </c>
    </row>
    <row r="4" customFormat="false" ht="15" hidden="false" customHeight="true" outlineLevel="0" collapsed="false">
      <c r="A4" s="62" t="s">
        <v>165</v>
      </c>
      <c r="B4" s="113" t="s">
        <v>166</v>
      </c>
      <c r="C4" s="114" t="n">
        <v>46295</v>
      </c>
      <c r="D4" s="115" t="n">
        <v>2</v>
      </c>
      <c r="E4" s="115" t="s">
        <v>328</v>
      </c>
      <c r="F4" s="115" t="n">
        <v>3</v>
      </c>
      <c r="G4" s="115" t="s">
        <v>328</v>
      </c>
      <c r="H4" s="115" t="n">
        <v>5</v>
      </c>
      <c r="I4" s="115" t="s">
        <v>329</v>
      </c>
      <c r="J4" s="115" t="n">
        <v>4</v>
      </c>
      <c r="K4" s="115" t="s">
        <v>328</v>
      </c>
      <c r="L4" s="115" t="n">
        <v>2</v>
      </c>
      <c r="M4" s="115" t="s">
        <v>328</v>
      </c>
      <c r="N4" s="116" t="n">
        <f aca="false">IF(COUNT(D4,F4,H4,J4,L4)=0,"",(D4*0.2+F4*0.15+H4*0.15+J4*0.1+L4*0.1)/(IF(D4&lt;&gt;"",0.2,0)+IF(F4&lt;&gt;"",0.15,0)+IF(H4&lt;&gt;"",0.15,0)+IF(J4&lt;&gt;"",0.1,0)+IF(L4&lt;&gt;"",0.1,0)))</f>
        <v>3.14285714285714</v>
      </c>
      <c r="O4" s="117" t="n">
        <f aca="false">IF(COUNT(D4,F4,H4,J4,L4)=0,"",D4*0.2+F4*0.15+H4*0.15+J4*0.1+L4*0.1)</f>
        <v>2.2</v>
      </c>
      <c r="P4" s="115" t="n">
        <v>4</v>
      </c>
      <c r="Q4" s="115" t="s">
        <v>329</v>
      </c>
      <c r="R4" s="115" t="n">
        <v>4</v>
      </c>
      <c r="S4" s="115" t="s">
        <v>330</v>
      </c>
      <c r="T4" s="115" t="n">
        <v>4</v>
      </c>
      <c r="U4" s="115" t="s">
        <v>328</v>
      </c>
      <c r="V4" s="115" t="n">
        <v>4</v>
      </c>
      <c r="W4" s="115" t="s">
        <v>328</v>
      </c>
      <c r="X4" s="117" t="n">
        <f aca="false">IF(COUNT(P4,R4,T4,V4)=0,"",P4*0.08+R4*0.06+T4*0.03+V4*0.08)</f>
        <v>1</v>
      </c>
      <c r="Y4" s="115" t="n">
        <v>3</v>
      </c>
      <c r="Z4" s="115" t="s">
        <v>328</v>
      </c>
      <c r="AA4" s="115" t="n">
        <v>5</v>
      </c>
      <c r="AB4" s="115" t="s">
        <v>329</v>
      </c>
      <c r="AC4" s="115" t="n">
        <v>3</v>
      </c>
      <c r="AD4" s="115" t="s">
        <v>328</v>
      </c>
      <c r="AE4" s="117" t="n">
        <f aca="false">IF(COUNT(Y4,AA4,AC4)=0,"",Y4*0.02+AA4*0.02+AC4*0.01)</f>
        <v>0.19</v>
      </c>
      <c r="AF4" s="97" t="n">
        <f aca="false">IF(OR(COUNT(D4,F4,H4,J4,L4)&lt;5,COUNT(P4,R4,T4,V4)&lt;4,COUNT(Y4,AA4,AC4)&lt;3),"",(O4+X4+AE4)*20)</f>
        <v>67.8</v>
      </c>
      <c r="AG4" s="93" t="str">
        <f aca="false">IF(AF4="","",IF(AF4&gt;=80,"STRONG BUY",IF(AF4&gt;=65,"BUY",IF(AF4&gt;=50,"WATCH LIST",IF(AF4&gt;=35,"AVOID","PASS")))))</f>
        <v>BUY</v>
      </c>
      <c r="AH4" s="93" t="str">
        <f aca="false">IF(N4="","",IF(N4&lt;3,"FAIL","OK"))</f>
        <v>OK</v>
      </c>
      <c r="AI4" s="93" t="str">
        <f aca="false">IF(COUNT(D4:L4)=0,"",IF(COUNTIF(D4:L4,1)&gt;0,"REVIEW","OK"))</f>
        <v>OK</v>
      </c>
      <c r="AJ4" s="93" t="str">
        <f aca="false">IF(COUNT(D4:L4)=0,"",IF(COUNTIF(D4:L4,"&lt;=2")&gt;=2,"AVOID","OK"))</f>
        <v>AVOID</v>
      </c>
      <c r="AK4" s="93" t="str">
        <f aca="false">IF(COUNTA(E4:M4)=0,"",IF(COUNTIF(E4:M4,"L")&gt;=2,"CAP AT BUY","OK"))</f>
        <v>OK</v>
      </c>
      <c r="AL4" s="118" t="s">
        <v>331</v>
      </c>
      <c r="AM4" s="119" t="s">
        <v>332</v>
      </c>
      <c r="AN4" s="115"/>
      <c r="AO4" s="93"/>
      <c r="AP4" s="115" t="str">
        <f aca="false">IF(OR(AN4="",AO4=""),"",IF(AN4&gt;AO4,"OK","LOW CONF"))</f>
        <v/>
      </c>
      <c r="AQ4" s="115"/>
      <c r="AR4" s="93"/>
      <c r="AS4" s="123" t="str">
        <f aca="false">IF(OR(AQ4="",AR4=""),"",IF(AQ4&lt;AR4,"Decreased",IF(AQ4&gt;AR4,"Increased","Flat")))</f>
        <v/>
      </c>
    </row>
    <row r="5" customFormat="false" ht="15" hidden="false" customHeight="true" outlineLevel="0" collapsed="false">
      <c r="A5" s="62" t="s">
        <v>112</v>
      </c>
      <c r="B5" s="113" t="s">
        <v>113</v>
      </c>
      <c r="C5" s="114" t="n">
        <v>46295</v>
      </c>
      <c r="D5" s="115" t="n">
        <v>3</v>
      </c>
      <c r="E5" s="115" t="s">
        <v>328</v>
      </c>
      <c r="F5" s="115" t="n">
        <v>4</v>
      </c>
      <c r="G5" s="115" t="s">
        <v>328</v>
      </c>
      <c r="H5" s="115" t="n">
        <v>5</v>
      </c>
      <c r="I5" s="115" t="s">
        <v>328</v>
      </c>
      <c r="J5" s="115" t="n">
        <v>4</v>
      </c>
      <c r="K5" s="115" t="s">
        <v>328</v>
      </c>
      <c r="L5" s="115" t="n">
        <v>5</v>
      </c>
      <c r="M5" s="115" t="s">
        <v>328</v>
      </c>
      <c r="N5" s="116" t="n">
        <f aca="false">IF(COUNT(D5,F5,H5,J5,L5)=0,"",(D5*0.2+F5*0.15+H5*0.15+J5*0.1+L5*0.1)/(IF(D5&lt;&gt;"",0.2,0)+IF(F5&lt;&gt;"",0.15,0)+IF(H5&lt;&gt;"",0.15,0)+IF(J5&lt;&gt;"",0.1,0)+IF(L5&lt;&gt;"",0.1,0)))</f>
        <v>4.07142857142857</v>
      </c>
      <c r="O5" s="117" t="n">
        <f aca="false">IF(COUNT(D5,F5,H5,J5,L5)=0,"",D5*0.2+F5*0.15+H5*0.15+J5*0.1+L5*0.1)</f>
        <v>2.85</v>
      </c>
      <c r="P5" s="115" t="n">
        <v>3</v>
      </c>
      <c r="Q5" s="115" t="s">
        <v>328</v>
      </c>
      <c r="R5" s="115" t="n">
        <v>5</v>
      </c>
      <c r="S5" s="115" t="s">
        <v>329</v>
      </c>
      <c r="T5" s="115" t="n">
        <v>3</v>
      </c>
      <c r="U5" s="115" t="s">
        <v>328</v>
      </c>
      <c r="V5" s="115" t="n">
        <v>2</v>
      </c>
      <c r="W5" s="115" t="s">
        <v>328</v>
      </c>
      <c r="X5" s="117" t="n">
        <f aca="false">IF(COUNT(P5,R5,T5,V5)=0,"",P5*0.08+R5*0.06+T5*0.03+V5*0.08)</f>
        <v>0.79</v>
      </c>
      <c r="Y5" s="115" t="n">
        <v>3</v>
      </c>
      <c r="Z5" s="115" t="s">
        <v>330</v>
      </c>
      <c r="AA5" s="115" t="n">
        <v>4</v>
      </c>
      <c r="AB5" s="115" t="s">
        <v>328</v>
      </c>
      <c r="AC5" s="115" t="n">
        <v>3</v>
      </c>
      <c r="AD5" s="115" t="s">
        <v>330</v>
      </c>
      <c r="AE5" s="117" t="n">
        <f aca="false">IF(COUNT(Y5,AA5,AC5)=0,"",Y5*0.02+AA5*0.02+AC5*0.01)</f>
        <v>0.17</v>
      </c>
      <c r="AF5" s="97" t="n">
        <f aca="false">IF(OR(COUNT(D5,F5,H5,J5,L5)&lt;5,COUNT(P5,R5,T5,V5)&lt;4,COUNT(Y5,AA5,AC5)&lt;3),"",(O5+X5+AE5)*20)</f>
        <v>76.2</v>
      </c>
      <c r="AG5" s="93" t="str">
        <f aca="false">IF(AF5="","",IF(AF5&gt;=80,"STRONG BUY",IF(AF5&gt;=65,"BUY",IF(AF5&gt;=50,"WATCH LIST",IF(AF5&gt;=35,"AVOID","PASS")))))</f>
        <v>BUY</v>
      </c>
      <c r="AH5" s="93" t="str">
        <f aca="false">IF(N5="","",IF(N5&lt;3,"FAIL","OK"))</f>
        <v>OK</v>
      </c>
      <c r="AI5" s="93" t="str">
        <f aca="false">IF(COUNT(D5:L5)=0,"",IF(COUNTIF(D5:L5,1)&gt;0,"REVIEW","OK"))</f>
        <v>OK</v>
      </c>
      <c r="AJ5" s="93" t="str">
        <f aca="false">IF(COUNT(D5:L5)=0,"",IF(COUNTIF(D5:L5,"&lt;=2")&gt;=2,"AVOID","OK"))</f>
        <v>OK</v>
      </c>
      <c r="AK5" s="93" t="str">
        <f aca="false">IF(COUNTA(E5:M5)=0,"",IF(COUNTIF(E5:M5,"L")&gt;=2,"CAP AT BUY","OK"))</f>
        <v>OK</v>
      </c>
      <c r="AL5" s="118" t="s">
        <v>331</v>
      </c>
      <c r="AM5" s="119" t="s">
        <v>333</v>
      </c>
      <c r="AN5" s="115"/>
      <c r="AO5" s="93"/>
      <c r="AP5" s="115" t="str">
        <f aca="false">IF(OR(AN5="",AO5=""),"",IF(AN5&gt;AO5,"OK","LOW CONF"))</f>
        <v/>
      </c>
      <c r="AQ5" s="115"/>
      <c r="AR5" s="93"/>
      <c r="AS5" s="123" t="str">
        <f aca="false">IF(OR(AQ5="",AR5=""),"",IF(AQ5&lt;AR5,"Decreased",IF(AQ5&gt;AR5,"Increased","Flat")))</f>
        <v/>
      </c>
    </row>
    <row r="6" customFormat="false" ht="15" hidden="false" customHeight="true" outlineLevel="0" collapsed="false">
      <c r="A6" s="62" t="s">
        <v>110</v>
      </c>
      <c r="B6" s="113" t="s">
        <v>111</v>
      </c>
      <c r="C6" s="114" t="n">
        <v>46295</v>
      </c>
      <c r="D6" s="115" t="n">
        <v>3</v>
      </c>
      <c r="E6" s="115" t="s">
        <v>328</v>
      </c>
      <c r="F6" s="115" t="n">
        <v>5</v>
      </c>
      <c r="G6" s="115" t="s">
        <v>328</v>
      </c>
      <c r="H6" s="115" t="n">
        <v>5</v>
      </c>
      <c r="I6" s="115" t="s">
        <v>329</v>
      </c>
      <c r="J6" s="115" t="n">
        <v>4</v>
      </c>
      <c r="K6" s="115" t="s">
        <v>329</v>
      </c>
      <c r="L6" s="115" t="n">
        <v>5</v>
      </c>
      <c r="M6" s="115" t="s">
        <v>328</v>
      </c>
      <c r="N6" s="116" t="n">
        <f aca="false">IF(COUNT(D6,F6,H6,J6,L6)=0,"",(D6*0.2+F6*0.15+H6*0.15+J6*0.1+L6*0.1)/(IF(D6&lt;&gt;"",0.2,0)+IF(F6&lt;&gt;"",0.15,0)+IF(H6&lt;&gt;"",0.15,0)+IF(J6&lt;&gt;"",0.1,0)+IF(L6&lt;&gt;"",0.1,0)))</f>
        <v>4.28571428571429</v>
      </c>
      <c r="O6" s="117" t="n">
        <f aca="false">IF(COUNT(D6,F6,H6,J6,L6)=0,"",D6*0.2+F6*0.15+H6*0.15+J6*0.1+L6*0.1)</f>
        <v>3</v>
      </c>
      <c r="P6" s="115" t="n">
        <v>5</v>
      </c>
      <c r="Q6" s="115" t="s">
        <v>329</v>
      </c>
      <c r="R6" s="115" t="n">
        <v>5</v>
      </c>
      <c r="S6" s="115" t="s">
        <v>329</v>
      </c>
      <c r="T6" s="115" t="n">
        <v>5</v>
      </c>
      <c r="U6" s="115" t="s">
        <v>329</v>
      </c>
      <c r="V6" s="115" t="n">
        <v>5</v>
      </c>
      <c r="W6" s="115" t="s">
        <v>328</v>
      </c>
      <c r="X6" s="117" t="n">
        <f aca="false">IF(COUNT(P6,R6,T6,V6)=0,"",P6*0.08+R6*0.06+T6*0.03+V6*0.08)</f>
        <v>1.25</v>
      </c>
      <c r="Y6" s="115" t="n">
        <v>4</v>
      </c>
      <c r="Z6" s="115" t="s">
        <v>328</v>
      </c>
      <c r="AA6" s="115" t="n">
        <v>5</v>
      </c>
      <c r="AB6" s="115" t="s">
        <v>328</v>
      </c>
      <c r="AC6" s="115" t="n">
        <v>3</v>
      </c>
      <c r="AD6" s="115" t="s">
        <v>330</v>
      </c>
      <c r="AE6" s="117" t="n">
        <f aca="false">IF(COUNT(Y6,AA6,AC6)=0,"",Y6*0.02+AA6*0.02+AC6*0.01)</f>
        <v>0.21</v>
      </c>
      <c r="AF6" s="97" t="n">
        <f aca="false">IF(OR(COUNT(D6,F6,H6,J6,L6)&lt;5,COUNT(P6,R6,T6,V6)&lt;4,COUNT(Y6,AA6,AC6)&lt;3),"",(O6+X6+AE6)*20)</f>
        <v>89.2</v>
      </c>
      <c r="AG6" s="93" t="str">
        <f aca="false">IF(AF6="","",IF(AF6&gt;=80,"STRONG BUY",IF(AF6&gt;=65,"BUY",IF(AF6&gt;=50,"WATCH LIST",IF(AF6&gt;=35,"AVOID","PASS")))))</f>
        <v>STRONG BUY</v>
      </c>
      <c r="AH6" s="93" t="str">
        <f aca="false">IF(N6="","",IF(N6&lt;3,"FAIL","OK"))</f>
        <v>OK</v>
      </c>
      <c r="AI6" s="93" t="str">
        <f aca="false">IF(COUNT(D6:L6)=0,"",IF(COUNTIF(D6:L6,1)&gt;0,"REVIEW","OK"))</f>
        <v>OK</v>
      </c>
      <c r="AJ6" s="93" t="str">
        <f aca="false">IF(COUNT(D6:L6)=0,"",IF(COUNTIF(D6:L6,"&lt;=2")&gt;=2,"AVOID","OK"))</f>
        <v>OK</v>
      </c>
      <c r="AK6" s="93" t="str">
        <f aca="false">IF(COUNTA(E6:M6)=0,"",IF(COUNTIF(E6:M6,"L")&gt;=2,"CAP AT BUY","OK"))</f>
        <v>OK</v>
      </c>
      <c r="AL6" s="118" t="s">
        <v>331</v>
      </c>
      <c r="AM6" s="119" t="s">
        <v>332</v>
      </c>
      <c r="AN6" s="115"/>
      <c r="AO6" s="93"/>
      <c r="AP6" s="115" t="str">
        <f aca="false">IF(OR(AN6="",AO6=""),"",IF(AN6&gt;AO6,"OK","LOW CONF"))</f>
        <v/>
      </c>
      <c r="AQ6" s="115"/>
      <c r="AR6" s="93"/>
      <c r="AS6" s="123" t="str">
        <f aca="false">IF(OR(AQ6="",AR6=""),"",IF(AQ6&lt;AR6,"Decreased",IF(AQ6&gt;AR6,"Increased","Flat")))</f>
        <v/>
      </c>
    </row>
    <row r="7" customFormat="false" ht="15" hidden="false" customHeight="true" outlineLevel="0" collapsed="false">
      <c r="A7" s="62" t="s">
        <v>167</v>
      </c>
      <c r="B7" s="113" t="s">
        <v>168</v>
      </c>
      <c r="C7" s="114" t="n">
        <v>46295</v>
      </c>
      <c r="D7" s="115" t="n">
        <v>2</v>
      </c>
      <c r="E7" s="115" t="s">
        <v>328</v>
      </c>
      <c r="F7" s="115" t="n">
        <v>4</v>
      </c>
      <c r="G7" s="115" t="s">
        <v>328</v>
      </c>
      <c r="H7" s="115" t="n">
        <v>4</v>
      </c>
      <c r="I7" s="115" t="s">
        <v>328</v>
      </c>
      <c r="J7" s="115" t="n">
        <v>4</v>
      </c>
      <c r="K7" s="115" t="s">
        <v>328</v>
      </c>
      <c r="L7" s="115" t="n">
        <v>2</v>
      </c>
      <c r="M7" s="115" t="s">
        <v>328</v>
      </c>
      <c r="N7" s="116" t="n">
        <f aca="false">IF(COUNT(D7,F7,H7,J7,L7)=0,"",(D7*0.2+F7*0.15+H7*0.15+J7*0.1+L7*0.1)/(IF(D7&lt;&gt;"",0.2,0)+IF(F7&lt;&gt;"",0.15,0)+IF(H7&lt;&gt;"",0.15,0)+IF(J7&lt;&gt;"",0.1,0)+IF(L7&lt;&gt;"",0.1,0)))</f>
        <v>3.14285714285714</v>
      </c>
      <c r="O7" s="117" t="n">
        <f aca="false">IF(COUNT(D7,F7,H7,J7,L7)=0,"",D7*0.2+F7*0.15+H7*0.15+J7*0.1+L7*0.1)</f>
        <v>2.2</v>
      </c>
      <c r="P7" s="115" t="n">
        <v>3</v>
      </c>
      <c r="Q7" s="115" t="s">
        <v>328</v>
      </c>
      <c r="R7" s="115" t="n">
        <v>4</v>
      </c>
      <c r="S7" s="115" t="s">
        <v>328</v>
      </c>
      <c r="T7" s="115" t="n">
        <v>4</v>
      </c>
      <c r="U7" s="115" t="s">
        <v>328</v>
      </c>
      <c r="V7" s="115" t="n">
        <v>4</v>
      </c>
      <c r="W7" s="115" t="s">
        <v>328</v>
      </c>
      <c r="X7" s="117" t="n">
        <f aca="false">IF(COUNT(P7,R7,T7,V7)=0,"",P7*0.08+R7*0.06+T7*0.03+V7*0.08)</f>
        <v>0.92</v>
      </c>
      <c r="Y7" s="115" t="n">
        <v>4</v>
      </c>
      <c r="Z7" s="115" t="s">
        <v>328</v>
      </c>
      <c r="AA7" s="115" t="n">
        <v>5</v>
      </c>
      <c r="AB7" s="115" t="s">
        <v>329</v>
      </c>
      <c r="AC7" s="115" t="n">
        <v>3</v>
      </c>
      <c r="AD7" s="115" t="s">
        <v>330</v>
      </c>
      <c r="AE7" s="117" t="n">
        <f aca="false">IF(COUNT(Y7,AA7,AC7)=0,"",Y7*0.02+AA7*0.02+AC7*0.01)</f>
        <v>0.21</v>
      </c>
      <c r="AF7" s="97" t="n">
        <f aca="false">IF(OR(COUNT(D7,F7,H7,J7,L7)&lt;5,COUNT(P7,R7,T7,V7)&lt;4,COUNT(Y7,AA7,AC7)&lt;3),"",(O7+X7+AE7)*20)</f>
        <v>66.6</v>
      </c>
      <c r="AG7" s="93" t="str">
        <f aca="false">IF(AF7="","",IF(AF7&gt;=80,"STRONG BUY",IF(AF7&gt;=65,"BUY",IF(AF7&gt;=50,"WATCH LIST",IF(AF7&gt;=35,"AVOID","PASS")))))</f>
        <v>BUY</v>
      </c>
      <c r="AH7" s="93" t="str">
        <f aca="false">IF(N7="","",IF(N7&lt;3,"FAIL","OK"))</f>
        <v>OK</v>
      </c>
      <c r="AI7" s="93" t="str">
        <f aca="false">IF(COUNT(D7:L7)=0,"",IF(COUNTIF(D7:L7,1)&gt;0,"REVIEW","OK"))</f>
        <v>OK</v>
      </c>
      <c r="AJ7" s="93" t="str">
        <f aca="false">IF(COUNT(D7:L7)=0,"",IF(COUNTIF(D7:L7,"&lt;=2")&gt;=2,"AVOID","OK"))</f>
        <v>AVOID</v>
      </c>
      <c r="AK7" s="93" t="str">
        <f aca="false">IF(COUNTA(E7:M7)=0,"",IF(COUNTIF(E7:M7,"L")&gt;=2,"CAP AT BUY","OK"))</f>
        <v>OK</v>
      </c>
      <c r="AL7" s="118" t="s">
        <v>334</v>
      </c>
      <c r="AM7" s="119" t="s">
        <v>335</v>
      </c>
      <c r="AN7" s="120" t="n">
        <v>3631400000</v>
      </c>
      <c r="AO7" s="121" t="n">
        <v>3953200000</v>
      </c>
      <c r="AP7" s="115" t="str">
        <f aca="false">IF(OR(AN7="",AO7=""),"",IF(AN7&gt;AO7,"OK","LOW CONF"))</f>
        <v>LOW CONF</v>
      </c>
      <c r="AQ7" s="122" t="n">
        <v>0.636</v>
      </c>
      <c r="AR7" s="117" t="n">
        <v>-1.784</v>
      </c>
      <c r="AS7" s="123" t="str">
        <f aca="false">IF(OR(AQ7="",AR7=""),"",IF(AQ7&lt;AR7,"Decreased",IF(AQ7&gt;AR7,"Increased","Flat")))</f>
        <v>Increased</v>
      </c>
    </row>
    <row r="8" customFormat="false" ht="15" hidden="false" customHeight="true" outlineLevel="0" collapsed="false">
      <c r="A8" s="62" t="s">
        <v>170</v>
      </c>
      <c r="B8" s="113" t="s">
        <v>336</v>
      </c>
      <c r="C8" s="114" t="n">
        <v>46295</v>
      </c>
      <c r="D8" s="115" t="n">
        <v>4</v>
      </c>
      <c r="E8" s="115" t="s">
        <v>328</v>
      </c>
      <c r="F8" s="115" t="n">
        <v>2</v>
      </c>
      <c r="G8" s="115" t="s">
        <v>330</v>
      </c>
      <c r="H8" s="115" t="n">
        <v>5</v>
      </c>
      <c r="I8" s="115" t="s">
        <v>329</v>
      </c>
      <c r="J8" s="115" t="n">
        <v>4</v>
      </c>
      <c r="K8" s="115" t="s">
        <v>328</v>
      </c>
      <c r="L8" s="115" t="n">
        <v>5</v>
      </c>
      <c r="M8" s="115" t="s">
        <v>329</v>
      </c>
      <c r="N8" s="116" t="n">
        <f aca="false">IF(COUNT(D8,F8,H8,J8,L8)=0,"",(D8*0.2+F8*0.15+H8*0.15+J8*0.1+L8*0.1)/(IF(D8&lt;&gt;"",0.2,0)+IF(F8&lt;&gt;"",0.15,0)+IF(H8&lt;&gt;"",0.15,0)+IF(J8&lt;&gt;"",0.1,0)+IF(L8&lt;&gt;"",0.1,0)))</f>
        <v>3.92857142857143</v>
      </c>
      <c r="O8" s="117" t="n">
        <f aca="false">IF(COUNT(D8,F8,H8,J8,L8)=0,"",D8*0.2+F8*0.15+H8*0.15+J8*0.1+L8*0.1)</f>
        <v>2.75</v>
      </c>
      <c r="P8" s="115" t="n">
        <v>5</v>
      </c>
      <c r="Q8" s="115" t="s">
        <v>329</v>
      </c>
      <c r="R8" s="115" t="n">
        <v>3</v>
      </c>
      <c r="S8" s="115" t="s">
        <v>330</v>
      </c>
      <c r="T8" s="115" t="n">
        <v>4</v>
      </c>
      <c r="U8" s="115" t="s">
        <v>330</v>
      </c>
      <c r="V8" s="115" t="n">
        <v>2</v>
      </c>
      <c r="W8" s="115" t="s">
        <v>329</v>
      </c>
      <c r="X8" s="117" t="n">
        <f aca="false">IF(COUNT(P8,R8,T8,V8)=0,"",P8*0.08+R8*0.06+T8*0.03+V8*0.08)</f>
        <v>0.86</v>
      </c>
      <c r="Y8" s="115" t="n">
        <v>4</v>
      </c>
      <c r="Z8" s="115" t="s">
        <v>330</v>
      </c>
      <c r="AA8" s="115" t="n">
        <v>4</v>
      </c>
      <c r="AB8" s="115" t="s">
        <v>328</v>
      </c>
      <c r="AC8" s="115" t="n">
        <v>3</v>
      </c>
      <c r="AD8" s="115" t="s">
        <v>330</v>
      </c>
      <c r="AE8" s="117" t="n">
        <f aca="false">IF(COUNT(Y8,AA8,AC8)=0,"",Y8*0.02+AA8*0.02+AC8*0.01)</f>
        <v>0.19</v>
      </c>
      <c r="AF8" s="97" t="n">
        <f aca="false">IF(OR(COUNT(D8,F8,H8,J8,L8)&lt;5,COUNT(P8,R8,T8,V8)&lt;4,COUNT(Y8,AA8,AC8)&lt;3),"",(O8+X8+AE8)*20)</f>
        <v>76</v>
      </c>
      <c r="AG8" s="93" t="str">
        <f aca="false">IF(AF8="","",IF(AF8&gt;=80,"STRONG BUY",IF(AF8&gt;=65,"BUY",IF(AF8&gt;=50,"WATCH LIST",IF(AF8&gt;=35,"AVOID","PASS")))))</f>
        <v>BUY</v>
      </c>
      <c r="AH8" s="93" t="str">
        <f aca="false">IF(N8="","",IF(N8&lt;3,"FAIL","OK"))</f>
        <v>OK</v>
      </c>
      <c r="AI8" s="93" t="str">
        <f aca="false">IF(COUNT(D8:L8)=0,"",IF(COUNTIF(D8:L8,1)&gt;0,"REVIEW","OK"))</f>
        <v>OK</v>
      </c>
      <c r="AJ8" s="93" t="str">
        <f aca="false">IF(COUNT(D8:L8)=0,"",IF(COUNTIF(D8:L8,"&lt;=2")&gt;=2,"AVOID","OK"))</f>
        <v>OK</v>
      </c>
      <c r="AK8" s="93" t="str">
        <f aca="false">IF(COUNTA(E8:M8)=0,"",IF(COUNTIF(E8:M8,"L")&gt;=2,"CAP AT BUY","OK"))</f>
        <v>OK</v>
      </c>
      <c r="AL8" s="118" t="s">
        <v>337</v>
      </c>
      <c r="AM8" s="119" t="s">
        <v>338</v>
      </c>
      <c r="AN8" s="115"/>
      <c r="AO8" s="93"/>
      <c r="AP8" s="115" t="str">
        <f aca="false">IF(OR(AN8="",AO8=""),"",IF(AN8&gt;AO8,"OK","LOW CONF"))</f>
        <v/>
      </c>
      <c r="AQ8" s="115"/>
      <c r="AR8" s="93"/>
      <c r="AS8" s="123" t="str">
        <f aca="false">IF(OR(AQ8="",AR8=""),"",IF(AQ8&lt;AR8,"Decreased",IF(AQ8&gt;AR8,"Increased","Flat")))</f>
        <v/>
      </c>
    </row>
    <row r="9" customFormat="false" ht="15" hidden="true" customHeight="true" outlineLevel="1" collapsed="false">
      <c r="A9" s="62" t="s">
        <v>173</v>
      </c>
      <c r="B9" s="113" t="s">
        <v>174</v>
      </c>
      <c r="C9" s="114" t="n">
        <v>46240</v>
      </c>
      <c r="D9" s="115" t="n">
        <v>2</v>
      </c>
      <c r="E9" s="115" t="s">
        <v>328</v>
      </c>
      <c r="F9" s="115" t="n">
        <v>2</v>
      </c>
      <c r="G9" s="115" t="s">
        <v>328</v>
      </c>
      <c r="H9" s="115" t="n">
        <v>2</v>
      </c>
      <c r="I9" s="115" t="s">
        <v>328</v>
      </c>
      <c r="J9" s="115" t="n">
        <v>2</v>
      </c>
      <c r="K9" s="115" t="s">
        <v>328</v>
      </c>
      <c r="L9" s="115" t="n">
        <v>1</v>
      </c>
      <c r="M9" s="115" t="s">
        <v>329</v>
      </c>
      <c r="N9" s="116" t="n">
        <f aca="false">IF(COUNT(D9,F9,H9,J9,L9)=0,"",(D9*0.2+F9*0.15+H9*0.15+J9*0.1+L9*0.1)/(IF(D9&lt;&gt;"",0.2,0)+IF(F9&lt;&gt;"",0.15,0)+IF(H9&lt;&gt;"",0.15,0)+IF(J9&lt;&gt;"",0.1,0)+IF(L9&lt;&gt;"",0.1,0)))</f>
        <v>1.85714285714286</v>
      </c>
      <c r="O9" s="117" t="n">
        <f aca="false">IF(COUNT(D9,F9,H9,J9,L9)=0,"",D9*0.2+F9*0.15+H9*0.15+J9*0.1+L9*0.1)</f>
        <v>1.3</v>
      </c>
      <c r="P9" s="115"/>
      <c r="Q9" s="115"/>
      <c r="R9" s="115"/>
      <c r="S9" s="115"/>
      <c r="T9" s="115"/>
      <c r="U9" s="115"/>
      <c r="V9" s="115"/>
      <c r="W9" s="115"/>
      <c r="X9" s="117" t="str">
        <f aca="false">IF(COUNT(P9,R9,T9,V9)=0,"",P9*0.08+R9*0.06+T9*0.03+V9*0.08)</f>
        <v/>
      </c>
      <c r="Y9" s="115"/>
      <c r="Z9" s="115"/>
      <c r="AA9" s="115"/>
      <c r="AB9" s="115"/>
      <c r="AC9" s="115"/>
      <c r="AD9" s="115"/>
      <c r="AE9" s="117" t="str">
        <f aca="false">IF(COUNT(Y9,AA9,AC9)=0,"",Y9*0.02+AA9*0.02+AC9*0.01)</f>
        <v/>
      </c>
      <c r="AF9" s="97" t="str">
        <f aca="false">IF(OR(COUNT(D9,F9,H9,J9,L9)&lt;5,COUNT(P9,R9,T9,V9)&lt;4,COUNT(Y9,AA9,AC9)&lt;3),"",(O9+X9+AE9)*20)</f>
        <v/>
      </c>
      <c r="AG9" s="93" t="str">
        <f aca="false">IF(AF9="","",IF(AF9&gt;=80,"STRONG BUY",IF(AF9&gt;=65,"BUY",IF(AF9&gt;=50,"WATCH LIST",IF(AF9&gt;=35,"AVOID","PASS")))))</f>
        <v/>
      </c>
      <c r="AH9" s="93" t="str">
        <f aca="false">IF(N9="","",IF(N9&lt;3,"FAIL","OK"))</f>
        <v>FAIL</v>
      </c>
      <c r="AI9" s="93" t="str">
        <f aca="false">IF(COUNT(D9:L9)=0,"",IF(COUNTIF(D9:L9,1)&gt;0,"REVIEW","OK"))</f>
        <v>REVIEW</v>
      </c>
      <c r="AJ9" s="93" t="str">
        <f aca="false">IF(COUNT(D9:L9)=0,"",IF(COUNTIF(D9:L9,"&lt;=2")&gt;=2,"AVOID","OK"))</f>
        <v>AVOID</v>
      </c>
      <c r="AK9" s="93" t="str">
        <f aca="false">IF(COUNTA(E9:M9)=0,"",IF(COUNTIF(E9:M9,"L")&gt;=2,"CAP AT BUY","OK"))</f>
        <v>OK</v>
      </c>
      <c r="AL9" s="118" t="s">
        <v>339</v>
      </c>
      <c r="AM9" s="119" t="s">
        <v>340</v>
      </c>
      <c r="AN9" s="120" t="n">
        <v>715998000</v>
      </c>
      <c r="AO9" s="121" t="n">
        <v>523670000</v>
      </c>
      <c r="AP9" s="115" t="str">
        <f aca="false">IF(OR(AN9="",AO9=""),"",IF(AN9&gt;AO9,"OK","LOW CONF"))</f>
        <v>OK</v>
      </c>
      <c r="AQ9" s="122" t="n">
        <v>4.155</v>
      </c>
      <c r="AR9" s="117" t="n">
        <v>4.048</v>
      </c>
      <c r="AS9" s="123" t="str">
        <f aca="false">IF(OR(AQ9="",AR9=""),"",IF(AQ9&lt;AR9,"Decreased",IF(AQ9&gt;AR9,"Increased","Flat")))</f>
        <v>Increased</v>
      </c>
    </row>
    <row r="10" customFormat="false" ht="15" hidden="true" customHeight="true" outlineLevel="1" collapsed="false">
      <c r="A10" s="62" t="s">
        <v>184</v>
      </c>
      <c r="B10" s="113" t="s">
        <v>185</v>
      </c>
      <c r="C10" s="114" t="n">
        <v>46240</v>
      </c>
      <c r="D10" s="115" t="n">
        <v>2</v>
      </c>
      <c r="E10" s="115" t="s">
        <v>328</v>
      </c>
      <c r="F10" s="115" t="n">
        <v>4</v>
      </c>
      <c r="G10" s="115" t="s">
        <v>329</v>
      </c>
      <c r="H10" s="115" t="n">
        <v>3</v>
      </c>
      <c r="I10" s="115" t="s">
        <v>328</v>
      </c>
      <c r="J10" s="115" t="n">
        <v>2</v>
      </c>
      <c r="K10" s="115" t="s">
        <v>328</v>
      </c>
      <c r="L10" s="115" t="n">
        <v>2</v>
      </c>
      <c r="M10" s="115" t="s">
        <v>329</v>
      </c>
      <c r="N10" s="116" t="n">
        <f aca="false">IF(COUNT(D10,F10,H10,J10,L10)=0,"",(D10*0.2+F10*0.15+H10*0.15+J10*0.1+L10*0.1)/(IF(D10&lt;&gt;"",0.2,0)+IF(F10&lt;&gt;"",0.15,0)+IF(H10&lt;&gt;"",0.15,0)+IF(J10&lt;&gt;"",0.1,0)+IF(L10&lt;&gt;"",0.1,0)))</f>
        <v>2.64285714285714</v>
      </c>
      <c r="O10" s="117" t="n">
        <f aca="false">IF(COUNT(D10,F10,H10,J10,L10)=0,"",D10*0.2+F10*0.15+H10*0.15+J10*0.1+L10*0.1)</f>
        <v>1.85</v>
      </c>
      <c r="P10" s="115"/>
      <c r="Q10" s="115"/>
      <c r="R10" s="115"/>
      <c r="S10" s="115"/>
      <c r="T10" s="115"/>
      <c r="U10" s="115"/>
      <c r="V10" s="115"/>
      <c r="W10" s="115"/>
      <c r="X10" s="117" t="str">
        <f aca="false">IF(COUNT(P10,R10,T10,V10)=0,"",P10*0.08+R10*0.06+T10*0.03+V10*0.08)</f>
        <v/>
      </c>
      <c r="Y10" s="115"/>
      <c r="Z10" s="115"/>
      <c r="AA10" s="115"/>
      <c r="AB10" s="115"/>
      <c r="AC10" s="115"/>
      <c r="AD10" s="115"/>
      <c r="AE10" s="117" t="str">
        <f aca="false">IF(COUNT(Y10,AA10,AC10)=0,"",Y10*0.02+AA10*0.02+AC10*0.01)</f>
        <v/>
      </c>
      <c r="AF10" s="97" t="str">
        <f aca="false">IF(OR(COUNT(D10,F10,H10,J10,L10)&lt;5,COUNT(P10,R10,T10,V10)&lt;4,COUNT(Y10,AA10,AC10)&lt;3),"",(O10+X10+AE10)*20)</f>
        <v/>
      </c>
      <c r="AG10" s="93" t="str">
        <f aca="false">IF(AF10="","",IF(AF10&gt;=80,"STRONG BUY",IF(AF10&gt;=65,"BUY",IF(AF10&gt;=50,"WATCH LIST",IF(AF10&gt;=35,"AVOID","PASS")))))</f>
        <v/>
      </c>
      <c r="AH10" s="93" t="str">
        <f aca="false">IF(N10="","",IF(N10&lt;3,"FAIL","OK"))</f>
        <v>FAIL</v>
      </c>
      <c r="AI10" s="93" t="str">
        <f aca="false">IF(COUNT(D10:L10)=0,"",IF(COUNTIF(D10:L10,1)&gt;0,"REVIEW","OK"))</f>
        <v>OK</v>
      </c>
      <c r="AJ10" s="93" t="str">
        <f aca="false">IF(COUNT(D10:L10)=0,"",IF(COUNTIF(D10:L10,"&lt;=2")&gt;=2,"AVOID","OK"))</f>
        <v>AVOID</v>
      </c>
      <c r="AK10" s="93" t="str">
        <f aca="false">IF(COUNTA(E10:M10)=0,"",IF(COUNTIF(E10:M10,"L")&gt;=2,"CAP AT BUY","OK"))</f>
        <v>OK</v>
      </c>
      <c r="AL10" s="118" t="s">
        <v>341</v>
      </c>
      <c r="AM10" s="119" t="s">
        <v>342</v>
      </c>
      <c r="AN10" s="120" t="n">
        <v>359500000</v>
      </c>
      <c r="AO10" s="121" t="n">
        <v>203700000</v>
      </c>
      <c r="AP10" s="115" t="str">
        <f aca="false">IF(OR(AN10="",AO10=""),"",IF(AN10&gt;AO10,"OK","LOW CONF"))</f>
        <v>OK</v>
      </c>
      <c r="AQ10" s="122" t="n">
        <v>1.857</v>
      </c>
      <c r="AR10" s="117" t="n">
        <v>0.78</v>
      </c>
      <c r="AS10" s="123" t="str">
        <f aca="false">IF(OR(AQ10="",AR10=""),"",IF(AQ10&lt;AR10,"Decreased",IF(AQ10&gt;AR10,"Increased","Flat")))</f>
        <v>Increased</v>
      </c>
    </row>
    <row r="11" customFormat="false" ht="15" hidden="true" customHeight="true" outlineLevel="1" collapsed="false">
      <c r="A11" s="62" t="s">
        <v>176</v>
      </c>
      <c r="B11" s="113" t="s">
        <v>177</v>
      </c>
      <c r="C11" s="114" t="n">
        <v>46240</v>
      </c>
      <c r="D11" s="115" t="n">
        <v>1</v>
      </c>
      <c r="E11" s="115" t="s">
        <v>329</v>
      </c>
      <c r="F11" s="115" t="n">
        <v>2</v>
      </c>
      <c r="G11" s="115" t="s">
        <v>328</v>
      </c>
      <c r="H11" s="115" t="n">
        <v>3</v>
      </c>
      <c r="I11" s="115" t="s">
        <v>328</v>
      </c>
      <c r="J11" s="115" t="n">
        <v>3</v>
      </c>
      <c r="K11" s="115" t="s">
        <v>328</v>
      </c>
      <c r="L11" s="115" t="n">
        <v>1</v>
      </c>
      <c r="M11" s="115" t="s">
        <v>329</v>
      </c>
      <c r="N11" s="116" t="n">
        <f aca="false">IF(COUNT(D11,F11,H11,J11,L11)=0,"",(D11*0.2+F11*0.15+H11*0.15+J11*0.1+L11*0.1)/(IF(D11&lt;&gt;"",0.2,0)+IF(F11&lt;&gt;"",0.15,0)+IF(H11&lt;&gt;"",0.15,0)+IF(J11&lt;&gt;"",0.1,0)+IF(L11&lt;&gt;"",0.1,0)))</f>
        <v>1.92857142857143</v>
      </c>
      <c r="O11" s="117" t="n">
        <f aca="false">IF(COUNT(D11,F11,H11,J11,L11)=0,"",D11*0.2+F11*0.15+H11*0.15+J11*0.1+L11*0.1)</f>
        <v>1.35</v>
      </c>
      <c r="P11" s="115"/>
      <c r="Q11" s="115"/>
      <c r="R11" s="115"/>
      <c r="S11" s="115"/>
      <c r="T11" s="115"/>
      <c r="U11" s="115"/>
      <c r="V11" s="115"/>
      <c r="W11" s="115"/>
      <c r="X11" s="117" t="str">
        <f aca="false">IF(COUNT(P11,R11,T11,V11)=0,"",P11*0.08+R11*0.06+T11*0.03+V11*0.08)</f>
        <v/>
      </c>
      <c r="Y11" s="115"/>
      <c r="Z11" s="115"/>
      <c r="AA11" s="115"/>
      <c r="AB11" s="115"/>
      <c r="AC11" s="115"/>
      <c r="AD11" s="115"/>
      <c r="AE11" s="117" t="str">
        <f aca="false">IF(COUNT(Y11,AA11,AC11)=0,"",Y11*0.02+AA11*0.02+AC11*0.01)</f>
        <v/>
      </c>
      <c r="AF11" s="97" t="str">
        <f aca="false">IF(OR(COUNT(D11,F11,H11,J11,L11)&lt;5,COUNT(P11,R11,T11,V11)&lt;4,COUNT(Y11,AA11,AC11)&lt;3),"",(O11+X11+AE11)*20)</f>
        <v/>
      </c>
      <c r="AG11" s="93" t="str">
        <f aca="false">IF(AF11="","",IF(AF11&gt;=80,"STRONG BUY",IF(AF11&gt;=65,"BUY",IF(AF11&gt;=50,"WATCH LIST",IF(AF11&gt;=35,"AVOID","PASS")))))</f>
        <v/>
      </c>
      <c r="AH11" s="93" t="str">
        <f aca="false">IF(N11="","",IF(N11&lt;3,"FAIL","OK"))</f>
        <v>FAIL</v>
      </c>
      <c r="AI11" s="93" t="str">
        <f aca="false">IF(COUNT(D11:L11)=0,"",IF(COUNTIF(D11:L11,1)&gt;0,"REVIEW","OK"))</f>
        <v>REVIEW</v>
      </c>
      <c r="AJ11" s="93" t="str">
        <f aca="false">IF(COUNT(D11:L11)=0,"",IF(COUNTIF(D11:L11,"&lt;=2")&gt;=2,"AVOID","OK"))</f>
        <v>AVOID</v>
      </c>
      <c r="AK11" s="93" t="str">
        <f aca="false">IF(COUNTA(E11:M11)=0,"",IF(COUNTIF(E11:M11,"L")&gt;=2,"CAP AT BUY","OK"))</f>
        <v>OK</v>
      </c>
      <c r="AL11" s="118" t="s">
        <v>341</v>
      </c>
      <c r="AM11" s="119" t="s">
        <v>343</v>
      </c>
      <c r="AN11" s="120" t="n">
        <v>14747000000</v>
      </c>
      <c r="AO11" s="121" t="n">
        <v>3794000000</v>
      </c>
      <c r="AP11" s="115" t="str">
        <f aca="false">IF(OR(AN11="",AO11=""),"",IF(AN11&gt;AO11,"OK","LOW CONF"))</f>
        <v>OK</v>
      </c>
      <c r="AQ11" s="122" t="n">
        <v>2.366</v>
      </c>
      <c r="AR11" s="117" t="n">
        <v>3.804</v>
      </c>
      <c r="AS11" s="123" t="str">
        <f aca="false">IF(OR(AQ11="",AR11=""),"",IF(AQ11&lt;AR11,"Decreased",IF(AQ11&gt;AR11,"Increased","Flat")))</f>
        <v>Decreased</v>
      </c>
    </row>
    <row r="12" customFormat="false" ht="15" hidden="false" customHeight="true" outlineLevel="0" collapsed="false">
      <c r="A12" s="62" t="s">
        <v>95</v>
      </c>
      <c r="B12" s="113" t="s">
        <v>96</v>
      </c>
      <c r="C12" s="114" t="n">
        <v>46295</v>
      </c>
      <c r="D12" s="115" t="n">
        <v>5</v>
      </c>
      <c r="E12" s="115" t="s">
        <v>328</v>
      </c>
      <c r="F12" s="115" t="n">
        <v>4</v>
      </c>
      <c r="G12" s="115" t="s">
        <v>328</v>
      </c>
      <c r="H12" s="115" t="n">
        <v>4</v>
      </c>
      <c r="I12" s="115" t="s">
        <v>328</v>
      </c>
      <c r="J12" s="115" t="n">
        <v>5</v>
      </c>
      <c r="K12" s="115" t="s">
        <v>329</v>
      </c>
      <c r="L12" s="115" t="n">
        <v>5</v>
      </c>
      <c r="M12" s="115" t="s">
        <v>328</v>
      </c>
      <c r="N12" s="116" t="n">
        <f aca="false">IF(COUNT(D12,F12,H12,J12,L12)=0,"",(D12*0.2+F12*0.15+H12*0.15+J12*0.1+L12*0.1)/(IF(D12&lt;&gt;"",0.2,0)+IF(F12&lt;&gt;"",0.15,0)+IF(H12&lt;&gt;"",0.15,0)+IF(J12&lt;&gt;"",0.1,0)+IF(L12&lt;&gt;"",0.1,0)))</f>
        <v>4.57142857142857</v>
      </c>
      <c r="O12" s="117" t="n">
        <f aca="false">IF(COUNT(D12,F12,H12,J12,L12)=0,"",D12*0.2+F12*0.15+H12*0.15+J12*0.1+L12*0.1)</f>
        <v>3.2</v>
      </c>
      <c r="P12" s="115" t="n">
        <v>3</v>
      </c>
      <c r="Q12" s="115" t="s">
        <v>328</v>
      </c>
      <c r="R12" s="115" t="n">
        <v>5</v>
      </c>
      <c r="S12" s="115" t="s">
        <v>329</v>
      </c>
      <c r="T12" s="115" t="n">
        <v>1</v>
      </c>
      <c r="U12" s="115" t="s">
        <v>329</v>
      </c>
      <c r="V12" s="115" t="n">
        <v>5</v>
      </c>
      <c r="W12" s="115" t="s">
        <v>329</v>
      </c>
      <c r="X12" s="117" t="n">
        <f aca="false">IF(COUNT(P12,R12,T12,V12)=0,"",P12*0.08+R12*0.06+T12*0.03+V12*0.08)</f>
        <v>0.97</v>
      </c>
      <c r="Y12" s="115" t="n">
        <v>2</v>
      </c>
      <c r="Z12" s="115" t="s">
        <v>328</v>
      </c>
      <c r="AA12" s="115" t="n">
        <v>3</v>
      </c>
      <c r="AB12" s="115" t="s">
        <v>328</v>
      </c>
      <c r="AC12" s="115" t="n">
        <v>2</v>
      </c>
      <c r="AD12" s="115" t="s">
        <v>330</v>
      </c>
      <c r="AE12" s="117" t="n">
        <f aca="false">IF(COUNT(Y12,AA12,AC12)=0,"",Y12*0.02+AA12*0.02+AC12*0.01)</f>
        <v>0.12</v>
      </c>
      <c r="AF12" s="97" t="n">
        <f aca="false">IF(OR(COUNT(D12,F12,H12,J12,L12)&lt;5,COUNT(P12,R12,T12,V12)&lt;4,COUNT(Y12,AA12,AC12)&lt;3),"",(O12+X12+AE12)*20)</f>
        <v>85.8</v>
      </c>
      <c r="AG12" s="93" t="str">
        <f aca="false">IF(AF12="","",IF(AF12&gt;=80,"STRONG BUY",IF(AF12&gt;=65,"BUY",IF(AF12&gt;=50,"WATCH LIST",IF(AF12&gt;=35,"AVOID","PASS")))))</f>
        <v>STRONG BUY</v>
      </c>
      <c r="AH12" s="93" t="str">
        <f aca="false">IF(N12="","",IF(N12&lt;3,"FAIL","OK"))</f>
        <v>OK</v>
      </c>
      <c r="AI12" s="93" t="str">
        <f aca="false">IF(COUNT(D12:L12)=0,"",IF(COUNTIF(D12:L12,1)&gt;0,"REVIEW","OK"))</f>
        <v>OK</v>
      </c>
      <c r="AJ12" s="93" t="str">
        <f aca="false">IF(COUNT(D12:L12)=0,"",IF(COUNTIF(D12:L12,"&lt;=2")&gt;=2,"AVOID","OK"))</f>
        <v>OK</v>
      </c>
      <c r="AK12" s="93" t="str">
        <f aca="false">IF(COUNTA(E12:M12)=0,"",IF(COUNTIF(E12:M12,"L")&gt;=2,"CAP AT BUY","OK"))</f>
        <v>OK</v>
      </c>
      <c r="AL12" s="118" t="s">
        <v>331</v>
      </c>
      <c r="AM12" s="119" t="s">
        <v>344</v>
      </c>
      <c r="AN12" s="115"/>
      <c r="AO12" s="93"/>
      <c r="AP12" s="115" t="str">
        <f aca="false">IF(OR(AN12="",AO12=""),"",IF(AN12&gt;AO12,"OK","LOW CONF"))</f>
        <v/>
      </c>
      <c r="AQ12" s="115"/>
      <c r="AR12" s="93"/>
      <c r="AS12" s="123" t="str">
        <f aca="false">IF(OR(AQ12="",AR12=""),"",IF(AQ12&lt;AR12,"Decreased",IF(AQ12&gt;AR12,"Increased","Flat")))</f>
        <v/>
      </c>
    </row>
    <row r="13" customFormat="false" ht="15" hidden="false" customHeight="true" outlineLevel="0" collapsed="false">
      <c r="A13" s="62" t="s">
        <v>100</v>
      </c>
      <c r="B13" s="113" t="s">
        <v>101</v>
      </c>
      <c r="C13" s="114" t="n">
        <v>46295</v>
      </c>
      <c r="D13" s="115" t="n">
        <v>3</v>
      </c>
      <c r="E13" s="115" t="s">
        <v>328</v>
      </c>
      <c r="F13" s="115" t="n">
        <v>5</v>
      </c>
      <c r="G13" s="115" t="s">
        <v>328</v>
      </c>
      <c r="H13" s="115" t="n">
        <v>5</v>
      </c>
      <c r="I13" s="115" t="s">
        <v>329</v>
      </c>
      <c r="J13" s="115" t="n">
        <v>4</v>
      </c>
      <c r="K13" s="115" t="s">
        <v>328</v>
      </c>
      <c r="L13" s="115" t="n">
        <v>5</v>
      </c>
      <c r="M13" s="115" t="s">
        <v>328</v>
      </c>
      <c r="N13" s="116" t="n">
        <f aca="false">IF(COUNT(D13,F13,H13,J13,L13)=0,"",(D13*0.2+F13*0.15+H13*0.15+J13*0.1+L13*0.1)/(IF(D13&lt;&gt;"",0.2,0)+IF(F13&lt;&gt;"",0.15,0)+IF(H13&lt;&gt;"",0.15,0)+IF(J13&lt;&gt;"",0.1,0)+IF(L13&lt;&gt;"",0.1,0)))</f>
        <v>4.28571428571429</v>
      </c>
      <c r="O13" s="117" t="n">
        <f aca="false">IF(COUNT(D13,F13,H13,J13,L13)=0,"",D13*0.2+F13*0.15+H13*0.15+J13*0.1+L13*0.1)</f>
        <v>3</v>
      </c>
      <c r="P13" s="115" t="n">
        <v>4</v>
      </c>
      <c r="Q13" s="115" t="s">
        <v>329</v>
      </c>
      <c r="R13" s="115" t="n">
        <v>5</v>
      </c>
      <c r="S13" s="115" t="s">
        <v>329</v>
      </c>
      <c r="T13" s="115" t="n">
        <v>5</v>
      </c>
      <c r="U13" s="115" t="s">
        <v>328</v>
      </c>
      <c r="V13" s="115" t="n">
        <v>1</v>
      </c>
      <c r="W13" s="115" t="s">
        <v>329</v>
      </c>
      <c r="X13" s="117" t="n">
        <f aca="false">IF(COUNT(P13,R13,T13,V13)=0,"",P13*0.08+R13*0.06+T13*0.03+V13*0.08)</f>
        <v>0.85</v>
      </c>
      <c r="Y13" s="115" t="n">
        <v>4</v>
      </c>
      <c r="Z13" s="115" t="s">
        <v>328</v>
      </c>
      <c r="AA13" s="115" t="n">
        <v>5</v>
      </c>
      <c r="AB13" s="115" t="s">
        <v>329</v>
      </c>
      <c r="AC13" s="115" t="n">
        <v>2</v>
      </c>
      <c r="AD13" s="115" t="s">
        <v>328</v>
      </c>
      <c r="AE13" s="117" t="n">
        <f aca="false">IF(COUNT(Y13,AA13,AC13)=0,"",Y13*0.02+AA13*0.02+AC13*0.01)</f>
        <v>0.2</v>
      </c>
      <c r="AF13" s="97" t="n">
        <f aca="false">IF(OR(COUNT(D13,F13,H13,J13,L13)&lt;5,COUNT(P13,R13,T13,V13)&lt;4,COUNT(Y13,AA13,AC13)&lt;3),"",(O13+X13+AE13)*20)</f>
        <v>81</v>
      </c>
      <c r="AG13" s="93" t="str">
        <f aca="false">IF(AF13="","",IF(AF13&gt;=80,"STRONG BUY",IF(AF13&gt;=65,"BUY",IF(AF13&gt;=50,"WATCH LIST",IF(AF13&gt;=35,"AVOID","PASS")))))</f>
        <v>STRONG BUY</v>
      </c>
      <c r="AH13" s="93" t="str">
        <f aca="false">IF(N13="","",IF(N13&lt;3,"FAIL","OK"))</f>
        <v>OK</v>
      </c>
      <c r="AI13" s="93" t="str">
        <f aca="false">IF(COUNT(D13:L13)=0,"",IF(COUNTIF(D13:L13,1)&gt;0,"REVIEW","OK"))</f>
        <v>OK</v>
      </c>
      <c r="AJ13" s="93" t="str">
        <f aca="false">IF(COUNT(D13:L13)=0,"",IF(COUNTIF(D13:L13,"&lt;=2")&gt;=2,"AVOID","OK"))</f>
        <v>OK</v>
      </c>
      <c r="AK13" s="93" t="str">
        <f aca="false">IF(COUNTA(E13:M13)=0,"",IF(COUNTIF(E13:M13,"L")&gt;=2,"CAP AT BUY","OK"))</f>
        <v>OK</v>
      </c>
      <c r="AL13" s="118" t="s">
        <v>331</v>
      </c>
      <c r="AM13" s="119" t="s">
        <v>345</v>
      </c>
      <c r="AN13" s="115"/>
      <c r="AO13" s="93"/>
      <c r="AP13" s="115" t="str">
        <f aca="false">IF(OR(AN13="",AO13=""),"",IF(AN13&gt;AO13,"OK","LOW CONF"))</f>
        <v/>
      </c>
      <c r="AQ13" s="115"/>
      <c r="AR13" s="93"/>
      <c r="AS13" s="123" t="str">
        <f aca="false">IF(OR(AQ13="",AR13=""),"",IF(AQ13&lt;AR13,"Decreased",IF(AQ13&gt;AR13,"Increased","Flat")))</f>
        <v/>
      </c>
    </row>
    <row r="14" customFormat="false" ht="15" hidden="false" customHeight="true" outlineLevel="0" collapsed="false">
      <c r="A14" s="62" t="s">
        <v>102</v>
      </c>
      <c r="B14" s="113" t="s">
        <v>103</v>
      </c>
      <c r="C14" s="114" t="n">
        <v>46295</v>
      </c>
      <c r="D14" s="115" t="n">
        <v>3</v>
      </c>
      <c r="E14" s="115" t="s">
        <v>328</v>
      </c>
      <c r="F14" s="115" t="n">
        <v>3</v>
      </c>
      <c r="G14" s="115" t="s">
        <v>328</v>
      </c>
      <c r="H14" s="115" t="n">
        <v>5</v>
      </c>
      <c r="I14" s="115" t="s">
        <v>329</v>
      </c>
      <c r="J14" s="115" t="n">
        <v>4</v>
      </c>
      <c r="K14" s="115" t="s">
        <v>328</v>
      </c>
      <c r="L14" s="115" t="n">
        <v>5</v>
      </c>
      <c r="M14" s="115" t="s">
        <v>328</v>
      </c>
      <c r="N14" s="116" t="n">
        <f aca="false">IF(COUNT(D14,F14,H14,J14,L14)=0,"",(D14*0.2+F14*0.15+H14*0.15+J14*0.1+L14*0.1)/(IF(D14&lt;&gt;"",0.2,0)+IF(F14&lt;&gt;"",0.15,0)+IF(H14&lt;&gt;"",0.15,0)+IF(J14&lt;&gt;"",0.1,0)+IF(L14&lt;&gt;"",0.1,0)))</f>
        <v>3.85714285714286</v>
      </c>
      <c r="O14" s="117" t="n">
        <f aca="false">IF(COUNT(D14,F14,H14,J14,L14)=0,"",D14*0.2+F14*0.15+H14*0.15+J14*0.1+L14*0.1)</f>
        <v>2.7</v>
      </c>
      <c r="P14" s="115" t="n">
        <v>4</v>
      </c>
      <c r="Q14" s="115" t="s">
        <v>328</v>
      </c>
      <c r="R14" s="115" t="n">
        <v>5</v>
      </c>
      <c r="S14" s="115" t="s">
        <v>329</v>
      </c>
      <c r="T14" s="115" t="n">
        <v>5</v>
      </c>
      <c r="U14" s="115" t="s">
        <v>329</v>
      </c>
      <c r="V14" s="115" t="n">
        <v>2</v>
      </c>
      <c r="W14" s="115" t="s">
        <v>328</v>
      </c>
      <c r="X14" s="117" t="n">
        <f aca="false">IF(COUNT(P14,R14,T14,V14)=0,"",P14*0.08+R14*0.06+T14*0.03+V14*0.08)</f>
        <v>0.93</v>
      </c>
      <c r="Y14" s="115" t="n">
        <v>5</v>
      </c>
      <c r="Z14" s="115" t="s">
        <v>328</v>
      </c>
      <c r="AA14" s="115" t="n">
        <v>5</v>
      </c>
      <c r="AB14" s="115" t="s">
        <v>329</v>
      </c>
      <c r="AC14" s="115" t="n">
        <v>3</v>
      </c>
      <c r="AD14" s="115" t="s">
        <v>330</v>
      </c>
      <c r="AE14" s="117" t="n">
        <f aca="false">IF(COUNT(Y14,AA14,AC14)=0,"",Y14*0.02+AA14*0.02+AC14*0.01)</f>
        <v>0.23</v>
      </c>
      <c r="AF14" s="97" t="n">
        <f aca="false">IF(OR(COUNT(D14,F14,H14,J14,L14)&lt;5,COUNT(P14,R14,T14,V14)&lt;4,COUNT(Y14,AA14,AC14)&lt;3),"",(O14+X14+AE14)*20)</f>
        <v>77.2</v>
      </c>
      <c r="AG14" s="93" t="str">
        <f aca="false">IF(AF14="","",IF(AF14&gt;=80,"STRONG BUY",IF(AF14&gt;=65,"BUY",IF(AF14&gt;=50,"WATCH LIST",IF(AF14&gt;=35,"AVOID","PASS")))))</f>
        <v>BUY</v>
      </c>
      <c r="AH14" s="93" t="str">
        <f aca="false">IF(N14="","",IF(N14&lt;3,"FAIL","OK"))</f>
        <v>OK</v>
      </c>
      <c r="AI14" s="93" t="str">
        <f aca="false">IF(COUNT(D14:L14)=0,"",IF(COUNTIF(D14:L14,1)&gt;0,"REVIEW","OK"))</f>
        <v>OK</v>
      </c>
      <c r="AJ14" s="93" t="str">
        <f aca="false">IF(COUNT(D14:L14)=0,"",IF(COUNTIF(D14:L14,"&lt;=2")&gt;=2,"AVOID","OK"))</f>
        <v>OK</v>
      </c>
      <c r="AK14" s="93" t="str">
        <f aca="false">IF(COUNTA(E14:M14)=0,"",IF(COUNTIF(E14:M14,"L")&gt;=2,"CAP AT BUY","OK"))</f>
        <v>OK</v>
      </c>
      <c r="AL14" s="118" t="s">
        <v>331</v>
      </c>
      <c r="AM14" s="119" t="s">
        <v>346</v>
      </c>
      <c r="AN14" s="115"/>
      <c r="AO14" s="93"/>
      <c r="AP14" s="115" t="str">
        <f aca="false">IF(OR(AN14="",AO14=""),"",IF(AN14&gt;AO14,"OK","LOW CONF"))</f>
        <v/>
      </c>
      <c r="AQ14" s="115"/>
      <c r="AR14" s="93"/>
      <c r="AS14" s="123" t="str">
        <f aca="false">IF(OR(AQ14="",AR14=""),"",IF(AQ14&lt;AR14,"Decreased",IF(AQ14&gt;AR14,"Increased","Flat")))</f>
        <v/>
      </c>
    </row>
    <row r="15" customFormat="false" ht="15" hidden="false" customHeight="true" outlineLevel="0" collapsed="false">
      <c r="A15" s="62" t="s">
        <v>104</v>
      </c>
      <c r="B15" s="113" t="s">
        <v>105</v>
      </c>
      <c r="C15" s="114" t="n">
        <v>46295</v>
      </c>
      <c r="D15" s="115" t="n">
        <v>2</v>
      </c>
      <c r="E15" s="115" t="s">
        <v>328</v>
      </c>
      <c r="F15" s="115" t="n">
        <v>5</v>
      </c>
      <c r="G15" s="115" t="s">
        <v>328</v>
      </c>
      <c r="H15" s="115" t="n">
        <v>4</v>
      </c>
      <c r="I15" s="115" t="s">
        <v>328</v>
      </c>
      <c r="J15" s="115" t="n">
        <v>5</v>
      </c>
      <c r="K15" s="115" t="s">
        <v>329</v>
      </c>
      <c r="L15" s="115" t="n">
        <v>2</v>
      </c>
      <c r="M15" s="115" t="s">
        <v>328</v>
      </c>
      <c r="N15" s="116" t="n">
        <f aca="false">IF(COUNT(D15,F15,H15,J15,L15)=0,"",(D15*0.2+F15*0.15+H15*0.15+J15*0.1+L15*0.1)/(IF(D15&lt;&gt;"",0.2,0)+IF(F15&lt;&gt;"",0.15,0)+IF(H15&lt;&gt;"",0.15,0)+IF(J15&lt;&gt;"",0.1,0)+IF(L15&lt;&gt;"",0.1,0)))</f>
        <v>3.5</v>
      </c>
      <c r="O15" s="117" t="n">
        <f aca="false">IF(COUNT(D15,F15,H15,J15,L15)=0,"",D15*0.2+F15*0.15+H15*0.15+J15*0.1+L15*0.1)</f>
        <v>2.45</v>
      </c>
      <c r="P15" s="115" t="n">
        <v>3</v>
      </c>
      <c r="Q15" s="115" t="s">
        <v>328</v>
      </c>
      <c r="R15" s="115" t="n">
        <v>2</v>
      </c>
      <c r="S15" s="115" t="s">
        <v>328</v>
      </c>
      <c r="T15" s="115" t="n">
        <v>4</v>
      </c>
      <c r="U15" s="115" t="s">
        <v>329</v>
      </c>
      <c r="V15" s="115" t="n">
        <v>1</v>
      </c>
      <c r="W15" s="115" t="s">
        <v>329</v>
      </c>
      <c r="X15" s="117" t="n">
        <f aca="false">IF(COUNT(P15,R15,T15,V15)=0,"",P15*0.08+R15*0.06+T15*0.03+V15*0.08)</f>
        <v>0.56</v>
      </c>
      <c r="Y15" s="115" t="n">
        <v>4</v>
      </c>
      <c r="Z15" s="115" t="s">
        <v>328</v>
      </c>
      <c r="AA15" s="115" t="n">
        <v>3</v>
      </c>
      <c r="AB15" s="115" t="s">
        <v>328</v>
      </c>
      <c r="AC15" s="115" t="n">
        <v>2</v>
      </c>
      <c r="AD15" s="115" t="s">
        <v>328</v>
      </c>
      <c r="AE15" s="117" t="n">
        <f aca="false">IF(COUNT(Y15,AA15,AC15)=0,"",Y15*0.02+AA15*0.02+AC15*0.01)</f>
        <v>0.16</v>
      </c>
      <c r="AF15" s="97" t="n">
        <f aca="false">IF(OR(COUNT(D15,F15,H15,J15,L15)&lt;5,COUNT(P15,R15,T15,V15)&lt;4,COUNT(Y15,AA15,AC15)&lt;3),"",(O15+X15+AE15)*20)</f>
        <v>63.4</v>
      </c>
      <c r="AG15" s="93" t="str">
        <f aca="false">IF(AF15="","",IF(AF15&gt;=80,"STRONG BUY",IF(AF15&gt;=65,"BUY",IF(AF15&gt;=50,"WATCH LIST",IF(AF15&gt;=35,"AVOID","PASS")))))</f>
        <v>WATCH LIST</v>
      </c>
      <c r="AH15" s="93" t="str">
        <f aca="false">IF(N15="","",IF(N15&lt;3,"FAIL","OK"))</f>
        <v>OK</v>
      </c>
      <c r="AI15" s="93" t="str">
        <f aca="false">IF(COUNT(D15:L15)=0,"",IF(COUNTIF(D15:L15,1)&gt;0,"REVIEW","OK"))</f>
        <v>OK</v>
      </c>
      <c r="AJ15" s="93" t="str">
        <f aca="false">IF(COUNT(D15:L15)=0,"",IF(COUNTIF(D15:L15,"&lt;=2")&gt;=2,"AVOID","OK"))</f>
        <v>AVOID</v>
      </c>
      <c r="AK15" s="93" t="str">
        <f aca="false">IF(COUNTA(E15:M15)=0,"",IF(COUNTIF(E15:M15,"L")&gt;=2,"CAP AT BUY","OK"))</f>
        <v>OK</v>
      </c>
      <c r="AL15" s="118" t="s">
        <v>331</v>
      </c>
      <c r="AM15" s="119" t="s">
        <v>333</v>
      </c>
      <c r="AN15" s="115"/>
      <c r="AO15" s="93"/>
      <c r="AP15" s="115" t="str">
        <f aca="false">IF(OR(AN15="",AO15=""),"",IF(AN15&gt;AO15,"OK","LOW CONF"))</f>
        <v/>
      </c>
      <c r="AQ15" s="115"/>
      <c r="AR15" s="93"/>
      <c r="AS15" s="123" t="str">
        <f aca="false">IF(OR(AQ15="",AR15=""),"",IF(AQ15&lt;AR15,"Decreased",IF(AQ15&gt;AR15,"Increased","Flat")))</f>
        <v/>
      </c>
    </row>
    <row r="16" customFormat="false" ht="15" hidden="false" customHeight="true" outlineLevel="0" collapsed="false">
      <c r="A16" s="62" t="s">
        <v>106</v>
      </c>
      <c r="B16" s="113" t="s">
        <v>107</v>
      </c>
      <c r="C16" s="114" t="n">
        <v>46295</v>
      </c>
      <c r="D16" s="115" t="n">
        <v>3</v>
      </c>
      <c r="E16" s="115" t="s">
        <v>328</v>
      </c>
      <c r="F16" s="115" t="n">
        <v>3</v>
      </c>
      <c r="G16" s="115" t="s">
        <v>328</v>
      </c>
      <c r="H16" s="115" t="n">
        <v>5</v>
      </c>
      <c r="I16" s="115" t="s">
        <v>329</v>
      </c>
      <c r="J16" s="115" t="n">
        <v>3</v>
      </c>
      <c r="K16" s="115" t="s">
        <v>328</v>
      </c>
      <c r="L16" s="115" t="n">
        <v>5</v>
      </c>
      <c r="M16" s="115" t="s">
        <v>328</v>
      </c>
      <c r="N16" s="116" t="n">
        <f aca="false">IF(COUNT(D16,F16,H16,J16,L16)=0,"",(D16*0.2+F16*0.15+H16*0.15+J16*0.1+L16*0.1)/(IF(D16&lt;&gt;"",0.2,0)+IF(F16&lt;&gt;"",0.15,0)+IF(H16&lt;&gt;"",0.15,0)+IF(J16&lt;&gt;"",0.1,0)+IF(L16&lt;&gt;"",0.1,0)))</f>
        <v>3.71428571428572</v>
      </c>
      <c r="O16" s="117" t="n">
        <f aca="false">IF(COUNT(D16,F16,H16,J16,L16)=0,"",D16*0.2+F16*0.15+H16*0.15+J16*0.1+L16*0.1)</f>
        <v>2.6</v>
      </c>
      <c r="P16" s="115" t="n">
        <v>4</v>
      </c>
      <c r="Q16" s="115" t="s">
        <v>329</v>
      </c>
      <c r="R16" s="115" t="n">
        <v>5</v>
      </c>
      <c r="S16" s="115" t="s">
        <v>329</v>
      </c>
      <c r="T16" s="115" t="n">
        <v>3</v>
      </c>
      <c r="U16" s="115" t="s">
        <v>328</v>
      </c>
      <c r="V16" s="115" t="n">
        <v>2</v>
      </c>
      <c r="W16" s="115" t="s">
        <v>328</v>
      </c>
      <c r="X16" s="117" t="n">
        <f aca="false">IF(COUNT(P16,R16,T16,V16)=0,"",P16*0.08+R16*0.06+T16*0.03+V16*0.08)</f>
        <v>0.87</v>
      </c>
      <c r="Y16" s="115" t="n">
        <v>2</v>
      </c>
      <c r="Z16" s="115" t="s">
        <v>328</v>
      </c>
      <c r="AA16" s="115" t="n">
        <v>5</v>
      </c>
      <c r="AB16" s="115" t="s">
        <v>329</v>
      </c>
      <c r="AC16" s="115" t="n">
        <v>2</v>
      </c>
      <c r="AD16" s="115" t="s">
        <v>330</v>
      </c>
      <c r="AE16" s="117" t="n">
        <f aca="false">IF(COUNT(Y16,AA16,AC16)=0,"",Y16*0.02+AA16*0.02+AC16*0.01)</f>
        <v>0.16</v>
      </c>
      <c r="AF16" s="97" t="n">
        <f aca="false">IF(OR(COUNT(D16,F16,H16,J16,L16)&lt;5,COUNT(P16,R16,T16,V16)&lt;4,COUNT(Y16,AA16,AC16)&lt;3),"",(O16+X16+AE16)*20)</f>
        <v>72.6</v>
      </c>
      <c r="AG16" s="93" t="str">
        <f aca="false">IF(AF16="","",IF(AF16&gt;=80,"STRONG BUY",IF(AF16&gt;=65,"BUY",IF(AF16&gt;=50,"WATCH LIST",IF(AF16&gt;=35,"AVOID","PASS")))))</f>
        <v>BUY</v>
      </c>
      <c r="AH16" s="93" t="str">
        <f aca="false">IF(N16="","",IF(N16&lt;3,"FAIL","OK"))</f>
        <v>OK</v>
      </c>
      <c r="AI16" s="93" t="str">
        <f aca="false">IF(COUNT(D16:L16)=0,"",IF(COUNTIF(D16:L16,1)&gt;0,"REVIEW","OK"))</f>
        <v>OK</v>
      </c>
      <c r="AJ16" s="93" t="str">
        <f aca="false">IF(COUNT(D16:L16)=0,"",IF(COUNTIF(D16:L16,"&lt;=2")&gt;=2,"AVOID","OK"))</f>
        <v>OK</v>
      </c>
      <c r="AK16" s="93" t="str">
        <f aca="false">IF(COUNTA(E16:M16)=0,"",IF(COUNTIF(E16:M16,"L")&gt;=2,"CAP AT BUY","OK"))</f>
        <v>OK</v>
      </c>
      <c r="AL16" s="118" t="s">
        <v>331</v>
      </c>
      <c r="AM16" s="119" t="s">
        <v>346</v>
      </c>
      <c r="AN16" s="120" t="n">
        <v>4143079000</v>
      </c>
      <c r="AO16" s="121" t="n">
        <v>4830771000</v>
      </c>
      <c r="AP16" s="115" t="str">
        <f aca="false">IF(OR(AN16="",AO16=""),"",IF(AN16&gt;AO16,"OK","LOW CONF"))</f>
        <v>LOW CONF</v>
      </c>
      <c r="AQ16" s="122" t="n">
        <v>1.633</v>
      </c>
      <c r="AR16" s="117" t="n">
        <v>1.625</v>
      </c>
      <c r="AS16" s="123" t="str">
        <f aca="false">IF(OR(AQ16="",AR16=""),"",IF(AQ16&lt;AR16,"Decreased",IF(AQ16&gt;AR16,"Increased","Flat")))</f>
        <v>Increased</v>
      </c>
    </row>
    <row r="17" customFormat="false" ht="15" hidden="false" customHeight="true" outlineLevel="0" collapsed="false">
      <c r="A17" s="62" t="s">
        <v>114</v>
      </c>
      <c r="B17" s="113" t="s">
        <v>347</v>
      </c>
      <c r="C17" s="114" t="n">
        <v>46295</v>
      </c>
      <c r="D17" s="115" t="n">
        <v>5</v>
      </c>
      <c r="E17" s="115" t="s">
        <v>328</v>
      </c>
      <c r="F17" s="115" t="n">
        <v>2</v>
      </c>
      <c r="G17" s="115" t="s">
        <v>328</v>
      </c>
      <c r="H17" s="115" t="n">
        <v>5</v>
      </c>
      <c r="I17" s="115" t="s">
        <v>329</v>
      </c>
      <c r="J17" s="115" t="n">
        <v>4</v>
      </c>
      <c r="K17" s="115" t="s">
        <v>328</v>
      </c>
      <c r="L17" s="115" t="n">
        <v>5</v>
      </c>
      <c r="M17" s="115" t="s">
        <v>328</v>
      </c>
      <c r="N17" s="116" t="n">
        <f aca="false">IF(COUNT(D17,F17,H17,J17,L17)=0,"",(D17*0.2+F17*0.15+H17*0.15+J17*0.1+L17*0.1)/(IF(D17&lt;&gt;"",0.2,0)+IF(F17&lt;&gt;"",0.15,0)+IF(H17&lt;&gt;"",0.15,0)+IF(J17&lt;&gt;"",0.1,0)+IF(L17&lt;&gt;"",0.1,0)))</f>
        <v>4.21428571428571</v>
      </c>
      <c r="O17" s="117" t="n">
        <f aca="false">IF(COUNT(D17,F17,H17,J17,L17)=0,"",D17*0.2+F17*0.15+H17*0.15+J17*0.1+L17*0.1)</f>
        <v>2.95</v>
      </c>
      <c r="P17" s="115" t="n">
        <v>4</v>
      </c>
      <c r="Q17" s="115" t="s">
        <v>329</v>
      </c>
      <c r="R17" s="115" t="n">
        <v>5</v>
      </c>
      <c r="S17" s="115" t="s">
        <v>329</v>
      </c>
      <c r="T17" s="115" t="n">
        <v>4</v>
      </c>
      <c r="U17" s="115" t="s">
        <v>328</v>
      </c>
      <c r="V17" s="115" t="n">
        <v>4</v>
      </c>
      <c r="W17" s="115" t="s">
        <v>328</v>
      </c>
      <c r="X17" s="117" t="n">
        <f aca="false">IF(COUNT(P17,R17,T17,V17)=0,"",P17*0.08+R17*0.06+T17*0.03+V17*0.08)</f>
        <v>1.06</v>
      </c>
      <c r="Y17" s="115" t="n">
        <v>3</v>
      </c>
      <c r="Z17" s="115" t="s">
        <v>328</v>
      </c>
      <c r="AA17" s="115" t="n">
        <v>5</v>
      </c>
      <c r="AB17" s="115" t="s">
        <v>329</v>
      </c>
      <c r="AC17" s="115" t="n">
        <v>3</v>
      </c>
      <c r="AD17" s="115" t="s">
        <v>330</v>
      </c>
      <c r="AE17" s="117" t="n">
        <f aca="false">IF(COUNT(Y17,AA17,AC17)=0,"",Y17*0.02+AA17*0.02+AC17*0.01)</f>
        <v>0.19</v>
      </c>
      <c r="AF17" s="97" t="n">
        <f aca="false">IF(OR(COUNT(D17,F17,H17,J17,L17)&lt;5,COUNT(P17,R17,T17,V17)&lt;4,COUNT(Y17,AA17,AC17)&lt;3),"",(O17+X17+AE17)*20)</f>
        <v>84</v>
      </c>
      <c r="AG17" s="93" t="str">
        <f aca="false">IF(AF17="","",IF(AF17&gt;=80,"STRONG BUY",IF(AF17&gt;=65,"BUY",IF(AF17&gt;=50,"WATCH LIST",IF(AF17&gt;=35,"AVOID","PASS")))))</f>
        <v>STRONG BUY</v>
      </c>
      <c r="AH17" s="93" t="str">
        <f aca="false">IF(N17="","",IF(N17&lt;3,"FAIL","OK"))</f>
        <v>OK</v>
      </c>
      <c r="AI17" s="93" t="str">
        <f aca="false">IF(COUNT(D17:L17)=0,"",IF(COUNTIF(D17:L17,1)&gt;0,"REVIEW","OK"))</f>
        <v>OK</v>
      </c>
      <c r="AJ17" s="93" t="str">
        <f aca="false">IF(COUNT(D17:L17)=0,"",IF(COUNTIF(D17:L17,"&lt;=2")&gt;=2,"AVOID","OK"))</f>
        <v>OK</v>
      </c>
      <c r="AK17" s="93" t="str">
        <f aca="false">IF(COUNTA(E17:M17)=0,"",IF(COUNTIF(E17:M17,"L")&gt;=2,"CAP AT BUY","OK"))</f>
        <v>OK</v>
      </c>
      <c r="AL17" s="119" t="s">
        <v>331</v>
      </c>
      <c r="AM17" s="119" t="s">
        <v>332</v>
      </c>
      <c r="AN17" s="115"/>
      <c r="AO17" s="93"/>
      <c r="AP17" s="115" t="str">
        <f aca="false">IF(OR(AN17="",AO17=""),"",IF(AN17&gt;AO17,"OK","LOW CONF"))</f>
        <v/>
      </c>
      <c r="AQ17" s="115"/>
      <c r="AR17" s="93"/>
      <c r="AS17" s="123" t="str">
        <f aca="false">IF(OR(AQ17="",AR17=""),"",IF(AQ17&lt;AR17,"Decreased",IF(AQ17&gt;AR17,"Increased","Flat")))</f>
        <v/>
      </c>
    </row>
    <row r="18" customFormat="false" ht="15" hidden="false" customHeight="true" outlineLevel="0" collapsed="false">
      <c r="A18" s="62" t="s">
        <v>116</v>
      </c>
      <c r="B18" s="113" t="s">
        <v>117</v>
      </c>
      <c r="C18" s="114" t="n">
        <v>46295</v>
      </c>
      <c r="D18" s="115" t="n">
        <v>3</v>
      </c>
      <c r="E18" s="115" t="s">
        <v>328</v>
      </c>
      <c r="F18" s="115" t="n">
        <v>5</v>
      </c>
      <c r="G18" s="115" t="s">
        <v>328</v>
      </c>
      <c r="H18" s="115" t="n">
        <v>4</v>
      </c>
      <c r="I18" s="115" t="s">
        <v>328</v>
      </c>
      <c r="J18" s="115" t="n">
        <v>4</v>
      </c>
      <c r="K18" s="115" t="s">
        <v>328</v>
      </c>
      <c r="L18" s="115" t="n">
        <v>4</v>
      </c>
      <c r="M18" s="115" t="s">
        <v>328</v>
      </c>
      <c r="N18" s="116" t="n">
        <f aca="false">IF(COUNT(D18,F18,H18,J18,L18)=0,"",(D18*0.2+F18*0.15+H18*0.15+J18*0.1+L18*0.1)/(IF(D18&lt;&gt;"",0.2,0)+IF(F18&lt;&gt;"",0.15,0)+IF(H18&lt;&gt;"",0.15,0)+IF(J18&lt;&gt;"",0.1,0)+IF(L18&lt;&gt;"",0.1,0)))</f>
        <v>3.92857142857143</v>
      </c>
      <c r="O18" s="117" t="n">
        <f aca="false">IF(COUNT(D18,F18,H18,J18,L18)=0,"",D18*0.2+F18*0.15+H18*0.15+J18*0.1+L18*0.1)</f>
        <v>2.75</v>
      </c>
      <c r="P18" s="115" t="n">
        <v>4</v>
      </c>
      <c r="Q18" s="115" t="s">
        <v>328</v>
      </c>
      <c r="R18" s="115" t="n">
        <v>5</v>
      </c>
      <c r="S18" s="115" t="s">
        <v>329</v>
      </c>
      <c r="T18" s="115" t="n">
        <v>4</v>
      </c>
      <c r="U18" s="115" t="s">
        <v>328</v>
      </c>
      <c r="V18" s="115" t="n">
        <v>2</v>
      </c>
      <c r="W18" s="115" t="s">
        <v>328</v>
      </c>
      <c r="X18" s="117" t="n">
        <f aca="false">IF(COUNT(P18,R18,T18,V18)=0,"",P18*0.08+R18*0.06+T18*0.03+V18*0.08)</f>
        <v>0.9</v>
      </c>
      <c r="Y18" s="115" t="n">
        <v>4</v>
      </c>
      <c r="Z18" s="115" t="s">
        <v>328</v>
      </c>
      <c r="AA18" s="115" t="n">
        <v>4</v>
      </c>
      <c r="AB18" s="115" t="s">
        <v>328</v>
      </c>
      <c r="AC18" s="115" t="n">
        <v>3</v>
      </c>
      <c r="AD18" s="115" t="s">
        <v>330</v>
      </c>
      <c r="AE18" s="117" t="n">
        <f aca="false">IF(COUNT(Y18,AA18,AC18)=0,"",Y18*0.02+AA18*0.02+AC18*0.01)</f>
        <v>0.19</v>
      </c>
      <c r="AF18" s="97" t="n">
        <f aca="false">IF(OR(COUNT(D18,F18,H18,J18,L18)&lt;5,COUNT(P18,R18,T18,V18)&lt;4,COUNT(Y18,AA18,AC18)&lt;3),"",(O18+X18+AE18)*20)</f>
        <v>76.8</v>
      </c>
      <c r="AG18" s="93" t="str">
        <f aca="false">IF(AF18="","",IF(AF18&gt;=80,"STRONG BUY",IF(AF18&gt;=65,"BUY",IF(AF18&gt;=50,"WATCH LIST",IF(AF18&gt;=35,"AVOID","PASS")))))</f>
        <v>BUY</v>
      </c>
      <c r="AH18" s="93" t="str">
        <f aca="false">IF(N18="","",IF(N18&lt;3,"FAIL","OK"))</f>
        <v>OK</v>
      </c>
      <c r="AI18" s="93" t="str">
        <f aca="false">IF(COUNT(D18:L18)=0,"",IF(COUNTIF(D18:L18,1)&gt;0,"REVIEW","OK"))</f>
        <v>OK</v>
      </c>
      <c r="AJ18" s="93" t="str">
        <f aca="false">IF(COUNT(D18:L18)=0,"",IF(COUNTIF(D18:L18,"&lt;=2")&gt;=2,"AVOID","OK"))</f>
        <v>OK</v>
      </c>
      <c r="AK18" s="93" t="str">
        <f aca="false">IF(COUNTA(E18:M18)=0,"",IF(COUNTIF(E18:M18,"L")&gt;=2,"CAP AT BUY","OK"))</f>
        <v>OK</v>
      </c>
      <c r="AL18" s="119" t="s">
        <v>348</v>
      </c>
      <c r="AM18" s="119" t="s">
        <v>349</v>
      </c>
      <c r="AN18" s="120" t="n">
        <v>2113800000</v>
      </c>
      <c r="AO18" s="121" t="n">
        <v>1332800000</v>
      </c>
      <c r="AP18" s="115" t="str">
        <f aca="false">IF(OR(AN18="",AO18=""),"",IF(AN18&gt;AO18,"OK","LOW CONF"))</f>
        <v>OK</v>
      </c>
      <c r="AQ18" s="122" t="n">
        <v>1.71</v>
      </c>
      <c r="AR18" s="117" t="n">
        <v>2.771</v>
      </c>
      <c r="AS18" s="123" t="str">
        <f aca="false">IF(OR(AQ18="",AR18=""),"",IF(AQ18&lt;AR18,"Decreased",IF(AQ18&gt;AR18,"Increased","Flat")))</f>
        <v>Decreased</v>
      </c>
    </row>
    <row r="19" customFormat="false" ht="15" hidden="false" customHeight="true" outlineLevel="0" collapsed="false">
      <c r="A19" s="62" t="s">
        <v>232</v>
      </c>
      <c r="B19" s="113" t="s">
        <v>350</v>
      </c>
      <c r="C19" s="114" t="n">
        <v>46245</v>
      </c>
      <c r="D19" s="115" t="n">
        <v>3</v>
      </c>
      <c r="E19" s="115" t="s">
        <v>328</v>
      </c>
      <c r="F19" s="115" t="n">
        <v>5</v>
      </c>
      <c r="G19" s="115" t="s">
        <v>329</v>
      </c>
      <c r="H19" s="115" t="n">
        <v>5</v>
      </c>
      <c r="I19" s="115" t="s">
        <v>329</v>
      </c>
      <c r="J19" s="115" t="n">
        <v>4</v>
      </c>
      <c r="K19" s="115" t="s">
        <v>328</v>
      </c>
      <c r="L19" s="115" t="n">
        <v>4</v>
      </c>
      <c r="M19" s="115" t="s">
        <v>329</v>
      </c>
      <c r="N19" s="116" t="n">
        <f aca="false">IF(COUNT(D19,F19,H19,J19,L19)=0,"",(D19*0.2+F19*0.15+H19*0.15+J19*0.1+L19*0.1)/(IF(D19&lt;&gt;"",0.2,0)+IF(F19&lt;&gt;"",0.15,0)+IF(H19&lt;&gt;"",0.15,0)+IF(J19&lt;&gt;"",0.1,0)+IF(L19&lt;&gt;"",0.1,0)))</f>
        <v>4.14285714285714</v>
      </c>
      <c r="O19" s="117" t="n">
        <f aca="false">IF(COUNT(D19,F19,H19,J19,L19)=0,"",D19*0.2+F19*0.15+H19*0.15+J19*0.1+L19*0.1)</f>
        <v>2.9</v>
      </c>
      <c r="P19" s="115" t="n">
        <v>3</v>
      </c>
      <c r="Q19" s="115" t="s">
        <v>330</v>
      </c>
      <c r="R19" s="115" t="n">
        <v>5</v>
      </c>
      <c r="S19" s="115" t="s">
        <v>329</v>
      </c>
      <c r="T19" s="115" t="n">
        <v>5</v>
      </c>
      <c r="U19" s="115" t="s">
        <v>329</v>
      </c>
      <c r="V19" s="115" t="n">
        <v>1</v>
      </c>
      <c r="W19" s="115" t="s">
        <v>329</v>
      </c>
      <c r="X19" s="117" t="n">
        <f aca="false">IF(COUNT(P19,R19,T19,V19)=0,"",P19*0.08+R19*0.06+T19*0.03+V19*0.08)</f>
        <v>0.77</v>
      </c>
      <c r="Y19" s="115" t="n">
        <v>4</v>
      </c>
      <c r="Z19" s="115" t="s">
        <v>328</v>
      </c>
      <c r="AA19" s="115" t="n">
        <v>4</v>
      </c>
      <c r="AB19" s="115" t="s">
        <v>328</v>
      </c>
      <c r="AC19" s="115" t="n">
        <v>4</v>
      </c>
      <c r="AD19" s="115" t="s">
        <v>328</v>
      </c>
      <c r="AE19" s="117" t="n">
        <f aca="false">IF(COUNT(Y19,AA19,AC19)=0,"",Y19*0.02+AA19*0.02+AC19*0.01)</f>
        <v>0.2</v>
      </c>
      <c r="AF19" s="97" t="n">
        <f aca="false">IF(OR(COUNT(D19,F19,H19,J19,L19)&lt;5,COUNT(P19,R19,T19,V19)&lt;4,COUNT(Y19,AA19,AC19)&lt;3),"",(O19+X19+AE19)*20)</f>
        <v>77.4</v>
      </c>
      <c r="AG19" s="93" t="str">
        <f aca="false">IF(AF19="","",IF(AF19&gt;=80,"STRONG BUY",IF(AF19&gt;=65,"BUY",IF(AF19&gt;=50,"WATCH LIST",IF(AF19&gt;=35,"AVOID","PASS")))))</f>
        <v>BUY</v>
      </c>
      <c r="AH19" s="93" t="str">
        <f aca="false">IF(N19="","",IF(N19&lt;3,"FAIL","OK"))</f>
        <v>OK</v>
      </c>
      <c r="AI19" s="93" t="str">
        <f aca="false">IF(COUNT(D19:L19)=0,"",IF(COUNTIF(D19:L19,1)&gt;0,"REVIEW","OK"))</f>
        <v>OK</v>
      </c>
      <c r="AJ19" s="93" t="str">
        <f aca="false">IF(COUNT(D19:L19)=0,"",IF(COUNTIF(D19:L19,"&lt;=2")&gt;=2,"AVOID","OK"))</f>
        <v>OK</v>
      </c>
      <c r="AK19" s="93" t="str">
        <f aca="false">IF(COUNTA(E19:M19)=0,"",IF(COUNTIF(E19:M19,"L")&gt;=2,"CAP AT BUY","OK"))</f>
        <v>OK</v>
      </c>
      <c r="AL19" s="119" t="s">
        <v>339</v>
      </c>
      <c r="AM19" s="119" t="s">
        <v>351</v>
      </c>
      <c r="AN19" s="115"/>
      <c r="AO19" s="93"/>
      <c r="AP19" s="115" t="str">
        <f aca="false">IF(OR(AN19="",AO19=""),"",IF(AN19&gt;AO19,"OK","LOW CONF"))</f>
        <v/>
      </c>
      <c r="AQ19" s="115"/>
      <c r="AR19" s="93"/>
      <c r="AS19" s="123" t="str">
        <f aca="false">IF(OR(AQ19="",AR19=""),"",IF(AQ19&lt;AR19,"Decreased",IF(AQ19&gt;AR19,"Increased","Flat")))</f>
        <v/>
      </c>
    </row>
    <row r="20" customFormat="false" ht="15" hidden="false" customHeight="true" outlineLevel="0" collapsed="false">
      <c r="A20" s="62" t="s">
        <v>118</v>
      </c>
      <c r="B20" s="113" t="s">
        <v>119</v>
      </c>
      <c r="C20" s="114" t="n">
        <v>46295</v>
      </c>
      <c r="D20" s="115" t="n">
        <v>3</v>
      </c>
      <c r="E20" s="115" t="s">
        <v>328</v>
      </c>
      <c r="F20" s="115" t="n">
        <v>4</v>
      </c>
      <c r="G20" s="115" t="s">
        <v>328</v>
      </c>
      <c r="H20" s="115" t="n">
        <v>5</v>
      </c>
      <c r="I20" s="115" t="s">
        <v>329</v>
      </c>
      <c r="J20" s="115" t="n">
        <v>4</v>
      </c>
      <c r="K20" s="115" t="s">
        <v>328</v>
      </c>
      <c r="L20" s="115" t="n">
        <v>2</v>
      </c>
      <c r="M20" s="115" t="s">
        <v>328</v>
      </c>
      <c r="N20" s="116" t="n">
        <f aca="false">IF(COUNT(D20,F20,H20,J20,L20)=0,"",(D20*0.2+F20*0.15+H20*0.15+J20*0.1+L20*0.1)/(IF(D20&lt;&gt;"",0.2,0)+IF(F20&lt;&gt;"",0.15,0)+IF(H20&lt;&gt;"",0.15,0)+IF(J20&lt;&gt;"",0.1,0)+IF(L20&lt;&gt;"",0.1,0)))</f>
        <v>3.64285714285714</v>
      </c>
      <c r="O20" s="117" t="n">
        <f aca="false">IF(COUNT(D20,F20,H20,J20,L20)=0,"",D20*0.2+F20*0.15+H20*0.15+J20*0.1+L20*0.1)</f>
        <v>2.55</v>
      </c>
      <c r="P20" s="115" t="n">
        <v>4</v>
      </c>
      <c r="Q20" s="115" t="s">
        <v>328</v>
      </c>
      <c r="R20" s="115" t="n">
        <v>5</v>
      </c>
      <c r="S20" s="115" t="s">
        <v>329</v>
      </c>
      <c r="T20" s="115" t="n">
        <v>3</v>
      </c>
      <c r="U20" s="115" t="s">
        <v>328</v>
      </c>
      <c r="V20" s="115" t="n">
        <v>3</v>
      </c>
      <c r="W20" s="115" t="s">
        <v>328</v>
      </c>
      <c r="X20" s="117" t="n">
        <f aca="false">IF(COUNT(P20,R20,T20,V20)=0,"",P20*0.08+R20*0.06+T20*0.03+V20*0.08)</f>
        <v>0.95</v>
      </c>
      <c r="Y20" s="115" t="n">
        <v>3</v>
      </c>
      <c r="Z20" s="115" t="s">
        <v>328</v>
      </c>
      <c r="AA20" s="115" t="n">
        <v>4</v>
      </c>
      <c r="AB20" s="115" t="s">
        <v>328</v>
      </c>
      <c r="AC20" s="115" t="n">
        <v>3</v>
      </c>
      <c r="AD20" s="115" t="s">
        <v>330</v>
      </c>
      <c r="AE20" s="117" t="n">
        <f aca="false">IF(COUNT(Y20,AA20,AC20)=0,"",Y20*0.02+AA20*0.02+AC20*0.01)</f>
        <v>0.17</v>
      </c>
      <c r="AF20" s="97" t="n">
        <f aca="false">IF(OR(COUNT(D20,F20,H20,J20,L20)&lt;5,COUNT(P20,R20,T20,V20)&lt;4,COUNT(Y20,AA20,AC20)&lt;3),"",(O20+X20+AE20)*20)</f>
        <v>73.4</v>
      </c>
      <c r="AG20" s="93" t="str">
        <f aca="false">IF(AF20="","",IF(AF20&gt;=80,"STRONG BUY",IF(AF20&gt;=65,"BUY",IF(AF20&gt;=50,"WATCH LIST",IF(AF20&gt;=35,"AVOID","PASS")))))</f>
        <v>BUY</v>
      </c>
      <c r="AH20" s="93" t="str">
        <f aca="false">IF(N20="","",IF(N20&lt;3,"FAIL","OK"))</f>
        <v>OK</v>
      </c>
      <c r="AI20" s="93" t="str">
        <f aca="false">IF(COUNT(D20:L20)=0,"",IF(COUNTIF(D20:L20,1)&gt;0,"REVIEW","OK"))</f>
        <v>OK</v>
      </c>
      <c r="AJ20" s="93" t="str">
        <f aca="false">IF(COUNT(D20:L20)=0,"",IF(COUNTIF(D20:L20,"&lt;=2")&gt;=2,"AVOID","OK"))</f>
        <v>OK</v>
      </c>
      <c r="AK20" s="93" t="str">
        <f aca="false">IF(COUNTA(E20:M20)=0,"",IF(COUNTIF(E20:M20,"L")&gt;=2,"CAP AT BUY","OK"))</f>
        <v>OK</v>
      </c>
      <c r="AL20" s="119" t="s">
        <v>352</v>
      </c>
      <c r="AM20" s="119" t="s">
        <v>353</v>
      </c>
      <c r="AN20" s="120" t="n">
        <v>23059000000</v>
      </c>
      <c r="AO20" s="121" t="n">
        <v>20058000000</v>
      </c>
      <c r="AP20" s="115" t="str">
        <f aca="false">IF(OR(AN20="",AO20=""),"",IF(AN20&gt;AO20,"OK","LOW CONF"))</f>
        <v>OK</v>
      </c>
      <c r="AQ20" s="122" t="n">
        <v>1.167</v>
      </c>
      <c r="AR20" s="117" t="n">
        <v>1.115</v>
      </c>
      <c r="AS20" s="123" t="str">
        <f aca="false">IF(OR(AQ20="",AR20=""),"",IF(AQ20&lt;AR20,"Decreased",IF(AQ20&gt;AR20,"Increased","Flat")))</f>
        <v>Increased</v>
      </c>
    </row>
    <row r="21" customFormat="false" ht="15" hidden="true" customHeight="true" outlineLevel="1" collapsed="false">
      <c r="A21" s="62" t="s">
        <v>253</v>
      </c>
      <c r="B21" s="113" t="s">
        <v>354</v>
      </c>
      <c r="C21" s="114" t="n">
        <v>46245</v>
      </c>
      <c r="D21" s="115" t="n">
        <v>1</v>
      </c>
      <c r="E21" s="115" t="s">
        <v>329</v>
      </c>
      <c r="F21" s="115" t="n">
        <v>3</v>
      </c>
      <c r="G21" s="115" t="s">
        <v>328</v>
      </c>
      <c r="H21" s="115" t="n">
        <v>4</v>
      </c>
      <c r="I21" s="115" t="s">
        <v>328</v>
      </c>
      <c r="J21" s="115" t="n">
        <v>4</v>
      </c>
      <c r="K21" s="115" t="s">
        <v>328</v>
      </c>
      <c r="L21" s="115" t="n">
        <v>1</v>
      </c>
      <c r="M21" s="115" t="s">
        <v>329</v>
      </c>
      <c r="N21" s="116" t="n">
        <f aca="false">IF(COUNT(D21,F21,H21,J21,L21)=0,"",(D21*0.2+F21*0.15+H21*0.15+J21*0.1+L21*0.1)/(IF(D21&lt;&gt;"",0.2,0)+IF(F21&lt;&gt;"",0.15,0)+IF(H21&lt;&gt;"",0.15,0)+IF(J21&lt;&gt;"",0.1,0)+IF(L21&lt;&gt;"",0.1,0)))</f>
        <v>2.5</v>
      </c>
      <c r="O21" s="117" t="n">
        <f aca="false">IF(COUNT(D21,F21,H21,J21,L21)=0,"",D21*0.2+F21*0.15+H21*0.15+J21*0.1+L21*0.1)</f>
        <v>1.75</v>
      </c>
      <c r="P21" s="115"/>
      <c r="Q21" s="115"/>
      <c r="R21" s="115"/>
      <c r="S21" s="115"/>
      <c r="T21" s="115"/>
      <c r="U21" s="115"/>
      <c r="V21" s="115"/>
      <c r="W21" s="115"/>
      <c r="X21" s="117" t="str">
        <f aca="false">IF(COUNT(P21,R21,T21,V21)=0,"",P21*0.08+R21*0.06+T21*0.03+V21*0.08)</f>
        <v/>
      </c>
      <c r="Y21" s="115"/>
      <c r="Z21" s="115"/>
      <c r="AA21" s="115"/>
      <c r="AB21" s="115"/>
      <c r="AC21" s="115"/>
      <c r="AD21" s="115"/>
      <c r="AE21" s="117" t="str">
        <f aca="false">IF(COUNT(Y21,AA21,AC21)=0,"",Y21*0.02+AA21*0.02+AC21*0.01)</f>
        <v/>
      </c>
      <c r="AF21" s="97" t="str">
        <f aca="false">IF(OR(COUNT(D21,F21,H21,J21,L21)&lt;5,COUNT(P21,R21,T21,V21)&lt;4,COUNT(Y21,AA21,AC21)&lt;3),"",(O21+X21+AE21)*20)</f>
        <v/>
      </c>
      <c r="AG21" s="93" t="str">
        <f aca="false">IF(AF21="","",IF(AF21&gt;=80,"STRONG BUY",IF(AF21&gt;=65,"BUY",IF(AF21&gt;=50,"WATCH LIST",IF(AF21&gt;=35,"AVOID","PASS")))))</f>
        <v/>
      </c>
      <c r="AH21" s="93" t="str">
        <f aca="false">IF(N21="","",IF(N21&lt;3,"FAIL","OK"))</f>
        <v>FAIL</v>
      </c>
      <c r="AI21" s="93" t="str">
        <f aca="false">IF(COUNT(D21:L21)=0,"",IF(COUNTIF(D21:L21,1)&gt;0,"REVIEW","OK"))</f>
        <v>REVIEW</v>
      </c>
      <c r="AJ21" s="93" t="str">
        <f aca="false">IF(COUNT(D21:L21)=0,"",IF(COUNTIF(D21:L21,"&lt;=2")&gt;=2,"AVOID","OK"))</f>
        <v>AVOID</v>
      </c>
      <c r="AK21" s="93" t="str">
        <f aca="false">IF(COUNTA(E21:M21)=0,"",IF(COUNTIF(E21:M21,"L")&gt;=2,"CAP AT BUY","OK"))</f>
        <v>OK</v>
      </c>
      <c r="AL21" s="119" t="s">
        <v>355</v>
      </c>
      <c r="AM21" s="119" t="s">
        <v>356</v>
      </c>
      <c r="AN21" s="115"/>
      <c r="AO21" s="93"/>
      <c r="AP21" s="115" t="str">
        <f aca="false">IF(OR(AN21="",AO21=""),"",IF(AN21&gt;AO21,"OK","LOW CONF"))</f>
        <v/>
      </c>
      <c r="AQ21" s="115"/>
      <c r="AR21" s="93"/>
      <c r="AS21" s="123" t="str">
        <f aca="false">IF(OR(AQ21="",AR21=""),"",IF(AQ21&lt;AR21,"Decreased",IF(AQ21&gt;AR21,"Increased","Flat")))</f>
        <v/>
      </c>
    </row>
    <row r="22" customFormat="false" ht="15" hidden="true" customHeight="true" outlineLevel="1" collapsed="false">
      <c r="A22" s="62" t="s">
        <v>233</v>
      </c>
      <c r="B22" s="113" t="s">
        <v>357</v>
      </c>
      <c r="C22" s="114" t="n">
        <v>46245</v>
      </c>
      <c r="D22" s="115" t="n">
        <v>1</v>
      </c>
      <c r="E22" s="115" t="s">
        <v>329</v>
      </c>
      <c r="F22" s="115" t="n">
        <v>1</v>
      </c>
      <c r="G22" s="115" t="s">
        <v>329</v>
      </c>
      <c r="H22" s="115" t="n">
        <v>2</v>
      </c>
      <c r="I22" s="115" t="s">
        <v>328</v>
      </c>
      <c r="J22" s="115" t="n">
        <v>1</v>
      </c>
      <c r="K22" s="115" t="s">
        <v>329</v>
      </c>
      <c r="L22" s="115" t="n">
        <v>1</v>
      </c>
      <c r="M22" s="115" t="s">
        <v>329</v>
      </c>
      <c r="N22" s="116" t="n">
        <f aca="false">IF(COUNT(D22,F22,H22,J22,L22)=0,"",(D22*0.2+F22*0.15+H22*0.15+J22*0.1+L22*0.1)/(IF(D22&lt;&gt;"",0.2,0)+IF(F22&lt;&gt;"",0.15,0)+IF(H22&lt;&gt;"",0.15,0)+IF(J22&lt;&gt;"",0.1,0)+IF(L22&lt;&gt;"",0.1,0)))</f>
        <v>1.21428571428571</v>
      </c>
      <c r="O22" s="117" t="n">
        <f aca="false">IF(COUNT(D22,F22,H22,J22,L22)=0,"",D22*0.2+F22*0.15+H22*0.15+J22*0.1+L22*0.1)</f>
        <v>0.85</v>
      </c>
      <c r="P22" s="115"/>
      <c r="Q22" s="115"/>
      <c r="R22" s="115"/>
      <c r="S22" s="115"/>
      <c r="T22" s="115"/>
      <c r="U22" s="115"/>
      <c r="V22" s="115"/>
      <c r="W22" s="115"/>
      <c r="X22" s="117" t="str">
        <f aca="false">IF(COUNT(P22,R22,T22,V22)=0,"",P22*0.08+R22*0.06+T22*0.03+V22*0.08)</f>
        <v/>
      </c>
      <c r="Y22" s="115"/>
      <c r="Z22" s="115"/>
      <c r="AA22" s="115"/>
      <c r="AB22" s="115"/>
      <c r="AC22" s="115"/>
      <c r="AD22" s="115"/>
      <c r="AE22" s="117" t="str">
        <f aca="false">IF(COUNT(Y22,AA22,AC22)=0,"",Y22*0.02+AA22*0.02+AC22*0.01)</f>
        <v/>
      </c>
      <c r="AF22" s="97" t="str">
        <f aca="false">IF(OR(COUNT(D22,F22,H22,J22,L22)&lt;5,COUNT(P22,R22,T22,V22)&lt;4,COUNT(Y22,AA22,AC22)&lt;3),"",(O22+X22+AE22)*20)</f>
        <v/>
      </c>
      <c r="AG22" s="93" t="str">
        <f aca="false">IF(AF22="","",IF(AF22&gt;=80,"STRONG BUY",IF(AF22&gt;=65,"BUY",IF(AF22&gt;=50,"WATCH LIST",IF(AF22&gt;=35,"AVOID","PASS")))))</f>
        <v/>
      </c>
      <c r="AH22" s="93" t="str">
        <f aca="false">IF(N22="","",IF(N22&lt;3,"FAIL","OK"))</f>
        <v>FAIL</v>
      </c>
      <c r="AI22" s="93" t="str">
        <f aca="false">IF(COUNT(D22:L22)=0,"",IF(COUNTIF(D22:L22,1)&gt;0,"REVIEW","OK"))</f>
        <v>REVIEW</v>
      </c>
      <c r="AJ22" s="93" t="str">
        <f aca="false">IF(COUNT(D22:L22)=0,"",IF(COUNTIF(D22:L22,"&lt;=2")&gt;=2,"AVOID","OK"))</f>
        <v>AVOID</v>
      </c>
      <c r="AK22" s="93" t="str">
        <f aca="false">IF(COUNTA(E22:M22)=0,"",IF(COUNTIF(E22:M22,"L")&gt;=2,"CAP AT BUY","OK"))</f>
        <v>OK</v>
      </c>
      <c r="AL22" s="119" t="s">
        <v>358</v>
      </c>
      <c r="AM22" s="119" t="s">
        <v>359</v>
      </c>
      <c r="AN22" s="115"/>
      <c r="AO22" s="93"/>
      <c r="AP22" s="115" t="str">
        <f aca="false">IF(OR(AN22="",AO22=""),"",IF(AN22&gt;AO22,"OK","LOW CONF"))</f>
        <v/>
      </c>
      <c r="AQ22" s="115"/>
      <c r="AR22" s="93"/>
      <c r="AS22" s="123" t="str">
        <f aca="false">IF(OR(AQ22="",AR22=""),"",IF(AQ22&lt;AR22,"Decreased",IF(AQ22&gt;AR22,"Increased","Flat")))</f>
        <v/>
      </c>
    </row>
    <row r="23" customFormat="false" ht="15" hidden="false" customHeight="true" outlineLevel="0" collapsed="false">
      <c r="A23" s="62" t="s">
        <v>240</v>
      </c>
      <c r="B23" s="113" t="s">
        <v>360</v>
      </c>
      <c r="C23" s="114" t="n">
        <v>46276</v>
      </c>
      <c r="D23" s="115" t="n">
        <v>4</v>
      </c>
      <c r="E23" s="115" t="s">
        <v>328</v>
      </c>
      <c r="F23" s="115" t="n">
        <v>1</v>
      </c>
      <c r="G23" s="115" t="s">
        <v>328</v>
      </c>
      <c r="H23" s="115" t="n">
        <v>4</v>
      </c>
      <c r="I23" s="115" t="s">
        <v>328</v>
      </c>
      <c r="J23" s="115" t="n">
        <v>4</v>
      </c>
      <c r="K23" s="115" t="s">
        <v>328</v>
      </c>
      <c r="L23" s="115" t="n">
        <v>2</v>
      </c>
      <c r="M23" s="115" t="s">
        <v>328</v>
      </c>
      <c r="N23" s="116" t="n">
        <f aca="false">IF(COUNT(D23,F23,H23,J23,L23)=0,"",(D23*0.2+F23*0.15+H23*0.15+J23*0.1+L23*0.1)/(IF(D23&lt;&gt;"",0.2,0)+IF(F23&lt;&gt;"",0.15,0)+IF(H23&lt;&gt;"",0.15,0)+IF(J23&lt;&gt;"",0.1,0)+IF(L23&lt;&gt;"",0.1,0)))</f>
        <v>3.07142857142857</v>
      </c>
      <c r="O23" s="117" t="n">
        <f aca="false">IF(COUNT(D23,F23,H23,J23,L23)=0,"",D23*0.2+F23*0.15+H23*0.15+J23*0.1+L23*0.1)</f>
        <v>2.15</v>
      </c>
      <c r="P23" s="115"/>
      <c r="Q23" s="115"/>
      <c r="R23" s="115"/>
      <c r="S23" s="115"/>
      <c r="T23" s="115"/>
      <c r="U23" s="115"/>
      <c r="V23" s="115"/>
      <c r="W23" s="115"/>
      <c r="X23" s="117" t="str">
        <f aca="false">IF(COUNT(P23,R23,T23,V23)=0,"",P23*0.08+R23*0.06+T23*0.03+V23*0.08)</f>
        <v/>
      </c>
      <c r="Y23" s="115"/>
      <c r="Z23" s="115"/>
      <c r="AA23" s="115"/>
      <c r="AB23" s="115"/>
      <c r="AC23" s="115"/>
      <c r="AD23" s="115"/>
      <c r="AE23" s="117" t="str">
        <f aca="false">IF(COUNT(Y23,AA23,AC23)=0,"",Y23*0.02+AA23*0.02+AC23*0.01)</f>
        <v/>
      </c>
      <c r="AF23" s="97" t="str">
        <f aca="false">IF(OR(COUNT(D23,F23,H23,J23,L23)&lt;5,COUNT(P23,R23,T23,V23)&lt;4,COUNT(Y23,AA23,AC23)&lt;3),"",(O23+X23+AE23)*20)</f>
        <v/>
      </c>
      <c r="AG23" s="93" t="str">
        <f aca="false">IF(AF23="","",IF(AF23&gt;=80,"STRONG BUY",IF(AF23&gt;=65,"BUY",IF(AF23&gt;=50,"WATCH LIST",IF(AF23&gt;=35,"AVOID","PASS")))))</f>
        <v/>
      </c>
      <c r="AH23" s="93" t="str">
        <f aca="false">IF(N23="","",IF(N23&lt;3,"FAIL","OK"))</f>
        <v>OK</v>
      </c>
      <c r="AI23" s="93" t="str">
        <f aca="false">IF(COUNT(D23:L23)=0,"",IF(COUNTIF(D23:L23,1)&gt;0,"REVIEW","OK"))</f>
        <v>REVIEW</v>
      </c>
      <c r="AJ23" s="93" t="str">
        <f aca="false">IF(COUNT(D23:L23)=0,"",IF(COUNTIF(D23:L23,"&lt;=2")&gt;=2,"AVOID","OK"))</f>
        <v>AVOID</v>
      </c>
      <c r="AK23" s="93" t="str">
        <f aca="false">IF(COUNTA(E23:M23)=0,"",IF(COUNTIF(E23:M23,"L")&gt;=2,"CAP AT BUY","OK"))</f>
        <v>OK</v>
      </c>
      <c r="AL23" s="119" t="s">
        <v>358</v>
      </c>
      <c r="AM23" s="119" t="s">
        <v>361</v>
      </c>
      <c r="AN23" s="115"/>
      <c r="AO23" s="93"/>
      <c r="AP23" s="115" t="str">
        <f aca="false">IF(OR(AN23="",AO23=""),"",IF(AN23&gt;AO23,"OK","LOW CONF"))</f>
        <v/>
      </c>
      <c r="AQ23" s="115"/>
      <c r="AR23" s="93"/>
      <c r="AS23" s="123" t="str">
        <f aca="false">IF(OR(AQ23="",AR23=""),"",IF(AQ23&lt;AR23,"Decreased",IF(AQ23&gt;AR23,"Increased","Flat")))</f>
        <v/>
      </c>
    </row>
    <row r="24" customFormat="false" ht="15" hidden="true" customHeight="true" outlineLevel="1" collapsed="false">
      <c r="A24" s="62" t="s">
        <v>249</v>
      </c>
      <c r="B24" s="113" t="s">
        <v>362</v>
      </c>
      <c r="C24" s="114" t="n">
        <v>46245</v>
      </c>
      <c r="D24" s="115" t="n">
        <v>2</v>
      </c>
      <c r="E24" s="115" t="s">
        <v>330</v>
      </c>
      <c r="F24" s="115" t="n">
        <v>2</v>
      </c>
      <c r="G24" s="115" t="s">
        <v>328</v>
      </c>
      <c r="H24" s="115" t="n">
        <v>3</v>
      </c>
      <c r="I24" s="115" t="s">
        <v>328</v>
      </c>
      <c r="J24" s="115" t="n">
        <v>2</v>
      </c>
      <c r="K24" s="115" t="s">
        <v>328</v>
      </c>
      <c r="L24" s="115" t="n">
        <v>1</v>
      </c>
      <c r="M24" s="115" t="s">
        <v>329</v>
      </c>
      <c r="N24" s="116" t="n">
        <f aca="false">IF(COUNT(D24,F24,H24,J24,L24)=0,"",(D24*0.2+F24*0.15+H24*0.15+J24*0.1+L24*0.1)/(IF(D24&lt;&gt;"",0.2,0)+IF(F24&lt;&gt;"",0.15,0)+IF(H24&lt;&gt;"",0.15,0)+IF(J24&lt;&gt;"",0.1,0)+IF(L24&lt;&gt;"",0.1,0)))</f>
        <v>2.07142857142857</v>
      </c>
      <c r="O24" s="117" t="n">
        <f aca="false">IF(COUNT(D24,F24,H24,J24,L24)=0,"",D24*0.2+F24*0.15+H24*0.15+J24*0.1+L24*0.1)</f>
        <v>1.45</v>
      </c>
      <c r="P24" s="115"/>
      <c r="Q24" s="115"/>
      <c r="R24" s="115"/>
      <c r="S24" s="115"/>
      <c r="T24" s="115"/>
      <c r="U24" s="115"/>
      <c r="V24" s="115"/>
      <c r="W24" s="115"/>
      <c r="X24" s="117" t="str">
        <f aca="false">IF(COUNT(P24,R24,T24,V24)=0,"",P24*0.08+R24*0.06+T24*0.03+V24*0.08)</f>
        <v/>
      </c>
      <c r="Y24" s="115"/>
      <c r="Z24" s="115"/>
      <c r="AA24" s="115"/>
      <c r="AB24" s="115"/>
      <c r="AC24" s="115"/>
      <c r="AD24" s="115"/>
      <c r="AE24" s="117" t="str">
        <f aca="false">IF(COUNT(Y24,AA24,AC24)=0,"",Y24*0.02+AA24*0.02+AC24*0.01)</f>
        <v/>
      </c>
      <c r="AF24" s="97" t="str">
        <f aca="false">IF(OR(COUNT(D24,F24,H24,J24,L24)&lt;5,COUNT(P24,R24,T24,V24)&lt;4,COUNT(Y24,AA24,AC24)&lt;3),"",(O24+X24+AE24)*20)</f>
        <v/>
      </c>
      <c r="AG24" s="93" t="str">
        <f aca="false">IF(AF24="","",IF(AF24&gt;=80,"STRONG BUY",IF(AF24&gt;=65,"BUY",IF(AF24&gt;=50,"WATCH LIST",IF(AF24&gt;=35,"AVOID","PASS")))))</f>
        <v/>
      </c>
      <c r="AH24" s="93" t="str">
        <f aca="false">IF(N24="","",IF(N24&lt;3,"FAIL","OK"))</f>
        <v>FAIL</v>
      </c>
      <c r="AI24" s="93" t="str">
        <f aca="false">IF(COUNT(D24:L24)=0,"",IF(COUNTIF(D24:L24,1)&gt;0,"REVIEW","OK"))</f>
        <v>REVIEW</v>
      </c>
      <c r="AJ24" s="93" t="str">
        <f aca="false">IF(COUNT(D24:L24)=0,"",IF(COUNTIF(D24:L24,"&lt;=2")&gt;=2,"AVOID","OK"))</f>
        <v>AVOID</v>
      </c>
      <c r="AK24" s="93" t="str">
        <f aca="false">IF(COUNTA(E24:M24)=0,"",IF(COUNTIF(E24:M24,"L")&gt;=2,"CAP AT BUY","OK"))</f>
        <v>OK</v>
      </c>
      <c r="AL24" s="119" t="s">
        <v>358</v>
      </c>
      <c r="AM24" s="119" t="s">
        <v>363</v>
      </c>
      <c r="AN24" s="115"/>
      <c r="AO24" s="93"/>
      <c r="AP24" s="115" t="str">
        <f aca="false">IF(OR(AN24="",AO24=""),"",IF(AN24&gt;AO24,"OK","LOW CONF"))</f>
        <v/>
      </c>
      <c r="AQ24" s="115"/>
      <c r="AR24" s="93"/>
      <c r="AS24" s="123" t="str">
        <f aca="false">IF(OR(AQ24="",AR24=""),"",IF(AQ24&lt;AR24,"Decreased",IF(AQ24&gt;AR24,"Increased","Flat")))</f>
        <v/>
      </c>
    </row>
    <row r="25" customFormat="false" ht="15" hidden="true" customHeight="true" outlineLevel="1" collapsed="false">
      <c r="A25" s="62" t="s">
        <v>258</v>
      </c>
      <c r="B25" s="113" t="s">
        <v>364</v>
      </c>
      <c r="C25" s="114" t="n">
        <v>46245</v>
      </c>
      <c r="D25" s="115" t="n">
        <v>3</v>
      </c>
      <c r="E25" s="115" t="s">
        <v>328</v>
      </c>
      <c r="F25" s="115" t="n">
        <v>2</v>
      </c>
      <c r="G25" s="115" t="s">
        <v>329</v>
      </c>
      <c r="H25" s="115" t="n">
        <v>3</v>
      </c>
      <c r="I25" s="115" t="s">
        <v>328</v>
      </c>
      <c r="J25" s="115" t="n">
        <v>3</v>
      </c>
      <c r="K25" s="115" t="s">
        <v>328</v>
      </c>
      <c r="L25" s="115" t="n">
        <v>2</v>
      </c>
      <c r="M25" s="115" t="s">
        <v>329</v>
      </c>
      <c r="N25" s="116" t="n">
        <f aca="false">IF(COUNT(D25,F25,H25,J25,L25)=0,"",(D25*0.2+F25*0.15+H25*0.15+J25*0.1+L25*0.1)/(IF(D25&lt;&gt;"",0.2,0)+IF(F25&lt;&gt;"",0.15,0)+IF(H25&lt;&gt;"",0.15,0)+IF(J25&lt;&gt;"",0.1,0)+IF(L25&lt;&gt;"",0.1,0)))</f>
        <v>2.64285714285714</v>
      </c>
      <c r="O25" s="117" t="n">
        <f aca="false">IF(COUNT(D25,F25,H25,J25,L25)=0,"",D25*0.2+F25*0.15+H25*0.15+J25*0.1+L25*0.1)</f>
        <v>1.85</v>
      </c>
      <c r="P25" s="115"/>
      <c r="Q25" s="115"/>
      <c r="R25" s="115"/>
      <c r="S25" s="115"/>
      <c r="T25" s="115"/>
      <c r="U25" s="115"/>
      <c r="V25" s="115"/>
      <c r="W25" s="115"/>
      <c r="X25" s="117" t="str">
        <f aca="false">IF(COUNT(P25,R25,T25,V25)=0,"",P25*0.08+R25*0.06+T25*0.03+V25*0.08)</f>
        <v/>
      </c>
      <c r="Y25" s="115"/>
      <c r="Z25" s="115"/>
      <c r="AA25" s="115"/>
      <c r="AB25" s="115"/>
      <c r="AC25" s="115"/>
      <c r="AD25" s="115"/>
      <c r="AE25" s="117" t="str">
        <f aca="false">IF(COUNT(Y25,AA25,AC25)=0,"",Y25*0.02+AA25*0.02+AC25*0.01)</f>
        <v/>
      </c>
      <c r="AF25" s="97" t="str">
        <f aca="false">IF(OR(COUNT(D25,F25,H25,J25,L25)&lt;5,COUNT(P25,R25,T25,V25)&lt;4,COUNT(Y25,AA25,AC25)&lt;3),"",(O25+X25+AE25)*20)</f>
        <v/>
      </c>
      <c r="AG25" s="93" t="str">
        <f aca="false">IF(AF25="","",IF(AF25&gt;=80,"STRONG BUY",IF(AF25&gt;=65,"BUY",IF(AF25&gt;=50,"WATCH LIST",IF(AF25&gt;=35,"AVOID","PASS")))))</f>
        <v/>
      </c>
      <c r="AH25" s="93" t="str">
        <f aca="false">IF(N25="","",IF(N25&lt;3,"FAIL","OK"))</f>
        <v>FAIL</v>
      </c>
      <c r="AI25" s="93" t="str">
        <f aca="false">IF(COUNT(D25:L25)=0,"",IF(COUNTIF(D25:L25,1)&gt;0,"REVIEW","OK"))</f>
        <v>OK</v>
      </c>
      <c r="AJ25" s="93" t="str">
        <f aca="false">IF(COUNT(D25:L25)=0,"",IF(COUNTIF(D25:L25,"&lt;=2")&gt;=2,"AVOID","OK"))</f>
        <v>AVOID</v>
      </c>
      <c r="AK25" s="93" t="str">
        <f aca="false">IF(COUNTA(E25:M25)=0,"",IF(COUNTIF(E25:M25,"L")&gt;=2,"CAP AT BUY","OK"))</f>
        <v>OK</v>
      </c>
      <c r="AL25" s="119" t="s">
        <v>358</v>
      </c>
      <c r="AM25" s="119" t="s">
        <v>363</v>
      </c>
      <c r="AN25" s="115"/>
      <c r="AO25" s="93"/>
      <c r="AP25" s="115" t="str">
        <f aca="false">IF(OR(AN25="",AO25=""),"",IF(AN25&gt;AO25,"OK","LOW CONF"))</f>
        <v/>
      </c>
      <c r="AQ25" s="115"/>
      <c r="AR25" s="93"/>
      <c r="AS25" s="123" t="str">
        <f aca="false">IF(OR(AQ25="",AR25=""),"",IF(AQ25&lt;AR25,"Decreased",IF(AQ25&gt;AR25,"Increased","Flat")))</f>
        <v/>
      </c>
    </row>
    <row r="26" customFormat="false" ht="15" hidden="true" customHeight="true" outlineLevel="1" collapsed="false">
      <c r="A26" s="62" t="s">
        <v>228</v>
      </c>
      <c r="B26" s="113" t="s">
        <v>365</v>
      </c>
      <c r="C26" s="114" t="n">
        <v>46245</v>
      </c>
      <c r="D26" s="115" t="n">
        <v>2</v>
      </c>
      <c r="E26" s="115" t="s">
        <v>328</v>
      </c>
      <c r="F26" s="115" t="n">
        <v>1</v>
      </c>
      <c r="G26" s="115" t="s">
        <v>329</v>
      </c>
      <c r="H26" s="115" t="n">
        <v>2</v>
      </c>
      <c r="I26" s="115" t="s">
        <v>328</v>
      </c>
      <c r="J26" s="115" t="n">
        <v>2</v>
      </c>
      <c r="K26" s="115" t="s">
        <v>328</v>
      </c>
      <c r="L26" s="115" t="n">
        <v>2</v>
      </c>
      <c r="M26" s="115" t="s">
        <v>328</v>
      </c>
      <c r="N26" s="116" t="n">
        <f aca="false">IF(COUNT(D26,F26,H26,J26,L26)=0,"",(D26*0.2+F26*0.15+H26*0.15+J26*0.1+L26*0.1)/(IF(D26&lt;&gt;"",0.2,0)+IF(F26&lt;&gt;"",0.15,0)+IF(H26&lt;&gt;"",0.15,0)+IF(J26&lt;&gt;"",0.1,0)+IF(L26&lt;&gt;"",0.1,0)))</f>
        <v>1.78571428571429</v>
      </c>
      <c r="O26" s="117" t="n">
        <f aca="false">IF(COUNT(D26,F26,H26,J26,L26)=0,"",D26*0.2+F26*0.15+H26*0.15+J26*0.1+L26*0.1)</f>
        <v>1.25</v>
      </c>
      <c r="P26" s="115"/>
      <c r="Q26" s="115"/>
      <c r="R26" s="115"/>
      <c r="S26" s="115"/>
      <c r="T26" s="115"/>
      <c r="U26" s="115"/>
      <c r="V26" s="115"/>
      <c r="W26" s="115"/>
      <c r="X26" s="117" t="str">
        <f aca="false">IF(COUNT(P26,R26,T26,V26)=0,"",P26*0.08+R26*0.06+T26*0.03+V26*0.08)</f>
        <v/>
      </c>
      <c r="Y26" s="115"/>
      <c r="Z26" s="115"/>
      <c r="AA26" s="115"/>
      <c r="AB26" s="115"/>
      <c r="AC26" s="115"/>
      <c r="AD26" s="115"/>
      <c r="AE26" s="117" t="str">
        <f aca="false">IF(COUNT(Y26,AA26,AC26)=0,"",Y26*0.02+AA26*0.02+AC26*0.01)</f>
        <v/>
      </c>
      <c r="AF26" s="97" t="str">
        <f aca="false">IF(OR(COUNT(D26,F26,H26,J26,L26)&lt;5,COUNT(P26,R26,T26,V26)&lt;4,COUNT(Y26,AA26,AC26)&lt;3),"",(O26+X26+AE26)*20)</f>
        <v/>
      </c>
      <c r="AG26" s="93" t="str">
        <f aca="false">IF(AF26="","",IF(AF26&gt;=80,"STRONG BUY",IF(AF26&gt;=65,"BUY",IF(AF26&gt;=50,"WATCH LIST",IF(AF26&gt;=35,"AVOID","PASS")))))</f>
        <v/>
      </c>
      <c r="AH26" s="93" t="str">
        <f aca="false">IF(N26="","",IF(N26&lt;3,"FAIL","OK"))</f>
        <v>FAIL</v>
      </c>
      <c r="AI26" s="93" t="str">
        <f aca="false">IF(COUNT(D26:L26)=0,"",IF(COUNTIF(D26:L26,1)&gt;0,"REVIEW","OK"))</f>
        <v>REVIEW</v>
      </c>
      <c r="AJ26" s="93" t="str">
        <f aca="false">IF(COUNT(D26:L26)=0,"",IF(COUNTIF(D26:L26,"&lt;=2")&gt;=2,"AVOID","OK"))</f>
        <v>AVOID</v>
      </c>
      <c r="AK26" s="93" t="str">
        <f aca="false">IF(COUNTA(E26:M26)=0,"",IF(COUNTIF(E26:M26,"L")&gt;=2,"CAP AT BUY","OK"))</f>
        <v>OK</v>
      </c>
      <c r="AL26" s="119" t="s">
        <v>366</v>
      </c>
      <c r="AM26" s="119" t="s">
        <v>367</v>
      </c>
      <c r="AN26" s="115"/>
      <c r="AO26" s="93"/>
      <c r="AP26" s="115" t="str">
        <f aca="false">IF(OR(AN26="",AO26=""),"",IF(AN26&gt;AO26,"OK","LOW CONF"))</f>
        <v/>
      </c>
      <c r="AQ26" s="115"/>
      <c r="AR26" s="93"/>
      <c r="AS26" s="123" t="str">
        <f aca="false">IF(OR(AQ26="",AR26=""),"",IF(AQ26&lt;AR26,"Decreased",IF(AQ26&gt;AR26,"Increased","Flat")))</f>
        <v/>
      </c>
    </row>
    <row r="27" customFormat="false" ht="15" hidden="true" customHeight="true" outlineLevel="1" collapsed="false">
      <c r="A27" s="62" t="s">
        <v>229</v>
      </c>
      <c r="B27" s="113" t="s">
        <v>368</v>
      </c>
      <c r="C27" s="114" t="n">
        <v>46245</v>
      </c>
      <c r="D27" s="115" t="n">
        <v>2</v>
      </c>
      <c r="E27" s="115" t="s">
        <v>329</v>
      </c>
      <c r="F27" s="115" t="n">
        <v>2</v>
      </c>
      <c r="G27" s="115" t="s">
        <v>328</v>
      </c>
      <c r="H27" s="115" t="n">
        <v>2</v>
      </c>
      <c r="I27" s="115" t="s">
        <v>328</v>
      </c>
      <c r="J27" s="115" t="n">
        <v>2</v>
      </c>
      <c r="K27" s="115" t="s">
        <v>328</v>
      </c>
      <c r="L27" s="115" t="n">
        <v>1</v>
      </c>
      <c r="M27" s="115" t="s">
        <v>329</v>
      </c>
      <c r="N27" s="116" t="n">
        <f aca="false">IF(COUNT(D27,F27,H27,J27,L27)=0,"",(D27*0.2+F27*0.15+H27*0.15+J27*0.1+L27*0.1)/(IF(D27&lt;&gt;"",0.2,0)+IF(F27&lt;&gt;"",0.15,0)+IF(H27&lt;&gt;"",0.15,0)+IF(J27&lt;&gt;"",0.1,0)+IF(L27&lt;&gt;"",0.1,0)))</f>
        <v>1.85714285714286</v>
      </c>
      <c r="O27" s="117" t="n">
        <f aca="false">IF(COUNT(D27,F27,H27,J27,L27)=0,"",D27*0.2+F27*0.15+H27*0.15+J27*0.1+L27*0.1)</f>
        <v>1.3</v>
      </c>
      <c r="P27" s="115"/>
      <c r="Q27" s="115"/>
      <c r="R27" s="115"/>
      <c r="S27" s="115"/>
      <c r="T27" s="115"/>
      <c r="U27" s="115"/>
      <c r="V27" s="115"/>
      <c r="W27" s="115"/>
      <c r="X27" s="117" t="str">
        <f aca="false">IF(COUNT(P27,R27,T27,V27)=0,"",P27*0.08+R27*0.06+T27*0.03+V27*0.08)</f>
        <v/>
      </c>
      <c r="Y27" s="115"/>
      <c r="Z27" s="115"/>
      <c r="AA27" s="115"/>
      <c r="AB27" s="115"/>
      <c r="AC27" s="115"/>
      <c r="AD27" s="115"/>
      <c r="AE27" s="117" t="str">
        <f aca="false">IF(COUNT(Y27,AA27,AC27)=0,"",Y27*0.02+AA27*0.02+AC27*0.01)</f>
        <v/>
      </c>
      <c r="AF27" s="97" t="str">
        <f aca="false">IF(OR(COUNT(D27,F27,H27,J27,L27)&lt;5,COUNT(P27,R27,T27,V27)&lt;4,COUNT(Y27,AA27,AC27)&lt;3),"",(O27+X27+AE27)*20)</f>
        <v/>
      </c>
      <c r="AG27" s="93" t="str">
        <f aca="false">IF(AF27="","",IF(AF27&gt;=80,"STRONG BUY",IF(AF27&gt;=65,"BUY",IF(AF27&gt;=50,"WATCH LIST",IF(AF27&gt;=35,"AVOID","PASS")))))</f>
        <v/>
      </c>
      <c r="AH27" s="93" t="str">
        <f aca="false">IF(N27="","",IF(N27&lt;3,"FAIL","OK"))</f>
        <v>FAIL</v>
      </c>
      <c r="AI27" s="93" t="str">
        <f aca="false">IF(COUNT(D27:L27)=0,"",IF(COUNTIF(D27:L27,1)&gt;0,"REVIEW","OK"))</f>
        <v>REVIEW</v>
      </c>
      <c r="AJ27" s="93" t="str">
        <f aca="false">IF(COUNT(D27:L27)=0,"",IF(COUNTIF(D27:L27,"&lt;=2")&gt;=2,"AVOID","OK"))</f>
        <v>AVOID</v>
      </c>
      <c r="AK27" s="93" t="str">
        <f aca="false">IF(COUNTA(E27:M27)=0,"",IF(COUNTIF(E27:M27,"L")&gt;=2,"CAP AT BUY","OK"))</f>
        <v>OK</v>
      </c>
      <c r="AL27" s="119" t="s">
        <v>366</v>
      </c>
      <c r="AM27" s="119" t="s">
        <v>369</v>
      </c>
      <c r="AN27" s="115"/>
      <c r="AO27" s="93"/>
      <c r="AP27" s="115" t="str">
        <f aca="false">IF(OR(AN27="",AO27=""),"",IF(AN27&gt;AO27,"OK","LOW CONF"))</f>
        <v/>
      </c>
      <c r="AQ27" s="115"/>
      <c r="AR27" s="93"/>
      <c r="AS27" s="123" t="str">
        <f aca="false">IF(OR(AQ27="",AR27=""),"",IF(AQ27&lt;AR27,"Decreased",IF(AQ27&gt;AR27,"Increased","Flat")))</f>
        <v/>
      </c>
    </row>
    <row r="28" customFormat="false" ht="15" hidden="false" customHeight="true" outlineLevel="0" collapsed="false">
      <c r="A28" s="62" t="s">
        <v>251</v>
      </c>
      <c r="B28" s="113" t="s">
        <v>370</v>
      </c>
      <c r="C28" s="124" t="n">
        <v>46276</v>
      </c>
      <c r="D28" s="115" t="n">
        <v>2</v>
      </c>
      <c r="E28" s="115" t="s">
        <v>328</v>
      </c>
      <c r="F28" s="115" t="n">
        <v>2</v>
      </c>
      <c r="G28" s="115" t="s">
        <v>328</v>
      </c>
      <c r="H28" s="115" t="n">
        <v>5</v>
      </c>
      <c r="I28" s="115" t="s">
        <v>329</v>
      </c>
      <c r="J28" s="115" t="n">
        <v>5</v>
      </c>
      <c r="K28" s="115" t="s">
        <v>329</v>
      </c>
      <c r="L28" s="115" t="n">
        <v>2</v>
      </c>
      <c r="M28" s="115" t="s">
        <v>328</v>
      </c>
      <c r="N28" s="116" t="n">
        <f aca="false">IF(COUNT(D28,F28,H28,J28,L28)=0,"",(D28*0.2+F28*0.15+H28*0.15+J28*0.1+L28*0.1)/(IF(D28&lt;&gt;"",0.2,0)+IF(F28&lt;&gt;"",0.15,0)+IF(H28&lt;&gt;"",0.15,0)+IF(J28&lt;&gt;"",0.1,0)+IF(L28&lt;&gt;"",0.1,0)))</f>
        <v>3.07142857142857</v>
      </c>
      <c r="O28" s="93" t="n">
        <f aca="false">IF(COUNT(D28,F28,H28,J28,L28)=0,"",D28*0.2+F28*0.15+H28*0.15+J28*0.1+L28*0.1)</f>
        <v>2.15</v>
      </c>
      <c r="P28" s="115"/>
      <c r="Q28" s="115"/>
      <c r="R28" s="115"/>
      <c r="S28" s="115"/>
      <c r="T28" s="115"/>
      <c r="U28" s="115"/>
      <c r="V28" s="115"/>
      <c r="W28" s="115"/>
      <c r="X28" s="65" t="str">
        <f aca="false">IF(COUNT(P28,R28,T28,V28)=0,"",P28*0.08+R28*0.06+T28*0.03+V28*0.08)</f>
        <v/>
      </c>
      <c r="Y28" s="115"/>
      <c r="Z28" s="115"/>
      <c r="AA28" s="115"/>
      <c r="AB28" s="115"/>
      <c r="AC28" s="115"/>
      <c r="AD28" s="115"/>
      <c r="AE28" s="65" t="str">
        <f aca="false">IF(COUNT(Y28,AA28,AC28)=0,"",Y28*0.02+AA28*0.02+AC28*0.01)</f>
        <v/>
      </c>
      <c r="AF28" s="93" t="str">
        <f aca="false">IF(OR(COUNT(D28,F28,H28,J28,L28)&lt;5,COUNT(P28,R28,T28,V28)&lt;4,COUNT(Y28,AA28,AC28)&lt;3),"",(O28+X28+AE28)*20)</f>
        <v/>
      </c>
      <c r="AG28" s="93" t="str">
        <f aca="false">IF(AF28="","",IF(AF28&gt;=80,"STRONG BUY",IF(AF28&gt;=65,"BUY",IF(AF28&gt;=50,"WATCH LIST",IF(AF28&gt;=35,"AVOID","PASS")))))</f>
        <v/>
      </c>
      <c r="AH28" s="93" t="str">
        <f aca="false">IF(N28="","",IF(N28&lt;3,"FAIL","OK"))</f>
        <v>OK</v>
      </c>
      <c r="AI28" s="93" t="str">
        <f aca="false">IF(COUNT(D28:L28)=0,"",IF(COUNTIF(D28:L28,1)&gt;0,"REVIEW","OK"))</f>
        <v>OK</v>
      </c>
      <c r="AJ28" s="93" t="str">
        <f aca="false">IF(COUNT(D28:L28)=0,"",IF(COUNTIF(D28:L28,"&lt;=2")&gt;=2,"AVOID","OK"))</f>
        <v>AVOID</v>
      </c>
      <c r="AK28" s="93" t="str">
        <f aca="false">IF(COUNTA(E28:M28)=0,"",IF(COUNTIF(E28:M28,"L")&gt;=2,"CAP AT BUY","OK"))</f>
        <v>OK</v>
      </c>
      <c r="AL28" s="119" t="s">
        <v>366</v>
      </c>
      <c r="AM28" s="119" t="s">
        <v>371</v>
      </c>
      <c r="AN28" s="115"/>
      <c r="AO28" s="93"/>
      <c r="AP28" s="115" t="str">
        <f aca="false">IF(OR(AN28="",AO28=""),"",IF(AN28&gt;AO28,"OK","LOW CONF"))</f>
        <v/>
      </c>
      <c r="AQ28" s="115"/>
      <c r="AR28" s="93"/>
      <c r="AS28" s="125" t="str">
        <f aca="false">IF(OR(AQ28="",AR28=""),"",IF(AQ28&lt;AR28,"Decreased",IF(AQ28&gt;AR28,"Increased","Flat")))</f>
        <v/>
      </c>
    </row>
    <row r="29" customFormat="false" ht="15" hidden="true" customHeight="true" outlineLevel="1" collapsed="false">
      <c r="A29" s="62" t="s">
        <v>234</v>
      </c>
      <c r="B29" s="113" t="s">
        <v>372</v>
      </c>
      <c r="C29" s="124" t="n">
        <v>46245</v>
      </c>
      <c r="D29" s="115" t="n">
        <v>2</v>
      </c>
      <c r="E29" s="115" t="s">
        <v>328</v>
      </c>
      <c r="F29" s="115" t="n">
        <v>2</v>
      </c>
      <c r="G29" s="115" t="s">
        <v>328</v>
      </c>
      <c r="H29" s="115" t="n">
        <v>3</v>
      </c>
      <c r="I29" s="115" t="s">
        <v>328</v>
      </c>
      <c r="J29" s="115" t="n">
        <v>3</v>
      </c>
      <c r="K29" s="115" t="s">
        <v>328</v>
      </c>
      <c r="L29" s="115" t="n">
        <v>2</v>
      </c>
      <c r="M29" s="115" t="s">
        <v>329</v>
      </c>
      <c r="N29" s="116" t="n">
        <f aca="false">IF(COUNT(D29,F29,H29,J29,L29)=0,"",(D29*0.2+F29*0.15+H29*0.15+J29*0.1+L29*0.1)/(IF(D29&lt;&gt;"",0.2,0)+IF(F29&lt;&gt;"",0.15,0)+IF(H29&lt;&gt;"",0.15,0)+IF(J29&lt;&gt;"",0.1,0)+IF(L29&lt;&gt;"",0.1,0)))</f>
        <v>2.35714285714286</v>
      </c>
      <c r="O29" s="93" t="n">
        <f aca="false">IF(COUNT(D29,F29,H29,J29,L29)=0,"",D29*0.2+F29*0.15+H29*0.15+J29*0.1+L29*0.1)</f>
        <v>1.65</v>
      </c>
      <c r="P29" s="115"/>
      <c r="Q29" s="115"/>
      <c r="R29" s="115"/>
      <c r="S29" s="115"/>
      <c r="T29" s="115"/>
      <c r="U29" s="115"/>
      <c r="V29" s="115"/>
      <c r="W29" s="115"/>
      <c r="X29" s="65" t="str">
        <f aca="false">IF(COUNT(P29,R29,T29,V29)=0,"",P29*0.08+R29*0.06+T29*0.03+V29*0.08)</f>
        <v/>
      </c>
      <c r="Y29" s="115"/>
      <c r="Z29" s="115"/>
      <c r="AA29" s="115"/>
      <c r="AB29" s="115"/>
      <c r="AC29" s="115"/>
      <c r="AD29" s="115"/>
      <c r="AE29" s="65" t="str">
        <f aca="false">IF(COUNT(Y29,AA29,AC29)=0,"",Y29*0.02+AA29*0.02+AC29*0.01)</f>
        <v/>
      </c>
      <c r="AF29" s="93" t="str">
        <f aca="false">IF(OR(COUNT(D29,F29,H29,J29,L29)&lt;5,COUNT(P29,R29,T29,V29)&lt;4,COUNT(Y29,AA29,AC29)&lt;3),"",(O29+X29+AE29)*20)</f>
        <v/>
      </c>
      <c r="AG29" s="93" t="str">
        <f aca="false">IF(AF29="","",IF(AF29&gt;=80,"STRONG BUY",IF(AF29&gt;=65,"BUY",IF(AF29&gt;=50,"WATCH LIST",IF(AF29&gt;=35,"AVOID","PASS")))))</f>
        <v/>
      </c>
      <c r="AH29" s="93" t="str">
        <f aca="false">IF(N29="","",IF(N29&lt;3,"FAIL","OK"))</f>
        <v>FAIL</v>
      </c>
      <c r="AI29" s="93" t="str">
        <f aca="false">IF(COUNT(D29:L29)=0,"",IF(COUNTIF(D29:L29,1)&gt;0,"REVIEW","OK"))</f>
        <v>OK</v>
      </c>
      <c r="AJ29" s="93" t="str">
        <f aca="false">IF(COUNT(D29:L29)=0,"",IF(COUNTIF(D29:L29,"&lt;=2")&gt;=2,"AVOID","OK"))</f>
        <v>AVOID</v>
      </c>
      <c r="AK29" s="93" t="str">
        <f aca="false">IF(COUNTA(E29:M29)=0,"",IF(COUNTIF(E29:M29,"L")&gt;=2,"CAP AT BUY","OK"))</f>
        <v>OK</v>
      </c>
      <c r="AL29" s="119" t="s">
        <v>339</v>
      </c>
      <c r="AM29" s="119" t="s">
        <v>373</v>
      </c>
      <c r="AN29" s="115"/>
      <c r="AO29" s="93"/>
      <c r="AP29" s="115" t="str">
        <f aca="false">IF(OR(AN29="",AO29=""),"",IF(AN29&gt;AO29,"OK","LOW CONF"))</f>
        <v/>
      </c>
      <c r="AQ29" s="115"/>
      <c r="AR29" s="93"/>
      <c r="AS29" s="125" t="str">
        <f aca="false">IF(OR(AQ29="",AR29=""),"",IF(AQ29&lt;AR29,"Decreased",IF(AQ29&gt;AR29,"Increased","Flat")))</f>
        <v/>
      </c>
    </row>
    <row r="30" customFormat="false" ht="15" hidden="true" customHeight="true" outlineLevel="1" collapsed="false">
      <c r="A30" s="62" t="s">
        <v>238</v>
      </c>
      <c r="B30" s="113" t="s">
        <v>374</v>
      </c>
      <c r="C30" s="124" t="n">
        <v>46245</v>
      </c>
      <c r="D30" s="115" t="n">
        <v>2</v>
      </c>
      <c r="E30" s="115" t="s">
        <v>328</v>
      </c>
      <c r="F30" s="115" t="n">
        <v>1</v>
      </c>
      <c r="G30" s="115" t="s">
        <v>329</v>
      </c>
      <c r="H30" s="115" t="n">
        <v>3</v>
      </c>
      <c r="I30" s="115" t="s">
        <v>328</v>
      </c>
      <c r="J30" s="115" t="n">
        <v>2</v>
      </c>
      <c r="K30" s="115" t="s">
        <v>328</v>
      </c>
      <c r="L30" s="115" t="n">
        <v>3</v>
      </c>
      <c r="M30" s="115" t="s">
        <v>328</v>
      </c>
      <c r="N30" s="116" t="n">
        <f aca="false">IF(COUNT(D30,F30,H30,J30,L30)=0,"",(D30*0.2+F30*0.15+H30*0.15+J30*0.1+L30*0.1)/(IF(D30&lt;&gt;"",0.2,0)+IF(F30&lt;&gt;"",0.15,0)+IF(H30&lt;&gt;"",0.15,0)+IF(J30&lt;&gt;"",0.1,0)+IF(L30&lt;&gt;"",0.1,0)))</f>
        <v>2.14285714285714</v>
      </c>
      <c r="O30" s="93" t="n">
        <f aca="false">IF(COUNT(D30,F30,H30,J30,L30)=0,"",D30*0.2+F30*0.15+H30*0.15+J30*0.1+L30*0.1)</f>
        <v>1.5</v>
      </c>
      <c r="P30" s="115"/>
      <c r="Q30" s="115"/>
      <c r="R30" s="115"/>
      <c r="S30" s="115"/>
      <c r="T30" s="115"/>
      <c r="U30" s="115"/>
      <c r="V30" s="115"/>
      <c r="W30" s="115"/>
      <c r="X30" s="65" t="str">
        <f aca="false">IF(COUNT(P30,R30,T30,V30)=0,"",P30*0.08+R30*0.06+T30*0.03+V30*0.08)</f>
        <v/>
      </c>
      <c r="Y30" s="115"/>
      <c r="Z30" s="115"/>
      <c r="AA30" s="115"/>
      <c r="AB30" s="115"/>
      <c r="AC30" s="115"/>
      <c r="AD30" s="115"/>
      <c r="AE30" s="65" t="str">
        <f aca="false">IF(COUNT(Y30,AA30,AC30)=0,"",Y30*0.02+AA30*0.02+AC30*0.01)</f>
        <v/>
      </c>
      <c r="AF30" s="93" t="str">
        <f aca="false">IF(OR(COUNT(D30,F30,H30,J30,L30)&lt;5,COUNT(P30,R30,T30,V30)&lt;4,COUNT(Y30,AA30,AC30)&lt;3),"",(O30+X30+AE30)*20)</f>
        <v/>
      </c>
      <c r="AG30" s="93" t="str">
        <f aca="false">IF(AF30="","",IF(AF30&gt;=80,"STRONG BUY",IF(AF30&gt;=65,"BUY",IF(AF30&gt;=50,"WATCH LIST",IF(AF30&gt;=35,"AVOID","PASS")))))</f>
        <v/>
      </c>
      <c r="AH30" s="93" t="str">
        <f aca="false">IF(N30="","",IF(N30&lt;3,"FAIL","OK"))</f>
        <v>FAIL</v>
      </c>
      <c r="AI30" s="93" t="str">
        <f aca="false">IF(COUNT(D30:L30)=0,"",IF(COUNTIF(D30:L30,1)&gt;0,"REVIEW","OK"))</f>
        <v>REVIEW</v>
      </c>
      <c r="AJ30" s="93" t="str">
        <f aca="false">IF(COUNT(D30:L30)=0,"",IF(COUNTIF(D30:L30,"&lt;=2")&gt;=2,"AVOID","OK"))</f>
        <v>AVOID</v>
      </c>
      <c r="AK30" s="93" t="str">
        <f aca="false">IF(COUNTA(E30:M30)=0,"",IF(COUNTIF(E30:M30,"L")&gt;=2,"CAP AT BUY","OK"))</f>
        <v>OK</v>
      </c>
      <c r="AL30" s="119" t="s">
        <v>339</v>
      </c>
      <c r="AM30" s="119" t="s">
        <v>375</v>
      </c>
      <c r="AN30" s="115"/>
      <c r="AO30" s="93"/>
      <c r="AP30" s="115" t="str">
        <f aca="false">IF(OR(AN30="",AO30=""),"",IF(AN30&gt;AO30,"OK","LOW CONF"))</f>
        <v/>
      </c>
      <c r="AQ30" s="115"/>
      <c r="AR30" s="93"/>
      <c r="AS30" s="125" t="str">
        <f aca="false">IF(OR(AQ30="",AR30=""),"",IF(AQ30&lt;AR30,"Decreased",IF(AQ30&gt;AR30,"Increased","Flat")))</f>
        <v/>
      </c>
    </row>
    <row r="31" customFormat="false" ht="15" hidden="true" customHeight="true" outlineLevel="1" collapsed="false">
      <c r="A31" s="62" t="s">
        <v>248</v>
      </c>
      <c r="B31" s="113" t="s">
        <v>376</v>
      </c>
      <c r="C31" s="124" t="n">
        <v>46245</v>
      </c>
      <c r="D31" s="115" t="n">
        <v>1</v>
      </c>
      <c r="E31" s="115" t="s">
        <v>329</v>
      </c>
      <c r="F31" s="115" t="n">
        <v>2</v>
      </c>
      <c r="G31" s="115" t="s">
        <v>328</v>
      </c>
      <c r="H31" s="115" t="n">
        <v>3</v>
      </c>
      <c r="I31" s="115" t="s">
        <v>328</v>
      </c>
      <c r="J31" s="115" t="n">
        <v>3</v>
      </c>
      <c r="K31" s="115" t="s">
        <v>328</v>
      </c>
      <c r="L31" s="115" t="n">
        <v>1</v>
      </c>
      <c r="M31" s="115" t="s">
        <v>329</v>
      </c>
      <c r="N31" s="116" t="n">
        <f aca="false">IF(COUNT(D31,F31,H31,J31,L31)=0,"",(D31*0.2+F31*0.15+H31*0.15+J31*0.1+L31*0.1)/(IF(D31&lt;&gt;"",0.2,0)+IF(F31&lt;&gt;"",0.15,0)+IF(H31&lt;&gt;"",0.15,0)+IF(J31&lt;&gt;"",0.1,0)+IF(L31&lt;&gt;"",0.1,0)))</f>
        <v>1.92857142857143</v>
      </c>
      <c r="O31" s="93" t="n">
        <f aca="false">IF(COUNT(D31,F31,H31,J31,L31)=0,"",D31*0.2+F31*0.15+H31*0.15+J31*0.1+L31*0.1)</f>
        <v>1.35</v>
      </c>
      <c r="P31" s="115"/>
      <c r="Q31" s="115"/>
      <c r="R31" s="115"/>
      <c r="S31" s="115"/>
      <c r="T31" s="115"/>
      <c r="U31" s="115"/>
      <c r="V31" s="115"/>
      <c r="W31" s="115"/>
      <c r="X31" s="65" t="str">
        <f aca="false">IF(COUNT(P31,R31,T31,V31)=0,"",P31*0.08+R31*0.06+T31*0.03+V31*0.08)</f>
        <v/>
      </c>
      <c r="Y31" s="115"/>
      <c r="Z31" s="115"/>
      <c r="AA31" s="115"/>
      <c r="AB31" s="115"/>
      <c r="AC31" s="115"/>
      <c r="AD31" s="115"/>
      <c r="AE31" s="65" t="str">
        <f aca="false">IF(COUNT(Y31,AA31,AC31)=0,"",Y31*0.02+AA31*0.02+AC31*0.01)</f>
        <v/>
      </c>
      <c r="AF31" s="93" t="str">
        <f aca="false">IF(OR(COUNT(D31,F31,H31,J31,L31)&lt;5,COUNT(P31,R31,T31,V31)&lt;4,COUNT(Y31,AA31,AC31)&lt;3),"",(O31+X31+AE31)*20)</f>
        <v/>
      </c>
      <c r="AG31" s="93" t="str">
        <f aca="false">IF(AF31="","",IF(AF31&gt;=80,"STRONG BUY",IF(AF31&gt;=65,"BUY",IF(AF31&gt;=50,"WATCH LIST",IF(AF31&gt;=35,"AVOID","PASS")))))</f>
        <v/>
      </c>
      <c r="AH31" s="93" t="str">
        <f aca="false">IF(N31="","",IF(N31&lt;3,"FAIL","OK"))</f>
        <v>FAIL</v>
      </c>
      <c r="AI31" s="93" t="str">
        <f aca="false">IF(COUNT(D31:L31)=0,"",IF(COUNTIF(D31:L31,1)&gt;0,"REVIEW","OK"))</f>
        <v>REVIEW</v>
      </c>
      <c r="AJ31" s="93" t="str">
        <f aca="false">IF(COUNT(D31:L31)=0,"",IF(COUNTIF(D31:L31,"&lt;=2")&gt;=2,"AVOID","OK"))</f>
        <v>AVOID</v>
      </c>
      <c r="AK31" s="93" t="str">
        <f aca="false">IF(COUNTA(E31:M31)=0,"",IF(COUNTIF(E31:M31,"L")&gt;=2,"CAP AT BUY","OK"))</f>
        <v>OK</v>
      </c>
      <c r="AL31" s="119" t="s">
        <v>339</v>
      </c>
      <c r="AM31" s="119" t="s">
        <v>377</v>
      </c>
      <c r="AN31" s="115"/>
      <c r="AO31" s="93"/>
      <c r="AP31" s="115" t="str">
        <f aca="false">IF(OR(AN31="",AO31=""),"",IF(AN31&gt;AO31,"OK","LOW CONF"))</f>
        <v/>
      </c>
      <c r="AQ31" s="115"/>
      <c r="AR31" s="93"/>
      <c r="AS31" s="125" t="str">
        <f aca="false">IF(OR(AQ31="",AR31=""),"",IF(AQ31&lt;AR31,"Decreased",IF(AQ31&gt;AR31,"Increased","Flat")))</f>
        <v/>
      </c>
    </row>
    <row r="32" customFormat="false" ht="15" hidden="false" customHeight="true" outlineLevel="0" collapsed="false">
      <c r="A32" s="62" t="s">
        <v>262</v>
      </c>
      <c r="B32" s="113" t="s">
        <v>378</v>
      </c>
      <c r="C32" s="124" t="n">
        <v>46295</v>
      </c>
      <c r="D32" s="115" t="n">
        <v>4</v>
      </c>
      <c r="E32" s="115" t="s">
        <v>328</v>
      </c>
      <c r="F32" s="115" t="n">
        <v>3</v>
      </c>
      <c r="G32" s="115" t="s">
        <v>328</v>
      </c>
      <c r="H32" s="115" t="n">
        <v>5</v>
      </c>
      <c r="I32" s="115" t="s">
        <v>329</v>
      </c>
      <c r="J32" s="115" t="n">
        <v>4</v>
      </c>
      <c r="K32" s="115" t="s">
        <v>328</v>
      </c>
      <c r="L32" s="115" t="n">
        <v>4</v>
      </c>
      <c r="M32" s="115" t="s">
        <v>328</v>
      </c>
      <c r="N32" s="116" t="n">
        <f aca="false">IF(COUNT(D32,F32,H32,J32,L32)=0,"",(D32*0.2+F32*0.15+H32*0.15+J32*0.1+L32*0.1)/(IF(D32&lt;&gt;"",0.2,0)+IF(F32&lt;&gt;"",0.15,0)+IF(H32&lt;&gt;"",0.15,0)+IF(J32&lt;&gt;"",0.1,0)+IF(L32&lt;&gt;"",0.1,0)))</f>
        <v>4</v>
      </c>
      <c r="O32" s="93" t="n">
        <f aca="false">IF(COUNT(D32,F32,H32,J32,L32)=0,"",D32*0.2+F32*0.15+H32*0.15+J32*0.1+L32*0.1)</f>
        <v>2.8</v>
      </c>
      <c r="P32" s="115"/>
      <c r="Q32" s="115"/>
      <c r="R32" s="115"/>
      <c r="S32" s="115"/>
      <c r="T32" s="115"/>
      <c r="U32" s="115"/>
      <c r="V32" s="115"/>
      <c r="W32" s="115"/>
      <c r="X32" s="65" t="str">
        <f aca="false">IF(COUNT(P32,R32,T32,V32)=0,"",P32*0.08+R32*0.06+T32*0.03+V32*0.08)</f>
        <v/>
      </c>
      <c r="Y32" s="115"/>
      <c r="Z32" s="115"/>
      <c r="AA32" s="115"/>
      <c r="AB32" s="115"/>
      <c r="AC32" s="115"/>
      <c r="AD32" s="115"/>
      <c r="AE32" s="65" t="str">
        <f aca="false">IF(COUNT(Y32,AA32,AC32)=0,"",Y32*0.02+AA32*0.02+AC32*0.01)</f>
        <v/>
      </c>
      <c r="AF32" s="93" t="str">
        <f aca="false">IF(OR(COUNT(D32,F32,H32,J32,L32)&lt;5,COUNT(P32,R32,T32,V32)&lt;4,COUNT(Y32,AA32,AC32)&lt;3),"",(O32+X32+AE32)*20)</f>
        <v/>
      </c>
      <c r="AG32" s="93" t="str">
        <f aca="false">IF(AF32="","",IF(AF32&gt;=80,"STRONG BUY",IF(AF32&gt;=65,"BUY",IF(AF32&gt;=50,"WATCH LIST",IF(AF32&gt;=35,"AVOID","PASS")))))</f>
        <v/>
      </c>
      <c r="AH32" s="93" t="str">
        <f aca="false">IF(N32="","",IF(N32&lt;3,"FAIL","OK"))</f>
        <v>OK</v>
      </c>
      <c r="AI32" s="93" t="str">
        <f aca="false">IF(COUNT(D32:L32)=0,"",IF(COUNTIF(D32:L32,1)&gt;0,"REVIEW","OK"))</f>
        <v>OK</v>
      </c>
      <c r="AJ32" s="93" t="str">
        <f aca="false">IF(COUNT(D32:L32)=0,"",IF(COUNTIF(D32:L32,"&lt;=2")&gt;=2,"AVOID","OK"))</f>
        <v>OK</v>
      </c>
      <c r="AK32" s="93" t="str">
        <f aca="false">IF(COUNTA(E32:M32)=0,"",IF(COUNTIF(E32:M32,"L")&gt;=2,"CAP AT BUY","OK"))</f>
        <v>OK</v>
      </c>
      <c r="AL32" s="119" t="s">
        <v>339</v>
      </c>
      <c r="AM32" s="119" t="s">
        <v>375</v>
      </c>
      <c r="AN32" s="115"/>
      <c r="AO32" s="93"/>
      <c r="AP32" s="115" t="str">
        <f aca="false">IF(OR(AN32="",AO32=""),"",IF(AN32&gt;AO32,"OK","LOW CONF"))</f>
        <v/>
      </c>
      <c r="AQ32" s="115"/>
      <c r="AR32" s="93"/>
      <c r="AS32" s="125" t="str">
        <f aca="false">IF(OR(AQ32="",AR32=""),"",IF(AQ32&lt;AR32,"Decreased",IF(AQ32&gt;AR32,"Increased","Flat")))</f>
        <v/>
      </c>
    </row>
    <row r="33" customFormat="false" ht="15" hidden="false" customHeight="true" outlineLevel="0" collapsed="false">
      <c r="A33" s="62" t="s">
        <v>230</v>
      </c>
      <c r="B33" s="113" t="s">
        <v>379</v>
      </c>
      <c r="C33" s="124" t="n">
        <v>46245</v>
      </c>
      <c r="D33" s="115" t="n">
        <v>4</v>
      </c>
      <c r="E33" s="115" t="s">
        <v>329</v>
      </c>
      <c r="F33" s="115" t="n">
        <v>4</v>
      </c>
      <c r="G33" s="115" t="s">
        <v>329</v>
      </c>
      <c r="H33" s="115" t="n">
        <v>4</v>
      </c>
      <c r="I33" s="115" t="s">
        <v>329</v>
      </c>
      <c r="J33" s="115" t="n">
        <v>3</v>
      </c>
      <c r="K33" s="115" t="s">
        <v>328</v>
      </c>
      <c r="L33" s="115" t="n">
        <v>3</v>
      </c>
      <c r="M33" s="115" t="s">
        <v>329</v>
      </c>
      <c r="N33" s="116" t="n">
        <f aca="false">IF(COUNT(D33,F33,H33,J33,L33)=0,"",(D33*0.2+F33*0.15+H33*0.15+J33*0.1+L33*0.1)/(IF(D33&lt;&gt;"",0.2,0)+IF(F33&lt;&gt;"",0.15,0)+IF(H33&lt;&gt;"",0.15,0)+IF(J33&lt;&gt;"",0.1,0)+IF(L33&lt;&gt;"",0.1,0)))</f>
        <v>3.71428571428571</v>
      </c>
      <c r="O33" s="93" t="n">
        <f aca="false">IF(COUNT(D33,F33,H33,J33,L33)=0,"",D33*0.2+F33*0.15+H33*0.15+J33*0.1+L33*0.1)</f>
        <v>2.6</v>
      </c>
      <c r="P33" s="115"/>
      <c r="Q33" s="115"/>
      <c r="R33" s="115"/>
      <c r="S33" s="115"/>
      <c r="T33" s="115"/>
      <c r="U33" s="115"/>
      <c r="V33" s="115"/>
      <c r="W33" s="115"/>
      <c r="X33" s="65" t="str">
        <f aca="false">IF(COUNT(P33,R33,T33,V33)=0,"",P33*0.08+R33*0.06+T33*0.03+V33*0.08)</f>
        <v/>
      </c>
      <c r="Y33" s="115"/>
      <c r="Z33" s="115"/>
      <c r="AA33" s="115"/>
      <c r="AB33" s="115"/>
      <c r="AC33" s="115"/>
      <c r="AD33" s="115"/>
      <c r="AE33" s="65" t="str">
        <f aca="false">IF(COUNT(Y33,AA33,AC33)=0,"",Y33*0.02+AA33*0.02+AC33*0.01)</f>
        <v/>
      </c>
      <c r="AF33" s="93" t="str">
        <f aca="false">IF(OR(COUNT(D33,F33,H33,J33,L33)&lt;5,COUNT(P33,R33,T33,V33)&lt;4,COUNT(Y33,AA33,AC33)&lt;3),"",(O33+X33+AE33)*20)</f>
        <v/>
      </c>
      <c r="AG33" s="93" t="str">
        <f aca="false">IF(AF33="","",IF(AF33&gt;=80,"STRONG BUY",IF(AF33&gt;=65,"BUY",IF(AF33&gt;=50,"WATCH LIST",IF(AF33&gt;=35,"AVOID","PASS")))))</f>
        <v/>
      </c>
      <c r="AH33" s="93" t="str">
        <f aca="false">IF(N33="","",IF(N33&lt;3,"FAIL","OK"))</f>
        <v>OK</v>
      </c>
      <c r="AI33" s="93" t="str">
        <f aca="false">IF(COUNT(D33:L33)=0,"",IF(COUNTIF(D33:L33,1)&gt;0,"REVIEW","OK"))</f>
        <v>OK</v>
      </c>
      <c r="AJ33" s="93" t="str">
        <f aca="false">IF(COUNT(D33:L33)=0,"",IF(COUNTIF(D33:L33,"&lt;=2")&gt;=2,"AVOID","OK"))</f>
        <v>OK</v>
      </c>
      <c r="AK33" s="93" t="str">
        <f aca="false">IF(COUNTA(E33:M33)=0,"",IF(COUNTIF(E33:M33,"L")&gt;=2,"CAP AT BUY","OK"))</f>
        <v>OK</v>
      </c>
      <c r="AL33" s="119" t="s">
        <v>341</v>
      </c>
      <c r="AM33" s="119" t="s">
        <v>380</v>
      </c>
      <c r="AN33" s="115"/>
      <c r="AO33" s="93"/>
      <c r="AP33" s="115" t="str">
        <f aca="false">IF(OR(AN33="",AO33=""),"",IF(AN33&gt;AO33,"OK","LOW CONF"))</f>
        <v/>
      </c>
      <c r="AQ33" s="115"/>
      <c r="AR33" s="93"/>
      <c r="AS33" s="125" t="str">
        <f aca="false">IF(OR(AQ33="",AR33=""),"",IF(AQ33&lt;AR33,"Decreased",IF(AQ33&gt;AR33,"Increased","Flat")))</f>
        <v/>
      </c>
    </row>
    <row r="34" customFormat="false" ht="15" hidden="false" customHeight="true" outlineLevel="0" collapsed="false">
      <c r="A34" s="62" t="s">
        <v>237</v>
      </c>
      <c r="B34" s="113" t="s">
        <v>381</v>
      </c>
      <c r="C34" s="124" t="n">
        <v>46295</v>
      </c>
      <c r="D34" s="115" t="n">
        <v>5</v>
      </c>
      <c r="E34" s="115" t="s">
        <v>328</v>
      </c>
      <c r="F34" s="115" t="n">
        <v>2</v>
      </c>
      <c r="G34" s="115" t="s">
        <v>328</v>
      </c>
      <c r="H34" s="115" t="n">
        <v>5</v>
      </c>
      <c r="I34" s="115" t="s">
        <v>329</v>
      </c>
      <c r="J34" s="115" t="n">
        <v>4</v>
      </c>
      <c r="K34" s="115" t="s">
        <v>329</v>
      </c>
      <c r="L34" s="115" t="n">
        <v>3</v>
      </c>
      <c r="M34" s="115" t="s">
        <v>328</v>
      </c>
      <c r="N34" s="116" t="n">
        <f aca="false">IF(COUNT(D34,F34,H34,J34,L34)=0,"",(D34*0.2+F34*0.15+H34*0.15+J34*0.1+L34*0.1)/(IF(D34&lt;&gt;"",0.2,0)+IF(F34&lt;&gt;"",0.15,0)+IF(H34&lt;&gt;"",0.15,0)+IF(J34&lt;&gt;"",0.1,0)+IF(L34&lt;&gt;"",0.1,0)))</f>
        <v>3.92857142857143</v>
      </c>
      <c r="O34" s="93" t="n">
        <f aca="false">IF(COUNT(D34,F34,H34,J34,L34)=0,"",D34*0.2+F34*0.15+H34*0.15+J34*0.1+L34*0.1)</f>
        <v>2.75</v>
      </c>
      <c r="P34" s="115"/>
      <c r="Q34" s="115"/>
      <c r="R34" s="115"/>
      <c r="S34" s="115"/>
      <c r="T34" s="115"/>
      <c r="U34" s="115"/>
      <c r="V34" s="115"/>
      <c r="W34" s="115"/>
      <c r="X34" s="65" t="str">
        <f aca="false">IF(COUNT(P34,R34,T34,V34)=0,"",P34*0.08+R34*0.06+T34*0.03+V34*0.08)</f>
        <v/>
      </c>
      <c r="Y34" s="115"/>
      <c r="Z34" s="115"/>
      <c r="AA34" s="115"/>
      <c r="AB34" s="115"/>
      <c r="AC34" s="115"/>
      <c r="AD34" s="115"/>
      <c r="AE34" s="65" t="str">
        <f aca="false">IF(COUNT(Y34,AA34,AC34)=0,"",Y34*0.02+AA34*0.02+AC34*0.01)</f>
        <v/>
      </c>
      <c r="AF34" s="93" t="str">
        <f aca="false">IF(OR(COUNT(D34,F34,H34,J34,L34)&lt;5,COUNT(P34,R34,T34,V34)&lt;4,COUNT(Y34,AA34,AC34)&lt;3),"",(O34+X34+AE34)*20)</f>
        <v/>
      </c>
      <c r="AG34" s="93" t="str">
        <f aca="false">IF(AF34="","",IF(AF34&gt;=80,"STRONG BUY",IF(AF34&gt;=65,"BUY",IF(AF34&gt;=50,"WATCH LIST",IF(AF34&gt;=35,"AVOID","PASS")))))</f>
        <v/>
      </c>
      <c r="AH34" s="93" t="str">
        <f aca="false">IF(N34="","",IF(N34&lt;3,"FAIL","OK"))</f>
        <v>OK</v>
      </c>
      <c r="AI34" s="93" t="str">
        <f aca="false">IF(COUNT(D34:L34)=0,"",IF(COUNTIF(D34:L34,1)&gt;0,"REVIEW","OK"))</f>
        <v>OK</v>
      </c>
      <c r="AJ34" s="93" t="str">
        <f aca="false">IF(COUNT(D34:L34)=0,"",IF(COUNTIF(D34:L34,"&lt;=2")&gt;=2,"AVOID","OK"))</f>
        <v>OK</v>
      </c>
      <c r="AK34" s="93" t="str">
        <f aca="false">IF(COUNTA(E34:M34)=0,"",IF(COUNTIF(E34:M34,"L")&gt;=2,"CAP AT BUY","OK"))</f>
        <v>OK</v>
      </c>
      <c r="AL34" s="119" t="s">
        <v>341</v>
      </c>
      <c r="AM34" s="119" t="s">
        <v>380</v>
      </c>
      <c r="AN34" s="115"/>
      <c r="AO34" s="93"/>
      <c r="AP34" s="115" t="str">
        <f aca="false">IF(OR(AN34="",AO34=""),"",IF(AN34&gt;AO34,"OK","LOW CONF"))</f>
        <v/>
      </c>
      <c r="AQ34" s="115"/>
      <c r="AR34" s="93"/>
      <c r="AS34" s="125" t="str">
        <f aca="false">IF(OR(AQ34="",AR34=""),"",IF(AQ34&lt;AR34,"Decreased",IF(AQ34&gt;AR34,"Increased","Flat")))</f>
        <v/>
      </c>
    </row>
    <row r="35" customFormat="false" ht="15" hidden="true" customHeight="true" outlineLevel="1" collapsed="false">
      <c r="A35" s="62" t="s">
        <v>266</v>
      </c>
      <c r="B35" s="113" t="s">
        <v>382</v>
      </c>
      <c r="C35" s="124" t="n">
        <v>46245</v>
      </c>
      <c r="D35" s="115" t="n">
        <v>1</v>
      </c>
      <c r="E35" s="115" t="s">
        <v>329</v>
      </c>
      <c r="F35" s="115" t="n">
        <v>1</v>
      </c>
      <c r="G35" s="115" t="s">
        <v>329</v>
      </c>
      <c r="H35" s="115" t="n">
        <v>2</v>
      </c>
      <c r="I35" s="115" t="s">
        <v>328</v>
      </c>
      <c r="J35" s="115" t="n">
        <v>2</v>
      </c>
      <c r="K35" s="115" t="s">
        <v>328</v>
      </c>
      <c r="L35" s="115" t="n">
        <v>1</v>
      </c>
      <c r="M35" s="115" t="s">
        <v>329</v>
      </c>
      <c r="N35" s="116" t="n">
        <f aca="false">IF(COUNT(D35,F35,H35,J35,L35)=0,"",(D35*0.2+F35*0.15+H35*0.15+J35*0.1+L35*0.1)/(IF(D35&lt;&gt;"",0.2,0)+IF(F35&lt;&gt;"",0.15,0)+IF(H35&lt;&gt;"",0.15,0)+IF(J35&lt;&gt;"",0.1,0)+IF(L35&lt;&gt;"",0.1,0)))</f>
        <v>1.35714285714286</v>
      </c>
      <c r="O35" s="93" t="n">
        <f aca="false">IF(COUNT(D35,F35,H35,J35,L35)=0,"",D35*0.2+F35*0.15+H35*0.15+J35*0.1+L35*0.1)</f>
        <v>0.95</v>
      </c>
      <c r="P35" s="115"/>
      <c r="Q35" s="115"/>
      <c r="R35" s="115"/>
      <c r="S35" s="115"/>
      <c r="T35" s="115"/>
      <c r="U35" s="115"/>
      <c r="V35" s="115"/>
      <c r="W35" s="115"/>
      <c r="X35" s="65" t="str">
        <f aca="false">IF(COUNT(P35,R35,T35,V35)=0,"",P35*0.08+R35*0.06+T35*0.03+V35*0.08)</f>
        <v/>
      </c>
      <c r="Y35" s="115"/>
      <c r="Z35" s="115"/>
      <c r="AA35" s="115"/>
      <c r="AB35" s="115"/>
      <c r="AC35" s="115"/>
      <c r="AD35" s="115"/>
      <c r="AE35" s="65" t="str">
        <f aca="false">IF(COUNT(Y35,AA35,AC35)=0,"",Y35*0.02+AA35*0.02+AC35*0.01)</f>
        <v/>
      </c>
      <c r="AF35" s="93" t="str">
        <f aca="false">IF(OR(COUNT(D35,F35,H35,J35,L35)&lt;5,COUNT(P35,R35,T35,V35)&lt;4,COUNT(Y35,AA35,AC35)&lt;3),"",(O35+X35+AE35)*20)</f>
        <v/>
      </c>
      <c r="AG35" s="93" t="str">
        <f aca="false">IF(AF35="","",IF(AF35&gt;=80,"STRONG BUY",IF(AF35&gt;=65,"BUY",IF(AF35&gt;=50,"WATCH LIST",IF(AF35&gt;=35,"AVOID","PASS")))))</f>
        <v/>
      </c>
      <c r="AH35" s="93" t="str">
        <f aca="false">IF(N35="","",IF(N35&lt;3,"FAIL","OK"))</f>
        <v>FAIL</v>
      </c>
      <c r="AI35" s="93" t="str">
        <f aca="false">IF(COUNT(D35:L35)=0,"",IF(COUNTIF(D35:L35,1)&gt;0,"REVIEW","OK"))</f>
        <v>REVIEW</v>
      </c>
      <c r="AJ35" s="93" t="str">
        <f aca="false">IF(COUNT(D35:L35)=0,"",IF(COUNTIF(D35:L35,"&lt;=2")&gt;=2,"AVOID","OK"))</f>
        <v>AVOID</v>
      </c>
      <c r="AK35" s="93" t="str">
        <f aca="false">IF(COUNTA(E35:M35)=0,"",IF(COUNTIF(E35:M35,"L")&gt;=2,"CAP AT BUY","OK"))</f>
        <v>OK</v>
      </c>
      <c r="AL35" s="119" t="s">
        <v>341</v>
      </c>
      <c r="AM35" s="119" t="s">
        <v>380</v>
      </c>
      <c r="AN35" s="115"/>
      <c r="AO35" s="93"/>
      <c r="AP35" s="115" t="str">
        <f aca="false">IF(OR(AN35="",AO35=""),"",IF(AN35&gt;AO35,"OK","LOW CONF"))</f>
        <v/>
      </c>
      <c r="AQ35" s="115"/>
      <c r="AR35" s="93"/>
      <c r="AS35" s="125" t="str">
        <f aca="false">IF(OR(AQ35="",AR35=""),"",IF(AQ35&lt;AR35,"Decreased",IF(AQ35&gt;AR35,"Increased","Flat")))</f>
        <v/>
      </c>
    </row>
    <row r="36" customFormat="false" ht="15" hidden="false" customHeight="true" outlineLevel="0" collapsed="false">
      <c r="A36" s="62" t="s">
        <v>272</v>
      </c>
      <c r="B36" s="113" t="s">
        <v>383</v>
      </c>
      <c r="C36" s="124" t="n">
        <v>46295</v>
      </c>
      <c r="D36" s="115" t="n">
        <v>4</v>
      </c>
      <c r="E36" s="115" t="s">
        <v>328</v>
      </c>
      <c r="F36" s="115" t="n">
        <v>3</v>
      </c>
      <c r="G36" s="115" t="s">
        <v>328</v>
      </c>
      <c r="H36" s="115" t="n">
        <v>4</v>
      </c>
      <c r="I36" s="115" t="s">
        <v>328</v>
      </c>
      <c r="J36" s="115" t="n">
        <v>4</v>
      </c>
      <c r="K36" s="115" t="s">
        <v>329</v>
      </c>
      <c r="L36" s="115" t="n">
        <v>4</v>
      </c>
      <c r="M36" s="115" t="s">
        <v>328</v>
      </c>
      <c r="N36" s="116" t="n">
        <f aca="false">IF(COUNT(D36,F36,H36,J36,L36)=0,"",(D36*0.2+F36*0.15+H36*0.15+J36*0.1+L36*0.1)/(IF(D36&lt;&gt;"",0.2,0)+IF(F36&lt;&gt;"",0.15,0)+IF(H36&lt;&gt;"",0.15,0)+IF(J36&lt;&gt;"",0.1,0)+IF(L36&lt;&gt;"",0.1,0)))</f>
        <v>3.78571428571429</v>
      </c>
      <c r="O36" s="93" t="n">
        <f aca="false">IF(COUNT(D36,F36,H36,J36,L36)=0,"",D36*0.2+F36*0.15+H36*0.15+J36*0.1+L36*0.1)</f>
        <v>2.65</v>
      </c>
      <c r="P36" s="115"/>
      <c r="Q36" s="115"/>
      <c r="R36" s="115"/>
      <c r="S36" s="115"/>
      <c r="T36" s="115"/>
      <c r="U36" s="115"/>
      <c r="V36" s="115"/>
      <c r="W36" s="115"/>
      <c r="X36" s="65" t="str">
        <f aca="false">IF(COUNT(P36,R36,T36,V36)=0,"",P36*0.08+R36*0.06+T36*0.03+V36*0.08)</f>
        <v/>
      </c>
      <c r="Y36" s="115"/>
      <c r="Z36" s="115"/>
      <c r="AA36" s="115"/>
      <c r="AB36" s="115"/>
      <c r="AC36" s="115"/>
      <c r="AD36" s="115"/>
      <c r="AE36" s="65" t="str">
        <f aca="false">IF(COUNT(Y36,AA36,AC36)=0,"",Y36*0.02+AA36*0.02+AC36*0.01)</f>
        <v/>
      </c>
      <c r="AF36" s="93" t="str">
        <f aca="false">IF(OR(COUNT(D36,F36,H36,J36,L36)&lt;5,COUNT(P36,R36,T36,V36)&lt;4,COUNT(Y36,AA36,AC36)&lt;3),"",(O36+X36+AE36)*20)</f>
        <v/>
      </c>
      <c r="AG36" s="93" t="str">
        <f aca="false">IF(AF36="","",IF(AF36&gt;=80,"STRONG BUY",IF(AF36&gt;=65,"BUY",IF(AF36&gt;=50,"WATCH LIST",IF(AF36&gt;=35,"AVOID","PASS")))))</f>
        <v/>
      </c>
      <c r="AH36" s="93" t="str">
        <f aca="false">IF(N36="","",IF(N36&lt;3,"FAIL","OK"))</f>
        <v>OK</v>
      </c>
      <c r="AI36" s="93" t="str">
        <f aca="false">IF(COUNT(D36:L36)=0,"",IF(COUNTIF(D36:L36,1)&gt;0,"REVIEW","OK"))</f>
        <v>OK</v>
      </c>
      <c r="AJ36" s="93" t="str">
        <f aca="false">IF(COUNT(D36:L36)=0,"",IF(COUNTIF(D36:L36,"&lt;=2")&gt;=2,"AVOID","OK"))</f>
        <v>OK</v>
      </c>
      <c r="AK36" s="93" t="str">
        <f aca="false">IF(COUNTA(E36:M36)=0,"",IF(COUNTIF(E36:M36,"L")&gt;=2,"CAP AT BUY","OK"))</f>
        <v>OK</v>
      </c>
      <c r="AL36" s="119" t="s">
        <v>341</v>
      </c>
      <c r="AM36" s="119" t="s">
        <v>380</v>
      </c>
      <c r="AN36" s="115"/>
      <c r="AO36" s="93"/>
      <c r="AP36" s="115" t="str">
        <f aca="false">IF(OR(AN36="",AO36=""),"",IF(AN36&gt;AO36,"OK","LOW CONF"))</f>
        <v/>
      </c>
      <c r="AQ36" s="115"/>
      <c r="AR36" s="93"/>
      <c r="AS36" s="125" t="str">
        <f aca="false">IF(OR(AQ36="",AR36=""),"",IF(AQ36&lt;AR36,"Decreased",IF(AQ36&gt;AR36,"Increased","Flat")))</f>
        <v/>
      </c>
    </row>
    <row r="37" customFormat="false" ht="15" hidden="true" customHeight="true" outlineLevel="1" collapsed="false">
      <c r="A37" s="62" t="s">
        <v>255</v>
      </c>
      <c r="B37" s="113" t="s">
        <v>384</v>
      </c>
      <c r="C37" s="124" t="n">
        <v>46246</v>
      </c>
      <c r="D37" s="115" t="n">
        <v>1</v>
      </c>
      <c r="E37" s="115" t="s">
        <v>329</v>
      </c>
      <c r="F37" s="115" t="n">
        <v>1</v>
      </c>
      <c r="G37" s="115" t="s">
        <v>329</v>
      </c>
      <c r="H37" s="115" t="n">
        <v>3</v>
      </c>
      <c r="I37" s="115" t="s">
        <v>328</v>
      </c>
      <c r="J37" s="115" t="n">
        <v>2</v>
      </c>
      <c r="K37" s="115" t="s">
        <v>328</v>
      </c>
      <c r="L37" s="115" t="n">
        <v>1</v>
      </c>
      <c r="M37" s="115" t="s">
        <v>329</v>
      </c>
      <c r="N37" s="116" t="n">
        <f aca="false">IF(COUNT(D37,F37,H37,J37,L37)=0,"",(D37*0.2+F37*0.15+H37*0.15+J37*0.1+L37*0.1)/(IF(D37&lt;&gt;"",0.2,0)+IF(F37&lt;&gt;"",0.15,0)+IF(H37&lt;&gt;"",0.15,0)+IF(J37&lt;&gt;"",0.1,0)+IF(L37&lt;&gt;"",0.1,0)))</f>
        <v>1.57142857142857</v>
      </c>
      <c r="O37" s="93" t="n">
        <f aca="false">IF(COUNT(D37,F37,H37,J37,L37)=0,"",D37*0.2+F37*0.15+H37*0.15+J37*0.1+L37*0.1)</f>
        <v>1.1</v>
      </c>
      <c r="P37" s="115"/>
      <c r="Q37" s="115"/>
      <c r="R37" s="115"/>
      <c r="S37" s="115"/>
      <c r="T37" s="115"/>
      <c r="U37" s="115"/>
      <c r="V37" s="115"/>
      <c r="W37" s="115"/>
      <c r="X37" s="65" t="str">
        <f aca="false">IF(COUNT(P37,R37,T37,V37)=0,"",P37*0.08+R37*0.06+T37*0.03+V37*0.08)</f>
        <v/>
      </c>
      <c r="Y37" s="115"/>
      <c r="Z37" s="115"/>
      <c r="AA37" s="115"/>
      <c r="AB37" s="115"/>
      <c r="AC37" s="115"/>
      <c r="AD37" s="115"/>
      <c r="AE37" s="65" t="str">
        <f aca="false">IF(COUNT(Y37,AA37,AC37)=0,"",Y37*0.02+AA37*0.02+AC37*0.01)</f>
        <v/>
      </c>
      <c r="AF37" s="93" t="str">
        <f aca="false">IF(OR(COUNT(D37,F37,H37,J37,L37)&lt;5,COUNT(P37,R37,T37,V37)&lt;4,COUNT(Y37,AA37,AC37)&lt;3),"",(O37+X37+AE37)*20)</f>
        <v/>
      </c>
      <c r="AG37" s="93" t="str">
        <f aca="false">IF(AF37="","",IF(AF37&gt;=80,"STRONG BUY",IF(AF37&gt;=65,"BUY",IF(AF37&gt;=50,"WATCH LIST",IF(AF37&gt;=35,"AVOID","PASS")))))</f>
        <v/>
      </c>
      <c r="AH37" s="93" t="str">
        <f aca="false">IF(N37="","",IF(N37&lt;3,"FAIL","OK"))</f>
        <v>FAIL</v>
      </c>
      <c r="AI37" s="93" t="str">
        <f aca="false">IF(COUNT(D37:L37)=0,"",IF(COUNTIF(D37:L37,1)&gt;0,"REVIEW","OK"))</f>
        <v>REVIEW</v>
      </c>
      <c r="AJ37" s="93" t="str">
        <f aca="false">IF(COUNT(D37:L37)=0,"",IF(COUNTIF(D37:L37,"&lt;=2")&gt;=2,"AVOID","OK"))</f>
        <v>AVOID</v>
      </c>
      <c r="AK37" s="93" t="str">
        <f aca="false">IF(COUNTA(E37:M37)=0,"",IF(COUNTIF(E37:M37,"L")&gt;=2,"CAP AT BUY","OK"))</f>
        <v>OK</v>
      </c>
      <c r="AL37" s="119" t="s">
        <v>341</v>
      </c>
      <c r="AM37" s="119" t="s">
        <v>342</v>
      </c>
      <c r="AN37" s="115"/>
      <c r="AO37" s="93"/>
      <c r="AP37" s="115" t="str">
        <f aca="false">IF(OR(AN37="",AO37=""),"",IF(AN37&gt;AO37,"OK","LOW CONF"))</f>
        <v/>
      </c>
      <c r="AQ37" s="115"/>
      <c r="AR37" s="93"/>
      <c r="AS37" s="125" t="str">
        <f aca="false">IF(OR(AQ37="",AR37=""),"",IF(AQ37&lt;AR37,"Decreased",IF(AQ37&gt;AR37,"Increased","Flat")))</f>
        <v/>
      </c>
    </row>
    <row r="38" customFormat="false" ht="15" hidden="true" customHeight="true" outlineLevel="1" collapsed="false">
      <c r="A38" s="62" t="s">
        <v>270</v>
      </c>
      <c r="B38" s="113" t="s">
        <v>385</v>
      </c>
      <c r="C38" s="124" t="n">
        <v>46246</v>
      </c>
      <c r="D38" s="115" t="n">
        <v>3</v>
      </c>
      <c r="E38" s="115" t="s">
        <v>328</v>
      </c>
      <c r="F38" s="115" t="n">
        <v>3</v>
      </c>
      <c r="G38" s="115" t="s">
        <v>328</v>
      </c>
      <c r="H38" s="115" t="n">
        <v>3</v>
      </c>
      <c r="I38" s="115" t="s">
        <v>328</v>
      </c>
      <c r="J38" s="115" t="n">
        <v>2</v>
      </c>
      <c r="K38" s="115" t="s">
        <v>328</v>
      </c>
      <c r="L38" s="115" t="n">
        <v>3</v>
      </c>
      <c r="M38" s="115" t="s">
        <v>328</v>
      </c>
      <c r="N38" s="116" t="n">
        <f aca="false">IF(COUNT(D38,F38,H38,J38,L38)=0,"",(D38*0.2+F38*0.15+H38*0.15+J38*0.1+L38*0.1)/(IF(D38&lt;&gt;"",0.2,0)+IF(F38&lt;&gt;"",0.15,0)+IF(H38&lt;&gt;"",0.15,0)+IF(J38&lt;&gt;"",0.1,0)+IF(L38&lt;&gt;"",0.1,0)))</f>
        <v>2.85714285714286</v>
      </c>
      <c r="O38" s="93" t="n">
        <f aca="false">IF(COUNT(D38,F38,H38,J38,L38)=0,"",D38*0.2+F38*0.15+H38*0.15+J38*0.1+L38*0.1)</f>
        <v>2</v>
      </c>
      <c r="P38" s="115"/>
      <c r="Q38" s="115"/>
      <c r="R38" s="115"/>
      <c r="S38" s="115"/>
      <c r="T38" s="115"/>
      <c r="U38" s="115"/>
      <c r="V38" s="115"/>
      <c r="W38" s="115"/>
      <c r="X38" s="65" t="str">
        <f aca="false">IF(COUNT(P38,R38,T38,V38)=0,"",P38*0.08+R38*0.06+T38*0.03+V38*0.08)</f>
        <v/>
      </c>
      <c r="Y38" s="115"/>
      <c r="Z38" s="115"/>
      <c r="AA38" s="115"/>
      <c r="AB38" s="115"/>
      <c r="AC38" s="115"/>
      <c r="AD38" s="115"/>
      <c r="AE38" s="65" t="str">
        <f aca="false">IF(COUNT(Y38,AA38,AC38)=0,"",Y38*0.02+AA38*0.02+AC38*0.01)</f>
        <v/>
      </c>
      <c r="AF38" s="93" t="str">
        <f aca="false">IF(OR(COUNT(D38,F38,H38,J38,L38)&lt;5,COUNT(P38,R38,T38,V38)&lt;4,COUNT(Y38,AA38,AC38)&lt;3),"",(O38+X38+AE38)*20)</f>
        <v/>
      </c>
      <c r="AG38" s="93" t="str">
        <f aca="false">IF(AF38="","",IF(AF38&gt;=80,"STRONG BUY",IF(AF38&gt;=65,"BUY",IF(AF38&gt;=50,"WATCH LIST",IF(AF38&gt;=35,"AVOID","PASS")))))</f>
        <v/>
      </c>
      <c r="AH38" s="93" t="str">
        <f aca="false">IF(N38="","",IF(N38&lt;3,"FAIL","OK"))</f>
        <v>FAIL</v>
      </c>
      <c r="AI38" s="93" t="str">
        <f aca="false">IF(COUNT(D38:L38)=0,"",IF(COUNTIF(D38:L38,1)&gt;0,"REVIEW","OK"))</f>
        <v>OK</v>
      </c>
      <c r="AJ38" s="93" t="str">
        <f aca="false">IF(COUNT(D38:L38)=0,"",IF(COUNTIF(D38:L38,"&lt;=2")&gt;=2,"AVOID","OK"))</f>
        <v>OK</v>
      </c>
      <c r="AK38" s="93" t="str">
        <f aca="false">IF(COUNTA(E38:M38)=0,"",IF(COUNTIF(E38:M38,"L")&gt;=2,"CAP AT BUY","OK"))</f>
        <v>OK</v>
      </c>
      <c r="AL38" s="119" t="s">
        <v>341</v>
      </c>
      <c r="AM38" s="119" t="s">
        <v>386</v>
      </c>
      <c r="AN38" s="115"/>
      <c r="AO38" s="93"/>
      <c r="AP38" s="115" t="str">
        <f aca="false">IF(OR(AN38="",AO38=""),"",IF(AN38&gt;AO38,"OK","LOW CONF"))</f>
        <v/>
      </c>
      <c r="AQ38" s="115"/>
      <c r="AR38" s="93"/>
      <c r="AS38" s="125" t="str">
        <f aca="false">IF(OR(AQ38="",AR38=""),"",IF(AQ38&lt;AR38,"Decreased",IF(AQ38&gt;AR38,"Increased","Flat")))</f>
        <v/>
      </c>
    </row>
    <row r="39" customFormat="false" ht="15" hidden="true" customHeight="true" outlineLevel="1" collapsed="false">
      <c r="A39" s="62" t="s">
        <v>247</v>
      </c>
      <c r="B39" s="113" t="s">
        <v>387</v>
      </c>
      <c r="C39" s="124" t="n">
        <v>46246</v>
      </c>
      <c r="D39" s="115" t="n">
        <v>2</v>
      </c>
      <c r="E39" s="115" t="s">
        <v>330</v>
      </c>
      <c r="F39" s="115" t="n">
        <v>4</v>
      </c>
      <c r="G39" s="115" t="s">
        <v>329</v>
      </c>
      <c r="H39" s="115" t="n">
        <v>3</v>
      </c>
      <c r="I39" s="115" t="s">
        <v>328</v>
      </c>
      <c r="J39" s="115" t="n">
        <v>2</v>
      </c>
      <c r="K39" s="115" t="s">
        <v>328</v>
      </c>
      <c r="L39" s="115" t="n">
        <v>1</v>
      </c>
      <c r="M39" s="115" t="s">
        <v>329</v>
      </c>
      <c r="N39" s="116" t="n">
        <f aca="false">IF(COUNT(D39,F39,H39,J39,L39)=0,"",(D39*0.2+F39*0.15+H39*0.15+J39*0.1+L39*0.1)/(IF(D39&lt;&gt;"",0.2,0)+IF(F39&lt;&gt;"",0.15,0)+IF(H39&lt;&gt;"",0.15,0)+IF(J39&lt;&gt;"",0.1,0)+IF(L39&lt;&gt;"",0.1,0)))</f>
        <v>2.5</v>
      </c>
      <c r="O39" s="93" t="n">
        <f aca="false">IF(COUNT(D39,F39,H39,J39,L39)=0,"",D39*0.2+F39*0.15+H39*0.15+J39*0.1+L39*0.1)</f>
        <v>1.75</v>
      </c>
      <c r="P39" s="115"/>
      <c r="Q39" s="115"/>
      <c r="R39" s="115"/>
      <c r="S39" s="115"/>
      <c r="T39" s="115"/>
      <c r="U39" s="115"/>
      <c r="V39" s="115"/>
      <c r="W39" s="115"/>
      <c r="X39" s="65" t="str">
        <f aca="false">IF(COUNT(P39,R39,T39,V39)=0,"",P39*0.08+R39*0.06+T39*0.03+V39*0.08)</f>
        <v/>
      </c>
      <c r="Y39" s="115"/>
      <c r="Z39" s="115"/>
      <c r="AA39" s="115"/>
      <c r="AB39" s="115"/>
      <c r="AC39" s="115"/>
      <c r="AD39" s="115"/>
      <c r="AE39" s="65" t="str">
        <f aca="false">IF(COUNT(Y39,AA39,AC39)=0,"",Y39*0.02+AA39*0.02+AC39*0.01)</f>
        <v/>
      </c>
      <c r="AF39" s="93" t="str">
        <f aca="false">IF(OR(COUNT(D39,F39,H39,J39,L39)&lt;5,COUNT(P39,R39,T39,V39)&lt;4,COUNT(Y39,AA39,AC39)&lt;3),"",(O39+X39+AE39)*20)</f>
        <v/>
      </c>
      <c r="AG39" s="93" t="str">
        <f aca="false">IF(AF39="","",IF(AF39&gt;=80,"STRONG BUY",IF(AF39&gt;=65,"BUY",IF(AF39&gt;=50,"WATCH LIST",IF(AF39&gt;=35,"AVOID","PASS")))))</f>
        <v/>
      </c>
      <c r="AH39" s="93" t="str">
        <f aca="false">IF(N39="","",IF(N39&lt;3,"FAIL","OK"))</f>
        <v>FAIL</v>
      </c>
      <c r="AI39" s="93" t="str">
        <f aca="false">IF(COUNT(D39:L39)=0,"",IF(COUNTIF(D39:L39,1)&gt;0,"REVIEW","OK"))</f>
        <v>REVIEW</v>
      </c>
      <c r="AJ39" s="93" t="str">
        <f aca="false">IF(COUNT(D39:L39)=0,"",IF(COUNTIF(D39:L39,"&lt;=2")&gt;=2,"AVOID","OK"))</f>
        <v>AVOID</v>
      </c>
      <c r="AK39" s="93" t="str">
        <f aca="false">IF(COUNTA(E39:M39)=0,"",IF(COUNTIF(E39:M39,"L")&gt;=2,"CAP AT BUY","OK"))</f>
        <v>OK</v>
      </c>
      <c r="AL39" s="119" t="s">
        <v>341</v>
      </c>
      <c r="AM39" s="119" t="s">
        <v>386</v>
      </c>
      <c r="AN39" s="115"/>
      <c r="AO39" s="93"/>
      <c r="AP39" s="115" t="str">
        <f aca="false">IF(OR(AN39="",AO39=""),"",IF(AN39&gt;AO39,"OK","LOW CONF"))</f>
        <v/>
      </c>
      <c r="AQ39" s="115"/>
      <c r="AR39" s="93"/>
      <c r="AS39" s="125" t="str">
        <f aca="false">IF(OR(AQ39="",AR39=""),"",IF(AQ39&lt;AR39,"Decreased",IF(AQ39&gt;AR39,"Increased","Flat")))</f>
        <v/>
      </c>
    </row>
    <row r="40" customFormat="false" ht="15" hidden="true" customHeight="true" outlineLevel="1" collapsed="false">
      <c r="A40" s="62" t="s">
        <v>224</v>
      </c>
      <c r="B40" s="113" t="s">
        <v>388</v>
      </c>
      <c r="C40" s="124" t="n">
        <v>46246</v>
      </c>
      <c r="D40" s="115" t="n">
        <v>1</v>
      </c>
      <c r="E40" s="115" t="s">
        <v>329</v>
      </c>
      <c r="F40" s="115" t="n">
        <v>1</v>
      </c>
      <c r="G40" s="115" t="s">
        <v>329</v>
      </c>
      <c r="H40" s="115" t="n">
        <v>2</v>
      </c>
      <c r="I40" s="115" t="s">
        <v>328</v>
      </c>
      <c r="J40" s="115" t="n">
        <v>2</v>
      </c>
      <c r="K40" s="115" t="s">
        <v>328</v>
      </c>
      <c r="L40" s="115" t="n">
        <v>1</v>
      </c>
      <c r="M40" s="115" t="s">
        <v>329</v>
      </c>
      <c r="N40" s="116" t="n">
        <f aca="false">IF(COUNT(D40,F40,H40,J40,L40)=0,"",(D40*0.2+F40*0.15+H40*0.15+J40*0.1+L40*0.1)/(IF(D40&lt;&gt;"",0.2,0)+IF(F40&lt;&gt;"",0.15,0)+IF(H40&lt;&gt;"",0.15,0)+IF(J40&lt;&gt;"",0.1,0)+IF(L40&lt;&gt;"",0.1,0)))</f>
        <v>1.35714285714286</v>
      </c>
      <c r="O40" s="93" t="n">
        <f aca="false">IF(COUNT(D40,F40,H40,J40,L40)=0,"",D40*0.2+F40*0.15+H40*0.15+J40*0.1+L40*0.1)</f>
        <v>0.95</v>
      </c>
      <c r="P40" s="115"/>
      <c r="Q40" s="115"/>
      <c r="R40" s="115"/>
      <c r="S40" s="115"/>
      <c r="T40" s="115"/>
      <c r="U40" s="115"/>
      <c r="V40" s="115"/>
      <c r="W40" s="115"/>
      <c r="X40" s="65" t="str">
        <f aca="false">IF(COUNT(P40,R40,T40,V40)=0,"",P40*0.08+R40*0.06+T40*0.03+V40*0.08)</f>
        <v/>
      </c>
      <c r="Y40" s="115"/>
      <c r="Z40" s="115"/>
      <c r="AA40" s="115"/>
      <c r="AB40" s="115"/>
      <c r="AC40" s="115"/>
      <c r="AD40" s="115"/>
      <c r="AE40" s="65" t="str">
        <f aca="false">IF(COUNT(Y40,AA40,AC40)=0,"",Y40*0.02+AA40*0.02+AC40*0.01)</f>
        <v/>
      </c>
      <c r="AF40" s="93" t="str">
        <f aca="false">IF(OR(COUNT(D40,F40,H40,J40,L40)&lt;5,COUNT(P40,R40,T40,V40)&lt;4,COUNT(Y40,AA40,AC40)&lt;3),"",(O40+X40+AE40)*20)</f>
        <v/>
      </c>
      <c r="AG40" s="93" t="str">
        <f aca="false">IF(AF40="","",IF(AF40&gt;=80,"STRONG BUY",IF(AF40&gt;=65,"BUY",IF(AF40&gt;=50,"WATCH LIST",IF(AF40&gt;=35,"AVOID","PASS")))))</f>
        <v/>
      </c>
      <c r="AH40" s="93" t="str">
        <f aca="false">IF(N40="","",IF(N40&lt;3,"FAIL","OK"))</f>
        <v>FAIL</v>
      </c>
      <c r="AI40" s="93" t="str">
        <f aca="false">IF(COUNT(D40:L40)=0,"",IF(COUNTIF(D40:L40,1)&gt;0,"REVIEW","OK"))</f>
        <v>REVIEW</v>
      </c>
      <c r="AJ40" s="93" t="str">
        <f aca="false">IF(COUNT(D40:L40)=0,"",IF(COUNTIF(D40:L40,"&lt;=2")&gt;=2,"AVOID","OK"))</f>
        <v>AVOID</v>
      </c>
      <c r="AK40" s="93" t="str">
        <f aca="false">IF(COUNTA(E40:M40)=0,"",IF(COUNTIF(E40:M40,"L")&gt;=2,"CAP AT BUY","OK"))</f>
        <v>OK</v>
      </c>
      <c r="AL40" s="119" t="s">
        <v>341</v>
      </c>
      <c r="AM40" s="119" t="s">
        <v>389</v>
      </c>
      <c r="AN40" s="115"/>
      <c r="AO40" s="93"/>
      <c r="AP40" s="115" t="str">
        <f aca="false">IF(OR(AN40="",AO40=""),"",IF(AN40&gt;AO40,"OK","LOW CONF"))</f>
        <v/>
      </c>
      <c r="AQ40" s="115"/>
      <c r="AR40" s="93"/>
      <c r="AS40" s="125" t="str">
        <f aca="false">IF(OR(AQ40="",AR40=""),"",IF(AQ40&lt;AR40,"Decreased",IF(AQ40&gt;AR40,"Increased","Flat")))</f>
        <v/>
      </c>
    </row>
    <row r="41" customFormat="false" ht="15" hidden="true" customHeight="true" outlineLevel="1" collapsed="false">
      <c r="A41" s="62" t="s">
        <v>226</v>
      </c>
      <c r="B41" s="113" t="s">
        <v>390</v>
      </c>
      <c r="C41" s="124" t="n">
        <v>46246</v>
      </c>
      <c r="D41" s="115" t="n">
        <v>2</v>
      </c>
      <c r="E41" s="115" t="s">
        <v>328</v>
      </c>
      <c r="F41" s="115" t="n">
        <v>3</v>
      </c>
      <c r="G41" s="115" t="s">
        <v>329</v>
      </c>
      <c r="H41" s="115" t="n">
        <v>4</v>
      </c>
      <c r="I41" s="115" t="s">
        <v>328</v>
      </c>
      <c r="J41" s="115" t="n">
        <v>3</v>
      </c>
      <c r="K41" s="115" t="s">
        <v>328</v>
      </c>
      <c r="L41" s="115" t="n">
        <v>2</v>
      </c>
      <c r="M41" s="115" t="s">
        <v>329</v>
      </c>
      <c r="N41" s="116" t="n">
        <f aca="false">IF(COUNT(D41,F41,H41,J41,L41)=0,"",(D41*0.2+F41*0.15+H41*0.15+J41*0.1+L41*0.1)/(IF(D41&lt;&gt;"",0.2,0)+IF(F41&lt;&gt;"",0.15,0)+IF(H41&lt;&gt;"",0.15,0)+IF(J41&lt;&gt;"",0.1,0)+IF(L41&lt;&gt;"",0.1,0)))</f>
        <v>2.78571428571429</v>
      </c>
      <c r="O41" s="93" t="n">
        <f aca="false">IF(COUNT(D41,F41,H41,J41,L41)=0,"",D41*0.2+F41*0.15+H41*0.15+J41*0.1+L41*0.1)</f>
        <v>1.95</v>
      </c>
      <c r="P41" s="115"/>
      <c r="Q41" s="115"/>
      <c r="R41" s="115"/>
      <c r="S41" s="115"/>
      <c r="T41" s="115"/>
      <c r="U41" s="115"/>
      <c r="V41" s="115"/>
      <c r="W41" s="115"/>
      <c r="X41" s="65" t="str">
        <f aca="false">IF(COUNT(P41,R41,T41,V41)=0,"",P41*0.08+R41*0.06+T41*0.03+V41*0.08)</f>
        <v/>
      </c>
      <c r="Y41" s="115"/>
      <c r="Z41" s="115"/>
      <c r="AA41" s="115"/>
      <c r="AB41" s="115"/>
      <c r="AC41" s="115"/>
      <c r="AD41" s="115"/>
      <c r="AE41" s="65" t="str">
        <f aca="false">IF(COUNT(Y41,AA41,AC41)=0,"",Y41*0.02+AA41*0.02+AC41*0.01)</f>
        <v/>
      </c>
      <c r="AF41" s="93" t="str">
        <f aca="false">IF(OR(COUNT(D41,F41,H41,J41,L41)&lt;5,COUNT(P41,R41,T41,V41)&lt;4,COUNT(Y41,AA41,AC41)&lt;3),"",(O41+X41+AE41)*20)</f>
        <v/>
      </c>
      <c r="AG41" s="93" t="str">
        <f aca="false">IF(AF41="","",IF(AF41&gt;=80,"STRONG BUY",IF(AF41&gt;=65,"BUY",IF(AF41&gt;=50,"WATCH LIST",IF(AF41&gt;=35,"AVOID","PASS")))))</f>
        <v/>
      </c>
      <c r="AH41" s="93" t="str">
        <f aca="false">IF(N41="","",IF(N41&lt;3,"FAIL","OK"))</f>
        <v>FAIL</v>
      </c>
      <c r="AI41" s="93" t="str">
        <f aca="false">IF(COUNT(D41:L41)=0,"",IF(COUNTIF(D41:L41,1)&gt;0,"REVIEW","OK"))</f>
        <v>OK</v>
      </c>
      <c r="AJ41" s="93" t="str">
        <f aca="false">IF(COUNT(D41:L41)=0,"",IF(COUNTIF(D41:L41,"&lt;=2")&gt;=2,"AVOID","OK"))</f>
        <v>AVOID</v>
      </c>
      <c r="AK41" s="93" t="str">
        <f aca="false">IF(COUNTA(E41:M41)=0,"",IF(COUNTIF(E41:M41,"L")&gt;=2,"CAP AT BUY","OK"))</f>
        <v>OK</v>
      </c>
      <c r="AL41" s="119" t="s">
        <v>341</v>
      </c>
      <c r="AM41" s="119" t="s">
        <v>391</v>
      </c>
      <c r="AN41" s="115"/>
      <c r="AO41" s="93"/>
      <c r="AP41" s="115" t="str">
        <f aca="false">IF(OR(AN41="",AO41=""),"",IF(AN41&gt;AO41,"OK","LOW CONF"))</f>
        <v/>
      </c>
      <c r="AQ41" s="115"/>
      <c r="AR41" s="93"/>
      <c r="AS41" s="125" t="str">
        <f aca="false">IF(OR(AQ41="",AR41=""),"",IF(AQ41&lt;AR41,"Decreased",IF(AQ41&gt;AR41,"Increased","Flat")))</f>
        <v/>
      </c>
    </row>
    <row r="42" customFormat="false" ht="15" hidden="false" customHeight="true" outlineLevel="0" collapsed="false">
      <c r="A42" s="62" t="s">
        <v>244</v>
      </c>
      <c r="B42" s="113" t="s">
        <v>392</v>
      </c>
      <c r="C42" s="124" t="n">
        <v>46246</v>
      </c>
      <c r="D42" s="115" t="n">
        <v>4</v>
      </c>
      <c r="E42" s="115" t="s">
        <v>329</v>
      </c>
      <c r="F42" s="115" t="n">
        <v>3</v>
      </c>
      <c r="G42" s="115" t="s">
        <v>329</v>
      </c>
      <c r="H42" s="115" t="n">
        <v>3</v>
      </c>
      <c r="I42" s="115" t="s">
        <v>328</v>
      </c>
      <c r="J42" s="115" t="n">
        <v>3</v>
      </c>
      <c r="K42" s="115" t="s">
        <v>328</v>
      </c>
      <c r="L42" s="115" t="n">
        <v>4</v>
      </c>
      <c r="M42" s="115" t="s">
        <v>329</v>
      </c>
      <c r="N42" s="116" t="n">
        <f aca="false">IF(COUNT(D42,F42,H42,J42,L42)=0,"",(D42*0.2+F42*0.15+H42*0.15+J42*0.1+L42*0.1)/(IF(D42&lt;&gt;"",0.2,0)+IF(F42&lt;&gt;"",0.15,0)+IF(H42&lt;&gt;"",0.15,0)+IF(J42&lt;&gt;"",0.1,0)+IF(L42&lt;&gt;"",0.1,0)))</f>
        <v>3.42857142857143</v>
      </c>
      <c r="O42" s="93" t="n">
        <f aca="false">IF(COUNT(D42,F42,H42,J42,L42)=0,"",D42*0.2+F42*0.15+H42*0.15+J42*0.1+L42*0.1)</f>
        <v>2.4</v>
      </c>
      <c r="P42" s="115"/>
      <c r="Q42" s="115"/>
      <c r="R42" s="115"/>
      <c r="S42" s="115"/>
      <c r="T42" s="115"/>
      <c r="U42" s="115"/>
      <c r="V42" s="115"/>
      <c r="W42" s="115"/>
      <c r="X42" s="65" t="str">
        <f aca="false">IF(COUNT(P42,R42,T42,V42)=0,"",P42*0.08+R42*0.06+T42*0.03+V42*0.08)</f>
        <v/>
      </c>
      <c r="Y42" s="115"/>
      <c r="Z42" s="115"/>
      <c r="AA42" s="115"/>
      <c r="AB42" s="115"/>
      <c r="AC42" s="115"/>
      <c r="AD42" s="115"/>
      <c r="AE42" s="65" t="str">
        <f aca="false">IF(COUNT(Y42,AA42,AC42)=0,"",Y42*0.02+AA42*0.02+AC42*0.01)</f>
        <v/>
      </c>
      <c r="AF42" s="93" t="str">
        <f aca="false">IF(OR(COUNT(D42,F42,H42,J42,L42)&lt;5,COUNT(P42,R42,T42,V42)&lt;4,COUNT(Y42,AA42,AC42)&lt;3),"",(O42+X42+AE42)*20)</f>
        <v/>
      </c>
      <c r="AG42" s="93" t="str">
        <f aca="false">IF(AF42="","",IF(AF42&gt;=80,"STRONG BUY",IF(AF42&gt;=65,"BUY",IF(AF42&gt;=50,"WATCH LIST",IF(AF42&gt;=35,"AVOID","PASS")))))</f>
        <v/>
      </c>
      <c r="AH42" s="93" t="str">
        <f aca="false">IF(N42="","",IF(N42&lt;3,"FAIL","OK"))</f>
        <v>OK</v>
      </c>
      <c r="AI42" s="93" t="str">
        <f aca="false">IF(COUNT(D42:L42)=0,"",IF(COUNTIF(D42:L42,1)&gt;0,"REVIEW","OK"))</f>
        <v>OK</v>
      </c>
      <c r="AJ42" s="93" t="str">
        <f aca="false">IF(COUNT(D42:L42)=0,"",IF(COUNTIF(D42:L42,"&lt;=2")&gt;=2,"AVOID","OK"))</f>
        <v>OK</v>
      </c>
      <c r="AK42" s="93" t="str">
        <f aca="false">IF(COUNTA(E42:M42)=0,"",IF(COUNTIF(E42:M42,"L")&gt;=2,"CAP AT BUY","OK"))</f>
        <v>OK</v>
      </c>
      <c r="AL42" s="119" t="s">
        <v>341</v>
      </c>
      <c r="AM42" s="119" t="s">
        <v>391</v>
      </c>
      <c r="AN42" s="115"/>
      <c r="AO42" s="93"/>
      <c r="AP42" s="115" t="str">
        <f aca="false">IF(OR(AN42="",AO42=""),"",IF(AN42&gt;AO42,"OK","LOW CONF"))</f>
        <v/>
      </c>
      <c r="AQ42" s="115"/>
      <c r="AR42" s="93"/>
      <c r="AS42" s="125" t="str">
        <f aca="false">IF(OR(AQ42="",AR42=""),"",IF(AQ42&lt;AR42,"Decreased",IF(AQ42&gt;AR42,"Increased","Flat")))</f>
        <v/>
      </c>
    </row>
    <row r="43" customFormat="false" ht="15" hidden="false" customHeight="true" outlineLevel="0" collapsed="false">
      <c r="A43" s="62" t="s">
        <v>140</v>
      </c>
      <c r="B43" s="113" t="s">
        <v>141</v>
      </c>
      <c r="C43" s="124" t="n">
        <v>46295</v>
      </c>
      <c r="D43" s="115" t="n">
        <v>4</v>
      </c>
      <c r="E43" s="115" t="s">
        <v>328</v>
      </c>
      <c r="F43" s="115" t="n">
        <v>5</v>
      </c>
      <c r="G43" s="115" t="s">
        <v>328</v>
      </c>
      <c r="H43" s="115" t="n">
        <v>5</v>
      </c>
      <c r="I43" s="115" t="s">
        <v>328</v>
      </c>
      <c r="J43" s="115" t="n">
        <v>4</v>
      </c>
      <c r="K43" s="115" t="s">
        <v>328</v>
      </c>
      <c r="L43" s="115" t="n">
        <v>2</v>
      </c>
      <c r="M43" s="115" t="s">
        <v>328</v>
      </c>
      <c r="N43" s="116" t="n">
        <f aca="false">IF(COUNT(D43,F43,H43,J43,L43)=0,"",(D43*0.2+F43*0.15+H43*0.15+J43*0.1+L43*0.1)/(IF(D43&lt;&gt;"",0.2,0)+IF(F43&lt;&gt;"",0.15,0)+IF(H43&lt;&gt;"",0.15,0)+IF(J43&lt;&gt;"",0.1,0)+IF(L43&lt;&gt;"",0.1,0)))</f>
        <v>4.14285714285714</v>
      </c>
      <c r="O43" s="93" t="n">
        <f aca="false">IF(COUNT(D43,F43,H43,J43,L43)=0,"",D43*0.2+F43*0.15+H43*0.15+J43*0.1+L43*0.1)</f>
        <v>2.9</v>
      </c>
      <c r="P43" s="115" t="n">
        <v>5</v>
      </c>
      <c r="Q43" s="115" t="s">
        <v>329</v>
      </c>
      <c r="R43" s="115" t="n">
        <v>5</v>
      </c>
      <c r="S43" s="115" t="s">
        <v>330</v>
      </c>
      <c r="T43" s="115" t="n">
        <v>3</v>
      </c>
      <c r="U43" s="115" t="s">
        <v>328</v>
      </c>
      <c r="V43" s="115" t="n">
        <v>4</v>
      </c>
      <c r="W43" s="115" t="s">
        <v>328</v>
      </c>
      <c r="X43" s="65" t="n">
        <f aca="false">IF(COUNT(P43,R43,T43,V43)=0,"",P43*0.08+R43*0.06+T43*0.03+V43*0.08)</f>
        <v>1.11</v>
      </c>
      <c r="Y43" s="115" t="n">
        <v>5</v>
      </c>
      <c r="Z43" s="115" t="s">
        <v>328</v>
      </c>
      <c r="AA43" s="115" t="n">
        <v>4</v>
      </c>
      <c r="AB43" s="115" t="s">
        <v>328</v>
      </c>
      <c r="AC43" s="115" t="n">
        <v>2</v>
      </c>
      <c r="AD43" s="115" t="s">
        <v>328</v>
      </c>
      <c r="AE43" s="65" t="n">
        <f aca="false">IF(COUNT(Y43,AA43,AC43)=0,"",Y43*0.02+AA43*0.02+AC43*0.01)</f>
        <v>0.2</v>
      </c>
      <c r="AF43" s="93" t="n">
        <f aca="false">IF(OR(COUNT(D43,F43,H43,J43,L43)&lt;5,COUNT(P43,R43,T43,V43)&lt;4,COUNT(Y43,AA43,AC43)&lt;3),"",(O43+X43+AE43)*20)</f>
        <v>84.2</v>
      </c>
      <c r="AG43" s="93" t="str">
        <f aca="false">IF(AF43="","",IF(AF43&gt;=80,"STRONG BUY",IF(AF43&gt;=65,"BUY",IF(AF43&gt;=50,"WATCH LIST",IF(AF43&gt;=35,"AVOID","PASS")))))</f>
        <v>STRONG BUY</v>
      </c>
      <c r="AH43" s="93" t="str">
        <f aca="false">IF(N43="","",IF(N43&lt;3,"FAIL","OK"))</f>
        <v>OK</v>
      </c>
      <c r="AI43" s="93" t="str">
        <f aca="false">IF(COUNT(D43:L43)=0,"",IF(COUNTIF(D43:L43,1)&gt;0,"REVIEW","OK"))</f>
        <v>OK</v>
      </c>
      <c r="AJ43" s="93" t="str">
        <f aca="false">IF(COUNT(D43:L43)=0,"",IF(COUNTIF(D43:L43,"&lt;=2")&gt;=2,"AVOID","OK"))</f>
        <v>OK</v>
      </c>
      <c r="AK43" s="93" t="str">
        <f aca="false">IF(COUNTA(E43:M43)=0,"",IF(COUNTIF(E43:M43,"L")&gt;=2,"CAP AT BUY","OK"))</f>
        <v>OK</v>
      </c>
      <c r="AL43" s="119" t="s">
        <v>348</v>
      </c>
      <c r="AM43" s="119" t="s">
        <v>393</v>
      </c>
      <c r="AN43" s="115"/>
      <c r="AO43" s="93"/>
      <c r="AP43" s="115" t="str">
        <f aca="false">IF(OR(AN43="",AO43=""),"",IF(AN43&gt;AO43,"OK","LOW CONF"))</f>
        <v/>
      </c>
      <c r="AQ43" s="115"/>
      <c r="AR43" s="93"/>
      <c r="AS43" s="125" t="str">
        <f aca="false">IF(OR(AQ43="",AR43=""),"",IF(AQ43&lt;AR43,"Decreased",IF(AQ43&gt;AR43,"Increased","Flat")))</f>
        <v/>
      </c>
    </row>
    <row r="44" customFormat="false" ht="15" hidden="false" customHeight="true" outlineLevel="0" collapsed="false">
      <c r="A44" s="62" t="s">
        <v>264</v>
      </c>
      <c r="B44" s="113" t="s">
        <v>394</v>
      </c>
      <c r="C44" s="124" t="n">
        <v>46247</v>
      </c>
      <c r="D44" s="115" t="n">
        <v>4</v>
      </c>
      <c r="E44" s="115" t="s">
        <v>328</v>
      </c>
      <c r="F44" s="115" t="n">
        <v>3</v>
      </c>
      <c r="G44" s="115" t="s">
        <v>328</v>
      </c>
      <c r="H44" s="115" t="n">
        <v>3</v>
      </c>
      <c r="I44" s="115" t="s">
        <v>328</v>
      </c>
      <c r="J44" s="115" t="n">
        <v>2</v>
      </c>
      <c r="K44" s="115" t="s">
        <v>328</v>
      </c>
      <c r="L44" s="115" t="n">
        <v>4</v>
      </c>
      <c r="M44" s="115" t="s">
        <v>328</v>
      </c>
      <c r="N44" s="116" t="n">
        <f aca="false">IF(COUNT(D44,F44,H44,J44,L44)=0,"",(D44*0.2+F44*0.15+H44*0.15+J44*0.1+L44*0.1)/(IF(D44&lt;&gt;"",0.2,0)+IF(F44&lt;&gt;"",0.15,0)+IF(H44&lt;&gt;"",0.15,0)+IF(J44&lt;&gt;"",0.1,0)+IF(L44&lt;&gt;"",0.1,0)))</f>
        <v>3.28571428571429</v>
      </c>
      <c r="O44" s="93" t="n">
        <f aca="false">IF(COUNT(D44,F44,H44,J44,L44)=0,"",D44*0.2+F44*0.15+H44*0.15+J44*0.1+L44*0.1)</f>
        <v>2.3</v>
      </c>
      <c r="P44" s="115"/>
      <c r="Q44" s="115"/>
      <c r="R44" s="115"/>
      <c r="S44" s="115"/>
      <c r="T44" s="115"/>
      <c r="U44" s="115"/>
      <c r="V44" s="115"/>
      <c r="W44" s="115"/>
      <c r="X44" s="65" t="str">
        <f aca="false">IF(COUNT(P44,R44,T44,V44)=0,"",P44*0.08+R44*0.06+T44*0.03+V44*0.08)</f>
        <v/>
      </c>
      <c r="Y44" s="115"/>
      <c r="Z44" s="115"/>
      <c r="AA44" s="115" t="n">
        <v>4</v>
      </c>
      <c r="AB44" s="115" t="s">
        <v>328</v>
      </c>
      <c r="AC44" s="115"/>
      <c r="AD44" s="115"/>
      <c r="AE44" s="65" t="n">
        <f aca="false">IF(COUNT(Y44,AA44,AC44)=0,"",Y44*0.02+AA44*0.02+AC44*0.01)</f>
        <v>0.08</v>
      </c>
      <c r="AF44" s="93" t="str">
        <f aca="false">IF(OR(COUNT(D44,F44,H44,J44,L44)&lt;5,COUNT(P44,R44,T44,V44)&lt;4,COUNT(Y44,AA44,AC44)&lt;3),"",(O44+X44+AE44)*20)</f>
        <v/>
      </c>
      <c r="AG44" s="93" t="str">
        <f aca="false">IF(AF44="","",IF(AF44&gt;=80,"STRONG BUY",IF(AF44&gt;=65,"BUY",IF(AF44&gt;=50,"WATCH LIST",IF(AF44&gt;=35,"AVOID","PASS")))))</f>
        <v/>
      </c>
      <c r="AH44" s="93" t="str">
        <f aca="false">IF(N44="","",IF(N44&lt;3,"FAIL","OK"))</f>
        <v>OK</v>
      </c>
      <c r="AI44" s="93" t="str">
        <f aca="false">IF(COUNT(D44:L44)=0,"",IF(COUNTIF(D44:L44,1)&gt;0,"REVIEW","OK"))</f>
        <v>OK</v>
      </c>
      <c r="AJ44" s="93" t="str">
        <f aca="false">IF(COUNT(D44:L44)=0,"",IF(COUNTIF(D44:L44,"&lt;=2")&gt;=2,"AVOID","OK"))</f>
        <v>OK</v>
      </c>
      <c r="AK44" s="93" t="str">
        <f aca="false">IF(COUNTA(E44:M44)=0,"",IF(COUNTIF(E44:M44,"L")&gt;=2,"CAP AT BUY","OK"))</f>
        <v>OK</v>
      </c>
      <c r="AL44" s="119" t="s">
        <v>348</v>
      </c>
      <c r="AM44" s="119" t="s">
        <v>395</v>
      </c>
      <c r="AN44" s="115"/>
      <c r="AO44" s="93"/>
      <c r="AP44" s="115" t="str">
        <f aca="false">IF(OR(AN44="",AO44=""),"",IF(AN44&gt;AO44,"OK","LOW CONF"))</f>
        <v/>
      </c>
      <c r="AQ44" s="115"/>
      <c r="AR44" s="93"/>
      <c r="AS44" s="125" t="str">
        <f aca="false">IF(OR(AQ44="",AR44=""),"",IF(AQ44&lt;AR44,"Decreased",IF(AQ44&gt;AR44,"Increased","Flat")))</f>
        <v/>
      </c>
    </row>
    <row r="45" customFormat="false" ht="15" hidden="false" customHeight="true" outlineLevel="0" collapsed="false">
      <c r="A45" s="62" t="s">
        <v>242</v>
      </c>
      <c r="B45" s="113" t="s">
        <v>396</v>
      </c>
      <c r="C45" s="124" t="n">
        <v>46247</v>
      </c>
      <c r="D45" s="115" t="n">
        <v>4</v>
      </c>
      <c r="E45" s="115" t="s">
        <v>328</v>
      </c>
      <c r="F45" s="115" t="n">
        <v>3</v>
      </c>
      <c r="G45" s="115" t="s">
        <v>328</v>
      </c>
      <c r="H45" s="115" t="n">
        <v>4</v>
      </c>
      <c r="I45" s="115" t="s">
        <v>328</v>
      </c>
      <c r="J45" s="115" t="n">
        <v>3</v>
      </c>
      <c r="K45" s="115" t="s">
        <v>328</v>
      </c>
      <c r="L45" s="115" t="n">
        <v>3</v>
      </c>
      <c r="M45" s="115" t="s">
        <v>328</v>
      </c>
      <c r="N45" s="116" t="n">
        <f aca="false">IF(COUNT(D45,F45,H45,J45,L45)=0,"",(D45*0.2+F45*0.15+H45*0.15+J45*0.1+L45*0.1)/(IF(D45&lt;&gt;"",0.2,0)+IF(F45&lt;&gt;"",0.15,0)+IF(H45&lt;&gt;"",0.15,0)+IF(J45&lt;&gt;"",0.1,0)+IF(L45&lt;&gt;"",0.1,0)))</f>
        <v>3.5</v>
      </c>
      <c r="O45" s="93" t="n">
        <f aca="false">IF(COUNT(D45,F45,H45,J45,L45)=0,"",D45*0.2+F45*0.15+H45*0.15+J45*0.1+L45*0.1)</f>
        <v>2.45</v>
      </c>
      <c r="P45" s="115"/>
      <c r="Q45" s="115"/>
      <c r="R45" s="115"/>
      <c r="S45" s="115"/>
      <c r="T45" s="115"/>
      <c r="U45" s="115"/>
      <c r="V45" s="115"/>
      <c r="W45" s="115"/>
      <c r="X45" s="65" t="str">
        <f aca="false">IF(COUNT(P45,R45,T45,V45)=0,"",P45*0.08+R45*0.06+T45*0.03+V45*0.08)</f>
        <v/>
      </c>
      <c r="Y45" s="115"/>
      <c r="Z45" s="115"/>
      <c r="AA45" s="115" t="n">
        <v>4</v>
      </c>
      <c r="AB45" s="115" t="s">
        <v>328</v>
      </c>
      <c r="AC45" s="115"/>
      <c r="AD45" s="115"/>
      <c r="AE45" s="65" t="n">
        <f aca="false">IF(COUNT(Y45,AA45,AC45)=0,"",Y45*0.02+AA45*0.02+AC45*0.01)</f>
        <v>0.08</v>
      </c>
      <c r="AF45" s="93" t="str">
        <f aca="false">IF(OR(COUNT(D45,F45,H45,J45,L45)&lt;5,COUNT(P45,R45,T45,V45)&lt;4,COUNT(Y45,AA45,AC45)&lt;3),"",(O45+X45+AE45)*20)</f>
        <v/>
      </c>
      <c r="AG45" s="93" t="str">
        <f aca="false">IF(AF45="","",IF(AF45&gt;=80,"STRONG BUY",IF(AF45&gt;=65,"BUY",IF(AF45&gt;=50,"WATCH LIST",IF(AF45&gt;=35,"AVOID","PASS")))))</f>
        <v/>
      </c>
      <c r="AH45" s="93" t="str">
        <f aca="false">IF(N45="","",IF(N45&lt;3,"FAIL","OK"))</f>
        <v>OK</v>
      </c>
      <c r="AI45" s="93" t="str">
        <f aca="false">IF(COUNT(D45:L45)=0,"",IF(COUNTIF(D45:L45,1)&gt;0,"REVIEW","OK"))</f>
        <v>OK</v>
      </c>
      <c r="AJ45" s="93" t="str">
        <f aca="false">IF(COUNT(D45:L45)=0,"",IF(COUNTIF(D45:L45,"&lt;=2")&gt;=2,"AVOID","OK"))</f>
        <v>OK</v>
      </c>
      <c r="AK45" s="93" t="str">
        <f aca="false">IF(COUNTA(E45:M45)=0,"",IF(COUNTIF(E45:M45,"L")&gt;=2,"CAP AT BUY","OK"))</f>
        <v>OK</v>
      </c>
      <c r="AL45" s="119" t="s">
        <v>348</v>
      </c>
      <c r="AM45" s="119" t="s">
        <v>395</v>
      </c>
      <c r="AN45" s="115"/>
      <c r="AO45" s="93"/>
      <c r="AP45" s="115" t="str">
        <f aca="false">IF(OR(AN45="",AO45=""),"",IF(AN45&gt;AO45,"OK","LOW CONF"))</f>
        <v/>
      </c>
      <c r="AQ45" s="115"/>
      <c r="AR45" s="93"/>
      <c r="AS45" s="125" t="str">
        <f aca="false">IF(OR(AQ45="",AR45=""),"",IF(AQ45&lt;AR45,"Decreased",IF(AQ45&gt;AR45,"Increased","Flat")))</f>
        <v/>
      </c>
    </row>
    <row r="46" customFormat="false" ht="15" hidden="true" customHeight="true" outlineLevel="1" collapsed="false">
      <c r="A46" s="62" t="s">
        <v>235</v>
      </c>
      <c r="B46" s="113" t="s">
        <v>397</v>
      </c>
      <c r="C46" s="124" t="n">
        <v>46258</v>
      </c>
      <c r="D46" s="115" t="n">
        <v>4</v>
      </c>
      <c r="E46" s="115" t="s">
        <v>328</v>
      </c>
      <c r="F46" s="115" t="n">
        <v>2</v>
      </c>
      <c r="G46" s="115" t="s">
        <v>328</v>
      </c>
      <c r="H46" s="115" t="n">
        <v>3</v>
      </c>
      <c r="I46" s="115" t="s">
        <v>328</v>
      </c>
      <c r="J46" s="115" t="n">
        <v>2</v>
      </c>
      <c r="K46" s="115" t="s">
        <v>328</v>
      </c>
      <c r="L46" s="115" t="n">
        <v>3</v>
      </c>
      <c r="M46" s="115" t="s">
        <v>328</v>
      </c>
      <c r="N46" s="116" t="n">
        <f aca="false">IF(COUNT(D46,F46,H46,J46,L46)=0,"",(D46*0.2+F46*0.15+H46*0.15+J46*0.1+L46*0.1)/(IF(D46&lt;&gt;"",0.2,0)+IF(F46&lt;&gt;"",0.15,0)+IF(H46&lt;&gt;"",0.15,0)+IF(J46&lt;&gt;"",0.1,0)+IF(L46&lt;&gt;"",0.1,0)))</f>
        <v>2.92857142857143</v>
      </c>
      <c r="O46" s="93" t="n">
        <f aca="false">IF(COUNT(D46,F46,H46,J46,L46)=0,"",D46*0.2+F46*0.15+H46*0.15+J46*0.1+L46*0.1)</f>
        <v>2.05</v>
      </c>
      <c r="P46" s="115"/>
      <c r="Q46" s="115"/>
      <c r="R46" s="115"/>
      <c r="S46" s="115"/>
      <c r="T46" s="115"/>
      <c r="U46" s="115"/>
      <c r="V46" s="115"/>
      <c r="W46" s="115"/>
      <c r="X46" s="65" t="str">
        <f aca="false">IF(COUNT(P46,R46,T46,V46)=0,"",P46*0.08+R46*0.06+T46*0.03+V46*0.08)</f>
        <v/>
      </c>
      <c r="Y46" s="115"/>
      <c r="Z46" s="115"/>
      <c r="AA46" s="115"/>
      <c r="AB46" s="115"/>
      <c r="AC46" s="115"/>
      <c r="AD46" s="115"/>
      <c r="AE46" s="65" t="str">
        <f aca="false">IF(COUNT(Y46,AA46,AC46)=0,"",Y46*0.02+AA46*0.02+AC46*0.01)</f>
        <v/>
      </c>
      <c r="AF46" s="93" t="str">
        <f aca="false">IF(OR(COUNT(D46,F46,H46,J46,L46)&lt;5,COUNT(P46,R46,T46,V46)&lt;4,COUNT(Y46,AA46,AC46)&lt;3),"",(O46+X46+AE46)*20)</f>
        <v/>
      </c>
      <c r="AG46" s="93" t="str">
        <f aca="false">IF(AF46="","",IF(AF46&gt;=80,"STRONG BUY",IF(AF46&gt;=65,"BUY",IF(AF46&gt;=50,"WATCH LIST",IF(AF46&gt;=35,"AVOID","PASS")))))</f>
        <v/>
      </c>
      <c r="AH46" s="93" t="str">
        <f aca="false">IF(N46="","",IF(N46&lt;3,"FAIL","OK"))</f>
        <v>FAIL</v>
      </c>
      <c r="AI46" s="93" t="str">
        <f aca="false">IF(COUNT(D46:L46)=0,"",IF(COUNTIF(D46:L46,1)&gt;0,"REVIEW","OK"))</f>
        <v>OK</v>
      </c>
      <c r="AJ46" s="93" t="str">
        <f aca="false">IF(COUNT(D46:L46)=0,"",IF(COUNTIF(D46:L46,"&lt;=2")&gt;=2,"AVOID","OK"))</f>
        <v>AVOID</v>
      </c>
      <c r="AK46" s="93" t="str">
        <f aca="false">IF(COUNTA(E46:M46)=0,"",IF(COUNTIF(E46:M46,"L")&gt;=2,"CAP AT BUY","OK"))</f>
        <v>OK</v>
      </c>
      <c r="AL46" s="119" t="s">
        <v>398</v>
      </c>
      <c r="AM46" s="119" t="s">
        <v>399</v>
      </c>
      <c r="AN46" s="115"/>
      <c r="AO46" s="93"/>
      <c r="AP46" s="115" t="str">
        <f aca="false">IF(OR(AN46="",AO46=""),"",IF(AN46&gt;AO46,"OK","LOW CONF"))</f>
        <v/>
      </c>
      <c r="AQ46" s="115"/>
      <c r="AR46" s="93"/>
      <c r="AS46" s="125" t="str">
        <f aca="false">IF(OR(AQ46="",AR46=""),"",IF(AQ46&lt;AR46,"Decreased",IF(AQ46&gt;AR46,"Increased","Flat")))</f>
        <v/>
      </c>
    </row>
    <row r="47" customFormat="false" ht="15" hidden="false" customHeight="true" outlineLevel="0" collapsed="false">
      <c r="A47" s="62" t="s">
        <v>143</v>
      </c>
      <c r="B47" s="113" t="s">
        <v>144</v>
      </c>
      <c r="C47" s="124" t="n">
        <v>46295</v>
      </c>
      <c r="D47" s="115" t="n">
        <v>4</v>
      </c>
      <c r="E47" s="115" t="s">
        <v>328</v>
      </c>
      <c r="F47" s="115" t="n">
        <v>4</v>
      </c>
      <c r="G47" s="115" t="s">
        <v>328</v>
      </c>
      <c r="H47" s="115" t="n">
        <v>5</v>
      </c>
      <c r="I47" s="115" t="s">
        <v>328</v>
      </c>
      <c r="J47" s="115" t="n">
        <v>4</v>
      </c>
      <c r="K47" s="115" t="s">
        <v>328</v>
      </c>
      <c r="L47" s="115" t="n">
        <v>4</v>
      </c>
      <c r="M47" s="115" t="s">
        <v>328</v>
      </c>
      <c r="N47" s="116" t="n">
        <f aca="false">IF(COUNT(D47,F47,H47,J47,L47)=0,"",(D47*0.2+F47*0.15+H47*0.15+J47*0.1+L47*0.1)/(IF(D47&lt;&gt;"",0.2,0)+IF(F47&lt;&gt;"",0.15,0)+IF(H47&lt;&gt;"",0.15,0)+IF(J47&lt;&gt;"",0.1,0)+IF(L47&lt;&gt;"",0.1,0)))</f>
        <v>4.21428571428571</v>
      </c>
      <c r="O47" s="93" t="n">
        <f aca="false">IF(COUNT(D47,F47,H47,J47,L47)=0,"",D47*0.2+F47*0.15+H47*0.15+J47*0.1+L47*0.1)</f>
        <v>2.95</v>
      </c>
      <c r="P47" s="115" t="n">
        <v>5</v>
      </c>
      <c r="Q47" s="115" t="s">
        <v>329</v>
      </c>
      <c r="R47" s="115" t="n">
        <v>5</v>
      </c>
      <c r="S47" s="115" t="s">
        <v>330</v>
      </c>
      <c r="T47" s="115" t="n">
        <v>1</v>
      </c>
      <c r="U47" s="115" t="s">
        <v>328</v>
      </c>
      <c r="V47" s="115" t="n">
        <v>4</v>
      </c>
      <c r="W47" s="115" t="s">
        <v>328</v>
      </c>
      <c r="X47" s="65" t="n">
        <f aca="false">IF(COUNT(P47,R47,T47,V47)=0,"",P47*0.08+R47*0.06+T47*0.03+V47*0.08)</f>
        <v>1.05</v>
      </c>
      <c r="Y47" s="115" t="n">
        <v>4</v>
      </c>
      <c r="Z47" s="115" t="s">
        <v>328</v>
      </c>
      <c r="AA47" s="115" t="n">
        <v>4</v>
      </c>
      <c r="AB47" s="115" t="s">
        <v>328</v>
      </c>
      <c r="AC47" s="115" t="n">
        <v>3</v>
      </c>
      <c r="AD47" s="115" t="s">
        <v>328</v>
      </c>
      <c r="AE47" s="65" t="n">
        <f aca="false">IF(COUNT(Y47,AA47,AC47)=0,"",Y47*0.02+AA47*0.02+AC47*0.01)</f>
        <v>0.19</v>
      </c>
      <c r="AF47" s="93" t="n">
        <f aca="false">IF(OR(COUNT(D47,F47,H47,J47,L47)&lt;5,COUNT(P47,R47,T47,V47)&lt;4,COUNT(Y47,AA47,AC47)&lt;3),"",(O47+X47+AE47)*20)</f>
        <v>83.8</v>
      </c>
      <c r="AG47" s="93" t="str">
        <f aca="false">IF(AF47="","",IF(AF47&gt;=80,"STRONG BUY",IF(AF47&gt;=65,"BUY",IF(AF47&gt;=50,"WATCH LIST",IF(AF47&gt;=35,"AVOID","PASS")))))</f>
        <v>STRONG BUY</v>
      </c>
      <c r="AH47" s="93" t="str">
        <f aca="false">IF(N47="","",IF(N47&lt;3,"FAIL","OK"))</f>
        <v>OK</v>
      </c>
      <c r="AI47" s="93" t="str">
        <f aca="false">IF(COUNT(D47:L47)=0,"",IF(COUNTIF(D47:L47,1)&gt;0,"REVIEW","OK"))</f>
        <v>OK</v>
      </c>
      <c r="AJ47" s="93" t="str">
        <f aca="false">IF(COUNT(D47:L47)=0,"",IF(COUNTIF(D47:L47,"&lt;=2")&gt;=2,"AVOID","OK"))</f>
        <v>OK</v>
      </c>
      <c r="AK47" s="93" t="str">
        <f aca="false">IF(COUNTA(E47:M47)=0,"",IF(COUNTIF(E47:M47,"L")&gt;=2,"CAP AT BUY","OK"))</f>
        <v>OK</v>
      </c>
      <c r="AL47" s="119" t="s">
        <v>398</v>
      </c>
      <c r="AM47" s="119" t="s">
        <v>399</v>
      </c>
      <c r="AN47" s="115"/>
      <c r="AO47" s="93"/>
      <c r="AP47" s="115" t="str">
        <f aca="false">IF(OR(AN47="",AO47=""),"",IF(AN47&gt;AO47,"OK","LOW CONF"))</f>
        <v/>
      </c>
      <c r="AQ47" s="115"/>
      <c r="AR47" s="93"/>
      <c r="AS47" s="125" t="str">
        <f aca="false">IF(OR(AQ47="",AR47=""),"",IF(AQ47&lt;AR47,"Decreased",IF(AQ47&gt;AR47,"Increased","Flat")))</f>
        <v/>
      </c>
    </row>
    <row r="48" customFormat="false" ht="15" hidden="false" customHeight="true" outlineLevel="0" collapsed="false">
      <c r="A48" s="62" t="s">
        <v>274</v>
      </c>
      <c r="B48" s="113" t="s">
        <v>400</v>
      </c>
      <c r="C48" s="114" t="n">
        <v>46276</v>
      </c>
      <c r="D48" s="115" t="n">
        <v>4</v>
      </c>
      <c r="E48" s="115" t="s">
        <v>328</v>
      </c>
      <c r="F48" s="115" t="n">
        <v>4</v>
      </c>
      <c r="G48" s="115" t="s">
        <v>328</v>
      </c>
      <c r="H48" s="115"/>
      <c r="I48" s="115"/>
      <c r="J48" s="115"/>
      <c r="K48" s="115"/>
      <c r="L48" s="115" t="n">
        <v>4</v>
      </c>
      <c r="M48" s="115" t="s">
        <v>328</v>
      </c>
      <c r="N48" s="116" t="n">
        <f aca="false">IF(COUNT(D48,F48,H48,J48,L48)=0,"",(D48*0.2+F48*0.15+H48*0.15+J48*0.1+L48*0.1)/(IF(D48&lt;&gt;"",0.2,0)+IF(F48&lt;&gt;"",0.15,0)+IF(H48&lt;&gt;"",0.15,0)+IF(J48&lt;&gt;"",0.1,0)+IF(L48&lt;&gt;"",0.1,0)))</f>
        <v>4</v>
      </c>
      <c r="O48" s="117" t="n">
        <f aca="false">IF(COUNT(D48,F48,H48,J48,L48)=0,"",D48*0.2+F48*0.15+H48*0.15+J48*0.1+L48*0.1)</f>
        <v>1.8</v>
      </c>
      <c r="P48" s="115"/>
      <c r="Q48" s="115"/>
      <c r="R48" s="115"/>
      <c r="S48" s="115"/>
      <c r="T48" s="115"/>
      <c r="U48" s="115"/>
      <c r="V48" s="115"/>
      <c r="W48" s="115"/>
      <c r="X48" s="117" t="str">
        <f aca="false">IF(COUNT(P48,R48,T48,V48)=0,"",P48*0.08+R48*0.06+T48*0.03+V48*0.08)</f>
        <v/>
      </c>
      <c r="Y48" s="115"/>
      <c r="Z48" s="115"/>
      <c r="AA48" s="115"/>
      <c r="AB48" s="115"/>
      <c r="AC48" s="115"/>
      <c r="AD48" s="115"/>
      <c r="AE48" s="117" t="str">
        <f aca="false">IF(COUNT(Y48,AA48,AC48)=0,"",Y48*0.02+AA48*0.02+AC48*0.01)</f>
        <v/>
      </c>
      <c r="AF48" s="93" t="str">
        <f aca="false">IF(OR(COUNT(D48,F48,H48,J48,L48)&lt;5,COUNT(P48,R48,T48,V48)&lt;4,COUNT(Y48,AA48,AC48)&lt;3),"",(O48+X48+AE48)*20)</f>
        <v/>
      </c>
      <c r="AG48" s="93" t="str">
        <f aca="false">IF(AF48="","",IF(AF48&gt;=80,"STRONG BUY",IF(AF48&gt;=65,"BUY",IF(AF48&gt;=50,"WATCH LIST",IF(AF48&gt;=35,"AVOID","PASS")))))</f>
        <v/>
      </c>
      <c r="AH48" s="93" t="str">
        <f aca="false">IF(N48="","",IF(N48&lt;3,"FAIL","OK"))</f>
        <v>OK</v>
      </c>
      <c r="AI48" s="93" t="str">
        <f aca="false">IF(COUNT(D48:L48)=0,"",IF(COUNTIF(D48:L48,1)&gt;0,"REVIEW","OK"))</f>
        <v>OK</v>
      </c>
      <c r="AJ48" s="93" t="str">
        <f aca="false">IF(COUNT(D48:L48)=0,"",IF(COUNTIF(D48:L48,"&lt;=2")&gt;=2,"AVOID","OK"))</f>
        <v>OK</v>
      </c>
      <c r="AK48" s="93" t="str">
        <f aca="false">IF(COUNTA(E48:M48)=0,"",IF(COUNTIF(E48:M48,"L")&gt;=2,"CAP AT BUY","OK"))</f>
        <v>OK</v>
      </c>
      <c r="AL48" s="119" t="s">
        <v>358</v>
      </c>
      <c r="AM48" s="119" t="s">
        <v>363</v>
      </c>
      <c r="AN48" s="115"/>
      <c r="AO48" s="93"/>
      <c r="AP48" s="115" t="str">
        <f aca="false">IF(OR(AN48="",AO48=""),"",IF(AN48&gt;AO48,"OK","LOW CONF"))</f>
        <v/>
      </c>
      <c r="AQ48" s="115"/>
      <c r="AR48" s="93"/>
      <c r="AS48" s="125" t="str">
        <f aca="false">IF(OR(AQ48="",AR48=""),"",IF(AQ48&lt;AR48,"Decreased",IF(AQ48&gt;AR48,"Increased","Flat")))</f>
        <v/>
      </c>
    </row>
    <row r="49" customFormat="false" ht="15" hidden="false" customHeight="true" outlineLevel="0" collapsed="false">
      <c r="A49" s="62" t="s">
        <v>401</v>
      </c>
      <c r="B49" s="113" t="s">
        <v>402</v>
      </c>
      <c r="C49" s="124" t="n">
        <v>46295</v>
      </c>
      <c r="D49" s="115" t="n">
        <v>3</v>
      </c>
      <c r="E49" s="115" t="s">
        <v>328</v>
      </c>
      <c r="F49" s="115" t="n">
        <v>2</v>
      </c>
      <c r="G49" s="115" t="s">
        <v>328</v>
      </c>
      <c r="H49" s="115" t="n">
        <v>5</v>
      </c>
      <c r="I49" s="115" t="s">
        <v>329</v>
      </c>
      <c r="J49" s="115" t="n">
        <v>4</v>
      </c>
      <c r="K49" s="115" t="s">
        <v>328</v>
      </c>
      <c r="L49" s="115" t="n">
        <v>4</v>
      </c>
      <c r="M49" s="115" t="s">
        <v>328</v>
      </c>
      <c r="N49" s="116" t="n">
        <f aca="false">IF(COUNT(D49,F49,H49,J49,L49)=0,"",(D49*0.2+F49*0.15+H49*0.15+J49*0.1+L49*0.1)/(IF(D49&lt;&gt;"",0.2,0)+IF(F49&lt;&gt;"",0.15,0)+IF(H49&lt;&gt;"",0.15,0)+IF(J49&lt;&gt;"",0.1,0)+IF(L49&lt;&gt;"",0.1,0)))</f>
        <v>3.5</v>
      </c>
      <c r="O49" s="93" t="n">
        <f aca="false">IF(COUNT(D49,F49,H49,J49,L49)=0,"",D49*0.2+F49*0.15+H49*0.15+J49*0.1+L49*0.1)</f>
        <v>2.45</v>
      </c>
      <c r="P49" s="115" t="n">
        <v>5</v>
      </c>
      <c r="Q49" s="115" t="s">
        <v>329</v>
      </c>
      <c r="R49" s="115" t="n">
        <v>3</v>
      </c>
      <c r="S49" s="115" t="s">
        <v>330</v>
      </c>
      <c r="T49" s="115" t="n">
        <v>1</v>
      </c>
      <c r="U49" s="115" t="s">
        <v>328</v>
      </c>
      <c r="V49" s="115" t="n">
        <v>4</v>
      </c>
      <c r="W49" s="115" t="s">
        <v>328</v>
      </c>
      <c r="X49" s="65" t="n">
        <f aca="false">IF(COUNT(P49,R49,T49,V49)=0,"",P49*0.08+R49*0.06+T49*0.03+V49*0.08)</f>
        <v>0.93</v>
      </c>
      <c r="Y49" s="115" t="n">
        <v>2</v>
      </c>
      <c r="Z49" s="115" t="s">
        <v>328</v>
      </c>
      <c r="AA49" s="115" t="n">
        <v>5</v>
      </c>
      <c r="AB49" s="115" t="s">
        <v>328</v>
      </c>
      <c r="AC49" s="115" t="n">
        <v>2</v>
      </c>
      <c r="AD49" s="115" t="s">
        <v>328</v>
      </c>
      <c r="AE49" s="65" t="n">
        <f aca="false">IF(COUNT(Y49,AA49,AC49)=0,"",Y49*0.02+AA49*0.02+AC49*0.01)</f>
        <v>0.16</v>
      </c>
      <c r="AF49" s="93" t="n">
        <f aca="false">IF(OR(COUNT(D49,F49,H49,J49,L49)&lt;5,COUNT(P49,R49,T49,V49)&lt;4,COUNT(Y49,AA49,AC49)&lt;3),"",(O49+X49+AE49)*20)</f>
        <v>70.8</v>
      </c>
      <c r="AG49" s="93" t="str">
        <f aca="false">IF(AF49="","",IF(AF49&gt;=80,"STRONG BUY",IF(AF49&gt;=65,"BUY",IF(AF49&gt;=50,"WATCH LIST",IF(AF49&gt;=35,"AVOID","PASS")))))</f>
        <v>BUY</v>
      </c>
      <c r="AH49" s="93" t="str">
        <f aca="false">IF(N49="","",IF(N49&lt;3,"FAIL","OK"))</f>
        <v>OK</v>
      </c>
      <c r="AI49" s="93" t="str">
        <f aca="false">IF(COUNT(D49:L49)=0,"",IF(COUNTIF(D49:L49,1)&gt;0,"REVIEW","OK"))</f>
        <v>OK</v>
      </c>
      <c r="AJ49" s="93" t="str">
        <f aca="false">IF(COUNT(D49:L49)=0,"",IF(COUNTIF(D49:L49,"&lt;=2")&gt;=2,"AVOID","OK"))</f>
        <v>OK</v>
      </c>
      <c r="AK49" s="93" t="str">
        <f aca="false">IF(COUNTA(E49:M49)=0,"",IF(COUNTIF(E49:M49,"L")&gt;=2,"CAP AT BUY","OK"))</f>
        <v>OK</v>
      </c>
      <c r="AL49" s="119" t="s">
        <v>334</v>
      </c>
      <c r="AM49" s="119" t="s">
        <v>403</v>
      </c>
      <c r="AN49" s="115"/>
      <c r="AO49" s="93"/>
      <c r="AP49" s="115" t="str">
        <f aca="false">IF(OR(AN49="",AO49=""),"",IF(AN49&gt;AO49,"OK","LOW CONF"))</f>
        <v/>
      </c>
      <c r="AQ49" s="115"/>
      <c r="AR49" s="93"/>
      <c r="AS49" s="125" t="str">
        <f aca="false">IF(OR(AQ49="",AR49=""),"",IF(AQ49&lt;AR49,"Decreased",IF(AQ49&gt;AR49,"Increased","Flat")))</f>
        <v/>
      </c>
    </row>
    <row r="50" customFormat="false" ht="15" hidden="false" customHeight="true" outlineLevel="0" collapsed="false">
      <c r="A50" s="62" t="s">
        <v>404</v>
      </c>
      <c r="B50" s="113" t="s">
        <v>405</v>
      </c>
      <c r="C50" s="124" t="n">
        <v>46295</v>
      </c>
      <c r="D50" s="115" t="n">
        <v>4</v>
      </c>
      <c r="E50" s="115" t="s">
        <v>328</v>
      </c>
      <c r="F50" s="115" t="n">
        <v>3</v>
      </c>
      <c r="G50" s="115" t="s">
        <v>328</v>
      </c>
      <c r="H50" s="115" t="n">
        <v>4</v>
      </c>
      <c r="I50" s="115" t="s">
        <v>328</v>
      </c>
      <c r="J50" s="115" t="n">
        <v>3</v>
      </c>
      <c r="K50" s="115" t="s">
        <v>328</v>
      </c>
      <c r="L50" s="115" t="n">
        <v>3</v>
      </c>
      <c r="M50" s="115" t="s">
        <v>328</v>
      </c>
      <c r="N50" s="116" t="n">
        <f aca="false">IF(COUNT(D50,F50,H50,J50,L50)=0,"",(D50*0.2+F50*0.15+H50*0.15+J50*0.1+L50*0.1)/(IF(D50&lt;&gt;"",0.2,0)+IF(F50&lt;&gt;"",0.15,0)+IF(H50&lt;&gt;"",0.15,0)+IF(J50&lt;&gt;"",0.1,0)+IF(L50&lt;&gt;"",0.1,0)))</f>
        <v>3.5</v>
      </c>
      <c r="O50" s="93" t="n">
        <f aca="false">IF(COUNT(D50,F50,H50,J50,L50)=0,"",D50*0.2+F50*0.15+H50*0.15+J50*0.1+L50*0.1)</f>
        <v>2.45</v>
      </c>
      <c r="P50" s="115" t="n">
        <v>4</v>
      </c>
      <c r="Q50" s="115" t="s">
        <v>328</v>
      </c>
      <c r="R50" s="115" t="n">
        <v>3</v>
      </c>
      <c r="S50" s="115" t="s">
        <v>330</v>
      </c>
      <c r="T50" s="115" t="n">
        <v>5</v>
      </c>
      <c r="U50" s="115" t="s">
        <v>328</v>
      </c>
      <c r="V50" s="115" t="n">
        <v>4</v>
      </c>
      <c r="W50" s="115" t="s">
        <v>328</v>
      </c>
      <c r="X50" s="65" t="n">
        <f aca="false">IF(COUNT(P50,R50,T50,V50)=0,"",P50*0.08+R50*0.06+T50*0.03+V50*0.08)</f>
        <v>0.97</v>
      </c>
      <c r="Y50" s="115" t="n">
        <v>5</v>
      </c>
      <c r="Z50" s="115" t="s">
        <v>328</v>
      </c>
      <c r="AA50" s="115" t="n">
        <v>4</v>
      </c>
      <c r="AB50" s="115" t="s">
        <v>328</v>
      </c>
      <c r="AC50" s="115" t="n">
        <v>2</v>
      </c>
      <c r="AD50" s="115" t="s">
        <v>328</v>
      </c>
      <c r="AE50" s="65" t="n">
        <f aca="false">IF(COUNT(Y50,AA50,AC50)=0,"",Y50*0.02+AA50*0.02+AC50*0.01)</f>
        <v>0.2</v>
      </c>
      <c r="AF50" s="93" t="n">
        <f aca="false">IF(OR(COUNT(D50,F50,H50,J50,L50)&lt;5,COUNT(P50,R50,T50,V50)&lt;4,COUNT(Y50,AA50,AC50)&lt;3),"",(O50+X50+AE50)*20)</f>
        <v>72.4</v>
      </c>
      <c r="AG50" s="93" t="str">
        <f aca="false">IF(AF50="","",IF(AF50&gt;=80,"STRONG BUY",IF(AF50&gt;=65,"BUY",IF(AF50&gt;=50,"WATCH LIST",IF(AF50&gt;=35,"AVOID","PASS")))))</f>
        <v>BUY</v>
      </c>
      <c r="AH50" s="93" t="str">
        <f aca="false">IF(N50="","",IF(N50&lt;3,"FAIL","OK"))</f>
        <v>OK</v>
      </c>
      <c r="AI50" s="93" t="str">
        <f aca="false">IF(COUNT(D50:L50)=0,"",IF(COUNTIF(D50:L50,1)&gt;0,"REVIEW","OK"))</f>
        <v>OK</v>
      </c>
      <c r="AJ50" s="93" t="str">
        <f aca="false">IF(COUNT(D50:L50)=0,"",IF(COUNTIF(D50:L50,"&lt;=2")&gt;=2,"AVOID","OK"))</f>
        <v>OK</v>
      </c>
      <c r="AK50" s="93" t="str">
        <f aca="false">IF(COUNTA(E50:M50)=0,"",IF(COUNTIF(E50:M50,"L")&gt;=2,"CAP AT BUY","OK"))</f>
        <v>OK</v>
      </c>
      <c r="AL50" s="119" t="s">
        <v>358</v>
      </c>
      <c r="AM50" s="119" t="s">
        <v>363</v>
      </c>
      <c r="AN50" s="115"/>
      <c r="AO50" s="93"/>
      <c r="AP50" s="115" t="str">
        <f aca="false">IF(OR(AN50="",AO50=""),"",IF(AN50&gt;AO50,"OK","LOW CONF"))</f>
        <v/>
      </c>
      <c r="AQ50" s="115"/>
      <c r="AR50" s="93"/>
      <c r="AS50" s="125" t="str">
        <f aca="false">IF(OR(AQ50="",AR50=""),"",IF(AQ50&lt;AR50,"Decreased",IF(AQ50&gt;AR50,"Increased","Flat")))</f>
        <v/>
      </c>
    </row>
    <row r="51" customFormat="false" ht="15" hidden="false" customHeight="true" outlineLevel="0" collapsed="false">
      <c r="A51" s="62"/>
      <c r="B51" s="113"/>
      <c r="C51" s="115"/>
      <c r="D51" s="115"/>
      <c r="E51" s="115"/>
      <c r="F51" s="115"/>
      <c r="G51" s="115"/>
      <c r="H51" s="115"/>
      <c r="I51" s="115"/>
      <c r="J51" s="115"/>
      <c r="K51" s="115"/>
      <c r="L51" s="115"/>
      <c r="M51" s="115"/>
      <c r="N51" s="116" t="str">
        <f aca="false">IF(COUNT(D51,F51,H51,J51,L51)=0,"",(D51*0.2+F51*0.15+H51*0.15+J51*0.1+L51*0.1)/(IF(D51&lt;&gt;"",0.2,0)+IF(F51&lt;&gt;"",0.15,0)+IF(H51&lt;&gt;"",0.15,0)+IF(J51&lt;&gt;"",0.1,0)+IF(L51&lt;&gt;"",0.1,0)))</f>
        <v/>
      </c>
      <c r="O51" s="93" t="str">
        <f aca="false">IF(COUNT(D51,F51,H51,J51,L51)=0,"",D51*0.2+F51*0.15+H51*0.15+J51*0.1+L51*0.1)</f>
        <v/>
      </c>
      <c r="P51" s="115"/>
      <c r="Q51" s="115"/>
      <c r="R51" s="115"/>
      <c r="S51" s="115"/>
      <c r="T51" s="115"/>
      <c r="U51" s="115"/>
      <c r="V51" s="115"/>
      <c r="W51" s="115"/>
      <c r="X51" s="65" t="str">
        <f aca="false">IF(COUNT(P51,R51,T51,V51)=0,"",P51*0.08+R51*0.06+T51*0.03+V51*0.08)</f>
        <v/>
      </c>
      <c r="Y51" s="115"/>
      <c r="Z51" s="115"/>
      <c r="AA51" s="115"/>
      <c r="AB51" s="115"/>
      <c r="AC51" s="115"/>
      <c r="AD51" s="115"/>
      <c r="AE51" s="65" t="str">
        <f aca="false">IF(COUNT(Y51,AA51,AC51)=0,"",Y51*0.02+AA51*0.02+AC51*0.01)</f>
        <v/>
      </c>
      <c r="AF51" s="93" t="str">
        <f aca="false">IF(OR(COUNT(D51,F51,H51,J51,L51)&lt;5,COUNT(P51,R51,T51,V51)&lt;4,COUNT(Y51,AA51,AC51)&lt;3),"",(O51+X51+AE51)*20)</f>
        <v/>
      </c>
      <c r="AG51" s="93" t="str">
        <f aca="false">IF(AF51="","",IF(AF51&gt;=80,"STRONG BUY",IF(AF51&gt;=65,"BUY",IF(AF51&gt;=50,"WATCH LIST",IF(AF51&gt;=35,"AVOID","PASS")))))</f>
        <v/>
      </c>
      <c r="AH51" s="93" t="str">
        <f aca="false">IF(N51="","",IF(N51&lt;3,"FAIL","OK"))</f>
        <v/>
      </c>
      <c r="AI51" s="93" t="str">
        <f aca="false">IF(COUNT(D51:L51)=0,"",IF(COUNTIF(D51:L51,1)&gt;0,"REVIEW","OK"))</f>
        <v/>
      </c>
      <c r="AJ51" s="93" t="str">
        <f aca="false">IF(COUNT(D51:L51)=0,"",IF(COUNTIF(D51:L51,"&lt;=2")&gt;=2,"AVOID","OK"))</f>
        <v/>
      </c>
      <c r="AK51" s="93" t="str">
        <f aca="false">IF(COUNTA(E51:M51)=0,"",IF(COUNTIF(E51:M51,"L")&gt;=2,"CAP AT BUY","OK"))</f>
        <v/>
      </c>
      <c r="AL51" s="119"/>
      <c r="AM51" s="119"/>
      <c r="AN51" s="115"/>
      <c r="AO51" s="93"/>
      <c r="AP51" s="115" t="str">
        <f aca="false">IF(OR(AN51="",AO51=""),"",IF(AN51&gt;AO51,"OK","LOW CONF"))</f>
        <v/>
      </c>
      <c r="AQ51" s="115"/>
      <c r="AR51" s="93"/>
      <c r="AS51" s="125" t="str">
        <f aca="false">IF(OR(AQ51="",AR51=""),"",IF(AQ51&lt;AR51,"Decreased",IF(AQ51&gt;AR51,"Increased","Flat")))</f>
        <v/>
      </c>
    </row>
    <row r="52" customFormat="false" ht="15" hidden="false" customHeight="true" outlineLevel="0" collapsed="false">
      <c r="A52" s="62"/>
      <c r="B52" s="113"/>
      <c r="C52" s="115"/>
      <c r="D52" s="115"/>
      <c r="E52" s="115"/>
      <c r="F52" s="115"/>
      <c r="G52" s="115"/>
      <c r="H52" s="115"/>
      <c r="I52" s="115"/>
      <c r="J52" s="115"/>
      <c r="K52" s="115"/>
      <c r="L52" s="115"/>
      <c r="M52" s="115"/>
      <c r="N52" s="116" t="str">
        <f aca="false">IF(COUNT(D52,F52,H52,J52,L52)=0,"",(D52*0.2+F52*0.15+H52*0.15+J52*0.1+L52*0.1)/(IF(D52&lt;&gt;"",0.2,0)+IF(F52&lt;&gt;"",0.15,0)+IF(H52&lt;&gt;"",0.15,0)+IF(J52&lt;&gt;"",0.1,0)+IF(L52&lt;&gt;"",0.1,0)))</f>
        <v/>
      </c>
      <c r="O52" s="93" t="str">
        <f aca="false">IF(COUNT(D52,F52,H52,J52,L52)=0,"",D52*0.2+F52*0.15+H52*0.15+J52*0.1+L52*0.1)</f>
        <v/>
      </c>
      <c r="P52" s="115"/>
      <c r="Q52" s="115"/>
      <c r="R52" s="115"/>
      <c r="S52" s="115"/>
      <c r="T52" s="115"/>
      <c r="U52" s="115"/>
      <c r="V52" s="115"/>
      <c r="W52" s="115"/>
      <c r="X52" s="65" t="str">
        <f aca="false">IF(COUNT(P52,R52,T52,V52)=0,"",P52*0.08+R52*0.06+T52*0.03+V52*0.08)</f>
        <v/>
      </c>
      <c r="Y52" s="115"/>
      <c r="Z52" s="115"/>
      <c r="AA52" s="115"/>
      <c r="AB52" s="115"/>
      <c r="AC52" s="115"/>
      <c r="AD52" s="115"/>
      <c r="AE52" s="65" t="str">
        <f aca="false">IF(COUNT(Y52,AA52,AC52)=0,"",Y52*0.02+AA52*0.02+AC52*0.01)</f>
        <v/>
      </c>
      <c r="AF52" s="93" t="str">
        <f aca="false">IF(OR(COUNT(D52,F52,H52,J52,L52)&lt;5,COUNT(P52,R52,T52,V52)&lt;4,COUNT(Y52,AA52,AC52)&lt;3),"",(O52+X52+AE52)*20)</f>
        <v/>
      </c>
      <c r="AG52" s="93" t="str">
        <f aca="false">IF(AF52="","",IF(AF52&gt;=80,"STRONG BUY",IF(AF52&gt;=65,"BUY",IF(AF52&gt;=50,"WATCH LIST",IF(AF52&gt;=35,"AVOID","PASS")))))</f>
        <v/>
      </c>
      <c r="AH52" s="93" t="str">
        <f aca="false">IF(N52="","",IF(N52&lt;3,"FAIL","OK"))</f>
        <v/>
      </c>
      <c r="AI52" s="93" t="str">
        <f aca="false">IF(COUNT(D52:L52)=0,"",IF(COUNTIF(D52:L52,1)&gt;0,"REVIEW","OK"))</f>
        <v/>
      </c>
      <c r="AJ52" s="93" t="str">
        <f aca="false">IF(COUNT(D52:L52)=0,"",IF(COUNTIF(D52:L52,"&lt;=2")&gt;=2,"AVOID","OK"))</f>
        <v/>
      </c>
      <c r="AK52" s="93" t="str">
        <f aca="false">IF(COUNTA(E52:M52)=0,"",IF(COUNTIF(E52:M52,"L")&gt;=2,"CAP AT BUY","OK"))</f>
        <v/>
      </c>
      <c r="AL52" s="119"/>
      <c r="AM52" s="119"/>
      <c r="AN52" s="115"/>
      <c r="AO52" s="93"/>
      <c r="AP52" s="115" t="str">
        <f aca="false">IF(OR(AN52="",AO52=""),"",IF(AN52&gt;AO52,"OK","LOW CONF"))</f>
        <v/>
      </c>
      <c r="AQ52" s="115"/>
      <c r="AR52" s="93"/>
      <c r="AS52" s="125" t="str">
        <f aca="false">IF(OR(AQ52="",AR52=""),"",IF(AQ52&lt;AR52,"Decreased",IF(AQ52&gt;AR52,"Increased","Flat")))</f>
        <v/>
      </c>
    </row>
    <row r="53" customFormat="false" ht="15" hidden="false" customHeight="true" outlineLevel="0" collapsed="false">
      <c r="A53" s="62"/>
      <c r="B53" s="113"/>
      <c r="C53" s="115"/>
      <c r="D53" s="115"/>
      <c r="E53" s="115"/>
      <c r="F53" s="115"/>
      <c r="G53" s="115"/>
      <c r="H53" s="115"/>
      <c r="I53" s="115"/>
      <c r="J53" s="115"/>
      <c r="K53" s="115"/>
      <c r="L53" s="115"/>
      <c r="M53" s="115"/>
      <c r="N53" s="116" t="str">
        <f aca="false">IF(COUNT(D53,F53,H53,J53,L53)=0,"",(D53*0.2+F53*0.15+H53*0.15+J53*0.1+L53*0.1)/(IF(D53&lt;&gt;"",0.2,0)+IF(F53&lt;&gt;"",0.15,0)+IF(H53&lt;&gt;"",0.15,0)+IF(J53&lt;&gt;"",0.1,0)+IF(L53&lt;&gt;"",0.1,0)))</f>
        <v/>
      </c>
      <c r="O53" s="93" t="str">
        <f aca="false">IF(COUNT(D53,F53,H53,J53,L53)=0,"",D53*0.2+F53*0.15+H53*0.15+J53*0.1+L53*0.1)</f>
        <v/>
      </c>
      <c r="P53" s="115"/>
      <c r="Q53" s="115"/>
      <c r="R53" s="115"/>
      <c r="S53" s="115"/>
      <c r="T53" s="115"/>
      <c r="U53" s="115"/>
      <c r="V53" s="115"/>
      <c r="W53" s="115"/>
      <c r="X53" s="65" t="str">
        <f aca="false">IF(COUNT(P53,R53,T53,V53)=0,"",P53*0.08+R53*0.06+T53*0.03+V53*0.08)</f>
        <v/>
      </c>
      <c r="Y53" s="115"/>
      <c r="Z53" s="115"/>
      <c r="AA53" s="115"/>
      <c r="AB53" s="115"/>
      <c r="AC53" s="115"/>
      <c r="AD53" s="115"/>
      <c r="AE53" s="65" t="str">
        <f aca="false">IF(COUNT(Y53,AA53,AC53)=0,"",Y53*0.02+AA53*0.02+AC53*0.01)</f>
        <v/>
      </c>
      <c r="AF53" s="93" t="str">
        <f aca="false">IF(OR(COUNT(D53,F53,H53,J53,L53)&lt;5,COUNT(P53,R53,T53,V53)&lt;4,COUNT(Y53,AA53,AC53)&lt;3),"",(O53+X53+AE53)*20)</f>
        <v/>
      </c>
      <c r="AG53" s="93" t="str">
        <f aca="false">IF(AF53="","",IF(AF53&gt;=80,"STRONG BUY",IF(AF53&gt;=65,"BUY",IF(AF53&gt;=50,"WATCH LIST",IF(AF53&gt;=35,"AVOID","PASS")))))</f>
        <v/>
      </c>
      <c r="AH53" s="93" t="str">
        <f aca="false">IF(N53="","",IF(N53&lt;3,"FAIL","OK"))</f>
        <v/>
      </c>
      <c r="AI53" s="93" t="str">
        <f aca="false">IF(COUNT(D53:L53)=0,"",IF(COUNTIF(D53:L53,1)&gt;0,"REVIEW","OK"))</f>
        <v/>
      </c>
      <c r="AJ53" s="93" t="str">
        <f aca="false">IF(COUNT(D53:L53)=0,"",IF(COUNTIF(D53:L53,"&lt;=2")&gt;=2,"AVOID","OK"))</f>
        <v/>
      </c>
      <c r="AK53" s="93" t="str">
        <f aca="false">IF(COUNTA(E53:M53)=0,"",IF(COUNTIF(E53:M53,"L")&gt;=2,"CAP AT BUY","OK"))</f>
        <v/>
      </c>
      <c r="AL53" s="119"/>
      <c r="AM53" s="119"/>
      <c r="AN53" s="115"/>
      <c r="AO53" s="93"/>
      <c r="AP53" s="115" t="str">
        <f aca="false">IF(OR(AN53="",AO53=""),"",IF(AN53&gt;AO53,"OK","LOW CONF"))</f>
        <v/>
      </c>
      <c r="AQ53" s="115"/>
      <c r="AR53" s="93"/>
      <c r="AS53" s="125" t="str">
        <f aca="false">IF(OR(AQ53="",AR53=""),"",IF(AQ53&lt;AR53,"Decreased",IF(AQ53&gt;AR53,"Increased","Flat")))</f>
        <v/>
      </c>
    </row>
    <row r="54" customFormat="false" ht="15" hidden="false" customHeight="true" outlineLevel="0" collapsed="false">
      <c r="A54" s="62"/>
      <c r="B54" s="113"/>
      <c r="C54" s="115"/>
      <c r="D54" s="115"/>
      <c r="E54" s="115"/>
      <c r="F54" s="115"/>
      <c r="G54" s="115"/>
      <c r="H54" s="115"/>
      <c r="I54" s="115"/>
      <c r="J54" s="115"/>
      <c r="K54" s="115"/>
      <c r="L54" s="115"/>
      <c r="M54" s="115"/>
      <c r="N54" s="116" t="str">
        <f aca="false">IF(COUNT(D54,F54,H54,J54,L54)=0,"",(D54*0.2+F54*0.15+H54*0.15+J54*0.1+L54*0.1)/(IF(D54&lt;&gt;"",0.2,0)+IF(F54&lt;&gt;"",0.15,0)+IF(H54&lt;&gt;"",0.15,0)+IF(J54&lt;&gt;"",0.1,0)+IF(L54&lt;&gt;"",0.1,0)))</f>
        <v/>
      </c>
      <c r="O54" s="93" t="str">
        <f aca="false">IF(COUNT(D54,F54,H54,J54,L54)=0,"",D54*0.2+F54*0.15+H54*0.15+J54*0.1+L54*0.1)</f>
        <v/>
      </c>
      <c r="P54" s="115"/>
      <c r="Q54" s="115"/>
      <c r="R54" s="115"/>
      <c r="S54" s="115"/>
      <c r="T54" s="115"/>
      <c r="U54" s="115"/>
      <c r="V54" s="115"/>
      <c r="W54" s="115"/>
      <c r="X54" s="65" t="str">
        <f aca="false">IF(COUNT(P54,R54,T54,V54)=0,"",P54*0.08+R54*0.06+T54*0.03+V54*0.08)</f>
        <v/>
      </c>
      <c r="Y54" s="115"/>
      <c r="Z54" s="115"/>
      <c r="AA54" s="115"/>
      <c r="AB54" s="115"/>
      <c r="AC54" s="115"/>
      <c r="AD54" s="115"/>
      <c r="AE54" s="65" t="str">
        <f aca="false">IF(COUNT(Y54,AA54,AC54)=0,"",Y54*0.02+AA54*0.02+AC54*0.01)</f>
        <v/>
      </c>
      <c r="AF54" s="93" t="str">
        <f aca="false">IF(OR(COUNT(D54,F54,H54,J54,L54)&lt;5,COUNT(P54,R54,T54,V54)&lt;4,COUNT(Y54,AA54,AC54)&lt;3),"",(O54+X54+AE54)*20)</f>
        <v/>
      </c>
      <c r="AG54" s="93" t="str">
        <f aca="false">IF(AF54="","",IF(AF54&gt;=80,"STRONG BUY",IF(AF54&gt;=65,"BUY",IF(AF54&gt;=50,"WATCH LIST",IF(AF54&gt;=35,"AVOID","PASS")))))</f>
        <v/>
      </c>
      <c r="AH54" s="93" t="str">
        <f aca="false">IF(N54="","",IF(N54&lt;3,"FAIL","OK"))</f>
        <v/>
      </c>
      <c r="AI54" s="93" t="str">
        <f aca="false">IF(COUNT(D54:L54)=0,"",IF(COUNTIF(D54:L54,1)&gt;0,"REVIEW","OK"))</f>
        <v/>
      </c>
      <c r="AJ54" s="93" t="str">
        <f aca="false">IF(COUNT(D54:L54)=0,"",IF(COUNTIF(D54:L54,"&lt;=2")&gt;=2,"AVOID","OK"))</f>
        <v/>
      </c>
      <c r="AK54" s="93" t="str">
        <f aca="false">IF(COUNTA(E54:M54)=0,"",IF(COUNTIF(E54:M54,"L")&gt;=2,"CAP AT BUY","OK"))</f>
        <v/>
      </c>
      <c r="AL54" s="119"/>
      <c r="AM54" s="119"/>
      <c r="AN54" s="115"/>
      <c r="AO54" s="93"/>
      <c r="AP54" s="115" t="str">
        <f aca="false">IF(OR(AN54="",AO54=""),"",IF(AN54&gt;AO54,"OK","LOW CONF"))</f>
        <v/>
      </c>
      <c r="AQ54" s="115"/>
      <c r="AR54" s="93"/>
      <c r="AS54" s="125" t="str">
        <f aca="false">IF(OR(AQ54="",AR54=""),"",IF(AQ54&lt;AR54,"Decreased",IF(AQ54&gt;AR54,"Increased","Flat")))</f>
        <v/>
      </c>
    </row>
    <row r="55" customFormat="false" ht="15" hidden="false" customHeight="true" outlineLevel="0" collapsed="false">
      <c r="A55" s="62"/>
      <c r="B55" s="113"/>
      <c r="C55" s="115"/>
      <c r="D55" s="115"/>
      <c r="E55" s="115"/>
      <c r="F55" s="115"/>
      <c r="G55" s="115"/>
      <c r="H55" s="115"/>
      <c r="I55" s="115"/>
      <c r="J55" s="115"/>
      <c r="K55" s="115"/>
      <c r="L55" s="115"/>
      <c r="M55" s="115"/>
      <c r="N55" s="116" t="str">
        <f aca="false">IF(COUNT(D55,F55,H55,J55,L55)=0,"",(D55*0.2+F55*0.15+H55*0.15+J55*0.1+L55*0.1)/(IF(D55&lt;&gt;"",0.2,0)+IF(F55&lt;&gt;"",0.15,0)+IF(H55&lt;&gt;"",0.15,0)+IF(J55&lt;&gt;"",0.1,0)+IF(L55&lt;&gt;"",0.1,0)))</f>
        <v/>
      </c>
      <c r="O55" s="93" t="str">
        <f aca="false">IF(COUNT(D55,F55,H55,J55,L55)=0,"",D55*0.2+F55*0.15+H55*0.15+J55*0.1+L55*0.1)</f>
        <v/>
      </c>
      <c r="P55" s="115"/>
      <c r="Q55" s="115"/>
      <c r="R55" s="115"/>
      <c r="S55" s="115"/>
      <c r="T55" s="115"/>
      <c r="U55" s="115"/>
      <c r="V55" s="115"/>
      <c r="W55" s="115"/>
      <c r="X55" s="65" t="str">
        <f aca="false">IF(COUNT(P55,R55,T55,V55)=0,"",P55*0.08+R55*0.06+T55*0.03+V55*0.08)</f>
        <v/>
      </c>
      <c r="Y55" s="115"/>
      <c r="Z55" s="115"/>
      <c r="AA55" s="115"/>
      <c r="AB55" s="115"/>
      <c r="AC55" s="115"/>
      <c r="AD55" s="115"/>
      <c r="AE55" s="65" t="str">
        <f aca="false">IF(COUNT(Y55,AA55,AC55)=0,"",Y55*0.02+AA55*0.02+AC55*0.01)</f>
        <v/>
      </c>
      <c r="AF55" s="93" t="str">
        <f aca="false">IF(OR(COUNT(D55,F55,H55,J55,L55)&lt;5,COUNT(P55,R55,T55,V55)&lt;4,COUNT(Y55,AA55,AC55)&lt;3),"",(O55+X55+AE55)*20)</f>
        <v/>
      </c>
      <c r="AG55" s="93" t="str">
        <f aca="false">IF(AF55="","",IF(AF55&gt;=80,"STRONG BUY",IF(AF55&gt;=65,"BUY",IF(AF55&gt;=50,"WATCH LIST",IF(AF55&gt;=35,"AVOID","PASS")))))</f>
        <v/>
      </c>
      <c r="AH55" s="93" t="str">
        <f aca="false">IF(N55="","",IF(N55&lt;3,"FAIL","OK"))</f>
        <v/>
      </c>
      <c r="AI55" s="93" t="str">
        <f aca="false">IF(COUNT(D55:L55)=0,"",IF(COUNTIF(D55:L55,1)&gt;0,"REVIEW","OK"))</f>
        <v/>
      </c>
      <c r="AJ55" s="93" t="str">
        <f aca="false">IF(COUNT(D55:L55)=0,"",IF(COUNTIF(D55:L55,"&lt;=2")&gt;=2,"AVOID","OK"))</f>
        <v/>
      </c>
      <c r="AK55" s="93" t="str">
        <f aca="false">IF(COUNTA(E55:M55)=0,"",IF(COUNTIF(E55:M55,"L")&gt;=2,"CAP AT BUY","OK"))</f>
        <v/>
      </c>
      <c r="AL55" s="119"/>
      <c r="AM55" s="119"/>
      <c r="AN55" s="115"/>
      <c r="AO55" s="93"/>
      <c r="AP55" s="115" t="str">
        <f aca="false">IF(OR(AN55="",AO55=""),"",IF(AN55&gt;AO55,"OK","LOW CONF"))</f>
        <v/>
      </c>
      <c r="AQ55" s="115"/>
      <c r="AR55" s="93"/>
      <c r="AS55" s="125" t="str">
        <f aca="false">IF(OR(AQ55="",AR55=""),"",IF(AQ55&lt;AR55,"Decreased",IF(AQ55&gt;AR55,"Increased","Flat")))</f>
        <v/>
      </c>
    </row>
    <row r="56" customFormat="false" ht="15" hidden="false" customHeight="true" outlineLevel="0" collapsed="false">
      <c r="A56" s="62"/>
      <c r="B56" s="113"/>
      <c r="C56" s="115"/>
      <c r="D56" s="115"/>
      <c r="E56" s="115"/>
      <c r="F56" s="115"/>
      <c r="G56" s="115"/>
      <c r="H56" s="115"/>
      <c r="I56" s="115"/>
      <c r="J56" s="115"/>
      <c r="K56" s="115"/>
      <c r="L56" s="115"/>
      <c r="M56" s="115"/>
      <c r="N56" s="116" t="str">
        <f aca="false">IF(COUNT(D56,F56,H56,J56,L56)=0,"",(D56*0.2+F56*0.15+H56*0.15+J56*0.1+L56*0.1)/(IF(D56&lt;&gt;"",0.2,0)+IF(F56&lt;&gt;"",0.15,0)+IF(H56&lt;&gt;"",0.15,0)+IF(J56&lt;&gt;"",0.1,0)+IF(L56&lt;&gt;"",0.1,0)))</f>
        <v/>
      </c>
      <c r="O56" s="93" t="str">
        <f aca="false">IF(COUNT(D56,F56,H56,J56,L56)=0,"",D56*0.2+F56*0.15+H56*0.15+J56*0.1+L56*0.1)</f>
        <v/>
      </c>
      <c r="P56" s="115"/>
      <c r="Q56" s="115"/>
      <c r="R56" s="115"/>
      <c r="S56" s="115"/>
      <c r="T56" s="115"/>
      <c r="U56" s="115"/>
      <c r="V56" s="115"/>
      <c r="W56" s="115"/>
      <c r="X56" s="65" t="str">
        <f aca="false">IF(COUNT(P56,R56,T56,V56)=0,"",P56*0.08+R56*0.06+T56*0.03+V56*0.08)</f>
        <v/>
      </c>
      <c r="Y56" s="115"/>
      <c r="Z56" s="115"/>
      <c r="AA56" s="115"/>
      <c r="AB56" s="115"/>
      <c r="AC56" s="115"/>
      <c r="AD56" s="115"/>
      <c r="AE56" s="65" t="str">
        <f aca="false">IF(COUNT(Y56,AA56,AC56)=0,"",Y56*0.02+AA56*0.02+AC56*0.01)</f>
        <v/>
      </c>
      <c r="AF56" s="93" t="str">
        <f aca="false">IF(OR(COUNT(D56,F56,H56,J56,L56)&lt;5,COUNT(P56,R56,T56,V56)&lt;4,COUNT(Y56,AA56,AC56)&lt;3),"",(O56+X56+AE56)*20)</f>
        <v/>
      </c>
      <c r="AG56" s="93" t="str">
        <f aca="false">IF(AF56="","",IF(AF56&gt;=80,"STRONG BUY",IF(AF56&gt;=65,"BUY",IF(AF56&gt;=50,"WATCH LIST",IF(AF56&gt;=35,"AVOID","PASS")))))</f>
        <v/>
      </c>
      <c r="AH56" s="93" t="str">
        <f aca="false">IF(N56="","",IF(N56&lt;3,"FAIL","OK"))</f>
        <v/>
      </c>
      <c r="AI56" s="93" t="str">
        <f aca="false">IF(COUNT(D56:L56)=0,"",IF(COUNTIF(D56:L56,1)&gt;0,"REVIEW","OK"))</f>
        <v/>
      </c>
      <c r="AJ56" s="93" t="str">
        <f aca="false">IF(COUNT(D56:L56)=0,"",IF(COUNTIF(D56:L56,"&lt;=2")&gt;=2,"AVOID","OK"))</f>
        <v/>
      </c>
      <c r="AK56" s="93" t="str">
        <f aca="false">IF(COUNTA(E56:M56)=0,"",IF(COUNTIF(E56:M56,"L")&gt;=2,"CAP AT BUY","OK"))</f>
        <v/>
      </c>
      <c r="AL56" s="119"/>
      <c r="AM56" s="119"/>
      <c r="AN56" s="115"/>
      <c r="AO56" s="93"/>
      <c r="AP56" s="115" t="str">
        <f aca="false">IF(OR(AN56="",AO56=""),"",IF(AN56&gt;AO56,"OK","LOW CONF"))</f>
        <v/>
      </c>
      <c r="AQ56" s="115"/>
      <c r="AR56" s="93"/>
      <c r="AS56" s="125" t="str">
        <f aca="false">IF(OR(AQ56="",AR56=""),"",IF(AQ56&lt;AR56,"Decreased",IF(AQ56&gt;AR56,"Increased","Flat")))</f>
        <v/>
      </c>
    </row>
    <row r="57" customFormat="false" ht="15" hidden="false" customHeight="true" outlineLevel="0" collapsed="false">
      <c r="A57" s="62"/>
      <c r="B57" s="113"/>
      <c r="C57" s="115"/>
      <c r="D57" s="115"/>
      <c r="E57" s="115"/>
      <c r="F57" s="115"/>
      <c r="G57" s="115"/>
      <c r="H57" s="115"/>
      <c r="I57" s="115"/>
      <c r="J57" s="115"/>
      <c r="K57" s="115"/>
      <c r="L57" s="115"/>
      <c r="M57" s="115"/>
      <c r="N57" s="116" t="str">
        <f aca="false">IF(COUNT(D57,F57,H57,J57,L57)=0,"",(D57*0.2+F57*0.15+H57*0.15+J57*0.1+L57*0.1)/(IF(D57&lt;&gt;"",0.2,0)+IF(F57&lt;&gt;"",0.15,0)+IF(H57&lt;&gt;"",0.15,0)+IF(J57&lt;&gt;"",0.1,0)+IF(L57&lt;&gt;"",0.1,0)))</f>
        <v/>
      </c>
      <c r="O57" s="93" t="str">
        <f aca="false">IF(COUNT(D57,F57,H57,J57,L57)=0,"",D57*0.2+F57*0.15+H57*0.15+J57*0.1+L57*0.1)</f>
        <v/>
      </c>
      <c r="P57" s="115"/>
      <c r="Q57" s="115"/>
      <c r="R57" s="115"/>
      <c r="S57" s="115"/>
      <c r="T57" s="115"/>
      <c r="U57" s="115"/>
      <c r="V57" s="115"/>
      <c r="W57" s="115"/>
      <c r="X57" s="65" t="str">
        <f aca="false">IF(COUNT(P57,R57,T57,V57)=0,"",P57*0.08+R57*0.06+T57*0.03+V57*0.08)</f>
        <v/>
      </c>
      <c r="Y57" s="115"/>
      <c r="Z57" s="115"/>
      <c r="AA57" s="115"/>
      <c r="AB57" s="115"/>
      <c r="AC57" s="115"/>
      <c r="AD57" s="115"/>
      <c r="AE57" s="65" t="str">
        <f aca="false">IF(COUNT(Y57,AA57,AC57)=0,"",Y57*0.02+AA57*0.02+AC57*0.01)</f>
        <v/>
      </c>
      <c r="AF57" s="93" t="str">
        <f aca="false">IF(OR(COUNT(D57,F57,H57,J57,L57)&lt;5,COUNT(P57,R57,T57,V57)&lt;4,COUNT(Y57,AA57,AC57)&lt;3),"",(O57+X57+AE57)*20)</f>
        <v/>
      </c>
      <c r="AG57" s="93" t="str">
        <f aca="false">IF(AF57="","",IF(AF57&gt;=80,"STRONG BUY",IF(AF57&gt;=65,"BUY",IF(AF57&gt;=50,"WATCH LIST",IF(AF57&gt;=35,"AVOID","PASS")))))</f>
        <v/>
      </c>
      <c r="AH57" s="93" t="str">
        <f aca="false">IF(N57="","",IF(N57&lt;3,"FAIL","OK"))</f>
        <v/>
      </c>
      <c r="AI57" s="93" t="str">
        <f aca="false">IF(COUNT(D57:L57)=0,"",IF(COUNTIF(D57:L57,1)&gt;0,"REVIEW","OK"))</f>
        <v/>
      </c>
      <c r="AJ57" s="93" t="str">
        <f aca="false">IF(COUNT(D57:L57)=0,"",IF(COUNTIF(D57:L57,"&lt;=2")&gt;=2,"AVOID","OK"))</f>
        <v/>
      </c>
      <c r="AK57" s="93" t="str">
        <f aca="false">IF(COUNTA(E57:M57)=0,"",IF(COUNTIF(E57:M57,"L")&gt;=2,"CAP AT BUY","OK"))</f>
        <v/>
      </c>
      <c r="AL57" s="119"/>
      <c r="AM57" s="119"/>
      <c r="AN57" s="115"/>
      <c r="AO57" s="93"/>
      <c r="AP57" s="115" t="str">
        <f aca="false">IF(OR(AN57="",AO57=""),"",IF(AN57&gt;AO57,"OK","LOW CONF"))</f>
        <v/>
      </c>
      <c r="AQ57" s="115"/>
      <c r="AR57" s="93"/>
      <c r="AS57" s="125" t="str">
        <f aca="false">IF(OR(AQ57="",AR57=""),"",IF(AQ57&lt;AR57,"Decreased",IF(AQ57&gt;AR57,"Increased","Flat")))</f>
        <v/>
      </c>
    </row>
    <row r="58" customFormat="false" ht="15" hidden="false" customHeight="true" outlineLevel="0" collapsed="false">
      <c r="A58" s="62"/>
      <c r="B58" s="113"/>
      <c r="C58" s="115"/>
      <c r="D58" s="115"/>
      <c r="E58" s="115"/>
      <c r="F58" s="115"/>
      <c r="G58" s="115"/>
      <c r="H58" s="115"/>
      <c r="I58" s="115"/>
      <c r="J58" s="115"/>
      <c r="K58" s="115"/>
      <c r="L58" s="115"/>
      <c r="M58" s="115"/>
      <c r="N58" s="116" t="str">
        <f aca="false">IF(COUNT(D58,F58,H58,J58,L58)=0,"",(D58*0.2+F58*0.15+H58*0.15+J58*0.1+L58*0.1)/(IF(D58&lt;&gt;"",0.2,0)+IF(F58&lt;&gt;"",0.15,0)+IF(H58&lt;&gt;"",0.15,0)+IF(J58&lt;&gt;"",0.1,0)+IF(L58&lt;&gt;"",0.1,0)))</f>
        <v/>
      </c>
      <c r="O58" s="93" t="str">
        <f aca="false">IF(COUNT(D58,F58,H58,J58,L58)=0,"",D58*0.2+F58*0.15+H58*0.15+J58*0.1+L58*0.1)</f>
        <v/>
      </c>
      <c r="P58" s="115"/>
      <c r="Q58" s="115"/>
      <c r="R58" s="115"/>
      <c r="S58" s="115"/>
      <c r="T58" s="115"/>
      <c r="U58" s="115"/>
      <c r="V58" s="115"/>
      <c r="W58" s="115"/>
      <c r="X58" s="65" t="str">
        <f aca="false">IF(COUNT(P58,R58,T58,V58)=0,"",P58*0.08+R58*0.06+T58*0.03+V58*0.08)</f>
        <v/>
      </c>
      <c r="Y58" s="115"/>
      <c r="Z58" s="115"/>
      <c r="AA58" s="115"/>
      <c r="AB58" s="115"/>
      <c r="AC58" s="115"/>
      <c r="AD58" s="115"/>
      <c r="AE58" s="65" t="str">
        <f aca="false">IF(COUNT(Y58,AA58,AC58)=0,"",Y58*0.02+AA58*0.02+AC58*0.01)</f>
        <v/>
      </c>
      <c r="AF58" s="93" t="str">
        <f aca="false">IF(OR(COUNT(D58,F58,H58,J58,L58)&lt;5,COUNT(P58,R58,T58,V58)&lt;4,COUNT(Y58,AA58,AC58)&lt;3),"",(O58+X58+AE58)*20)</f>
        <v/>
      </c>
      <c r="AG58" s="93" t="str">
        <f aca="false">IF(AF58="","",IF(AF58&gt;=80,"STRONG BUY",IF(AF58&gt;=65,"BUY",IF(AF58&gt;=50,"WATCH LIST",IF(AF58&gt;=35,"AVOID","PASS")))))</f>
        <v/>
      </c>
      <c r="AH58" s="93" t="str">
        <f aca="false">IF(N58="","",IF(N58&lt;3,"FAIL","OK"))</f>
        <v/>
      </c>
      <c r="AI58" s="93" t="str">
        <f aca="false">IF(COUNT(D58:L58)=0,"",IF(COUNTIF(D58:L58,1)&gt;0,"REVIEW","OK"))</f>
        <v/>
      </c>
      <c r="AJ58" s="93" t="str">
        <f aca="false">IF(COUNT(D58:L58)=0,"",IF(COUNTIF(D58:L58,"&lt;=2")&gt;=2,"AVOID","OK"))</f>
        <v/>
      </c>
      <c r="AK58" s="93" t="str">
        <f aca="false">IF(COUNTA(E58:M58)=0,"",IF(COUNTIF(E58:M58,"L")&gt;=2,"CAP AT BUY","OK"))</f>
        <v/>
      </c>
      <c r="AL58" s="119"/>
      <c r="AM58" s="119"/>
      <c r="AN58" s="115"/>
      <c r="AO58" s="93"/>
      <c r="AP58" s="115" t="str">
        <f aca="false">IF(OR(AN58="",AO58=""),"",IF(AN58&gt;AO58,"OK","LOW CONF"))</f>
        <v/>
      </c>
      <c r="AQ58" s="115"/>
      <c r="AR58" s="93"/>
      <c r="AS58" s="125" t="str">
        <f aca="false">IF(OR(AQ58="",AR58=""),"",IF(AQ58&lt;AR58,"Decreased",IF(AQ58&gt;AR58,"Increased","Flat")))</f>
        <v/>
      </c>
    </row>
    <row r="59" customFormat="false" ht="15" hidden="false" customHeight="true" outlineLevel="0" collapsed="false">
      <c r="A59" s="62"/>
      <c r="B59" s="113"/>
      <c r="C59" s="115"/>
      <c r="D59" s="115"/>
      <c r="E59" s="115"/>
      <c r="F59" s="115"/>
      <c r="G59" s="115"/>
      <c r="H59" s="115"/>
      <c r="I59" s="115"/>
      <c r="J59" s="115"/>
      <c r="K59" s="115"/>
      <c r="L59" s="115"/>
      <c r="M59" s="115"/>
      <c r="N59" s="116" t="str">
        <f aca="false">IF(COUNT(D59,F59,H59,J59,L59)=0,"",(D59*0.2+F59*0.15+H59*0.15+J59*0.1+L59*0.1)/(IF(D59&lt;&gt;"",0.2,0)+IF(F59&lt;&gt;"",0.15,0)+IF(H59&lt;&gt;"",0.15,0)+IF(J59&lt;&gt;"",0.1,0)+IF(L59&lt;&gt;"",0.1,0)))</f>
        <v/>
      </c>
      <c r="O59" s="93" t="str">
        <f aca="false">IF(COUNT(D59,F59,H59,J59,L59)=0,"",D59*0.2+F59*0.15+H59*0.15+J59*0.1+L59*0.1)</f>
        <v/>
      </c>
      <c r="P59" s="115"/>
      <c r="Q59" s="115"/>
      <c r="R59" s="115"/>
      <c r="S59" s="115"/>
      <c r="T59" s="115"/>
      <c r="U59" s="115"/>
      <c r="V59" s="115"/>
      <c r="W59" s="115"/>
      <c r="X59" s="65" t="str">
        <f aca="false">IF(COUNT(P59,R59,T59,V59)=0,"",P59*0.08+R59*0.06+T59*0.03+V59*0.08)</f>
        <v/>
      </c>
      <c r="Y59" s="115"/>
      <c r="Z59" s="115"/>
      <c r="AA59" s="115"/>
      <c r="AB59" s="115"/>
      <c r="AC59" s="115"/>
      <c r="AD59" s="115"/>
      <c r="AE59" s="65" t="str">
        <f aca="false">IF(COUNT(Y59,AA59,AC59)=0,"",Y59*0.02+AA59*0.02+AC59*0.01)</f>
        <v/>
      </c>
      <c r="AF59" s="93" t="str">
        <f aca="false">IF(OR(COUNT(D59,F59,H59,J59,L59)&lt;5,COUNT(P59,R59,T59,V59)&lt;4,COUNT(Y59,AA59,AC59)&lt;3),"",(O59+X59+AE59)*20)</f>
        <v/>
      </c>
      <c r="AG59" s="93" t="str">
        <f aca="false">IF(AF59="","",IF(AF59&gt;=80,"STRONG BUY",IF(AF59&gt;=65,"BUY",IF(AF59&gt;=50,"WATCH LIST",IF(AF59&gt;=35,"AVOID","PASS")))))</f>
        <v/>
      </c>
      <c r="AH59" s="93" t="str">
        <f aca="false">IF(N59="","",IF(N59&lt;3,"FAIL","OK"))</f>
        <v/>
      </c>
      <c r="AI59" s="93" t="str">
        <f aca="false">IF(COUNT(D59:L59)=0,"",IF(COUNTIF(D59:L59,1)&gt;0,"REVIEW","OK"))</f>
        <v/>
      </c>
      <c r="AJ59" s="93" t="str">
        <f aca="false">IF(COUNT(D59:L59)=0,"",IF(COUNTIF(D59:L59,"&lt;=2")&gt;=2,"AVOID","OK"))</f>
        <v/>
      </c>
      <c r="AK59" s="93" t="str">
        <f aca="false">IF(COUNTA(E59:M59)=0,"",IF(COUNTIF(E59:M59,"L")&gt;=2,"CAP AT BUY","OK"))</f>
        <v/>
      </c>
      <c r="AL59" s="119"/>
      <c r="AM59" s="119"/>
      <c r="AN59" s="115"/>
      <c r="AO59" s="93"/>
      <c r="AP59" s="115" t="str">
        <f aca="false">IF(OR(AN59="",AO59=""),"",IF(AN59&gt;AO59,"OK","LOW CONF"))</f>
        <v/>
      </c>
      <c r="AQ59" s="115"/>
      <c r="AR59" s="93"/>
      <c r="AS59" s="125" t="str">
        <f aca="false">IF(OR(AQ59="",AR59=""),"",IF(AQ59&lt;AR59,"Decreased",IF(AQ59&gt;AR59,"Increased","Flat")))</f>
        <v/>
      </c>
    </row>
    <row r="60" customFormat="false" ht="15" hidden="false" customHeight="true" outlineLevel="0" collapsed="false">
      <c r="A60" s="62"/>
      <c r="B60" s="113"/>
      <c r="C60" s="115"/>
      <c r="D60" s="115"/>
      <c r="E60" s="115"/>
      <c r="F60" s="115"/>
      <c r="G60" s="115"/>
      <c r="H60" s="115"/>
      <c r="I60" s="115"/>
      <c r="J60" s="115"/>
      <c r="K60" s="115"/>
      <c r="L60" s="115"/>
      <c r="M60" s="115"/>
      <c r="N60" s="116" t="str">
        <f aca="false">IF(COUNT(D60,F60,H60,J60,L60)=0,"",(D60*0.2+F60*0.15+H60*0.15+J60*0.1+L60*0.1)/(IF(D60&lt;&gt;"",0.2,0)+IF(F60&lt;&gt;"",0.15,0)+IF(H60&lt;&gt;"",0.15,0)+IF(J60&lt;&gt;"",0.1,0)+IF(L60&lt;&gt;"",0.1,0)))</f>
        <v/>
      </c>
      <c r="O60" s="93" t="str">
        <f aca="false">IF(COUNT(D60,F60,H60,J60,L60)=0,"",D60*0.2+F60*0.15+H60*0.15+J60*0.1+L60*0.1)</f>
        <v/>
      </c>
      <c r="P60" s="115"/>
      <c r="Q60" s="115"/>
      <c r="R60" s="115"/>
      <c r="S60" s="115"/>
      <c r="T60" s="115"/>
      <c r="U60" s="115"/>
      <c r="V60" s="115"/>
      <c r="W60" s="115"/>
      <c r="X60" s="65" t="str">
        <f aca="false">IF(COUNT(P60,R60,T60,V60)=0,"",P60*0.08+R60*0.06+T60*0.03+V60*0.08)</f>
        <v/>
      </c>
      <c r="Y60" s="115"/>
      <c r="Z60" s="115"/>
      <c r="AA60" s="115"/>
      <c r="AB60" s="115"/>
      <c r="AC60" s="115"/>
      <c r="AD60" s="115"/>
      <c r="AE60" s="65" t="str">
        <f aca="false">IF(COUNT(Y60,AA60,AC60)=0,"",Y60*0.02+AA60*0.02+AC60*0.01)</f>
        <v/>
      </c>
      <c r="AF60" s="93" t="str">
        <f aca="false">IF(OR(COUNT(D60,F60,H60,J60,L60)&lt;5,COUNT(P60,R60,T60,V60)&lt;4,COUNT(Y60,AA60,AC60)&lt;3),"",(O60+X60+AE60)*20)</f>
        <v/>
      </c>
      <c r="AG60" s="93" t="str">
        <f aca="false">IF(AF60="","",IF(AF60&gt;=80,"STRONG BUY",IF(AF60&gt;=65,"BUY",IF(AF60&gt;=50,"WATCH LIST",IF(AF60&gt;=35,"AVOID","PASS")))))</f>
        <v/>
      </c>
      <c r="AH60" s="93" t="str">
        <f aca="false">IF(N60="","",IF(N60&lt;3,"FAIL","OK"))</f>
        <v/>
      </c>
      <c r="AI60" s="93" t="str">
        <f aca="false">IF(COUNT(D60:L60)=0,"",IF(COUNTIF(D60:L60,1)&gt;0,"REVIEW","OK"))</f>
        <v/>
      </c>
      <c r="AJ60" s="93" t="str">
        <f aca="false">IF(COUNT(D60:L60)=0,"",IF(COUNTIF(D60:L60,"&lt;=2")&gt;=2,"AVOID","OK"))</f>
        <v/>
      </c>
      <c r="AK60" s="93" t="str">
        <f aca="false">IF(COUNTA(E60:M60)=0,"",IF(COUNTIF(E60:M60,"L")&gt;=2,"CAP AT BUY","OK"))</f>
        <v/>
      </c>
      <c r="AL60" s="119"/>
      <c r="AM60" s="119"/>
      <c r="AN60" s="115"/>
      <c r="AO60" s="93"/>
      <c r="AP60" s="115" t="str">
        <f aca="false">IF(OR(AN60="",AO60=""),"",IF(AN60&gt;AO60,"OK","LOW CONF"))</f>
        <v/>
      </c>
      <c r="AQ60" s="115"/>
      <c r="AR60" s="93"/>
      <c r="AS60" s="125" t="str">
        <f aca="false">IF(OR(AQ60="",AR60=""),"",IF(AQ60&lt;AR60,"Decreased",IF(AQ60&gt;AR60,"Increased","Flat")))</f>
        <v/>
      </c>
    </row>
    <row r="61" customFormat="false" ht="13.5" hidden="false" customHeight="true" outlineLevel="0" collapsed="false">
      <c r="AM61" s="126"/>
    </row>
    <row r="62" customFormat="false" ht="15.75" hidden="false" customHeight="true" outlineLevel="0" collapsed="false">
      <c r="A62" s="127" t="n">
        <f aca="false">SUBTOTAL(103,A3:A60)</f>
        <v>29</v>
      </c>
      <c r="B62" s="104" t="s">
        <v>289</v>
      </c>
    </row>
    <row r="63" customFormat="false" ht="13.5" hidden="false" customHeight="true" outlineLevel="0" collapsed="false">
      <c r="A63" s="1"/>
      <c r="C63" s="128"/>
      <c r="D63" s="1"/>
      <c r="E63" s="1"/>
      <c r="F63" s="1"/>
      <c r="G63" s="1"/>
      <c r="H63" s="1"/>
      <c r="I63" s="1"/>
      <c r="J63" s="1"/>
      <c r="K63" s="1"/>
      <c r="L63" s="1"/>
      <c r="M63" s="1"/>
      <c r="R63" s="1"/>
      <c r="S63" s="1"/>
      <c r="T63" s="1"/>
      <c r="U63" s="1"/>
      <c r="V63" s="1"/>
      <c r="W63" s="1"/>
      <c r="Y63" s="1"/>
      <c r="Z63" s="1"/>
      <c r="AA63" s="1"/>
      <c r="AB63" s="1"/>
      <c r="AC63" s="1"/>
      <c r="AD63" s="1"/>
    </row>
    <row r="64" customFormat="false" ht="13.5" hidden="false" customHeight="true" outlineLevel="0" collapsed="false">
      <c r="A64" s="1"/>
      <c r="C64" s="128"/>
      <c r="D64" s="1"/>
      <c r="E64" s="1"/>
      <c r="F64" s="1"/>
      <c r="G64" s="1"/>
      <c r="H64" s="1"/>
      <c r="I64" s="1"/>
      <c r="J64" s="1"/>
      <c r="K64" s="1"/>
      <c r="L64" s="1"/>
      <c r="M64" s="1"/>
      <c r="R64" s="1"/>
      <c r="S64" s="1"/>
      <c r="T64" s="1"/>
      <c r="U64" s="1"/>
      <c r="V64" s="1"/>
      <c r="W64" s="1"/>
      <c r="Y64" s="1"/>
      <c r="Z64" s="1"/>
      <c r="AA64" s="1"/>
      <c r="AB64" s="1"/>
      <c r="AC64" s="1"/>
      <c r="AD64" s="1"/>
    </row>
  </sheetData>
  <autoFilter ref="A2:AS62"/>
  <mergeCells count="6">
    <mergeCell ref="D1:O1"/>
    <mergeCell ref="P1:X1"/>
    <mergeCell ref="Y1:AE1"/>
    <mergeCell ref="AH1:AK1"/>
    <mergeCell ref="AL1:AM1"/>
    <mergeCell ref="AN1:AS1"/>
  </mergeCells>
  <conditionalFormatting sqref="AG3:AG60">
    <cfRule type="cellIs" priority="2" operator="equal" aboveAverage="0" equalAverage="0" bottom="0" percent="0" rank="0" text="" dxfId="17">
      <formula>"STRONG BUY"</formula>
    </cfRule>
    <cfRule type="cellIs" priority="3" operator="equal" aboveAverage="0" equalAverage="0" bottom="0" percent="0" rank="0" text="" dxfId="18">
      <formula>"BUY"</formula>
    </cfRule>
    <cfRule type="cellIs" priority="4" operator="equal" aboveAverage="0" equalAverage="0" bottom="0" percent="0" rank="0" text="" dxfId="19">
      <formula>"WATCH LIST"</formula>
    </cfRule>
    <cfRule type="cellIs" priority="5" operator="equal" aboveAverage="0" equalAverage="0" bottom="0" percent="0" rank="0" text="" dxfId="20">
      <formula>"AVOID"</formula>
    </cfRule>
    <cfRule type="cellIs" priority="6" operator="equal" aboveAverage="0" equalAverage="0" bottom="0" percent="0" rank="0" text="" dxfId="0">
      <formula>"PASS"</formula>
    </cfRule>
  </conditionalFormatting>
  <conditionalFormatting sqref="AH3:AH60">
    <cfRule type="cellIs" priority="7" operator="equal" aboveAverage="0" equalAverage="0" bottom="0" percent="0" rank="0" text="" dxfId="0">
      <formula>"FAIL"</formula>
    </cfRule>
    <cfRule type="cellIs" priority="8" operator="equal" aboveAverage="0" equalAverage="0" bottom="0" percent="0" rank="0" text="" dxfId="21">
      <formula>"OK"</formula>
    </cfRule>
  </conditionalFormatting>
  <conditionalFormatting sqref="AJ3:AJ60">
    <cfRule type="cellIs" priority="9" operator="equal" aboveAverage="0" equalAverage="0" bottom="0" percent="0" rank="0" text="" dxfId="0">
      <formula>"AVOID"</formula>
    </cfRule>
    <cfRule type="cellIs" priority="10" operator="equal" aboveAverage="0" equalAverage="0" bottom="0" percent="0" rank="0" text="" dxfId="21">
      <formula>"OK"</formula>
    </cfRule>
  </conditionalFormatting>
  <conditionalFormatting sqref="AI3:AI60">
    <cfRule type="cellIs" priority="11" operator="equal" aboveAverage="0" equalAverage="0" bottom="0" percent="0" rank="0" text="" dxfId="19">
      <formula>"REVIEW"</formula>
    </cfRule>
  </conditionalFormatting>
  <conditionalFormatting sqref="AK3:AK60">
    <cfRule type="cellIs" priority="12" operator="equal" aboveAverage="0" equalAverage="0" bottom="0" percent="0" rank="0" text="" dxfId="19">
      <formula>"CAP AT BUY"</formula>
    </cfRule>
  </conditionalFormatting>
  <conditionalFormatting sqref="N3:N60">
    <cfRule type="cellIs" priority="13" operator="greaterThanOrEqual" aboveAverage="0" equalAverage="0" bottom="0" percent="0" rank="0" text="" dxfId="21">
      <formula>3</formula>
    </cfRule>
  </conditionalFormatting>
  <conditionalFormatting sqref="AP3:AP60">
    <cfRule type="cellIs" priority="14" operator="equal" aboveAverage="0" equalAverage="0" bottom="0" percent="0" rank="0" text="" dxfId="19">
      <formula>"LOW CONF"</formula>
    </cfRule>
    <cfRule type="cellIs" priority="15" operator="equal" aboveAverage="0" equalAverage="0" bottom="0" percent="0" rank="0" text="" dxfId="21">
      <formula>"OK"</formula>
    </cfRule>
  </conditionalFormatting>
  <conditionalFormatting sqref="AS3:AS60">
    <cfRule type="cellIs" priority="16" operator="equal" aboveAverage="0" equalAverage="0" bottom="0" percent="0" rank="0" text="" dxfId="19">
      <formula>"Increased"</formula>
    </cfRule>
    <cfRule type="cellIs" priority="17" operator="equal" aboveAverage="0" equalAverage="0" bottom="0" percent="0" rank="0" text="" dxfId="21">
      <formula>"Decreased"</formula>
    </cfRule>
  </conditionalFormatting>
  <dataValidations count="2">
    <dataValidation allowBlank="true" errorStyle="stop" operator="between" showDropDown="false" showErrorMessage="false" showInputMessage="false" sqref="D3:D60 F3:F60 H3:H60 J3:J60 L3:L60 P3:P60 R3:R60 T3:T60 V3:V60 Y3:Y60 AA3:AA60 AC3:AC60" type="list">
      <formula1>"1,2,3,4,5"</formula1>
      <formula2>0</formula2>
    </dataValidation>
    <dataValidation allowBlank="true" errorStyle="stop" operator="between" showDropDown="false" showErrorMessage="false" showInputMessage="false" sqref="E3:E60 G3:G60 I3:I60 K3:K60 M3:M60 Q3:Q60 S3:S60 U3:U60 W3:W60 Z3:Z60 AB3:AB60 AD3:AD60" type="list">
      <formula1>"H,M,L"</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4" topLeftCell="G17" activePane="bottomRight" state="frozen"/>
      <selection pane="topLeft" activeCell="A1" activeCellId="0" sqref="A1"/>
      <selection pane="topRight" activeCell="G1" activeCellId="0" sqref="G1"/>
      <selection pane="bottomLeft" activeCell="A17" activeCellId="0" sqref="A17"/>
      <selection pane="bottomRight" activeCell="R9" activeCellId="0" sqref="R9"/>
    </sheetView>
  </sheetViews>
  <sheetFormatPr defaultColWidth="8.66796875" defaultRowHeight="14.25" customHeight="false" zeroHeight="false" outlineLevelRow="0" outlineLevelCol="0"/>
  <cols>
    <col collapsed="false" customWidth="true" hidden="false" outlineLevel="0" max="1" min="1" style="1" width="8"/>
    <col collapsed="false" customWidth="true" hidden="false" outlineLevel="0" max="2" min="2" style="1" width="24.78"/>
    <col collapsed="false" customWidth="true" hidden="false" outlineLevel="0" max="3" min="3" style="23" width="9"/>
    <col collapsed="false" customWidth="false" hidden="false" outlineLevel="0" max="5" min="4" style="23" width="8.67"/>
    <col collapsed="false" customWidth="true" hidden="false" outlineLevel="0" max="6" min="6" style="23" width="12.44"/>
    <col collapsed="false" customWidth="true" hidden="false" outlineLevel="0" max="7" min="7" style="23" width="13.34"/>
    <col collapsed="false" customWidth="true" hidden="false" outlineLevel="0" max="8" min="8" style="1" width="11.11"/>
    <col collapsed="false" customWidth="true" hidden="true" outlineLevel="0" max="9" min="9" style="23" width="10.88"/>
    <col collapsed="false" customWidth="true" hidden="false" outlineLevel="0" max="10" min="10" style="23" width="9"/>
    <col collapsed="false" customWidth="true" hidden="false" outlineLevel="0" max="11" min="11" style="23" width="8.56"/>
    <col collapsed="false" customWidth="true" hidden="false" outlineLevel="0" max="12" min="12" style="23" width="7.76"/>
    <col collapsed="false" customWidth="true" hidden="false" outlineLevel="0" max="13" min="13" style="23" width="6.77"/>
    <col collapsed="false" customWidth="true" hidden="false" outlineLevel="0" max="14" min="14" style="23" width="8"/>
    <col collapsed="false" customWidth="true" hidden="false" outlineLevel="0" max="15" min="15" style="23" width="7.44"/>
    <col collapsed="false" customWidth="true" hidden="false" outlineLevel="0" max="16" min="16" style="23" width="10.56"/>
    <col collapsed="false" customWidth="true" hidden="false" outlineLevel="0" max="18" min="18" style="1" width="28"/>
    <col collapsed="false" customWidth="true" hidden="false" outlineLevel="0" max="19" min="19" style="1" width="12.76"/>
  </cols>
  <sheetData>
    <row r="1" customFormat="false" ht="15" hidden="false" customHeight="true" outlineLevel="0" collapsed="false">
      <c r="A1" s="129" t="s">
        <v>406</v>
      </c>
      <c r="B1" s="129"/>
      <c r="C1" s="130"/>
      <c r="D1" s="130"/>
      <c r="E1" s="130"/>
      <c r="F1" s="130"/>
      <c r="G1" s="130"/>
      <c r="H1" s="129"/>
      <c r="I1" s="130"/>
      <c r="J1" s="130"/>
      <c r="K1" s="130"/>
      <c r="L1" s="130"/>
      <c r="M1" s="130"/>
      <c r="N1" s="130"/>
      <c r="O1" s="130"/>
      <c r="P1" s="130"/>
      <c r="Q1" s="129"/>
      <c r="R1" s="129"/>
      <c r="S1" s="129"/>
    </row>
    <row r="2" customFormat="false" ht="68.25" hidden="false" customHeight="true" outlineLevel="0" collapsed="false">
      <c r="A2" s="131" t="s">
        <v>81</v>
      </c>
      <c r="B2" s="131" t="s">
        <v>279</v>
      </c>
      <c r="C2" s="131" t="s">
        <v>407</v>
      </c>
      <c r="D2" s="131" t="s">
        <v>408</v>
      </c>
      <c r="E2" s="131" t="s">
        <v>409</v>
      </c>
      <c r="F2" s="131" t="s">
        <v>410</v>
      </c>
      <c r="G2" s="131" t="s">
        <v>411</v>
      </c>
      <c r="H2" s="131" t="s">
        <v>412</v>
      </c>
      <c r="I2" s="131" t="s">
        <v>413</v>
      </c>
      <c r="J2" s="131" t="s">
        <v>414</v>
      </c>
      <c r="K2" s="131" t="s">
        <v>415</v>
      </c>
      <c r="L2" s="131" t="s">
        <v>416</v>
      </c>
      <c r="M2" s="131" t="s">
        <v>417</v>
      </c>
      <c r="N2" s="131" t="s">
        <v>418</v>
      </c>
      <c r="O2" s="131" t="s">
        <v>419</v>
      </c>
      <c r="P2" s="131" t="s">
        <v>420</v>
      </c>
      <c r="Q2" s="131" t="s">
        <v>421</v>
      </c>
      <c r="R2" s="131" t="s">
        <v>422</v>
      </c>
      <c r="S2" s="131" t="s">
        <v>423</v>
      </c>
    </row>
    <row r="3" customFormat="false" ht="15" hidden="false" customHeight="true" outlineLevel="0" collapsed="false">
      <c r="A3" s="132" t="str">
        <f aca="false">IF(Scoring!A3="","",Scoring!A3)</f>
        <v>MU</v>
      </c>
      <c r="B3" s="132" t="str">
        <f aca="false">IF(Scoring!B3="","",Scoring!B3)</f>
        <v>Micron Technology</v>
      </c>
      <c r="C3" s="133" t="str">
        <f aca="false">IF(Scoring!AG3="","",IF(OR(Scoring!AG3="STRONG BUY",Scoring!AG3="BUY"),"PASS","FAIL"))</f>
        <v>PASS</v>
      </c>
      <c r="D3" s="133" t="str">
        <f aca="false">IF(Scoring!AH3="","",IF(Scoring!AH3="OK","PASS","FAIL"))</f>
        <v>PASS</v>
      </c>
      <c r="E3" s="133" t="str">
        <f aca="false">IF(Scoring!AI3="","",IF(Scoring!AI3="OK","PASS","FAIL — mandatory review required"))</f>
        <v>PASS</v>
      </c>
      <c r="F3" s="133"/>
      <c r="G3" s="133"/>
      <c r="H3" s="132" t="str">
        <f aca="false">IF(OR(F3="",G3=""),"",IF(AND(F3="Y",G3="Y"),"Standard initial size","50% of normal initial size + 90-day technical review"))</f>
        <v/>
      </c>
      <c r="I3" s="133"/>
      <c r="J3" s="133"/>
      <c r="K3" s="133" t="str">
        <f aca="false">IF(I3="","",IF(I3="N","PASS",IF(J3="Y","PASS — risk documented in thesis","FAIL — undocumented binary risk")))</f>
        <v/>
      </c>
      <c r="L3" s="133" t="str">
        <f aca="false">IF('Implied-Return Calculator'!S4="","",'Implied-Return Calculator'!S4)</f>
        <v/>
      </c>
      <c r="M3" s="133" t="str">
        <f aca="false">IF('Implied-Return Calculator'!T4="","",'Implied-Return Calculator'!T4)</f>
        <v/>
      </c>
      <c r="N3" s="133" t="str">
        <f aca="false">IF('Implied-Return Calculator'!U4="","",'Implied-Return Calculator'!U4)</f>
        <v/>
      </c>
      <c r="O3" s="133"/>
      <c r="P3" s="133"/>
      <c r="Q3" s="132" t="str">
        <f aca="false">IF(OR(N3="",O3=""),"",IF(N3&lt;=50,"PASS — within ceiling",IF(AND(O3&gt;0.3,L3="PASS"),"PASS — growth+bear case exception met","FAIL — exceeds 50x, exception not met")))</f>
        <v/>
      </c>
      <c r="R3" s="132" t="str">
        <f aca="false">IF(OR(C3="",D3="",E3="",K3="",L3="",M3="",N3="",Q3=""),"",IF(AND(C3="PASS",D3="PASS",LEFT(E3,4)="PASS",LEFT(K3,4)="PASS",L3="PASS",M3="PASS",N3="OK",LEFT(Q3,4)="PASS"),"YES","NO — see failing rule(s)"))</f>
        <v/>
      </c>
      <c r="S3" s="132" t="str">
        <f aca="false">IF(R3="","",IF(R3="YES","Initiate: "&amp;H3,"DO NOT ENTER — resolve failing Entry Rule(s) above first"))</f>
        <v/>
      </c>
    </row>
    <row r="4" customFormat="false" ht="15" hidden="false" customHeight="true" outlineLevel="0" collapsed="false">
      <c r="A4" s="132" t="str">
        <f aca="false">IF(Scoring!A4="","",Scoring!A4)</f>
        <v>AVGO</v>
      </c>
      <c r="B4" s="132" t="str">
        <f aca="false">IF(Scoring!B4="","",Scoring!B4)</f>
        <v>Broadcom Inc.</v>
      </c>
      <c r="C4" s="133" t="str">
        <f aca="false">IF(Scoring!AG4="","",IF(OR(Scoring!AG4="STRONG BUY",Scoring!AG4="BUY"),"PASS","FAIL"))</f>
        <v>PASS</v>
      </c>
      <c r="D4" s="133" t="str">
        <f aca="false">IF(Scoring!AH4="","",IF(Scoring!AH4="OK","PASS","FAIL"))</f>
        <v>PASS</v>
      </c>
      <c r="E4" s="133" t="str">
        <f aca="false">IF(Scoring!AI4="","",IF(Scoring!AI4="OK","PASS","FAIL — mandatory review required"))</f>
        <v>PASS</v>
      </c>
      <c r="F4" s="133"/>
      <c r="G4" s="133"/>
      <c r="H4" s="132" t="str">
        <f aca="false">IF(OR(F4="",G4=""),"",IF(AND(F4="Y",G4="Y"),"Standard initial size","50% of normal initial size + 90-day technical review"))</f>
        <v/>
      </c>
      <c r="I4" s="133"/>
      <c r="J4" s="133"/>
      <c r="K4" s="133" t="str">
        <f aca="false">IF(I4="","",IF(I4="N","PASS",IF(J4="Y","PASS — risk documented in thesis","FAIL — undocumented binary risk")))</f>
        <v/>
      </c>
      <c r="L4" s="133" t="str">
        <f aca="false">IF('Implied-Return Calculator'!S5="","",'Implied-Return Calculator'!S5)</f>
        <v/>
      </c>
      <c r="M4" s="133" t="str">
        <f aca="false">IF('Implied-Return Calculator'!T5="","",'Implied-Return Calculator'!T5)</f>
        <v/>
      </c>
      <c r="N4" s="133" t="str">
        <f aca="false">IF('Implied-Return Calculator'!U5="","",'Implied-Return Calculator'!U5)</f>
        <v/>
      </c>
      <c r="O4" s="133"/>
      <c r="P4" s="133"/>
      <c r="Q4" s="132" t="str">
        <f aca="false">IF(OR(N4="",O4=""),"",IF(N4&lt;=50,"PASS — within ceiling",IF(AND(O4&gt;0.3,L4="PASS"),"PASS — growth+bear case exception met","FAIL — exceeds 50x, exception not met")))</f>
        <v/>
      </c>
      <c r="R4" s="132" t="str">
        <f aca="false">IF(OR(C4="",D4="",E4="",K4="",L4="",M4="",N4="",Q4=""),"",IF(AND(C4="PASS",D4="PASS",LEFT(E4,4)="PASS",LEFT(K4,4)="PASS",L4="PASS",M4="PASS",N4="OK",LEFT(Q4,4)="PASS"),"YES","NO — see failing rule(s)"))</f>
        <v/>
      </c>
      <c r="S4" s="132" t="str">
        <f aca="false">IF(R4="","",IF(R4="YES","Initiate: "&amp;H4,"DO NOT ENTER — resolve failing Entry Rule(s) above first"))</f>
        <v/>
      </c>
    </row>
    <row r="5" customFormat="false" ht="15" hidden="false" customHeight="true" outlineLevel="0" collapsed="false">
      <c r="A5" s="132" t="str">
        <f aca="false">IF(Scoring!A5="","",Scoring!A5)</f>
        <v>PLTR</v>
      </c>
      <c r="B5" s="132" t="str">
        <f aca="false">IF(Scoring!B5="","",Scoring!B5)</f>
        <v>Palantir Technologies</v>
      </c>
      <c r="C5" s="133" t="str">
        <f aca="false">IF(Scoring!AG5="","",IF(OR(Scoring!AG5="STRONG BUY",Scoring!AG5="BUY"),"PASS","FAIL"))</f>
        <v>PASS</v>
      </c>
      <c r="D5" s="133" t="str">
        <f aca="false">IF(Scoring!AH5="","",IF(Scoring!AH5="OK","PASS","FAIL"))</f>
        <v>PASS</v>
      </c>
      <c r="E5" s="133" t="str">
        <f aca="false">IF(Scoring!AI5="","",IF(Scoring!AI5="OK","PASS","FAIL — mandatory review required"))</f>
        <v>PASS</v>
      </c>
      <c r="F5" s="133"/>
      <c r="G5" s="133"/>
      <c r="H5" s="132" t="str">
        <f aca="false">IF(OR(F5="",G5=""),"",IF(AND(F5="Y",G5="Y"),"Standard initial size","50% of normal initial size + 90-day technical review"))</f>
        <v/>
      </c>
      <c r="I5" s="133"/>
      <c r="J5" s="133"/>
      <c r="K5" s="133" t="str">
        <f aca="false">IF(I5="","",IF(I5="N","PASS",IF(J5="Y","PASS — risk documented in thesis","FAIL — undocumented binary risk")))</f>
        <v/>
      </c>
      <c r="L5" s="133" t="str">
        <f aca="false">IF('Implied-Return Calculator'!S6="","",'Implied-Return Calculator'!S6)</f>
        <v/>
      </c>
      <c r="M5" s="133" t="str">
        <f aca="false">IF('Implied-Return Calculator'!T6="","",'Implied-Return Calculator'!T6)</f>
        <v/>
      </c>
      <c r="N5" s="133" t="str">
        <f aca="false">IF('Implied-Return Calculator'!U6="","",'Implied-Return Calculator'!U6)</f>
        <v/>
      </c>
      <c r="O5" s="133"/>
      <c r="P5" s="133"/>
      <c r="Q5" s="132" t="str">
        <f aca="false">IF(OR(N5="",O5=""),"",IF(N5&lt;=50,"PASS — within ceiling",IF(AND(O5&gt;0.3,L5="PASS"),"PASS — growth+bear case exception met","FAIL — exceeds 50x, exception not met")))</f>
        <v/>
      </c>
      <c r="R5" s="132" t="str">
        <f aca="false">IF(OR(C5="",D5="",E5="",K5="",L5="",M5="",N5="",Q5=""),"",IF(AND(C5="PASS",D5="PASS",LEFT(E5,4)="PASS",LEFT(K5,4)="PASS",L5="PASS",M5="PASS",N5="OK",LEFT(Q5,4)="PASS"),"YES","NO — see failing rule(s)"))</f>
        <v/>
      </c>
      <c r="S5" s="132" t="str">
        <f aca="false">IF(R5="","",IF(R5="YES","Initiate: "&amp;H5,"DO NOT ENTER — resolve failing Entry Rule(s) above first"))</f>
        <v/>
      </c>
    </row>
    <row r="6" customFormat="false" ht="15" hidden="false" customHeight="true" outlineLevel="0" collapsed="false">
      <c r="A6" s="132" t="str">
        <f aca="false">IF(Scoring!A6="","",Scoring!A6)</f>
        <v>NVDA</v>
      </c>
      <c r="B6" s="132" t="str">
        <f aca="false">IF(Scoring!B6="","",Scoring!B6)</f>
        <v>NVIDIA Corporation</v>
      </c>
      <c r="C6" s="133" t="str">
        <f aca="false">IF(Scoring!AG6="","",IF(OR(Scoring!AG6="STRONG BUY",Scoring!AG6="BUY"),"PASS","FAIL"))</f>
        <v>PASS</v>
      </c>
      <c r="D6" s="133" t="str">
        <f aca="false">IF(Scoring!AH6="","",IF(Scoring!AH6="OK","PASS","FAIL"))</f>
        <v>PASS</v>
      </c>
      <c r="E6" s="133" t="str">
        <f aca="false">IF(Scoring!AI6="","",IF(Scoring!AI6="OK","PASS","FAIL — mandatory review required"))</f>
        <v>PASS</v>
      </c>
      <c r="F6" s="133"/>
      <c r="G6" s="133"/>
      <c r="H6" s="132" t="str">
        <f aca="false">IF(OR(F6="",G6=""),"",IF(AND(F6="Y",G6="Y"),"Standard initial size","50% of normal initial size + 90-day technical review"))</f>
        <v/>
      </c>
      <c r="I6" s="133"/>
      <c r="J6" s="133"/>
      <c r="K6" s="133" t="str">
        <f aca="false">IF(I6="","",IF(I6="N","PASS",IF(J6="Y","PASS — risk documented in thesis","FAIL — undocumented binary risk")))</f>
        <v/>
      </c>
      <c r="L6" s="133" t="str">
        <f aca="false">IF('Implied-Return Calculator'!S7="","",'Implied-Return Calculator'!S7)</f>
        <v/>
      </c>
      <c r="M6" s="133" t="str">
        <f aca="false">IF('Implied-Return Calculator'!T7="","",'Implied-Return Calculator'!T7)</f>
        <v/>
      </c>
      <c r="N6" s="133" t="str">
        <f aca="false">IF('Implied-Return Calculator'!U7="","",'Implied-Return Calculator'!U7)</f>
        <v/>
      </c>
      <c r="O6" s="133"/>
      <c r="P6" s="133"/>
      <c r="Q6" s="132" t="str">
        <f aca="false">IF(OR(N6="",O6=""),"",IF(N6&lt;=50,"PASS — within ceiling",IF(AND(O6&gt;0.3,L6="PASS"),"PASS — growth+bear case exception met","FAIL — exceeds 50x, exception not met")))</f>
        <v/>
      </c>
      <c r="R6" s="132" t="str">
        <f aca="false">IF(OR(C6="",D6="",E6="",K6="",L6="",M6="",N6="",Q6=""),"",IF(AND(C6="PASS",D6="PASS",LEFT(E6,4)="PASS",LEFT(K6,4)="PASS",L6="PASS",M6="PASS",N6="OK",LEFT(Q6,4)="PASS"),"YES","NO — see failing rule(s)"))</f>
        <v/>
      </c>
      <c r="S6" s="132" t="str">
        <f aca="false">IF(R6="","",IF(R6="YES","Initiate: "&amp;H6,"DO NOT ENTER — resolve failing Entry Rule(s) above first"))</f>
        <v/>
      </c>
    </row>
    <row r="7" customFormat="false" ht="15" hidden="false" customHeight="true" outlineLevel="0" collapsed="false">
      <c r="A7" s="132" t="str">
        <f aca="false">IF(Scoring!A7="","",Scoring!A7)</f>
        <v>VRTX</v>
      </c>
      <c r="B7" s="132" t="str">
        <f aca="false">IF(Scoring!B7="","",Scoring!B7)</f>
        <v>Vertex Pharmaceuticals</v>
      </c>
      <c r="C7" s="133" t="str">
        <f aca="false">IF(Scoring!AG7="","",IF(OR(Scoring!AG7="STRONG BUY",Scoring!AG7="BUY"),"PASS","FAIL"))</f>
        <v>PASS</v>
      </c>
      <c r="D7" s="133" t="str">
        <f aca="false">IF(Scoring!AH7="","",IF(Scoring!AH7="OK","PASS","FAIL"))</f>
        <v>PASS</v>
      </c>
      <c r="E7" s="133" t="str">
        <f aca="false">IF(Scoring!AI7="","",IF(Scoring!AI7="OK","PASS","FAIL — mandatory review required"))</f>
        <v>PASS</v>
      </c>
      <c r="F7" s="133"/>
      <c r="G7" s="133"/>
      <c r="H7" s="132" t="str">
        <f aca="false">IF(OR(F7="",G7=""),"",IF(AND(F7="Y",G7="Y"),"Standard initial size","50% of normal initial size + 90-day technical review"))</f>
        <v/>
      </c>
      <c r="I7" s="133"/>
      <c r="J7" s="133"/>
      <c r="K7" s="133" t="str">
        <f aca="false">IF(I7="","",IF(I7="N","PASS",IF(J7="Y","PASS — risk documented in thesis","FAIL — undocumented binary risk")))</f>
        <v/>
      </c>
      <c r="L7" s="133" t="str">
        <f aca="false">IF('Implied-Return Calculator'!S8="","",'Implied-Return Calculator'!S8)</f>
        <v/>
      </c>
      <c r="M7" s="133" t="str">
        <f aca="false">IF('Implied-Return Calculator'!T8="","",'Implied-Return Calculator'!T8)</f>
        <v/>
      </c>
      <c r="N7" s="133" t="str">
        <f aca="false">IF('Implied-Return Calculator'!U8="","",'Implied-Return Calculator'!U8)</f>
        <v/>
      </c>
      <c r="O7" s="133"/>
      <c r="P7" s="133"/>
      <c r="Q7" s="132" t="str">
        <f aca="false">IF(OR(N7="",O7=""),"",IF(N7&lt;=50,"PASS — within ceiling",IF(AND(O7&gt;0.3,L7="PASS"),"PASS — growth+bear case exception met","FAIL — exceeds 50x, exception not met")))</f>
        <v/>
      </c>
      <c r="R7" s="132" t="str">
        <f aca="false">IF(OR(C7="",D7="",E7="",K7="",L7="",M7="",N7="",Q7=""),"",IF(AND(C7="PASS",D7="PASS",LEFT(E7,4)="PASS",LEFT(K7,4)="PASS",L7="PASS",M7="PASS",N7="OK",LEFT(Q7,4)="PASS"),"YES","NO — see failing rule(s)"))</f>
        <v/>
      </c>
      <c r="S7" s="132" t="str">
        <f aca="false">IF(R7="","",IF(R7="YES","Initiate: "&amp;H7,"DO NOT ENTER — resolve failing Entry Rule(s) above first"))</f>
        <v/>
      </c>
    </row>
    <row r="8" customFormat="false" ht="15" hidden="false" customHeight="true" outlineLevel="0" collapsed="false">
      <c r="A8" s="132" t="str">
        <f aca="false">IF(Scoring!A8="","",Scoring!A8)</f>
        <v>PLD</v>
      </c>
      <c r="B8" s="132" t="str">
        <f aca="false">IF(Scoring!B8="","",Scoring!B8)</f>
        <v>Prologis Inc. (REIT-adapted)</v>
      </c>
      <c r="C8" s="133" t="str">
        <f aca="false">IF(Scoring!AG8="","",IF(OR(Scoring!AG8="STRONG BUY",Scoring!AG8="BUY"),"PASS","FAIL"))</f>
        <v>PASS</v>
      </c>
      <c r="D8" s="133" t="str">
        <f aca="false">IF(Scoring!AH8="","",IF(Scoring!AH8="OK","PASS","FAIL"))</f>
        <v>PASS</v>
      </c>
      <c r="E8" s="133" t="str">
        <f aca="false">IF(Scoring!AI8="","",IF(Scoring!AI8="OK","PASS","FAIL — mandatory review required"))</f>
        <v>PASS</v>
      </c>
      <c r="F8" s="133"/>
      <c r="G8" s="133"/>
      <c r="H8" s="132" t="str">
        <f aca="false">IF(OR(F8="",G8=""),"",IF(AND(F8="Y",G8="Y"),"Standard initial size","50% of normal initial size + 90-day technical review"))</f>
        <v/>
      </c>
      <c r="I8" s="133"/>
      <c r="J8" s="133"/>
      <c r="K8" s="133" t="str">
        <f aca="false">IF(I8="","",IF(I8="N","PASS",IF(J8="Y","PASS — risk documented in thesis","FAIL — undocumented binary risk")))</f>
        <v/>
      </c>
      <c r="L8" s="133" t="str">
        <f aca="false">IF('Implied-Return Calculator'!S9="","",'Implied-Return Calculator'!S9)</f>
        <v/>
      </c>
      <c r="M8" s="133" t="str">
        <f aca="false">IF('Implied-Return Calculator'!T9="","",'Implied-Return Calculator'!T9)</f>
        <v/>
      </c>
      <c r="N8" s="133" t="str">
        <f aca="false">IF('Implied-Return Calculator'!U9="","",'Implied-Return Calculator'!U9)</f>
        <v/>
      </c>
      <c r="O8" s="133"/>
      <c r="P8" s="133"/>
      <c r="Q8" s="132" t="str">
        <f aca="false">IF(OR(N8="",O8=""),"",IF(N8&lt;=50,"PASS — within ceiling",IF(AND(O8&gt;0.3,L8="PASS"),"PASS — growth+bear case exception met","FAIL — exceeds 50x, exception not met")))</f>
        <v/>
      </c>
      <c r="R8" s="132" t="str">
        <f aca="false">IF(OR(C8="",D8="",E8="",K8="",L8="",M8="",N8="",Q8=""),"",IF(AND(C8="PASS",D8="PASS",LEFT(E8,4)="PASS",LEFT(K8,4)="PASS",L8="PASS",M8="PASS",N8="OK",LEFT(Q8,4)="PASS"),"YES","NO — see failing rule(s)"))</f>
        <v/>
      </c>
      <c r="S8" s="132" t="str">
        <f aca="false">IF(R8="","",IF(R8="YES","Initiate: "&amp;H8,"DO NOT ENTER — resolve failing Entry Rule(s) above first"))</f>
        <v/>
      </c>
    </row>
    <row r="9" customFormat="false" ht="15" hidden="false" customHeight="true" outlineLevel="0" collapsed="false">
      <c r="A9" s="132" t="str">
        <f aca="false">IF(Scoring!A9="","",Scoring!A9)</f>
        <v>SFM</v>
      </c>
      <c r="B9" s="132" t="str">
        <f aca="false">IF(Scoring!B9="","",Scoring!B9)</f>
        <v>Sprouts Farmers Market</v>
      </c>
      <c r="C9" s="133" t="str">
        <f aca="false">IF(Scoring!AG9="","",IF(OR(Scoring!AG9="STRONG BUY",Scoring!AG9="BUY"),"PASS","FAIL"))</f>
        <v/>
      </c>
      <c r="D9" s="133" t="str">
        <f aca="false">IF(Scoring!AH9="","",IF(Scoring!AH9="OK","PASS","FAIL"))</f>
        <v>FAIL</v>
      </c>
      <c r="E9" s="133" t="str">
        <f aca="false">IF(Scoring!AI9="","",IF(Scoring!AI9="OK","PASS","FAIL — mandatory review required"))</f>
        <v>FAIL — mandatory review required</v>
      </c>
      <c r="F9" s="133"/>
      <c r="G9" s="133"/>
      <c r="H9" s="132" t="str">
        <f aca="false">IF(OR(F9="",G9=""),"",IF(AND(F9="Y",G9="Y"),"Standard initial size","50% of normal initial size + 90-day technical review"))</f>
        <v/>
      </c>
      <c r="I9" s="133"/>
      <c r="J9" s="133"/>
      <c r="K9" s="133" t="str">
        <f aca="false">IF(I9="","",IF(I9="N","PASS",IF(J9="Y","PASS — risk documented in thesis","FAIL — undocumented binary risk")))</f>
        <v/>
      </c>
      <c r="L9" s="133" t="str">
        <f aca="false">IF('Implied-Return Calculator'!S10="","",'Implied-Return Calculator'!S10)</f>
        <v/>
      </c>
      <c r="M9" s="133" t="str">
        <f aca="false">IF('Implied-Return Calculator'!T10="","",'Implied-Return Calculator'!T10)</f>
        <v/>
      </c>
      <c r="N9" s="133" t="str">
        <f aca="false">IF('Implied-Return Calculator'!U10="","",'Implied-Return Calculator'!U10)</f>
        <v/>
      </c>
      <c r="O9" s="133"/>
      <c r="P9" s="133"/>
      <c r="Q9" s="132" t="str">
        <f aca="false">IF(OR(N9="",O9=""),"",IF(N9&lt;=50,"PASS — within ceiling",IF(AND(O9&gt;0.3,L9="PASS"),"PASS — growth+bear case exception met","FAIL — exceeds 50x, exception not met")))</f>
        <v/>
      </c>
      <c r="R9" s="132" t="str">
        <f aca="false">IF(OR(C9="",D9="",E9="",K9="",L9="",M9="",N9="",Q9=""),"",IF(AND(C9="PASS",D9="PASS",LEFT(E9,4)="PASS",LEFT(K9,4)="PASS",L9="PASS",M9="PASS",N9="OK",LEFT(Q9,4)="PASS"),"YES","NO — see failing rule(s)"))</f>
        <v/>
      </c>
      <c r="S9" s="132" t="str">
        <f aca="false">IF(R9="","",IF(R9="YES","Initiate: "&amp;H9,"DO NOT ENTER — resolve failing Entry Rule(s) above first"))</f>
        <v/>
      </c>
    </row>
    <row r="10" customFormat="false" ht="15" hidden="false" customHeight="true" outlineLevel="0" collapsed="false">
      <c r="A10" s="132" t="str">
        <f aca="false">IF(Scoring!A10="","",Scoring!A10)</f>
        <v>ONON</v>
      </c>
      <c r="B10" s="132" t="str">
        <f aca="false">IF(Scoring!B10="","",Scoring!B10)</f>
        <v>On Holding AG</v>
      </c>
      <c r="C10" s="133" t="str">
        <f aca="false">IF(Scoring!AG10="","",IF(OR(Scoring!AG10="STRONG BUY",Scoring!AG10="BUY"),"PASS","FAIL"))</f>
        <v/>
      </c>
      <c r="D10" s="133" t="str">
        <f aca="false">IF(Scoring!AH10="","",IF(Scoring!AH10="OK","PASS","FAIL"))</f>
        <v>FAIL</v>
      </c>
      <c r="E10" s="133" t="str">
        <f aca="false">IF(Scoring!AI10="","",IF(Scoring!AI10="OK","PASS","FAIL — mandatory review required"))</f>
        <v>PASS</v>
      </c>
      <c r="F10" s="133"/>
      <c r="G10" s="133"/>
      <c r="H10" s="132" t="str">
        <f aca="false">IF(OR(F10="",G10=""),"",IF(AND(F10="Y",G10="Y"),"Standard initial size","50% of normal initial size + 90-day technical review"))</f>
        <v/>
      </c>
      <c r="I10" s="133"/>
      <c r="J10" s="133"/>
      <c r="K10" s="133" t="str">
        <f aca="false">IF(I10="","",IF(I10="N","PASS",IF(J10="Y","PASS — risk documented in thesis","FAIL — undocumented binary risk")))</f>
        <v/>
      </c>
      <c r="L10" s="133" t="str">
        <f aca="false">IF('Implied-Return Calculator'!S11="","",'Implied-Return Calculator'!S11)</f>
        <v/>
      </c>
      <c r="M10" s="133" t="str">
        <f aca="false">IF('Implied-Return Calculator'!T11="","",'Implied-Return Calculator'!T11)</f>
        <v/>
      </c>
      <c r="N10" s="133" t="str">
        <f aca="false">IF('Implied-Return Calculator'!U11="","",'Implied-Return Calculator'!U11)</f>
        <v/>
      </c>
      <c r="O10" s="133"/>
      <c r="P10" s="133"/>
      <c r="Q10" s="132" t="str">
        <f aca="false">IF(OR(N10="",O10=""),"",IF(N10&lt;=50,"PASS — within ceiling",IF(AND(O10&gt;0.3,L10="PASS"),"PASS — growth+bear case exception met","FAIL — exceeds 50x, exception not met")))</f>
        <v/>
      </c>
      <c r="R10" s="132" t="str">
        <f aca="false">IF(OR(C10="",D10="",E10="",K10="",L10="",M10="",N10="",Q10=""),"",IF(AND(C10="PASS",D10="PASS",LEFT(E10,4)="PASS",LEFT(K10,4)="PASS",L10="PASS",M10="PASS",N10="OK",LEFT(Q10,4)="PASS"),"YES","NO — see failing rule(s)"))</f>
        <v/>
      </c>
      <c r="S10" s="132" t="str">
        <f aca="false">IF(R10="","",IF(R10="YES","Initiate: "&amp;H10,"DO NOT ENTER — resolve failing Entry Rule(s) above first"))</f>
        <v/>
      </c>
    </row>
    <row r="11" customFormat="false" ht="15" hidden="false" customHeight="true" outlineLevel="0" collapsed="false">
      <c r="A11" s="132" t="str">
        <f aca="false">IF(Scoring!A11="","",Scoring!A11)</f>
        <v>TSLA</v>
      </c>
      <c r="B11" s="132" t="str">
        <f aca="false">IF(Scoring!B11="","",Scoring!B11)</f>
        <v>Tesla Inc.</v>
      </c>
      <c r="C11" s="133" t="str">
        <f aca="false">IF(Scoring!AG11="","",IF(OR(Scoring!AG11="STRONG BUY",Scoring!AG11="BUY"),"PASS","FAIL"))</f>
        <v/>
      </c>
      <c r="D11" s="133" t="str">
        <f aca="false">IF(Scoring!AH11="","",IF(Scoring!AH11="OK","PASS","FAIL"))</f>
        <v>FAIL</v>
      </c>
      <c r="E11" s="133" t="str">
        <f aca="false">IF(Scoring!AI11="","",IF(Scoring!AI11="OK","PASS","FAIL — mandatory review required"))</f>
        <v>FAIL — mandatory review required</v>
      </c>
      <c r="F11" s="133"/>
      <c r="G11" s="133"/>
      <c r="H11" s="132" t="str">
        <f aca="false">IF(OR(F11="",G11=""),"",IF(AND(F11="Y",G11="Y"),"Standard initial size","50% of normal initial size + 90-day technical review"))</f>
        <v/>
      </c>
      <c r="I11" s="133"/>
      <c r="J11" s="133"/>
      <c r="K11" s="133" t="str">
        <f aca="false">IF(I11="","",IF(I11="N","PASS",IF(J11="Y","PASS — risk documented in thesis","FAIL — undocumented binary risk")))</f>
        <v/>
      </c>
      <c r="L11" s="133" t="str">
        <f aca="false">IF('Implied-Return Calculator'!S12="","",'Implied-Return Calculator'!S12)</f>
        <v/>
      </c>
      <c r="M11" s="133" t="str">
        <f aca="false">IF('Implied-Return Calculator'!T12="","",'Implied-Return Calculator'!T12)</f>
        <v/>
      </c>
      <c r="N11" s="133" t="str">
        <f aca="false">IF('Implied-Return Calculator'!U12="","",'Implied-Return Calculator'!U12)</f>
        <v/>
      </c>
      <c r="O11" s="133"/>
      <c r="P11" s="133"/>
      <c r="Q11" s="132" t="str">
        <f aca="false">IF(OR(N11="",O11=""),"",IF(N11&lt;=50,"PASS — within ceiling",IF(AND(O11&gt;0.3,L11="PASS"),"PASS — growth+bear case exception met","FAIL — exceeds 50x, exception not met")))</f>
        <v/>
      </c>
      <c r="R11" s="132" t="str">
        <f aca="false">IF(OR(C11="",D11="",E11="",K11="",L11="",M11="",N11="",Q11=""),"",IF(AND(C11="PASS",D11="PASS",LEFT(E11,4)="PASS",LEFT(K11,4)="PASS",L11="PASS",M11="PASS",N11="OK",LEFT(Q11,4)="PASS"),"YES","NO — see failing rule(s)"))</f>
        <v/>
      </c>
      <c r="S11" s="132" t="str">
        <f aca="false">IF(R11="","",IF(R11="YES","Initiate: "&amp;H11,"DO NOT ENTER — resolve failing Entry Rule(s) above first"))</f>
        <v/>
      </c>
    </row>
    <row r="12" customFormat="false" ht="15" hidden="false" customHeight="true" outlineLevel="0" collapsed="false">
      <c r="A12" s="132" t="str">
        <f aca="false">IF(Scoring!A12="","",Scoring!A12)</f>
        <v>ADBE</v>
      </c>
      <c r="B12" s="132" t="str">
        <f aca="false">IF(Scoring!B12="","",Scoring!B12)</f>
        <v>Adobe Inc.</v>
      </c>
      <c r="C12" s="133" t="str">
        <f aca="false">IF(Scoring!AG12="","",IF(OR(Scoring!AG12="STRONG BUY",Scoring!AG12="BUY"),"PASS","FAIL"))</f>
        <v>PASS</v>
      </c>
      <c r="D12" s="133" t="str">
        <f aca="false">IF(Scoring!AH12="","",IF(Scoring!AH12="OK","PASS","FAIL"))</f>
        <v>PASS</v>
      </c>
      <c r="E12" s="133" t="str">
        <f aca="false">IF(Scoring!AI12="","",IF(Scoring!AI12="OK","PASS","FAIL — mandatory review required"))</f>
        <v>PASS</v>
      </c>
      <c r="F12" s="133"/>
      <c r="G12" s="133"/>
      <c r="H12" s="132" t="str">
        <f aca="false">IF(OR(F12="",G12=""),"",IF(AND(F12="Y",G12="Y"),"Standard initial size","50% of normal initial size + 90-day technical review"))</f>
        <v/>
      </c>
      <c r="I12" s="133"/>
      <c r="J12" s="133"/>
      <c r="K12" s="133" t="str">
        <f aca="false">IF(I12="","",IF(I12="N","PASS",IF(J12="Y","PASS — risk documented in thesis","FAIL — undocumented binary risk")))</f>
        <v/>
      </c>
      <c r="L12" s="133" t="str">
        <f aca="false">IF('Implied-Return Calculator'!S13="","",'Implied-Return Calculator'!S13)</f>
        <v/>
      </c>
      <c r="M12" s="133" t="str">
        <f aca="false">IF('Implied-Return Calculator'!T13="","",'Implied-Return Calculator'!T13)</f>
        <v/>
      </c>
      <c r="N12" s="133" t="str">
        <f aca="false">IF('Implied-Return Calculator'!U13="","",'Implied-Return Calculator'!U13)</f>
        <v/>
      </c>
      <c r="O12" s="133"/>
      <c r="P12" s="133"/>
      <c r="Q12" s="132" t="str">
        <f aca="false">IF(OR(N12="",O12=""),"",IF(N12&lt;=50,"PASS — within ceiling",IF(AND(O12&gt;0.3,L12="PASS"),"PASS — growth+bear case exception met","FAIL — exceeds 50x, exception not met")))</f>
        <v/>
      </c>
      <c r="R12" s="132" t="str">
        <f aca="false">IF(OR(C12="",D12="",E12="",K12="",L12="",M12="",N12="",Q12=""),"",IF(AND(C12="PASS",D12="PASS",LEFT(E12,4)="PASS",LEFT(K12,4)="PASS",L12="PASS",M12="PASS",N12="OK",LEFT(Q12,4)="PASS"),"YES","NO — see failing rule(s)"))</f>
        <v/>
      </c>
      <c r="S12" s="132" t="str">
        <f aca="false">IF(R12="","",IF(R12="YES","Initiate: "&amp;H12,"DO NOT ENTER — resolve failing Entry Rule(s) above first"))</f>
        <v/>
      </c>
    </row>
    <row r="13" customFormat="false" ht="15" hidden="false" customHeight="true" outlineLevel="0" collapsed="false">
      <c r="A13" s="132" t="str">
        <f aca="false">IF(Scoring!A13="","",Scoring!A13)</f>
        <v>ANET</v>
      </c>
      <c r="B13" s="132" t="str">
        <f aca="false">IF(Scoring!B13="","",Scoring!B13)</f>
        <v>Arista Networks</v>
      </c>
      <c r="C13" s="133" t="str">
        <f aca="false">IF(Scoring!AG13="","",IF(OR(Scoring!AG13="STRONG BUY",Scoring!AG13="BUY"),"PASS","FAIL"))</f>
        <v>PASS</v>
      </c>
      <c r="D13" s="133" t="str">
        <f aca="false">IF(Scoring!AH13="","",IF(Scoring!AH13="OK","PASS","FAIL"))</f>
        <v>PASS</v>
      </c>
      <c r="E13" s="133" t="str">
        <f aca="false">IF(Scoring!AI13="","",IF(Scoring!AI13="OK","PASS","FAIL — mandatory review required"))</f>
        <v>PASS</v>
      </c>
      <c r="F13" s="133"/>
      <c r="G13" s="133"/>
      <c r="H13" s="132" t="str">
        <f aca="false">IF(OR(F13="",G13=""),"",IF(AND(F13="Y",G13="Y"),"Standard initial size","50% of normal initial size + 90-day technical review"))</f>
        <v/>
      </c>
      <c r="I13" s="133"/>
      <c r="J13" s="133"/>
      <c r="K13" s="133" t="str">
        <f aca="false">IF(I13="","",IF(I13="N","PASS",IF(J13="Y","PASS — risk documented in thesis","FAIL — undocumented binary risk")))</f>
        <v/>
      </c>
      <c r="L13" s="133" t="str">
        <f aca="false">IF('Implied-Return Calculator'!S14="","",'Implied-Return Calculator'!S14)</f>
        <v/>
      </c>
      <c r="M13" s="133" t="str">
        <f aca="false">IF('Implied-Return Calculator'!T14="","",'Implied-Return Calculator'!T14)</f>
        <v/>
      </c>
      <c r="N13" s="133" t="str">
        <f aca="false">IF('Implied-Return Calculator'!U14="","",'Implied-Return Calculator'!U14)</f>
        <v/>
      </c>
      <c r="O13" s="133"/>
      <c r="P13" s="133"/>
      <c r="Q13" s="132" t="str">
        <f aca="false">IF(OR(N13="",O13=""),"",IF(N13&lt;=50,"PASS — within ceiling",IF(AND(O13&gt;0.3,L13="PASS"),"PASS — growth+bear case exception met","FAIL — exceeds 50x, exception not met")))</f>
        <v/>
      </c>
      <c r="R13" s="132" t="str">
        <f aca="false">IF(OR(C13="",D13="",E13="",K13="",L13="",M13="",N13="",Q13=""),"",IF(AND(C13="PASS",D13="PASS",LEFT(E13,4)="PASS",LEFT(K13,4)="PASS",L13="PASS",M13="PASS",N13="OK",LEFT(Q13,4)="PASS"),"YES","NO — see failing rule(s)"))</f>
        <v/>
      </c>
      <c r="S13" s="132" t="str">
        <f aca="false">IF(R13="","",IF(R13="YES","Initiate: "&amp;H13,"DO NOT ENTER — resolve failing Entry Rule(s) above first"))</f>
        <v/>
      </c>
    </row>
    <row r="14" customFormat="false" ht="15" hidden="false" customHeight="true" outlineLevel="0" collapsed="false">
      <c r="A14" s="132" t="str">
        <f aca="false">IF(Scoring!A14="","",Scoring!A14)</f>
        <v>ASML</v>
      </c>
      <c r="B14" s="132" t="str">
        <f aca="false">IF(Scoring!B14="","",Scoring!B14)</f>
        <v>ASML Holding</v>
      </c>
      <c r="C14" s="133" t="str">
        <f aca="false">IF(Scoring!AG14="","",IF(OR(Scoring!AG14="STRONG BUY",Scoring!AG14="BUY"),"PASS","FAIL"))</f>
        <v>PASS</v>
      </c>
      <c r="D14" s="133" t="str">
        <f aca="false">IF(Scoring!AH14="","",IF(Scoring!AH14="OK","PASS","FAIL"))</f>
        <v>PASS</v>
      </c>
      <c r="E14" s="133" t="str">
        <f aca="false">IF(Scoring!AI14="","",IF(Scoring!AI14="OK","PASS","FAIL — mandatory review required"))</f>
        <v>PASS</v>
      </c>
      <c r="F14" s="133"/>
      <c r="G14" s="133"/>
      <c r="H14" s="132" t="str">
        <f aca="false">IF(OR(F14="",G14=""),"",IF(AND(F14="Y",G14="Y"),"Standard initial size","50% of normal initial size + 90-day technical review"))</f>
        <v/>
      </c>
      <c r="I14" s="133"/>
      <c r="J14" s="133"/>
      <c r="K14" s="133" t="str">
        <f aca="false">IF(I14="","",IF(I14="N","PASS",IF(J14="Y","PASS — risk documented in thesis","FAIL — undocumented binary risk")))</f>
        <v/>
      </c>
      <c r="L14" s="133" t="str">
        <f aca="false">IF('Implied-Return Calculator'!S15="","",'Implied-Return Calculator'!S15)</f>
        <v/>
      </c>
      <c r="M14" s="133" t="str">
        <f aca="false">IF('Implied-Return Calculator'!T15="","",'Implied-Return Calculator'!T15)</f>
        <v/>
      </c>
      <c r="N14" s="133" t="str">
        <f aca="false">IF('Implied-Return Calculator'!U15="","",'Implied-Return Calculator'!U15)</f>
        <v/>
      </c>
      <c r="O14" s="133"/>
      <c r="P14" s="133"/>
      <c r="Q14" s="132" t="str">
        <f aca="false">IF(OR(N14="",O14=""),"",IF(N14&lt;=50,"PASS — within ceiling",IF(AND(O14&gt;0.3,L14="PASS"),"PASS — growth+bear case exception met","FAIL — exceeds 50x, exception not met")))</f>
        <v/>
      </c>
      <c r="R14" s="132" t="str">
        <f aca="false">IF(OR(C14="",D14="",E14="",K14="",L14="",M14="",N14="",Q14=""),"",IF(AND(C14="PASS",D14="PASS",LEFT(E14,4)="PASS",LEFT(K14,4)="PASS",L14="PASS",M14="PASS",N14="OK",LEFT(Q14,4)="PASS"),"YES","NO — see failing rule(s)"))</f>
        <v/>
      </c>
      <c r="S14" s="132" t="str">
        <f aca="false">IF(R14="","",IF(R14="YES","Initiate: "&amp;H14,"DO NOT ENTER — resolve failing Entry Rule(s) above first"))</f>
        <v/>
      </c>
    </row>
    <row r="15" customFormat="false" ht="15" hidden="false" customHeight="true" outlineLevel="0" collapsed="false">
      <c r="A15" s="132" t="str">
        <f aca="false">IF(Scoring!A15="","",Scoring!A15)</f>
        <v>CRWD</v>
      </c>
      <c r="B15" s="132" t="str">
        <f aca="false">IF(Scoring!B15="","",Scoring!B15)</f>
        <v>CrowdStrike Holdings</v>
      </c>
      <c r="C15" s="133" t="str">
        <f aca="false">IF(Scoring!AG15="","",IF(OR(Scoring!AG15="STRONG BUY",Scoring!AG15="BUY"),"PASS","FAIL"))</f>
        <v>FAIL</v>
      </c>
      <c r="D15" s="133" t="str">
        <f aca="false">IF(Scoring!AH15="","",IF(Scoring!AH15="OK","PASS","FAIL"))</f>
        <v>PASS</v>
      </c>
      <c r="E15" s="133" t="str">
        <f aca="false">IF(Scoring!AI15="","",IF(Scoring!AI15="OK","PASS","FAIL — mandatory review required"))</f>
        <v>PASS</v>
      </c>
      <c r="F15" s="133"/>
      <c r="G15" s="133"/>
      <c r="H15" s="132" t="str">
        <f aca="false">IF(OR(F15="",G15=""),"",IF(AND(F15="Y",G15="Y"),"Standard initial size","50% of normal initial size + 90-day technical review"))</f>
        <v/>
      </c>
      <c r="I15" s="133"/>
      <c r="J15" s="133"/>
      <c r="K15" s="133" t="str">
        <f aca="false">IF(I15="","",IF(I15="N","PASS",IF(J15="Y","PASS — risk documented in thesis","FAIL — undocumented binary risk")))</f>
        <v/>
      </c>
      <c r="L15" s="133" t="str">
        <f aca="false">IF('Implied-Return Calculator'!S16="","",'Implied-Return Calculator'!S16)</f>
        <v/>
      </c>
      <c r="M15" s="133" t="str">
        <f aca="false">IF('Implied-Return Calculator'!T16="","",'Implied-Return Calculator'!T16)</f>
        <v/>
      </c>
      <c r="N15" s="133" t="str">
        <f aca="false">IF('Implied-Return Calculator'!U16="","",'Implied-Return Calculator'!U16)</f>
        <v/>
      </c>
      <c r="O15" s="133"/>
      <c r="P15" s="133"/>
      <c r="Q15" s="132" t="str">
        <f aca="false">IF(OR(N15="",O15=""),"",IF(N15&lt;=50,"PASS — within ceiling",IF(AND(O15&gt;0.3,L15="PASS"),"PASS — growth+bear case exception met","FAIL — exceeds 50x, exception not met")))</f>
        <v/>
      </c>
      <c r="R15" s="132" t="str">
        <f aca="false">IF(OR(C15="",D15="",E15="",K15="",L15="",M15="",N15="",Q15=""),"",IF(AND(C15="PASS",D15="PASS",LEFT(E15,4)="PASS",LEFT(K15,4)="PASS",L15="PASS",M15="PASS",N15="OK",LEFT(Q15,4)="PASS"),"YES","NO — see failing rule(s)"))</f>
        <v/>
      </c>
      <c r="S15" s="132" t="str">
        <f aca="false">IF(R15="","",IF(R15="YES","Initiate: "&amp;H15,"DO NOT ENTER — resolve failing Entry Rule(s) above first"))</f>
        <v/>
      </c>
    </row>
    <row r="16" customFormat="false" ht="15" hidden="false" customHeight="true" outlineLevel="0" collapsed="false">
      <c r="A16" s="132" t="str">
        <f aca="false">IF(Scoring!A16="","",Scoring!A16)</f>
        <v>KLAC</v>
      </c>
      <c r="B16" s="132" t="str">
        <f aca="false">IF(Scoring!B16="","",Scoring!B16)</f>
        <v>KLA Corporation</v>
      </c>
      <c r="C16" s="133" t="str">
        <f aca="false">IF(Scoring!AG16="","",IF(OR(Scoring!AG16="STRONG BUY",Scoring!AG16="BUY"),"PASS","FAIL"))</f>
        <v>PASS</v>
      </c>
      <c r="D16" s="133" t="str">
        <f aca="false">IF(Scoring!AH16="","",IF(Scoring!AH16="OK","PASS","FAIL"))</f>
        <v>PASS</v>
      </c>
      <c r="E16" s="133" t="str">
        <f aca="false">IF(Scoring!AI16="","",IF(Scoring!AI16="OK","PASS","FAIL — mandatory review required"))</f>
        <v>PASS</v>
      </c>
      <c r="F16" s="133"/>
      <c r="G16" s="133"/>
      <c r="H16" s="132" t="str">
        <f aca="false">IF(OR(F16="",G16=""),"",IF(AND(F16="Y",G16="Y"),"Standard initial size","50% of normal initial size + 90-day technical review"))</f>
        <v/>
      </c>
      <c r="I16" s="133"/>
      <c r="J16" s="133"/>
      <c r="K16" s="133" t="str">
        <f aca="false">IF(I16="","",IF(I16="N","PASS",IF(J16="Y","PASS — risk documented in thesis","FAIL — undocumented binary risk")))</f>
        <v/>
      </c>
      <c r="L16" s="133" t="str">
        <f aca="false">IF('Implied-Return Calculator'!S17="","",'Implied-Return Calculator'!S17)</f>
        <v/>
      </c>
      <c r="M16" s="133" t="str">
        <f aca="false">IF('Implied-Return Calculator'!T17="","",'Implied-Return Calculator'!T17)</f>
        <v/>
      </c>
      <c r="N16" s="133" t="str">
        <f aca="false">IF('Implied-Return Calculator'!U17="","",'Implied-Return Calculator'!U17)</f>
        <v/>
      </c>
      <c r="O16" s="133"/>
      <c r="P16" s="133"/>
      <c r="Q16" s="132" t="str">
        <f aca="false">IF(OR(N16="",O16=""),"",IF(N16&lt;=50,"PASS — within ceiling",IF(AND(O16&gt;0.3,L16="PASS"),"PASS — growth+bear case exception met","FAIL — exceeds 50x, exception not met")))</f>
        <v/>
      </c>
      <c r="R16" s="132" t="str">
        <f aca="false">IF(OR(C16="",D16="",E16="",K16="",L16="",M16="",N16="",Q16=""),"",IF(AND(C16="PASS",D16="PASS",LEFT(E16,4)="PASS",LEFT(K16,4)="PASS",L16="PASS",M16="PASS",N16="OK",LEFT(Q16,4)="PASS"),"YES","NO — see failing rule(s)"))</f>
        <v/>
      </c>
      <c r="S16" s="132" t="str">
        <f aca="false">IF(R16="","",IF(R16="YES","Initiate: "&amp;H16,"DO NOT ENTER — resolve failing Entry Rule(s) above first"))</f>
        <v/>
      </c>
    </row>
    <row r="17" customFormat="false" ht="15" hidden="false" customHeight="true" outlineLevel="0" collapsed="false">
      <c r="A17" s="132" t="str">
        <f aca="false">IF(Scoring!A17="","",Scoring!A17)</f>
        <v>TSM</v>
      </c>
      <c r="B17" s="132" t="str">
        <f aca="false">IF(Scoring!B17="","",Scoring!B17)</f>
        <v>Taiwan Semiconductor Mfg.</v>
      </c>
      <c r="C17" s="133" t="str">
        <f aca="false">IF(Scoring!AG17="","",IF(OR(Scoring!AG17="STRONG BUY",Scoring!AG17="BUY"),"PASS","FAIL"))</f>
        <v>PASS</v>
      </c>
      <c r="D17" s="133" t="str">
        <f aca="false">IF(Scoring!AH17="","",IF(Scoring!AH17="OK","PASS","FAIL"))</f>
        <v>PASS</v>
      </c>
      <c r="E17" s="133" t="str">
        <f aca="false">IF(Scoring!AI17="","",IF(Scoring!AI17="OK","PASS","FAIL — mandatory review required"))</f>
        <v>PASS</v>
      </c>
      <c r="F17" s="133"/>
      <c r="G17" s="133"/>
      <c r="H17" s="132" t="str">
        <f aca="false">IF(OR(F17="",G17=""),"",IF(AND(F17="Y",G17="Y"),"Standard initial size","50% of normal initial size + 90-day technical review"))</f>
        <v/>
      </c>
      <c r="I17" s="133"/>
      <c r="J17" s="133"/>
      <c r="K17" s="133" t="str">
        <f aca="false">IF(I17="","",IF(I17="N","PASS",IF(J17="Y","PASS — risk documented in thesis","FAIL — undocumented binary risk")))</f>
        <v/>
      </c>
      <c r="L17" s="133" t="str">
        <f aca="false">IF('Implied-Return Calculator'!S18="","",'Implied-Return Calculator'!S18)</f>
        <v/>
      </c>
      <c r="M17" s="133" t="str">
        <f aca="false">IF('Implied-Return Calculator'!T18="","",'Implied-Return Calculator'!T18)</f>
        <v/>
      </c>
      <c r="N17" s="133" t="str">
        <f aca="false">IF('Implied-Return Calculator'!U18="","",'Implied-Return Calculator'!U18)</f>
        <v/>
      </c>
      <c r="O17" s="133"/>
      <c r="P17" s="133"/>
      <c r="Q17" s="132" t="str">
        <f aca="false">IF(OR(N17="",O17=""),"",IF(N17&lt;=50,"PASS — within ceiling",IF(AND(O17&gt;0.3,L17="PASS"),"PASS — growth+bear case exception met","FAIL — exceeds 50x, exception not met")))</f>
        <v/>
      </c>
      <c r="R17" s="132" t="str">
        <f aca="false">IF(OR(C17="",D17="",E17="",K17="",L17="",M17="",N17="",Q17=""),"",IF(AND(C17="PASS",D17="PASS",LEFT(E17,4)="PASS",LEFT(K17,4)="PASS",L17="PASS",M17="PASS",N17="OK",LEFT(Q17,4)="PASS"),"YES","NO — see failing rule(s)"))</f>
        <v/>
      </c>
      <c r="S17" s="132" t="str">
        <f aca="false">IF(R17="","",IF(R17="YES","Initiate: "&amp;H17,"DO NOT ENTER — resolve failing Entry Rule(s) above first"))</f>
        <v/>
      </c>
    </row>
    <row r="18" customFormat="false" ht="15" hidden="false" customHeight="true" outlineLevel="0" collapsed="false">
      <c r="A18" s="132" t="str">
        <f aca="false">IF(Scoring!A18="","",Scoring!A18)</f>
        <v>VRT</v>
      </c>
      <c r="B18" s="132" t="str">
        <f aca="false">IF(Scoring!B18="","",Scoring!B18)</f>
        <v>Vertiv Holdings</v>
      </c>
      <c r="C18" s="133" t="str">
        <f aca="false">IF(Scoring!AG18="","",IF(OR(Scoring!AG18="STRONG BUY",Scoring!AG18="BUY"),"PASS","FAIL"))</f>
        <v>PASS</v>
      </c>
      <c r="D18" s="133" t="str">
        <f aca="false">IF(Scoring!AH18="","",IF(Scoring!AH18="OK","PASS","FAIL"))</f>
        <v>PASS</v>
      </c>
      <c r="E18" s="133" t="str">
        <f aca="false">IF(Scoring!AI18="","",IF(Scoring!AI18="OK","PASS","FAIL — mandatory review required"))</f>
        <v>PASS</v>
      </c>
      <c r="F18" s="133"/>
      <c r="G18" s="133"/>
      <c r="H18" s="132" t="str">
        <f aca="false">IF(OR(F18="",G18=""),"",IF(AND(F18="Y",G18="Y"),"Standard initial size","50% of normal initial size + 90-day technical review"))</f>
        <v/>
      </c>
      <c r="I18" s="133"/>
      <c r="J18" s="133"/>
      <c r="K18" s="133" t="str">
        <f aca="false">IF(I18="","",IF(I18="N","PASS",IF(J18="Y","PASS — risk documented in thesis","FAIL — undocumented binary risk")))</f>
        <v/>
      </c>
      <c r="L18" s="133" t="str">
        <f aca="false">IF('Implied-Return Calculator'!S19="","",'Implied-Return Calculator'!S19)</f>
        <v/>
      </c>
      <c r="M18" s="133" t="str">
        <f aca="false">IF('Implied-Return Calculator'!T19="","",'Implied-Return Calculator'!T19)</f>
        <v/>
      </c>
      <c r="N18" s="133" t="str">
        <f aca="false">IF('Implied-Return Calculator'!U19="","",'Implied-Return Calculator'!U19)</f>
        <v/>
      </c>
      <c r="O18" s="133"/>
      <c r="P18" s="133"/>
      <c r="Q18" s="132" t="str">
        <f aca="false">IF(OR(N18="",O18=""),"",IF(N18&lt;=50,"PASS — within ceiling",IF(AND(O18&gt;0.3,L18="PASS"),"PASS — growth+bear case exception met","FAIL — exceeds 50x, exception not met")))</f>
        <v/>
      </c>
      <c r="R18" s="132" t="str">
        <f aca="false">IF(OR(C18="",D18="",E18="",K18="",L18="",M18="",N18="",Q18=""),"",IF(AND(C18="PASS",D18="PASS",LEFT(E18,4)="PASS",LEFT(K18,4)="PASS",L18="PASS",M18="PASS",N18="OK",LEFT(Q18,4)="PASS"),"YES","NO — see failing rule(s)"))</f>
        <v/>
      </c>
      <c r="S18" s="132" t="str">
        <f aca="false">IF(R18="","",IF(R18="YES","Initiate: "&amp;H18,"DO NOT ENTER — resolve failing Entry Rule(s) above first"))</f>
        <v/>
      </c>
    </row>
    <row r="19" customFormat="false" ht="15" hidden="false" customHeight="true" outlineLevel="0" collapsed="false">
      <c r="A19" s="132" t="str">
        <f aca="false">IF(Scoring!A19="","",Scoring!A19)</f>
        <v>COST</v>
      </c>
      <c r="B19" s="132" t="str">
        <f aca="false">IF(Scoring!B19="","",Scoring!B19)</f>
        <v>Costco Wholesale Corp.</v>
      </c>
      <c r="C19" s="133" t="str">
        <f aca="false">IF(Scoring!AG19="","",IF(OR(Scoring!AG19="STRONG BUY",Scoring!AG19="BUY"),"PASS","FAIL"))</f>
        <v>PASS</v>
      </c>
      <c r="D19" s="133" t="str">
        <f aca="false">IF(Scoring!AH19="","",IF(Scoring!AH19="OK","PASS","FAIL"))</f>
        <v>PASS</v>
      </c>
      <c r="E19" s="133" t="str">
        <f aca="false">IF(Scoring!AI19="","",IF(Scoring!AI19="OK","PASS","FAIL — mandatory review required"))</f>
        <v>PASS</v>
      </c>
      <c r="F19" s="133" t="s">
        <v>213</v>
      </c>
      <c r="G19" s="133" t="s">
        <v>213</v>
      </c>
      <c r="H19" s="132" t="str">
        <f aca="false">IF(OR(F19="",G19=""),"",IF(AND(F19="Y",G19="Y"),"Standard initial size","50% of normal initial size + 90-day technical review"))</f>
        <v>Standard initial size</v>
      </c>
      <c r="I19" s="133" t="s">
        <v>212</v>
      </c>
      <c r="J19" s="133"/>
      <c r="K19" s="133" t="str">
        <f aca="false">IF(I19="","",IF(I19="N","PASS",IF(J19="Y","PASS — risk documented in thesis","FAIL — undocumented binary risk")))</f>
        <v>PASS</v>
      </c>
      <c r="L19" s="133" t="str">
        <f aca="false">IF('Implied-Return Calculator'!S20="","",'Implied-Return Calculator'!S20)</f>
        <v>FAIL</v>
      </c>
      <c r="M19" s="133" t="str">
        <f aca="false">IF('Implied-Return Calculator'!T20="","",'Implied-Return Calculator'!T20)</f>
        <v>PASS</v>
      </c>
      <c r="N19" s="133" t="str">
        <f aca="false">IF('Implied-Return Calculator'!U20="","",'Implied-Return Calculator'!U20)</f>
        <v>OK</v>
      </c>
      <c r="O19" s="133" t="n">
        <v>61.48</v>
      </c>
      <c r="P19" s="133" t="n">
        <v>0.07</v>
      </c>
      <c r="Q19" s="132" t="str">
        <f aca="false">IF(OR(N19="",O19=""),"",IF(N19&lt;=50,"PASS — within ceiling",IF(AND(O19&gt;0.3,L19="PASS"),"PASS — growth+bear case exception met","FAIL — exceeds 50x, exception not met")))</f>
        <v>FAIL — exceeds 50x, exception not met</v>
      </c>
      <c r="R19" s="132" t="str">
        <f aca="false">IF(OR(C19="",D19="",E19="",K19="",L19="",M19="",N19="",Q19=""),"",IF(AND(C19="PASS",D19="PASS",LEFT(E19,4)="PASS",LEFT(K19,4)="PASS",L19="PASS",M19="PASS",N19="OK",LEFT(Q19,4)="PASS"),"YES","NO — see failing rule(s)"))</f>
        <v>NO — see failing rule(s)</v>
      </c>
      <c r="S19" s="132" t="str">
        <f aca="false">IF(R19="","",IF(R19="YES","Initiate: "&amp;H19,"DO NOT ENTER — resolve failing Entry Rule(s) above first"))</f>
        <v>DO NOT ENTER — resolve failing Entry Rule(s) above first</v>
      </c>
    </row>
    <row r="20" customFormat="false" ht="15" hidden="false" customHeight="true" outlineLevel="0" collapsed="false">
      <c r="A20" s="132" t="str">
        <f aca="false">IF(Scoring!A20="","",Scoring!A20)</f>
        <v>V</v>
      </c>
      <c r="B20" s="132" t="str">
        <f aca="false">IF(Scoring!B20="","",Scoring!B20)</f>
        <v>Visa Inc.</v>
      </c>
      <c r="C20" s="133" t="str">
        <f aca="false">IF(Scoring!AG20="","",IF(OR(Scoring!AG20="STRONG BUY",Scoring!AG20="BUY"),"PASS","FAIL"))</f>
        <v>PASS</v>
      </c>
      <c r="D20" s="133" t="str">
        <f aca="false">IF(Scoring!AH20="","",IF(Scoring!AH20="OK","PASS","FAIL"))</f>
        <v>PASS</v>
      </c>
      <c r="E20" s="133" t="str">
        <f aca="false">IF(Scoring!AI20="","",IF(Scoring!AI20="OK","PASS","FAIL — mandatory review required"))</f>
        <v>PASS</v>
      </c>
      <c r="F20" s="133" t="s">
        <v>213</v>
      </c>
      <c r="G20" s="133" t="s">
        <v>213</v>
      </c>
      <c r="H20" s="132" t="str">
        <f aca="false">IF(OR(F20="",G20=""),"",IF(AND(F20="Y",G20="Y"),"Standard initial size","50% of normal initial size + 90-day technical review"))</f>
        <v>Standard initial size</v>
      </c>
      <c r="I20" s="133" t="s">
        <v>213</v>
      </c>
      <c r="J20" s="133" t="s">
        <v>213</v>
      </c>
      <c r="K20" s="133" t="str">
        <f aca="false">IF(I20="","",IF(I20="N","PASS",IF(J20="Y","PASS — risk documented in thesis","FAIL — undocumented binary risk")))</f>
        <v>PASS — risk documented in thesis</v>
      </c>
      <c r="L20" s="133" t="str">
        <f aca="false">IF('Implied-Return Calculator'!S21="","",'Implied-Return Calculator'!S21)</f>
        <v>PASS</v>
      </c>
      <c r="M20" s="133" t="str">
        <f aca="false">IF('Implied-Return Calculator'!T21="","",'Implied-Return Calculator'!T21)</f>
        <v>PASS</v>
      </c>
      <c r="N20" s="133" t="str">
        <f aca="false">IF('Implied-Return Calculator'!U21="","",'Implied-Return Calculator'!U21)</f>
        <v>OK</v>
      </c>
      <c r="O20" s="133" t="n">
        <v>34.36</v>
      </c>
      <c r="P20" s="133" t="n">
        <v>0.11</v>
      </c>
      <c r="Q20" s="132" t="str">
        <f aca="false">IF(OR(N20="",O20=""),"",IF(N20&lt;=50,"PASS — within ceiling",IF(AND(O20&gt;0.3,L20="PASS"),"PASS — growth+bear case exception met","FAIL — exceeds 50x, exception not met")))</f>
        <v>PASS — growth+bear case exception met</v>
      </c>
      <c r="R20" s="132" t="str">
        <f aca="false">IF(OR(C20="",D20="",E20="",K20="",L20="",M20="",N20="",Q20=""),"",IF(AND(C20="PASS",D20="PASS",LEFT(E20,4)="PASS",LEFT(K20,4)="PASS",L20="PASS",M20="PASS",N20="OK",LEFT(Q20,4)="PASS"),"YES","NO — see failing rule(s)"))</f>
        <v>YES</v>
      </c>
      <c r="S20" s="132" t="str">
        <f aca="false">IF(R20="","",IF(R20="YES","Initiate: "&amp;H20,"DO NOT ENTER — resolve failing Entry Rule(s) above first"))</f>
        <v>Initiate: Standard initial size</v>
      </c>
    </row>
    <row r="21" customFormat="false" ht="15" hidden="false" customHeight="true" outlineLevel="0" collapsed="false">
      <c r="A21" s="132" t="str">
        <f aca="false">IF(Scoring!A21="","",Scoring!A21)</f>
        <v>NEE</v>
      </c>
      <c r="B21" s="132" t="str">
        <f aca="false">IF(Scoring!B21="","",Scoring!B21)</f>
        <v>NextEra Energy Inc.</v>
      </c>
      <c r="C21" s="133" t="str">
        <f aca="false">IF(Scoring!AG21="","",IF(OR(Scoring!AG21="STRONG BUY",Scoring!AG21="BUY"),"PASS","FAIL"))</f>
        <v/>
      </c>
      <c r="D21" s="133" t="str">
        <f aca="false">IF(Scoring!AH21="","",IF(Scoring!AH21="OK","PASS","FAIL"))</f>
        <v>FAIL</v>
      </c>
      <c r="E21" s="133" t="str">
        <f aca="false">IF(Scoring!AI21="","",IF(Scoring!AI21="OK","PASS","FAIL — mandatory review required"))</f>
        <v>FAIL — mandatory review required</v>
      </c>
      <c r="F21" s="133"/>
      <c r="G21" s="133"/>
      <c r="H21" s="132" t="str">
        <f aca="false">IF(OR(F21="",G21=""),"",IF(AND(F21="Y",G21="Y"),"Standard initial size","50% of normal initial size + 90-day technical review"))</f>
        <v/>
      </c>
      <c r="I21" s="133"/>
      <c r="J21" s="133"/>
      <c r="K21" s="133" t="str">
        <f aca="false">IF(I21="","",IF(I21="N","PASS",IF(J21="Y","PASS — risk documented in thesis","FAIL — undocumented binary risk")))</f>
        <v/>
      </c>
      <c r="L21" s="133" t="str">
        <f aca="false">IF('Implied-Return Calculator'!S22="","",'Implied-Return Calculator'!S22)</f>
        <v/>
      </c>
      <c r="M21" s="133" t="str">
        <f aca="false">IF('Implied-Return Calculator'!T22="","",'Implied-Return Calculator'!T22)</f>
        <v/>
      </c>
      <c r="N21" s="133" t="str">
        <f aca="false">IF('Implied-Return Calculator'!U22="","",'Implied-Return Calculator'!U22)</f>
        <v/>
      </c>
      <c r="O21" s="133"/>
      <c r="P21" s="133"/>
      <c r="Q21" s="132" t="str">
        <f aca="false">IF(OR(N21="",O21=""),"",IF(N21&lt;=50,"PASS — within ceiling",IF(AND(O21&gt;0.3,L21="PASS"),"PASS — growth+bear case exception met","FAIL — exceeds 50x, exception not met")))</f>
        <v/>
      </c>
      <c r="R21" s="132" t="str">
        <f aca="false">IF(OR(C21="",D21="",E21="",K21="",L21="",M21="",N21="",Q21=""),"",IF(AND(C21="PASS",D21="PASS",LEFT(E21,4)="PASS",LEFT(K21,4)="PASS",L21="PASS",M21="PASS",N21="OK",LEFT(Q21,4)="PASS"),"YES","NO — see failing rule(s)"))</f>
        <v/>
      </c>
      <c r="S21" s="132" t="str">
        <f aca="false">IF(R21="","",IF(R21="YES","Initiate: "&amp;H21,"DO NOT ENTER — resolve failing Entry Rule(s) above first"))</f>
        <v/>
      </c>
    </row>
    <row r="22" customFormat="false" ht="15" hidden="false" customHeight="true" outlineLevel="0" collapsed="false">
      <c r="A22" s="132" t="str">
        <f aca="false">IF(Scoring!A22="","",Scoring!A22)</f>
        <v>CRK</v>
      </c>
      <c r="B22" s="132" t="str">
        <f aca="false">IF(Scoring!B22="","",Scoring!B22)</f>
        <v>Comstock Resources Inc.</v>
      </c>
      <c r="C22" s="133" t="str">
        <f aca="false">IF(Scoring!AG22="","",IF(OR(Scoring!AG22="STRONG BUY",Scoring!AG22="BUY"),"PASS","FAIL"))</f>
        <v/>
      </c>
      <c r="D22" s="133" t="str">
        <f aca="false">IF(Scoring!AH22="","",IF(Scoring!AH22="OK","PASS","FAIL"))</f>
        <v>FAIL</v>
      </c>
      <c r="E22" s="133" t="str">
        <f aca="false">IF(Scoring!AI22="","",IF(Scoring!AI22="OK","PASS","FAIL — mandatory review required"))</f>
        <v>FAIL — mandatory review required</v>
      </c>
      <c r="F22" s="133"/>
      <c r="G22" s="133"/>
      <c r="H22" s="132" t="str">
        <f aca="false">IF(OR(F22="",G22=""),"",IF(AND(F22="Y",G22="Y"),"Standard initial size","50% of normal initial size + 90-day technical review"))</f>
        <v/>
      </c>
      <c r="I22" s="133"/>
      <c r="J22" s="133"/>
      <c r="K22" s="133" t="str">
        <f aca="false">IF(I22="","",IF(I22="N","PASS",IF(J22="Y","PASS — risk documented in thesis","FAIL — undocumented binary risk")))</f>
        <v/>
      </c>
      <c r="L22" s="133" t="str">
        <f aca="false">IF('Implied-Return Calculator'!S23="","",'Implied-Return Calculator'!S23)</f>
        <v/>
      </c>
      <c r="M22" s="133" t="str">
        <f aca="false">IF('Implied-Return Calculator'!T23="","",'Implied-Return Calculator'!T23)</f>
        <v/>
      </c>
      <c r="N22" s="133" t="str">
        <f aca="false">IF('Implied-Return Calculator'!U23="","",'Implied-Return Calculator'!U23)</f>
        <v/>
      </c>
      <c r="O22" s="133"/>
      <c r="P22" s="133"/>
      <c r="Q22" s="132" t="str">
        <f aca="false">IF(OR(N22="",O22=""),"",IF(N22&lt;=50,"PASS — within ceiling",IF(AND(O22&gt;0.3,L22="PASS"),"PASS — growth+bear case exception met","FAIL — exceeds 50x, exception not met")))</f>
        <v/>
      </c>
      <c r="R22" s="132" t="str">
        <f aca="false">IF(OR(C22="",D22="",E22="",K22="",L22="",M22="",N22="",Q22=""),"",IF(AND(C22="PASS",D22="PASS",LEFT(E22,4)="PASS",LEFT(K22,4)="PASS",L22="PASS",M22="PASS",N22="OK",LEFT(Q22,4)="PASS"),"YES","NO — see failing rule(s)"))</f>
        <v/>
      </c>
      <c r="S22" s="132" t="str">
        <f aca="false">IF(R22="","",IF(R22="YES","Initiate: "&amp;H22,"DO NOT ENTER — resolve failing Entry Rule(s) above first"))</f>
        <v/>
      </c>
    </row>
    <row r="23" customFormat="false" ht="15" hidden="false" customHeight="true" outlineLevel="0" collapsed="false">
      <c r="A23" s="132" t="str">
        <f aca="false">IF(Scoring!A23="","",Scoring!A23)</f>
        <v>ET</v>
      </c>
      <c r="B23" s="132" t="str">
        <f aca="false">IF(Scoring!B23="","",Scoring!B23)</f>
        <v>Energy Transfer LP</v>
      </c>
      <c r="C23" s="133" t="str">
        <f aca="false">IF(Scoring!AG23="","",IF(OR(Scoring!AG23="STRONG BUY",Scoring!AG23="BUY"),"PASS","FAIL"))</f>
        <v/>
      </c>
      <c r="D23" s="133" t="str">
        <f aca="false">IF(Scoring!AH23="","",IF(Scoring!AH23="OK","PASS","FAIL"))</f>
        <v>PASS</v>
      </c>
      <c r="E23" s="133" t="str">
        <f aca="false">IF(Scoring!AI23="","",IF(Scoring!AI23="OK","PASS","FAIL — mandatory review required"))</f>
        <v>FAIL — mandatory review required</v>
      </c>
      <c r="F23" s="133"/>
      <c r="G23" s="133"/>
      <c r="H23" s="132" t="str">
        <f aca="false">IF(OR(F23="",G23=""),"",IF(AND(F23="Y",G23="Y"),"Standard initial size","50% of normal initial size + 90-day technical review"))</f>
        <v/>
      </c>
      <c r="I23" s="133"/>
      <c r="J23" s="133"/>
      <c r="K23" s="133" t="str">
        <f aca="false">IF(I23="","",IF(I23="N","PASS",IF(J23="Y","PASS — risk documented in thesis","FAIL — undocumented binary risk")))</f>
        <v/>
      </c>
      <c r="L23" s="133" t="str">
        <f aca="false">IF('Implied-Return Calculator'!S24="","",'Implied-Return Calculator'!S24)</f>
        <v/>
      </c>
      <c r="M23" s="133" t="str">
        <f aca="false">IF('Implied-Return Calculator'!T24="","",'Implied-Return Calculator'!T24)</f>
        <v/>
      </c>
      <c r="N23" s="133" t="str">
        <f aca="false">IF('Implied-Return Calculator'!U24="","",'Implied-Return Calculator'!U24)</f>
        <v/>
      </c>
      <c r="O23" s="133"/>
      <c r="P23" s="133"/>
      <c r="Q23" s="132" t="str">
        <f aca="false">IF(OR(N23="",O23=""),"",IF(N23&lt;=50,"PASS — within ceiling",IF(AND(O23&gt;0.3,L23="PASS"),"PASS — growth+bear case exception met","FAIL — exceeds 50x, exception not met")))</f>
        <v/>
      </c>
      <c r="R23" s="132" t="str">
        <f aca="false">IF(OR(C23="",D23="",E23="",K23="",L23="",M23="",N23="",Q23=""),"",IF(AND(C23="PASS",D23="PASS",LEFT(E23,4)="PASS",LEFT(K23,4)="PASS",L23="PASS",M23="PASS",N23="OK",LEFT(Q23,4)="PASS"),"YES","NO — see failing rule(s)"))</f>
        <v/>
      </c>
      <c r="S23" s="132" t="str">
        <f aca="false">IF(R23="","",IF(R23="YES","Initiate: "&amp;H23,"DO NOT ENTER — resolve failing Entry Rule(s) above first"))</f>
        <v/>
      </c>
    </row>
    <row r="24" customFormat="false" ht="15" hidden="false" customHeight="true" outlineLevel="0" collapsed="false">
      <c r="A24" s="132" t="str">
        <f aca="false">IF(Scoring!A24="","",Scoring!A24)</f>
        <v>LBRT</v>
      </c>
      <c r="B24" s="132" t="str">
        <f aca="false">IF(Scoring!B24="","",Scoring!B24)</f>
        <v>Liberty Energy Inc.</v>
      </c>
      <c r="C24" s="133" t="str">
        <f aca="false">IF(Scoring!AG24="","",IF(OR(Scoring!AG24="STRONG BUY",Scoring!AG24="BUY"),"PASS","FAIL"))</f>
        <v/>
      </c>
      <c r="D24" s="133" t="str">
        <f aca="false">IF(Scoring!AH24="","",IF(Scoring!AH24="OK","PASS","FAIL"))</f>
        <v>FAIL</v>
      </c>
      <c r="E24" s="133" t="str">
        <f aca="false">IF(Scoring!AI24="","",IF(Scoring!AI24="OK","PASS","FAIL — mandatory review required"))</f>
        <v>FAIL — mandatory review required</v>
      </c>
      <c r="F24" s="133"/>
      <c r="G24" s="133"/>
      <c r="H24" s="132" t="str">
        <f aca="false">IF(OR(F24="",G24=""),"",IF(AND(F24="Y",G24="Y"),"Standard initial size","50% of normal initial size + 90-day technical review"))</f>
        <v/>
      </c>
      <c r="I24" s="133"/>
      <c r="J24" s="133"/>
      <c r="K24" s="133" t="str">
        <f aca="false">IF(I24="","",IF(I24="N","PASS",IF(J24="Y","PASS — risk documented in thesis","FAIL — undocumented binary risk")))</f>
        <v/>
      </c>
      <c r="L24" s="133" t="str">
        <f aca="false">IF('Implied-Return Calculator'!S25="","",'Implied-Return Calculator'!S25)</f>
        <v/>
      </c>
      <c r="M24" s="133" t="str">
        <f aca="false">IF('Implied-Return Calculator'!T25="","",'Implied-Return Calculator'!T25)</f>
        <v/>
      </c>
      <c r="N24" s="133" t="str">
        <f aca="false">IF('Implied-Return Calculator'!U25="","",'Implied-Return Calculator'!U25)</f>
        <v/>
      </c>
      <c r="O24" s="133"/>
      <c r="P24" s="133"/>
      <c r="Q24" s="132" t="str">
        <f aca="false">IF(OR(N24="",O24=""),"",IF(N24&lt;=50,"PASS — within ceiling",IF(AND(O24&gt;0.3,L24="PASS"),"PASS — growth+bear case exception met","FAIL — exceeds 50x, exception not met")))</f>
        <v/>
      </c>
      <c r="R24" s="132" t="str">
        <f aca="false">IF(OR(C24="",D24="",E24="",K24="",L24="",M24="",N24="",Q24=""),"",IF(AND(C24="PASS",D24="PASS",LEFT(E24,4)="PASS",LEFT(K24,4)="PASS",L24="PASS",M24="PASS",N24="OK",LEFT(Q24,4)="PASS"),"YES","NO — see failing rule(s)"))</f>
        <v/>
      </c>
      <c r="S24" s="132" t="str">
        <f aca="false">IF(R24="","",IF(R24="YES","Initiate: "&amp;H24,"DO NOT ENTER — resolve failing Entry Rule(s) above first"))</f>
        <v/>
      </c>
    </row>
    <row r="25" customFormat="false" ht="15" hidden="false" customHeight="true" outlineLevel="0" collapsed="false">
      <c r="A25" s="132" t="str">
        <f aca="false">IF(Scoring!A25="","",Scoring!A25)</f>
        <v>NOV</v>
      </c>
      <c r="B25" s="132" t="str">
        <f aca="false">IF(Scoring!B25="","",Scoring!B25)</f>
        <v>NOV Inc.</v>
      </c>
      <c r="C25" s="133" t="str">
        <f aca="false">IF(Scoring!AG25="","",IF(OR(Scoring!AG25="STRONG BUY",Scoring!AG25="BUY"),"PASS","FAIL"))</f>
        <v/>
      </c>
      <c r="D25" s="133" t="str">
        <f aca="false">IF(Scoring!AH25="","",IF(Scoring!AH25="OK","PASS","FAIL"))</f>
        <v>FAIL</v>
      </c>
      <c r="E25" s="133" t="str">
        <f aca="false">IF(Scoring!AI25="","",IF(Scoring!AI25="OK","PASS","FAIL — mandatory review required"))</f>
        <v>PASS</v>
      </c>
      <c r="F25" s="133"/>
      <c r="G25" s="133"/>
      <c r="H25" s="132" t="str">
        <f aca="false">IF(OR(F25="",G25=""),"",IF(AND(F25="Y",G25="Y"),"Standard initial size","50% of normal initial size + 90-day technical review"))</f>
        <v/>
      </c>
      <c r="I25" s="133"/>
      <c r="J25" s="133"/>
      <c r="K25" s="133" t="str">
        <f aca="false">IF(I25="","",IF(I25="N","PASS",IF(J25="Y","PASS — risk documented in thesis","FAIL — undocumented binary risk")))</f>
        <v/>
      </c>
      <c r="L25" s="133" t="str">
        <f aca="false">IF('Implied-Return Calculator'!S26="","",'Implied-Return Calculator'!S26)</f>
        <v/>
      </c>
      <c r="M25" s="133" t="str">
        <f aca="false">IF('Implied-Return Calculator'!T26="","",'Implied-Return Calculator'!T26)</f>
        <v/>
      </c>
      <c r="N25" s="133" t="str">
        <f aca="false">IF('Implied-Return Calculator'!U26="","",'Implied-Return Calculator'!U26)</f>
        <v/>
      </c>
      <c r="O25" s="133"/>
      <c r="P25" s="133"/>
      <c r="Q25" s="132" t="str">
        <f aca="false">IF(OR(N25="",O25=""),"",IF(N25&lt;=50,"PASS — within ceiling",IF(AND(O25&gt;0.3,L25="PASS"),"PASS — growth+bear case exception met","FAIL — exceeds 50x, exception not met")))</f>
        <v/>
      </c>
      <c r="R25" s="132" t="str">
        <f aca="false">IF(OR(C25="",D25="",E25="",K25="",L25="",M25="",N25="",Q25=""),"",IF(AND(C25="PASS",D25="PASS",LEFT(E25,4)="PASS",LEFT(K25,4)="PASS",L25="PASS",M25="PASS",N25="OK",LEFT(Q25,4)="PASS"),"YES","NO — see failing rule(s)"))</f>
        <v/>
      </c>
      <c r="S25" s="132" t="str">
        <f aca="false">IF(R25="","",IF(R25="YES","Initiate: "&amp;H25,"DO NOT ENTER — resolve failing Entry Rule(s) above first"))</f>
        <v/>
      </c>
    </row>
    <row r="26" customFormat="false" ht="15" hidden="false" customHeight="true" outlineLevel="0" collapsed="false">
      <c r="A26" s="132" t="str">
        <f aca="false">IF(Scoring!A26="","",Scoring!A26)</f>
        <v>CE</v>
      </c>
      <c r="B26" s="132" t="str">
        <f aca="false">IF(Scoring!B26="","",Scoring!B26)</f>
        <v>Celanese Corp.</v>
      </c>
      <c r="C26" s="133" t="str">
        <f aca="false">IF(Scoring!AG26="","",IF(OR(Scoring!AG26="STRONG BUY",Scoring!AG26="BUY"),"PASS","FAIL"))</f>
        <v/>
      </c>
      <c r="D26" s="133" t="str">
        <f aca="false">IF(Scoring!AH26="","",IF(Scoring!AH26="OK","PASS","FAIL"))</f>
        <v>FAIL</v>
      </c>
      <c r="E26" s="133" t="str">
        <f aca="false">IF(Scoring!AI26="","",IF(Scoring!AI26="OK","PASS","FAIL — mandatory review required"))</f>
        <v>FAIL — mandatory review required</v>
      </c>
      <c r="F26" s="133"/>
      <c r="G26" s="133"/>
      <c r="H26" s="132" t="str">
        <f aca="false">IF(OR(F26="",G26=""),"",IF(AND(F26="Y",G26="Y"),"Standard initial size","50% of normal initial size + 90-day technical review"))</f>
        <v/>
      </c>
      <c r="I26" s="133"/>
      <c r="J26" s="133"/>
      <c r="K26" s="133" t="str">
        <f aca="false">IF(I26="","",IF(I26="N","PASS",IF(J26="Y","PASS — risk documented in thesis","FAIL — undocumented binary risk")))</f>
        <v/>
      </c>
      <c r="L26" s="133" t="str">
        <f aca="false">IF('Implied-Return Calculator'!S27="","",'Implied-Return Calculator'!S27)</f>
        <v/>
      </c>
      <c r="M26" s="133" t="str">
        <f aca="false">IF('Implied-Return Calculator'!T27="","",'Implied-Return Calculator'!T27)</f>
        <v/>
      </c>
      <c r="N26" s="133" t="str">
        <f aca="false">IF('Implied-Return Calculator'!U27="","",'Implied-Return Calculator'!U27)</f>
        <v/>
      </c>
      <c r="O26" s="133"/>
      <c r="P26" s="133"/>
      <c r="Q26" s="132" t="str">
        <f aca="false">IF(OR(N26="",O26=""),"",IF(N26&lt;=50,"PASS — within ceiling",IF(AND(O26&gt;0.3,L26="PASS"),"PASS — growth+bear case exception met","FAIL — exceeds 50x, exception not met")))</f>
        <v/>
      </c>
      <c r="R26" s="132" t="str">
        <f aca="false">IF(OR(C26="",D26="",E26="",K26="",L26="",M26="",N26="",Q26=""),"",IF(AND(C26="PASS",D26="PASS",LEFT(E26,4)="PASS",LEFT(K26,4)="PASS",L26="PASS",M26="PASS",N26="OK",LEFT(Q26,4)="PASS"),"YES","NO — see failing rule(s)"))</f>
        <v/>
      </c>
      <c r="S26" s="132" t="str">
        <f aca="false">IF(R26="","",IF(R26="YES","Initiate: "&amp;H26,"DO NOT ENTER — resolve failing Entry Rule(s) above first"))</f>
        <v/>
      </c>
    </row>
    <row r="27" customFormat="false" ht="15" hidden="false" customHeight="true" outlineLevel="0" collapsed="false">
      <c r="A27" s="132" t="str">
        <f aca="false">IF(Scoring!A27="","",Scoring!A27)</f>
        <v>CLF</v>
      </c>
      <c r="B27" s="132" t="str">
        <f aca="false">IF(Scoring!B27="","",Scoring!B27)</f>
        <v>Cleveland-Cliffs Inc.</v>
      </c>
      <c r="C27" s="133" t="str">
        <f aca="false">IF(Scoring!AG27="","",IF(OR(Scoring!AG27="STRONG BUY",Scoring!AG27="BUY"),"PASS","FAIL"))</f>
        <v/>
      </c>
      <c r="D27" s="133" t="str">
        <f aca="false">IF(Scoring!AH27="","",IF(Scoring!AH27="OK","PASS","FAIL"))</f>
        <v>FAIL</v>
      </c>
      <c r="E27" s="133" t="str">
        <f aca="false">IF(Scoring!AI27="","",IF(Scoring!AI27="OK","PASS","FAIL — mandatory review required"))</f>
        <v>FAIL — mandatory review required</v>
      </c>
      <c r="F27" s="133"/>
      <c r="G27" s="133"/>
      <c r="H27" s="132" t="str">
        <f aca="false">IF(OR(F27="",G27=""),"",IF(AND(F27="Y",G27="Y"),"Standard initial size","50% of normal initial size + 90-day technical review"))</f>
        <v/>
      </c>
      <c r="I27" s="133"/>
      <c r="J27" s="133"/>
      <c r="K27" s="133" t="str">
        <f aca="false">IF(I27="","",IF(I27="N","PASS",IF(J27="Y","PASS — risk documented in thesis","FAIL — undocumented binary risk")))</f>
        <v/>
      </c>
      <c r="L27" s="133" t="str">
        <f aca="false">IF('Implied-Return Calculator'!S28="","",'Implied-Return Calculator'!S28)</f>
        <v/>
      </c>
      <c r="M27" s="133" t="str">
        <f aca="false">IF('Implied-Return Calculator'!T28="","",'Implied-Return Calculator'!T28)</f>
        <v/>
      </c>
      <c r="N27" s="133" t="str">
        <f aca="false">IF('Implied-Return Calculator'!U28="","",'Implied-Return Calculator'!U28)</f>
        <v/>
      </c>
      <c r="O27" s="133"/>
      <c r="P27" s="133"/>
      <c r="Q27" s="132" t="str">
        <f aca="false">IF(OR(N27="",O27=""),"",IF(N27&lt;=50,"PASS — within ceiling",IF(AND(O27&gt;0.3,L27="PASS"),"PASS — growth+bear case exception met","FAIL — exceeds 50x, exception not met")))</f>
        <v/>
      </c>
      <c r="R27" s="132" t="str">
        <f aca="false">IF(OR(C27="",D27="",E27="",K27="",L27="",M27="",N27="",Q27=""),"",IF(AND(C27="PASS",D27="PASS",LEFT(E27,4)="PASS",LEFT(K27,4)="PASS",L27="PASS",M27="PASS",N27="OK",LEFT(Q27,4)="PASS"),"YES","NO — see failing rule(s)"))</f>
        <v/>
      </c>
      <c r="S27" s="132" t="str">
        <f aca="false">IF(R27="","",IF(R27="YES","Initiate: "&amp;H27,"DO NOT ENTER — resolve failing Entry Rule(s) above first"))</f>
        <v/>
      </c>
    </row>
    <row r="28" customFormat="false" ht="15" hidden="false" customHeight="true" outlineLevel="0" collapsed="false">
      <c r="A28" s="132" t="str">
        <f aca="false">IF(Scoring!A28="","",Scoring!A28)</f>
        <v>LIN</v>
      </c>
      <c r="B28" s="132" t="str">
        <f aca="false">IF(Scoring!B28="","",Scoring!B28)</f>
        <v>Linde plc</v>
      </c>
      <c r="C28" s="133" t="str">
        <f aca="false">IF(Scoring!AG28="","",IF(OR(Scoring!AG28="STRONG BUY",Scoring!AG28="BUY"),"PASS","FAIL"))</f>
        <v/>
      </c>
      <c r="D28" s="133" t="str">
        <f aca="false">IF(Scoring!AH28="","",IF(Scoring!AH28="OK","PASS","FAIL"))</f>
        <v>PASS</v>
      </c>
      <c r="E28" s="133" t="str">
        <f aca="false">IF(Scoring!AI28="","",IF(Scoring!AI28="OK","PASS","FAIL — mandatory review required"))</f>
        <v>PASS</v>
      </c>
      <c r="F28" s="133"/>
      <c r="G28" s="133"/>
      <c r="H28" s="132" t="str">
        <f aca="false">IF(OR(F28="",G28=""),"",IF(AND(F28="Y",G28="Y"),"Standard initial size","50% of normal initial size + 90-day technical review"))</f>
        <v/>
      </c>
      <c r="I28" s="133"/>
      <c r="J28" s="133"/>
      <c r="K28" s="133" t="str">
        <f aca="false">IF(I28="","",IF(I28="N","PASS",IF(J28="Y","PASS — risk documented in thesis","FAIL — undocumented binary risk")))</f>
        <v/>
      </c>
      <c r="L28" s="133" t="str">
        <f aca="false">IF('Implied-Return Calculator'!S29="","",'Implied-Return Calculator'!S29)</f>
        <v/>
      </c>
      <c r="M28" s="133" t="str">
        <f aca="false">IF('Implied-Return Calculator'!T29="","",'Implied-Return Calculator'!T29)</f>
        <v/>
      </c>
      <c r="N28" s="133" t="str">
        <f aca="false">IF('Implied-Return Calculator'!U29="","",'Implied-Return Calculator'!U29)</f>
        <v/>
      </c>
      <c r="O28" s="133"/>
      <c r="P28" s="133"/>
      <c r="Q28" s="132" t="str">
        <f aca="false">IF(OR(N28="",O28=""),"",IF(N28&lt;=50,"PASS — within ceiling",IF(AND(O28&gt;0.3,L28="PASS"),"PASS — growth+bear case exception met","FAIL — exceeds 50x, exception not met")))</f>
        <v/>
      </c>
      <c r="R28" s="132" t="str">
        <f aca="false">IF(OR(C28="",D28="",E28="",K28="",L28="",M28="",N28="",Q28=""),"",IF(AND(C28="PASS",D28="PASS",LEFT(E28,4)="PASS",LEFT(K28,4)="PASS",L28="PASS",M28="PASS",N28="OK",LEFT(Q28,4)="PASS"),"YES","NO — see failing rule(s)"))</f>
        <v/>
      </c>
      <c r="S28" s="132" t="str">
        <f aca="false">IF(R28="","",IF(R28="YES","Initiate: "&amp;H28,"DO NOT ENTER — resolve failing Entry Rule(s) above first"))</f>
        <v/>
      </c>
    </row>
    <row r="29" customFormat="false" ht="15" hidden="false" customHeight="true" outlineLevel="0" collapsed="false">
      <c r="A29" s="132" t="str">
        <f aca="false">IF(Scoring!A29="","",Scoring!A29)</f>
        <v>DEO</v>
      </c>
      <c r="B29" s="132" t="str">
        <f aca="false">IF(Scoring!B29="","",Scoring!B29)</f>
        <v>Diageo plc</v>
      </c>
      <c r="C29" s="133" t="str">
        <f aca="false">IF(Scoring!AG29="","",IF(OR(Scoring!AG29="STRONG BUY",Scoring!AG29="BUY"),"PASS","FAIL"))</f>
        <v/>
      </c>
      <c r="D29" s="133" t="str">
        <f aca="false">IF(Scoring!AH29="","",IF(Scoring!AH29="OK","PASS","FAIL"))</f>
        <v>FAIL</v>
      </c>
      <c r="E29" s="133" t="str">
        <f aca="false">IF(Scoring!AI29="","",IF(Scoring!AI29="OK","PASS","FAIL — mandatory review required"))</f>
        <v>PASS</v>
      </c>
      <c r="F29" s="133"/>
      <c r="G29" s="133"/>
      <c r="H29" s="132" t="str">
        <f aca="false">IF(OR(F29="",G29=""),"",IF(AND(F29="Y",G29="Y"),"Standard initial size","50% of normal initial size + 90-day technical review"))</f>
        <v/>
      </c>
      <c r="I29" s="133"/>
      <c r="J29" s="133"/>
      <c r="K29" s="133" t="str">
        <f aca="false">IF(I29="","",IF(I29="N","PASS",IF(J29="Y","PASS — risk documented in thesis","FAIL — undocumented binary risk")))</f>
        <v/>
      </c>
      <c r="L29" s="133" t="str">
        <f aca="false">IF('Implied-Return Calculator'!S30="","",'Implied-Return Calculator'!S30)</f>
        <v/>
      </c>
      <c r="M29" s="133" t="str">
        <f aca="false">IF('Implied-Return Calculator'!T30="","",'Implied-Return Calculator'!T30)</f>
        <v/>
      </c>
      <c r="N29" s="133" t="str">
        <f aca="false">IF('Implied-Return Calculator'!U30="","",'Implied-Return Calculator'!U30)</f>
        <v/>
      </c>
      <c r="O29" s="133"/>
      <c r="P29" s="133"/>
      <c r="Q29" s="132" t="str">
        <f aca="false">IF(OR(N29="",O29=""),"",IF(N29&lt;=50,"PASS — within ceiling",IF(AND(O29&gt;0.3,L29="PASS"),"PASS — growth+bear case exception met","FAIL — exceeds 50x, exception not met")))</f>
        <v/>
      </c>
      <c r="R29" s="132" t="str">
        <f aca="false">IF(OR(C29="",D29="",E29="",K29="",L29="",M29="",N29="",Q29=""),"",IF(AND(C29="PASS",D29="PASS",LEFT(E29,4)="PASS",LEFT(K29,4)="PASS",L29="PASS",M29="PASS",N29="OK",LEFT(Q29,4)="PASS"),"YES","NO — see failing rule(s)"))</f>
        <v/>
      </c>
      <c r="S29" s="132" t="str">
        <f aca="false">IF(R29="","",IF(R29="YES","Initiate: "&amp;H29,"DO NOT ENTER — resolve failing Entry Rule(s) above first"))</f>
        <v/>
      </c>
    </row>
    <row r="30" customFormat="false" ht="15" hidden="false" customHeight="true" outlineLevel="0" collapsed="false">
      <c r="A30" s="132" t="str">
        <f aca="false">IF(Scoring!A30="","",Scoring!A30)</f>
        <v>EL</v>
      </c>
      <c r="B30" s="132" t="str">
        <f aca="false">IF(Scoring!B30="","",Scoring!B30)</f>
        <v>Estee Lauder Companies</v>
      </c>
      <c r="C30" s="133" t="str">
        <f aca="false">IF(Scoring!AG30="","",IF(OR(Scoring!AG30="STRONG BUY",Scoring!AG30="BUY"),"PASS","FAIL"))</f>
        <v/>
      </c>
      <c r="D30" s="133" t="str">
        <f aca="false">IF(Scoring!AH30="","",IF(Scoring!AH30="OK","PASS","FAIL"))</f>
        <v>FAIL</v>
      </c>
      <c r="E30" s="133" t="str">
        <f aca="false">IF(Scoring!AI30="","",IF(Scoring!AI30="OK","PASS","FAIL — mandatory review required"))</f>
        <v>FAIL — mandatory review required</v>
      </c>
      <c r="F30" s="133"/>
      <c r="G30" s="133"/>
      <c r="H30" s="132" t="str">
        <f aca="false">IF(OR(F30="",G30=""),"",IF(AND(F30="Y",G30="Y"),"Standard initial size","50% of normal initial size + 90-day technical review"))</f>
        <v/>
      </c>
      <c r="I30" s="133"/>
      <c r="J30" s="133"/>
      <c r="K30" s="133" t="str">
        <f aca="false">IF(I30="","",IF(I30="N","PASS",IF(J30="Y","PASS — risk documented in thesis","FAIL — undocumented binary risk")))</f>
        <v/>
      </c>
      <c r="L30" s="133" t="str">
        <f aca="false">IF('Implied-Return Calculator'!S31="","",'Implied-Return Calculator'!S31)</f>
        <v/>
      </c>
      <c r="M30" s="133" t="str">
        <f aca="false">IF('Implied-Return Calculator'!T31="","",'Implied-Return Calculator'!T31)</f>
        <v/>
      </c>
      <c r="N30" s="133" t="str">
        <f aca="false">IF('Implied-Return Calculator'!U31="","",'Implied-Return Calculator'!U31)</f>
        <v/>
      </c>
      <c r="O30" s="133"/>
      <c r="P30" s="133"/>
      <c r="Q30" s="132" t="str">
        <f aca="false">IF(OR(N30="",O30=""),"",IF(N30&lt;=50,"PASS — within ceiling",IF(AND(O30&gt;0.3,L30="PASS"),"PASS — growth+bear case exception met","FAIL — exceeds 50x, exception not met")))</f>
        <v/>
      </c>
      <c r="R30" s="132" t="str">
        <f aca="false">IF(OR(C30="",D30="",E30="",K30="",L30="",M30="",N30="",Q30=""),"",IF(AND(C30="PASS",D30="PASS",LEFT(E30,4)="PASS",LEFT(K30,4)="PASS",L30="PASS",M30="PASS",N30="OK",LEFT(Q30,4)="PASS"),"YES","NO — see failing rule(s)"))</f>
        <v/>
      </c>
      <c r="S30" s="132" t="str">
        <f aca="false">IF(R30="","",IF(R30="YES","Initiate: "&amp;H30,"DO NOT ENTER — resolve failing Entry Rule(s) above first"))</f>
        <v/>
      </c>
    </row>
    <row r="31" customFormat="false" ht="15" hidden="false" customHeight="true" outlineLevel="0" collapsed="false">
      <c r="A31" s="132" t="str">
        <f aca="false">IF(Scoring!A31="","",Scoring!A31)</f>
        <v>HRL</v>
      </c>
      <c r="B31" s="132" t="str">
        <f aca="false">IF(Scoring!B31="","",Scoring!B31)</f>
        <v>Hormel Foods Corp.</v>
      </c>
      <c r="C31" s="133" t="str">
        <f aca="false">IF(Scoring!AG31="","",IF(OR(Scoring!AG31="STRONG BUY",Scoring!AG31="BUY"),"PASS","FAIL"))</f>
        <v/>
      </c>
      <c r="D31" s="133" t="str">
        <f aca="false">IF(Scoring!AH31="","",IF(Scoring!AH31="OK","PASS","FAIL"))</f>
        <v>FAIL</v>
      </c>
      <c r="E31" s="133" t="str">
        <f aca="false">IF(Scoring!AI31="","",IF(Scoring!AI31="OK","PASS","FAIL — mandatory review required"))</f>
        <v>FAIL — mandatory review required</v>
      </c>
      <c r="F31" s="133"/>
      <c r="G31" s="133"/>
      <c r="H31" s="132" t="str">
        <f aca="false">IF(OR(F31="",G31=""),"",IF(AND(F31="Y",G31="Y"),"Standard initial size","50% of normal initial size + 90-day technical review"))</f>
        <v/>
      </c>
      <c r="I31" s="133"/>
      <c r="J31" s="133"/>
      <c r="K31" s="133" t="str">
        <f aca="false">IF(I31="","",IF(I31="N","PASS",IF(J31="Y","PASS — risk documented in thesis","FAIL — undocumented binary risk")))</f>
        <v/>
      </c>
      <c r="L31" s="133" t="str">
        <f aca="false">IF('Implied-Return Calculator'!S32="","",'Implied-Return Calculator'!S32)</f>
        <v/>
      </c>
      <c r="M31" s="133" t="str">
        <f aca="false">IF('Implied-Return Calculator'!T32="","",'Implied-Return Calculator'!T32)</f>
        <v/>
      </c>
      <c r="N31" s="133" t="str">
        <f aca="false">IF('Implied-Return Calculator'!U32="","",'Implied-Return Calculator'!U32)</f>
        <v/>
      </c>
      <c r="O31" s="133"/>
      <c r="P31" s="133"/>
      <c r="Q31" s="132" t="str">
        <f aca="false">IF(OR(N31="",O31=""),"",IF(N31&lt;=50,"PASS — within ceiling",IF(AND(O31&gt;0.3,L31="PASS"),"PASS — growth+bear case exception met","FAIL — exceeds 50x, exception not met")))</f>
        <v/>
      </c>
      <c r="R31" s="132" t="str">
        <f aca="false">IF(OR(C31="",D31="",E31="",K31="",L31="",M31="",N31="",Q31=""),"",IF(AND(C31="PASS",D31="PASS",LEFT(E31,4)="PASS",LEFT(K31,4)="PASS",L31="PASS",M31="PASS",N31="OK",LEFT(Q31,4)="PASS"),"YES","NO — see failing rule(s)"))</f>
        <v/>
      </c>
      <c r="S31" s="132" t="str">
        <f aca="false">IF(R31="","",IF(R31="YES","Initiate: "&amp;H31,"DO NOT ENTER — resolve failing Entry Rule(s) above first"))</f>
        <v/>
      </c>
    </row>
    <row r="32" customFormat="false" ht="15" hidden="false" customHeight="true" outlineLevel="0" collapsed="false">
      <c r="A32" s="132" t="str">
        <f aca="false">IF(Scoring!A32="","",Scoring!A32)</f>
        <v>PG</v>
      </c>
      <c r="B32" s="132" t="str">
        <f aca="false">IF(Scoring!B32="","",Scoring!B32)</f>
        <v>Procter &amp; Gamble Co.</v>
      </c>
      <c r="C32" s="133" t="str">
        <f aca="false">IF(Scoring!AG32="","",IF(OR(Scoring!AG32="STRONG BUY",Scoring!AG32="BUY"),"PASS","FAIL"))</f>
        <v/>
      </c>
      <c r="D32" s="133" t="str">
        <f aca="false">IF(Scoring!AH32="","",IF(Scoring!AH32="OK","PASS","FAIL"))</f>
        <v>PASS</v>
      </c>
      <c r="E32" s="133" t="str">
        <f aca="false">IF(Scoring!AI32="","",IF(Scoring!AI32="OK","PASS","FAIL — mandatory review required"))</f>
        <v>PASS</v>
      </c>
      <c r="F32" s="133"/>
      <c r="G32" s="133"/>
      <c r="H32" s="132" t="str">
        <f aca="false">IF(OR(F32="",G32=""),"",IF(AND(F32="Y",G32="Y"),"Standard initial size","50% of normal initial size + 90-day technical review"))</f>
        <v/>
      </c>
      <c r="I32" s="133"/>
      <c r="J32" s="133"/>
      <c r="K32" s="133" t="str">
        <f aca="false">IF(I32="","",IF(I32="N","PASS",IF(J32="Y","PASS — risk documented in thesis","FAIL — undocumented binary risk")))</f>
        <v/>
      </c>
      <c r="L32" s="133" t="str">
        <f aca="false">IF('Implied-Return Calculator'!S33="","",'Implied-Return Calculator'!S33)</f>
        <v/>
      </c>
      <c r="M32" s="133" t="str">
        <f aca="false">IF('Implied-Return Calculator'!T33="","",'Implied-Return Calculator'!T33)</f>
        <v/>
      </c>
      <c r="N32" s="133" t="str">
        <f aca="false">IF('Implied-Return Calculator'!U33="","",'Implied-Return Calculator'!U33)</f>
        <v/>
      </c>
      <c r="O32" s="133"/>
      <c r="P32" s="133"/>
      <c r="Q32" s="132" t="str">
        <f aca="false">IF(OR(N32="",O32=""),"",IF(N32&lt;=50,"PASS — within ceiling",IF(AND(O32&gt;0.3,L32="PASS"),"PASS — growth+bear case exception met","FAIL — exceeds 50x, exception not met")))</f>
        <v/>
      </c>
      <c r="R32" s="132" t="str">
        <f aca="false">IF(OR(C32="",D32="",E32="",K32="",L32="",M32="",N32="",Q32=""),"",IF(AND(C32="PASS",D32="PASS",LEFT(E32,4)="PASS",LEFT(K32,4)="PASS",L32="PASS",M32="PASS",N32="OK",LEFT(Q32,4)="PASS"),"YES","NO — see failing rule(s)"))</f>
        <v/>
      </c>
      <c r="S32" s="132" t="str">
        <f aca="false">IF(R32="","",IF(R32="YES","Initiate: "&amp;H32,"DO NOT ENTER — resolve failing Entry Rule(s) above first"))</f>
        <v/>
      </c>
    </row>
    <row r="33" customFormat="false" ht="15" hidden="false" customHeight="true" outlineLevel="0" collapsed="false">
      <c r="A33" s="132" t="str">
        <f aca="false">IF(Scoring!A33="","",Scoring!A33)</f>
        <v>CMG</v>
      </c>
      <c r="B33" s="132" t="str">
        <f aca="false">IF(Scoring!B33="","",Scoring!B33)</f>
        <v>Chipotle Mexican Grill</v>
      </c>
      <c r="C33" s="133" t="str">
        <f aca="false">IF(Scoring!AG33="","",IF(OR(Scoring!AG33="STRONG BUY",Scoring!AG33="BUY"),"PASS","FAIL"))</f>
        <v/>
      </c>
      <c r="D33" s="133" t="str">
        <f aca="false">IF(Scoring!AH33="","",IF(Scoring!AH33="OK","PASS","FAIL"))</f>
        <v>PASS</v>
      </c>
      <c r="E33" s="133" t="str">
        <f aca="false">IF(Scoring!AI33="","",IF(Scoring!AI33="OK","PASS","FAIL — mandatory review required"))</f>
        <v>PASS</v>
      </c>
      <c r="F33" s="133"/>
      <c r="G33" s="133"/>
      <c r="H33" s="132" t="str">
        <f aca="false">IF(OR(F33="",G33=""),"",IF(AND(F33="Y",G33="Y"),"Standard initial size","50% of normal initial size + 90-day technical review"))</f>
        <v/>
      </c>
      <c r="I33" s="133"/>
      <c r="J33" s="133"/>
      <c r="K33" s="133" t="str">
        <f aca="false">IF(I33="","",IF(I33="N","PASS",IF(J33="Y","PASS — risk documented in thesis","FAIL — undocumented binary risk")))</f>
        <v/>
      </c>
      <c r="L33" s="133" t="str">
        <f aca="false">IF('Implied-Return Calculator'!S34="","",'Implied-Return Calculator'!S34)</f>
        <v/>
      </c>
      <c r="M33" s="133" t="str">
        <f aca="false">IF('Implied-Return Calculator'!T34="","",'Implied-Return Calculator'!T34)</f>
        <v/>
      </c>
      <c r="N33" s="133" t="str">
        <f aca="false">IF('Implied-Return Calculator'!U34="","",'Implied-Return Calculator'!U34)</f>
        <v/>
      </c>
      <c r="O33" s="133"/>
      <c r="P33" s="133"/>
      <c r="Q33" s="132" t="str">
        <f aca="false">IF(OR(N33="",O33=""),"",IF(N33&lt;=50,"PASS — within ceiling",IF(AND(O33&gt;0.3,L33="PASS"),"PASS — growth+bear case exception met","FAIL — exceeds 50x, exception not met")))</f>
        <v/>
      </c>
      <c r="R33" s="132" t="str">
        <f aca="false">IF(OR(C33="",D33="",E33="",K33="",L33="",M33="",N33="",Q33=""),"",IF(AND(C33="PASS",D33="PASS",LEFT(E33,4)="PASS",LEFT(K33,4)="PASS",L33="PASS",M33="PASS",N33="OK",LEFT(Q33,4)="PASS"),"YES","NO — see failing rule(s)"))</f>
        <v/>
      </c>
      <c r="S33" s="132" t="str">
        <f aca="false">IF(R33="","",IF(R33="YES","Initiate: "&amp;H33,"DO NOT ENTER — resolve failing Entry Rule(s) above first"))</f>
        <v/>
      </c>
    </row>
    <row r="34" customFormat="false" ht="15" hidden="false" customHeight="true" outlineLevel="0" collapsed="false">
      <c r="A34" s="132" t="str">
        <f aca="false">IF(Scoring!A34="","",Scoring!A34)</f>
        <v>DPZ</v>
      </c>
      <c r="B34" s="132" t="str">
        <f aca="false">IF(Scoring!B34="","",Scoring!B34)</f>
        <v>Domino's Pizza Inc.</v>
      </c>
      <c r="C34" s="133" t="str">
        <f aca="false">IF(Scoring!AG34="","",IF(OR(Scoring!AG34="STRONG BUY",Scoring!AG34="BUY"),"PASS","FAIL"))</f>
        <v/>
      </c>
      <c r="D34" s="133" t="str">
        <f aca="false">IF(Scoring!AH34="","",IF(Scoring!AH34="OK","PASS","FAIL"))</f>
        <v>PASS</v>
      </c>
      <c r="E34" s="133" t="str">
        <f aca="false">IF(Scoring!AI34="","",IF(Scoring!AI34="OK","PASS","FAIL — mandatory review required"))</f>
        <v>PASS</v>
      </c>
      <c r="F34" s="133"/>
      <c r="G34" s="133"/>
      <c r="H34" s="132" t="str">
        <f aca="false">IF(OR(F34="",G34=""),"",IF(AND(F34="Y",G34="Y"),"Standard initial size","50% of normal initial size + 90-day technical review"))</f>
        <v/>
      </c>
      <c r="I34" s="133"/>
      <c r="J34" s="133"/>
      <c r="K34" s="133" t="str">
        <f aca="false">IF(I34="","",IF(I34="N","PASS",IF(J34="Y","PASS — risk documented in thesis","FAIL — undocumented binary risk")))</f>
        <v/>
      </c>
      <c r="L34" s="133" t="str">
        <f aca="false">IF('Implied-Return Calculator'!S35="","",'Implied-Return Calculator'!S35)</f>
        <v/>
      </c>
      <c r="M34" s="133" t="str">
        <f aca="false">IF('Implied-Return Calculator'!T35="","",'Implied-Return Calculator'!T35)</f>
        <v/>
      </c>
      <c r="N34" s="133" t="str">
        <f aca="false">IF('Implied-Return Calculator'!U35="","",'Implied-Return Calculator'!U35)</f>
        <v/>
      </c>
      <c r="O34" s="133"/>
      <c r="P34" s="133"/>
      <c r="Q34" s="132" t="str">
        <f aca="false">IF(OR(N34="",O34=""),"",IF(N34&lt;=50,"PASS — within ceiling",IF(AND(O34&gt;0.3,L34="PASS"),"PASS — growth+bear case exception met","FAIL — exceeds 50x, exception not met")))</f>
        <v/>
      </c>
      <c r="R34" s="132" t="str">
        <f aca="false">IF(OR(C34="",D34="",E34="",K34="",L34="",M34="",N34="",Q34=""),"",IF(AND(C34="PASS",D34="PASS",LEFT(E34,4)="PASS",LEFT(K34,4)="PASS",L34="PASS",M34="PASS",N34="OK",LEFT(Q34,4)="PASS"),"YES","NO — see failing rule(s)"))</f>
        <v/>
      </c>
      <c r="S34" s="132" t="str">
        <f aca="false">IF(R34="","",IF(R34="YES","Initiate: "&amp;H34,"DO NOT ENTER — resolve failing Entry Rule(s) above first"))</f>
        <v/>
      </c>
    </row>
    <row r="35" customFormat="false" ht="15" hidden="false" customHeight="true" outlineLevel="0" collapsed="false">
      <c r="A35" s="132" t="str">
        <f aca="false">IF(Scoring!A35="","",Scoring!A35)</f>
        <v>PZZA</v>
      </c>
      <c r="B35" s="132" t="str">
        <f aca="false">IF(Scoring!B35="","",Scoring!B35)</f>
        <v>Papa John's Intl.</v>
      </c>
      <c r="C35" s="133" t="str">
        <f aca="false">IF(Scoring!AG35="","",IF(OR(Scoring!AG35="STRONG BUY",Scoring!AG35="BUY"),"PASS","FAIL"))</f>
        <v/>
      </c>
      <c r="D35" s="133" t="str">
        <f aca="false">IF(Scoring!AH35="","",IF(Scoring!AH35="OK","PASS","FAIL"))</f>
        <v>FAIL</v>
      </c>
      <c r="E35" s="133" t="str">
        <f aca="false">IF(Scoring!AI35="","",IF(Scoring!AI35="OK","PASS","FAIL — mandatory review required"))</f>
        <v>FAIL — mandatory review required</v>
      </c>
      <c r="F35" s="133"/>
      <c r="G35" s="133"/>
      <c r="H35" s="132" t="str">
        <f aca="false">IF(OR(F35="",G35=""),"",IF(AND(F35="Y",G35="Y"),"Standard initial size","50% of normal initial size + 90-day technical review"))</f>
        <v/>
      </c>
      <c r="I35" s="133"/>
      <c r="J35" s="133"/>
      <c r="K35" s="133" t="str">
        <f aca="false">IF(I35="","",IF(I35="N","PASS",IF(J35="Y","PASS — risk documented in thesis","FAIL — undocumented binary risk")))</f>
        <v/>
      </c>
      <c r="L35" s="133" t="str">
        <f aca="false">IF('Implied-Return Calculator'!S36="","",'Implied-Return Calculator'!S36)</f>
        <v/>
      </c>
      <c r="M35" s="133" t="str">
        <f aca="false">IF('Implied-Return Calculator'!T36="","",'Implied-Return Calculator'!T36)</f>
        <v/>
      </c>
      <c r="N35" s="133" t="str">
        <f aca="false">IF('Implied-Return Calculator'!U36="","",'Implied-Return Calculator'!U36)</f>
        <v/>
      </c>
      <c r="O35" s="133"/>
      <c r="P35" s="133"/>
      <c r="Q35" s="132" t="str">
        <f aca="false">IF(OR(N35="",O35=""),"",IF(N35&lt;=50,"PASS — within ceiling",IF(AND(O35&gt;0.3,L35="PASS"),"PASS — growth+bear case exception met","FAIL — exceeds 50x, exception not met")))</f>
        <v/>
      </c>
      <c r="R35" s="132" t="str">
        <f aca="false">IF(OR(C35="",D35="",E35="",K35="",L35="",M35="",N35="",Q35=""),"",IF(AND(C35="PASS",D35="PASS",LEFT(E35,4)="PASS",LEFT(K35,4)="PASS",L35="PASS",M35="PASS",N35="OK",LEFT(Q35,4)="PASS"),"YES","NO — see failing rule(s)"))</f>
        <v/>
      </c>
      <c r="S35" s="132" t="str">
        <f aca="false">IF(R35="","",IF(R35="YES","Initiate: "&amp;H35,"DO NOT ENTER — resolve failing Entry Rule(s) above first"))</f>
        <v/>
      </c>
    </row>
    <row r="36" customFormat="false" ht="15" hidden="false" customHeight="true" outlineLevel="0" collapsed="false">
      <c r="A36" s="132" t="str">
        <f aca="false">IF(Scoring!A36="","",Scoring!A36)</f>
        <v>YUM</v>
      </c>
      <c r="B36" s="132" t="str">
        <f aca="false">IF(Scoring!B36="","",Scoring!B36)</f>
        <v>Yum! Brands Inc.</v>
      </c>
      <c r="C36" s="133" t="str">
        <f aca="false">IF(Scoring!AG36="","",IF(OR(Scoring!AG36="STRONG BUY",Scoring!AG36="BUY"),"PASS","FAIL"))</f>
        <v/>
      </c>
      <c r="D36" s="133" t="str">
        <f aca="false">IF(Scoring!AH36="","",IF(Scoring!AH36="OK","PASS","FAIL"))</f>
        <v>PASS</v>
      </c>
      <c r="E36" s="133" t="str">
        <f aca="false">IF(Scoring!AI36="","",IF(Scoring!AI36="OK","PASS","FAIL — mandatory review required"))</f>
        <v>PASS</v>
      </c>
      <c r="F36" s="133"/>
      <c r="G36" s="133"/>
      <c r="H36" s="132" t="str">
        <f aca="false">IF(OR(F36="",G36=""),"",IF(AND(F36="Y",G36="Y"),"Standard initial size","50% of normal initial size + 90-day technical review"))</f>
        <v/>
      </c>
      <c r="I36" s="133"/>
      <c r="J36" s="133"/>
      <c r="K36" s="133" t="str">
        <f aca="false">IF(I36="","",IF(I36="N","PASS",IF(J36="Y","PASS — risk documented in thesis","FAIL — undocumented binary risk")))</f>
        <v/>
      </c>
      <c r="L36" s="133" t="str">
        <f aca="false">IF('Implied-Return Calculator'!S37="","",'Implied-Return Calculator'!S37)</f>
        <v/>
      </c>
      <c r="M36" s="133" t="str">
        <f aca="false">IF('Implied-Return Calculator'!T37="","",'Implied-Return Calculator'!T37)</f>
        <v/>
      </c>
      <c r="N36" s="133" t="str">
        <f aca="false">IF('Implied-Return Calculator'!U37="","",'Implied-Return Calculator'!U37)</f>
        <v/>
      </c>
      <c r="O36" s="133"/>
      <c r="P36" s="133"/>
      <c r="Q36" s="132" t="str">
        <f aca="false">IF(OR(N36="",O36=""),"",IF(N36&lt;=50,"PASS — within ceiling",IF(AND(O36&gt;0.3,L36="PASS"),"PASS — growth+bear case exception met","FAIL — exceeds 50x, exception not met")))</f>
        <v/>
      </c>
      <c r="R36" s="132" t="str">
        <f aca="false">IF(OR(C36="",D36="",E36="",K36="",L36="",M36="",N36="",Q36=""),"",IF(AND(C36="PASS",D36="PASS",LEFT(E36,4)="PASS",LEFT(K36,4)="PASS",L36="PASS",M36="PASS",N36="OK",LEFT(Q36,4)="PASS"),"YES","NO — see failing rule(s)"))</f>
        <v/>
      </c>
      <c r="S36" s="132" t="str">
        <f aca="false">IF(R36="","",IF(R36="YES","Initiate: "&amp;H36,"DO NOT ENTER — resolve failing Entry Rule(s) above first"))</f>
        <v/>
      </c>
    </row>
    <row r="37" customFormat="false" ht="15" hidden="false" customHeight="true" outlineLevel="0" collapsed="false">
      <c r="A37" s="132" t="str">
        <f aca="false">IF(Scoring!A37="","",Scoring!A37)</f>
        <v>NKE</v>
      </c>
      <c r="B37" s="132" t="str">
        <f aca="false">IF(Scoring!B37="","",Scoring!B37)</f>
        <v>Nike Inc.</v>
      </c>
      <c r="C37" s="133" t="str">
        <f aca="false">IF(Scoring!AG37="","",IF(OR(Scoring!AG37="STRONG BUY",Scoring!AG37="BUY"),"PASS","FAIL"))</f>
        <v/>
      </c>
      <c r="D37" s="133" t="str">
        <f aca="false">IF(Scoring!AH37="","",IF(Scoring!AH37="OK","PASS","FAIL"))</f>
        <v>FAIL</v>
      </c>
      <c r="E37" s="133" t="str">
        <f aca="false">IF(Scoring!AI37="","",IF(Scoring!AI37="OK","PASS","FAIL — mandatory review required"))</f>
        <v>FAIL — mandatory review required</v>
      </c>
      <c r="F37" s="133"/>
      <c r="G37" s="133"/>
      <c r="H37" s="132" t="str">
        <f aca="false">IF(OR(F37="",G37=""),"",IF(AND(F37="Y",G37="Y"),"Standard initial size","50% of normal initial size + 90-day technical review"))</f>
        <v/>
      </c>
      <c r="I37" s="133"/>
      <c r="J37" s="133"/>
      <c r="K37" s="133" t="str">
        <f aca="false">IF(I37="","",IF(I37="N","PASS",IF(J37="Y","PASS — risk documented in thesis","FAIL — undocumented binary risk")))</f>
        <v/>
      </c>
      <c r="L37" s="133" t="str">
        <f aca="false">IF('Implied-Return Calculator'!S38="","",'Implied-Return Calculator'!S38)</f>
        <v/>
      </c>
      <c r="M37" s="133" t="str">
        <f aca="false">IF('Implied-Return Calculator'!T38="","",'Implied-Return Calculator'!T38)</f>
        <v/>
      </c>
      <c r="N37" s="133" t="str">
        <f aca="false">IF('Implied-Return Calculator'!U38="","",'Implied-Return Calculator'!U38)</f>
        <v/>
      </c>
      <c r="O37" s="133"/>
      <c r="P37" s="133"/>
      <c r="Q37" s="132" t="str">
        <f aca="false">IF(OR(N37="",O37=""),"",IF(N37&lt;=50,"PASS — within ceiling",IF(AND(O37&gt;0.3,L37="PASS"),"PASS — growth+bear case exception met","FAIL — exceeds 50x, exception not met")))</f>
        <v/>
      </c>
      <c r="R37" s="132" t="str">
        <f aca="false">IF(OR(C37="",D37="",E37="",K37="",L37="",M37="",N37="",Q37=""),"",IF(AND(C37="PASS",D37="PASS",LEFT(E37,4)="PASS",LEFT(K37,4)="PASS",L37="PASS",M37="PASS",N37="OK",LEFT(Q37,4)="PASS"),"YES","NO — see failing rule(s)"))</f>
        <v/>
      </c>
      <c r="S37" s="132" t="str">
        <f aca="false">IF(R37="","",IF(R37="YES","Initiate: "&amp;H37,"DO NOT ENTER — resolve failing Entry Rule(s) above first"))</f>
        <v/>
      </c>
    </row>
    <row r="38" customFormat="false" ht="15" hidden="false" customHeight="true" outlineLevel="0" collapsed="false">
      <c r="A38" s="132" t="str">
        <f aca="false">IF(Scoring!A38="","",Scoring!A38)</f>
        <v>VFC</v>
      </c>
      <c r="B38" s="132" t="str">
        <f aca="false">IF(Scoring!B38="","",Scoring!B38)</f>
        <v>V.F. Corporation</v>
      </c>
      <c r="C38" s="133" t="str">
        <f aca="false">IF(Scoring!AG38="","",IF(OR(Scoring!AG38="STRONG BUY",Scoring!AG38="BUY"),"PASS","FAIL"))</f>
        <v/>
      </c>
      <c r="D38" s="133" t="str">
        <f aca="false">IF(Scoring!AH38="","",IF(Scoring!AH38="OK","PASS","FAIL"))</f>
        <v>FAIL</v>
      </c>
      <c r="E38" s="133" t="str">
        <f aca="false">IF(Scoring!AI38="","",IF(Scoring!AI38="OK","PASS","FAIL — mandatory review required"))</f>
        <v>PASS</v>
      </c>
      <c r="F38" s="133"/>
      <c r="G38" s="133"/>
      <c r="H38" s="132" t="str">
        <f aca="false">IF(OR(F38="",G38=""),"",IF(AND(F38="Y",G38="Y"),"Standard initial size","50% of normal initial size + 90-day technical review"))</f>
        <v/>
      </c>
      <c r="I38" s="133"/>
      <c r="J38" s="133"/>
      <c r="K38" s="133" t="str">
        <f aca="false">IF(I38="","",IF(I38="N","PASS",IF(J38="Y","PASS — risk documented in thesis","FAIL — undocumented binary risk")))</f>
        <v/>
      </c>
      <c r="L38" s="133" t="str">
        <f aca="false">IF('Implied-Return Calculator'!S39="","",'Implied-Return Calculator'!S39)</f>
        <v/>
      </c>
      <c r="M38" s="133" t="str">
        <f aca="false">IF('Implied-Return Calculator'!T39="","",'Implied-Return Calculator'!T39)</f>
        <v/>
      </c>
      <c r="N38" s="133" t="str">
        <f aca="false">IF('Implied-Return Calculator'!U39="","",'Implied-Return Calculator'!U39)</f>
        <v/>
      </c>
      <c r="O38" s="133"/>
      <c r="P38" s="133"/>
      <c r="Q38" s="132" t="str">
        <f aca="false">IF(OR(N38="",O38=""),"",IF(N38&lt;=50,"PASS — within ceiling",IF(AND(O38&gt;0.3,L38="PASS"),"PASS — growth+bear case exception met","FAIL — exceeds 50x, exception not met")))</f>
        <v/>
      </c>
      <c r="R38" s="132" t="str">
        <f aca="false">IF(OR(C38="",D38="",E38="",K38="",L38="",M38="",N38="",Q38=""),"",IF(AND(C38="PASS",D38="PASS",LEFT(E38,4)="PASS",LEFT(K38,4)="PASS",L38="PASS",M38="PASS",N38="OK",LEFT(Q38,4)="PASS"),"YES","NO — see failing rule(s)"))</f>
        <v/>
      </c>
      <c r="S38" s="132" t="str">
        <f aca="false">IF(R38="","",IF(R38="YES","Initiate: "&amp;H38,"DO NOT ENTER — resolve failing Entry Rule(s) above first"))</f>
        <v/>
      </c>
    </row>
    <row r="39" customFormat="false" ht="15" hidden="false" customHeight="true" outlineLevel="0" collapsed="false">
      <c r="A39" s="132" t="str">
        <f aca="false">IF(Scoring!A39="","",Scoring!A39)</f>
        <v>GOOS</v>
      </c>
      <c r="B39" s="132" t="str">
        <f aca="false">IF(Scoring!B39="","",Scoring!B39)</f>
        <v>Canada Goose Holdings</v>
      </c>
      <c r="C39" s="133" t="str">
        <f aca="false">IF(Scoring!AG39="","",IF(OR(Scoring!AG39="STRONG BUY",Scoring!AG39="BUY"),"PASS","FAIL"))</f>
        <v/>
      </c>
      <c r="D39" s="133" t="str">
        <f aca="false">IF(Scoring!AH39="","",IF(Scoring!AH39="OK","PASS","FAIL"))</f>
        <v>FAIL</v>
      </c>
      <c r="E39" s="133" t="str">
        <f aca="false">IF(Scoring!AI39="","",IF(Scoring!AI39="OK","PASS","FAIL — mandatory review required"))</f>
        <v>FAIL — mandatory review required</v>
      </c>
      <c r="F39" s="133"/>
      <c r="G39" s="133"/>
      <c r="H39" s="132" t="str">
        <f aca="false">IF(OR(F39="",G39=""),"",IF(AND(F39="Y",G39="Y"),"Standard initial size","50% of normal initial size + 90-day technical review"))</f>
        <v/>
      </c>
      <c r="I39" s="133"/>
      <c r="J39" s="133"/>
      <c r="K39" s="133" t="str">
        <f aca="false">IF(I39="","",IF(I39="N","PASS",IF(J39="Y","PASS — risk documented in thesis","FAIL — undocumented binary risk")))</f>
        <v/>
      </c>
      <c r="L39" s="133" t="str">
        <f aca="false">IF('Implied-Return Calculator'!S40="","",'Implied-Return Calculator'!S40)</f>
        <v/>
      </c>
      <c r="M39" s="133" t="str">
        <f aca="false">IF('Implied-Return Calculator'!T40="","",'Implied-Return Calculator'!T40)</f>
        <v/>
      </c>
      <c r="N39" s="133" t="str">
        <f aca="false">IF('Implied-Return Calculator'!U40="","",'Implied-Return Calculator'!U40)</f>
        <v/>
      </c>
      <c r="O39" s="133"/>
      <c r="P39" s="133"/>
      <c r="Q39" s="132" t="str">
        <f aca="false">IF(OR(N39="",O39=""),"",IF(N39&lt;=50,"PASS — within ceiling",IF(AND(O39&gt;0.3,L39="PASS"),"PASS — growth+bear case exception met","FAIL — exceeds 50x, exception not met")))</f>
        <v/>
      </c>
      <c r="R39" s="132" t="str">
        <f aca="false">IF(OR(C39="",D39="",E39="",K39="",L39="",M39="",N39="",Q39=""),"",IF(AND(C39="PASS",D39="PASS",LEFT(E39,4)="PASS",LEFT(K39,4)="PASS",L39="PASS",M39="PASS",N39="OK",LEFT(Q39,4)="PASS"),"YES","NO — see failing rule(s)"))</f>
        <v/>
      </c>
      <c r="S39" s="132" t="str">
        <f aca="false">IF(R39="","",IF(R39="YES","Initiate: "&amp;H39,"DO NOT ENTER — resolve failing Entry Rule(s) above first"))</f>
        <v/>
      </c>
    </row>
    <row r="40" customFormat="false" ht="15" hidden="false" customHeight="true" outlineLevel="0" collapsed="false">
      <c r="A40" s="132" t="str">
        <f aca="false">IF(Scoring!A40="","",Scoring!A40)</f>
        <v>AAP</v>
      </c>
      <c r="B40" s="132" t="str">
        <f aca="false">IF(Scoring!B40="","",Scoring!B40)</f>
        <v>Advance Auto Parts Inc.</v>
      </c>
      <c r="C40" s="133" t="str">
        <f aca="false">IF(Scoring!AG40="","",IF(OR(Scoring!AG40="STRONG BUY",Scoring!AG40="BUY"),"PASS","FAIL"))</f>
        <v/>
      </c>
      <c r="D40" s="133" t="str">
        <f aca="false">IF(Scoring!AH40="","",IF(Scoring!AH40="OK","PASS","FAIL"))</f>
        <v>FAIL</v>
      </c>
      <c r="E40" s="133" t="str">
        <f aca="false">IF(Scoring!AI40="","",IF(Scoring!AI40="OK","PASS","FAIL — mandatory review required"))</f>
        <v>FAIL — mandatory review required</v>
      </c>
      <c r="F40" s="133"/>
      <c r="G40" s="133"/>
      <c r="H40" s="132" t="str">
        <f aca="false">IF(OR(F40="",G40=""),"",IF(AND(F40="Y",G40="Y"),"Standard initial size","50% of normal initial size + 90-day technical review"))</f>
        <v/>
      </c>
      <c r="I40" s="133"/>
      <c r="J40" s="133"/>
      <c r="K40" s="133" t="str">
        <f aca="false">IF(I40="","",IF(I40="N","PASS",IF(J40="Y","PASS — risk documented in thesis","FAIL — undocumented binary risk")))</f>
        <v/>
      </c>
      <c r="L40" s="133" t="str">
        <f aca="false">IF('Implied-Return Calculator'!S41="","",'Implied-Return Calculator'!S41)</f>
        <v/>
      </c>
      <c r="M40" s="133" t="str">
        <f aca="false">IF('Implied-Return Calculator'!T41="","",'Implied-Return Calculator'!T41)</f>
        <v/>
      </c>
      <c r="N40" s="133" t="str">
        <f aca="false">IF('Implied-Return Calculator'!U41="","",'Implied-Return Calculator'!U41)</f>
        <v/>
      </c>
      <c r="O40" s="133"/>
      <c r="P40" s="133"/>
      <c r="Q40" s="132" t="str">
        <f aca="false">IF(OR(N40="",O40=""),"",IF(N40&lt;=50,"PASS — within ceiling",IF(AND(O40&gt;0.3,L40="PASS"),"PASS — growth+bear case exception met","FAIL — exceeds 50x, exception not met")))</f>
        <v/>
      </c>
      <c r="R40" s="132" t="str">
        <f aca="false">IF(OR(C40="",D40="",E40="",K40="",L40="",M40="",N40="",Q40=""),"",IF(AND(C40="PASS",D40="PASS",LEFT(E40,4)="PASS",LEFT(K40,4)="PASS",L40="PASS",M40="PASS",N40="OK",LEFT(Q40,4)="PASS"),"YES","NO — see failing rule(s)"))</f>
        <v/>
      </c>
      <c r="S40" s="132" t="str">
        <f aca="false">IF(R40="","",IF(R40="YES","Initiate: "&amp;H40,"DO NOT ENTER — resolve failing Entry Rule(s) above first"))</f>
        <v/>
      </c>
    </row>
    <row r="41" customFormat="false" ht="15" hidden="false" customHeight="true" outlineLevel="0" collapsed="false">
      <c r="A41" s="132" t="str">
        <f aca="false">IF(Scoring!A41="","",Scoring!A41)</f>
        <v>BABA</v>
      </c>
      <c r="B41" s="132" t="str">
        <f aca="false">IF(Scoring!B41="","",Scoring!B41)</f>
        <v>Alibaba Group Holding Ltd.</v>
      </c>
      <c r="C41" s="133" t="str">
        <f aca="false">IF(Scoring!AG41="","",IF(OR(Scoring!AG41="STRONG BUY",Scoring!AG41="BUY"),"PASS","FAIL"))</f>
        <v/>
      </c>
      <c r="D41" s="133" t="str">
        <f aca="false">IF(Scoring!AH41="","",IF(Scoring!AH41="OK","PASS","FAIL"))</f>
        <v>FAIL</v>
      </c>
      <c r="E41" s="133" t="str">
        <f aca="false">IF(Scoring!AI41="","",IF(Scoring!AI41="OK","PASS","FAIL — mandatory review required"))</f>
        <v>PASS</v>
      </c>
      <c r="F41" s="133"/>
      <c r="G41" s="133"/>
      <c r="H41" s="132" t="str">
        <f aca="false">IF(OR(F41="",G41=""),"",IF(AND(F41="Y",G41="Y"),"Standard initial size","50% of normal initial size + 90-day technical review"))</f>
        <v/>
      </c>
      <c r="I41" s="133"/>
      <c r="J41" s="133"/>
      <c r="K41" s="133" t="str">
        <f aca="false">IF(I41="","",IF(I41="N","PASS",IF(J41="Y","PASS — risk documented in thesis","FAIL — undocumented binary risk")))</f>
        <v/>
      </c>
      <c r="L41" s="133" t="str">
        <f aca="false">IF('Implied-Return Calculator'!S42="","",'Implied-Return Calculator'!S42)</f>
        <v/>
      </c>
      <c r="M41" s="133" t="str">
        <f aca="false">IF('Implied-Return Calculator'!T42="","",'Implied-Return Calculator'!T42)</f>
        <v/>
      </c>
      <c r="N41" s="133" t="str">
        <f aca="false">IF('Implied-Return Calculator'!U42="","",'Implied-Return Calculator'!U42)</f>
        <v/>
      </c>
      <c r="O41" s="133"/>
      <c r="P41" s="133"/>
      <c r="Q41" s="132" t="str">
        <f aca="false">IF(OR(N41="",O41=""),"",IF(N41&lt;=50,"PASS — within ceiling",IF(AND(O41&gt;0.3,L41="PASS"),"PASS — growth+bear case exception met","FAIL — exceeds 50x, exception not met")))</f>
        <v/>
      </c>
      <c r="R41" s="132" t="str">
        <f aca="false">IF(OR(C41="",D41="",E41="",K41="",L41="",M41="",N41="",Q41=""),"",IF(AND(C41="PASS",D41="PASS",LEFT(E41,4)="PASS",LEFT(K41,4)="PASS",L41="PASS",M41="PASS",N41="OK",LEFT(Q41,4)="PASS"),"YES","NO — see failing rule(s)"))</f>
        <v/>
      </c>
      <c r="S41" s="132" t="str">
        <f aca="false">IF(R41="","",IF(R41="YES","Initiate: "&amp;H41,"DO NOT ENTER — resolve failing Entry Rule(s) above first"))</f>
        <v/>
      </c>
    </row>
    <row r="42" customFormat="false" ht="15" hidden="false" customHeight="true" outlineLevel="0" collapsed="false">
      <c r="A42" s="132" t="str">
        <f aca="false">IF(Scoring!A42="","",Scoring!A42)</f>
        <v>ETSY</v>
      </c>
      <c r="B42" s="132" t="str">
        <f aca="false">IF(Scoring!B42="","",Scoring!B42)</f>
        <v>Etsy Inc.</v>
      </c>
      <c r="C42" s="133" t="str">
        <f aca="false">IF(Scoring!AG42="","",IF(OR(Scoring!AG42="STRONG BUY",Scoring!AG42="BUY"),"PASS","FAIL"))</f>
        <v/>
      </c>
      <c r="D42" s="133" t="str">
        <f aca="false">IF(Scoring!AH42="","",IF(Scoring!AH42="OK","PASS","FAIL"))</f>
        <v>PASS</v>
      </c>
      <c r="E42" s="133" t="str">
        <f aca="false">IF(Scoring!AI42="","",IF(Scoring!AI42="OK","PASS","FAIL — mandatory review required"))</f>
        <v>PASS</v>
      </c>
      <c r="F42" s="133"/>
      <c r="G42" s="133"/>
      <c r="H42" s="132" t="str">
        <f aca="false">IF(OR(F42="",G42=""),"",IF(AND(F42="Y",G42="Y"),"Standard initial size","50% of normal initial size + 90-day technical review"))</f>
        <v/>
      </c>
      <c r="I42" s="133"/>
      <c r="J42" s="133"/>
      <c r="K42" s="133" t="str">
        <f aca="false">IF(I42="","",IF(I42="N","PASS",IF(J42="Y","PASS — risk documented in thesis","FAIL — undocumented binary risk")))</f>
        <v/>
      </c>
      <c r="L42" s="133" t="str">
        <f aca="false">IF('Implied-Return Calculator'!S43="","",'Implied-Return Calculator'!S43)</f>
        <v/>
      </c>
      <c r="M42" s="133" t="str">
        <f aca="false">IF('Implied-Return Calculator'!T43="","",'Implied-Return Calculator'!T43)</f>
        <v/>
      </c>
      <c r="N42" s="133" t="str">
        <f aca="false">IF('Implied-Return Calculator'!U43="","",'Implied-Return Calculator'!U43)</f>
        <v/>
      </c>
      <c r="O42" s="133"/>
      <c r="P42" s="133"/>
      <c r="Q42" s="132" t="str">
        <f aca="false">IF(OR(N42="",O42=""),"",IF(N42&lt;=50,"PASS — within ceiling",IF(AND(O42&gt;0.3,L42="PASS"),"PASS — growth+bear case exception met","FAIL — exceeds 50x, exception not met")))</f>
        <v/>
      </c>
      <c r="R42" s="132" t="str">
        <f aca="false">IF(OR(C42="",D42="",E42="",K42="",L42="",M42="",N42="",Q42=""),"",IF(AND(C42="PASS",D42="PASS",LEFT(E42,4)="PASS",LEFT(K42,4)="PASS",L42="PASS",M42="PASS",N42="OK",LEFT(Q42,4)="PASS"),"YES","NO — see failing rule(s)"))</f>
        <v/>
      </c>
      <c r="S42" s="132" t="str">
        <f aca="false">IF(R42="","",IF(R42="YES","Initiate: "&amp;H42,"DO NOT ENTER — resolve failing Entry Rule(s) above first"))</f>
        <v/>
      </c>
    </row>
    <row r="43" customFormat="false" ht="15" hidden="false" customHeight="true" outlineLevel="0" collapsed="false">
      <c r="A43" s="132" t="str">
        <f aca="false">IF(Scoring!A43="","",Scoring!A43)</f>
        <v>GE</v>
      </c>
      <c r="B43" s="132" t="str">
        <f aca="false">IF(Scoring!B43="","",Scoring!B43)</f>
        <v>GE Aerospace</v>
      </c>
      <c r="C43" s="133" t="str">
        <f aca="false">IF(Scoring!AG43="","",IF(OR(Scoring!AG43="STRONG BUY",Scoring!AG43="BUY"),"PASS","FAIL"))</f>
        <v>PASS</v>
      </c>
      <c r="D43" s="133" t="str">
        <f aca="false">IF(Scoring!AH43="","",IF(Scoring!AH43="OK","PASS","FAIL"))</f>
        <v>PASS</v>
      </c>
      <c r="E43" s="133" t="str">
        <f aca="false">IF(Scoring!AI43="","",IF(Scoring!AI43="OK","PASS","FAIL — mandatory review required"))</f>
        <v>PASS</v>
      </c>
      <c r="F43" s="133"/>
      <c r="G43" s="133"/>
      <c r="H43" s="132" t="str">
        <f aca="false">IF(OR(F43="",G43=""),"",IF(AND(F43="Y",G43="Y"),"Standard initial size","50% of normal initial size + 90-day technical review"))</f>
        <v/>
      </c>
      <c r="I43" s="133"/>
      <c r="J43" s="133"/>
      <c r="K43" s="133" t="str">
        <f aca="false">IF(I43="","",IF(I43="N","PASS",IF(J43="Y","PASS — risk documented in thesis","FAIL — undocumented binary risk")))</f>
        <v/>
      </c>
      <c r="L43" s="133" t="str">
        <f aca="false">IF('Implied-Return Calculator'!S44="","",'Implied-Return Calculator'!S44)</f>
        <v/>
      </c>
      <c r="M43" s="133" t="str">
        <f aca="false">IF('Implied-Return Calculator'!T44="","",'Implied-Return Calculator'!T44)</f>
        <v/>
      </c>
      <c r="N43" s="133" t="str">
        <f aca="false">IF('Implied-Return Calculator'!U44="","",'Implied-Return Calculator'!U44)</f>
        <v/>
      </c>
      <c r="O43" s="133"/>
      <c r="P43" s="133"/>
      <c r="Q43" s="132" t="str">
        <f aca="false">IF(OR(N43="",O43=""),"",IF(N43&lt;=50,"PASS — within ceiling",IF(AND(O43&gt;0.3,L43="PASS"),"PASS — growth+bear case exception met","FAIL — exceeds 50x, exception not met")))</f>
        <v/>
      </c>
      <c r="R43" s="132" t="str">
        <f aca="false">IF(OR(C43="",D43="",E43="",K43="",L43="",M43="",N43="",Q43=""),"",IF(AND(C43="PASS",D43="PASS",LEFT(E43,4)="PASS",LEFT(K43,4)="PASS",L43="PASS",M43="PASS",N43="OK",LEFT(Q43,4)="PASS"),"YES","NO — see failing rule(s)"))</f>
        <v/>
      </c>
      <c r="S43" s="132" t="str">
        <f aca="false">IF(R43="","",IF(R43="YES","Initiate: "&amp;H43,"DO NOT ENTER — resolve failing Entry Rule(s) above first"))</f>
        <v/>
      </c>
    </row>
    <row r="44" customFormat="false" ht="15" hidden="false" customHeight="true" outlineLevel="0" collapsed="false">
      <c r="A44" s="132" t="str">
        <f aca="false">IF(Scoring!A44="","",Scoring!A44)</f>
        <v>PH</v>
      </c>
      <c r="B44" s="132" t="str">
        <f aca="false">IF(Scoring!B44="","",Scoring!B44)</f>
        <v>Parker-Hannifin Corporation</v>
      </c>
      <c r="C44" s="133" t="str">
        <f aca="false">IF(Scoring!AG44="","",IF(OR(Scoring!AG44="STRONG BUY",Scoring!AG44="BUY"),"PASS","FAIL"))</f>
        <v/>
      </c>
      <c r="D44" s="133" t="str">
        <f aca="false">IF(Scoring!AH44="","",IF(Scoring!AH44="OK","PASS","FAIL"))</f>
        <v>PASS</v>
      </c>
      <c r="E44" s="133" t="str">
        <f aca="false">IF(Scoring!AI44="","",IF(Scoring!AI44="OK","PASS","FAIL — mandatory review required"))</f>
        <v>PASS</v>
      </c>
      <c r="F44" s="133"/>
      <c r="G44" s="133"/>
      <c r="H44" s="132" t="str">
        <f aca="false">IF(OR(F44="",G44=""),"",IF(AND(F44="Y",G44="Y"),"Standard initial size","50% of normal initial size + 90-day technical review"))</f>
        <v/>
      </c>
      <c r="I44" s="133"/>
      <c r="J44" s="133"/>
      <c r="K44" s="133" t="str">
        <f aca="false">IF(I44="","",IF(I44="N","PASS",IF(J44="Y","PASS — risk documented in thesis","FAIL — undocumented binary risk")))</f>
        <v/>
      </c>
      <c r="L44" s="133" t="str">
        <f aca="false">IF('Implied-Return Calculator'!S45="","",'Implied-Return Calculator'!S45)</f>
        <v/>
      </c>
      <c r="M44" s="133" t="str">
        <f aca="false">IF('Implied-Return Calculator'!T45="","",'Implied-Return Calculator'!T45)</f>
        <v/>
      </c>
      <c r="N44" s="133" t="str">
        <f aca="false">IF('Implied-Return Calculator'!U45="","",'Implied-Return Calculator'!U45)</f>
        <v/>
      </c>
      <c r="O44" s="133"/>
      <c r="P44" s="133"/>
      <c r="Q44" s="132" t="str">
        <f aca="false">IF(OR(N44="",O44=""),"",IF(N44&lt;=50,"PASS — within ceiling",IF(AND(O44&gt;0.3,L44="PASS"),"PASS — growth+bear case exception met","FAIL — exceeds 50x, exception not met")))</f>
        <v/>
      </c>
      <c r="R44" s="132" t="str">
        <f aca="false">IF(OR(C44="",D44="",E44="",K44="",L44="",M44="",N44="",Q44=""),"",IF(AND(C44="PASS",D44="PASS",LEFT(E44,4)="PASS",LEFT(K44,4)="PASS",L44="PASS",M44="PASS",N44="OK",LEFT(Q44,4)="PASS"),"YES","NO — see failing rule(s)"))</f>
        <v/>
      </c>
      <c r="S44" s="132" t="str">
        <f aca="false">IF(R44="","",IF(R44="YES","Initiate: "&amp;H44,"DO NOT ENTER — resolve failing Entry Rule(s) above first"))</f>
        <v/>
      </c>
    </row>
    <row r="45" customFormat="false" ht="15" hidden="false" customHeight="true" outlineLevel="0" collapsed="false">
      <c r="A45" s="132" t="str">
        <f aca="false">IF(Scoring!A45="","",Scoring!A45)</f>
        <v>ETN</v>
      </c>
      <c r="B45" s="132" t="str">
        <f aca="false">IF(Scoring!B45="","",Scoring!B45)</f>
        <v>Eaton Corporation plc</v>
      </c>
      <c r="C45" s="133" t="str">
        <f aca="false">IF(Scoring!AG45="","",IF(OR(Scoring!AG45="STRONG BUY",Scoring!AG45="BUY"),"PASS","FAIL"))</f>
        <v/>
      </c>
      <c r="D45" s="133" t="str">
        <f aca="false">IF(Scoring!AH45="","",IF(Scoring!AH45="OK","PASS","FAIL"))</f>
        <v>PASS</v>
      </c>
      <c r="E45" s="133" t="str">
        <f aca="false">IF(Scoring!AI45="","",IF(Scoring!AI45="OK","PASS","FAIL — mandatory review required"))</f>
        <v>PASS</v>
      </c>
      <c r="F45" s="133"/>
      <c r="G45" s="133"/>
      <c r="H45" s="132" t="str">
        <f aca="false">IF(OR(F45="",G45=""),"",IF(AND(F45="Y",G45="Y"),"Standard initial size","50% of normal initial size + 90-day technical review"))</f>
        <v/>
      </c>
      <c r="I45" s="133"/>
      <c r="J45" s="133"/>
      <c r="K45" s="133" t="str">
        <f aca="false">IF(I45="","",IF(I45="N","PASS",IF(J45="Y","PASS — risk documented in thesis","FAIL — undocumented binary risk")))</f>
        <v/>
      </c>
      <c r="L45" s="133" t="str">
        <f aca="false">IF('Implied-Return Calculator'!S46="","",'Implied-Return Calculator'!S46)</f>
        <v/>
      </c>
      <c r="M45" s="133" t="str">
        <f aca="false">IF('Implied-Return Calculator'!T46="","",'Implied-Return Calculator'!T46)</f>
        <v/>
      </c>
      <c r="N45" s="133" t="str">
        <f aca="false">IF('Implied-Return Calculator'!U46="","",'Implied-Return Calculator'!U46)</f>
        <v/>
      </c>
      <c r="O45" s="133"/>
      <c r="P45" s="133"/>
      <c r="Q45" s="132" t="str">
        <f aca="false">IF(OR(N45="",O45=""),"",IF(N45&lt;=50,"PASS — within ceiling",IF(AND(O45&gt;0.3,L45="PASS"),"PASS — growth+bear case exception met","FAIL — exceeds 50x, exception not met")))</f>
        <v/>
      </c>
      <c r="R45" s="132" t="str">
        <f aca="false">IF(OR(C45="",D45="",E45="",K45="",L45="",M45="",N45="",Q45=""),"",IF(AND(C45="PASS",D45="PASS",LEFT(E45,4)="PASS",LEFT(K45,4)="PASS",L45="PASS",M45="PASS",N45="OK",LEFT(Q45,4)="PASS"),"YES","NO — see failing rule(s)"))</f>
        <v/>
      </c>
      <c r="S45" s="132" t="str">
        <f aca="false">IF(R45="","",IF(R45="YES","Initiate: "&amp;H45,"DO NOT ENTER — resolve failing Entry Rule(s) above first"))</f>
        <v/>
      </c>
    </row>
    <row r="46" customFormat="false" ht="15" hidden="false" customHeight="true" outlineLevel="0" collapsed="false">
      <c r="A46" s="132" t="str">
        <f aca="false">IF(Scoring!A46="","",Scoring!A46)</f>
        <v>DIS</v>
      </c>
      <c r="B46" s="132" t="str">
        <f aca="false">IF(Scoring!B46="","",Scoring!B46)</f>
        <v>The Walt Disney Company</v>
      </c>
      <c r="C46" s="133" t="str">
        <f aca="false">IF(Scoring!AG46="","",IF(OR(Scoring!AG46="STRONG BUY",Scoring!AG46="BUY"),"PASS","FAIL"))</f>
        <v/>
      </c>
      <c r="D46" s="133" t="str">
        <f aca="false">IF(Scoring!AH46="","",IF(Scoring!AH46="OK","PASS","FAIL"))</f>
        <v>FAIL</v>
      </c>
      <c r="E46" s="133" t="str">
        <f aca="false">IF(Scoring!AI46="","",IF(Scoring!AI46="OK","PASS","FAIL — mandatory review required"))</f>
        <v>PASS</v>
      </c>
      <c r="F46" s="133"/>
      <c r="G46" s="133"/>
      <c r="H46" s="132" t="str">
        <f aca="false">IF(OR(F46="",G46=""),"",IF(AND(F46="Y",G46="Y"),"Standard initial size","50% of normal initial size + 90-day technical review"))</f>
        <v/>
      </c>
      <c r="I46" s="133"/>
      <c r="J46" s="133"/>
      <c r="K46" s="133" t="str">
        <f aca="false">IF(I46="","",IF(I46="N","PASS",IF(J46="Y","PASS — risk documented in thesis","FAIL — undocumented binary risk")))</f>
        <v/>
      </c>
      <c r="L46" s="133" t="str">
        <f aca="false">IF('Implied-Return Calculator'!S47="","",'Implied-Return Calculator'!S47)</f>
        <v/>
      </c>
      <c r="M46" s="133" t="str">
        <f aca="false">IF('Implied-Return Calculator'!T47="","",'Implied-Return Calculator'!T47)</f>
        <v/>
      </c>
      <c r="N46" s="133" t="str">
        <f aca="false">IF('Implied-Return Calculator'!U47="","",'Implied-Return Calculator'!U47)</f>
        <v/>
      </c>
      <c r="O46" s="133"/>
      <c r="P46" s="133"/>
      <c r="Q46" s="132" t="str">
        <f aca="false">IF(OR(N46="",O46=""),"",IF(N46&lt;=50,"PASS — within ceiling",IF(AND(O46&gt;0.3,L46="PASS"),"PASS — growth+bear case exception met","FAIL — exceeds 50x, exception not met")))</f>
        <v/>
      </c>
      <c r="R46" s="132" t="str">
        <f aca="false">IF(OR(C46="",D46="",E46="",K46="",L46="",M46="",N46="",Q46=""),"",IF(AND(C46="PASS",D46="PASS",LEFT(E46,4)="PASS",LEFT(K46,4)="PASS",L46="PASS",M46="PASS",N46="OK",LEFT(Q46,4)="PASS"),"YES","NO — see failing rule(s)"))</f>
        <v/>
      </c>
      <c r="S46" s="132" t="str">
        <f aca="false">IF(R46="","",IF(R46="YES","Initiate: "&amp;H46,"DO NOT ENTER — resolve failing Entry Rule(s) above first"))</f>
        <v/>
      </c>
    </row>
    <row r="47" customFormat="false" ht="15" hidden="false" customHeight="true" outlineLevel="0" collapsed="false">
      <c r="A47" s="132" t="str">
        <f aca="false">IF(Scoring!A47="","",Scoring!A47)</f>
        <v>NFLX</v>
      </c>
      <c r="B47" s="132" t="str">
        <f aca="false">IF(Scoring!B47="","",Scoring!B47)</f>
        <v>Netflix, Inc.</v>
      </c>
      <c r="C47" s="133" t="str">
        <f aca="false">IF(Scoring!AG47="","",IF(OR(Scoring!AG47="STRONG BUY",Scoring!AG47="BUY"),"PASS","FAIL"))</f>
        <v>PASS</v>
      </c>
      <c r="D47" s="133" t="str">
        <f aca="false">IF(Scoring!AH47="","",IF(Scoring!AH47="OK","PASS","FAIL"))</f>
        <v>PASS</v>
      </c>
      <c r="E47" s="133" t="str">
        <f aca="false">IF(Scoring!AI47="","",IF(Scoring!AI47="OK","PASS","FAIL — mandatory review required"))</f>
        <v>PASS</v>
      </c>
      <c r="F47" s="133"/>
      <c r="G47" s="133"/>
      <c r="H47" s="132" t="str">
        <f aca="false">IF(OR(F47="",G47=""),"",IF(AND(F47="Y",G47="Y"),"Standard initial size","50% of normal initial size + 90-day technical review"))</f>
        <v/>
      </c>
      <c r="I47" s="133"/>
      <c r="J47" s="133"/>
      <c r="K47" s="133" t="str">
        <f aca="false">IF(I47="","",IF(I47="N","PASS",IF(J47="Y","PASS — risk documented in thesis","FAIL — undocumented binary risk")))</f>
        <v/>
      </c>
      <c r="L47" s="133" t="str">
        <f aca="false">IF('Implied-Return Calculator'!S48="","",'Implied-Return Calculator'!S48)</f>
        <v/>
      </c>
      <c r="M47" s="133" t="str">
        <f aca="false">IF('Implied-Return Calculator'!T48="","",'Implied-Return Calculator'!T48)</f>
        <v/>
      </c>
      <c r="N47" s="133" t="str">
        <f aca="false">IF('Implied-Return Calculator'!U48="","",'Implied-Return Calculator'!U48)</f>
        <v/>
      </c>
      <c r="O47" s="133"/>
      <c r="P47" s="133"/>
      <c r="Q47" s="132" t="str">
        <f aca="false">IF(OR(N47="",O47=""),"",IF(N47&lt;=50,"PASS — within ceiling",IF(AND(O47&gt;0.3,L47="PASS"),"PASS — growth+bear case exception met","FAIL — exceeds 50x, exception not met")))</f>
        <v/>
      </c>
      <c r="R47" s="132" t="str">
        <f aca="false">IF(OR(C47="",D47="",E47="",K47="",L47="",M47="",N47="",Q47=""),"",IF(AND(C47="PASS",D47="PASS",LEFT(E47,4)="PASS",LEFT(K47,4)="PASS",L47="PASS",M47="PASS",N47="OK",LEFT(Q47,4)="PASS"),"YES","NO — see failing rule(s)"))</f>
        <v/>
      </c>
      <c r="S47" s="132" t="str">
        <f aca="false">IF(R47="","",IF(R47="YES","Initiate: "&amp;H47,"DO NOT ENTER — resolve failing Entry Rule(s) above first"))</f>
        <v/>
      </c>
    </row>
  </sheetData>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20" activePane="bottomLeft" state="frozen"/>
      <selection pane="topLeft" activeCell="A1" activeCellId="0" sqref="A1"/>
      <selection pane="bottomLeft" activeCell="L31" activeCellId="0" sqref="L31"/>
    </sheetView>
  </sheetViews>
  <sheetFormatPr defaultColWidth="8.66796875" defaultRowHeight="14.25" customHeight="false" zeroHeight="false" outlineLevelRow="0" outlineLevelCol="0"/>
  <cols>
    <col collapsed="false" customWidth="true" hidden="false" outlineLevel="0" max="1" min="1" style="1" width="10"/>
    <col collapsed="false" customWidth="true" hidden="false" outlineLevel="0" max="2" min="2" style="134" width="20"/>
    <col collapsed="false" customWidth="true" hidden="false" outlineLevel="0" max="3" min="3" style="1" width="9.33"/>
    <col collapsed="false" customWidth="true" hidden="false" outlineLevel="0" max="4" min="4" style="1" width="13"/>
    <col collapsed="false" customWidth="true" hidden="false" outlineLevel="0" max="5" min="5" style="1" width="15"/>
    <col collapsed="false" customWidth="true" hidden="false" outlineLevel="0" max="6" min="6" style="1" width="6.33"/>
    <col collapsed="false" customWidth="true" hidden="false" outlineLevel="0" max="8" min="7" style="1" width="11"/>
    <col collapsed="false" customWidth="true" hidden="false" outlineLevel="0" max="9" min="9" style="1" width="12"/>
  </cols>
  <sheetData>
    <row r="1" customFormat="false" ht="15" hidden="false" customHeight="true" outlineLevel="0" collapsed="false">
      <c r="A1" s="135" t="s">
        <v>424</v>
      </c>
      <c r="B1" s="135"/>
      <c r="C1" s="135"/>
      <c r="D1" s="135"/>
      <c r="E1" s="135"/>
      <c r="F1" s="135"/>
      <c r="G1" s="135"/>
      <c r="H1" s="135"/>
      <c r="I1" s="135"/>
    </row>
    <row r="2" customFormat="false" ht="25.5" hidden="false" customHeight="true" outlineLevel="0" collapsed="false">
      <c r="A2" s="111" t="s">
        <v>81</v>
      </c>
      <c r="B2" s="111" t="s">
        <v>279</v>
      </c>
      <c r="C2" s="111" t="s">
        <v>425</v>
      </c>
      <c r="D2" s="111" t="s">
        <v>426</v>
      </c>
      <c r="E2" s="111" t="s">
        <v>427</v>
      </c>
      <c r="F2" s="111" t="s">
        <v>428</v>
      </c>
      <c r="G2" s="111" t="s">
        <v>429</v>
      </c>
      <c r="H2" s="111" t="s">
        <v>430</v>
      </c>
      <c r="I2" s="111" t="s">
        <v>431</v>
      </c>
    </row>
    <row r="3" customFormat="false" ht="15" hidden="false" customHeight="true" outlineLevel="0" collapsed="false">
      <c r="A3" s="115" t="s">
        <v>95</v>
      </c>
      <c r="B3" s="113" t="s">
        <v>96</v>
      </c>
      <c r="C3" s="136" t="n">
        <v>233.17</v>
      </c>
      <c r="D3" s="120" t="n">
        <v>3955803</v>
      </c>
      <c r="E3" s="137" t="n">
        <v>92685.074432</v>
      </c>
      <c r="F3" s="138" t="n">
        <v>13.0262575</v>
      </c>
      <c r="G3" s="136" t="n">
        <v>190.12</v>
      </c>
      <c r="H3" s="136" t="n">
        <v>363.7</v>
      </c>
      <c r="I3" s="122"/>
    </row>
    <row r="4" customFormat="false" ht="15" hidden="false" customHeight="true" outlineLevel="0" collapsed="false">
      <c r="A4" s="115" t="s">
        <v>100</v>
      </c>
      <c r="B4" s="113" t="s">
        <v>101</v>
      </c>
      <c r="C4" s="136" t="n">
        <v>202.805</v>
      </c>
      <c r="D4" s="120" t="n">
        <v>3645350</v>
      </c>
      <c r="E4" s="137" t="n">
        <v>255782.66624</v>
      </c>
      <c r="F4" s="138" t="n">
        <v>64.38254</v>
      </c>
      <c r="G4" s="136" t="n">
        <v>114.52</v>
      </c>
      <c r="H4" s="136" t="n">
        <v>214.89</v>
      </c>
      <c r="I4" s="122"/>
    </row>
    <row r="5" customFormat="false" ht="15" hidden="false" customHeight="true" outlineLevel="0" collapsed="false">
      <c r="A5" s="115" t="s">
        <v>102</v>
      </c>
      <c r="B5" s="113" t="s">
        <v>103</v>
      </c>
      <c r="C5" s="136" t="n">
        <v>1834.39</v>
      </c>
      <c r="D5" s="120" t="n">
        <v>1633836</v>
      </c>
      <c r="E5" s="137" t="n">
        <v>704589.201408</v>
      </c>
      <c r="F5" s="138" t="n">
        <v>63.539658</v>
      </c>
      <c r="G5" s="136" t="n">
        <v>935.41</v>
      </c>
      <c r="H5" s="136" t="n">
        <v>1999.96</v>
      </c>
      <c r="I5" s="122" t="n">
        <v>0.51</v>
      </c>
    </row>
    <row r="6" customFormat="false" ht="15" hidden="false" customHeight="true" outlineLevel="0" collapsed="false">
      <c r="A6" s="115" t="s">
        <v>165</v>
      </c>
      <c r="B6" s="113" t="s">
        <v>166</v>
      </c>
      <c r="C6" s="136" t="n">
        <v>355.1</v>
      </c>
      <c r="D6" s="120" t="n">
        <v>17377536</v>
      </c>
      <c r="E6" s="137" t="n">
        <v>1695116.034048</v>
      </c>
      <c r="F6" s="138" t="n">
        <v>45.760307</v>
      </c>
      <c r="G6" s="136" t="n">
        <v>289.96</v>
      </c>
      <c r="H6" s="136" t="n">
        <v>495</v>
      </c>
      <c r="I6" s="122" t="n">
        <v>0.74</v>
      </c>
    </row>
    <row r="7" customFormat="false" ht="15" hidden="false" customHeight="true" outlineLevel="0" collapsed="false">
      <c r="A7" s="115" t="s">
        <v>156</v>
      </c>
      <c r="B7" s="113" t="s">
        <v>157</v>
      </c>
      <c r="C7" s="136" t="n">
        <v>118.77</v>
      </c>
      <c r="D7" s="120" t="n">
        <v>1735494</v>
      </c>
      <c r="E7" s="137"/>
      <c r="F7" s="138" t="n">
        <v>11.794926</v>
      </c>
      <c r="G7" s="136" t="n">
        <v>93.87</v>
      </c>
      <c r="H7" s="136" t="n">
        <v>129.05</v>
      </c>
      <c r="I7" s="122" t="n">
        <v>1.25</v>
      </c>
    </row>
    <row r="8" customFormat="false" ht="15" hidden="false" customHeight="true" outlineLevel="0" collapsed="false">
      <c r="A8" s="115" t="s">
        <v>230</v>
      </c>
      <c r="B8" s="113" t="s">
        <v>379</v>
      </c>
      <c r="C8" s="136" t="n">
        <v>36.96</v>
      </c>
      <c r="D8" s="120" t="n">
        <v>9787856</v>
      </c>
      <c r="E8" s="137" t="n">
        <v>46769.8</v>
      </c>
      <c r="F8" s="138" t="n">
        <v>34.22222</v>
      </c>
      <c r="G8" s="136" t="n">
        <v>28.04</v>
      </c>
      <c r="H8" s="136" t="n">
        <v>42.82</v>
      </c>
      <c r="I8" s="122"/>
    </row>
    <row r="9" customFormat="false" ht="15" hidden="false" customHeight="true" outlineLevel="0" collapsed="false">
      <c r="A9" s="115" t="s">
        <v>232</v>
      </c>
      <c r="B9" s="113" t="s">
        <v>350</v>
      </c>
      <c r="C9" s="136" t="n">
        <v>910.18</v>
      </c>
      <c r="D9" s="120" t="n">
        <v>2225742</v>
      </c>
      <c r="E9" s="137" t="n">
        <v>403645.5</v>
      </c>
      <c r="F9" s="138" t="n">
        <v>45.80674</v>
      </c>
      <c r="G9" s="136" t="n">
        <v>844.06</v>
      </c>
      <c r="H9" s="136" t="n">
        <v>1096.5</v>
      </c>
      <c r="I9" s="122" t="n">
        <v>0.64</v>
      </c>
    </row>
    <row r="10" customFormat="false" ht="15" hidden="false" customHeight="true" outlineLevel="0" collapsed="false">
      <c r="A10" s="115" t="s">
        <v>104</v>
      </c>
      <c r="B10" s="113" t="s">
        <v>105</v>
      </c>
      <c r="C10" s="136" t="n">
        <v>262.74</v>
      </c>
      <c r="D10" s="120" t="n">
        <v>6775435</v>
      </c>
      <c r="E10" s="137" t="n">
        <v>269028.63872</v>
      </c>
      <c r="F10" s="138" t="n">
        <v>8758</v>
      </c>
      <c r="G10" s="136" t="n">
        <v>85.68</v>
      </c>
      <c r="H10" s="136" t="n">
        <v>263.87</v>
      </c>
      <c r="I10" s="122"/>
    </row>
    <row r="11" customFormat="false" ht="15" hidden="false" customHeight="true" outlineLevel="0" collapsed="false">
      <c r="A11" s="115" t="s">
        <v>237</v>
      </c>
      <c r="B11" s="113" t="s">
        <v>381</v>
      </c>
      <c r="C11" s="136" t="n">
        <v>335.41</v>
      </c>
      <c r="D11" s="120" t="n">
        <v>556220</v>
      </c>
      <c r="E11" s="137" t="n">
        <v>11095.9</v>
      </c>
      <c r="F11" s="138" t="n">
        <v>19.024958</v>
      </c>
      <c r="G11" s="136" t="n">
        <v>282</v>
      </c>
      <c r="H11" s="136" t="n">
        <v>464.23</v>
      </c>
      <c r="I11" s="122" t="n">
        <v>2.33</v>
      </c>
    </row>
    <row r="12" customFormat="false" ht="15" hidden="false" customHeight="true" outlineLevel="0" collapsed="false">
      <c r="A12" s="115" t="s">
        <v>126</v>
      </c>
      <c r="B12" s="113" t="s">
        <v>127</v>
      </c>
      <c r="C12" s="136" t="n">
        <v>153.17</v>
      </c>
      <c r="D12" s="120" t="n">
        <v>281494</v>
      </c>
      <c r="E12" s="137"/>
      <c r="F12" s="138" t="n">
        <v>14.566291</v>
      </c>
      <c r="G12" s="136" t="n">
        <v>137.16</v>
      </c>
      <c r="H12" s="136" t="n">
        <v>167.06</v>
      </c>
      <c r="I12" s="122" t="n">
        <v>3.24</v>
      </c>
    </row>
    <row r="13" customFormat="false" ht="15" hidden="false" customHeight="true" outlineLevel="0" collapsed="false">
      <c r="A13" s="115" t="s">
        <v>240</v>
      </c>
      <c r="B13" s="113" t="s">
        <v>360</v>
      </c>
      <c r="C13" s="136" t="n">
        <v>21.51</v>
      </c>
      <c r="D13" s="120" t="n">
        <v>6978880</v>
      </c>
      <c r="E13" s="137" t="n">
        <v>74065.4</v>
      </c>
      <c r="F13" s="138" t="n">
        <v>14.732877</v>
      </c>
      <c r="G13" s="136" t="n">
        <v>16.18</v>
      </c>
      <c r="H13" s="136" t="n">
        <v>21.77</v>
      </c>
      <c r="I13" s="122" t="n">
        <v>6.33</v>
      </c>
    </row>
    <row r="14" customFormat="false" ht="15" hidden="false" customHeight="true" outlineLevel="0" collapsed="false">
      <c r="A14" s="115" t="s">
        <v>242</v>
      </c>
      <c r="B14" s="113" t="s">
        <v>396</v>
      </c>
      <c r="C14" s="136" t="n">
        <v>422.13</v>
      </c>
      <c r="D14" s="120" t="n">
        <v>2032961</v>
      </c>
      <c r="E14" s="137" t="n">
        <v>163955.3</v>
      </c>
      <c r="F14" s="138" t="n">
        <v>42.986763</v>
      </c>
      <c r="G14" s="136" t="n">
        <v>311.92</v>
      </c>
      <c r="H14" s="136" t="n">
        <v>478</v>
      </c>
      <c r="I14" s="122" t="n">
        <v>1.07</v>
      </c>
    </row>
    <row r="15" customFormat="false" ht="15" hidden="false" customHeight="true" outlineLevel="0" collapsed="false">
      <c r="A15" s="115" t="s">
        <v>244</v>
      </c>
      <c r="B15" s="113" t="s">
        <v>392</v>
      </c>
      <c r="C15" s="136" t="n">
        <v>72.82</v>
      </c>
      <c r="D15" s="120" t="n">
        <v>4895271</v>
      </c>
      <c r="E15" s="137" t="n">
        <v>6683.5</v>
      </c>
      <c r="F15" s="138" t="n">
        <v>23.044304</v>
      </c>
      <c r="G15" s="136" t="n">
        <v>44</v>
      </c>
      <c r="H15" s="136" t="n">
        <v>87.974</v>
      </c>
      <c r="I15" s="122" t="n">
        <v>0.54</v>
      </c>
    </row>
    <row r="16" customFormat="false" ht="15" hidden="false" customHeight="true" outlineLevel="0" collapsed="false">
      <c r="A16" s="115" t="s">
        <v>140</v>
      </c>
      <c r="B16" s="113" t="s">
        <v>141</v>
      </c>
      <c r="C16" s="136" t="n">
        <v>334.91</v>
      </c>
      <c r="D16" s="120" t="n">
        <v>3059378</v>
      </c>
      <c r="E16" s="137" t="n">
        <v>347490.1</v>
      </c>
      <c r="F16" s="138" t="n">
        <v>39.401176</v>
      </c>
      <c r="G16" s="136" t="n">
        <v>268.91</v>
      </c>
      <c r="H16" s="136" t="n">
        <v>388.84</v>
      </c>
      <c r="I16" s="122" t="n">
        <v>0.56</v>
      </c>
    </row>
    <row r="17" customFormat="false" ht="15" hidden="false" customHeight="true" outlineLevel="0" collapsed="false">
      <c r="A17" s="115" t="s">
        <v>162</v>
      </c>
      <c r="B17" s="113" t="s">
        <v>163</v>
      </c>
      <c r="C17" s="136" t="n">
        <v>69.39</v>
      </c>
      <c r="D17" s="120" t="n">
        <v>203268</v>
      </c>
      <c r="E17" s="137"/>
      <c r="F17" s="138" t="n">
        <v>24.4576</v>
      </c>
      <c r="G17" s="136" t="n">
        <v>63.24</v>
      </c>
      <c r="H17" s="136" t="n">
        <v>70.23</v>
      </c>
      <c r="I17" s="122" t="n">
        <v>0.62</v>
      </c>
    </row>
    <row r="18" customFormat="false" ht="15" hidden="false" customHeight="true" outlineLevel="0" collapsed="false">
      <c r="A18" s="115" t="s">
        <v>187</v>
      </c>
      <c r="B18" s="113" t="s">
        <v>188</v>
      </c>
      <c r="C18" s="136" t="n">
        <v>56.87</v>
      </c>
      <c r="D18" s="120" t="n">
        <v>4759638</v>
      </c>
      <c r="E18" s="137"/>
      <c r="F18" s="138" t="n">
        <v>25.282299</v>
      </c>
      <c r="G18" s="136" t="n">
        <v>55.1</v>
      </c>
      <c r="H18" s="136" t="n">
        <v>59.9</v>
      </c>
      <c r="I18" s="122" t="n">
        <v>7.97</v>
      </c>
    </row>
    <row r="19" customFormat="false" ht="15" hidden="false" customHeight="true" outlineLevel="0" collapsed="false">
      <c r="A19" s="115" t="s">
        <v>152</v>
      </c>
      <c r="B19" s="113" t="s">
        <v>153</v>
      </c>
      <c r="C19" s="136" t="n">
        <v>59.85</v>
      </c>
      <c r="D19" s="120" t="n">
        <v>5120618</v>
      </c>
      <c r="E19" s="137" t="n">
        <v>225986.3</v>
      </c>
      <c r="F19" s="138" t="n">
        <v>28.95007</v>
      </c>
      <c r="G19" s="136" t="n">
        <v>53.51</v>
      </c>
      <c r="H19" s="136" t="n">
        <v>61.72</v>
      </c>
      <c r="I19" s="122" t="n">
        <v>10.84</v>
      </c>
    </row>
    <row r="20" customFormat="false" ht="15" hidden="false" customHeight="true" outlineLevel="0" collapsed="false">
      <c r="A20" s="115" t="s">
        <v>106</v>
      </c>
      <c r="B20" s="113" t="s">
        <v>107</v>
      </c>
      <c r="C20" s="136" t="n">
        <v>196.53</v>
      </c>
      <c r="D20" s="120" t="n">
        <v>7447910</v>
      </c>
      <c r="E20" s="137" t="n">
        <v>256472.92416</v>
      </c>
      <c r="F20" s="138" t="n">
        <v>53.843834</v>
      </c>
      <c r="G20" s="136" t="n">
        <v>98.097</v>
      </c>
      <c r="H20" s="136" t="n">
        <v>307.37</v>
      </c>
      <c r="I20" s="122" t="n">
        <v>0.49</v>
      </c>
    </row>
    <row r="21" customFormat="false" ht="15" hidden="false" customHeight="true" outlineLevel="0" collapsed="false">
      <c r="A21" s="115" t="s">
        <v>251</v>
      </c>
      <c r="B21" s="113" t="s">
        <v>370</v>
      </c>
      <c r="C21" s="136" t="n">
        <v>468.38</v>
      </c>
      <c r="D21" s="120" t="n">
        <v>2533696</v>
      </c>
      <c r="E21" s="137" t="n">
        <v>215913.9</v>
      </c>
      <c r="F21" s="138" t="n">
        <v>30.179123</v>
      </c>
      <c r="G21" s="136" t="n">
        <v>387.78</v>
      </c>
      <c r="H21" s="136" t="n">
        <v>548.2</v>
      </c>
      <c r="I21" s="122" t="n">
        <v>1.34</v>
      </c>
    </row>
    <row r="22" customFormat="false" ht="15" hidden="false" customHeight="true" outlineLevel="0" collapsed="false">
      <c r="A22" s="115" t="s">
        <v>136</v>
      </c>
      <c r="B22" s="113" t="s">
        <v>137</v>
      </c>
      <c r="C22" s="136" t="n">
        <v>54.93</v>
      </c>
      <c r="D22" s="120" t="n">
        <v>350807</v>
      </c>
      <c r="E22" s="137"/>
      <c r="F22" s="138" t="n">
        <v>18.950302</v>
      </c>
      <c r="G22" s="136" t="n">
        <v>49.15</v>
      </c>
      <c r="H22" s="136" t="n">
        <v>58.47</v>
      </c>
      <c r="I22" s="122" t="n">
        <v>0.47</v>
      </c>
    </row>
    <row r="23" customFormat="false" ht="15" hidden="false" customHeight="true" outlineLevel="0" collapsed="false">
      <c r="A23" s="115" t="s">
        <v>108</v>
      </c>
      <c r="B23" s="113" t="s">
        <v>109</v>
      </c>
      <c r="C23" s="136" t="n">
        <v>1065.08</v>
      </c>
      <c r="D23" s="120" t="n">
        <v>17447896</v>
      </c>
      <c r="E23" s="137" t="n">
        <v>1202894.012416</v>
      </c>
      <c r="F23" s="138" t="n">
        <v>24.05873</v>
      </c>
      <c r="G23" s="136" t="n">
        <v>163.96</v>
      </c>
      <c r="H23" s="136" t="n">
        <v>1255</v>
      </c>
      <c r="I23" s="122" t="n">
        <v>0.05</v>
      </c>
    </row>
    <row r="24" customFormat="false" ht="15" hidden="false" customHeight="true" outlineLevel="0" collapsed="false">
      <c r="A24" s="115" t="s">
        <v>143</v>
      </c>
      <c r="B24" s="113" t="s">
        <v>144</v>
      </c>
      <c r="C24" s="136" t="n">
        <v>76.77</v>
      </c>
      <c r="D24" s="120" t="n">
        <v>33613528</v>
      </c>
      <c r="E24" s="137" t="n">
        <v>319665.6</v>
      </c>
      <c r="F24" s="138" t="n">
        <v>24.141508</v>
      </c>
      <c r="G24" s="136" t="n">
        <v>65.08</v>
      </c>
      <c r="H24" s="136" t="n">
        <v>126.7</v>
      </c>
      <c r="I24" s="122" t="n">
        <v>0.79</v>
      </c>
    </row>
    <row r="25" customFormat="false" ht="15" hidden="false" customHeight="true" outlineLevel="0" collapsed="false">
      <c r="A25" s="115" t="s">
        <v>110</v>
      </c>
      <c r="B25" s="113" t="s">
        <v>111</v>
      </c>
      <c r="C25" s="136" t="n">
        <v>227.21</v>
      </c>
      <c r="D25" s="120" t="n">
        <v>93878615</v>
      </c>
      <c r="E25" s="137" t="n">
        <v>5486440.087552</v>
      </c>
      <c r="F25" s="138" t="n">
        <v>28.688131</v>
      </c>
      <c r="G25" s="136" t="n">
        <v>164.27</v>
      </c>
      <c r="H25" s="136" t="n">
        <v>236.54</v>
      </c>
      <c r="I25" s="122" t="n">
        <v>0.44</v>
      </c>
    </row>
    <row r="26" customFormat="false" ht="15" hidden="false" customHeight="true" outlineLevel="0" collapsed="false">
      <c r="A26" s="115" t="s">
        <v>262</v>
      </c>
      <c r="B26" s="113" t="s">
        <v>378</v>
      </c>
      <c r="C26" s="136" t="n">
        <v>145.58</v>
      </c>
      <c r="D26" s="120" t="n">
        <v>6281928</v>
      </c>
      <c r="E26" s="137" t="n">
        <v>338134.7</v>
      </c>
      <c r="F26" s="138" t="n">
        <v>21.990936</v>
      </c>
      <c r="G26" s="136" t="n">
        <v>137.62</v>
      </c>
      <c r="H26" s="136" t="n">
        <v>167.25</v>
      </c>
      <c r="I26" s="122" t="n">
        <v>2.97</v>
      </c>
    </row>
    <row r="27" customFormat="false" ht="15" hidden="false" customHeight="true" outlineLevel="0" collapsed="false">
      <c r="A27" s="115" t="s">
        <v>264</v>
      </c>
      <c r="B27" s="113" t="s">
        <v>394</v>
      </c>
      <c r="C27" s="136" t="n">
        <v>955.87</v>
      </c>
      <c r="D27" s="120" t="n">
        <v>437579</v>
      </c>
      <c r="E27" s="137" t="n">
        <v>120485</v>
      </c>
      <c r="F27" s="138" t="n">
        <v>33.55107</v>
      </c>
      <c r="G27" s="136" t="n">
        <v>715.37</v>
      </c>
      <c r="H27" s="136" t="n">
        <v>1099.94</v>
      </c>
      <c r="I27" s="122" t="n">
        <v>0.83</v>
      </c>
    </row>
    <row r="28" customFormat="false" ht="15" hidden="false" customHeight="true" outlineLevel="0" collapsed="false">
      <c r="A28" s="115" t="s">
        <v>170</v>
      </c>
      <c r="B28" s="113" t="s">
        <v>336</v>
      </c>
      <c r="C28" s="136" t="n">
        <v>132.62</v>
      </c>
      <c r="D28" s="120" t="n">
        <v>2857085</v>
      </c>
      <c r="E28" s="137" t="n">
        <v>128918.757376</v>
      </c>
      <c r="F28" s="138" t="n">
        <v>29.536749</v>
      </c>
      <c r="G28" s="136" t="n">
        <v>111.03</v>
      </c>
      <c r="H28" s="136" t="n">
        <v>153.35</v>
      </c>
      <c r="I28" s="122" t="n">
        <v>3.23</v>
      </c>
    </row>
    <row r="29" customFormat="false" ht="15" hidden="false" customHeight="true" outlineLevel="0" collapsed="false">
      <c r="A29" s="115" t="s">
        <v>112</v>
      </c>
      <c r="B29" s="113" t="s">
        <v>113</v>
      </c>
      <c r="C29" s="136" t="n">
        <v>186.97</v>
      </c>
      <c r="D29" s="120" t="n">
        <v>12022739</v>
      </c>
      <c r="E29" s="137" t="n">
        <v>449299.841024</v>
      </c>
      <c r="F29" s="138" t="n">
        <v>158.44916</v>
      </c>
      <c r="G29" s="136" t="n">
        <v>106.37</v>
      </c>
      <c r="H29" s="136" t="n">
        <v>207.52</v>
      </c>
      <c r="I29" s="122" t="n">
        <v>0.7</v>
      </c>
    </row>
    <row r="30" customFormat="false" ht="15" hidden="false" customHeight="true" outlineLevel="0" collapsed="false">
      <c r="A30" s="115" t="s">
        <v>132</v>
      </c>
      <c r="B30" s="113" t="s">
        <v>133</v>
      </c>
      <c r="C30" s="136" t="n">
        <v>32.85</v>
      </c>
      <c r="D30" s="120" t="n">
        <v>24557259</v>
      </c>
      <c r="E30" s="137"/>
      <c r="F30" s="138" t="n">
        <v>18.129059</v>
      </c>
      <c r="G30" s="136" t="n">
        <v>26.32</v>
      </c>
      <c r="H30" s="136" t="n">
        <v>35.31</v>
      </c>
      <c r="I30" s="122" t="n">
        <v>3</v>
      </c>
    </row>
    <row r="31" customFormat="false" ht="15" hidden="false" customHeight="true" outlineLevel="0" collapsed="false">
      <c r="A31" s="115" t="s">
        <v>138</v>
      </c>
      <c r="B31" s="113" t="s">
        <v>139</v>
      </c>
      <c r="C31" s="136" t="n">
        <v>151.235</v>
      </c>
      <c r="D31" s="120" t="n">
        <v>1582352</v>
      </c>
      <c r="E31" s="137" t="n">
        <v>100824.6</v>
      </c>
      <c r="F31" s="138" t="n">
        <v>27.9245</v>
      </c>
      <c r="G31" s="136" t="n">
        <v>107.24</v>
      </c>
      <c r="H31" s="136" t="n">
        <v>162.3</v>
      </c>
      <c r="I31" s="122" t="n">
        <v>0.71</v>
      </c>
    </row>
    <row r="32" customFormat="false" ht="15" hidden="false" customHeight="true" outlineLevel="0" collapsed="false">
      <c r="A32" s="115" t="s">
        <v>114</v>
      </c>
      <c r="B32" s="113" t="s">
        <v>347</v>
      </c>
      <c r="C32" s="136" t="n">
        <v>457.005</v>
      </c>
      <c r="D32" s="120" t="n">
        <v>8345842</v>
      </c>
      <c r="E32" s="137" t="n">
        <v>2370244.44416</v>
      </c>
      <c r="F32" s="138" t="n">
        <v>33.97807</v>
      </c>
      <c r="G32" s="136" t="n">
        <v>266.82</v>
      </c>
      <c r="H32" s="136" t="n">
        <v>479</v>
      </c>
      <c r="I32" s="122" t="n">
        <v>0.9</v>
      </c>
    </row>
    <row r="33" customFormat="false" ht="15" hidden="false" customHeight="true" outlineLevel="0" collapsed="false">
      <c r="A33" s="115" t="s">
        <v>118</v>
      </c>
      <c r="B33" s="113" t="s">
        <v>119</v>
      </c>
      <c r="C33" s="136" t="n">
        <v>366.03</v>
      </c>
      <c r="D33" s="120" t="n">
        <v>3385491</v>
      </c>
      <c r="E33" s="137" t="n">
        <v>687168.356352</v>
      </c>
      <c r="F33" s="138" t="n">
        <v>31.098555</v>
      </c>
      <c r="G33" s="136" t="n">
        <v>293.89</v>
      </c>
      <c r="H33" s="136" t="n">
        <v>385.57</v>
      </c>
      <c r="I33" s="122" t="n">
        <v>0.73</v>
      </c>
    </row>
    <row r="34" customFormat="false" ht="15" hidden="false" customHeight="true" outlineLevel="0" collapsed="false">
      <c r="A34" s="115" t="s">
        <v>129</v>
      </c>
      <c r="B34" s="113" t="s">
        <v>130</v>
      </c>
      <c r="C34" s="136" t="n">
        <v>51.01</v>
      </c>
      <c r="D34" s="120" t="n">
        <v>2136556</v>
      </c>
      <c r="E34" s="137"/>
      <c r="F34" s="138" t="n">
        <v>16.20076</v>
      </c>
      <c r="G34" s="136" t="n">
        <v>36.56</v>
      </c>
      <c r="H34" s="136" t="n">
        <v>56.44</v>
      </c>
      <c r="I34" s="122" t="n">
        <v>1.01</v>
      </c>
    </row>
    <row r="35" customFormat="false" ht="15" hidden="false" customHeight="true" outlineLevel="0" collapsed="false">
      <c r="A35" s="115" t="s">
        <v>116</v>
      </c>
      <c r="B35" s="113" t="s">
        <v>117</v>
      </c>
      <c r="C35" s="136" t="n">
        <v>248.43</v>
      </c>
      <c r="D35" s="120" t="n">
        <v>2871756</v>
      </c>
      <c r="E35" s="137" t="n">
        <v>95642.607616</v>
      </c>
      <c r="F35" s="138" t="n">
        <v>56.079006</v>
      </c>
      <c r="G35" s="136" t="n">
        <v>144</v>
      </c>
      <c r="H35" s="136" t="n">
        <v>379.935</v>
      </c>
      <c r="I35" s="122" t="n">
        <v>0.1</v>
      </c>
    </row>
    <row r="36" customFormat="false" ht="15" hidden="false" customHeight="true" outlineLevel="0" collapsed="false">
      <c r="A36" s="115" t="s">
        <v>167</v>
      </c>
      <c r="B36" s="113" t="s">
        <v>168</v>
      </c>
      <c r="C36" s="136" t="n">
        <v>526.73</v>
      </c>
      <c r="D36" s="120" t="n">
        <v>630441</v>
      </c>
      <c r="E36" s="137" t="n">
        <v>133505.466368</v>
      </c>
      <c r="F36" s="138" t="n">
        <v>30.71312</v>
      </c>
      <c r="G36" s="136" t="n">
        <v>385.86</v>
      </c>
      <c r="H36" s="136" t="n">
        <v>560.25</v>
      </c>
      <c r="I36" s="122"/>
    </row>
    <row r="37" customFormat="false" ht="15" hidden="false" customHeight="true" outlineLevel="0" collapsed="false">
      <c r="A37" s="115" t="s">
        <v>134</v>
      </c>
      <c r="B37" s="113" t="s">
        <v>135</v>
      </c>
      <c r="C37" s="136" t="n">
        <v>156.45</v>
      </c>
      <c r="D37" s="120" t="n">
        <v>975438</v>
      </c>
      <c r="E37" s="137"/>
      <c r="F37" s="138" t="n">
        <v>19.652536</v>
      </c>
      <c r="G37" s="136" t="n">
        <v>137.42</v>
      </c>
      <c r="H37" s="136" t="n">
        <v>167.61</v>
      </c>
      <c r="I37" s="122" t="n">
        <v>2.22</v>
      </c>
    </row>
    <row r="38" customFormat="false" ht="15" hidden="false" customHeight="true" outlineLevel="0" collapsed="false">
      <c r="A38" s="115" t="s">
        <v>272</v>
      </c>
      <c r="B38" s="113" t="s">
        <v>383</v>
      </c>
      <c r="C38" s="136" t="n">
        <v>149.51</v>
      </c>
      <c r="D38" s="120" t="n">
        <v>1616462</v>
      </c>
      <c r="E38" s="137" t="n">
        <v>40801.4</v>
      </c>
      <c r="F38" s="138" t="n">
        <v>18.829973</v>
      </c>
      <c r="G38" s="136" t="n">
        <v>137.33</v>
      </c>
      <c r="H38" s="136" t="n">
        <v>170.14</v>
      </c>
      <c r="I38" s="122" t="n">
        <v>1.99</v>
      </c>
    </row>
  </sheetData>
  <autoFilter ref="A2:I44"/>
  <mergeCells count="1">
    <mergeCell ref="A1:I1"/>
  </mergeCell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V7" activeCellId="0" sqref="V7"/>
    </sheetView>
  </sheetViews>
  <sheetFormatPr defaultColWidth="8.66796875" defaultRowHeight="14.25" customHeight="false" zeroHeight="false" outlineLevelRow="0" outlineLevelCol="0"/>
  <cols>
    <col collapsed="false" customWidth="true" hidden="false" outlineLevel="0" max="1" min="1" style="1" width="10.78"/>
    <col collapsed="false" customWidth="true" hidden="false" outlineLevel="0" max="21" min="2" style="1" width="5.66"/>
    <col collapsed="false" customWidth="true" hidden="false" outlineLevel="0" max="22" min="22" style="1" width="4.11"/>
    <col collapsed="false" customWidth="true" hidden="false" outlineLevel="0" max="40" min="23" style="1" width="10.11"/>
  </cols>
  <sheetData>
    <row r="1" customFormat="false" ht="27" hidden="false" customHeight="true" outlineLevel="0" collapsed="false">
      <c r="A1" s="139" t="s">
        <v>432</v>
      </c>
      <c r="B1" s="139"/>
      <c r="C1" s="139"/>
      <c r="D1" s="139"/>
      <c r="E1" s="139"/>
      <c r="F1" s="139"/>
      <c r="G1" s="139"/>
      <c r="H1" s="139"/>
      <c r="I1" s="139"/>
      <c r="J1" s="139"/>
      <c r="K1" s="139"/>
      <c r="L1" s="139"/>
      <c r="M1" s="139"/>
      <c r="N1" s="139"/>
      <c r="O1" s="139"/>
      <c r="P1" s="139"/>
      <c r="Q1" s="139"/>
      <c r="R1" s="139"/>
      <c r="S1" s="139"/>
      <c r="T1" s="139"/>
      <c r="U1" s="139"/>
    </row>
    <row r="2" customFormat="false" ht="15" hidden="false" customHeight="true" outlineLevel="0" collapsed="false">
      <c r="A2" s="111" t="s">
        <v>277</v>
      </c>
      <c r="B2" s="111" t="str">
        <f aca="false">'Price History'!B2</f>
        <v>ADBE</v>
      </c>
      <c r="C2" s="111" t="str">
        <f aca="false">'Price History'!C2</f>
        <v>ANET</v>
      </c>
      <c r="D2" s="111" t="str">
        <f aca="false">'Price History'!D2</f>
        <v>ASML</v>
      </c>
      <c r="E2" s="111" t="str">
        <f aca="false">'Price History'!E2</f>
        <v>AVGO</v>
      </c>
      <c r="F2" s="111" t="str">
        <f aca="false">'Price History'!F2</f>
        <v>AVUV</v>
      </c>
      <c r="G2" s="111" t="str">
        <f aca="false">'Price History'!G2</f>
        <v>CRWD</v>
      </c>
      <c r="H2" s="111" t="str">
        <f aca="false">'Price History'!H2</f>
        <v>DVY</v>
      </c>
      <c r="I2" s="111" t="str">
        <f aca="false">'Price History'!I2</f>
        <v>KLAC</v>
      </c>
      <c r="J2" s="111" t="str">
        <f aca="false">'Price History'!J2</f>
        <v>MU</v>
      </c>
      <c r="K2" s="111" t="str">
        <f aca="false">'Price History'!K2</f>
        <v>NVDA</v>
      </c>
      <c r="L2" s="111" t="str">
        <f aca="false">'Price History'!L2</f>
        <v>PLD</v>
      </c>
      <c r="M2" s="111" t="str">
        <f aca="false">'Price History'!M2</f>
        <v>PLTR</v>
      </c>
      <c r="N2" s="111" t="str">
        <f aca="false">'Price History'!N2</f>
        <v>SCHD</v>
      </c>
      <c r="O2" s="111" t="str">
        <f aca="false">'Price History'!O2</f>
        <v>SPMO</v>
      </c>
      <c r="P2" s="111" t="str">
        <f aca="false">'Price History'!P2</f>
        <v>TSM</v>
      </c>
      <c r="Q2" s="111" t="str">
        <f aca="false">'Price History'!Q2</f>
        <v>V</v>
      </c>
      <c r="R2" s="111" t="str">
        <f aca="false">'Price History'!R2</f>
        <v>JEPQ</v>
      </c>
      <c r="S2" s="111" t="str">
        <f aca="false">'Price History'!S2</f>
        <v>SPMO</v>
      </c>
      <c r="T2" s="111" t="str">
        <f aca="false">'Price History'!T2</f>
        <v>VFLO</v>
      </c>
      <c r="U2" s="111" t="n">
        <f aca="false">'Price History'!U2</f>
        <v>0</v>
      </c>
      <c r="V2" s="140" t="str">
        <f aca="false">'Price History'!V2</f>
        <v>V</v>
      </c>
      <c r="W2" s="141" t="s">
        <v>433</v>
      </c>
      <c r="X2" s="141" t="s">
        <v>434</v>
      </c>
      <c r="Y2" s="141" t="s">
        <v>435</v>
      </c>
      <c r="Z2" s="141" t="s">
        <v>436</v>
      </c>
      <c r="AA2" s="141" t="s">
        <v>437</v>
      </c>
      <c r="AB2" s="141" t="s">
        <v>438</v>
      </c>
      <c r="AC2" s="141" t="s">
        <v>439</v>
      </c>
      <c r="AD2" s="141" t="s">
        <v>440</v>
      </c>
      <c r="AE2" s="141" t="s">
        <v>441</v>
      </c>
      <c r="AF2" s="141" t="s">
        <v>442</v>
      </c>
      <c r="AG2" s="141" t="s">
        <v>443</v>
      </c>
      <c r="AH2" s="141" t="s">
        <v>444</v>
      </c>
      <c r="AI2" s="141" t="s">
        <v>445</v>
      </c>
      <c r="AJ2" s="141" t="s">
        <v>446</v>
      </c>
      <c r="AK2" s="141" t="s">
        <v>447</v>
      </c>
      <c r="AL2" s="141" t="s">
        <v>448</v>
      </c>
      <c r="AM2" s="141" t="s">
        <v>449</v>
      </c>
      <c r="AN2" s="141" t="s">
        <v>450</v>
      </c>
      <c r="AO2" s="140" t="s">
        <v>451</v>
      </c>
    </row>
    <row r="3" customFormat="false" ht="15" hidden="false" customHeight="true" outlineLevel="0" collapsed="false">
      <c r="A3" s="142" t="n">
        <f aca="false">IF('Price History'!A4="","",'Price History'!A4)</f>
        <v>45191</v>
      </c>
      <c r="B3" s="143" t="n">
        <f aca="false">IFERROR(IF(OR(NOT(ISNUMBER('Price History'!B4)),NOT(ISNUMBER('Price History'!B3)),'Price History'!B3=0),"",'Price History'!B4/'Price History'!B3-1),"")</f>
        <v>-0.0302331297623325</v>
      </c>
      <c r="C3" s="143" t="n">
        <f aca="false">IFERROR(IF(OR(NOT(ISNUMBER('Price History'!C4)),NOT(ISNUMBER('Price History'!C3)),'Price History'!C3=0),"",'Price History'!C4/'Price History'!C3-1),"")</f>
        <v>-0.0238198354265916</v>
      </c>
      <c r="D3" s="143" t="n">
        <f aca="false">IFERROR(IF(OR(NOT(ISNUMBER('Price History'!D4)),NOT(ISNUMBER('Price History'!D3)),'Price History'!D3=0),"",'Price History'!D4/'Price History'!D3-1),"")</f>
        <v>-0.016013470558925</v>
      </c>
      <c r="E3" s="143" t="n">
        <f aca="false">IFERROR(IF(OR(NOT(ISNUMBER('Price History'!E4)),NOT(ISNUMBER('Price History'!E3)),'Price History'!E3=0),"",'Price History'!E4/'Price History'!E3-1),"")</f>
        <v>-0.0212195121951219</v>
      </c>
      <c r="F3" s="143" t="n">
        <f aca="false">IFERROR(IF(OR(NOT(ISNUMBER('Price History'!F4)),NOT(ISNUMBER('Price History'!F3)),'Price History'!F3=0),"",'Price History'!F4/'Price History'!F3-1),"")</f>
        <v>-0.0292125879697251</v>
      </c>
      <c r="G3" s="143" t="n">
        <f aca="false">IFERROR(IF(OR(NOT(ISNUMBER('Price History'!G4)),NOT(ISNUMBER('Price History'!G3)),'Price History'!G3=0),"",'Price History'!G4/'Price History'!G3-1),"")</f>
        <v>-0.0174081237911025</v>
      </c>
      <c r="H3" s="143" t="n">
        <f aca="false">IFERROR(IF(OR(NOT(ISNUMBER('Price History'!H4)),NOT(ISNUMBER('Price History'!H3)),'Price History'!H3=0),"",'Price History'!H4/'Price History'!H3-1),"")</f>
        <v>-0.021373894025251</v>
      </c>
      <c r="I3" s="143" t="n">
        <f aca="false">IFERROR(IF(OR(NOT(ISNUMBER('Price History'!I4)),NOT(ISNUMBER('Price History'!I3)),'Price History'!I3=0),"",'Price History'!I4/'Price History'!I3-1),"")</f>
        <v>-0.00518602029312298</v>
      </c>
      <c r="J3" s="143" t="n">
        <f aca="false">IFERROR(IF(OR(NOT(ISNUMBER('Price History'!J4)),NOT(ISNUMBER('Price History'!J3)),'Price History'!J3=0),"",'Price History'!J4/'Price History'!J3-1),"")</f>
        <v>-0.0143249891477354</v>
      </c>
      <c r="K3" s="143" t="n">
        <f aca="false">IFERROR(IF(OR(NOT(ISNUMBER('Price History'!K4)),NOT(ISNUMBER('Price History'!K3)),'Price History'!K3=0),"",'Price History'!K4/'Price History'!K3-1),"")</f>
        <v>-0.0520904729266621</v>
      </c>
      <c r="L3" s="143" t="n">
        <f aca="false">IFERROR(IF(OR(NOT(ISNUMBER('Price History'!L4)),NOT(ISNUMBER('Price History'!L3)),'Price History'!L3=0),"",'Price History'!L4/'Price History'!L3-1),"")</f>
        <v>-0.073944921316166</v>
      </c>
      <c r="M3" s="143" t="n">
        <f aca="false">IFERROR(IF(OR(NOT(ISNUMBER('Price History'!M4)),NOT(ISNUMBER('Price History'!M3)),'Price History'!M3=0),"",'Price History'!M4/'Price History'!M3-1),"")</f>
        <v>-0.0782778864970646</v>
      </c>
      <c r="N3" s="143" t="n">
        <f aca="false">IFERROR(IF(OR(NOT(ISNUMBER('Price History'!N4)),NOT(ISNUMBER('Price History'!N3)),'Price History'!N3=0),"",'Price History'!N4/'Price History'!N3-1),"")</f>
        <v>-0.0229357798165137</v>
      </c>
      <c r="O3" s="143" t="n">
        <f aca="false">IFERROR(IF(OR(NOT(ISNUMBER('Price History'!O4)),NOT(ISNUMBER('Price History'!O3)),'Price History'!O3=0),"",'Price History'!O4/'Price History'!O3-1),"")</f>
        <v>-0.0242929030019088</v>
      </c>
      <c r="P3" s="143" t="n">
        <f aca="false">IFERROR(IF(OR(NOT(ISNUMBER('Price History'!P4)),NOT(ISNUMBER('Price History'!P3)),'Price History'!P3=0),"",'Price History'!P4/'Price History'!P3-1),"")</f>
        <v>-0.040466472303207</v>
      </c>
      <c r="Q3" s="143" t="n">
        <f aca="false">IFERROR(IF(OR(NOT(ISNUMBER('Price History'!Q4)),NOT(ISNUMBER('Price History'!Q3)),'Price History'!Q3=0),"",'Price History'!Q4/'Price History'!Q3-1),"")</f>
        <v>-0.0248270593727454</v>
      </c>
      <c r="R3" s="143" t="n">
        <f aca="false">IFERROR(IF(OR(NOT(ISNUMBER('Price History'!R4)),NOT(ISNUMBER('Price History'!R3)),'Price History'!R3=0),"",'Price History'!R4/'Price History'!R3-1),"")</f>
        <v>-0.0186114596403179</v>
      </c>
      <c r="S3" s="143" t="n">
        <f aca="false">IFERROR(IF(OR(NOT(ISNUMBER('Price History'!S4)),NOT(ISNUMBER('Price History'!S3)),'Price History'!S3=0),"",'Price History'!S4/'Price History'!S3-1),"")</f>
        <v>-0.00837034506320467</v>
      </c>
      <c r="T3" s="143" t="n">
        <f aca="false">IFERROR(IF(OR(NOT(ISNUMBER('Price History'!T4)),NOT(ISNUMBER('Price History'!T3)),'Price History'!T3=0),"",'Price History'!T4/'Price History'!T3-1),"")</f>
        <v>-0.0267558528428093</v>
      </c>
      <c r="U3" s="143" t="str">
        <f aca="false">IFERROR(IF(OR(NOT(ISNUMBER('Price History'!U4)),NOT(ISNUMBER('Price History'!U3)),'Price History'!U3=0),"",'Price History'!U4/'Price History'!U3-1),"")</f>
        <v/>
      </c>
      <c r="V3" s="144" t="str">
        <f aca="false">IFERROR(IF(OR(NOT(ISNUMBER('Price History'!V4)),NOT(ISNUMBER('Price History'!V3)),'Price History'!V3=0),"",'Price History'!V4/'Price History'!V3-1),"")</f>
        <v/>
      </c>
      <c r="W3" s="145" t="str">
        <f aca="false">IFERROR('Price History'!B3+(INDEX('Price History'!B:B,MATCH(9.99E+307,'Price History'!$A:$A))-'Price History'!B3)*(ROW()-3)/(MATCH(9.99E+307,'Returns (Calc)'!$A:$A)-3),"")</f>
        <v/>
      </c>
      <c r="X3" s="145" t="n">
        <f aca="false">IFERROR('Price History'!C3+(INDEX('Price History'!C:C,MATCH(9.99E+307,'Price History'!$A:$A))-'Price History'!C3)*(ROW()-3)/(MATCH(9.99E+307,'Returns (Calc)'!$A:$A)-3),"")</f>
        <v>46.18</v>
      </c>
      <c r="Y3" s="145" t="n">
        <f aca="false">IFERROR('Price History'!D3+(INDEX('Price History'!D:D,MATCH(9.99E+307,'Price History'!$A:$A))-'Price History'!D3)*(ROW()-3)/(MATCH(9.99E+307,'Returns (Calc)'!$A:$A)-3),"")</f>
        <v>582.01</v>
      </c>
      <c r="Z3" s="145" t="n">
        <f aca="false">IFERROR('Price History'!E3+(INDEX('Price History'!E:E,MATCH(9.99E+307,'Price History'!$A:$A))-'Price History'!E3)*(ROW()-3)/(MATCH(9.99E+307,'Returns (Calc)'!$A:$A)-3),"")</f>
        <v>82</v>
      </c>
      <c r="AA3" s="145" t="n">
        <f aca="false">IFERROR('Price History'!F3+(INDEX('Price History'!F:F,MATCH(9.99E+307,'Price History'!$A:$A))-'Price History'!F3)*(ROW()-3)/(MATCH(9.99E+307,'Returns (Calc)'!$A:$A)-3),"")</f>
        <v>75.31</v>
      </c>
      <c r="AB3" s="145" t="n">
        <f aca="false">IFERROR('Price History'!G3+(INDEX('Price History'!G:G,MATCH(9.99E+307,'Price History'!$A:$A))-'Price History'!G3)*(ROW()-3)/(MATCH(9.99E+307,'Returns (Calc)'!$A:$A)-3),"")</f>
        <v>41.36</v>
      </c>
      <c r="AC3" s="145" t="n">
        <f aca="false">IFERROR('Price History'!H3+(INDEX('Price History'!H:H,MATCH(9.99E+307,'Price History'!$A:$A))-'Price History'!H3)*(ROW()-3)/(MATCH(9.99E+307,'Returns (Calc)'!$A:$A)-3),"")</f>
        <v>100.59</v>
      </c>
      <c r="AD3" s="145" t="n">
        <f aca="false">IFERROR('Price History'!I3+(INDEX('Price History'!I:I,MATCH(9.99E+307,'Price History'!$A:$A))-'Price History'!I3)*(ROW()-3)/(MATCH(9.99E+307,'Returns (Calc)'!$A:$A)-3),"")</f>
        <v>44.35</v>
      </c>
      <c r="AE3" s="145" t="n">
        <f aca="false">IFERROR('Price History'!J3+(INDEX('Price History'!J:J,MATCH(9.99E+307,'Price History'!$A:$A))-'Price History'!J3)*(ROW()-3)/(MATCH(9.99E+307,'Returns (Calc)'!$A:$A)-3),"")</f>
        <v>69.11</v>
      </c>
      <c r="AF3" s="145" t="n">
        <f aca="false">IFERROR('Price History'!K3+(INDEX('Price History'!K:K,MATCH(9.99E+307,'Price History'!$A:$A))-'Price History'!K3)*(ROW()-3)/(MATCH(9.99E+307,'Returns (Calc)'!$A:$A)-3),"")</f>
        <v>43.77</v>
      </c>
      <c r="AG3" s="145" t="n">
        <f aca="false">IFERROR('Price History'!L3+(INDEX('Price History'!L:L,MATCH(9.99E+307,'Price History'!$A:$A))-'Price History'!L3)*(ROW()-3)/(MATCH(9.99E+307,'Returns (Calc)'!$A:$A)-3),"")</f>
        <v>111.84</v>
      </c>
      <c r="AH3" s="145" t="n">
        <f aca="false">IFERROR('Price History'!M3+(INDEX('Price History'!M:M,MATCH(9.99E+307,'Price History'!$A:$A))-'Price History'!M3)*(ROW()-3)/(MATCH(9.99E+307,'Returns (Calc)'!$A:$A)-3),"")</f>
        <v>15.33</v>
      </c>
      <c r="AI3" s="145" t="n">
        <f aca="false">IFERROR('Price History'!N3+(INDEX('Price History'!N:N,MATCH(9.99E+307,'Price History'!$A:$A))-'Price History'!N3)*(ROW()-3)/(MATCH(9.99E+307,'Returns (Calc)'!$A:$A)-3),"")</f>
        <v>21.8</v>
      </c>
      <c r="AJ3" s="145" t="n">
        <f aca="false">IFERROR('Price History'!O3+(INDEX('Price History'!O:O,MATCH(9.99E+307,'Price History'!$A:$A))-'Price History'!O3)*(ROW()-3)/(MATCH(9.99E+307,'Returns (Calc)'!$A:$A)-3),"")</f>
        <v>57.63</v>
      </c>
      <c r="AK3" s="145" t="n">
        <f aca="false">IFERROR('Price History'!Q3+(INDEX('Price History'!Q:Q,MATCH(9.99E+307,'Price History'!$A:$A))-'Price History'!Q3)*(ROW()-3)/(MATCH(9.99E+307,'Returns (Calc)'!$A:$A)-3),"")</f>
        <v>235.63</v>
      </c>
      <c r="AL3" s="145" t="n">
        <f aca="false">IFERROR('Price History'!R3+(INDEX('Price History'!R:R,MATCH(9.99E+307,'Price History'!$A:$A))-'Price History'!R3)*(ROW()-3)/(MATCH(9.99E+307,'Returns (Calc)'!$A:$A)-3),"")</f>
        <v>47.82</v>
      </c>
      <c r="AM3" s="145" t="n">
        <f aca="false">IFERROR('Price History'!S3+(INDEX('Price History'!S:S,MATCH(9.99E+307,'Price History'!$A:$A))-'Price History'!S3)*(ROW()-3)/(MATCH(9.99E+307,'Returns (Calc)'!$A:$A)-3),"")</f>
        <v>58.54</v>
      </c>
      <c r="AN3" s="145" t="n">
        <f aca="false">IFERROR('Price History'!T3+(INDEX('Price History'!T:T,MATCH(9.99E+307,'Price History'!$A:$A))-'Price History'!T3)*(ROW()-3)/(MATCH(9.99E+307,'Returns (Calc)'!$A:$A)-3),"")</f>
        <v>26.91</v>
      </c>
      <c r="AO3" s="146" t="n">
        <f aca="false">IFERROR('Price History'!V3+(INDEX('Price History'!V:V,MATCH(9.99E+307,'Price History'!$A:$A))-'Price History'!V3)*(ROW()-3)/(MATCH(9.99E+307,'Returns (Calc)'!$A:$A)-3),"")</f>
        <v>0</v>
      </c>
    </row>
    <row r="4" customFormat="false" ht="15" hidden="false" customHeight="true" outlineLevel="0" collapsed="false">
      <c r="A4" s="142" t="n">
        <f aca="false">IF('Price History'!A5="","",'Price History'!A5)</f>
        <v>45198</v>
      </c>
      <c r="B4" s="143" t="n">
        <f aca="false">IFERROR(IF(OR(NOT(ISNUMBER('Price History'!B5)),NOT(ISNUMBER('Price History'!B4)),'Price History'!B4=0),"",'Price History'!B5/'Price History'!B4-1),"")</f>
        <v>-0.00584909339052442</v>
      </c>
      <c r="C4" s="143" t="n">
        <f aca="false">IFERROR(IF(OR(NOT(ISNUMBER('Price History'!C5)),NOT(ISNUMBER('Price History'!C4)),'Price History'!C4=0),"",'Price History'!C5/'Price History'!C4-1),"")</f>
        <v>0.0199645075421473</v>
      </c>
      <c r="D4" s="143" t="n">
        <f aca="false">IFERROR(IF(OR(NOT(ISNUMBER('Price History'!D5)),NOT(ISNUMBER('Price History'!D4)),'Price History'!D4=0),"",'Price History'!D5/'Price History'!D4-1),"")</f>
        <v>0.00265414098377836</v>
      </c>
      <c r="E4" s="143" t="n">
        <f aca="false">IFERROR(IF(OR(NOT(ISNUMBER('Price History'!E5)),NOT(ISNUMBER('Price History'!E4)),'Price History'!E4=0),"",'Price History'!E5/'Price History'!E4-1),"")</f>
        <v>0.00186892599053068</v>
      </c>
      <c r="F4" s="143" t="n">
        <f aca="false">IFERROR(IF(OR(NOT(ISNUMBER('Price History'!F5)),NOT(ISNUMBER('Price History'!F4)),'Price History'!F4=0),"",'Price History'!F5/'Price History'!F4-1),"")</f>
        <v>0.0164136233073451</v>
      </c>
      <c r="G4" s="143" t="n">
        <f aca="false">IFERROR(IF(OR(NOT(ISNUMBER('Price History'!G5)),NOT(ISNUMBER('Price History'!G4)),'Price History'!G4=0),"",'Price History'!G5/'Price History'!G4-1),"")</f>
        <v>0.0297736220472442</v>
      </c>
      <c r="H4" s="143" t="n">
        <f aca="false">IFERROR(IF(OR(NOT(ISNUMBER('Price History'!H5)),NOT(ISNUMBER('Price History'!H4)),'Price History'!H4=0),"",'Price History'!H5/'Price History'!H4-1),"")</f>
        <v>-0.0187931735067045</v>
      </c>
      <c r="I4" s="143" t="n">
        <f aca="false">IFERROR(IF(OR(NOT(ISNUMBER('Price History'!I5)),NOT(ISNUMBER('Price History'!I4)),'Price History'!I4=0),"",'Price History'!I5/'Price History'!I4-1),"")</f>
        <v>0.0151858567543064</v>
      </c>
      <c r="J4" s="143" t="n">
        <f aca="false">IFERROR(IF(OR(NOT(ISNUMBER('Price History'!J5)),NOT(ISNUMBER('Price History'!J4)),'Price History'!J4=0),"",'Price History'!J5/'Price History'!J4-1),"")</f>
        <v>-0.0123311802701116</v>
      </c>
      <c r="K4" s="143" t="n">
        <f aca="false">IFERROR(IF(OR(NOT(ISNUMBER('Price History'!K5)),NOT(ISNUMBER('Price History'!K4)),'Price History'!K4=0),"",'Price History'!K5/'Price History'!K4-1),"")</f>
        <v>0.0453121234032297</v>
      </c>
      <c r="L4" s="143" t="n">
        <f aca="false">IFERROR(IF(OR(NOT(ISNUMBER('Price History'!L5)),NOT(ISNUMBER('Price History'!L4)),'Price History'!L4=0),"",'Price History'!L5/'Price History'!L4-1),"")</f>
        <v>-0.0163174664478131</v>
      </c>
      <c r="M4" s="143" t="n">
        <f aca="false">IFERROR(IF(OR(NOT(ISNUMBER('Price History'!M5)),NOT(ISNUMBER('Price History'!M4)),'Price History'!M4=0),"",'Price History'!M5/'Price History'!M4-1),"")</f>
        <v>0.132342533616419</v>
      </c>
      <c r="N4" s="143" t="n">
        <f aca="false">IFERROR(IF(OR(NOT(ISNUMBER('Price History'!N5)),NOT(ISNUMBER('Price History'!N4)),'Price History'!N4=0),"",'Price History'!N5/'Price History'!N4-1),"")</f>
        <v>-0.00751173708920183</v>
      </c>
      <c r="O4" s="143" t="n">
        <f aca="false">IFERROR(IF(OR(NOT(ISNUMBER('Price History'!O5)),NOT(ISNUMBER('Price History'!O4)),'Price History'!O4=0),"",'Price History'!O5/'Price History'!O4-1),"")</f>
        <v>-0.00302329717232785</v>
      </c>
      <c r="P4" s="143" t="n">
        <f aca="false">IFERROR(IF(OR(NOT(ISNUMBER('Price History'!P5)),NOT(ISNUMBER('Price History'!P4)),'Price History'!P4=0),"",'Price History'!P5/'Price History'!P4-1),"")</f>
        <v>0.0147058823529411</v>
      </c>
      <c r="Q4" s="143" t="n">
        <f aca="false">IFERROR(IF(OR(NOT(ISNUMBER('Price History'!Q5)),NOT(ISNUMBER('Price History'!Q4)),'Price History'!Q4=0),"",'Price History'!Q5/'Price History'!Q4-1),"")</f>
        <v>-0.0215858647401863</v>
      </c>
      <c r="R4" s="143" t="n">
        <f aca="false">IFERROR(IF(OR(NOT(ISNUMBER('Price History'!R5)),NOT(ISNUMBER('Price History'!R4)),'Price History'!R4=0),"",'Price History'!R5/'Price History'!R4-1),"")</f>
        <v>0.0159812486682294</v>
      </c>
      <c r="S4" s="143" t="n">
        <f aca="false">IFERROR(IF(OR(NOT(ISNUMBER('Price History'!S5)),NOT(ISNUMBER('Price History'!S4)),'Price History'!S4=0),"",'Price History'!S5/'Price History'!S4-1),"")</f>
        <v>-0.00275624461670965</v>
      </c>
      <c r="T4" s="143" t="n">
        <f aca="false">IFERROR(IF(OR(NOT(ISNUMBER('Price History'!T5)),NOT(ISNUMBER('Price History'!T4)),'Price History'!T4=0),"",'Price History'!T5/'Price History'!T4-1),"")</f>
        <v>-0.00801832760595655</v>
      </c>
      <c r="U4" s="143" t="str">
        <f aca="false">IFERROR(IF(OR(NOT(ISNUMBER('Price History'!U5)),NOT(ISNUMBER('Price History'!U4)),'Price History'!U4=0),"",'Price History'!U5/'Price History'!U4-1),"")</f>
        <v/>
      </c>
      <c r="V4" s="144" t="str">
        <f aca="false">IFERROR(IF(OR(NOT(ISNUMBER('Price History'!V5)),NOT(ISNUMBER('Price History'!V4)),'Price History'!V4=0),"",'Price History'!V5/'Price History'!V4-1),"")</f>
        <v/>
      </c>
      <c r="W4" s="145" t="str">
        <f aca="false">IFERROR('Price History'!B3+(INDEX('Price History'!B:B,MATCH(9.99E+307,'Price History'!$A:$A))-'Price History'!B3)*(ROW()-3)/(MATCH(9.99E+307,'Returns (Calc)'!$A:$A)-3),"")</f>
        <v/>
      </c>
      <c r="X4" s="145" t="n">
        <f aca="false">IFERROR('Price History'!C3+(INDEX('Price History'!C:C,MATCH(9.99E+307,'Price History'!$A:$A))-'Price History'!C3)*(ROW()-3)/(MATCH(9.99E+307,'Returns (Calc)'!$A:$A)-3),"")</f>
        <v>45.8895597484277</v>
      </c>
      <c r="Y4" s="145" t="n">
        <f aca="false">IFERROR('Price History'!D3+(INDEX('Price History'!D:D,MATCH(9.99E+307,'Price History'!$A:$A))-'Price History'!D3)*(ROW()-3)/(MATCH(9.99E+307,'Returns (Calc)'!$A:$A)-3),"")</f>
        <v>578.349559748428</v>
      </c>
      <c r="Z4" s="145" t="n">
        <f aca="false">IFERROR('Price History'!E3+(INDEX('Price History'!E:E,MATCH(9.99E+307,'Price History'!$A:$A))-'Price History'!E3)*(ROW()-3)/(MATCH(9.99E+307,'Returns (Calc)'!$A:$A)-3),"")</f>
        <v>81.4842767295598</v>
      </c>
      <c r="AA4" s="145" t="n">
        <f aca="false">IFERROR('Price History'!F3+(INDEX('Price History'!F:F,MATCH(9.99E+307,'Price History'!$A:$A))-'Price History'!F3)*(ROW()-3)/(MATCH(9.99E+307,'Returns (Calc)'!$A:$A)-3),"")</f>
        <v>74.8363522012579</v>
      </c>
      <c r="AB4" s="145" t="n">
        <f aca="false">IFERROR('Price History'!G3+(INDEX('Price History'!G:G,MATCH(9.99E+307,'Price History'!$A:$A))-'Price History'!G3)*(ROW()-3)/(MATCH(9.99E+307,'Returns (Calc)'!$A:$A)-3),"")</f>
        <v>41.0998742138365</v>
      </c>
      <c r="AC4" s="145" t="n">
        <f aca="false">IFERROR('Price History'!H3+(INDEX('Price History'!H:H,MATCH(9.99E+307,'Price History'!$A:$A))-'Price History'!H3)*(ROW()-3)/(MATCH(9.99E+307,'Returns (Calc)'!$A:$A)-3),"")</f>
        <v>99.957358490566</v>
      </c>
      <c r="AD4" s="145" t="n">
        <f aca="false">IFERROR('Price History'!I3+(INDEX('Price History'!I:I,MATCH(9.99E+307,'Price History'!$A:$A))-'Price History'!I3)*(ROW()-3)/(MATCH(9.99E+307,'Returns (Calc)'!$A:$A)-3),"")</f>
        <v>44.0710691823899</v>
      </c>
      <c r="AE4" s="145" t="n">
        <f aca="false">IFERROR('Price History'!J3+(INDEX('Price History'!J:J,MATCH(9.99E+307,'Price History'!$A:$A))-'Price History'!J3)*(ROW()-3)/(MATCH(9.99E+307,'Returns (Calc)'!$A:$A)-3),"")</f>
        <v>68.6753459119497</v>
      </c>
      <c r="AF4" s="145" t="n">
        <f aca="false">IFERROR('Price History'!K3+(INDEX('Price History'!K:K,MATCH(9.99E+307,'Price History'!$A:$A))-'Price History'!K3)*(ROW()-3)/(MATCH(9.99E+307,'Returns (Calc)'!$A:$A)-3),"")</f>
        <v>43.4947169811321</v>
      </c>
      <c r="AG4" s="145" t="n">
        <f aca="false">IFERROR('Price History'!L3+(INDEX('Price History'!L:L,MATCH(9.99E+307,'Price History'!$A:$A))-'Price History'!L3)*(ROW()-3)/(MATCH(9.99E+307,'Returns (Calc)'!$A:$A)-3),"")</f>
        <v>111.136603773585</v>
      </c>
      <c r="AH4" s="145" t="n">
        <f aca="false">IFERROR('Price History'!M3+(INDEX('Price History'!M:M,MATCH(9.99E+307,'Price History'!$A:$A))-'Price History'!M3)*(ROW()-3)/(MATCH(9.99E+307,'Returns (Calc)'!$A:$A)-3),"")</f>
        <v>15.2335849056604</v>
      </c>
      <c r="AI4" s="145" t="n">
        <f aca="false">IFERROR('Price History'!N3+(INDEX('Price History'!N:N,MATCH(9.99E+307,'Price History'!$A:$A))-'Price History'!N3)*(ROW()-3)/(MATCH(9.99E+307,'Returns (Calc)'!$A:$A)-3),"")</f>
        <v>21.662893081761</v>
      </c>
      <c r="AJ4" s="145" t="n">
        <f aca="false">IFERROR('Price History'!O3+(INDEX('Price History'!O:O,MATCH(9.99E+307,'Price History'!$A:$A))-'Price History'!O3)*(ROW()-3)/(MATCH(9.99E+307,'Returns (Calc)'!$A:$A)-3),"")</f>
        <v>57.2675471698113</v>
      </c>
      <c r="AK4" s="145" t="n">
        <f aca="false">IFERROR('Price History'!Q3+(INDEX('Price History'!Q:Q,MATCH(9.99E+307,'Price History'!$A:$A))-'Price History'!Q3)*(ROW()-3)/(MATCH(9.99E+307,'Returns (Calc)'!$A:$A)-3),"")</f>
        <v>234.148050314465</v>
      </c>
      <c r="AL4" s="145" t="n">
        <f aca="false">IFERROR('Price History'!R3+(INDEX('Price History'!R:R,MATCH(9.99E+307,'Price History'!$A:$A))-'Price History'!R3)*(ROW()-3)/(MATCH(9.99E+307,'Returns (Calc)'!$A:$A)-3),"")</f>
        <v>47.5192452830189</v>
      </c>
      <c r="AM4" s="145" t="n">
        <f aca="false">IFERROR('Price History'!S3+(INDEX('Price History'!S:S,MATCH(9.99E+307,'Price History'!$A:$A))-'Price History'!S3)*(ROW()-3)/(MATCH(9.99E+307,'Returns (Calc)'!$A:$A)-3),"")</f>
        <v>58.1718238993711</v>
      </c>
      <c r="AN4" s="145" t="n">
        <f aca="false">IFERROR('Price History'!T3+(INDEX('Price History'!T:T,MATCH(9.99E+307,'Price History'!$A:$A))-'Price History'!T3)*(ROW()-3)/(MATCH(9.99E+307,'Returns (Calc)'!$A:$A)-3),"")</f>
        <v>26.7407547169811</v>
      </c>
      <c r="AO4" s="146" t="n">
        <f aca="false">IFERROR('Price History'!V3+(INDEX('Price History'!V:V,MATCH(9.99E+307,'Price History'!$A:$A))-'Price History'!V3)*(ROW()-3)/(MATCH(9.99E+307,'Returns (Calc)'!$A:$A)-3),"")</f>
        <v>0</v>
      </c>
    </row>
    <row r="5" customFormat="false" ht="15" hidden="false" customHeight="true" outlineLevel="0" collapsed="false">
      <c r="A5" s="142" t="n">
        <f aca="false">IF('Price History'!A6="","",'Price History'!A6)</f>
        <v>45205</v>
      </c>
      <c r="B5" s="143" t="n">
        <f aca="false">IFERROR(IF(OR(NOT(ISNUMBER('Price History'!B6)),NOT(ISNUMBER('Price History'!B5)),'Price History'!B5=0),"",'Price History'!B6/'Price History'!B5-1),"")</f>
        <v>0.0329084134143949</v>
      </c>
      <c r="C5" s="143" t="n">
        <f aca="false">IFERROR(IF(OR(NOT(ISNUMBER('Price History'!C6)),NOT(ISNUMBER('Price History'!C5)),'Price History'!C5=0),"",'Price History'!C6/'Price History'!C5-1),"")</f>
        <v>0.0550239234449761</v>
      </c>
      <c r="D5" s="143" t="n">
        <f aca="false">IFERROR(IF(OR(NOT(ISNUMBER('Price History'!D6)),NOT(ISNUMBER('Price History'!D5)),'Price History'!D5=0),"",'Price History'!D6/'Price History'!D5-1),"")</f>
        <v>0.0147681161944238</v>
      </c>
      <c r="E5" s="143" t="n">
        <f aca="false">IFERROR(IF(OR(NOT(ISNUMBER('Price History'!E6)),NOT(ISNUMBER('Price History'!E5)),'Price History'!E5=0),"",'Price History'!E6/'Price History'!E5-1),"")</f>
        <v>0.0176594950876756</v>
      </c>
      <c r="F5" s="143" t="n">
        <f aca="false">IFERROR(IF(OR(NOT(ISNUMBER('Price History'!F6)),NOT(ISNUMBER('Price History'!F5)),'Price History'!F5=0),"",'Price History'!F6/'Price History'!F5-1),"")</f>
        <v>-0.0301439913874312</v>
      </c>
      <c r="G5" s="143" t="n">
        <f aca="false">IFERROR(IF(OR(NOT(ISNUMBER('Price History'!G6)),NOT(ISNUMBER('Price History'!G5)),'Price History'!G5=0),"",'Price History'!G6/'Price History'!G5-1),"")</f>
        <v>0.055436081242533</v>
      </c>
      <c r="H5" s="143" t="n">
        <f aca="false">IFERROR(IF(OR(NOT(ISNUMBER('Price History'!H6)),NOT(ISNUMBER('Price History'!H5)),'Price History'!H5=0),"",'Price History'!H6/'Price History'!H5-1),"")</f>
        <v>-0.0222590330261933</v>
      </c>
      <c r="I5" s="143" t="n">
        <f aca="false">IFERROR(IF(OR(NOT(ISNUMBER('Price History'!I6)),NOT(ISNUMBER('Price History'!I5)),'Price History'!I5=0),"",'Price History'!I6/'Price History'!I5-1),"")</f>
        <v>0.0203170350524671</v>
      </c>
      <c r="J5" s="143" t="n">
        <f aca="false">IFERROR(IF(OR(NOT(ISNUMBER('Price History'!J6)),NOT(ISNUMBER('Price History'!J5)),'Price History'!J5=0),"",'Price History'!J6/'Price History'!J5-1),"")</f>
        <v>0.0300237812128419</v>
      </c>
      <c r="K5" s="143" t="n">
        <f aca="false">IFERROR(IF(OR(NOT(ISNUMBER('Price History'!K6)),NOT(ISNUMBER('Price History'!K5)),'Price History'!K5=0),"",'Price History'!K6/'Price History'!K5-1),"")</f>
        <v>0.0521097532856816</v>
      </c>
      <c r="L5" s="143" t="n">
        <f aca="false">IFERROR(IF(OR(NOT(ISNUMBER('Price History'!L6)),NOT(ISNUMBER('Price History'!L5)),'Price History'!L5=0),"",'Price History'!L6/'Price History'!L5-1),"")</f>
        <v>-0.0294464075382803</v>
      </c>
      <c r="M5" s="143" t="n">
        <f aca="false">IFERROR(IF(OR(NOT(ISNUMBER('Price History'!M6)),NOT(ISNUMBER('Price History'!M5)),'Price History'!M5=0),"",'Price History'!M6/'Price History'!M5-1),"")</f>
        <v>0.038125</v>
      </c>
      <c r="N5" s="143" t="n">
        <f aca="false">IFERROR(IF(OR(NOT(ISNUMBER('Price History'!N6)),NOT(ISNUMBER('Price History'!N5)),'Price History'!N5=0),"",'Price History'!N6/'Price History'!N5-1),"")</f>
        <v>-0.0160832544938505</v>
      </c>
      <c r="O5" s="143" t="n">
        <f aca="false">IFERROR(IF(OR(NOT(ISNUMBER('Price History'!O6)),NOT(ISNUMBER('Price History'!O5)),'Price History'!O5=0),"",'Price History'!O6/'Price History'!O5-1),"")</f>
        <v>0.0110595790224759</v>
      </c>
      <c r="P5" s="143" t="n">
        <f aca="false">IFERROR(IF(OR(NOT(ISNUMBER('Price History'!P6)),NOT(ISNUMBER('Price History'!P5)),'Price History'!P5=0),"",'Price History'!P6/'Price History'!P5-1),"")</f>
        <v>0.0275482093663912</v>
      </c>
      <c r="Q5" s="143" t="n">
        <f aca="false">IFERROR(IF(OR(NOT(ISNUMBER('Price History'!Q6)),NOT(ISNUMBER('Price History'!Q5)),'Price History'!Q5=0),"",'Price History'!Q6/'Price History'!Q5-1),"")</f>
        <v>0.0218841740058715</v>
      </c>
      <c r="R5" s="143" t="n">
        <f aca="false">IFERROR(IF(OR(NOT(ISNUMBER('Price History'!R6)),NOT(ISNUMBER('Price History'!R5)),'Price History'!R5=0),"",'Price History'!R6/'Price History'!R5-1),"")</f>
        <v>0.018246644295302</v>
      </c>
      <c r="S5" s="143" t="n">
        <f aca="false">IFERROR(IF(OR(NOT(ISNUMBER('Price History'!S6)),NOT(ISNUMBER('Price History'!S5)),'Price History'!S5=0),"",'Price History'!S6/'Price History'!S5-1),"")</f>
        <v>0.0160649507686992</v>
      </c>
      <c r="T5" s="143" t="n">
        <f aca="false">IFERROR(IF(OR(NOT(ISNUMBER('Price History'!T6)),NOT(ISNUMBER('Price History'!T5)),'Price History'!T5=0),"",'Price History'!T6/'Price History'!T5-1),"")</f>
        <v>0.0261739799846035</v>
      </c>
      <c r="U5" s="143" t="str">
        <f aca="false">IFERROR(IF(OR(NOT(ISNUMBER('Price History'!U6)),NOT(ISNUMBER('Price History'!U5)),'Price History'!U5=0),"",'Price History'!U6/'Price History'!U5-1),"")</f>
        <v/>
      </c>
      <c r="V5" s="144" t="str">
        <f aca="false">IFERROR(IF(OR(NOT(ISNUMBER('Price History'!V6)),NOT(ISNUMBER('Price History'!V5)),'Price History'!V5=0),"",'Price History'!V6/'Price History'!V5-1),"")</f>
        <v/>
      </c>
      <c r="W5" s="145" t="str">
        <f aca="false">IFERROR('Price History'!B3+(INDEX('Price History'!B:B,MATCH(9.99E+307,'Price History'!$A:$A))-'Price History'!B3)*(ROW()-3)/(MATCH(9.99E+307,'Returns (Calc)'!$A:$A)-3),"")</f>
        <v/>
      </c>
      <c r="X5" s="145" t="n">
        <f aca="false">IFERROR('Price History'!C3+(INDEX('Price History'!C:C,MATCH(9.99E+307,'Price History'!$A:$A))-'Price History'!C3)*(ROW()-3)/(MATCH(9.99E+307,'Returns (Calc)'!$A:$A)-3),"")</f>
        <v>45.5991194968553</v>
      </c>
      <c r="Y5" s="145" t="n">
        <f aca="false">IFERROR('Price History'!D3+(INDEX('Price History'!D:D,MATCH(9.99E+307,'Price History'!$A:$A))-'Price History'!D3)*(ROW()-3)/(MATCH(9.99E+307,'Returns (Calc)'!$A:$A)-3),"")</f>
        <v>574.689119496855</v>
      </c>
      <c r="Z5" s="145" t="n">
        <f aca="false">IFERROR('Price History'!E3+(INDEX('Price History'!E:E,MATCH(9.99E+307,'Price History'!$A:$A))-'Price History'!E3)*(ROW()-3)/(MATCH(9.99E+307,'Returns (Calc)'!$A:$A)-3),"")</f>
        <v>80.9685534591195</v>
      </c>
      <c r="AA5" s="145" t="n">
        <f aca="false">IFERROR('Price History'!F3+(INDEX('Price History'!F:F,MATCH(9.99E+307,'Price History'!$A:$A))-'Price History'!F3)*(ROW()-3)/(MATCH(9.99E+307,'Returns (Calc)'!$A:$A)-3),"")</f>
        <v>74.3627044025157</v>
      </c>
      <c r="AB5" s="145" t="n">
        <f aca="false">IFERROR('Price History'!G3+(INDEX('Price History'!G:G,MATCH(9.99E+307,'Price History'!$A:$A))-'Price History'!G3)*(ROW()-3)/(MATCH(9.99E+307,'Returns (Calc)'!$A:$A)-3),"")</f>
        <v>40.839748427673</v>
      </c>
      <c r="AC5" s="145" t="n">
        <f aca="false">IFERROR('Price History'!H3+(INDEX('Price History'!H:H,MATCH(9.99E+307,'Price History'!$A:$A))-'Price History'!H3)*(ROW()-3)/(MATCH(9.99E+307,'Returns (Calc)'!$A:$A)-3),"")</f>
        <v>99.3247169811321</v>
      </c>
      <c r="AD5" s="145" t="n">
        <f aca="false">IFERROR('Price History'!I3+(INDEX('Price History'!I:I,MATCH(9.99E+307,'Price History'!$A:$A))-'Price History'!I3)*(ROW()-3)/(MATCH(9.99E+307,'Returns (Calc)'!$A:$A)-3),"")</f>
        <v>43.7921383647799</v>
      </c>
      <c r="AE5" s="145" t="n">
        <f aca="false">IFERROR('Price History'!J3+(INDEX('Price History'!J:J,MATCH(9.99E+307,'Price History'!$A:$A))-'Price History'!J3)*(ROW()-3)/(MATCH(9.99E+307,'Returns (Calc)'!$A:$A)-3),"")</f>
        <v>68.2406918238994</v>
      </c>
      <c r="AF5" s="145" t="n">
        <f aca="false">IFERROR('Price History'!K3+(INDEX('Price History'!K:K,MATCH(9.99E+307,'Price History'!$A:$A))-'Price History'!K3)*(ROW()-3)/(MATCH(9.99E+307,'Returns (Calc)'!$A:$A)-3),"")</f>
        <v>43.2194339622642</v>
      </c>
      <c r="AG5" s="145" t="n">
        <f aca="false">IFERROR('Price History'!L3+(INDEX('Price History'!L:L,MATCH(9.99E+307,'Price History'!$A:$A))-'Price History'!L3)*(ROW()-3)/(MATCH(9.99E+307,'Returns (Calc)'!$A:$A)-3),"")</f>
        <v>110.43320754717</v>
      </c>
      <c r="AH5" s="145" t="n">
        <f aca="false">IFERROR('Price History'!M3+(INDEX('Price History'!M:M,MATCH(9.99E+307,'Price History'!$A:$A))-'Price History'!M3)*(ROW()-3)/(MATCH(9.99E+307,'Returns (Calc)'!$A:$A)-3),"")</f>
        <v>15.1371698113208</v>
      </c>
      <c r="AI5" s="145" t="n">
        <f aca="false">IFERROR('Price History'!N3+(INDEX('Price History'!N:N,MATCH(9.99E+307,'Price History'!$A:$A))-'Price History'!N3)*(ROW()-3)/(MATCH(9.99E+307,'Returns (Calc)'!$A:$A)-3),"")</f>
        <v>21.525786163522</v>
      </c>
      <c r="AJ5" s="145" t="n">
        <f aca="false">IFERROR('Price History'!O3+(INDEX('Price History'!O:O,MATCH(9.99E+307,'Price History'!$A:$A))-'Price History'!O3)*(ROW()-3)/(MATCH(9.99E+307,'Returns (Calc)'!$A:$A)-3),"")</f>
        <v>56.9050943396226</v>
      </c>
      <c r="AK5" s="145" t="n">
        <f aca="false">IFERROR('Price History'!Q3+(INDEX('Price History'!Q:Q,MATCH(9.99E+307,'Price History'!$A:$A))-'Price History'!Q3)*(ROW()-3)/(MATCH(9.99E+307,'Returns (Calc)'!$A:$A)-3),"")</f>
        <v>232.666100628931</v>
      </c>
      <c r="AL5" s="145" t="n">
        <f aca="false">IFERROR('Price History'!R3+(INDEX('Price History'!R:R,MATCH(9.99E+307,'Price History'!$A:$A))-'Price History'!R3)*(ROW()-3)/(MATCH(9.99E+307,'Returns (Calc)'!$A:$A)-3),"")</f>
        <v>47.2184905660377</v>
      </c>
      <c r="AM5" s="145" t="n">
        <f aca="false">IFERROR('Price History'!S3+(INDEX('Price History'!S:S,MATCH(9.99E+307,'Price History'!$A:$A))-'Price History'!S3)*(ROW()-3)/(MATCH(9.99E+307,'Returns (Calc)'!$A:$A)-3),"")</f>
        <v>57.8036477987421</v>
      </c>
      <c r="AN5" s="145" t="n">
        <f aca="false">IFERROR('Price History'!T3+(INDEX('Price History'!T:T,MATCH(9.99E+307,'Price History'!$A:$A))-'Price History'!T3)*(ROW()-3)/(MATCH(9.99E+307,'Returns (Calc)'!$A:$A)-3),"")</f>
        <v>26.5715094339623</v>
      </c>
      <c r="AO5" s="146" t="n">
        <f aca="false">IFERROR('Price History'!V3+(INDEX('Price History'!V:V,MATCH(9.99E+307,'Price History'!$A:$A))-'Price History'!V3)*(ROW()-3)/(MATCH(9.99E+307,'Returns (Calc)'!$A:$A)-3),"")</f>
        <v>0</v>
      </c>
    </row>
    <row r="6" customFormat="false" ht="15" hidden="false" customHeight="true" outlineLevel="0" collapsed="false">
      <c r="A6" s="142" t="n">
        <f aca="false">IF('Price History'!A7="","",'Price History'!A7)</f>
        <v>45212</v>
      </c>
      <c r="B6" s="143" t="n">
        <f aca="false">IFERROR(IF(OR(NOT(ISNUMBER('Price History'!B7)),NOT(ISNUMBER('Price History'!B6)),'Price History'!B6=0),"",'Price History'!B7/'Price History'!B6-1),"")</f>
        <v>0.0419229892914104</v>
      </c>
      <c r="C6" s="143" t="n">
        <f aca="false">IFERROR(IF(OR(NOT(ISNUMBER('Price History'!C7)),NOT(ISNUMBER('Price History'!C6)),'Price History'!C6=0),"",'Price History'!C7/'Price History'!C6-1),"")</f>
        <v>-0.0216450216450216</v>
      </c>
      <c r="D6" s="143" t="n">
        <f aca="false">IFERROR(IF(OR(NOT(ISNUMBER('Price History'!D7)),NOT(ISNUMBER('Price History'!D6)),'Price History'!D6=0),"",'Price History'!D7/'Price History'!D6-1),"")</f>
        <v>0.00401585748854427</v>
      </c>
      <c r="E6" s="143" t="n">
        <f aca="false">IFERROR(IF(OR(NOT(ISNUMBER('Price History'!E7)),NOT(ISNUMBER('Price History'!E6)),'Price History'!E6=0),"",'Price History'!E7/'Price History'!E6-1),"")</f>
        <v>0.044849077355493</v>
      </c>
      <c r="F6" s="143" t="n">
        <f aca="false">IFERROR(IF(OR(NOT(ISNUMBER('Price History'!F7)),NOT(ISNUMBER('Price History'!F6)),'Price History'!F6=0),"",'Price History'!F7/'Price History'!F6-1),"")</f>
        <v>0.00263632579436668</v>
      </c>
      <c r="G6" s="143" t="n">
        <f aca="false">IFERROR(IF(OR(NOT(ISNUMBER('Price History'!G7)),NOT(ISNUMBER('Price History'!G6)),'Price History'!G6=0),"",'Price History'!G7/'Price History'!G6-1),"")</f>
        <v>0.0511659497396422</v>
      </c>
      <c r="H6" s="143" t="n">
        <f aca="false">IFERROR(IF(OR(NOT(ISNUMBER('Price History'!H7)),NOT(ISNUMBER('Price History'!H6)),'Price History'!H6=0),"",'Price History'!H7/'Price History'!H6-1),"")</f>
        <v>0.0136594663278273</v>
      </c>
      <c r="I6" s="143" t="n">
        <f aca="false">IFERROR(IF(OR(NOT(ISNUMBER('Price History'!I7)),NOT(ISNUMBER('Price History'!I6)),'Price History'!I6=0),"",'Price History'!I7/'Price History'!I6-1),"")</f>
        <v>0.0402625820568927</v>
      </c>
      <c r="J6" s="143" t="n">
        <f aca="false">IFERROR(IF(OR(NOT(ISNUMBER('Price History'!J7)),NOT(ISNUMBER('Price History'!J6)),'Price History'!J6=0),"",'Price History'!J7/'Price History'!J6-1),"")</f>
        <v>-0.0106782106782106</v>
      </c>
      <c r="K6" s="143" t="n">
        <f aca="false">IFERROR(IF(OR(NOT(ISNUMBER('Price History'!K7)),NOT(ISNUMBER('Price History'!K6)),'Price History'!K6=0),"",'Price History'!K7/'Price History'!K6-1),"")</f>
        <v>-0.00657462195923741</v>
      </c>
      <c r="L6" s="143" t="n">
        <f aca="false">IFERROR(IF(OR(NOT(ISNUMBER('Price History'!L7)),NOT(ISNUMBER('Price History'!L6)),'Price History'!L6=0),"",'Price History'!L7/'Price History'!L6-1),"")</f>
        <v>0.00687702265372181</v>
      </c>
      <c r="M6" s="143" t="n">
        <f aca="false">IFERROR(IF(OR(NOT(ISNUMBER('Price History'!M7)),NOT(ISNUMBER('Price History'!M6)),'Price History'!M6=0),"",'Price History'!M7/'Price History'!M6-1),"")</f>
        <v>0.0451535219747141</v>
      </c>
      <c r="N6" s="143" t="n">
        <f aca="false">IFERROR(IF(OR(NOT(ISNUMBER('Price History'!N7)),NOT(ISNUMBER('Price History'!N6)),'Price History'!N6=0),"",'Price History'!N7/'Price History'!N6-1),"")</f>
        <v>0.0100961538461539</v>
      </c>
      <c r="O6" s="143" t="n">
        <f aca="false">IFERROR(IF(OR(NOT(ISNUMBER('Price History'!O7)),NOT(ISNUMBER('Price History'!O6)),'Price History'!O6=0),"",'Price History'!O7/'Price History'!O6-1),"")</f>
        <v>0.00564573041637262</v>
      </c>
      <c r="P6" s="143" t="n">
        <f aca="false">IFERROR(IF(OR(NOT(ISNUMBER('Price History'!P7)),NOT(ISNUMBER('Price History'!P6)),'Price History'!P6=0),"",'Price History'!P7/'Price History'!P6-1),"")</f>
        <v>0.0131716983331389</v>
      </c>
      <c r="Q6" s="143" t="n">
        <f aca="false">IFERROR(IF(OR(NOT(ISNUMBER('Price History'!Q7)),NOT(ISNUMBER('Price History'!Q6)),'Price History'!Q6=0),"",'Price History'!Q7/'Price History'!Q6-1),"")</f>
        <v>0.0111865587185513</v>
      </c>
      <c r="R6" s="143" t="n">
        <f aca="false">IFERROR(IF(OR(NOT(ISNUMBER('Price History'!R7)),NOT(ISNUMBER('Price History'!R6)),'Price History'!R6=0),"",'Price History'!R7/'Price History'!R6-1),"")</f>
        <v>-0.00659114315139031</v>
      </c>
      <c r="S6" s="143" t="n">
        <f aca="false">IFERROR(IF(OR(NOT(ISNUMBER('Price History'!S7)),NOT(ISNUMBER('Price History'!S6)),'Price History'!S6=0),"",'Price History'!S7/'Price History'!S6-1),"")</f>
        <v>0.00595035702142122</v>
      </c>
      <c r="T6" s="143" t="n">
        <f aca="false">IFERROR(IF(OR(NOT(ISNUMBER('Price History'!T7)),NOT(ISNUMBER('Price History'!T6)),'Price History'!T6=0),"",'Price History'!T7/'Price History'!T6-1),"")</f>
        <v>-0.00712678169542391</v>
      </c>
      <c r="U6" s="143" t="str">
        <f aca="false">IFERROR(IF(OR(NOT(ISNUMBER('Price History'!U7)),NOT(ISNUMBER('Price History'!U6)),'Price History'!U6=0),"",'Price History'!U7/'Price History'!U6-1),"")</f>
        <v/>
      </c>
      <c r="V6" s="144" t="str">
        <f aca="false">IFERROR(IF(OR(NOT(ISNUMBER('Price History'!V7)),NOT(ISNUMBER('Price History'!V6)),'Price History'!V6=0),"",'Price History'!V7/'Price History'!V6-1),"")</f>
        <v/>
      </c>
      <c r="W6" s="145" t="str">
        <f aca="false">IFERROR('Price History'!B3+(INDEX('Price History'!B:B,MATCH(9.99E+307,'Price History'!$A:$A))-'Price History'!B3)*(ROW()-3)/(MATCH(9.99E+307,'Returns (Calc)'!$A:$A)-3),"")</f>
        <v/>
      </c>
      <c r="X6" s="145" t="n">
        <f aca="false">IFERROR('Price History'!C3+(INDEX('Price History'!C:C,MATCH(9.99E+307,'Price History'!$A:$A))-'Price History'!C3)*(ROW()-3)/(MATCH(9.99E+307,'Returns (Calc)'!$A:$A)-3),"")</f>
        <v>45.308679245283</v>
      </c>
      <c r="Y6" s="145" t="n">
        <f aca="false">IFERROR('Price History'!D3+(INDEX('Price History'!D:D,MATCH(9.99E+307,'Price History'!$A:$A))-'Price History'!D3)*(ROW()-3)/(MATCH(9.99E+307,'Returns (Calc)'!$A:$A)-3),"")</f>
        <v>571.028679245283</v>
      </c>
      <c r="Z6" s="145" t="n">
        <f aca="false">IFERROR('Price History'!E3+(INDEX('Price History'!E:E,MATCH(9.99E+307,'Price History'!$A:$A))-'Price History'!E3)*(ROW()-3)/(MATCH(9.99E+307,'Returns (Calc)'!$A:$A)-3),"")</f>
        <v>80.4528301886792</v>
      </c>
      <c r="AA6" s="145" t="n">
        <f aca="false">IFERROR('Price History'!F3+(INDEX('Price History'!F:F,MATCH(9.99E+307,'Price History'!$A:$A))-'Price History'!F3)*(ROW()-3)/(MATCH(9.99E+307,'Returns (Calc)'!$A:$A)-3),"")</f>
        <v>73.8890566037736</v>
      </c>
      <c r="AB6" s="145" t="n">
        <f aca="false">IFERROR('Price History'!G3+(INDEX('Price History'!G:G,MATCH(9.99E+307,'Price History'!$A:$A))-'Price History'!G3)*(ROW()-3)/(MATCH(9.99E+307,'Returns (Calc)'!$A:$A)-3),"")</f>
        <v>40.5796226415094</v>
      </c>
      <c r="AC6" s="145" t="n">
        <f aca="false">IFERROR('Price History'!H3+(INDEX('Price History'!H:H,MATCH(9.99E+307,'Price History'!$A:$A))-'Price History'!H3)*(ROW()-3)/(MATCH(9.99E+307,'Returns (Calc)'!$A:$A)-3),"")</f>
        <v>98.6920754716981</v>
      </c>
      <c r="AD6" s="145" t="n">
        <f aca="false">IFERROR('Price History'!I3+(INDEX('Price History'!I:I,MATCH(9.99E+307,'Price History'!$A:$A))-'Price History'!I3)*(ROW()-3)/(MATCH(9.99E+307,'Returns (Calc)'!$A:$A)-3),"")</f>
        <v>43.5132075471698</v>
      </c>
      <c r="AE6" s="145" t="n">
        <f aca="false">IFERROR('Price History'!J3+(INDEX('Price History'!J:J,MATCH(9.99E+307,'Price History'!$A:$A))-'Price History'!J3)*(ROW()-3)/(MATCH(9.99E+307,'Returns (Calc)'!$A:$A)-3),"")</f>
        <v>67.8060377358491</v>
      </c>
      <c r="AF6" s="145" t="n">
        <f aca="false">IFERROR('Price History'!K3+(INDEX('Price History'!K:K,MATCH(9.99E+307,'Price History'!$A:$A))-'Price History'!K3)*(ROW()-3)/(MATCH(9.99E+307,'Returns (Calc)'!$A:$A)-3),"")</f>
        <v>42.9441509433962</v>
      </c>
      <c r="AG6" s="145" t="n">
        <f aca="false">IFERROR('Price History'!L3+(INDEX('Price History'!L:L,MATCH(9.99E+307,'Price History'!$A:$A))-'Price History'!L3)*(ROW()-3)/(MATCH(9.99E+307,'Returns (Calc)'!$A:$A)-3),"")</f>
        <v>109.729811320755</v>
      </c>
      <c r="AH6" s="145" t="n">
        <f aca="false">IFERROR('Price History'!M3+(INDEX('Price History'!M:M,MATCH(9.99E+307,'Price History'!$A:$A))-'Price History'!M3)*(ROW()-3)/(MATCH(9.99E+307,'Returns (Calc)'!$A:$A)-3),"")</f>
        <v>15.0407547169811</v>
      </c>
      <c r="AI6" s="145" t="n">
        <f aca="false">IFERROR('Price History'!N3+(INDEX('Price History'!N:N,MATCH(9.99E+307,'Price History'!$A:$A))-'Price History'!N3)*(ROW()-3)/(MATCH(9.99E+307,'Returns (Calc)'!$A:$A)-3),"")</f>
        <v>21.388679245283</v>
      </c>
      <c r="AJ6" s="145" t="n">
        <f aca="false">IFERROR('Price History'!O3+(INDEX('Price History'!O:O,MATCH(9.99E+307,'Price History'!$A:$A))-'Price History'!O3)*(ROW()-3)/(MATCH(9.99E+307,'Returns (Calc)'!$A:$A)-3),"")</f>
        <v>56.542641509434</v>
      </c>
      <c r="AK6" s="145" t="n">
        <f aca="false">IFERROR('Price History'!Q3+(INDEX('Price History'!Q:Q,MATCH(9.99E+307,'Price History'!$A:$A))-'Price History'!Q3)*(ROW()-3)/(MATCH(9.99E+307,'Returns (Calc)'!$A:$A)-3),"")</f>
        <v>231.184150943396</v>
      </c>
      <c r="AL6" s="145" t="n">
        <f aca="false">IFERROR('Price History'!R3+(INDEX('Price History'!R:R,MATCH(9.99E+307,'Price History'!$A:$A))-'Price History'!R3)*(ROW()-3)/(MATCH(9.99E+307,'Returns (Calc)'!$A:$A)-3),"")</f>
        <v>46.9177358490566</v>
      </c>
      <c r="AM6" s="145" t="n">
        <f aca="false">IFERROR('Price History'!S3+(INDEX('Price History'!S:S,MATCH(9.99E+307,'Price History'!$A:$A))-'Price History'!S3)*(ROW()-3)/(MATCH(9.99E+307,'Returns (Calc)'!$A:$A)-3),"")</f>
        <v>57.4354716981132</v>
      </c>
      <c r="AN6" s="145" t="n">
        <f aca="false">IFERROR('Price History'!T3+(INDEX('Price History'!T:T,MATCH(9.99E+307,'Price History'!$A:$A))-'Price History'!T3)*(ROW()-3)/(MATCH(9.99E+307,'Returns (Calc)'!$A:$A)-3),"")</f>
        <v>26.4022641509434</v>
      </c>
      <c r="AO6" s="146" t="n">
        <f aca="false">IFERROR('Price History'!V3+(INDEX('Price History'!V:V,MATCH(9.99E+307,'Price History'!$A:$A))-'Price History'!V3)*(ROW()-3)/(MATCH(9.99E+307,'Returns (Calc)'!$A:$A)-3),"")</f>
        <v>0</v>
      </c>
    </row>
    <row r="7" customFormat="false" ht="15" hidden="false" customHeight="true" outlineLevel="0" collapsed="false">
      <c r="A7" s="142" t="n">
        <f aca="false">IF('Price History'!A8="","",'Price History'!A8)</f>
        <v>45219</v>
      </c>
      <c r="B7" s="143" t="n">
        <f aca="false">IFERROR(IF(OR(NOT(ISNUMBER('Price History'!B8)),NOT(ISNUMBER('Price History'!B7)),'Price History'!B7=0),"",'Price History'!B8/'Price History'!B7-1),"")</f>
        <v>-0.0142138639842553</v>
      </c>
      <c r="C7" s="143" t="n">
        <f aca="false">IFERROR(IF(OR(NOT(ISNUMBER('Price History'!C8)),NOT(ISNUMBER('Price History'!C7)),'Price History'!C7=0),"",'Price History'!C8/'Price History'!C7-1),"")</f>
        <v>-0.0195954487989887</v>
      </c>
      <c r="D7" s="143" t="n">
        <f aca="false">IFERROR(IF(OR(NOT(ISNUMBER('Price History'!D8)),NOT(ISNUMBER('Price History'!D7)),'Price History'!D7=0),"",'Price History'!D8/'Price History'!D7-1),"")</f>
        <v>-0.0327675503820316</v>
      </c>
      <c r="E7" s="143" t="n">
        <f aca="false">IFERROR(IF(OR(NOT(ISNUMBER('Price History'!E8)),NOT(ISNUMBER('Price History'!E7)),'Price History'!E7=0),"",'Price History'!E8/'Price History'!E7-1),"")</f>
        <v>-0.0334502923976608</v>
      </c>
      <c r="F7" s="143" t="n">
        <f aca="false">IFERROR(IF(OR(NOT(ISNUMBER('Price History'!F8)),NOT(ISNUMBER('Price History'!F7)),'Price History'!F7=0),"",'Price History'!F8/'Price History'!F7-1),"")</f>
        <v>-0.0167450871851648</v>
      </c>
      <c r="G7" s="143" t="n">
        <f aca="false">IFERROR(IF(OR(NOT(ISNUMBER('Price History'!G8)),NOT(ISNUMBER('Price History'!G7)),'Price History'!G7=0),"",'Price History'!G8/'Price History'!G7-1),"")</f>
        <v>-0.0374757699763084</v>
      </c>
      <c r="H7" s="143" t="n">
        <f aca="false">IFERROR(IF(OR(NOT(ISNUMBER('Price History'!H8)),NOT(ISNUMBER('Price History'!H7)),'Price History'!H7=0),"",'Price History'!H8/'Price History'!H7-1),"")</f>
        <v>-0.019011804032174</v>
      </c>
      <c r="I7" s="143" t="n">
        <f aca="false">IFERROR(IF(OR(NOT(ISNUMBER('Price History'!I8)),NOT(ISNUMBER('Price History'!I7)),'Price History'!I7=0),"",'Price History'!I8/'Price History'!I7-1),"")</f>
        <v>-0.0500631047538915</v>
      </c>
      <c r="J7" s="143" t="n">
        <f aca="false">IFERROR(IF(OR(NOT(ISNUMBER('Price History'!J8)),NOT(ISNUMBER('Price History'!J7)),'Price History'!J7=0),"",'Price History'!J8/'Price History'!J7-1),"")</f>
        <v>-0.0287339556592765</v>
      </c>
      <c r="K7" s="143" t="n">
        <f aca="false">IFERROR(IF(OR(NOT(ISNUMBER('Price History'!K8)),NOT(ISNUMBER('Price History'!K7)),'Price History'!K7=0),"",'Price History'!K8/'Price History'!K7-1),"")</f>
        <v>-0.0897860136774763</v>
      </c>
      <c r="L7" s="143" t="n">
        <f aca="false">IFERROR(IF(OR(NOT(ISNUMBER('Price History'!L8)),NOT(ISNUMBER('Price History'!L7)),'Price History'!L7=0),"",'Price History'!L8/'Price History'!L7-1),"")</f>
        <v>-0.0658899156287666</v>
      </c>
      <c r="M7" s="143" t="n">
        <f aca="false">IFERROR(IF(OR(NOT(ISNUMBER('Price History'!M8)),NOT(ISNUMBER('Price History'!M7)),'Price History'!M7=0),"",'Price History'!M8/'Price History'!M7-1),"")</f>
        <v>-0.0720046082949308</v>
      </c>
      <c r="N7" s="143" t="n">
        <f aca="false">IFERROR(IF(OR(NOT(ISNUMBER('Price History'!N8)),NOT(ISNUMBER('Price History'!N7)),'Price History'!N7=0),"",'Price History'!N8/'Price History'!N7-1),"")</f>
        <v>-0.0147548786292243</v>
      </c>
      <c r="O7" s="143" t="n">
        <f aca="false">IFERROR(IF(OR(NOT(ISNUMBER('Price History'!O8)),NOT(ISNUMBER('Price History'!O7)),'Price History'!O7=0),"",'Price History'!O8/'Price History'!O7-1),"")</f>
        <v>-0.0289473684210526</v>
      </c>
      <c r="P7" s="143" t="n">
        <f aca="false">IFERROR(IF(OR(NOT(ISNUMBER('Price History'!P8)),NOT(ISNUMBER('Price History'!P7)),'Price History'!P7=0),"",'Price History'!P8/'Price History'!P7-1),"")</f>
        <v>0.00931891394385653</v>
      </c>
      <c r="Q7" s="143" t="n">
        <f aca="false">IFERROR(IF(OR(NOT(ISNUMBER('Price History'!Q8)),NOT(ISNUMBER('Price History'!Q7)),'Price History'!Q7=0),"",'Price History'!Q8/'Price History'!Q7-1),"")</f>
        <v>-0.0180362446730662</v>
      </c>
      <c r="R7" s="143" t="n">
        <f aca="false">IFERROR(IF(OR(NOT(ISNUMBER('Price History'!R8)),NOT(ISNUMBER('Price History'!R7)),'Price History'!R7=0),"",'Price History'!R8/'Price History'!R7-1),"")</f>
        <v>-0.000414679659962558</v>
      </c>
      <c r="S7" s="143" t="n">
        <f aca="false">IFERROR(IF(OR(NOT(ISNUMBER('Price History'!S8)),NOT(ISNUMBER('Price History'!S7)),'Price History'!S7=0),"",'Price History'!S8/'Price History'!S7-1),"")</f>
        <v>0</v>
      </c>
      <c r="T7" s="143" t="n">
        <f aca="false">IFERROR(IF(OR(NOT(ISNUMBER('Price History'!T8)),NOT(ISNUMBER('Price History'!T7)),'Price History'!T7=0),"",'Price History'!T8/'Price History'!T7-1),"")</f>
        <v>-0.0064223649414431</v>
      </c>
      <c r="U7" s="143" t="str">
        <f aca="false">IFERROR(IF(OR(NOT(ISNUMBER('Price History'!U8)),NOT(ISNUMBER('Price History'!U7)),'Price History'!U7=0),"",'Price History'!U8/'Price History'!U7-1),"")</f>
        <v/>
      </c>
      <c r="V7" s="144" t="n">
        <f aca="false">IFERROR(IF(OR(NOT(ISNUMBER('Price History'!V8)),NOT(ISNUMBER('Price History'!V7)),'Price History'!V7=0),"",'Price History'!V8/'Price History'!V7-1),"")</f>
        <v>-0.025154110297464</v>
      </c>
      <c r="W7" s="145" t="str">
        <f aca="false">IFERROR('Price History'!B3+(INDEX('Price History'!B:B,MATCH(9.99E+307,'Price History'!$A:$A))-'Price History'!B3)*(ROW()-3)/(MATCH(9.99E+307,'Returns (Calc)'!$A:$A)-3),"")</f>
        <v/>
      </c>
      <c r="X7" s="145" t="n">
        <f aca="false">IFERROR('Price History'!C3+(INDEX('Price History'!C:C,MATCH(9.99E+307,'Price History'!$A:$A))-'Price History'!C3)*(ROW()-3)/(MATCH(9.99E+307,'Returns (Calc)'!$A:$A)-3),"")</f>
        <v>45.0182389937107</v>
      </c>
      <c r="Y7" s="145" t="n">
        <f aca="false">IFERROR('Price History'!D3+(INDEX('Price History'!D:D,MATCH(9.99E+307,'Price History'!$A:$A))-'Price History'!D3)*(ROW()-3)/(MATCH(9.99E+307,'Returns (Calc)'!$A:$A)-3),"")</f>
        <v>567.368238993711</v>
      </c>
      <c r="Z7" s="145" t="n">
        <f aca="false">IFERROR('Price History'!E3+(INDEX('Price History'!E:E,MATCH(9.99E+307,'Price History'!$A:$A))-'Price History'!E3)*(ROW()-3)/(MATCH(9.99E+307,'Returns (Calc)'!$A:$A)-3),"")</f>
        <v>79.937106918239</v>
      </c>
      <c r="AA7" s="145" t="n">
        <f aca="false">IFERROR('Price History'!F3+(INDEX('Price History'!F:F,MATCH(9.99E+307,'Price History'!$A:$A))-'Price History'!F3)*(ROW()-3)/(MATCH(9.99E+307,'Returns (Calc)'!$A:$A)-3),"")</f>
        <v>73.4154088050315</v>
      </c>
      <c r="AB7" s="145" t="n">
        <f aca="false">IFERROR('Price History'!G3+(INDEX('Price History'!G:G,MATCH(9.99E+307,'Price History'!$A:$A))-'Price History'!G3)*(ROW()-3)/(MATCH(9.99E+307,'Returns (Calc)'!$A:$A)-3),"")</f>
        <v>40.3194968553459</v>
      </c>
      <c r="AC7" s="145" t="n">
        <f aca="false">IFERROR('Price History'!H3+(INDEX('Price History'!H:H,MATCH(9.99E+307,'Price History'!$A:$A))-'Price History'!H3)*(ROW()-3)/(MATCH(9.99E+307,'Returns (Calc)'!$A:$A)-3),"")</f>
        <v>98.0594339622642</v>
      </c>
      <c r="AD7" s="145" t="n">
        <f aca="false">IFERROR('Price History'!I3+(INDEX('Price History'!I:I,MATCH(9.99E+307,'Price History'!$A:$A))-'Price History'!I3)*(ROW()-3)/(MATCH(9.99E+307,'Returns (Calc)'!$A:$A)-3),"")</f>
        <v>43.2342767295598</v>
      </c>
      <c r="AE7" s="145" t="n">
        <f aca="false">IFERROR('Price History'!J3+(INDEX('Price History'!J:J,MATCH(9.99E+307,'Price History'!$A:$A))-'Price History'!J3)*(ROW()-3)/(MATCH(9.99E+307,'Returns (Calc)'!$A:$A)-3),"")</f>
        <v>67.3713836477987</v>
      </c>
      <c r="AF7" s="145" t="n">
        <f aca="false">IFERROR('Price History'!K3+(INDEX('Price History'!K:K,MATCH(9.99E+307,'Price History'!$A:$A))-'Price History'!K3)*(ROW()-3)/(MATCH(9.99E+307,'Returns (Calc)'!$A:$A)-3),"")</f>
        <v>42.6688679245283</v>
      </c>
      <c r="AG7" s="145" t="n">
        <f aca="false">IFERROR('Price History'!L3+(INDEX('Price History'!L:L,MATCH(9.99E+307,'Price History'!$A:$A))-'Price History'!L3)*(ROW()-3)/(MATCH(9.99E+307,'Returns (Calc)'!$A:$A)-3),"")</f>
        <v>109.02641509434</v>
      </c>
      <c r="AH7" s="145" t="n">
        <f aca="false">IFERROR('Price History'!M3+(INDEX('Price History'!M:M,MATCH(9.99E+307,'Price History'!$A:$A))-'Price History'!M3)*(ROW()-3)/(MATCH(9.99E+307,'Returns (Calc)'!$A:$A)-3),"")</f>
        <v>14.9443396226415</v>
      </c>
      <c r="AI7" s="145" t="n">
        <f aca="false">IFERROR('Price History'!N3+(INDEX('Price History'!N:N,MATCH(9.99E+307,'Price History'!$A:$A))-'Price History'!N3)*(ROW()-3)/(MATCH(9.99E+307,'Returns (Calc)'!$A:$A)-3),"")</f>
        <v>21.251572327044</v>
      </c>
      <c r="AJ7" s="145" t="n">
        <f aca="false">IFERROR('Price History'!O3+(INDEX('Price History'!O:O,MATCH(9.99E+307,'Price History'!$A:$A))-'Price History'!O3)*(ROW()-3)/(MATCH(9.99E+307,'Returns (Calc)'!$A:$A)-3),"")</f>
        <v>56.1801886792453</v>
      </c>
      <c r="AK7" s="145" t="n">
        <f aca="false">IFERROR('Price History'!Q3+(INDEX('Price History'!Q:Q,MATCH(9.99E+307,'Price History'!$A:$A))-'Price History'!Q3)*(ROW()-3)/(MATCH(9.99E+307,'Returns (Calc)'!$A:$A)-3),"")</f>
        <v>229.702201257862</v>
      </c>
      <c r="AL7" s="145" t="n">
        <f aca="false">IFERROR('Price History'!R3+(INDEX('Price History'!R:R,MATCH(9.99E+307,'Price History'!$A:$A))-'Price History'!R3)*(ROW()-3)/(MATCH(9.99E+307,'Returns (Calc)'!$A:$A)-3),"")</f>
        <v>46.6169811320755</v>
      </c>
      <c r="AM7" s="145" t="n">
        <f aca="false">IFERROR('Price History'!S3+(INDEX('Price History'!S:S,MATCH(9.99E+307,'Price History'!$A:$A))-'Price History'!S3)*(ROW()-3)/(MATCH(9.99E+307,'Returns (Calc)'!$A:$A)-3),"")</f>
        <v>57.0672955974843</v>
      </c>
      <c r="AN7" s="145" t="n">
        <f aca="false">IFERROR('Price History'!T3+(INDEX('Price History'!T:T,MATCH(9.99E+307,'Price History'!$A:$A))-'Price History'!T3)*(ROW()-3)/(MATCH(9.99E+307,'Returns (Calc)'!$A:$A)-3),"")</f>
        <v>26.2330188679245</v>
      </c>
      <c r="AO7" s="146" t="n">
        <f aca="false">IFERROR('Price History'!V3+(INDEX('Price History'!V:V,MATCH(9.99E+307,'Price History'!$A:$A))-'Price History'!V3)*(ROW()-3)/(MATCH(9.99E+307,'Returns (Calc)'!$A:$A)-3),"")</f>
        <v>0</v>
      </c>
    </row>
    <row r="8" customFormat="false" ht="15" hidden="false" customHeight="true" outlineLevel="0" collapsed="false">
      <c r="A8" s="142" t="n">
        <f aca="false">IF('Price History'!A9="","",'Price History'!A9)</f>
        <v>45226</v>
      </c>
      <c r="B8" s="143" t="n">
        <f aca="false">IFERROR(IF(OR(NOT(ISNUMBER('Price History'!B9)),NOT(ISNUMBER('Price History'!B8)),'Price History'!B8=0),"",'Price History'!B9/'Price History'!B8-1),"")</f>
        <v>-0.0607068914522331</v>
      </c>
      <c r="C8" s="143" t="n">
        <f aca="false">IFERROR(IF(OR(NOT(ISNUMBER('Price History'!C9)),NOT(ISNUMBER('Price History'!C8)),'Price History'!C8=0),"",'Price History'!C9/'Price History'!C8-1),"")</f>
        <v>-0.0532989469159683</v>
      </c>
      <c r="D8" s="143" t="n">
        <f aca="false">IFERROR(IF(OR(NOT(ISNUMBER('Price History'!D9)),NOT(ISNUMBER('Price History'!D8)),'Price History'!D8=0),"",'Price History'!D9/'Price History'!D8-1),"")</f>
        <v>0.0170713604071677</v>
      </c>
      <c r="E8" s="143" t="n">
        <f aca="false">IFERROR(IF(OR(NOT(ISNUMBER('Price History'!E9)),NOT(ISNUMBER('Price History'!E8)),'Price History'!E8=0),"",'Price History'!E9/'Price History'!E8-1),"")</f>
        <v>-0.0179090029041626</v>
      </c>
      <c r="F8" s="143" t="n">
        <f aca="false">IFERROR(IF(OR(NOT(ISNUMBER('Price History'!F9)),NOT(ISNUMBER('Price History'!F8)),'Price History'!F8=0),"",'Price History'!F9/'Price History'!F8-1),"")</f>
        <v>-0.0154820548909218</v>
      </c>
      <c r="G8" s="143" t="n">
        <f aca="false">IFERROR(IF(OR(NOT(ISNUMBER('Price History'!G9)),NOT(ISNUMBER('Price History'!G8)),'Price History'!G8=0),"",'Price History'!G9/'Price History'!G8-1),"")</f>
        <v>-0.0331170284179906</v>
      </c>
      <c r="H8" s="143" t="n">
        <f aca="false">IFERROR(IF(OR(NOT(ISNUMBER('Price History'!H9)),NOT(ISNUMBER('Price History'!H8)),'Price History'!H8=0),"",'Price History'!H9/'Price History'!H8-1),"")</f>
        <v>-0.0160792247896921</v>
      </c>
      <c r="I8" s="143" t="n">
        <f aca="false">IFERROR(IF(OR(NOT(ISNUMBER('Price History'!I9)),NOT(ISNUMBER('Price History'!I8)),'Price History'!I8=0),"",'Price History'!I9/'Price History'!I8-1),"")</f>
        <v>-0.00974313551815764</v>
      </c>
      <c r="J8" s="143" t="n">
        <f aca="false">IFERROR(IF(OR(NOT(ISNUMBER('Price History'!J9)),NOT(ISNUMBER('Price History'!J8)),'Price History'!J8=0),"",'Price History'!J9/'Price History'!J8-1),"")</f>
        <v>-0.0234269409821295</v>
      </c>
      <c r="K8" s="143" t="n">
        <f aca="false">IFERROR(IF(OR(NOT(ISNUMBER('Price History'!K9)),NOT(ISNUMBER('Price History'!K8)),'Price History'!K8=0),"",'Price History'!K9/'Price History'!K8-1),"")</f>
        <v>-0.0213281628696073</v>
      </c>
      <c r="L8" s="143" t="n">
        <f aca="false">IFERROR(IF(OR(NOT(ISNUMBER('Price History'!L9)),NOT(ISNUMBER('Price History'!L8)),'Price History'!L8=0),"",'Price History'!L9/'Price History'!L8-1),"")</f>
        <v>-0.0498924731182796</v>
      </c>
      <c r="M8" s="143" t="n">
        <f aca="false">IFERROR(IF(OR(NOT(ISNUMBER('Price History'!M9)),NOT(ISNUMBER('Price History'!M8)),'Price History'!M8=0),"",'Price History'!M9/'Price History'!M8-1),"")</f>
        <v>-0.0645561762880198</v>
      </c>
      <c r="N8" s="143" t="n">
        <f aca="false">IFERROR(IF(OR(NOT(ISNUMBER('Price History'!N9)),NOT(ISNUMBER('Price History'!N8)),'Price History'!N8=0),"",'Price History'!N9/'Price History'!N8-1),"")</f>
        <v>-0.0342995169082126</v>
      </c>
      <c r="O8" s="143" t="n">
        <f aca="false">IFERROR(IF(OR(NOT(ISNUMBER('Price History'!O9)),NOT(ISNUMBER('Price History'!O8)),'Price History'!O8=0),"",'Price History'!O9/'Price History'!O8-1),"")</f>
        <v>-0.0202348690153569</v>
      </c>
      <c r="P8" s="143" t="n">
        <f aca="false">IFERROR(IF(OR(NOT(ISNUMBER('Price History'!P9)),NOT(ISNUMBER('Price History'!P8)),'Price History'!P8=0),"",'Price History'!P9/'Price History'!P8-1),"")</f>
        <v>-0.0582468938789468</v>
      </c>
      <c r="Q8" s="143" t="n">
        <f aca="false">IFERROR(IF(OR(NOT(ISNUMBER('Price History'!Q9)),NOT(ISNUMBER('Price History'!Q8)),'Price History'!Q8=0),"",'Price History'!Q9/'Price History'!Q8-1),"")</f>
        <v>-0.0176223040504998</v>
      </c>
      <c r="R8" s="143" t="n">
        <f aca="false">IFERROR(IF(OR(NOT(ISNUMBER('Price History'!R9)),NOT(ISNUMBER('Price History'!R8)),'Price History'!R8=0),"",'Price History'!R9/'Price History'!R8-1),"")</f>
        <v>-0.0269653598838416</v>
      </c>
      <c r="S8" s="143" t="n">
        <f aca="false">IFERROR(IF(OR(NOT(ISNUMBER('Price History'!S9)),NOT(ISNUMBER('Price History'!S8)),'Price History'!S8=0),"",'Price History'!S9/'Price History'!S8-1),"")</f>
        <v>-0.0288997802940679</v>
      </c>
      <c r="T8" s="143" t="n">
        <f aca="false">IFERROR(IF(OR(NOT(ISNUMBER('Price History'!T9)),NOT(ISNUMBER('Price History'!T8)),'Price History'!T8=0),"",'Price History'!T9/'Price History'!T8-1),"")</f>
        <v>-0.0148288973384031</v>
      </c>
      <c r="U8" s="143" t="str">
        <f aca="false">IFERROR(IF(OR(NOT(ISNUMBER('Price History'!U9)),NOT(ISNUMBER('Price History'!U8)),'Price History'!U8=0),"",'Price History'!U9/'Price History'!U8-1),"")</f>
        <v/>
      </c>
      <c r="V8" s="144" t="n">
        <f aca="false">IFERROR(IF(OR(NOT(ISNUMBER('Price History'!V9)),NOT(ISNUMBER('Price History'!V8)),'Price History'!V8=0),"",'Price History'!V9/'Price History'!V8-1),"")</f>
        <v>-0.0248270593727454</v>
      </c>
      <c r="W8" s="145" t="str">
        <f aca="false">IFERROR('Price History'!B3+(INDEX('Price History'!B:B,MATCH(9.99E+307,'Price History'!$A:$A))-'Price History'!B3)*(ROW()-3)/(MATCH(9.99E+307,'Returns (Calc)'!$A:$A)-3),"")</f>
        <v/>
      </c>
      <c r="X8" s="145" t="n">
        <f aca="false">IFERROR('Price History'!C3+(INDEX('Price History'!C:C,MATCH(9.99E+307,'Price History'!$A:$A))-'Price History'!C3)*(ROW()-3)/(MATCH(9.99E+307,'Returns (Calc)'!$A:$A)-3),"")</f>
        <v>44.7277987421384</v>
      </c>
      <c r="Y8" s="145" t="n">
        <f aca="false">IFERROR('Price History'!D3+(INDEX('Price History'!D:D,MATCH(9.99E+307,'Price History'!$A:$A))-'Price History'!D3)*(ROW()-3)/(MATCH(9.99E+307,'Returns (Calc)'!$A:$A)-3),"")</f>
        <v>563.707798742138</v>
      </c>
      <c r="Z8" s="145" t="n">
        <f aca="false">IFERROR('Price History'!E3+(INDEX('Price History'!E:E,MATCH(9.99E+307,'Price History'!$A:$A))-'Price History'!E3)*(ROW()-3)/(MATCH(9.99E+307,'Returns (Calc)'!$A:$A)-3),"")</f>
        <v>79.4213836477988</v>
      </c>
      <c r="AA8" s="145" t="n">
        <f aca="false">IFERROR('Price History'!F3+(INDEX('Price History'!F:F,MATCH(9.99E+307,'Price History'!$A:$A))-'Price History'!F3)*(ROW()-3)/(MATCH(9.99E+307,'Returns (Calc)'!$A:$A)-3),"")</f>
        <v>72.9417610062893</v>
      </c>
      <c r="AB8" s="145" t="n">
        <f aca="false">IFERROR('Price History'!G3+(INDEX('Price History'!G:G,MATCH(9.99E+307,'Price History'!$A:$A))-'Price History'!G3)*(ROW()-3)/(MATCH(9.99E+307,'Returns (Calc)'!$A:$A)-3),"")</f>
        <v>40.0593710691824</v>
      </c>
      <c r="AC8" s="145" t="n">
        <f aca="false">IFERROR('Price History'!H3+(INDEX('Price History'!H:H,MATCH(9.99E+307,'Price History'!$A:$A))-'Price History'!H3)*(ROW()-3)/(MATCH(9.99E+307,'Returns (Calc)'!$A:$A)-3),"")</f>
        <v>97.4267924528302</v>
      </c>
      <c r="AD8" s="145" t="n">
        <f aca="false">IFERROR('Price History'!I3+(INDEX('Price History'!I:I,MATCH(9.99E+307,'Price History'!$A:$A))-'Price History'!I3)*(ROW()-3)/(MATCH(9.99E+307,'Returns (Calc)'!$A:$A)-3),"")</f>
        <v>42.9553459119497</v>
      </c>
      <c r="AE8" s="145" t="n">
        <f aca="false">IFERROR('Price History'!J3+(INDEX('Price History'!J:J,MATCH(9.99E+307,'Price History'!$A:$A))-'Price History'!J3)*(ROW()-3)/(MATCH(9.99E+307,'Returns (Calc)'!$A:$A)-3),"")</f>
        <v>66.9367295597484</v>
      </c>
      <c r="AF8" s="145" t="n">
        <f aca="false">IFERROR('Price History'!K3+(INDEX('Price History'!K:K,MATCH(9.99E+307,'Price History'!$A:$A))-'Price History'!K3)*(ROW()-3)/(MATCH(9.99E+307,'Returns (Calc)'!$A:$A)-3),"")</f>
        <v>42.3935849056604</v>
      </c>
      <c r="AG8" s="145" t="n">
        <f aca="false">IFERROR('Price History'!L3+(INDEX('Price History'!L:L,MATCH(9.99E+307,'Price History'!$A:$A))-'Price History'!L3)*(ROW()-3)/(MATCH(9.99E+307,'Returns (Calc)'!$A:$A)-3),"")</f>
        <v>108.323018867925</v>
      </c>
      <c r="AH8" s="145" t="n">
        <f aca="false">IFERROR('Price History'!M3+(INDEX('Price History'!M:M,MATCH(9.99E+307,'Price History'!$A:$A))-'Price History'!M3)*(ROW()-3)/(MATCH(9.99E+307,'Returns (Calc)'!$A:$A)-3),"")</f>
        <v>14.8479245283019</v>
      </c>
      <c r="AI8" s="145" t="n">
        <f aca="false">IFERROR('Price History'!N3+(INDEX('Price History'!N:N,MATCH(9.99E+307,'Price History'!$A:$A))-'Price History'!N3)*(ROW()-3)/(MATCH(9.99E+307,'Returns (Calc)'!$A:$A)-3),"")</f>
        <v>21.114465408805</v>
      </c>
      <c r="AJ8" s="145" t="n">
        <f aca="false">IFERROR('Price History'!O3+(INDEX('Price History'!O:O,MATCH(9.99E+307,'Price History'!$A:$A))-'Price History'!O3)*(ROW()-3)/(MATCH(9.99E+307,'Returns (Calc)'!$A:$A)-3),"")</f>
        <v>55.8177358490566</v>
      </c>
      <c r="AK8" s="145" t="n">
        <f aca="false">IFERROR('Price History'!Q3+(INDEX('Price History'!Q:Q,MATCH(9.99E+307,'Price History'!$A:$A))-'Price History'!Q3)*(ROW()-3)/(MATCH(9.99E+307,'Returns (Calc)'!$A:$A)-3),"")</f>
        <v>228.220251572327</v>
      </c>
      <c r="AL8" s="145" t="n">
        <f aca="false">IFERROR('Price History'!R3+(INDEX('Price History'!R:R,MATCH(9.99E+307,'Price History'!$A:$A))-'Price History'!R3)*(ROW()-3)/(MATCH(9.99E+307,'Returns (Calc)'!$A:$A)-3),"")</f>
        <v>46.3162264150943</v>
      </c>
      <c r="AM8" s="145" t="n">
        <f aca="false">IFERROR('Price History'!S3+(INDEX('Price History'!S:S,MATCH(9.99E+307,'Price History'!$A:$A))-'Price History'!S3)*(ROW()-3)/(MATCH(9.99E+307,'Returns (Calc)'!$A:$A)-3),"")</f>
        <v>56.6991194968553</v>
      </c>
      <c r="AN8" s="145" t="n">
        <f aca="false">IFERROR('Price History'!T3+(INDEX('Price History'!T:T,MATCH(9.99E+307,'Price History'!$A:$A))-'Price History'!T3)*(ROW()-3)/(MATCH(9.99E+307,'Returns (Calc)'!$A:$A)-3),"")</f>
        <v>26.0637735849057</v>
      </c>
      <c r="AO8" s="146" t="n">
        <f aca="false">IFERROR('Price History'!V3+(INDEX('Price History'!V:V,MATCH(9.99E+307,'Price History'!$A:$A))-'Price History'!V3)*(ROW()-3)/(MATCH(9.99E+307,'Returns (Calc)'!$A:$A)-3),"")</f>
        <v>0</v>
      </c>
    </row>
    <row r="9" customFormat="false" ht="15" hidden="false" customHeight="true" outlineLevel="0" collapsed="false">
      <c r="A9" s="142" t="n">
        <f aca="false">IF('Price History'!A10="","",'Price History'!A10)</f>
        <v>45233</v>
      </c>
      <c r="B9" s="143" t="n">
        <f aca="false">IFERROR(IF(OR(NOT(ISNUMBER('Price History'!B10)),NOT(ISNUMBER('Price History'!B9)),'Price History'!B9=0),"",'Price History'!B10/'Price History'!B9-1),"")</f>
        <v>0.10930488860899</v>
      </c>
      <c r="C9" s="143" t="n">
        <f aca="false">IFERROR(IF(OR(NOT(ISNUMBER('Price History'!C10)),NOT(ISNUMBER('Price History'!C9)),'Price History'!C9=0),"",'Price History'!C10/'Price History'!C9-1),"")</f>
        <v>0.205902383654938</v>
      </c>
      <c r="D9" s="143" t="n">
        <f aca="false">IFERROR(IF(OR(NOT(ISNUMBER('Price History'!D10)),NOT(ISNUMBER('Price History'!D9)),'Price History'!D9=0),"",'Price History'!D10/'Price History'!D9-1),"")</f>
        <v>0.0916041145398945</v>
      </c>
      <c r="E9" s="143" t="n">
        <f aca="false">IFERROR(IF(OR(NOT(ISNUMBER('Price History'!E10)),NOT(ISNUMBER('Price History'!E9)),'Price History'!E9=0),"",'Price History'!E10/'Price History'!E9-1),"")</f>
        <v>0.0528585510103501</v>
      </c>
      <c r="F9" s="143" t="n">
        <f aca="false">IFERROR(IF(OR(NOT(ISNUMBER('Price History'!F10)),NOT(ISNUMBER('Price History'!F9)),'Price History'!F9=0),"",'Price History'!F10/'Price History'!F9-1),"")</f>
        <v>0.0716225875625445</v>
      </c>
      <c r="G9" s="143" t="n">
        <f aca="false">IFERROR(IF(OR(NOT(ISNUMBER('Price History'!G10)),NOT(ISNUMBER('Price History'!G9)),'Price History'!G9=0),"",'Price History'!G10/'Price History'!G9-1),"")</f>
        <v>0.0890997454292988</v>
      </c>
      <c r="H9" s="143" t="n">
        <f aca="false">IFERROR(IF(OR(NOT(ISNUMBER('Price History'!H10)),NOT(ISNUMBER('Price History'!H9)),'Price History'!H9=0),"",'Price History'!H10/'Price History'!H9-1),"")</f>
        <v>0.0586580086580084</v>
      </c>
      <c r="I9" s="143" t="n">
        <f aca="false">IFERROR(IF(OR(NOT(ISNUMBER('Price History'!I10)),NOT(ISNUMBER('Price History'!I9)),'Price History'!I9=0),"",'Price History'!I10/'Price History'!I9-1),"")</f>
        <v>0.091010733452594</v>
      </c>
      <c r="J9" s="143" t="n">
        <f aca="false">IFERROR(IF(OR(NOT(ISNUMBER('Price History'!J10)),NOT(ISNUMBER('Price History'!J9)),'Price History'!J9=0),"",'Price History'!J10/'Price History'!J9-1),"")</f>
        <v>0.10564354913117</v>
      </c>
      <c r="K9" s="143" t="n">
        <f aca="false">IFERROR(IF(OR(NOT(ISNUMBER('Price History'!K10)),NOT(ISNUMBER('Price History'!K9)),'Price History'!K9=0),"",'Price History'!K10/'Price History'!K9-1),"")</f>
        <v>0.111193660227835</v>
      </c>
      <c r="L9" s="143" t="n">
        <f aca="false">IFERROR(IF(OR(NOT(ISNUMBER('Price History'!L10)),NOT(ISNUMBER('Price History'!L9)),'Price History'!L9=0),"",'Price History'!L10/'Price History'!L9-1),"")</f>
        <v>0.0948392937980986</v>
      </c>
      <c r="M9" s="143" t="n">
        <f aca="false">IFERROR(IF(OR(NOT(ISNUMBER('Price History'!M10)),NOT(ISNUMBER('Price History'!M9)),'Price History'!M9=0),"",'Price History'!M10/'Price History'!M9-1),"")</f>
        <v>0.253483742534838</v>
      </c>
      <c r="N9" s="143" t="n">
        <f aca="false">IFERROR(IF(OR(NOT(ISNUMBER('Price History'!N10)),NOT(ISNUMBER('Price History'!N9)),'Price History'!N9=0),"",'Price History'!N10/'Price History'!N9-1),"")</f>
        <v>0.0500250125062531</v>
      </c>
      <c r="O9" s="143" t="n">
        <f aca="false">IFERROR(IF(OR(NOT(ISNUMBER('Price History'!O10)),NOT(ISNUMBER('Price History'!O9)),'Price History'!O9=0),"",'Price History'!O10/'Price History'!O9-1),"")</f>
        <v>0.0584547298543243</v>
      </c>
      <c r="P9" s="143" t="n">
        <f aca="false">IFERROR(IF(OR(NOT(ISNUMBER('Price History'!P10)),NOT(ISNUMBER('Price History'!P9)),'Price History'!P9=0),"",'Price History'!P10/'Price History'!P9-1),"")</f>
        <v>0.0674170902929072</v>
      </c>
      <c r="Q9" s="143" t="n">
        <f aca="false">IFERROR(IF(OR(NOT(ISNUMBER('Price History'!Q10)),NOT(ISNUMBER('Price History'!Q9)),'Price History'!Q9=0),"",'Price History'!Q10/'Price History'!Q9-1),"")</f>
        <v>0.062516733601071</v>
      </c>
      <c r="R9" s="143" t="n">
        <f aca="false">IFERROR(IF(OR(NOT(ISNUMBER('Price History'!R10)),NOT(ISNUMBER('Price History'!R9)),'Price History'!R9=0),"",'Price History'!R10/'Price History'!R9-1),"")</f>
        <v>0.000426348326582948</v>
      </c>
      <c r="S9" s="143" t="n">
        <f aca="false">IFERROR(IF(OR(NOT(ISNUMBER('Price History'!S10)),NOT(ISNUMBER('Price History'!S9)),'Price History'!S9=0),"",'Price History'!S10/'Price History'!S9-1),"")</f>
        <v>-0.00313261399234255</v>
      </c>
      <c r="T9" s="143" t="n">
        <f aca="false">IFERROR(IF(OR(NOT(ISNUMBER('Price History'!T10)),NOT(ISNUMBER('Price History'!T9)),'Price History'!T9=0),"",'Price History'!T10/'Price History'!T9-1),"")</f>
        <v>0.00270165959089153</v>
      </c>
      <c r="U9" s="143" t="str">
        <f aca="false">IFERROR(IF(OR(NOT(ISNUMBER('Price History'!U10)),NOT(ISNUMBER('Price History'!U9)),'Price History'!U9=0),"",'Price History'!U10/'Price History'!U9-1),"")</f>
        <v/>
      </c>
      <c r="V9" s="144" t="n">
        <f aca="false">IFERROR(IF(OR(NOT(ISNUMBER('Price History'!V10)),NOT(ISNUMBER('Price History'!V9)),'Price History'!V9=0),"",'Price History'!V10/'Price History'!V9-1),"")</f>
        <v>-0.0215858647401863</v>
      </c>
      <c r="W9" s="145" t="str">
        <f aca="false">IFERROR('Price History'!B3+(INDEX('Price History'!B:B,MATCH(9.99E+307,'Price History'!$A:$A))-'Price History'!B3)*(ROW()-3)/(MATCH(9.99E+307,'Returns (Calc)'!$A:$A)-3),"")</f>
        <v/>
      </c>
      <c r="X9" s="145" t="n">
        <f aca="false">IFERROR('Price History'!C3+(INDEX('Price History'!C:C,MATCH(9.99E+307,'Price History'!$A:$A))-'Price History'!C3)*(ROW()-3)/(MATCH(9.99E+307,'Returns (Calc)'!$A:$A)-3),"")</f>
        <v>44.437358490566</v>
      </c>
      <c r="Y9" s="145" t="n">
        <f aca="false">IFERROR('Price History'!D3+(INDEX('Price History'!D:D,MATCH(9.99E+307,'Price History'!$A:$A))-'Price History'!D3)*(ROW()-3)/(MATCH(9.99E+307,'Returns (Calc)'!$A:$A)-3),"")</f>
        <v>560.047358490566</v>
      </c>
      <c r="Z9" s="145" t="n">
        <f aca="false">IFERROR('Price History'!E3+(INDEX('Price History'!E:E,MATCH(9.99E+307,'Price History'!$A:$A))-'Price History'!E3)*(ROW()-3)/(MATCH(9.99E+307,'Returns (Calc)'!$A:$A)-3),"")</f>
        <v>78.9056603773585</v>
      </c>
      <c r="AA9" s="145" t="n">
        <f aca="false">IFERROR('Price History'!F3+(INDEX('Price History'!F:F,MATCH(9.99E+307,'Price History'!$A:$A))-'Price History'!F3)*(ROW()-3)/(MATCH(9.99E+307,'Returns (Calc)'!$A:$A)-3),"")</f>
        <v>72.4681132075472</v>
      </c>
      <c r="AB9" s="145" t="n">
        <f aca="false">IFERROR('Price History'!G3+(INDEX('Price History'!G:G,MATCH(9.99E+307,'Price History'!$A:$A))-'Price History'!G3)*(ROW()-3)/(MATCH(9.99E+307,'Returns (Calc)'!$A:$A)-3),"")</f>
        <v>39.7992452830189</v>
      </c>
      <c r="AC9" s="145" t="n">
        <f aca="false">IFERROR('Price History'!H3+(INDEX('Price History'!H:H,MATCH(9.99E+307,'Price History'!$A:$A))-'Price History'!H3)*(ROW()-3)/(MATCH(9.99E+307,'Returns (Calc)'!$A:$A)-3),"")</f>
        <v>96.7941509433962</v>
      </c>
      <c r="AD9" s="145" t="n">
        <f aca="false">IFERROR('Price History'!I3+(INDEX('Price History'!I:I,MATCH(9.99E+307,'Price History'!$A:$A))-'Price History'!I3)*(ROW()-3)/(MATCH(9.99E+307,'Returns (Calc)'!$A:$A)-3),"")</f>
        <v>42.6764150943396</v>
      </c>
      <c r="AE9" s="145" t="n">
        <f aca="false">IFERROR('Price History'!J3+(INDEX('Price History'!J:J,MATCH(9.99E+307,'Price History'!$A:$A))-'Price History'!J3)*(ROW()-3)/(MATCH(9.99E+307,'Returns (Calc)'!$A:$A)-3),"")</f>
        <v>66.5020754716981</v>
      </c>
      <c r="AF9" s="145" t="n">
        <f aca="false">IFERROR('Price History'!K3+(INDEX('Price History'!K:K,MATCH(9.99E+307,'Price History'!$A:$A))-'Price History'!K3)*(ROW()-3)/(MATCH(9.99E+307,'Returns (Calc)'!$A:$A)-3),"")</f>
        <v>42.1183018867925</v>
      </c>
      <c r="AG9" s="145" t="n">
        <f aca="false">IFERROR('Price History'!L3+(INDEX('Price History'!L:L,MATCH(9.99E+307,'Price History'!$A:$A))-'Price History'!L3)*(ROW()-3)/(MATCH(9.99E+307,'Returns (Calc)'!$A:$A)-3),"")</f>
        <v>107.619622641509</v>
      </c>
      <c r="AH9" s="145" t="n">
        <f aca="false">IFERROR('Price History'!M3+(INDEX('Price History'!M:M,MATCH(9.99E+307,'Price History'!$A:$A))-'Price History'!M3)*(ROW()-3)/(MATCH(9.99E+307,'Returns (Calc)'!$A:$A)-3),"")</f>
        <v>14.7515094339623</v>
      </c>
      <c r="AI9" s="145" t="n">
        <f aca="false">IFERROR('Price History'!N3+(INDEX('Price History'!N:N,MATCH(9.99E+307,'Price History'!$A:$A))-'Price History'!N3)*(ROW()-3)/(MATCH(9.99E+307,'Returns (Calc)'!$A:$A)-3),"")</f>
        <v>20.977358490566</v>
      </c>
      <c r="AJ9" s="145" t="n">
        <f aca="false">IFERROR('Price History'!O3+(INDEX('Price History'!O:O,MATCH(9.99E+307,'Price History'!$A:$A))-'Price History'!O3)*(ROW()-3)/(MATCH(9.99E+307,'Returns (Calc)'!$A:$A)-3),"")</f>
        <v>55.4552830188679</v>
      </c>
      <c r="AK9" s="145" t="n">
        <f aca="false">IFERROR('Price History'!Q3+(INDEX('Price History'!Q:Q,MATCH(9.99E+307,'Price History'!$A:$A))-'Price History'!Q3)*(ROW()-3)/(MATCH(9.99E+307,'Returns (Calc)'!$A:$A)-3),"")</f>
        <v>226.738301886792</v>
      </c>
      <c r="AL9" s="145" t="n">
        <f aca="false">IFERROR('Price History'!R3+(INDEX('Price History'!R:R,MATCH(9.99E+307,'Price History'!$A:$A))-'Price History'!R3)*(ROW()-3)/(MATCH(9.99E+307,'Returns (Calc)'!$A:$A)-3),"")</f>
        <v>46.0154716981132</v>
      </c>
      <c r="AM9" s="145" t="n">
        <f aca="false">IFERROR('Price History'!S3+(INDEX('Price History'!S:S,MATCH(9.99E+307,'Price History'!$A:$A))-'Price History'!S3)*(ROW()-3)/(MATCH(9.99E+307,'Returns (Calc)'!$A:$A)-3),"")</f>
        <v>56.3309433962264</v>
      </c>
      <c r="AN9" s="145" t="n">
        <f aca="false">IFERROR('Price History'!T3+(INDEX('Price History'!T:T,MATCH(9.99E+307,'Price History'!$A:$A))-'Price History'!T3)*(ROW()-3)/(MATCH(9.99E+307,'Returns (Calc)'!$A:$A)-3),"")</f>
        <v>25.8945283018868</v>
      </c>
      <c r="AO9" s="146" t="n">
        <f aca="false">IFERROR('Price History'!V3+(INDEX('Price History'!V:V,MATCH(9.99E+307,'Price History'!$A:$A))-'Price History'!V3)*(ROW()-3)/(MATCH(9.99E+307,'Returns (Calc)'!$A:$A)-3),"")</f>
        <v>0</v>
      </c>
    </row>
    <row r="10" customFormat="false" ht="15" hidden="false" customHeight="true" outlineLevel="0" collapsed="false">
      <c r="A10" s="142" t="n">
        <f aca="false">IF('Price History'!A11="","",'Price History'!A11)</f>
        <v>45240</v>
      </c>
      <c r="B10" s="143" t="n">
        <f aca="false">IFERROR(IF(OR(NOT(ISNUMBER('Price History'!B11)),NOT(ISNUMBER('Price History'!B10)),'Price History'!B10=0),"",'Price History'!B11/'Price History'!B10-1),"")</f>
        <v>0.0595394386687012</v>
      </c>
      <c r="C10" s="143" t="n">
        <f aca="false">IFERROR(IF(OR(NOT(ISNUMBER('Price History'!C11)),NOT(ISNUMBER('Price History'!C10)),'Price History'!C10=0),"",'Price History'!C11/'Price History'!C10-1),"")</f>
        <v>-0.0265436746987952</v>
      </c>
      <c r="D10" s="143" t="n">
        <f aca="false">IFERROR(IF(OR(NOT(ISNUMBER('Price History'!D11)),NOT(ISNUMBER('Price History'!D10)),'Price History'!D10=0),"",'Price History'!D11/'Price History'!D10-1),"")</f>
        <v>0.0293836750286516</v>
      </c>
      <c r="E10" s="143" t="n">
        <f aca="false">IFERROR(IF(OR(NOT(ISNUMBER('Price History'!E11)),NOT(ISNUMBER('Price History'!E10)),'Price History'!E10=0),"",'Price History'!E11/'Price History'!E10-1),"")</f>
        <v>0.0847279110590988</v>
      </c>
      <c r="F10" s="143" t="n">
        <f aca="false">IFERROR(IF(OR(NOT(ISNUMBER('Price History'!F11)),NOT(ISNUMBER('Price History'!F10)),'Price History'!F10=0),"",'Price History'!F11/'Price History'!F10-1),"")</f>
        <v>-0.0341515474919956</v>
      </c>
      <c r="G10" s="143" t="n">
        <f aca="false">IFERROR(IF(OR(NOT(ISNUMBER('Price History'!G11)),NOT(ISNUMBER('Price History'!G10)),'Price History'!G10=0),"",'Price History'!G11/'Price History'!G10-1),"")</f>
        <v>0.0429239269018273</v>
      </c>
      <c r="H10" s="143" t="n">
        <f aca="false">IFERROR(IF(OR(NOT(ISNUMBER('Price History'!H11)),NOT(ISNUMBER('Price History'!H10)),'Price History'!H10=0),"",'Price History'!H11/'Price History'!H10-1),"")</f>
        <v>-0.0225925168677161</v>
      </c>
      <c r="I10" s="143" t="n">
        <f aca="false">IFERROR(IF(OR(NOT(ISNUMBER('Price History'!I11)),NOT(ISNUMBER('Price History'!I10)),'Price History'!I10=0),"",'Price History'!I11/'Price History'!I10-1),"")</f>
        <v>0.0692764910842387</v>
      </c>
      <c r="J10" s="143" t="n">
        <f aca="false">IFERROR(IF(OR(NOT(ISNUMBER('Price History'!J11)),NOT(ISNUMBER('Price History'!J10)),'Price History'!J10=0),"",'Price History'!J11/'Price History'!J10-1),"")</f>
        <v>0.0382475660639778</v>
      </c>
      <c r="K10" s="143" t="n">
        <f aca="false">IFERROR(IF(OR(NOT(ISNUMBER('Price History'!K11)),NOT(ISNUMBER('Price History'!K10)),'Price History'!K10=0),"",'Price History'!K11/'Price History'!K10-1),"")</f>
        <v>0.0739915310898149</v>
      </c>
      <c r="L10" s="143" t="n">
        <f aca="false">IFERROR(IF(OR(NOT(ISNUMBER('Price History'!L11)),NOT(ISNUMBER('Price History'!L10)),'Price History'!L10=0),"",'Price History'!L11/'Price History'!L10-1),"")</f>
        <v>-0.0187099441802769</v>
      </c>
      <c r="M10" s="143" t="n">
        <f aca="false">IFERROR(IF(OR(NOT(ISNUMBER('Price History'!M11)),NOT(ISNUMBER('Price History'!M10)),'Price History'!M10=0),"",'Price History'!M11/'Price History'!M10-1),"")</f>
        <v>0.0412916887241928</v>
      </c>
      <c r="N10" s="143" t="n">
        <f aca="false">IFERROR(IF(OR(NOT(ISNUMBER('Price History'!N11)),NOT(ISNUMBER('Price History'!N10)),'Price History'!N10=0),"",'Price History'!N11/'Price History'!N10-1),"")</f>
        <v>-0.0114340161981895</v>
      </c>
      <c r="O10" s="143" t="n">
        <f aca="false">IFERROR(IF(OR(NOT(ISNUMBER('Price History'!O11)),NOT(ISNUMBER('Price History'!O10)),'Price History'!O10=0),"",'Price History'!O11/'Price History'!O10-1),"")</f>
        <v>0.0294425087108015</v>
      </c>
      <c r="P10" s="143" t="n">
        <f aca="false">IFERROR(IF(OR(NOT(ISNUMBER('Price History'!P11)),NOT(ISNUMBER('Price History'!P10)),'Price History'!P10=0),"",'Price History'!P11/'Price History'!P10-1),"")</f>
        <v>0.061571606758136</v>
      </c>
      <c r="Q10" s="143" t="n">
        <f aca="false">IFERROR(IF(OR(NOT(ISNUMBER('Price History'!Q11)),NOT(ISNUMBER('Price History'!Q10)),'Price History'!Q10=0),"",'Price History'!Q11/'Price History'!Q10-1),"")</f>
        <v>0.00890344798622467</v>
      </c>
      <c r="R10" s="143" t="n">
        <f aca="false">IFERROR(IF(OR(NOT(ISNUMBER('Price History'!R11)),NOT(ISNUMBER('Price History'!R10)),'Price History'!R10=0),"",'Price History'!R11/'Price History'!R10-1),"")</f>
        <v>0.0042616663115278</v>
      </c>
      <c r="S10" s="143" t="n">
        <f aca="false">IFERROR(IF(OR(NOT(ISNUMBER('Price History'!S11)),NOT(ISNUMBER('Price History'!S10)),'Price History'!S10=0),"",'Price History'!S11/'Price History'!S10-1),"")</f>
        <v>0.011173184357542</v>
      </c>
      <c r="T10" s="143" t="n">
        <f aca="false">IFERROR(IF(OR(NOT(ISNUMBER('Price History'!T11)),NOT(ISNUMBER('Price History'!T10)),'Price History'!T10=0),"",'Price History'!T11/'Price History'!T10-1),"")</f>
        <v>-0.0184757505773672</v>
      </c>
      <c r="U10" s="143" t="str">
        <f aca="false">IFERROR(IF(OR(NOT(ISNUMBER('Price History'!U11)),NOT(ISNUMBER('Price History'!U10)),'Price History'!U10=0),"",'Price History'!U11/'Price History'!U10-1),"")</f>
        <v/>
      </c>
      <c r="V10" s="144" t="n">
        <f aca="false">IFERROR(IF(OR(NOT(ISNUMBER('Price History'!V11)),NOT(ISNUMBER('Price History'!V10)),'Price History'!V10=0),"",'Price History'!V11/'Price History'!V10-1),"")</f>
        <v>0.0218841740058715</v>
      </c>
      <c r="W10" s="145" t="str">
        <f aca="false">IFERROR('Price History'!B3+(INDEX('Price History'!B:B,MATCH(9.99E+307,'Price History'!$A:$A))-'Price History'!B3)*(ROW()-3)/(MATCH(9.99E+307,'Returns (Calc)'!$A:$A)-3),"")</f>
        <v/>
      </c>
      <c r="X10" s="145" t="n">
        <f aca="false">IFERROR('Price History'!C3+(INDEX('Price History'!C:C,MATCH(9.99E+307,'Price History'!$A:$A))-'Price History'!C3)*(ROW()-3)/(MATCH(9.99E+307,'Returns (Calc)'!$A:$A)-3),"")</f>
        <v>44.1469182389937</v>
      </c>
      <c r="Y10" s="145" t="n">
        <f aca="false">IFERROR('Price History'!D3+(INDEX('Price History'!D:D,MATCH(9.99E+307,'Price History'!$A:$A))-'Price History'!D3)*(ROW()-3)/(MATCH(9.99E+307,'Returns (Calc)'!$A:$A)-3),"")</f>
        <v>556.386918238994</v>
      </c>
      <c r="Z10" s="145" t="n">
        <f aca="false">IFERROR('Price History'!E3+(INDEX('Price History'!E:E,MATCH(9.99E+307,'Price History'!$A:$A))-'Price History'!E3)*(ROW()-3)/(MATCH(9.99E+307,'Returns (Calc)'!$A:$A)-3),"")</f>
        <v>78.3899371069182</v>
      </c>
      <c r="AA10" s="145" t="n">
        <f aca="false">IFERROR('Price History'!F3+(INDEX('Price History'!F:F,MATCH(9.99E+307,'Price History'!$A:$A))-'Price History'!F3)*(ROW()-3)/(MATCH(9.99E+307,'Returns (Calc)'!$A:$A)-3),"")</f>
        <v>71.994465408805</v>
      </c>
      <c r="AB10" s="145" t="n">
        <f aca="false">IFERROR('Price History'!G3+(INDEX('Price History'!G:G,MATCH(9.99E+307,'Price History'!$A:$A))-'Price History'!G3)*(ROW()-3)/(MATCH(9.99E+307,'Returns (Calc)'!$A:$A)-3),"")</f>
        <v>39.5391194968553</v>
      </c>
      <c r="AC10" s="145" t="n">
        <f aca="false">IFERROR('Price History'!H3+(INDEX('Price History'!H:H,MATCH(9.99E+307,'Price History'!$A:$A))-'Price History'!H3)*(ROW()-3)/(MATCH(9.99E+307,'Returns (Calc)'!$A:$A)-3),"")</f>
        <v>96.1615094339623</v>
      </c>
      <c r="AD10" s="145" t="n">
        <f aca="false">IFERROR('Price History'!I3+(INDEX('Price History'!I:I,MATCH(9.99E+307,'Price History'!$A:$A))-'Price History'!I3)*(ROW()-3)/(MATCH(9.99E+307,'Returns (Calc)'!$A:$A)-3),"")</f>
        <v>42.3974842767296</v>
      </c>
      <c r="AE10" s="145" t="n">
        <f aca="false">IFERROR('Price History'!J3+(INDEX('Price History'!J:J,MATCH(9.99E+307,'Price History'!$A:$A))-'Price History'!J3)*(ROW()-3)/(MATCH(9.99E+307,'Returns (Calc)'!$A:$A)-3),"")</f>
        <v>66.0674213836478</v>
      </c>
      <c r="AF10" s="145" t="n">
        <f aca="false">IFERROR('Price History'!K3+(INDEX('Price History'!K:K,MATCH(9.99E+307,'Price History'!$A:$A))-'Price History'!K3)*(ROW()-3)/(MATCH(9.99E+307,'Returns (Calc)'!$A:$A)-3),"")</f>
        <v>41.8430188679245</v>
      </c>
      <c r="AG10" s="145" t="n">
        <f aca="false">IFERROR('Price History'!L3+(INDEX('Price History'!L:L,MATCH(9.99E+307,'Price History'!$A:$A))-'Price History'!L3)*(ROW()-3)/(MATCH(9.99E+307,'Returns (Calc)'!$A:$A)-3),"")</f>
        <v>106.916226415094</v>
      </c>
      <c r="AH10" s="145" t="n">
        <f aca="false">IFERROR('Price History'!M3+(INDEX('Price History'!M:M,MATCH(9.99E+307,'Price History'!$A:$A))-'Price History'!M3)*(ROW()-3)/(MATCH(9.99E+307,'Returns (Calc)'!$A:$A)-3),"")</f>
        <v>14.6550943396226</v>
      </c>
      <c r="AI10" s="145" t="n">
        <f aca="false">IFERROR('Price History'!N3+(INDEX('Price History'!N:N,MATCH(9.99E+307,'Price History'!$A:$A))-'Price History'!N3)*(ROW()-3)/(MATCH(9.99E+307,'Returns (Calc)'!$A:$A)-3),"")</f>
        <v>20.840251572327</v>
      </c>
      <c r="AJ10" s="145" t="n">
        <f aca="false">IFERROR('Price History'!O3+(INDEX('Price History'!O:O,MATCH(9.99E+307,'Price History'!$A:$A))-'Price History'!O3)*(ROW()-3)/(MATCH(9.99E+307,'Returns (Calc)'!$A:$A)-3),"")</f>
        <v>55.0928301886792</v>
      </c>
      <c r="AK10" s="145" t="n">
        <f aca="false">IFERROR('Price History'!Q3+(INDEX('Price History'!Q:Q,MATCH(9.99E+307,'Price History'!$A:$A))-'Price History'!Q3)*(ROW()-3)/(MATCH(9.99E+307,'Returns (Calc)'!$A:$A)-3),"")</f>
        <v>225.256352201258</v>
      </c>
      <c r="AL10" s="145" t="n">
        <f aca="false">IFERROR('Price History'!R3+(INDEX('Price History'!R:R,MATCH(9.99E+307,'Price History'!$A:$A))-'Price History'!R3)*(ROW()-3)/(MATCH(9.99E+307,'Returns (Calc)'!$A:$A)-3),"")</f>
        <v>45.7147169811321</v>
      </c>
      <c r="AM10" s="145" t="n">
        <f aca="false">IFERROR('Price History'!S3+(INDEX('Price History'!S:S,MATCH(9.99E+307,'Price History'!$A:$A))-'Price History'!S3)*(ROW()-3)/(MATCH(9.99E+307,'Returns (Calc)'!$A:$A)-3),"")</f>
        <v>55.9627672955975</v>
      </c>
      <c r="AN10" s="145" t="n">
        <f aca="false">IFERROR('Price History'!T3+(INDEX('Price History'!T:T,MATCH(9.99E+307,'Price History'!$A:$A))-'Price History'!T3)*(ROW()-3)/(MATCH(9.99E+307,'Returns (Calc)'!$A:$A)-3),"")</f>
        <v>25.7252830188679</v>
      </c>
      <c r="AO10" s="146" t="n">
        <f aca="false">IFERROR('Price History'!V3+(INDEX('Price History'!V:V,MATCH(9.99E+307,'Price History'!$A:$A))-'Price History'!V3)*(ROW()-3)/(MATCH(9.99E+307,'Returns (Calc)'!$A:$A)-3),"")</f>
        <v>0</v>
      </c>
    </row>
    <row r="11" customFormat="false" ht="15" hidden="false" customHeight="true" outlineLevel="0" collapsed="false">
      <c r="A11" s="142" t="n">
        <f aca="false">IF('Price History'!A12="","",'Price History'!A12)</f>
        <v>45247</v>
      </c>
      <c r="B11" s="143" t="n">
        <f aca="false">IFERROR(IF(OR(NOT(ISNUMBER('Price History'!B12)),NOT(ISNUMBER('Price History'!B11)),'Price History'!B11=0),"",'Price History'!B12/'Price History'!B11-1),"")</f>
        <v>0.00910887110277603</v>
      </c>
      <c r="C11" s="143" t="n">
        <f aca="false">IFERROR(IF(OR(NOT(ISNUMBER('Price History'!C12)),NOT(ISNUMBER('Price History'!C11)),'Price History'!C11=0),"",'Price History'!C12/'Price History'!C11-1),"")</f>
        <v>0.0377103074840455</v>
      </c>
      <c r="D11" s="143" t="n">
        <f aca="false">IFERROR(IF(OR(NOT(ISNUMBER('Price History'!D12)),NOT(ISNUMBER('Price History'!D11)),'Price History'!D11=0),"",'Price History'!D12/'Price History'!D11-1),"")</f>
        <v>0.0375135302304004</v>
      </c>
      <c r="E11" s="143" t="n">
        <f aca="false">IFERROR(IF(OR(NOT(ISNUMBER('Price History'!E12)),NOT(ISNUMBER('Price History'!E11)),'Price History'!E11=0),"",'Price History'!E12/'Price History'!E11-1),"")</f>
        <v>0.0211457546660914</v>
      </c>
      <c r="F11" s="143" t="n">
        <f aca="false">IFERROR(IF(OR(NOT(ISNUMBER('Price History'!F12)),NOT(ISNUMBER('Price History'!F11)),'Price History'!F11=0),"",'Price History'!F12/'Price History'!F11-1),"")</f>
        <v>0.055524861878453</v>
      </c>
      <c r="G11" s="143" t="n">
        <f aca="false">IFERROR(IF(OR(NOT(ISNUMBER('Price History'!G12)),NOT(ISNUMBER('Price History'!G11)),'Price History'!G11=0),"",'Price History'!G12/'Price History'!G11-1),"")</f>
        <v>0.0548084759576204</v>
      </c>
      <c r="H11" s="143" t="n">
        <f aca="false">IFERROR(IF(OR(NOT(ISNUMBER('Price History'!H12)),NOT(ISNUMBER('Price History'!H11)),'Price History'!H11=0),"",'Price History'!H12/'Price History'!H11-1),"")</f>
        <v>0.0354565422026985</v>
      </c>
      <c r="I11" s="143" t="n">
        <f aca="false">IFERROR(IF(OR(NOT(ISNUMBER('Price History'!I12)),NOT(ISNUMBER('Price History'!I11)),'Price History'!I11=0),"",'Price History'!I12/'Price History'!I11-1),"")</f>
        <v>0.0220433199156602</v>
      </c>
      <c r="J11" s="143" t="n">
        <f aca="false">IFERROR(IF(OR(NOT(ISNUMBER('Price History'!J12)),NOT(ISNUMBER('Price History'!J11)),'Price History'!J11=0),"",'Price History'!J12/'Price History'!J11-1),"")</f>
        <v>0.029202947086403</v>
      </c>
      <c r="K11" s="143" t="n">
        <f aca="false">IFERROR(IF(OR(NOT(ISNUMBER('Price History'!K12)),NOT(ISNUMBER('Price History'!K11)),'Price History'!K11=0),"",'Price History'!K12/'Price History'!K11-1),"")</f>
        <v>0.0199211454658643</v>
      </c>
      <c r="L11" s="143" t="n">
        <f aca="false">IFERROR(IF(OR(NOT(ISNUMBER('Price History'!L12)),NOT(ISNUMBER('Price History'!L11)),'Price History'!L11=0),"",'Price History'!L12/'Price History'!L11-1),"")</f>
        <v>0.0527757294848834</v>
      </c>
      <c r="M11" s="143" t="n">
        <f aca="false">IFERROR(IF(OR(NOT(ISNUMBER('Price History'!M12)),NOT(ISNUMBER('Price History'!M11)),'Price History'!M11=0),"",'Price History'!M12/'Price History'!M11-1),"")</f>
        <v>0.0416878495170308</v>
      </c>
      <c r="N11" s="143" t="n">
        <f aca="false">IFERROR(IF(OR(NOT(ISNUMBER('Price History'!N12)),NOT(ISNUMBER('Price History'!N11)),'Price History'!N11=0),"",'Price History'!N12/'Price History'!N11-1),"")</f>
        <v>0.0240963855421688</v>
      </c>
      <c r="O11" s="143" t="n">
        <f aca="false">IFERROR(IF(OR(NOT(ISNUMBER('Price History'!O12)),NOT(ISNUMBER('Price History'!O11)),'Price History'!O11=0),"",'Price History'!O12/'Price History'!O11-1),"")</f>
        <v>0.0216618717211032</v>
      </c>
      <c r="P11" s="143" t="n">
        <f aca="false">IFERROR(IF(OR(NOT(ISNUMBER('Price History'!P12)),NOT(ISNUMBER('Price History'!P11)),'Price History'!P11=0),"",'Price History'!P12/'Price History'!P11-1),"")</f>
        <v>0.022003845332194</v>
      </c>
      <c r="Q11" s="143" t="n">
        <f aca="false">IFERROR(IF(OR(NOT(ISNUMBER('Price History'!Q12)),NOT(ISNUMBER('Price History'!Q11)),'Price History'!Q11=0),"",'Price History'!Q12/'Price History'!Q11-1),"")</f>
        <v>0.0175664987720101</v>
      </c>
      <c r="R11" s="143" t="n">
        <f aca="false">IFERROR(IF(OR(NOT(ISNUMBER('Price History'!R12)),NOT(ISNUMBER('Price History'!R11)),'Price History'!R11=0),"",'Price History'!R12/'Price History'!R11-1),"")</f>
        <v>0.00275832802885634</v>
      </c>
      <c r="S11" s="143" t="n">
        <f aca="false">IFERROR(IF(OR(NOT(ISNUMBER('Price History'!S12)),NOT(ISNUMBER('Price History'!S11)),'Price History'!S11=0),"",'Price History'!S12/'Price History'!S11-1),"")</f>
        <v>0.00569751381215466</v>
      </c>
      <c r="T11" s="143" t="n">
        <f aca="false">IFERROR(IF(OR(NOT(ISNUMBER('Price History'!T12)),NOT(ISNUMBER('Price History'!T11)),'Price History'!T11=0),"",'Price History'!T12/'Price History'!T11-1),"")</f>
        <v>0.0129411764705882</v>
      </c>
      <c r="U11" s="143" t="str">
        <f aca="false">IFERROR(IF(OR(NOT(ISNUMBER('Price History'!U12)),NOT(ISNUMBER('Price History'!U11)),'Price History'!U11=0),"",'Price History'!U12/'Price History'!U11-1),"")</f>
        <v/>
      </c>
      <c r="V11" s="144" t="n">
        <f aca="false">IFERROR(IF(OR(NOT(ISNUMBER('Price History'!V12)),NOT(ISNUMBER('Price History'!V11)),'Price History'!V11=0),"",'Price History'!V12/'Price History'!V11-1),"")</f>
        <v>0.0111865587185513</v>
      </c>
      <c r="W11" s="145" t="str">
        <f aca="false">IFERROR('Price History'!B3+(INDEX('Price History'!B:B,MATCH(9.99E+307,'Price History'!$A:$A))-'Price History'!B3)*(ROW()-3)/(MATCH(9.99E+307,'Returns (Calc)'!$A:$A)-3),"")</f>
        <v/>
      </c>
      <c r="X11" s="145" t="n">
        <f aca="false">IFERROR('Price History'!C3+(INDEX('Price History'!C:C,MATCH(9.99E+307,'Price History'!$A:$A))-'Price History'!C3)*(ROW()-3)/(MATCH(9.99E+307,'Returns (Calc)'!$A:$A)-3),"")</f>
        <v>43.8564779874214</v>
      </c>
      <c r="Y11" s="145" t="n">
        <f aca="false">IFERROR('Price History'!D3+(INDEX('Price History'!D:D,MATCH(9.99E+307,'Price History'!$A:$A))-'Price History'!D3)*(ROW()-3)/(MATCH(9.99E+307,'Returns (Calc)'!$A:$A)-3),"")</f>
        <v>552.726477987421</v>
      </c>
      <c r="Z11" s="145" t="n">
        <f aca="false">IFERROR('Price History'!E3+(INDEX('Price History'!E:E,MATCH(9.99E+307,'Price History'!$A:$A))-'Price History'!E3)*(ROW()-3)/(MATCH(9.99E+307,'Returns (Calc)'!$A:$A)-3),"")</f>
        <v>77.874213836478</v>
      </c>
      <c r="AA11" s="145" t="n">
        <f aca="false">IFERROR('Price History'!F3+(INDEX('Price History'!F:F,MATCH(9.99E+307,'Price History'!$A:$A))-'Price History'!F3)*(ROW()-3)/(MATCH(9.99E+307,'Returns (Calc)'!$A:$A)-3),"")</f>
        <v>71.5208176100629</v>
      </c>
      <c r="AB11" s="145" t="n">
        <f aca="false">IFERROR('Price History'!G3+(INDEX('Price History'!G:G,MATCH(9.99E+307,'Price History'!$A:$A))-'Price History'!G3)*(ROW()-3)/(MATCH(9.99E+307,'Returns (Calc)'!$A:$A)-3),"")</f>
        <v>39.2789937106918</v>
      </c>
      <c r="AC11" s="145" t="n">
        <f aca="false">IFERROR('Price History'!H3+(INDEX('Price History'!H:H,MATCH(9.99E+307,'Price History'!$A:$A))-'Price History'!H3)*(ROW()-3)/(MATCH(9.99E+307,'Returns (Calc)'!$A:$A)-3),"")</f>
        <v>95.5288679245283</v>
      </c>
      <c r="AD11" s="145" t="n">
        <f aca="false">IFERROR('Price History'!I3+(INDEX('Price History'!I:I,MATCH(9.99E+307,'Price History'!$A:$A))-'Price History'!I3)*(ROW()-3)/(MATCH(9.99E+307,'Returns (Calc)'!$A:$A)-3),"")</f>
        <v>42.1185534591195</v>
      </c>
      <c r="AE11" s="145" t="n">
        <f aca="false">IFERROR('Price History'!J3+(INDEX('Price History'!J:J,MATCH(9.99E+307,'Price History'!$A:$A))-'Price History'!J3)*(ROW()-3)/(MATCH(9.99E+307,'Returns (Calc)'!$A:$A)-3),"")</f>
        <v>65.6327672955975</v>
      </c>
      <c r="AF11" s="145" t="n">
        <f aca="false">IFERROR('Price History'!K3+(INDEX('Price History'!K:K,MATCH(9.99E+307,'Price History'!$A:$A))-'Price History'!K3)*(ROW()-3)/(MATCH(9.99E+307,'Returns (Calc)'!$A:$A)-3),"")</f>
        <v>41.5677358490566</v>
      </c>
      <c r="AG11" s="145" t="n">
        <f aca="false">IFERROR('Price History'!L3+(INDEX('Price History'!L:L,MATCH(9.99E+307,'Price History'!$A:$A))-'Price History'!L3)*(ROW()-3)/(MATCH(9.99E+307,'Returns (Calc)'!$A:$A)-3),"")</f>
        <v>106.212830188679</v>
      </c>
      <c r="AH11" s="145" t="n">
        <f aca="false">IFERROR('Price History'!M3+(INDEX('Price History'!M:M,MATCH(9.99E+307,'Price History'!$A:$A))-'Price History'!M3)*(ROW()-3)/(MATCH(9.99E+307,'Returns (Calc)'!$A:$A)-3),"")</f>
        <v>14.558679245283</v>
      </c>
      <c r="AI11" s="145" t="n">
        <f aca="false">IFERROR('Price History'!N3+(INDEX('Price History'!N:N,MATCH(9.99E+307,'Price History'!$A:$A))-'Price History'!N3)*(ROW()-3)/(MATCH(9.99E+307,'Returns (Calc)'!$A:$A)-3),"")</f>
        <v>20.7031446540881</v>
      </c>
      <c r="AJ11" s="145" t="n">
        <f aca="false">IFERROR('Price History'!O3+(INDEX('Price History'!O:O,MATCH(9.99E+307,'Price History'!$A:$A))-'Price History'!O3)*(ROW()-3)/(MATCH(9.99E+307,'Returns (Calc)'!$A:$A)-3),"")</f>
        <v>54.7303773584906</v>
      </c>
      <c r="AK11" s="145" t="n">
        <f aca="false">IFERROR('Price History'!Q3+(INDEX('Price History'!Q:Q,MATCH(9.99E+307,'Price History'!$A:$A))-'Price History'!Q3)*(ROW()-3)/(MATCH(9.99E+307,'Returns (Calc)'!$A:$A)-3),"")</f>
        <v>223.774402515723</v>
      </c>
      <c r="AL11" s="145" t="n">
        <f aca="false">IFERROR('Price History'!R3+(INDEX('Price History'!R:R,MATCH(9.99E+307,'Price History'!$A:$A))-'Price History'!R3)*(ROW()-3)/(MATCH(9.99E+307,'Returns (Calc)'!$A:$A)-3),"")</f>
        <v>45.4139622641509</v>
      </c>
      <c r="AM11" s="145" t="n">
        <f aca="false">IFERROR('Price History'!S3+(INDEX('Price History'!S:S,MATCH(9.99E+307,'Price History'!$A:$A))-'Price History'!S3)*(ROW()-3)/(MATCH(9.99E+307,'Returns (Calc)'!$A:$A)-3),"")</f>
        <v>55.5945911949686</v>
      </c>
      <c r="AN11" s="145" t="n">
        <f aca="false">IFERROR('Price History'!T3+(INDEX('Price History'!T:T,MATCH(9.99E+307,'Price History'!$A:$A))-'Price History'!T3)*(ROW()-3)/(MATCH(9.99E+307,'Returns (Calc)'!$A:$A)-3),"")</f>
        <v>25.5560377358491</v>
      </c>
      <c r="AO11" s="146" t="n">
        <f aca="false">IFERROR('Price History'!V3+(INDEX('Price History'!V:V,MATCH(9.99E+307,'Price History'!$A:$A))-'Price History'!V3)*(ROW()-3)/(MATCH(9.99E+307,'Returns (Calc)'!$A:$A)-3),"")</f>
        <v>0</v>
      </c>
    </row>
    <row r="12" customFormat="false" ht="15" hidden="false" customHeight="true" outlineLevel="0" collapsed="false">
      <c r="A12" s="142" t="n">
        <f aca="false">IF('Price History'!A13="","",'Price History'!A13)</f>
        <v>45254</v>
      </c>
      <c r="B12" s="143" t="n">
        <f aca="false">IFERROR(IF(OR(NOT(ISNUMBER('Price History'!B13)),NOT(ISNUMBER('Price History'!B12)),'Price History'!B12=0),"",'Price History'!B13/'Price History'!B12-1),"")</f>
        <v>0.02782663525039</v>
      </c>
      <c r="C12" s="143" t="n">
        <f aca="false">IFERROR(IF(OR(NOT(ISNUMBER('Price History'!C13)),NOT(ISNUMBER('Price History'!C12)),'Price History'!C12=0),"",'Price History'!C13/'Price History'!C12-1),"")</f>
        <v>0.0175177040626167</v>
      </c>
      <c r="D12" s="143" t="n">
        <f aca="false">IFERROR(IF(OR(NOT(ISNUMBER('Price History'!D13)),NOT(ISNUMBER('Price History'!D12)),'Price History'!D12=0),"",'Price History'!D13/'Price History'!D12-1),"")</f>
        <v>0.00742220102539637</v>
      </c>
      <c r="E12" s="143" t="n">
        <f aca="false">IFERROR(IF(OR(NOT(ISNUMBER('Price History'!E13)),NOT(ISNUMBER('Price History'!E12)),'Price History'!E12=0),"",'Price History'!E13/'Price History'!E12-1),"")</f>
        <v>0.001162176439514</v>
      </c>
      <c r="F12" s="143" t="n">
        <f aca="false">IFERROR(IF(OR(NOT(ISNUMBER('Price History'!F13)),NOT(ISNUMBER('Price History'!F12)),'Price History'!F12=0),"",'Price History'!F13/'Price History'!F12-1),"")</f>
        <v>0.000130855796911966</v>
      </c>
      <c r="G12" s="143" t="n">
        <f aca="false">IFERROR(IF(OR(NOT(ISNUMBER('Price History'!G13)),NOT(ISNUMBER('Price History'!G12)),'Price History'!G12=0),"",'Price History'!G13/'Price History'!G12-1),"")</f>
        <v>0.0173845856673749</v>
      </c>
      <c r="H12" s="143" t="n">
        <f aca="false">IFERROR(IF(OR(NOT(ISNUMBER('Price History'!H13)),NOT(ISNUMBER('Price History'!H12)),'Price History'!H12=0),"",'Price History'!H13/'Price History'!H12-1),"")</f>
        <v>0.0035353535353535</v>
      </c>
      <c r="I12" s="143" t="n">
        <f aca="false">IFERROR(IF(OR(NOT(ISNUMBER('Price History'!I13)),NOT(ISNUMBER('Price History'!I12)),'Price History'!I12=0),"",'Price History'!I13/'Price History'!I12-1),"")</f>
        <v>0.0204426106526632</v>
      </c>
      <c r="J12" s="143" t="n">
        <f aca="false">IFERROR(IF(OR(NOT(ISNUMBER('Price History'!J13)),NOT(ISNUMBER('Price History'!J12)),'Price History'!J12=0),"",'Price History'!J13/'Price History'!J12-1),"")</f>
        <v>-0.00885070935832344</v>
      </c>
      <c r="K12" s="143" t="n">
        <f aca="false">IFERROR(IF(OR(NOT(ISNUMBER('Price History'!K13)),NOT(ISNUMBER('Price History'!K12)),'Price History'!K12=0),"",'Price History'!K13/'Price History'!K12-1),"")</f>
        <v>-0.0309257375381484</v>
      </c>
      <c r="L12" s="143" t="n">
        <f aca="false">IFERROR(IF(OR(NOT(ISNUMBER('Price History'!L13)),NOT(ISNUMBER('Price History'!L12)),'Price History'!L12=0),"",'Price History'!L13/'Price History'!L12-1),"")</f>
        <v>0.0175105063037824</v>
      </c>
      <c r="M12" s="143" t="n">
        <f aca="false">IFERROR(IF(OR(NOT(ISNUMBER('Price History'!M13)),NOT(ISNUMBER('Price History'!M12)),'Price History'!M12=0),"",'Price History'!M13/'Price History'!M12-1),"")</f>
        <v>-0.0629575402635432</v>
      </c>
      <c r="N12" s="143" t="n">
        <f aca="false">IFERROR(IF(OR(NOT(ISNUMBER('Price History'!N13)),NOT(ISNUMBER('Price History'!N12)),'Price History'!N12=0),"",'Price History'!N13/'Price History'!N12-1),"")</f>
        <v>0.00941176470588223</v>
      </c>
      <c r="O12" s="143" t="n">
        <f aca="false">IFERROR(IF(OR(NOT(ISNUMBER('Price History'!O13)),NOT(ISNUMBER('Price History'!O12)),'Price History'!O12=0),"",'Price History'!O13/'Price History'!O12-1),"")</f>
        <v>0.00546629120424069</v>
      </c>
      <c r="P12" s="143" t="n">
        <f aca="false">IFERROR(IF(OR(NOT(ISNUMBER('Price History'!P13)),NOT(ISNUMBER('Price History'!P12)),'Price History'!P12=0),"",'Price History'!P13/'Price History'!P12-1),"")</f>
        <v>-0.0175585284280937</v>
      </c>
      <c r="Q12" s="143" t="n">
        <f aca="false">IFERROR(IF(OR(NOT(ISNUMBER('Price History'!Q13)),NOT(ISNUMBER('Price History'!Q12)),'Price History'!Q12=0),"",'Price History'!Q13/'Price History'!Q12-1),"")</f>
        <v>0.019022294947842</v>
      </c>
      <c r="R12" s="143" t="n">
        <f aca="false">IFERROR(IF(OR(NOT(ISNUMBER('Price History'!R13)),NOT(ISNUMBER('Price History'!R12)),'Price History'!R12=0),"",'Price History'!R13/'Price History'!R12-1),"")</f>
        <v>-0.0198899703766399</v>
      </c>
      <c r="S12" s="143" t="n">
        <f aca="false">IFERROR(IF(OR(NOT(ISNUMBER('Price History'!S13)),NOT(ISNUMBER('Price History'!S12)),'Price History'!S12=0),"",'Price History'!S13/'Price History'!S12-1),"")</f>
        <v>-0.0290128755364807</v>
      </c>
      <c r="T12" s="143" t="n">
        <f aca="false">IFERROR(IF(OR(NOT(ISNUMBER('Price History'!T13)),NOT(ISNUMBER('Price History'!T12)),'Price History'!T12=0),"",'Price History'!T13/'Price History'!T12-1),"")</f>
        <v>-0.0127758420441346</v>
      </c>
      <c r="U12" s="143" t="str">
        <f aca="false">IFERROR(IF(OR(NOT(ISNUMBER('Price History'!U13)),NOT(ISNUMBER('Price History'!U12)),'Price History'!U12=0),"",'Price History'!U13/'Price History'!U12-1),"")</f>
        <v/>
      </c>
      <c r="V12" s="144" t="n">
        <f aca="false">IFERROR(IF(OR(NOT(ISNUMBER('Price History'!V13)),NOT(ISNUMBER('Price History'!V12)),'Price History'!V12=0),"",'Price History'!V13/'Price History'!V12-1),"")</f>
        <v>-0.0180362446730662</v>
      </c>
      <c r="W12" s="145" t="str">
        <f aca="false">IFERROR('Price History'!B3+(INDEX('Price History'!B:B,MATCH(9.99E+307,'Price History'!$A:$A))-'Price History'!B3)*(ROW()-3)/(MATCH(9.99E+307,'Returns (Calc)'!$A:$A)-3),"")</f>
        <v/>
      </c>
      <c r="X12" s="145" t="n">
        <f aca="false">IFERROR('Price History'!C3+(INDEX('Price History'!C:C,MATCH(9.99E+307,'Price History'!$A:$A))-'Price History'!C3)*(ROW()-3)/(MATCH(9.99E+307,'Returns (Calc)'!$A:$A)-3),"")</f>
        <v>43.5660377358491</v>
      </c>
      <c r="Y12" s="145" t="n">
        <f aca="false">IFERROR('Price History'!D3+(INDEX('Price History'!D:D,MATCH(9.99E+307,'Price History'!$A:$A))-'Price History'!D3)*(ROW()-3)/(MATCH(9.99E+307,'Returns (Calc)'!$A:$A)-3),"")</f>
        <v>549.066037735849</v>
      </c>
      <c r="Z12" s="145" t="n">
        <f aca="false">IFERROR('Price History'!E3+(INDEX('Price History'!E:E,MATCH(9.99E+307,'Price History'!$A:$A))-'Price History'!E3)*(ROW()-3)/(MATCH(9.99E+307,'Returns (Calc)'!$A:$A)-3),"")</f>
        <v>77.3584905660377</v>
      </c>
      <c r="AA12" s="145" t="n">
        <f aca="false">IFERROR('Price History'!F3+(INDEX('Price History'!F:F,MATCH(9.99E+307,'Price History'!$A:$A))-'Price History'!F3)*(ROW()-3)/(MATCH(9.99E+307,'Returns (Calc)'!$A:$A)-3),"")</f>
        <v>71.0471698113208</v>
      </c>
      <c r="AB12" s="145" t="n">
        <f aca="false">IFERROR('Price History'!G3+(INDEX('Price History'!G:G,MATCH(9.99E+307,'Price History'!$A:$A))-'Price History'!G3)*(ROW()-3)/(MATCH(9.99E+307,'Returns (Calc)'!$A:$A)-3),"")</f>
        <v>39.0188679245283</v>
      </c>
      <c r="AC12" s="145" t="n">
        <f aca="false">IFERROR('Price History'!H3+(INDEX('Price History'!H:H,MATCH(9.99E+307,'Price History'!$A:$A))-'Price History'!H3)*(ROW()-3)/(MATCH(9.99E+307,'Returns (Calc)'!$A:$A)-3),"")</f>
        <v>94.8962264150944</v>
      </c>
      <c r="AD12" s="145" t="n">
        <f aca="false">IFERROR('Price History'!I3+(INDEX('Price History'!I:I,MATCH(9.99E+307,'Price History'!$A:$A))-'Price History'!I3)*(ROW()-3)/(MATCH(9.99E+307,'Returns (Calc)'!$A:$A)-3),"")</f>
        <v>41.8396226415094</v>
      </c>
      <c r="AE12" s="145" t="n">
        <f aca="false">IFERROR('Price History'!J3+(INDEX('Price History'!J:J,MATCH(9.99E+307,'Price History'!$A:$A))-'Price History'!J3)*(ROW()-3)/(MATCH(9.99E+307,'Returns (Calc)'!$A:$A)-3),"")</f>
        <v>65.1981132075472</v>
      </c>
      <c r="AF12" s="145" t="n">
        <f aca="false">IFERROR('Price History'!K3+(INDEX('Price History'!K:K,MATCH(9.99E+307,'Price History'!$A:$A))-'Price History'!K3)*(ROW()-3)/(MATCH(9.99E+307,'Returns (Calc)'!$A:$A)-3),"")</f>
        <v>41.2924528301887</v>
      </c>
      <c r="AG12" s="145" t="n">
        <f aca="false">IFERROR('Price History'!L3+(INDEX('Price History'!L:L,MATCH(9.99E+307,'Price History'!$A:$A))-'Price History'!L3)*(ROW()-3)/(MATCH(9.99E+307,'Returns (Calc)'!$A:$A)-3),"")</f>
        <v>105.509433962264</v>
      </c>
      <c r="AH12" s="145" t="n">
        <f aca="false">IFERROR('Price History'!M3+(INDEX('Price History'!M:M,MATCH(9.99E+307,'Price History'!$A:$A))-'Price History'!M3)*(ROW()-3)/(MATCH(9.99E+307,'Returns (Calc)'!$A:$A)-3),"")</f>
        <v>14.4622641509434</v>
      </c>
      <c r="AI12" s="145" t="n">
        <f aca="false">IFERROR('Price History'!N3+(INDEX('Price History'!N:N,MATCH(9.99E+307,'Price History'!$A:$A))-'Price History'!N3)*(ROW()-3)/(MATCH(9.99E+307,'Returns (Calc)'!$A:$A)-3),"")</f>
        <v>20.5660377358491</v>
      </c>
      <c r="AJ12" s="145" t="n">
        <f aca="false">IFERROR('Price History'!O3+(INDEX('Price History'!O:O,MATCH(9.99E+307,'Price History'!$A:$A))-'Price History'!O3)*(ROW()-3)/(MATCH(9.99E+307,'Returns (Calc)'!$A:$A)-3),"")</f>
        <v>54.3679245283019</v>
      </c>
      <c r="AK12" s="145" t="n">
        <f aca="false">IFERROR('Price History'!Q3+(INDEX('Price History'!Q:Q,MATCH(9.99E+307,'Price History'!$A:$A))-'Price History'!Q3)*(ROW()-3)/(MATCH(9.99E+307,'Returns (Calc)'!$A:$A)-3),"")</f>
        <v>222.292452830189</v>
      </c>
      <c r="AL12" s="145" t="n">
        <f aca="false">IFERROR('Price History'!R3+(INDEX('Price History'!R:R,MATCH(9.99E+307,'Price History'!$A:$A))-'Price History'!R3)*(ROW()-3)/(MATCH(9.99E+307,'Returns (Calc)'!$A:$A)-3),"")</f>
        <v>45.1132075471698</v>
      </c>
      <c r="AM12" s="145" t="n">
        <f aca="false">IFERROR('Price History'!S3+(INDEX('Price History'!S:S,MATCH(9.99E+307,'Price History'!$A:$A))-'Price History'!S3)*(ROW()-3)/(MATCH(9.99E+307,'Returns (Calc)'!$A:$A)-3),"")</f>
        <v>55.2264150943396</v>
      </c>
      <c r="AN12" s="145" t="n">
        <f aca="false">IFERROR('Price History'!T3+(INDEX('Price History'!T:T,MATCH(9.99E+307,'Price History'!$A:$A))-'Price History'!T3)*(ROW()-3)/(MATCH(9.99E+307,'Returns (Calc)'!$A:$A)-3),"")</f>
        <v>25.3867924528302</v>
      </c>
      <c r="AO12" s="146" t="n">
        <f aca="false">IFERROR('Price History'!V3+(INDEX('Price History'!V:V,MATCH(9.99E+307,'Price History'!$A:$A))-'Price History'!V3)*(ROW()-3)/(MATCH(9.99E+307,'Returns (Calc)'!$A:$A)-3),"")</f>
        <v>0</v>
      </c>
    </row>
    <row r="13" customFormat="false" ht="15" hidden="false" customHeight="true" outlineLevel="0" collapsed="false">
      <c r="A13" s="142" t="n">
        <f aca="false">IF('Price History'!A14="","",'Price History'!A14)</f>
        <v>45261</v>
      </c>
      <c r="B13" s="143" t="n">
        <f aca="false">IFERROR(IF(OR(NOT(ISNUMBER('Price History'!B14)),NOT(ISNUMBER('Price History'!B13)),'Price History'!B13=0),"",'Price History'!B14/'Price History'!B13-1),"")</f>
        <v>-0.0112361364480247</v>
      </c>
      <c r="C13" s="143" t="n">
        <f aca="false">IFERROR(IF(OR(NOT(ISNUMBER('Price History'!C14)),NOT(ISNUMBER('Price History'!C13)),'Price History'!C13=0),"",'Price History'!C14/'Price History'!C13-1),"")</f>
        <v>-0.00805860805860814</v>
      </c>
      <c r="D13" s="143" t="n">
        <f aca="false">IFERROR(IF(OR(NOT(ISNUMBER('Price History'!D14)),NOT(ISNUMBER('Price History'!D13)),'Price History'!D13=0),"",'Price History'!D14/'Price History'!D13-1),"")</f>
        <v>0.00147942125040679</v>
      </c>
      <c r="E13" s="143" t="n">
        <f aca="false">IFERROR(IF(OR(NOT(ISNUMBER('Price History'!E14)),NOT(ISNUMBER('Price History'!E13)),'Price History'!E13=0),"",'Price History'!E14/'Price History'!E13-1),"")</f>
        <v>-0.0499155761924863</v>
      </c>
      <c r="F13" s="143" t="n">
        <f aca="false">IFERROR(IF(OR(NOT(ISNUMBER('Price History'!F14)),NOT(ISNUMBER('Price History'!F13)),'Price History'!F13=0),"",'Price History'!F14/'Price History'!F13-1),"")</f>
        <v>0.0334947010336253</v>
      </c>
      <c r="G13" s="143" t="n">
        <f aca="false">IFERROR(IF(OR(NOT(ISNUMBER('Price History'!G14)),NOT(ISNUMBER('Price History'!G13)),'Price History'!G13=0),"",'Price History'!G14/'Price History'!G13-1),"")</f>
        <v>0.115625593316879</v>
      </c>
      <c r="H13" s="143" t="n">
        <f aca="false">IFERROR(IF(OR(NOT(ISNUMBER('Price History'!H14)),NOT(ISNUMBER('Price History'!H13)),'Price History'!H13=0),"",'Price History'!H14/'Price History'!H13-1),"")</f>
        <v>0.0292903875188728</v>
      </c>
      <c r="I13" s="143" t="n">
        <f aca="false">IFERROR(IF(OR(NOT(ISNUMBER('Price History'!I14)),NOT(ISNUMBER('Price History'!I13)),'Price History'!I13=0),"",'Price History'!I14/'Price History'!I13-1),"")</f>
        <v>-0.0119463333945966</v>
      </c>
      <c r="J13" s="143" t="n">
        <f aca="false">IFERROR(IF(OR(NOT(ISNUMBER('Price History'!J14)),NOT(ISNUMBER('Price History'!J13)),'Price History'!J13=0),"",'Price History'!J14/'Price History'!J13-1),"")</f>
        <v>-0.0122127380170717</v>
      </c>
      <c r="K13" s="143" t="n">
        <f aca="false">IFERROR(IF(OR(NOT(ISNUMBER('Price History'!K14)),NOT(ISNUMBER('Price History'!K13)),'Price History'!K13=0),"",'Price History'!K14/'Price History'!K13-1),"")</f>
        <v>-0.0209951711106445</v>
      </c>
      <c r="L13" s="143" t="n">
        <f aca="false">IFERROR(IF(OR(NOT(ISNUMBER('Price History'!L14)),NOT(ISNUMBER('Price History'!L13)),'Price History'!L13=0),"",'Price History'!L14/'Price History'!L13-1),"")</f>
        <v>0.0558560330415971</v>
      </c>
      <c r="M13" s="143" t="n">
        <f aca="false">IFERROR(IF(OR(NOT(ISNUMBER('Price History'!M14)),NOT(ISNUMBER('Price History'!M13)),'Price History'!M13=0),"",'Price History'!M14/'Price History'!M13-1),"")</f>
        <v>0.0557291666666666</v>
      </c>
      <c r="N13" s="143" t="n">
        <f aca="false">IFERROR(IF(OR(NOT(ISNUMBER('Price History'!N14)),NOT(ISNUMBER('Price History'!N13)),'Price History'!N13=0),"",'Price History'!N14/'Price History'!N13-1),"")</f>
        <v>0.0186480186480187</v>
      </c>
      <c r="O13" s="143" t="n">
        <f aca="false">IFERROR(IF(OR(NOT(ISNUMBER('Price History'!O14)),NOT(ISNUMBER('Price History'!O13)),'Price History'!O13=0),"",'Price History'!O14/'Price History'!O13-1),"")</f>
        <v>-0.0021416803953872</v>
      </c>
      <c r="P13" s="143" t="n">
        <f aca="false">IFERROR(IF(OR(NOT(ISNUMBER('Price History'!P14)),NOT(ISNUMBER('Price History'!P13)),'Price History'!P13=0),"",'Price History'!P14/'Price History'!P13-1),"")</f>
        <v>0.00734042553191494</v>
      </c>
      <c r="Q13" s="143" t="n">
        <f aca="false">IFERROR(IF(OR(NOT(ISNUMBER('Price History'!Q14)),NOT(ISNUMBER('Price History'!Q13)),'Price History'!Q13=0),"",'Price History'!Q14/'Price History'!Q13-1),"")</f>
        <v>0.00843034925732633</v>
      </c>
      <c r="R13" s="143" t="n">
        <f aca="false">IFERROR(IF(OR(NOT(ISNUMBER('Price History'!R14)),NOT(ISNUMBER('Price History'!R13)),'Price History'!R13=0),"",'Price History'!R14/'Price History'!R13-1),"")</f>
        <v>-0.0207253886010363</v>
      </c>
      <c r="S13" s="143" t="n">
        <f aca="false">IFERROR(IF(OR(NOT(ISNUMBER('Price History'!S14)),NOT(ISNUMBER('Price History'!S13)),'Price History'!S13=0),"",'Price History'!S14/'Price History'!S13-1),"")</f>
        <v>-0.0201555869872702</v>
      </c>
      <c r="T13" s="143" t="n">
        <f aca="false">IFERROR(IF(OR(NOT(ISNUMBER('Price History'!T14)),NOT(ISNUMBER('Price History'!T13)),'Price History'!T13=0),"",'Price History'!T14/'Price History'!T13-1),"")</f>
        <v>-0.0329411764705883</v>
      </c>
      <c r="U13" s="143" t="str">
        <f aca="false">IFERROR(IF(OR(NOT(ISNUMBER('Price History'!U14)),NOT(ISNUMBER('Price History'!U13)),'Price History'!U13=0),"",'Price History'!U14/'Price History'!U13-1),"")</f>
        <v/>
      </c>
      <c r="V13" s="144" t="n">
        <f aca="false">IFERROR(IF(OR(NOT(ISNUMBER('Price History'!V14)),NOT(ISNUMBER('Price History'!V13)),'Price History'!V13=0),"",'Price History'!V14/'Price History'!V13-1),"")</f>
        <v>-0.0176223040504998</v>
      </c>
      <c r="W13" s="145" t="str">
        <f aca="false">IFERROR('Price History'!B3+(INDEX('Price History'!B:B,MATCH(9.99E+307,'Price History'!$A:$A))-'Price History'!B3)*(ROW()-3)/(MATCH(9.99E+307,'Returns (Calc)'!$A:$A)-3),"")</f>
        <v/>
      </c>
      <c r="X13" s="145" t="n">
        <f aca="false">IFERROR('Price History'!C3+(INDEX('Price History'!C:C,MATCH(9.99E+307,'Price History'!$A:$A))-'Price History'!C3)*(ROW()-3)/(MATCH(9.99E+307,'Returns (Calc)'!$A:$A)-3),"")</f>
        <v>43.2755974842767</v>
      </c>
      <c r="Y13" s="145" t="n">
        <f aca="false">IFERROR('Price History'!D3+(INDEX('Price History'!D:D,MATCH(9.99E+307,'Price History'!$A:$A))-'Price History'!D3)*(ROW()-3)/(MATCH(9.99E+307,'Returns (Calc)'!$A:$A)-3),"")</f>
        <v>545.405597484277</v>
      </c>
      <c r="Z13" s="145" t="n">
        <f aca="false">IFERROR('Price History'!E3+(INDEX('Price History'!E:E,MATCH(9.99E+307,'Price History'!$A:$A))-'Price History'!E3)*(ROW()-3)/(MATCH(9.99E+307,'Returns (Calc)'!$A:$A)-3),"")</f>
        <v>76.8427672955975</v>
      </c>
      <c r="AA13" s="145" t="n">
        <f aca="false">IFERROR('Price History'!F3+(INDEX('Price History'!F:F,MATCH(9.99E+307,'Price History'!$A:$A))-'Price History'!F3)*(ROW()-3)/(MATCH(9.99E+307,'Returns (Calc)'!$A:$A)-3),"")</f>
        <v>70.5735220125786</v>
      </c>
      <c r="AB13" s="145" t="n">
        <f aca="false">IFERROR('Price History'!G3+(INDEX('Price History'!G:G,MATCH(9.99E+307,'Price History'!$A:$A))-'Price History'!G3)*(ROW()-3)/(MATCH(9.99E+307,'Returns (Calc)'!$A:$A)-3),"")</f>
        <v>38.7587421383648</v>
      </c>
      <c r="AC13" s="145" t="n">
        <f aca="false">IFERROR('Price History'!H3+(INDEX('Price History'!H:H,MATCH(9.99E+307,'Price History'!$A:$A))-'Price History'!H3)*(ROW()-3)/(MATCH(9.99E+307,'Returns (Calc)'!$A:$A)-3),"")</f>
        <v>94.2635849056604</v>
      </c>
      <c r="AD13" s="145" t="n">
        <f aca="false">IFERROR('Price History'!I3+(INDEX('Price History'!I:I,MATCH(9.99E+307,'Price History'!$A:$A))-'Price History'!I3)*(ROW()-3)/(MATCH(9.99E+307,'Returns (Calc)'!$A:$A)-3),"")</f>
        <v>41.5606918238994</v>
      </c>
      <c r="AE13" s="145" t="n">
        <f aca="false">IFERROR('Price History'!J3+(INDEX('Price History'!J:J,MATCH(9.99E+307,'Price History'!$A:$A))-'Price History'!J3)*(ROW()-3)/(MATCH(9.99E+307,'Returns (Calc)'!$A:$A)-3),"")</f>
        <v>64.7634591194969</v>
      </c>
      <c r="AF13" s="145" t="n">
        <f aca="false">IFERROR('Price History'!K3+(INDEX('Price History'!K:K,MATCH(9.99E+307,'Price History'!$A:$A))-'Price History'!K3)*(ROW()-3)/(MATCH(9.99E+307,'Returns (Calc)'!$A:$A)-3),"")</f>
        <v>41.0171698113208</v>
      </c>
      <c r="AG13" s="145" t="n">
        <f aca="false">IFERROR('Price History'!L3+(INDEX('Price History'!L:L,MATCH(9.99E+307,'Price History'!$A:$A))-'Price History'!L3)*(ROW()-3)/(MATCH(9.99E+307,'Returns (Calc)'!$A:$A)-3),"")</f>
        <v>104.806037735849</v>
      </c>
      <c r="AH13" s="145" t="n">
        <f aca="false">IFERROR('Price History'!M3+(INDEX('Price History'!M:M,MATCH(9.99E+307,'Price History'!$A:$A))-'Price History'!M3)*(ROW()-3)/(MATCH(9.99E+307,'Returns (Calc)'!$A:$A)-3),"")</f>
        <v>14.3658490566038</v>
      </c>
      <c r="AI13" s="145" t="n">
        <f aca="false">IFERROR('Price History'!N3+(INDEX('Price History'!N:N,MATCH(9.99E+307,'Price History'!$A:$A))-'Price History'!N3)*(ROW()-3)/(MATCH(9.99E+307,'Returns (Calc)'!$A:$A)-3),"")</f>
        <v>20.4289308176101</v>
      </c>
      <c r="AJ13" s="145" t="n">
        <f aca="false">IFERROR('Price History'!O3+(INDEX('Price History'!O:O,MATCH(9.99E+307,'Price History'!$A:$A))-'Price History'!O3)*(ROW()-3)/(MATCH(9.99E+307,'Returns (Calc)'!$A:$A)-3),"")</f>
        <v>54.0054716981132</v>
      </c>
      <c r="AK13" s="145" t="n">
        <f aca="false">IFERROR('Price History'!Q3+(INDEX('Price History'!Q:Q,MATCH(9.99E+307,'Price History'!$A:$A))-'Price History'!Q3)*(ROW()-3)/(MATCH(9.99E+307,'Returns (Calc)'!$A:$A)-3),"")</f>
        <v>220.810503144654</v>
      </c>
      <c r="AL13" s="145" t="n">
        <f aca="false">IFERROR('Price History'!R3+(INDEX('Price History'!R:R,MATCH(9.99E+307,'Price History'!$A:$A))-'Price History'!R3)*(ROW()-3)/(MATCH(9.99E+307,'Returns (Calc)'!$A:$A)-3),"")</f>
        <v>44.8124528301887</v>
      </c>
      <c r="AM13" s="145" t="n">
        <f aca="false">IFERROR('Price History'!S3+(INDEX('Price History'!S:S,MATCH(9.99E+307,'Price History'!$A:$A))-'Price History'!S3)*(ROW()-3)/(MATCH(9.99E+307,'Returns (Calc)'!$A:$A)-3),"")</f>
        <v>54.8582389937107</v>
      </c>
      <c r="AN13" s="145" t="n">
        <f aca="false">IFERROR('Price History'!T3+(INDEX('Price History'!T:T,MATCH(9.99E+307,'Price History'!$A:$A))-'Price History'!T3)*(ROW()-3)/(MATCH(9.99E+307,'Returns (Calc)'!$A:$A)-3),"")</f>
        <v>25.2175471698113</v>
      </c>
      <c r="AO13" s="146" t="n">
        <f aca="false">IFERROR('Price History'!V3+(INDEX('Price History'!V:V,MATCH(9.99E+307,'Price History'!$A:$A))-'Price History'!V3)*(ROW()-3)/(MATCH(9.99E+307,'Returns (Calc)'!$A:$A)-3),"")</f>
        <v>0</v>
      </c>
    </row>
    <row r="14" customFormat="false" ht="15" hidden="false" customHeight="true" outlineLevel="0" collapsed="false">
      <c r="A14" s="142" t="n">
        <f aca="false">IF('Price History'!A15="","",'Price History'!A15)</f>
        <v>45268</v>
      </c>
      <c r="B14" s="143" t="n">
        <f aca="false">IFERROR(IF(OR(NOT(ISNUMBER('Price History'!B15)),NOT(ISNUMBER('Price History'!B14)),'Price History'!B14=0),"",'Price History'!B15/'Price History'!B14-1),"")</f>
        <v>-0.00401652325828206</v>
      </c>
      <c r="C14" s="143" t="n">
        <f aca="false">IFERROR(IF(OR(NOT(ISNUMBER('Price History'!C15)),NOT(ISNUMBER('Price History'!C14)),'Price History'!C14=0),"",'Price History'!C15/'Price History'!C14-1),"")</f>
        <v>0.0341580502215657</v>
      </c>
      <c r="D14" s="143" t="n">
        <f aca="false">IFERROR(IF(OR(NOT(ISNUMBER('Price History'!D15)),NOT(ISNUMBER('Price History'!D14)),'Price History'!D14=0),"",'Price History'!D15/'Price History'!D14-1),"")</f>
        <v>0.00610098383904045</v>
      </c>
      <c r="E14" s="143" t="n">
        <f aca="false">IFERROR(IF(OR(NOT(ISNUMBER('Price History'!E15)),NOT(ISNUMBER('Price History'!E14)),'Price History'!E14=0),"",'Price History'!E15/'Price History'!E14-1),"")</f>
        <v>0.0153282239253583</v>
      </c>
      <c r="F14" s="143" t="n">
        <f aca="false">IFERROR(IF(OR(NOT(ISNUMBER('Price History'!F15)),NOT(ISNUMBER('Price History'!F14)),'Price History'!F14=0),"",'Price History'!F15/'Price History'!F14-1),"")</f>
        <v>0.00835548803646047</v>
      </c>
      <c r="G14" s="143" t="n">
        <f aca="false">IFERROR(IF(OR(NOT(ISNUMBER('Price History'!G15)),NOT(ISNUMBER('Price History'!G14)),'Price History'!G14=0),"",'Price History'!G15/'Price History'!G14-1),"")</f>
        <v>0.0319945541184479</v>
      </c>
      <c r="H14" s="143" t="n">
        <f aca="false">IFERROR(IF(OR(NOT(ISNUMBER('Price History'!H15)),NOT(ISNUMBER('Price History'!H14)),'Price History'!H14=0),"",'Price History'!H15/'Price History'!H14-1),"")</f>
        <v>0.00215137883825545</v>
      </c>
      <c r="I14" s="143" t="n">
        <f aca="false">IFERROR(IF(OR(NOT(ISNUMBER('Price History'!I15)),NOT(ISNUMBER('Price History'!I14)),'Price History'!I14=0),"",'Price History'!I15/'Price History'!I14-1),"")</f>
        <v>-0.0265997023809523</v>
      </c>
      <c r="J14" s="143" t="n">
        <f aca="false">IFERROR(IF(OR(NOT(ISNUMBER('Price History'!J15)),NOT(ISNUMBER('Price History'!J14)),'Price History'!J14=0),"",'Price History'!J15/'Price History'!J14-1),"")</f>
        <v>-0.0127625631480989</v>
      </c>
      <c r="K14" s="143" t="n">
        <f aca="false">IFERROR(IF(OR(NOT(ISNUMBER('Price History'!K15)),NOT(ISNUMBER('Price History'!K14)),'Price History'!K14=0),"",'Price History'!K15/'Price History'!K14-1),"")</f>
        <v>0.0158696118378725</v>
      </c>
      <c r="L14" s="143" t="n">
        <f aca="false">IFERROR(IF(OR(NOT(ISNUMBER('Price History'!L15)),NOT(ISNUMBER('Price History'!L14)),'Price History'!L14=0),"",'Price History'!L15/'Price History'!L14-1),"")</f>
        <v>0.0135047033622053</v>
      </c>
      <c r="M14" s="143" t="n">
        <f aca="false">IFERROR(IF(OR(NOT(ISNUMBER('Price History'!M15)),NOT(ISNUMBER('Price History'!M14)),'Price History'!M14=0),"",'Price History'!M15/'Price History'!M14-1),"")</f>
        <v>-0.123334977799704</v>
      </c>
      <c r="N14" s="143" t="n">
        <f aca="false">IFERROR(IF(OR(NOT(ISNUMBER('Price History'!N15)),NOT(ISNUMBER('Price History'!N14)),'Price History'!N14=0),"",'Price History'!N15/'Price History'!N14-1),"")</f>
        <v>0.0018306636155605</v>
      </c>
      <c r="O14" s="143" t="n">
        <f aca="false">IFERROR(IF(OR(NOT(ISNUMBER('Price History'!O15)),NOT(ISNUMBER('Price History'!O14)),'Price History'!O14=0),"",'Price History'!O15/'Price History'!O14-1),"")</f>
        <v>0.00363216113587583</v>
      </c>
      <c r="P14" s="143" t="n">
        <f aca="false">IFERROR(IF(OR(NOT(ISNUMBER('Price History'!P15)),NOT(ISNUMBER('Price History'!P14)),'Price History'!P14=0),"",'Price History'!P15/'Price History'!P14-1),"")</f>
        <v>0.0182701446826488</v>
      </c>
      <c r="Q14" s="143" t="n">
        <f aca="false">IFERROR(IF(OR(NOT(ISNUMBER('Price History'!Q15)),NOT(ISNUMBER('Price History'!Q14)),'Price History'!Q14=0),"",'Price History'!Q15/'Price History'!Q14-1),"")</f>
        <v>-0.00274681528662424</v>
      </c>
      <c r="R14" s="143" t="n">
        <f aca="false">IFERROR(IF(OR(NOT(ISNUMBER('Price History'!R15)),NOT(ISNUMBER('Price History'!R14)),'Price History'!R14=0),"",'Price History'!R15/'Price History'!R14-1),"")</f>
        <v>0.0476190476190477</v>
      </c>
      <c r="S14" s="143" t="n">
        <f aca="false">IFERROR(IF(OR(NOT(ISNUMBER('Price History'!S15)),NOT(ISNUMBER('Price History'!S14)),'Price History'!S14=0),"",'Price History'!S15/'Price History'!S14-1),"")</f>
        <v>0.0582822085889569</v>
      </c>
      <c r="T14" s="143" t="n">
        <f aca="false">IFERROR(IF(OR(NOT(ISNUMBER('Price History'!T15)),NOT(ISNUMBER('Price History'!T14)),'Price History'!T14=0),"",'Price History'!T15/'Price History'!T14-1),"")</f>
        <v>0.0587996755879967</v>
      </c>
      <c r="U14" s="143" t="str">
        <f aca="false">IFERROR(IF(OR(NOT(ISNUMBER('Price History'!U15)),NOT(ISNUMBER('Price History'!U14)),'Price History'!U14=0),"",'Price History'!U15/'Price History'!U14-1),"")</f>
        <v/>
      </c>
      <c r="V14" s="144" t="n">
        <f aca="false">IFERROR(IF(OR(NOT(ISNUMBER('Price History'!V15)),NOT(ISNUMBER('Price History'!V14)),'Price History'!V14=0),"",'Price History'!V15/'Price History'!V14-1),"")</f>
        <v>0.062516733601071</v>
      </c>
      <c r="W14" s="145" t="str">
        <f aca="false">IFERROR('Price History'!B3+(INDEX('Price History'!B:B,MATCH(9.99E+307,'Price History'!$A:$A))-'Price History'!B3)*(ROW()-3)/(MATCH(9.99E+307,'Returns (Calc)'!$A:$A)-3),"")</f>
        <v/>
      </c>
      <c r="X14" s="145" t="n">
        <f aca="false">IFERROR('Price History'!C3+(INDEX('Price History'!C:C,MATCH(9.99E+307,'Price History'!$A:$A))-'Price History'!C3)*(ROW()-3)/(MATCH(9.99E+307,'Returns (Calc)'!$A:$A)-3),"")</f>
        <v>42.9851572327044</v>
      </c>
      <c r="Y14" s="145" t="n">
        <f aca="false">IFERROR('Price History'!D3+(INDEX('Price History'!D:D,MATCH(9.99E+307,'Price History'!$A:$A))-'Price History'!D3)*(ROW()-3)/(MATCH(9.99E+307,'Returns (Calc)'!$A:$A)-3),"")</f>
        <v>541.745157232704</v>
      </c>
      <c r="Z14" s="145" t="n">
        <f aca="false">IFERROR('Price History'!E3+(INDEX('Price History'!E:E,MATCH(9.99E+307,'Price History'!$A:$A))-'Price History'!E3)*(ROW()-3)/(MATCH(9.99E+307,'Returns (Calc)'!$A:$A)-3),"")</f>
        <v>76.3270440251572</v>
      </c>
      <c r="AA14" s="145" t="n">
        <f aca="false">IFERROR('Price History'!F3+(INDEX('Price History'!F:F,MATCH(9.99E+307,'Price History'!$A:$A))-'Price History'!F3)*(ROW()-3)/(MATCH(9.99E+307,'Returns (Calc)'!$A:$A)-3),"")</f>
        <v>70.0998742138365</v>
      </c>
      <c r="AB14" s="145" t="n">
        <f aca="false">IFERROR('Price History'!G3+(INDEX('Price History'!G:G,MATCH(9.99E+307,'Price History'!$A:$A))-'Price History'!G3)*(ROW()-3)/(MATCH(9.99E+307,'Returns (Calc)'!$A:$A)-3),"")</f>
        <v>38.4986163522013</v>
      </c>
      <c r="AC14" s="145" t="n">
        <f aca="false">IFERROR('Price History'!H3+(INDEX('Price History'!H:H,MATCH(9.99E+307,'Price History'!$A:$A))-'Price History'!H3)*(ROW()-3)/(MATCH(9.99E+307,'Returns (Calc)'!$A:$A)-3),"")</f>
        <v>93.6309433962264</v>
      </c>
      <c r="AD14" s="145" t="n">
        <f aca="false">IFERROR('Price History'!I3+(INDEX('Price History'!I:I,MATCH(9.99E+307,'Price History'!$A:$A))-'Price History'!I3)*(ROW()-3)/(MATCH(9.99E+307,'Returns (Calc)'!$A:$A)-3),"")</f>
        <v>41.2817610062893</v>
      </c>
      <c r="AE14" s="145" t="n">
        <f aca="false">IFERROR('Price History'!J3+(INDEX('Price History'!J:J,MATCH(9.99E+307,'Price History'!$A:$A))-'Price History'!J3)*(ROW()-3)/(MATCH(9.99E+307,'Returns (Calc)'!$A:$A)-3),"")</f>
        <v>64.3288050314465</v>
      </c>
      <c r="AF14" s="145" t="n">
        <f aca="false">IFERROR('Price History'!K3+(INDEX('Price History'!K:K,MATCH(9.99E+307,'Price History'!$A:$A))-'Price History'!K3)*(ROW()-3)/(MATCH(9.99E+307,'Returns (Calc)'!$A:$A)-3),"")</f>
        <v>40.7418867924528</v>
      </c>
      <c r="AG14" s="145" t="n">
        <f aca="false">IFERROR('Price History'!L3+(INDEX('Price History'!L:L,MATCH(9.99E+307,'Price History'!$A:$A))-'Price History'!L3)*(ROW()-3)/(MATCH(9.99E+307,'Returns (Calc)'!$A:$A)-3),"")</f>
        <v>104.102641509434</v>
      </c>
      <c r="AH14" s="145" t="n">
        <f aca="false">IFERROR('Price History'!M3+(INDEX('Price History'!M:M,MATCH(9.99E+307,'Price History'!$A:$A))-'Price History'!M3)*(ROW()-3)/(MATCH(9.99E+307,'Returns (Calc)'!$A:$A)-3),"")</f>
        <v>14.2694339622642</v>
      </c>
      <c r="AI14" s="145" t="n">
        <f aca="false">IFERROR('Price History'!N3+(INDEX('Price History'!N:N,MATCH(9.99E+307,'Price History'!$A:$A))-'Price History'!N3)*(ROW()-3)/(MATCH(9.99E+307,'Returns (Calc)'!$A:$A)-3),"")</f>
        <v>20.2918238993711</v>
      </c>
      <c r="AJ14" s="145" t="n">
        <f aca="false">IFERROR('Price History'!O3+(INDEX('Price History'!O:O,MATCH(9.99E+307,'Price History'!$A:$A))-'Price History'!O3)*(ROW()-3)/(MATCH(9.99E+307,'Returns (Calc)'!$A:$A)-3),"")</f>
        <v>53.6430188679245</v>
      </c>
      <c r="AK14" s="145" t="n">
        <f aca="false">IFERROR('Price History'!Q3+(INDEX('Price History'!Q:Q,MATCH(9.99E+307,'Price History'!$A:$A))-'Price History'!Q3)*(ROW()-3)/(MATCH(9.99E+307,'Returns (Calc)'!$A:$A)-3),"")</f>
        <v>219.32855345912</v>
      </c>
      <c r="AL14" s="145" t="n">
        <f aca="false">IFERROR('Price History'!R3+(INDEX('Price History'!R:R,MATCH(9.99E+307,'Price History'!$A:$A))-'Price History'!R3)*(ROW()-3)/(MATCH(9.99E+307,'Returns (Calc)'!$A:$A)-3),"")</f>
        <v>44.5116981132076</v>
      </c>
      <c r="AM14" s="145" t="n">
        <f aca="false">IFERROR('Price History'!S3+(INDEX('Price History'!S:S,MATCH(9.99E+307,'Price History'!$A:$A))-'Price History'!S3)*(ROW()-3)/(MATCH(9.99E+307,'Returns (Calc)'!$A:$A)-3),"")</f>
        <v>54.4900628930818</v>
      </c>
      <c r="AN14" s="145" t="n">
        <f aca="false">IFERROR('Price History'!T3+(INDEX('Price History'!T:T,MATCH(9.99E+307,'Price History'!$A:$A))-'Price History'!T3)*(ROW()-3)/(MATCH(9.99E+307,'Returns (Calc)'!$A:$A)-3),"")</f>
        <v>25.0483018867925</v>
      </c>
      <c r="AO14" s="146" t="n">
        <f aca="false">IFERROR('Price History'!V3+(INDEX('Price History'!V:V,MATCH(9.99E+307,'Price History'!$A:$A))-'Price History'!V3)*(ROW()-3)/(MATCH(9.99E+307,'Returns (Calc)'!$A:$A)-3),"")</f>
        <v>0</v>
      </c>
    </row>
    <row r="15" customFormat="false" ht="15" hidden="false" customHeight="true" outlineLevel="0" collapsed="false">
      <c r="A15" s="142" t="n">
        <f aca="false">IF('Price History'!A16="","",'Price History'!A16)</f>
        <v>45275</v>
      </c>
      <c r="B15" s="143" t="n">
        <f aca="false">IFERROR(IF(OR(NOT(ISNUMBER('Price History'!B16)),NOT(ISNUMBER('Price History'!B15)),'Price History'!B15=0),"",'Price History'!B16/'Price History'!B15-1),"")</f>
        <v>-0.0415239094441076</v>
      </c>
      <c r="C15" s="143" t="n">
        <f aca="false">IFERROR(IF(OR(NOT(ISNUMBER('Price History'!C16)),NOT(ISNUMBER('Price History'!C15)),'Price History'!C15=0),"",'Price History'!C16/'Price History'!C15-1),"")</f>
        <v>0.0515979289412605</v>
      </c>
      <c r="D15" s="143" t="n">
        <f aca="false">IFERROR(IF(OR(NOT(ISNUMBER('Price History'!D16)),NOT(ISNUMBER('Price History'!D15)),'Price History'!D15=0),"",'Price History'!D16/'Price History'!D15-1),"")</f>
        <v>0.0811810827080917</v>
      </c>
      <c r="E15" s="143" t="n">
        <f aca="false">IFERROR(IF(OR(NOT(ISNUMBER('Price History'!E16)),NOT(ISNUMBER('Price History'!E15)),'Price History'!E15=0),"",'Price History'!E16/'Price History'!E15-1),"")</f>
        <v>0.1964774094738</v>
      </c>
      <c r="F15" s="143" t="n">
        <f aca="false">IFERROR(IF(OR(NOT(ISNUMBER('Price History'!F16)),NOT(ISNUMBER('Price History'!F15)),'Price History'!F15=0),"",'Price History'!F16/'Price History'!F15-1),"")</f>
        <v>0.0548650345260513</v>
      </c>
      <c r="G15" s="143" t="n">
        <f aca="false">IFERROR(IF(OR(NOT(ISNUMBER('Price History'!G16)),NOT(ISNUMBER('Price History'!G15)),'Price History'!G15=0),"",'Price History'!G16/'Price History'!G15-1),"")</f>
        <v>0.0722295514511873</v>
      </c>
      <c r="H15" s="143" t="n">
        <f aca="false">IFERROR(IF(OR(NOT(ISNUMBER('Price History'!H16)),NOT(ISNUMBER('Price History'!H15)),'Price History'!H15=0),"",'Price History'!H16/'Price History'!H15-1),"")</f>
        <v>0.0298594847775175</v>
      </c>
      <c r="I15" s="143" t="n">
        <f aca="false">IFERROR(IF(OR(NOT(ISNUMBER('Price History'!I16)),NOT(ISNUMBER('Price History'!I15)),'Price History'!I15=0),"",'Price History'!I16/'Price History'!I15-1),"")</f>
        <v>0.0947831072042806</v>
      </c>
      <c r="J15" s="143" t="n">
        <f aca="false">IFERROR(IF(OR(NOT(ISNUMBER('Price History'!J16)),NOT(ISNUMBER('Price History'!J15)),'Price History'!J15=0),"",'Price History'!J16/'Price History'!J15-1),"")</f>
        <v>0.0859143549690278</v>
      </c>
      <c r="K15" s="143" t="n">
        <f aca="false">IFERROR(IF(OR(NOT(ISNUMBER('Price History'!K16)),NOT(ISNUMBER('Price History'!K15)),'Price History'!K15=0),"",'Price History'!K16/'Price History'!K15-1),"")</f>
        <v>0.0291323622545916</v>
      </c>
      <c r="L15" s="143" t="n">
        <f aca="false">IFERROR(IF(OR(NOT(ISNUMBER('Price History'!L16)),NOT(ISNUMBER('Price History'!L15)),'Price History'!L15=0),"",'Price History'!L16/'Price History'!L15-1),"")</f>
        <v>0.127366292960853</v>
      </c>
      <c r="M15" s="143" t="n">
        <f aca="false">IFERROR(IF(OR(NOT(ISNUMBER('Price History'!M16)),NOT(ISNUMBER('Price History'!M15)),'Price History'!M15=0),"",'Price History'!M16/'Price History'!M15-1),"")</f>
        <v>0.024198086662915</v>
      </c>
      <c r="N15" s="143" t="n">
        <f aca="false">IFERROR(IF(OR(NOT(ISNUMBER('Price History'!N16)),NOT(ISNUMBER('Price History'!N15)),'Price History'!N15=0),"",'Price History'!N16/'Price History'!N15-1),"")</f>
        <v>0.0402010050251256</v>
      </c>
      <c r="O15" s="143" t="n">
        <f aca="false">IFERROR(IF(OR(NOT(ISNUMBER('Price History'!O16)),NOT(ISNUMBER('Price History'!O15)),'Price History'!O15=0),"",'Price History'!O16/'Price History'!O15-1),"")</f>
        <v>0.0342161539726928</v>
      </c>
      <c r="P15" s="143" t="n">
        <f aca="false">IFERROR(IF(OR(NOT(ISNUMBER('Price History'!P16)),NOT(ISNUMBER('Price History'!P15)),'Price History'!P15=0),"",'Price History'!P16/'Price History'!P15-1),"")</f>
        <v>0.0266542211159511</v>
      </c>
      <c r="Q15" s="143" t="n">
        <f aca="false">IFERROR(IF(OR(NOT(ISNUMBER('Price History'!Q16)),NOT(ISNUMBER('Price History'!Q15)),'Price History'!Q15=0),"",'Price History'!Q16/'Price History'!Q15-1),"")</f>
        <v>0.00894175881202353</v>
      </c>
      <c r="R15" s="143" t="n">
        <f aca="false">IFERROR(IF(OR(NOT(ISNUMBER('Price History'!R16)),NOT(ISNUMBER('Price History'!R15)),'Price History'!R15=0),"",'Price History'!R16/'Price History'!R15-1),"")</f>
        <v>0.0208333333333333</v>
      </c>
      <c r="S15" s="143" t="n">
        <f aca="false">IFERROR(IF(OR(NOT(ISNUMBER('Price History'!S16)),NOT(ISNUMBER('Price History'!S15)),'Price History'!S15=0),"",'Price History'!S16/'Price History'!S15-1),"")</f>
        <v>0.0294970161977834</v>
      </c>
      <c r="T15" s="143" t="n">
        <f aca="false">IFERROR(IF(OR(NOT(ISNUMBER('Price History'!T16)),NOT(ISNUMBER('Price History'!T15)),'Price History'!T15=0),"",'Price History'!T16/'Price History'!T15-1),"")</f>
        <v>-0.00689391037916509</v>
      </c>
      <c r="U15" s="143" t="str">
        <f aca="false">IFERROR(IF(OR(NOT(ISNUMBER('Price History'!U16)),NOT(ISNUMBER('Price History'!U15)),'Price History'!U15=0),"",'Price History'!U16/'Price History'!U15-1),"")</f>
        <v/>
      </c>
      <c r="V15" s="144" t="n">
        <f aca="false">IFERROR(IF(OR(NOT(ISNUMBER('Price History'!V16)),NOT(ISNUMBER('Price History'!V15)),'Price History'!V15=0),"",'Price History'!V16/'Price History'!V15-1),"")</f>
        <v>0.00890344798622467</v>
      </c>
      <c r="W15" s="145" t="str">
        <f aca="false">IFERROR('Price History'!B3+(INDEX('Price History'!B:B,MATCH(9.99E+307,'Price History'!$A:$A))-'Price History'!B3)*(ROW()-3)/(MATCH(9.99E+307,'Returns (Calc)'!$A:$A)-3),"")</f>
        <v/>
      </c>
      <c r="X15" s="145" t="n">
        <f aca="false">IFERROR('Price History'!C3+(INDEX('Price History'!C:C,MATCH(9.99E+307,'Price History'!$A:$A))-'Price History'!C3)*(ROW()-3)/(MATCH(9.99E+307,'Returns (Calc)'!$A:$A)-3),"")</f>
        <v>42.6947169811321</v>
      </c>
      <c r="Y15" s="145" t="n">
        <f aca="false">IFERROR('Price History'!D3+(INDEX('Price History'!D:D,MATCH(9.99E+307,'Price History'!$A:$A))-'Price History'!D3)*(ROW()-3)/(MATCH(9.99E+307,'Returns (Calc)'!$A:$A)-3),"")</f>
        <v>538.084716981132</v>
      </c>
      <c r="Z15" s="145" t="n">
        <f aca="false">IFERROR('Price History'!E3+(INDEX('Price History'!E:E,MATCH(9.99E+307,'Price History'!$A:$A))-'Price History'!E3)*(ROW()-3)/(MATCH(9.99E+307,'Returns (Calc)'!$A:$A)-3),"")</f>
        <v>75.811320754717</v>
      </c>
      <c r="AA15" s="145" t="n">
        <f aca="false">IFERROR('Price History'!F3+(INDEX('Price History'!F:F,MATCH(9.99E+307,'Price History'!$A:$A))-'Price History'!F3)*(ROW()-3)/(MATCH(9.99E+307,'Returns (Calc)'!$A:$A)-3),"")</f>
        <v>69.6262264150943</v>
      </c>
      <c r="AB15" s="145" t="n">
        <f aca="false">IFERROR('Price History'!G3+(INDEX('Price History'!G:G,MATCH(9.99E+307,'Price History'!$A:$A))-'Price History'!G3)*(ROW()-3)/(MATCH(9.99E+307,'Returns (Calc)'!$A:$A)-3),"")</f>
        <v>38.2384905660377</v>
      </c>
      <c r="AC15" s="145" t="n">
        <f aca="false">IFERROR('Price History'!H3+(INDEX('Price History'!H:H,MATCH(9.99E+307,'Price History'!$A:$A))-'Price History'!H3)*(ROW()-3)/(MATCH(9.99E+307,'Returns (Calc)'!$A:$A)-3),"")</f>
        <v>92.9983018867925</v>
      </c>
      <c r="AD15" s="145" t="n">
        <f aca="false">IFERROR('Price History'!I3+(INDEX('Price History'!I:I,MATCH(9.99E+307,'Price History'!$A:$A))-'Price History'!I3)*(ROW()-3)/(MATCH(9.99E+307,'Returns (Calc)'!$A:$A)-3),"")</f>
        <v>41.0028301886793</v>
      </c>
      <c r="AE15" s="145" t="n">
        <f aca="false">IFERROR('Price History'!J3+(INDEX('Price History'!J:J,MATCH(9.99E+307,'Price History'!$A:$A))-'Price History'!J3)*(ROW()-3)/(MATCH(9.99E+307,'Returns (Calc)'!$A:$A)-3),"")</f>
        <v>63.8941509433962</v>
      </c>
      <c r="AF15" s="145" t="n">
        <f aca="false">IFERROR('Price History'!K3+(INDEX('Price History'!K:K,MATCH(9.99E+307,'Price History'!$A:$A))-'Price History'!K3)*(ROW()-3)/(MATCH(9.99E+307,'Returns (Calc)'!$A:$A)-3),"")</f>
        <v>40.4666037735849</v>
      </c>
      <c r="AG15" s="145" t="n">
        <f aca="false">IFERROR('Price History'!L3+(INDEX('Price History'!L:L,MATCH(9.99E+307,'Price History'!$A:$A))-'Price History'!L3)*(ROW()-3)/(MATCH(9.99E+307,'Returns (Calc)'!$A:$A)-3),"")</f>
        <v>103.399245283019</v>
      </c>
      <c r="AH15" s="145" t="n">
        <f aca="false">IFERROR('Price History'!M3+(INDEX('Price History'!M:M,MATCH(9.99E+307,'Price History'!$A:$A))-'Price History'!M3)*(ROW()-3)/(MATCH(9.99E+307,'Returns (Calc)'!$A:$A)-3),"")</f>
        <v>14.1730188679245</v>
      </c>
      <c r="AI15" s="145" t="n">
        <f aca="false">IFERROR('Price History'!N3+(INDEX('Price History'!N:N,MATCH(9.99E+307,'Price History'!$A:$A))-'Price History'!N3)*(ROW()-3)/(MATCH(9.99E+307,'Returns (Calc)'!$A:$A)-3),"")</f>
        <v>20.1547169811321</v>
      </c>
      <c r="AJ15" s="145" t="n">
        <f aca="false">IFERROR('Price History'!O3+(INDEX('Price History'!O:O,MATCH(9.99E+307,'Price History'!$A:$A))-'Price History'!O3)*(ROW()-3)/(MATCH(9.99E+307,'Returns (Calc)'!$A:$A)-3),"")</f>
        <v>53.2805660377359</v>
      </c>
      <c r="AK15" s="145" t="n">
        <f aca="false">IFERROR('Price History'!Q3+(INDEX('Price History'!Q:Q,MATCH(9.99E+307,'Price History'!$A:$A))-'Price History'!Q3)*(ROW()-3)/(MATCH(9.99E+307,'Returns (Calc)'!$A:$A)-3),"")</f>
        <v>217.846603773585</v>
      </c>
      <c r="AL15" s="145" t="n">
        <f aca="false">IFERROR('Price History'!R3+(INDEX('Price History'!R:R,MATCH(9.99E+307,'Price History'!$A:$A))-'Price History'!R3)*(ROW()-3)/(MATCH(9.99E+307,'Returns (Calc)'!$A:$A)-3),"")</f>
        <v>44.2109433962264</v>
      </c>
      <c r="AM15" s="145" t="n">
        <f aca="false">IFERROR('Price History'!S3+(INDEX('Price History'!S:S,MATCH(9.99E+307,'Price History'!$A:$A))-'Price History'!S3)*(ROW()-3)/(MATCH(9.99E+307,'Returns (Calc)'!$A:$A)-3),"")</f>
        <v>54.1218867924528</v>
      </c>
      <c r="AN15" s="145" t="n">
        <f aca="false">IFERROR('Price History'!T3+(INDEX('Price History'!T:T,MATCH(9.99E+307,'Price History'!$A:$A))-'Price History'!T3)*(ROW()-3)/(MATCH(9.99E+307,'Returns (Calc)'!$A:$A)-3),"")</f>
        <v>24.8790566037736</v>
      </c>
      <c r="AO15" s="146" t="n">
        <f aca="false">IFERROR('Price History'!V3+(INDEX('Price History'!V:V,MATCH(9.99E+307,'Price History'!$A:$A))-'Price History'!V3)*(ROW()-3)/(MATCH(9.99E+307,'Returns (Calc)'!$A:$A)-3),"")</f>
        <v>0</v>
      </c>
    </row>
    <row r="16" customFormat="false" ht="15" hidden="false" customHeight="true" outlineLevel="0" collapsed="false">
      <c r="A16" s="142" t="n">
        <f aca="false">IF('Price History'!A17="","",'Price History'!A17)</f>
        <v>45282</v>
      </c>
      <c r="B16" s="143" t="n">
        <f aca="false">IFERROR(IF(OR(NOT(ISNUMBER('Price History'!B17)),NOT(ISNUMBER('Price History'!B16)),'Price History'!B16=0),"",'Price History'!B17/'Price History'!B16-1),"")</f>
        <v>0.0240644455086545</v>
      </c>
      <c r="C16" s="143" t="n">
        <f aca="false">IFERROR(IF(OR(NOT(ISNUMBER('Price History'!C17)),NOT(ISNUMBER('Price History'!C16)),'Price History'!C16=0),"",'Price History'!C17/'Price History'!C16-1),"")</f>
        <v>0.0112054329371818</v>
      </c>
      <c r="D16" s="143" t="n">
        <f aca="false">IFERROR(IF(OR(NOT(ISNUMBER('Price History'!D17)),NOT(ISNUMBER('Price History'!D16)),'Price History'!D16=0),"",'Price History'!D17/'Price History'!D16-1),"")</f>
        <v>-0.000570373187028017</v>
      </c>
      <c r="E16" s="143" t="n">
        <f aca="false">IFERROR(IF(OR(NOT(ISNUMBER('Price History'!E17)),NOT(ISNUMBER('Price History'!E16)),'Price History'!E16=0),"",'Price History'!E17/'Price History'!E16-1),"")</f>
        <v>-0.00237725153149859</v>
      </c>
      <c r="F16" s="143" t="n">
        <f aca="false">IFERROR(IF(OR(NOT(ISNUMBER('Price History'!F17)),NOT(ISNUMBER('Price History'!F16)),'Price History'!F16=0),"",'Price History'!F17/'Price History'!F16-1),"")</f>
        <v>0.0277314925017853</v>
      </c>
      <c r="G16" s="143" t="n">
        <f aca="false">IFERROR(IF(OR(NOT(ISNUMBER('Price History'!G17)),NOT(ISNUMBER('Price History'!G16)),'Price History'!G16=0),"",'Price History'!G17/'Price History'!G16-1),"")</f>
        <v>-0.0170716702553061</v>
      </c>
      <c r="H16" s="143" t="n">
        <f aca="false">IFERROR(IF(OR(NOT(ISNUMBER('Price History'!H17)),NOT(ISNUMBER('Price History'!H16)),'Price History'!H16=0),"",'Price History'!H17/'Price History'!H16-1),"")</f>
        <v>0.00265302255069155</v>
      </c>
      <c r="I16" s="143" t="n">
        <f aca="false">IFERROR(IF(OR(NOT(ISNUMBER('Price History'!I17)),NOT(ISNUMBER('Price History'!I16)),'Price History'!I16=0),"",'Price History'!I17/'Price History'!I16-1),"")</f>
        <v>-0.00418921277709905</v>
      </c>
      <c r="J16" s="143" t="n">
        <f aca="false">IFERROR(IF(OR(NOT(ISNUMBER('Price History'!J17)),NOT(ISNUMBER('Price History'!J16)),'Price History'!J16=0),"",'Price History'!J17/'Price History'!J16-1),"")</f>
        <v>0.0625</v>
      </c>
      <c r="K16" s="143" t="n">
        <f aca="false">IFERROR(IF(OR(NOT(ISNUMBER('Price History'!K17)),NOT(ISNUMBER('Price History'!K16)),'Price History'!K16=0),"",'Price History'!K17/'Price History'!K16-1),"")</f>
        <v>-0.00123076923076926</v>
      </c>
      <c r="L16" s="143" t="n">
        <f aca="false">IFERROR(IF(OR(NOT(ISNUMBER('Price History'!L17)),NOT(ISNUMBER('Price History'!L16)),'Price History'!L16=0),"",'Price History'!L17/'Price History'!L16-1),"")</f>
        <v>-0.013857189435931</v>
      </c>
      <c r="M16" s="143" t="n">
        <f aca="false">IFERROR(IF(OR(NOT(ISNUMBER('Price History'!M17)),NOT(ISNUMBER('Price History'!M16)),'Price History'!M16=0),"",'Price History'!M17/'Price History'!M16-1),"")</f>
        <v>-0.0434065934065934</v>
      </c>
      <c r="N16" s="143" t="n">
        <f aca="false">IFERROR(IF(OR(NOT(ISNUMBER('Price History'!N17)),NOT(ISNUMBER('Price History'!N16)),'Price History'!N16=0),"",'Price History'!N17/'Price History'!N16-1),"")</f>
        <v>0.00527009222661401</v>
      </c>
      <c r="O16" s="143" t="n">
        <f aca="false">IFERROR(IF(OR(NOT(ISNUMBER('Price History'!O17)),NOT(ISNUMBER('Price History'!O16)),'Price History'!O16=0),"",'Price History'!O17/'Price History'!O16-1),"")</f>
        <v>0.014951487195801</v>
      </c>
      <c r="P16" s="143" t="n">
        <f aca="false">IFERROR(IF(OR(NOT(ISNUMBER('Price History'!P17)),NOT(ISNUMBER('Price History'!P16)),'Price History'!P16=0),"",'Price History'!P17/'Price History'!P16-1),"")</f>
        <v>0.00585917769471656</v>
      </c>
      <c r="Q16" s="143" t="n">
        <f aca="false">IFERROR(IF(OR(NOT(ISNUMBER('Price History'!Q17)),NOT(ISNUMBER('Price History'!Q16)),'Price History'!Q16=0),"",'Price History'!Q17/'Price History'!Q16-1),"")</f>
        <v>0.0015430267062313</v>
      </c>
      <c r="R16" s="143" t="n">
        <f aca="false">IFERROR(IF(OR(NOT(ISNUMBER('Price History'!R17)),NOT(ISNUMBER('Price History'!R16)),'Price History'!R16=0),"",'Price History'!R17/'Price History'!R16-1),"")</f>
        <v>0.00948258091115228</v>
      </c>
      <c r="S16" s="143" t="n">
        <f aca="false">IFERROR(IF(OR(NOT(ISNUMBER('Price History'!S17)),NOT(ISNUMBER('Price History'!S16)),'Price History'!S16=0),"",'Price History'!S17/'Price History'!S16-1),"")</f>
        <v>0.0216959258032461</v>
      </c>
      <c r="T16" s="143" t="n">
        <f aca="false">IFERROR(IF(OR(NOT(ISNUMBER('Price History'!T17)),NOT(ISNUMBER('Price History'!T16)),'Price History'!T16=0),"",'Price History'!T17/'Price History'!T16-1),"")</f>
        <v>0.0254531430775165</v>
      </c>
      <c r="U16" s="143" t="str">
        <f aca="false">IFERROR(IF(OR(NOT(ISNUMBER('Price History'!U17)),NOT(ISNUMBER('Price History'!U16)),'Price History'!U16=0),"",'Price History'!U17/'Price History'!U16-1),"")</f>
        <v/>
      </c>
      <c r="V16" s="144" t="n">
        <f aca="false">IFERROR(IF(OR(NOT(ISNUMBER('Price History'!V17)),NOT(ISNUMBER('Price History'!V16)),'Price History'!V16=0),"",'Price History'!V17/'Price History'!V16-1),"")</f>
        <v>0.0175664987720101</v>
      </c>
      <c r="W16" s="145" t="str">
        <f aca="false">IFERROR('Price History'!B3+(INDEX('Price History'!B:B,MATCH(9.99E+307,'Price History'!$A:$A))-'Price History'!B3)*(ROW()-3)/(MATCH(9.99E+307,'Returns (Calc)'!$A:$A)-3),"")</f>
        <v/>
      </c>
      <c r="X16" s="145" t="n">
        <f aca="false">IFERROR('Price History'!C3+(INDEX('Price History'!C:C,MATCH(9.99E+307,'Price History'!$A:$A))-'Price History'!C3)*(ROW()-3)/(MATCH(9.99E+307,'Returns (Calc)'!$A:$A)-3),"")</f>
        <v>42.4042767295598</v>
      </c>
      <c r="Y16" s="145" t="n">
        <f aca="false">IFERROR('Price History'!D3+(INDEX('Price History'!D:D,MATCH(9.99E+307,'Price History'!$A:$A))-'Price History'!D3)*(ROW()-3)/(MATCH(9.99E+307,'Returns (Calc)'!$A:$A)-3),"")</f>
        <v>534.42427672956</v>
      </c>
      <c r="Z16" s="145" t="n">
        <f aca="false">IFERROR('Price History'!E3+(INDEX('Price History'!E:E,MATCH(9.99E+307,'Price History'!$A:$A))-'Price History'!E3)*(ROW()-3)/(MATCH(9.99E+307,'Returns (Calc)'!$A:$A)-3),"")</f>
        <v>75.2955974842767</v>
      </c>
      <c r="AA16" s="145" t="n">
        <f aca="false">IFERROR('Price History'!F3+(INDEX('Price History'!F:F,MATCH(9.99E+307,'Price History'!$A:$A))-'Price History'!F3)*(ROW()-3)/(MATCH(9.99E+307,'Returns (Calc)'!$A:$A)-3),"")</f>
        <v>69.1525786163522</v>
      </c>
      <c r="AB16" s="145" t="n">
        <f aca="false">IFERROR('Price History'!G3+(INDEX('Price History'!G:G,MATCH(9.99E+307,'Price History'!$A:$A))-'Price History'!G3)*(ROW()-3)/(MATCH(9.99E+307,'Returns (Calc)'!$A:$A)-3),"")</f>
        <v>37.9783647798742</v>
      </c>
      <c r="AC16" s="145" t="n">
        <f aca="false">IFERROR('Price History'!H3+(INDEX('Price History'!H:H,MATCH(9.99E+307,'Price History'!$A:$A))-'Price History'!H3)*(ROW()-3)/(MATCH(9.99E+307,'Returns (Calc)'!$A:$A)-3),"")</f>
        <v>92.3656603773585</v>
      </c>
      <c r="AD16" s="145" t="n">
        <f aca="false">IFERROR('Price History'!I3+(INDEX('Price History'!I:I,MATCH(9.99E+307,'Price History'!$A:$A))-'Price History'!I3)*(ROW()-3)/(MATCH(9.99E+307,'Returns (Calc)'!$A:$A)-3),"")</f>
        <v>40.7238993710692</v>
      </c>
      <c r="AE16" s="145" t="n">
        <f aca="false">IFERROR('Price History'!J3+(INDEX('Price History'!J:J,MATCH(9.99E+307,'Price History'!$A:$A))-'Price History'!J3)*(ROW()-3)/(MATCH(9.99E+307,'Returns (Calc)'!$A:$A)-3),"")</f>
        <v>63.4594968553459</v>
      </c>
      <c r="AF16" s="145" t="n">
        <f aca="false">IFERROR('Price History'!K3+(INDEX('Price History'!K:K,MATCH(9.99E+307,'Price History'!$A:$A))-'Price History'!K3)*(ROW()-3)/(MATCH(9.99E+307,'Returns (Calc)'!$A:$A)-3),"")</f>
        <v>40.191320754717</v>
      </c>
      <c r="AG16" s="145" t="n">
        <f aca="false">IFERROR('Price History'!L3+(INDEX('Price History'!L:L,MATCH(9.99E+307,'Price History'!$A:$A))-'Price History'!L3)*(ROW()-3)/(MATCH(9.99E+307,'Returns (Calc)'!$A:$A)-3),"")</f>
        <v>102.695849056604</v>
      </c>
      <c r="AH16" s="145" t="n">
        <f aca="false">IFERROR('Price History'!M3+(INDEX('Price History'!M:M,MATCH(9.99E+307,'Price History'!$A:$A))-'Price History'!M3)*(ROW()-3)/(MATCH(9.99E+307,'Returns (Calc)'!$A:$A)-3),"")</f>
        <v>14.0766037735849</v>
      </c>
      <c r="AI16" s="145" t="n">
        <f aca="false">IFERROR('Price History'!N3+(INDEX('Price History'!N:N,MATCH(9.99E+307,'Price History'!$A:$A))-'Price History'!N3)*(ROW()-3)/(MATCH(9.99E+307,'Returns (Calc)'!$A:$A)-3),"")</f>
        <v>20.0176100628931</v>
      </c>
      <c r="AJ16" s="145" t="n">
        <f aca="false">IFERROR('Price History'!O3+(INDEX('Price History'!O:O,MATCH(9.99E+307,'Price History'!$A:$A))-'Price History'!O3)*(ROW()-3)/(MATCH(9.99E+307,'Returns (Calc)'!$A:$A)-3),"")</f>
        <v>52.9181132075472</v>
      </c>
      <c r="AK16" s="145" t="n">
        <f aca="false">IFERROR('Price History'!Q3+(INDEX('Price History'!Q:Q,MATCH(9.99E+307,'Price History'!$A:$A))-'Price History'!Q3)*(ROW()-3)/(MATCH(9.99E+307,'Returns (Calc)'!$A:$A)-3),"")</f>
        <v>216.36465408805</v>
      </c>
      <c r="AL16" s="145" t="n">
        <f aca="false">IFERROR('Price History'!R3+(INDEX('Price History'!R:R,MATCH(9.99E+307,'Price History'!$A:$A))-'Price History'!R3)*(ROW()-3)/(MATCH(9.99E+307,'Returns (Calc)'!$A:$A)-3),"")</f>
        <v>43.9101886792453</v>
      </c>
      <c r="AM16" s="145" t="n">
        <f aca="false">IFERROR('Price History'!S3+(INDEX('Price History'!S:S,MATCH(9.99E+307,'Price History'!$A:$A))-'Price History'!S3)*(ROW()-3)/(MATCH(9.99E+307,'Returns (Calc)'!$A:$A)-3),"")</f>
        <v>53.7537106918239</v>
      </c>
      <c r="AN16" s="145" t="n">
        <f aca="false">IFERROR('Price History'!T3+(INDEX('Price History'!T:T,MATCH(9.99E+307,'Price History'!$A:$A))-'Price History'!T3)*(ROW()-3)/(MATCH(9.99E+307,'Returns (Calc)'!$A:$A)-3),"")</f>
        <v>24.7098113207547</v>
      </c>
      <c r="AO16" s="146" t="n">
        <f aca="false">IFERROR('Price History'!V3+(INDEX('Price History'!V:V,MATCH(9.99E+307,'Price History'!$A:$A))-'Price History'!V3)*(ROW()-3)/(MATCH(9.99E+307,'Returns (Calc)'!$A:$A)-3),"")</f>
        <v>0</v>
      </c>
    </row>
    <row r="17" customFormat="false" ht="15" hidden="false" customHeight="true" outlineLevel="0" collapsed="false">
      <c r="A17" s="142" t="n">
        <f aca="false">IF('Price History'!A18="","",'Price History'!A18)</f>
        <v>45289</v>
      </c>
      <c r="B17" s="143" t="n">
        <f aca="false">IFERROR(IF(OR(NOT(ISNUMBER('Price History'!B18)),NOT(ISNUMBER('Price History'!B17)),'Price History'!B17=0),"",'Price History'!B18/'Price History'!B17-1),"")</f>
        <v>-0.00359081419624219</v>
      </c>
      <c r="C17" s="143" t="n">
        <f aca="false">IFERROR(IF(OR(NOT(ISNUMBER('Price History'!C18)),NOT(ISNUMBER('Price History'!C17)),'Price History'!C17=0),"",'Price History'!C18/'Price History'!C17-1),"")</f>
        <v>-0.0114170584284755</v>
      </c>
      <c r="D17" s="143" t="n">
        <f aca="false">IFERROR(IF(OR(NOT(ISNUMBER('Price History'!D18)),NOT(ISNUMBER('Price History'!D17)),'Price History'!D17=0),"",'Price History'!D18/'Price History'!D17-1),"")</f>
        <v>0.00582927956083368</v>
      </c>
      <c r="E17" s="143" t="n">
        <f aca="false">IFERROR(IF(OR(NOT(ISNUMBER('Price History'!E18)),NOT(ISNUMBER('Price History'!E17)),'Price History'!E17=0),"",'Price History'!E18/'Price History'!E17-1),"")</f>
        <v>-0.00504078452937395</v>
      </c>
      <c r="F17" s="143" t="n">
        <f aca="false">IFERROR(IF(OR(NOT(ISNUMBER('Price History'!F18)),NOT(ISNUMBER('Price History'!F17)),'Price History'!F17=0),"",'Price History'!F18/'Price History'!F17-1),"")</f>
        <v>-0.00370584829183551</v>
      </c>
      <c r="G17" s="143" t="n">
        <f aca="false">IFERROR(IF(OR(NOT(ISNUMBER('Price History'!G18)),NOT(ISNUMBER('Price History'!G17)),'Price History'!G17=0),"",'Price History'!G18/'Price History'!G17-1),"")</f>
        <v>-0.00125176028790486</v>
      </c>
      <c r="H17" s="143" t="n">
        <f aca="false">IFERROR(IF(OR(NOT(ISNUMBER('Price History'!H18)),NOT(ISNUMBER('Price History'!H17)),'Price History'!H17=0),"",'Price History'!H18/'Price History'!H17-1),"")</f>
        <v>0.0040635040635042</v>
      </c>
      <c r="I17" s="143" t="n">
        <f aca="false">IFERROR(IF(OR(NOT(ISNUMBER('Price History'!I18)),NOT(ISNUMBER('Price History'!I17)),'Price History'!I17=0),"",'Price History'!I18/'Price History'!I17-1),"")</f>
        <v>-0.00227870289219978</v>
      </c>
      <c r="J17" s="143" t="n">
        <f aca="false">IFERROR(IF(OR(NOT(ISNUMBER('Price History'!J18)),NOT(ISNUMBER('Price History'!J17)),'Price History'!J17=0),"",'Price History'!J18/'Price History'!J17-1),"")</f>
        <v>-0.0120214752567693</v>
      </c>
      <c r="K17" s="143" t="n">
        <f aca="false">IFERROR(IF(OR(NOT(ISNUMBER('Price History'!K18)),NOT(ISNUMBER('Price History'!K17)),'Price History'!K17=0),"",'Price History'!K18/'Price History'!K17-1),"")</f>
        <v>0.0141712877387554</v>
      </c>
      <c r="L17" s="143" t="n">
        <f aca="false">IFERROR(IF(OR(NOT(ISNUMBER('Price History'!L18)),NOT(ISNUMBER('Price History'!L17)),'Price History'!L17=0),"",'Price History'!L18/'Price History'!L17-1),"")</f>
        <v>0.00677797983137696</v>
      </c>
      <c r="M17" s="143" t="n">
        <f aca="false">IFERROR(IF(OR(NOT(ISNUMBER('Price History'!M18)),NOT(ISNUMBER('Price History'!M17)),'Price History'!M17=0),"",'Price History'!M18/'Price History'!M17-1),"")</f>
        <v>-0.0137851809304996</v>
      </c>
      <c r="N17" s="143" t="n">
        <f aca="false">IFERROR(IF(OR(NOT(ISNUMBER('Price History'!N18)),NOT(ISNUMBER('Price History'!N17)),'Price History'!N17=0),"",'Price History'!N18/'Price History'!N17-1),"")</f>
        <v>0.00393184796854529</v>
      </c>
      <c r="O17" s="143" t="n">
        <f aca="false">IFERROR(IF(OR(NOT(ISNUMBER('Price History'!O18)),NOT(ISNUMBER('Price History'!O17)),'Price History'!O17=0),"",'Price History'!O18/'Price History'!O17-1),"")</f>
        <v>0.00705218617771508</v>
      </c>
      <c r="P17" s="143" t="n">
        <f aca="false">IFERROR(IF(OR(NOT(ISNUMBER('Price History'!P18)),NOT(ISNUMBER('Price History'!P17)),'Price History'!P17=0),"",'Price History'!P18/'Price History'!P17-1),"")</f>
        <v>0.00833584412975807</v>
      </c>
      <c r="Q17" s="143" t="n">
        <f aca="false">IFERROR(IF(OR(NOT(ISNUMBER('Price History'!Q18)),NOT(ISNUMBER('Price History'!Q17)),'Price History'!Q17=0),"",'Price History'!Q18/'Price History'!Q17-1),"")</f>
        <v>0.00742672039187808</v>
      </c>
      <c r="R17" s="143" t="n">
        <f aca="false">IFERROR(IF(OR(NOT(ISNUMBER('Price History'!R18)),NOT(ISNUMBER('Price History'!R17)),'Price History'!R17=0),"",'Price History'!R18/'Price History'!R17-1),"")</f>
        <v>0.00530937308556245</v>
      </c>
      <c r="S17" s="143" t="n">
        <f aca="false">IFERROR(IF(OR(NOT(ISNUMBER('Price History'!S18)),NOT(ISNUMBER('Price History'!S17)),'Price History'!S17=0),"",'Price History'!S18/'Price History'!S17-1),"")</f>
        <v>0.00551142810828331</v>
      </c>
      <c r="T17" s="143" t="n">
        <f aca="false">IFERROR(IF(OR(NOT(ISNUMBER('Price History'!T18)),NOT(ISNUMBER('Price History'!T17)),'Price History'!T17=0),"",'Price History'!T18/'Price History'!T17-1),"")</f>
        <v>0.00714554343738261</v>
      </c>
      <c r="U17" s="143" t="str">
        <f aca="false">IFERROR(IF(OR(NOT(ISNUMBER('Price History'!U18)),NOT(ISNUMBER('Price History'!U17)),'Price History'!U17=0),"",'Price History'!U18/'Price History'!U17-1),"")</f>
        <v/>
      </c>
      <c r="V17" s="144" t="n">
        <f aca="false">IFERROR(IF(OR(NOT(ISNUMBER('Price History'!V18)),NOT(ISNUMBER('Price History'!V17)),'Price History'!V17=0),"",'Price History'!V18/'Price History'!V17-1),"")</f>
        <v>0.019022294947842</v>
      </c>
      <c r="W17" s="145" t="str">
        <f aca="false">IFERROR('Price History'!B3+(INDEX('Price History'!B:B,MATCH(9.99E+307,'Price History'!$A:$A))-'Price History'!B3)*(ROW()-3)/(MATCH(9.99E+307,'Returns (Calc)'!$A:$A)-3),"")</f>
        <v/>
      </c>
      <c r="X17" s="145" t="n">
        <f aca="false">IFERROR('Price History'!C3+(INDEX('Price History'!C:C,MATCH(9.99E+307,'Price History'!$A:$A))-'Price History'!C3)*(ROW()-3)/(MATCH(9.99E+307,'Returns (Calc)'!$A:$A)-3),"")</f>
        <v>42.1138364779874</v>
      </c>
      <c r="Y17" s="145" t="n">
        <f aca="false">IFERROR('Price History'!D3+(INDEX('Price History'!D:D,MATCH(9.99E+307,'Price History'!$A:$A))-'Price History'!D3)*(ROW()-3)/(MATCH(9.99E+307,'Returns (Calc)'!$A:$A)-3),"")</f>
        <v>530.763836477987</v>
      </c>
      <c r="Z17" s="145" t="n">
        <f aca="false">IFERROR('Price History'!E3+(INDEX('Price History'!E:E,MATCH(9.99E+307,'Price History'!$A:$A))-'Price History'!E3)*(ROW()-3)/(MATCH(9.99E+307,'Returns (Calc)'!$A:$A)-3),"")</f>
        <v>74.7798742138365</v>
      </c>
      <c r="AA17" s="145" t="n">
        <f aca="false">IFERROR('Price History'!F3+(INDEX('Price History'!F:F,MATCH(9.99E+307,'Price History'!$A:$A))-'Price History'!F3)*(ROW()-3)/(MATCH(9.99E+307,'Returns (Calc)'!$A:$A)-3),"")</f>
        <v>68.6789308176101</v>
      </c>
      <c r="AB17" s="145" t="n">
        <f aca="false">IFERROR('Price History'!G3+(INDEX('Price History'!G:G,MATCH(9.99E+307,'Price History'!$A:$A))-'Price History'!G3)*(ROW()-3)/(MATCH(9.99E+307,'Returns (Calc)'!$A:$A)-3),"")</f>
        <v>37.7182389937107</v>
      </c>
      <c r="AC17" s="145" t="n">
        <f aca="false">IFERROR('Price History'!H3+(INDEX('Price History'!H:H,MATCH(9.99E+307,'Price History'!$A:$A))-'Price History'!H3)*(ROW()-3)/(MATCH(9.99E+307,'Returns (Calc)'!$A:$A)-3),"")</f>
        <v>91.7330188679245</v>
      </c>
      <c r="AD17" s="145" t="n">
        <f aca="false">IFERROR('Price History'!I3+(INDEX('Price History'!I:I,MATCH(9.99E+307,'Price History'!$A:$A))-'Price History'!I3)*(ROW()-3)/(MATCH(9.99E+307,'Returns (Calc)'!$A:$A)-3),"")</f>
        <v>40.4449685534591</v>
      </c>
      <c r="AE17" s="145" t="n">
        <f aca="false">IFERROR('Price History'!J3+(INDEX('Price History'!J:J,MATCH(9.99E+307,'Price History'!$A:$A))-'Price History'!J3)*(ROW()-3)/(MATCH(9.99E+307,'Returns (Calc)'!$A:$A)-3),"")</f>
        <v>63.0248427672956</v>
      </c>
      <c r="AF17" s="145" t="n">
        <f aca="false">IFERROR('Price History'!K3+(INDEX('Price History'!K:K,MATCH(9.99E+307,'Price History'!$A:$A))-'Price History'!K3)*(ROW()-3)/(MATCH(9.99E+307,'Returns (Calc)'!$A:$A)-3),"")</f>
        <v>39.9160377358491</v>
      </c>
      <c r="AG17" s="145" t="n">
        <f aca="false">IFERROR('Price History'!L3+(INDEX('Price History'!L:L,MATCH(9.99E+307,'Price History'!$A:$A))-'Price History'!L3)*(ROW()-3)/(MATCH(9.99E+307,'Returns (Calc)'!$A:$A)-3),"")</f>
        <v>101.992452830189</v>
      </c>
      <c r="AH17" s="145" t="n">
        <f aca="false">IFERROR('Price History'!M3+(INDEX('Price History'!M:M,MATCH(9.99E+307,'Price History'!$A:$A))-'Price History'!M3)*(ROW()-3)/(MATCH(9.99E+307,'Returns (Calc)'!$A:$A)-3),"")</f>
        <v>13.9801886792453</v>
      </c>
      <c r="AI17" s="145" t="n">
        <f aca="false">IFERROR('Price History'!N3+(INDEX('Price History'!N:N,MATCH(9.99E+307,'Price History'!$A:$A))-'Price History'!N3)*(ROW()-3)/(MATCH(9.99E+307,'Returns (Calc)'!$A:$A)-3),"")</f>
        <v>19.8805031446541</v>
      </c>
      <c r="AJ17" s="145" t="n">
        <f aca="false">IFERROR('Price History'!O3+(INDEX('Price History'!O:O,MATCH(9.99E+307,'Price History'!$A:$A))-'Price History'!O3)*(ROW()-3)/(MATCH(9.99E+307,'Returns (Calc)'!$A:$A)-3),"")</f>
        <v>52.5556603773585</v>
      </c>
      <c r="AK17" s="145" t="n">
        <f aca="false">IFERROR('Price History'!Q3+(INDEX('Price History'!Q:Q,MATCH(9.99E+307,'Price History'!$A:$A))-'Price History'!Q3)*(ROW()-3)/(MATCH(9.99E+307,'Returns (Calc)'!$A:$A)-3),"")</f>
        <v>214.882704402516</v>
      </c>
      <c r="AL17" s="145" t="n">
        <f aca="false">IFERROR('Price History'!R3+(INDEX('Price History'!R:R,MATCH(9.99E+307,'Price History'!$A:$A))-'Price History'!R3)*(ROW()-3)/(MATCH(9.99E+307,'Returns (Calc)'!$A:$A)-3),"")</f>
        <v>43.6094339622642</v>
      </c>
      <c r="AM17" s="145" t="n">
        <f aca="false">IFERROR('Price History'!S3+(INDEX('Price History'!S:S,MATCH(9.99E+307,'Price History'!$A:$A))-'Price History'!S3)*(ROW()-3)/(MATCH(9.99E+307,'Returns (Calc)'!$A:$A)-3),"")</f>
        <v>53.385534591195</v>
      </c>
      <c r="AN17" s="145" t="n">
        <f aca="false">IFERROR('Price History'!T3+(INDEX('Price History'!T:T,MATCH(9.99E+307,'Price History'!$A:$A))-'Price History'!T3)*(ROW()-3)/(MATCH(9.99E+307,'Returns (Calc)'!$A:$A)-3),"")</f>
        <v>24.5405660377359</v>
      </c>
      <c r="AO17" s="146" t="n">
        <f aca="false">IFERROR('Price History'!V3+(INDEX('Price History'!V:V,MATCH(9.99E+307,'Price History'!$A:$A))-'Price History'!V3)*(ROW()-3)/(MATCH(9.99E+307,'Returns (Calc)'!$A:$A)-3),"")</f>
        <v>0</v>
      </c>
    </row>
    <row r="18" customFormat="false" ht="15" hidden="false" customHeight="true" outlineLevel="0" collapsed="false">
      <c r="A18" s="142" t="n">
        <f aca="false">IF('Price History'!A19="","",'Price History'!A19)</f>
        <v>45296</v>
      </c>
      <c r="B18" s="143" t="n">
        <f aca="false">IFERROR(IF(OR(NOT(ISNUMBER('Price History'!B19)),NOT(ISNUMBER('Price History'!B18)),'Price History'!B18=0),"",'Price History'!B19/'Price History'!B18-1),"")</f>
        <v>-0.0536372779081462</v>
      </c>
      <c r="C18" s="143" t="n">
        <f aca="false">IFERROR(IF(OR(NOT(ISNUMBER('Price History'!C19)),NOT(ISNUMBER('Price History'!C18)),'Price History'!C18=0),"",'Price History'!C19/'Price History'!C18-1),"")</f>
        <v>-0.0195312500000001</v>
      </c>
      <c r="D18" s="143" t="n">
        <f aca="false">IFERROR(IF(OR(NOT(ISNUMBER('Price History'!D19)),NOT(ISNUMBER('Price History'!D18)),'Price History'!D18=0),"",'Price History'!D19/'Price History'!D18-1),"")</f>
        <v>-0.0707888088837253</v>
      </c>
      <c r="E18" s="143" t="n">
        <f aca="false">IFERROR(IF(OR(NOT(ISNUMBER('Price History'!E19)),NOT(ISNUMBER('Price History'!E18)),'Price History'!E18=0),"",'Price History'!E19/'Price History'!E18-1),"")</f>
        <v>-0.0600589535740604</v>
      </c>
      <c r="F18" s="143" t="n">
        <f aca="false">IFERROR(IF(OR(NOT(ISNUMBER('Price History'!F19)),NOT(ISNUMBER('Price History'!F18)),'Price History'!F18=0),"",'Price History'!F19/'Price History'!F18-1),"")</f>
        <v>-0.0259211902824597</v>
      </c>
      <c r="G18" s="143" t="n">
        <f aca="false">IFERROR(IF(OR(NOT(ISNUMBER('Price History'!G19)),NOT(ISNUMBER('Price History'!G18)),'Price History'!G18=0),"",'Price History'!G19/'Price History'!G18-1),"")</f>
        <v>-0.0307065643114524</v>
      </c>
      <c r="H18" s="143" t="n">
        <f aca="false">IFERROR(IF(OR(NOT(ISNUMBER('Price History'!H19)),NOT(ISNUMBER('Price History'!H18)),'Price History'!H18=0),"",'Price History'!H19/'Price History'!H18-1),"")</f>
        <v>0.00705882352941178</v>
      </c>
      <c r="I18" s="143" t="n">
        <f aca="false">IFERROR(IF(OR(NOT(ISNUMBER('Price History'!I19)),NOT(ISNUMBER('Price History'!I18)),'Price History'!I18=0),"",'Price History'!I19/'Price History'!I18-1),"")</f>
        <v>-0.0635980323260718</v>
      </c>
      <c r="J18" s="143" t="n">
        <f aca="false">IFERROR(IF(OR(NOT(ISNUMBER('Price History'!J19)),NOT(ISNUMBER('Price History'!J18)),'Price History'!J18=0),"",'Price History'!J19/'Price History'!J18-1),"")</f>
        <v>-0.0220909627879504</v>
      </c>
      <c r="K18" s="143" t="n">
        <f aca="false">IFERROR(IF(OR(NOT(ISNUMBER('Price History'!K19)),NOT(ISNUMBER('Price History'!K18)),'Price History'!K18=0),"",'Price History'!K19/'Price History'!K18-1),"")</f>
        <v>-0.00850546780072903</v>
      </c>
      <c r="L18" s="143" t="n">
        <f aca="false">IFERROR(IF(OR(NOT(ISNUMBER('Price History'!L19)),NOT(ISNUMBER('Price History'!L18)),'Price History'!L18=0),"",'Price History'!L19/'Price History'!L18-1),"")</f>
        <v>-0.0205254515599344</v>
      </c>
      <c r="M18" s="143" t="n">
        <f aca="false">IFERROR(IF(OR(NOT(ISNUMBER('Price History'!M19)),NOT(ISNUMBER('Price History'!M18)),'Price History'!M18=0),"",'Price History'!M19/'Price History'!M18-1),"")</f>
        <v>-0.0693069306930694</v>
      </c>
      <c r="N18" s="143" t="n">
        <f aca="false">IFERROR(IF(OR(NOT(ISNUMBER('Price History'!N19)),NOT(ISNUMBER('Price History'!N18)),'Price History'!N18=0),"",'Price History'!N19/'Price History'!N18-1),"")</f>
        <v>0.00304612706701479</v>
      </c>
      <c r="O18" s="143" t="n">
        <f aca="false">IFERROR(IF(OR(NOT(ISNUMBER('Price History'!O19)),NOT(ISNUMBER('Price History'!O18)),'Price History'!O18=0),"",'Price History'!O19/'Price History'!O18-1),"")</f>
        <v>-0.0102707749766574</v>
      </c>
      <c r="P18" s="143" t="n">
        <f aca="false">IFERROR(IF(OR(NOT(ISNUMBER('Price History'!P19)),NOT(ISNUMBER('Price History'!P18)),'Price History'!P18=0),"",'Price History'!P19/'Price History'!P18-1),"")</f>
        <v>-0.0422310756972113</v>
      </c>
      <c r="Q18" s="143" t="n">
        <f aca="false">IFERROR(IF(OR(NOT(ISNUMBER('Price History'!Q19)),NOT(ISNUMBER('Price History'!Q18)),'Price History'!Q18=0),"",'Price History'!Q19/'Price History'!Q18-1),"")</f>
        <v>-0.0025096070896401</v>
      </c>
      <c r="R18" s="143" t="n">
        <f aca="false">IFERROR(IF(OR(NOT(ISNUMBER('Price History'!R19)),NOT(ISNUMBER('Price History'!R18)),'Price History'!R18=0),"",'Price History'!R19/'Price History'!R18-1),"")</f>
        <v>-0.00670322973796467</v>
      </c>
      <c r="S18" s="143" t="n">
        <f aca="false">IFERROR(IF(OR(NOT(ISNUMBER('Price History'!S19)),NOT(ISNUMBER('Price History'!S18)),'Price History'!S18=0),"",'Price History'!S19/'Price History'!S18-1),"")</f>
        <v>-0.00225697243269385</v>
      </c>
      <c r="T18" s="143" t="n">
        <f aca="false">IFERROR(IF(OR(NOT(ISNUMBER('Price History'!T19)),NOT(ISNUMBER('Price History'!T18)),'Price History'!T18=0),"",'Price History'!T19/'Price History'!T18-1),"")</f>
        <v>0.0134428678117999</v>
      </c>
      <c r="U18" s="143" t="str">
        <f aca="false">IFERROR(IF(OR(NOT(ISNUMBER('Price History'!U19)),NOT(ISNUMBER('Price History'!U18)),'Price History'!U18=0),"",'Price History'!U19/'Price History'!U18-1),"")</f>
        <v/>
      </c>
      <c r="V18" s="144" t="n">
        <f aca="false">IFERROR(IF(OR(NOT(ISNUMBER('Price History'!V19)),NOT(ISNUMBER('Price History'!V18)),'Price History'!V18=0),"",'Price History'!V19/'Price History'!V18-1),"")</f>
        <v>0.00843034925732633</v>
      </c>
      <c r="W18" s="145" t="str">
        <f aca="false">IFERROR('Price History'!B3+(INDEX('Price History'!B:B,MATCH(9.99E+307,'Price History'!$A:$A))-'Price History'!B3)*(ROW()-3)/(MATCH(9.99E+307,'Returns (Calc)'!$A:$A)-3),"")</f>
        <v/>
      </c>
      <c r="X18" s="145" t="n">
        <f aca="false">IFERROR('Price History'!C3+(INDEX('Price History'!C:C,MATCH(9.99E+307,'Price History'!$A:$A))-'Price History'!C3)*(ROW()-3)/(MATCH(9.99E+307,'Returns (Calc)'!$A:$A)-3),"")</f>
        <v>41.8233962264151</v>
      </c>
      <c r="Y18" s="145" t="n">
        <f aca="false">IFERROR('Price History'!D3+(INDEX('Price History'!D:D,MATCH(9.99E+307,'Price History'!$A:$A))-'Price History'!D3)*(ROW()-3)/(MATCH(9.99E+307,'Returns (Calc)'!$A:$A)-3),"")</f>
        <v>527.103396226415</v>
      </c>
      <c r="Z18" s="145" t="n">
        <f aca="false">IFERROR('Price History'!E3+(INDEX('Price History'!E:E,MATCH(9.99E+307,'Price History'!$A:$A))-'Price History'!E3)*(ROW()-3)/(MATCH(9.99E+307,'Returns (Calc)'!$A:$A)-3),"")</f>
        <v>74.2641509433962</v>
      </c>
      <c r="AA18" s="145" t="n">
        <f aca="false">IFERROR('Price History'!F3+(INDEX('Price History'!F:F,MATCH(9.99E+307,'Price History'!$A:$A))-'Price History'!F3)*(ROW()-3)/(MATCH(9.99E+307,'Returns (Calc)'!$A:$A)-3),"")</f>
        <v>68.2052830188679</v>
      </c>
      <c r="AB18" s="145" t="n">
        <f aca="false">IFERROR('Price History'!G3+(INDEX('Price History'!G:G,MATCH(9.99E+307,'Price History'!$A:$A))-'Price History'!G3)*(ROW()-3)/(MATCH(9.99E+307,'Returns (Calc)'!$A:$A)-3),"")</f>
        <v>37.4581132075472</v>
      </c>
      <c r="AC18" s="145" t="n">
        <f aca="false">IFERROR('Price History'!H3+(INDEX('Price History'!H:H,MATCH(9.99E+307,'Price History'!$A:$A))-'Price History'!H3)*(ROW()-3)/(MATCH(9.99E+307,'Returns (Calc)'!$A:$A)-3),"")</f>
        <v>91.1003773584906</v>
      </c>
      <c r="AD18" s="145" t="n">
        <f aca="false">IFERROR('Price History'!I3+(INDEX('Price History'!I:I,MATCH(9.99E+307,'Price History'!$A:$A))-'Price History'!I3)*(ROW()-3)/(MATCH(9.99E+307,'Returns (Calc)'!$A:$A)-3),"")</f>
        <v>40.1660377358491</v>
      </c>
      <c r="AE18" s="145" t="n">
        <f aca="false">IFERROR('Price History'!J3+(INDEX('Price History'!J:J,MATCH(9.99E+307,'Price History'!$A:$A))-'Price History'!J3)*(ROW()-3)/(MATCH(9.99E+307,'Returns (Calc)'!$A:$A)-3),"")</f>
        <v>62.5901886792453</v>
      </c>
      <c r="AF18" s="145" t="n">
        <f aca="false">IFERROR('Price History'!K3+(INDEX('Price History'!K:K,MATCH(9.99E+307,'Price History'!$A:$A))-'Price History'!K3)*(ROW()-3)/(MATCH(9.99E+307,'Returns (Calc)'!$A:$A)-3),"")</f>
        <v>39.6407547169811</v>
      </c>
      <c r="AG18" s="145" t="n">
        <f aca="false">IFERROR('Price History'!L3+(INDEX('Price History'!L:L,MATCH(9.99E+307,'Price History'!$A:$A))-'Price History'!L3)*(ROW()-3)/(MATCH(9.99E+307,'Returns (Calc)'!$A:$A)-3),"")</f>
        <v>101.289056603774</v>
      </c>
      <c r="AH18" s="145" t="n">
        <f aca="false">IFERROR('Price History'!M3+(INDEX('Price History'!M:M,MATCH(9.99E+307,'Price History'!$A:$A))-'Price History'!M3)*(ROW()-3)/(MATCH(9.99E+307,'Returns (Calc)'!$A:$A)-3),"")</f>
        <v>13.8837735849057</v>
      </c>
      <c r="AI18" s="145" t="n">
        <f aca="false">IFERROR('Price History'!N3+(INDEX('Price History'!N:N,MATCH(9.99E+307,'Price History'!$A:$A))-'Price History'!N3)*(ROW()-3)/(MATCH(9.99E+307,'Returns (Calc)'!$A:$A)-3),"")</f>
        <v>19.7433962264151</v>
      </c>
      <c r="AJ18" s="145" t="n">
        <f aca="false">IFERROR('Price History'!O3+(INDEX('Price History'!O:O,MATCH(9.99E+307,'Price History'!$A:$A))-'Price History'!O3)*(ROW()-3)/(MATCH(9.99E+307,'Returns (Calc)'!$A:$A)-3),"")</f>
        <v>52.1932075471698</v>
      </c>
      <c r="AK18" s="145" t="n">
        <f aca="false">IFERROR('Price History'!Q3+(INDEX('Price History'!Q:Q,MATCH(9.99E+307,'Price History'!$A:$A))-'Price History'!Q3)*(ROW()-3)/(MATCH(9.99E+307,'Returns (Calc)'!$A:$A)-3),"")</f>
        <v>213.400754716981</v>
      </c>
      <c r="AL18" s="145" t="n">
        <f aca="false">IFERROR('Price History'!R3+(INDEX('Price History'!R:R,MATCH(9.99E+307,'Price History'!$A:$A))-'Price History'!R3)*(ROW()-3)/(MATCH(9.99E+307,'Returns (Calc)'!$A:$A)-3),"")</f>
        <v>43.308679245283</v>
      </c>
      <c r="AM18" s="145" t="n">
        <f aca="false">IFERROR('Price History'!S3+(INDEX('Price History'!S:S,MATCH(9.99E+307,'Price History'!$A:$A))-'Price History'!S3)*(ROW()-3)/(MATCH(9.99E+307,'Returns (Calc)'!$A:$A)-3),"")</f>
        <v>53.017358490566</v>
      </c>
      <c r="AN18" s="145" t="n">
        <f aca="false">IFERROR('Price History'!T3+(INDEX('Price History'!T:T,MATCH(9.99E+307,'Price History'!$A:$A))-'Price History'!T3)*(ROW()-3)/(MATCH(9.99E+307,'Returns (Calc)'!$A:$A)-3),"")</f>
        <v>24.371320754717</v>
      </c>
      <c r="AO18" s="146" t="n">
        <f aca="false">IFERROR('Price History'!V3+(INDEX('Price History'!V:V,MATCH(9.99E+307,'Price History'!$A:$A))-'Price History'!V3)*(ROW()-3)/(MATCH(9.99E+307,'Returns (Calc)'!$A:$A)-3),"")</f>
        <v>0</v>
      </c>
    </row>
    <row r="19" customFormat="false" ht="15" hidden="false" customHeight="true" outlineLevel="0" collapsed="false">
      <c r="A19" s="142" t="n">
        <f aca="false">IF('Price History'!A20="","",'Price History'!A20)</f>
        <v>45303</v>
      </c>
      <c r="B19" s="143" t="n">
        <f aca="false">IFERROR(IF(OR(NOT(ISNUMBER('Price History'!B20)),NOT(ISNUMBER('Price History'!B19)),'Price History'!B19=0),"",'Price History'!B20/'Price History'!B19-1),"")</f>
        <v>0.0565710237336166</v>
      </c>
      <c r="C19" s="143" t="n">
        <f aca="false">IFERROR(IF(OR(NOT(ISNUMBER('Price History'!C20)),NOT(ISNUMBER('Price History'!C19)),'Price History'!C19=0),"",'Price History'!C20/'Price History'!C19-1),"")</f>
        <v>0.0914602459726313</v>
      </c>
      <c r="D19" s="143" t="n">
        <f aca="false">IFERROR(IF(OR(NOT(ISNUMBER('Price History'!D20)),NOT(ISNUMBER('Price History'!D19)),'Price History'!D19=0),"",'Price History'!D20/'Price History'!D19-1),"")</f>
        <v>0.0140441678903216</v>
      </c>
      <c r="E19" s="143" t="n">
        <f aca="false">IFERROR(IF(OR(NOT(ISNUMBER('Price History'!E20)),NOT(ISNUMBER('Price History'!E19)),'Price History'!E19=0),"",'Price History'!E20/'Price History'!E19-1),"")</f>
        <v>0.0556644453155624</v>
      </c>
      <c r="F19" s="143" t="n">
        <f aca="false">IFERROR(IF(OR(NOT(ISNUMBER('Price History'!F20)),NOT(ISNUMBER('Price History'!F19)),'Price History'!F19=0),"",'Price History'!F20/'Price History'!F19-1),"")</f>
        <v>-0.0113365155131265</v>
      </c>
      <c r="G19" s="143" t="n">
        <f aca="false">IFERROR(IF(OR(NOT(ISNUMBER('Price History'!G20)),NOT(ISNUMBER('Price History'!G19)),'Price History'!G19=0),"",'Price History'!G20/'Price History'!G19-1),"")</f>
        <v>0.144981412639405</v>
      </c>
      <c r="H19" s="143" t="n">
        <f aca="false">IFERROR(IF(OR(NOT(ISNUMBER('Price History'!H20)),NOT(ISNUMBER('Price History'!H19)),'Price History'!H19=0),"",'Price History'!H20/'Price History'!H19-1),"")</f>
        <v>-0.0138317757009346</v>
      </c>
      <c r="I19" s="143" t="n">
        <f aca="false">IFERROR(IF(OR(NOT(ISNUMBER('Price History'!I20)),NOT(ISNUMBER('Price History'!I19)),'Price History'!I19=0),"",'Price History'!I20/'Price History'!I19-1),"")</f>
        <v>0.0298311444652908</v>
      </c>
      <c r="J19" s="143" t="n">
        <f aca="false">IFERROR(IF(OR(NOT(ISNUMBER('Price History'!J20)),NOT(ISNUMBER('Price History'!J19)),'Price History'!J19=0),"",'Price History'!J20/'Price History'!J19-1),"")</f>
        <v>-0.0128050253684465</v>
      </c>
      <c r="K19" s="143" t="n">
        <f aca="false">IFERROR(IF(OR(NOT(ISNUMBER('Price History'!K20)),NOT(ISNUMBER('Price History'!K19)),'Price History'!K19=0),"",'Price History'!K20/'Price History'!K19-1),"")</f>
        <v>0.114174836601307</v>
      </c>
      <c r="L19" s="143" t="n">
        <f aca="false">IFERROR(IF(OR(NOT(ISNUMBER('Price History'!L20)),NOT(ISNUMBER('Price History'!L19)),'Price History'!L19=0),"",'Price History'!L20/'Price History'!L19-1),"")</f>
        <v>0.0075440067057837</v>
      </c>
      <c r="M19" s="143" t="n">
        <f aca="false">IFERROR(IF(OR(NOT(ISNUMBER('Price History'!M20)),NOT(ISNUMBER('Price History'!M19)),'Price History'!M19=0),"",'Price History'!M20/'Price History'!M19-1),"")</f>
        <v>0.0488110137672091</v>
      </c>
      <c r="N19" s="143" t="n">
        <f aca="false">IFERROR(IF(OR(NOT(ISNUMBER('Price History'!N20)),NOT(ISNUMBER('Price History'!N19)),'Price History'!N19=0),"",'Price History'!N20/'Price History'!N19-1),"")</f>
        <v>-0.00130151843817794</v>
      </c>
      <c r="O19" s="143" t="n">
        <f aca="false">IFERROR(IF(OR(NOT(ISNUMBER('Price History'!O20)),NOT(ISNUMBER('Price History'!O19)),'Price History'!O19=0),"",'Price History'!O20/'Price History'!O19-1),"")</f>
        <v>0.0309748427672956</v>
      </c>
      <c r="P19" s="143" t="n">
        <f aca="false">IFERROR(IF(OR(NOT(ISNUMBER('Price History'!P20)),NOT(ISNUMBER('Price History'!P19)),'Price History'!P19=0),"",'Price History'!P20/'Price History'!P19-1),"")</f>
        <v>0.0163269550748753</v>
      </c>
      <c r="Q19" s="143" t="n">
        <f aca="false">IFERROR(IF(OR(NOT(ISNUMBER('Price History'!Q20)),NOT(ISNUMBER('Price History'!Q19)),'Price History'!Q19=0),"",'Price History'!Q20/'Price History'!Q19-1),"")</f>
        <v>0.0172183347747463</v>
      </c>
      <c r="R19" s="143" t="n">
        <f aca="false">IFERROR(IF(OR(NOT(ISNUMBER('Price History'!R20)),NOT(ISNUMBER('Price History'!R19)),'Price History'!R19=0),"",'Price History'!R20/'Price History'!R19-1),"")</f>
        <v>0.00736196319018401</v>
      </c>
      <c r="S19" s="143" t="n">
        <f aca="false">IFERROR(IF(OR(NOT(ISNUMBER('Price History'!S20)),NOT(ISNUMBER('Price History'!S19)),'Price History'!S19=0),"",'Price History'!S20/'Price History'!S19-1),"")</f>
        <v>0.0037162708030376</v>
      </c>
      <c r="T19" s="143" t="n">
        <f aca="false">IFERROR(IF(OR(NOT(ISNUMBER('Price History'!T20)),NOT(ISNUMBER('Price History'!T19)),'Price History'!T19=0),"",'Price History'!T20/'Price History'!T19-1),"")</f>
        <v>0.00884303610906412</v>
      </c>
      <c r="U19" s="143" t="str">
        <f aca="false">IFERROR(IF(OR(NOT(ISNUMBER('Price History'!U20)),NOT(ISNUMBER('Price History'!U19)),'Price History'!U19=0),"",'Price History'!U20/'Price History'!U19-1),"")</f>
        <v/>
      </c>
      <c r="V19" s="144" t="n">
        <f aca="false">IFERROR(IF(OR(NOT(ISNUMBER('Price History'!V20)),NOT(ISNUMBER('Price History'!V19)),'Price History'!V19=0),"",'Price History'!V20/'Price History'!V19-1),"")</f>
        <v>-0.00274681528662424</v>
      </c>
      <c r="W19" s="145" t="str">
        <f aca="false">IFERROR('Price History'!B3+(INDEX('Price History'!B:B,MATCH(9.99E+307,'Price History'!$A:$A))-'Price History'!B3)*(ROW()-3)/(MATCH(9.99E+307,'Returns (Calc)'!$A:$A)-3),"")</f>
        <v/>
      </c>
      <c r="X19" s="145" t="n">
        <f aca="false">IFERROR('Price History'!C3+(INDEX('Price History'!C:C,MATCH(9.99E+307,'Price History'!$A:$A))-'Price History'!C3)*(ROW()-3)/(MATCH(9.99E+307,'Returns (Calc)'!$A:$A)-3),"")</f>
        <v>41.5329559748428</v>
      </c>
      <c r="Y19" s="145" t="n">
        <f aca="false">IFERROR('Price History'!D3+(INDEX('Price History'!D:D,MATCH(9.99E+307,'Price History'!$A:$A))-'Price History'!D3)*(ROW()-3)/(MATCH(9.99E+307,'Returns (Calc)'!$A:$A)-3),"")</f>
        <v>523.442955974843</v>
      </c>
      <c r="Z19" s="145" t="n">
        <f aca="false">IFERROR('Price History'!E3+(INDEX('Price History'!E:E,MATCH(9.99E+307,'Price History'!$A:$A))-'Price History'!E3)*(ROW()-3)/(MATCH(9.99E+307,'Returns (Calc)'!$A:$A)-3),"")</f>
        <v>73.748427672956</v>
      </c>
      <c r="AA19" s="145" t="n">
        <f aca="false">IFERROR('Price History'!F3+(INDEX('Price History'!F:F,MATCH(9.99E+307,'Price History'!$A:$A))-'Price History'!F3)*(ROW()-3)/(MATCH(9.99E+307,'Returns (Calc)'!$A:$A)-3),"")</f>
        <v>67.7316352201258</v>
      </c>
      <c r="AB19" s="145" t="n">
        <f aca="false">IFERROR('Price History'!G3+(INDEX('Price History'!G:G,MATCH(9.99E+307,'Price History'!$A:$A))-'Price History'!G3)*(ROW()-3)/(MATCH(9.99E+307,'Returns (Calc)'!$A:$A)-3),"")</f>
        <v>37.1979874213836</v>
      </c>
      <c r="AC19" s="145" t="n">
        <f aca="false">IFERROR('Price History'!H3+(INDEX('Price History'!H:H,MATCH(9.99E+307,'Price History'!$A:$A))-'Price History'!H3)*(ROW()-3)/(MATCH(9.99E+307,'Returns (Calc)'!$A:$A)-3),"")</f>
        <v>90.4677358490566</v>
      </c>
      <c r="AD19" s="145" t="n">
        <f aca="false">IFERROR('Price History'!I3+(INDEX('Price History'!I:I,MATCH(9.99E+307,'Price History'!$A:$A))-'Price History'!I3)*(ROW()-3)/(MATCH(9.99E+307,'Returns (Calc)'!$A:$A)-3),"")</f>
        <v>39.887106918239</v>
      </c>
      <c r="AE19" s="145" t="n">
        <f aca="false">IFERROR('Price History'!J3+(INDEX('Price History'!J:J,MATCH(9.99E+307,'Price History'!$A:$A))-'Price History'!J3)*(ROW()-3)/(MATCH(9.99E+307,'Returns (Calc)'!$A:$A)-3),"")</f>
        <v>62.155534591195</v>
      </c>
      <c r="AF19" s="145" t="n">
        <f aca="false">IFERROR('Price History'!K3+(INDEX('Price History'!K:K,MATCH(9.99E+307,'Price History'!$A:$A))-'Price History'!K3)*(ROW()-3)/(MATCH(9.99E+307,'Returns (Calc)'!$A:$A)-3),"")</f>
        <v>39.3654716981132</v>
      </c>
      <c r="AG19" s="145" t="n">
        <f aca="false">IFERROR('Price History'!L3+(INDEX('Price History'!L:L,MATCH(9.99E+307,'Price History'!$A:$A))-'Price History'!L3)*(ROW()-3)/(MATCH(9.99E+307,'Returns (Calc)'!$A:$A)-3),"")</f>
        <v>100.585660377359</v>
      </c>
      <c r="AH19" s="145" t="n">
        <f aca="false">IFERROR('Price History'!M3+(INDEX('Price History'!M:M,MATCH(9.99E+307,'Price History'!$A:$A))-'Price History'!M3)*(ROW()-3)/(MATCH(9.99E+307,'Returns (Calc)'!$A:$A)-3),"")</f>
        <v>13.787358490566</v>
      </c>
      <c r="AI19" s="145" t="n">
        <f aca="false">IFERROR('Price History'!N3+(INDEX('Price History'!N:N,MATCH(9.99E+307,'Price History'!$A:$A))-'Price History'!N3)*(ROW()-3)/(MATCH(9.99E+307,'Returns (Calc)'!$A:$A)-3),"")</f>
        <v>19.6062893081761</v>
      </c>
      <c r="AJ19" s="145" t="n">
        <f aca="false">IFERROR('Price History'!O3+(INDEX('Price History'!O:O,MATCH(9.99E+307,'Price History'!$A:$A))-'Price History'!O3)*(ROW()-3)/(MATCH(9.99E+307,'Returns (Calc)'!$A:$A)-3),"")</f>
        <v>51.8307547169811</v>
      </c>
      <c r="AK19" s="145" t="n">
        <f aca="false">IFERROR('Price History'!Q3+(INDEX('Price History'!Q:Q,MATCH(9.99E+307,'Price History'!$A:$A))-'Price History'!Q3)*(ROW()-3)/(MATCH(9.99E+307,'Returns (Calc)'!$A:$A)-3),"")</f>
        <v>211.918805031447</v>
      </c>
      <c r="AL19" s="145" t="n">
        <f aca="false">IFERROR('Price History'!R3+(INDEX('Price History'!R:R,MATCH(9.99E+307,'Price History'!$A:$A))-'Price History'!R3)*(ROW()-3)/(MATCH(9.99E+307,'Returns (Calc)'!$A:$A)-3),"")</f>
        <v>43.0079245283019</v>
      </c>
      <c r="AM19" s="145" t="n">
        <f aca="false">IFERROR('Price History'!S3+(INDEX('Price History'!S:S,MATCH(9.99E+307,'Price History'!$A:$A))-'Price History'!S3)*(ROW()-3)/(MATCH(9.99E+307,'Returns (Calc)'!$A:$A)-3),"")</f>
        <v>52.6491823899371</v>
      </c>
      <c r="AN19" s="145" t="n">
        <f aca="false">IFERROR('Price History'!T3+(INDEX('Price History'!T:T,MATCH(9.99E+307,'Price History'!$A:$A))-'Price History'!T3)*(ROW()-3)/(MATCH(9.99E+307,'Returns (Calc)'!$A:$A)-3),"")</f>
        <v>24.2020754716981</v>
      </c>
      <c r="AO19" s="146" t="n">
        <f aca="false">IFERROR('Price History'!V3+(INDEX('Price History'!V:V,MATCH(9.99E+307,'Price History'!$A:$A))-'Price History'!V3)*(ROW()-3)/(MATCH(9.99E+307,'Returns (Calc)'!$A:$A)-3),"")</f>
        <v>0</v>
      </c>
    </row>
    <row r="20" customFormat="false" ht="15" hidden="false" customHeight="true" outlineLevel="0" collapsed="false">
      <c r="A20" s="142" t="n">
        <f aca="false">IF('Price History'!A21="","",'Price History'!A21)</f>
        <v>45310</v>
      </c>
      <c r="B20" s="143" t="n">
        <f aca="false">IFERROR(IF(OR(NOT(ISNUMBER('Price History'!B21)),NOT(ISNUMBER('Price History'!B20)),'Price History'!B20=0),"",'Price History'!B21/'Price History'!B20-1),"")</f>
        <v>0.0251617661850001</v>
      </c>
      <c r="C20" s="143" t="n">
        <f aca="false">IFERROR(IF(OR(NOT(ISNUMBER('Price History'!C21)),NOT(ISNUMBER('Price History'!C20)),'Price History'!C20=0),"",'Price History'!C21/'Price History'!C20-1),"")</f>
        <v>0.0455483256625933</v>
      </c>
      <c r="D20" s="143" t="n">
        <f aca="false">IFERROR(IF(OR(NOT(ISNUMBER('Price History'!D21)),NOT(ISNUMBER('Price History'!D20)),'Price History'!D20=0),"",'Price History'!D21/'Price History'!D20-1),"")</f>
        <v>0.0625528681414787</v>
      </c>
      <c r="E20" s="143" t="n">
        <f aca="false">IFERROR(IF(OR(NOT(ISNUMBER('Price History'!E21)),NOT(ISNUMBER('Price History'!E20)),'Price History'!E20=0),"",'Price History'!E21/'Price History'!E20-1),"")</f>
        <v>0.0934831043445972</v>
      </c>
      <c r="F20" s="143" t="n">
        <f aca="false">IFERROR(IF(OR(NOT(ISNUMBER('Price History'!F21)),NOT(ISNUMBER('Price History'!F20)),'Price History'!F20=0),"",'Price History'!F21/'Price History'!F20-1),"")</f>
        <v>0.0030175015087508</v>
      </c>
      <c r="G20" s="143" t="n">
        <f aca="false">IFERROR(IF(OR(NOT(ISNUMBER('Price History'!G21)),NOT(ISNUMBER('Price History'!G20)),'Price History'!G20=0),"",'Price History'!G21/'Price History'!G20-1),"")</f>
        <v>0.0254093732354601</v>
      </c>
      <c r="H20" s="143" t="n">
        <f aca="false">IFERROR(IF(OR(NOT(ISNUMBER('Price History'!H21)),NOT(ISNUMBER('Price History'!H20)),'Price History'!H20=0),"",'Price History'!H21/'Price History'!H20-1),"")</f>
        <v>-0.0131728582259287</v>
      </c>
      <c r="I20" s="143" t="n">
        <f aca="false">IFERROR(IF(OR(NOT(ISNUMBER('Price History'!I21)),NOT(ISNUMBER('Price History'!I20)),'Price History'!I20=0),"",'Price History'!I21/'Price History'!I20-1),"")</f>
        <v>0.093459646565859</v>
      </c>
      <c r="J20" s="143" t="n">
        <f aca="false">IFERROR(IF(OR(NOT(ISNUMBER('Price History'!J21)),NOT(ISNUMBER('Price History'!J20)),'Price History'!J20=0),"",'Price History'!J21/'Price History'!J20-1),"")</f>
        <v>0.062163485070974</v>
      </c>
      <c r="K20" s="143" t="n">
        <f aca="false">IFERROR(IF(OR(NOT(ISNUMBER('Price History'!K21)),NOT(ISNUMBER('Price History'!K20)),'Price History'!K20=0),"",'Price History'!K21/'Price History'!K20-1),"")</f>
        <v>0.0874427131072411</v>
      </c>
      <c r="L20" s="143" t="n">
        <f aca="false">IFERROR(IF(OR(NOT(ISNUMBER('Price History'!L21)),NOT(ISNUMBER('Price History'!L20)),'Price History'!L20=0),"",'Price History'!L21/'Price History'!L20-1),"")</f>
        <v>-0.0236272878535774</v>
      </c>
      <c r="M20" s="143" t="n">
        <f aca="false">IFERROR(IF(OR(NOT(ISNUMBER('Price History'!M21)),NOT(ISNUMBER('Price History'!M20)),'Price History'!M20=0),"",'Price History'!M21/'Price History'!M20-1),"")</f>
        <v>0.00119331742243434</v>
      </c>
      <c r="N20" s="143" t="n">
        <f aca="false">IFERROR(IF(OR(NOT(ISNUMBER('Price History'!N21)),NOT(ISNUMBER('Price History'!N20)),'Price History'!N20=0),"",'Price History'!N21/'Price History'!N20-1),"")</f>
        <v>0.00434404865334503</v>
      </c>
      <c r="O20" s="143" t="n">
        <f aca="false">IFERROR(IF(OR(NOT(ISNUMBER('Price History'!O21)),NOT(ISNUMBER('Price History'!O20)),'Price History'!O20=0),"",'Price History'!O21/'Price History'!O20-1),"")</f>
        <v>0.0211987189263383</v>
      </c>
      <c r="P20" s="143" t="n">
        <f aca="false">IFERROR(IF(OR(NOT(ISNUMBER('Price History'!P21)),NOT(ISNUMBER('Price History'!P20)),'Price History'!P20=0),"",'Price History'!P21/'Price History'!P20-1),"")</f>
        <v>0.128005730072649</v>
      </c>
      <c r="Q20" s="143" t="n">
        <f aca="false">IFERROR(IF(OR(NOT(ISNUMBER('Price History'!Q21)),NOT(ISNUMBER('Price History'!Q20)),'Price History'!Q20=0),"",'Price History'!Q21/'Price History'!Q20-1),"")</f>
        <v>0.0255062606276086</v>
      </c>
      <c r="R20" s="143" t="n">
        <f aca="false">IFERROR(IF(OR(NOT(ISNUMBER('Price History'!R21)),NOT(ISNUMBER('Price History'!R20)),'Price History'!R20=0),"",'Price History'!R21/'Price History'!R20-1),"")</f>
        <v>0.0150223304912709</v>
      </c>
      <c r="S20" s="143" t="n">
        <f aca="false">IFERROR(IF(OR(NOT(ISNUMBER('Price History'!S21)),NOT(ISNUMBER('Price History'!S20)),'Price History'!S20=0),"",'Price History'!S21/'Price History'!S20-1),"")</f>
        <v>0.0341274951706374</v>
      </c>
      <c r="T20" s="143" t="n">
        <f aca="false">IFERROR(IF(OR(NOT(ISNUMBER('Price History'!T21)),NOT(ISNUMBER('Price History'!T20)),'Price History'!T20=0),"",'Price History'!T21/'Price History'!T20-1),"")</f>
        <v>0.0277574872169468</v>
      </c>
      <c r="U20" s="143" t="str">
        <f aca="false">IFERROR(IF(OR(NOT(ISNUMBER('Price History'!U21)),NOT(ISNUMBER('Price History'!U20)),'Price History'!U20=0),"",'Price History'!U21/'Price History'!U20-1),"")</f>
        <v/>
      </c>
      <c r="V20" s="144" t="n">
        <f aca="false">IFERROR(IF(OR(NOT(ISNUMBER('Price History'!V21)),NOT(ISNUMBER('Price History'!V20)),'Price History'!V20=0),"",'Price History'!V21/'Price History'!V20-1),"")</f>
        <v>0.00894175881202353</v>
      </c>
      <c r="W20" s="145" t="str">
        <f aca="false">IFERROR('Price History'!B3+(INDEX('Price History'!B:B,MATCH(9.99E+307,'Price History'!$A:$A))-'Price History'!B3)*(ROW()-3)/(MATCH(9.99E+307,'Returns (Calc)'!$A:$A)-3),"")</f>
        <v/>
      </c>
      <c r="X20" s="145" t="n">
        <f aca="false">IFERROR('Price History'!C3+(INDEX('Price History'!C:C,MATCH(9.99E+307,'Price History'!$A:$A))-'Price History'!C3)*(ROW()-3)/(MATCH(9.99E+307,'Returns (Calc)'!$A:$A)-3),"")</f>
        <v>41.2425157232704</v>
      </c>
      <c r="Y20" s="145" t="n">
        <f aca="false">IFERROR('Price History'!D3+(INDEX('Price History'!D:D,MATCH(9.99E+307,'Price History'!$A:$A))-'Price History'!D3)*(ROW()-3)/(MATCH(9.99E+307,'Returns (Calc)'!$A:$A)-3),"")</f>
        <v>519.78251572327</v>
      </c>
      <c r="Z20" s="145" t="n">
        <f aca="false">IFERROR('Price History'!E3+(INDEX('Price History'!E:E,MATCH(9.99E+307,'Price History'!$A:$A))-'Price History'!E3)*(ROW()-3)/(MATCH(9.99E+307,'Returns (Calc)'!$A:$A)-3),"")</f>
        <v>73.2327044025157</v>
      </c>
      <c r="AA20" s="145" t="n">
        <f aca="false">IFERROR('Price History'!F3+(INDEX('Price History'!F:F,MATCH(9.99E+307,'Price History'!$A:$A))-'Price History'!F3)*(ROW()-3)/(MATCH(9.99E+307,'Returns (Calc)'!$A:$A)-3),"")</f>
        <v>67.2579874213837</v>
      </c>
      <c r="AB20" s="145" t="n">
        <f aca="false">IFERROR('Price History'!G3+(INDEX('Price History'!G:G,MATCH(9.99E+307,'Price History'!$A:$A))-'Price History'!G3)*(ROW()-3)/(MATCH(9.99E+307,'Returns (Calc)'!$A:$A)-3),"")</f>
        <v>36.9378616352201</v>
      </c>
      <c r="AC20" s="145" t="n">
        <f aca="false">IFERROR('Price History'!H3+(INDEX('Price History'!H:H,MATCH(9.99E+307,'Price History'!$A:$A))-'Price History'!H3)*(ROW()-3)/(MATCH(9.99E+307,'Returns (Calc)'!$A:$A)-3),"")</f>
        <v>89.8350943396226</v>
      </c>
      <c r="AD20" s="145" t="n">
        <f aca="false">IFERROR('Price History'!I3+(INDEX('Price History'!I:I,MATCH(9.99E+307,'Price History'!$A:$A))-'Price History'!I3)*(ROW()-3)/(MATCH(9.99E+307,'Returns (Calc)'!$A:$A)-3),"")</f>
        <v>39.6081761006289</v>
      </c>
      <c r="AE20" s="145" t="n">
        <f aca="false">IFERROR('Price History'!J3+(INDEX('Price History'!J:J,MATCH(9.99E+307,'Price History'!$A:$A))-'Price History'!J3)*(ROW()-3)/(MATCH(9.99E+307,'Returns (Calc)'!$A:$A)-3),"")</f>
        <v>61.7208805031447</v>
      </c>
      <c r="AF20" s="145" t="n">
        <f aca="false">IFERROR('Price History'!K3+(INDEX('Price History'!K:K,MATCH(9.99E+307,'Price History'!$A:$A))-'Price History'!K3)*(ROW()-3)/(MATCH(9.99E+307,'Returns (Calc)'!$A:$A)-3),"")</f>
        <v>39.0901886792453</v>
      </c>
      <c r="AG20" s="145" t="n">
        <f aca="false">IFERROR('Price History'!L3+(INDEX('Price History'!L:L,MATCH(9.99E+307,'Price History'!$A:$A))-'Price History'!L3)*(ROW()-3)/(MATCH(9.99E+307,'Returns (Calc)'!$A:$A)-3),"")</f>
        <v>99.8822641509434</v>
      </c>
      <c r="AH20" s="145" t="n">
        <f aca="false">IFERROR('Price History'!M3+(INDEX('Price History'!M:M,MATCH(9.99E+307,'Price History'!$A:$A))-'Price History'!M3)*(ROW()-3)/(MATCH(9.99E+307,'Returns (Calc)'!$A:$A)-3),"")</f>
        <v>13.6909433962264</v>
      </c>
      <c r="AI20" s="145" t="n">
        <f aca="false">IFERROR('Price History'!N3+(INDEX('Price History'!N:N,MATCH(9.99E+307,'Price History'!$A:$A))-'Price History'!N3)*(ROW()-3)/(MATCH(9.99E+307,'Returns (Calc)'!$A:$A)-3),"")</f>
        <v>19.4691823899371</v>
      </c>
      <c r="AJ20" s="145" t="n">
        <f aca="false">IFERROR('Price History'!O3+(INDEX('Price History'!O:O,MATCH(9.99E+307,'Price History'!$A:$A))-'Price History'!O3)*(ROW()-3)/(MATCH(9.99E+307,'Returns (Calc)'!$A:$A)-3),"")</f>
        <v>51.4683018867925</v>
      </c>
      <c r="AK20" s="145" t="n">
        <f aca="false">IFERROR('Price History'!Q3+(INDEX('Price History'!Q:Q,MATCH(9.99E+307,'Price History'!$A:$A))-'Price History'!Q3)*(ROW()-3)/(MATCH(9.99E+307,'Returns (Calc)'!$A:$A)-3),"")</f>
        <v>210.436855345912</v>
      </c>
      <c r="AL20" s="145" t="n">
        <f aca="false">IFERROR('Price History'!R3+(INDEX('Price History'!R:R,MATCH(9.99E+307,'Price History'!$A:$A))-'Price History'!R3)*(ROW()-3)/(MATCH(9.99E+307,'Returns (Calc)'!$A:$A)-3),"")</f>
        <v>42.7071698113208</v>
      </c>
      <c r="AM20" s="145" t="n">
        <f aca="false">IFERROR('Price History'!S3+(INDEX('Price History'!S:S,MATCH(9.99E+307,'Price History'!$A:$A))-'Price History'!S3)*(ROW()-3)/(MATCH(9.99E+307,'Returns (Calc)'!$A:$A)-3),"")</f>
        <v>52.2810062893082</v>
      </c>
      <c r="AN20" s="145" t="n">
        <f aca="false">IFERROR('Price History'!T3+(INDEX('Price History'!T:T,MATCH(9.99E+307,'Price History'!$A:$A))-'Price History'!T3)*(ROW()-3)/(MATCH(9.99E+307,'Returns (Calc)'!$A:$A)-3),"")</f>
        <v>24.0328301886792</v>
      </c>
      <c r="AO20" s="146" t="n">
        <f aca="false">IFERROR('Price History'!V3+(INDEX('Price History'!V:V,MATCH(9.99E+307,'Price History'!$A:$A))-'Price History'!V3)*(ROW()-3)/(MATCH(9.99E+307,'Returns (Calc)'!$A:$A)-3),"")</f>
        <v>0</v>
      </c>
    </row>
    <row r="21" customFormat="false" ht="15" hidden="false" customHeight="true" outlineLevel="0" collapsed="false">
      <c r="A21" s="142" t="n">
        <f aca="false">IF('Price History'!A22="","",'Price History'!A22)</f>
        <v>45317</v>
      </c>
      <c r="B21" s="143" t="n">
        <f aca="false">IFERROR(IF(OR(NOT(ISNUMBER('Price History'!B22)),NOT(ISNUMBER('Price History'!B21)),'Price History'!B21=0),"",'Price History'!B22/'Price History'!B21-1),"")</f>
        <v>0.00389175047011681</v>
      </c>
      <c r="C21" s="143" t="n">
        <f aca="false">IFERROR(IF(OR(NOT(ISNUMBER('Price History'!C22)),NOT(ISNUMBER('Price History'!C21)),'Price History'!C21=0),"",'Price History'!C22/'Price History'!C21-1),"")</f>
        <v>0.00333940497874918</v>
      </c>
      <c r="D21" s="143" t="n">
        <f aca="false">IFERROR(IF(OR(NOT(ISNUMBER('Price History'!D22)),NOT(ISNUMBER('Price History'!D21)),'Price History'!D21=0),"",'Price History'!D22/'Price History'!D21-1),"")</f>
        <v>0.145037240932643</v>
      </c>
      <c r="E21" s="143" t="n">
        <f aca="false">IFERROR(IF(OR(NOT(ISNUMBER('Price History'!E22)),NOT(ISNUMBER('Price History'!E21)),'Price History'!E21=0),"",'Price History'!E22/'Price History'!E21-1),"")</f>
        <v>-0.00517870786993802</v>
      </c>
      <c r="F21" s="143" t="n">
        <f aca="false">IFERROR(IF(OR(NOT(ISNUMBER('Price History'!F22)),NOT(ISNUMBER('Price History'!F21)),'Price History'!F21=0),"",'Price History'!F22/'Price History'!F21-1),"")</f>
        <v>0.023586040914561</v>
      </c>
      <c r="G21" s="143" t="n">
        <f aca="false">IFERROR(IF(OR(NOT(ISNUMBER('Price History'!G22)),NOT(ISNUMBER('Price History'!G21)),'Price History'!G21=0),"",'Price History'!G22/'Price History'!G21-1),"")</f>
        <v>-0.000825991189427389</v>
      </c>
      <c r="H21" s="143" t="n">
        <f aca="false">IFERROR(IF(OR(NOT(ISNUMBER('Price History'!H22)),NOT(ISNUMBER('Price History'!H21)),'Price History'!H21=0),"",'Price History'!H22/'Price History'!H21-1),"")</f>
        <v>0.0157495438394315</v>
      </c>
      <c r="I21" s="143" t="n">
        <f aca="false">IFERROR(IF(OR(NOT(ISNUMBER('Price History'!I22)),NOT(ISNUMBER('Price History'!I21)),'Price History'!I21=0),"",'Price History'!I22/'Price History'!I21-1),"")</f>
        <v>-0.0221592802399201</v>
      </c>
      <c r="J21" s="143" t="n">
        <f aca="false">IFERROR(IF(OR(NOT(ISNUMBER('Price History'!J22)),NOT(ISNUMBER('Price History'!J21)),'Price History'!J21=0),"",'Price History'!J22/'Price History'!J21-1),"")</f>
        <v>0.00622119815668221</v>
      </c>
      <c r="K21" s="143" t="n">
        <f aca="false">IFERROR(IF(OR(NOT(ISNUMBER('Price History'!K22)),NOT(ISNUMBER('Price History'!K21)),'Price History'!K21=0),"",'Price History'!K22/'Price History'!K21-1),"")</f>
        <v>0.0257923128792987</v>
      </c>
      <c r="L21" s="143" t="n">
        <f aca="false">IFERROR(IF(OR(NOT(ISNUMBER('Price History'!L22)),NOT(ISNUMBER('Price History'!L21)),'Price History'!L21=0),"",'Price History'!L22/'Price History'!L21-1),"")</f>
        <v>-0.0121847307430129</v>
      </c>
      <c r="M21" s="143" t="n">
        <f aca="false">IFERROR(IF(OR(NOT(ISNUMBER('Price History'!M22)),NOT(ISNUMBER('Price History'!M21)),'Price History'!M21=0),"",'Price History'!M22/'Price History'!M21-1),"")</f>
        <v>-0.0256257449344458</v>
      </c>
      <c r="N21" s="143" t="n">
        <f aca="false">IFERROR(IF(OR(NOT(ISNUMBER('Price History'!N22)),NOT(ISNUMBER('Price History'!N21)),'Price History'!N21=0),"",'Price History'!N22/'Price History'!N21-1),"")</f>
        <v>0.00562283737024227</v>
      </c>
      <c r="O21" s="143" t="n">
        <f aca="false">IFERROR(IF(OR(NOT(ISNUMBER('Price History'!O22)),NOT(ISNUMBER('Price History'!O21)),'Price History'!O21=0),"",'Price History'!O22/'Price History'!O21-1),"")</f>
        <v>0.0161290322580647</v>
      </c>
      <c r="P21" s="143" t="n">
        <f aca="false">IFERROR(IF(OR(NOT(ISNUMBER('Price History'!P22)),NOT(ISNUMBER('Price History'!P21)),'Price History'!P21=0),"",'Price History'!P22/'Price History'!P21-1),"")</f>
        <v>0.0268505079825836</v>
      </c>
      <c r="Q21" s="143" t="n">
        <f aca="false">IFERROR(IF(OR(NOT(ISNUMBER('Price History'!Q22)),NOT(ISNUMBER('Price History'!Q21)),'Price History'!Q21=0),"",'Price History'!Q22/'Price History'!Q21-1),"")</f>
        <v>-0.0109285498944831</v>
      </c>
      <c r="R21" s="143" t="n">
        <f aca="false">IFERROR(IF(OR(NOT(ISNUMBER('Price History'!R22)),NOT(ISNUMBER('Price History'!R21)),'Price History'!R21=0),"",'Price History'!R22/'Price History'!R21-1),"")</f>
        <v>0.00319999999999987</v>
      </c>
      <c r="S21" s="143" t="n">
        <f aca="false">IFERROR(IF(OR(NOT(ISNUMBER('Price History'!S22)),NOT(ISNUMBER('Price History'!S21)),'Price History'!S21=0),"",'Price History'!S22/'Price History'!S21-1),"")</f>
        <v>0.0124533001245333</v>
      </c>
      <c r="T21" s="143" t="n">
        <f aca="false">IFERROR(IF(OR(NOT(ISNUMBER('Price History'!T22)),NOT(ISNUMBER('Price History'!T21)),'Price History'!T21=0),"",'Price History'!T22/'Price History'!T21-1),"")</f>
        <v>0.00959488272921116</v>
      </c>
      <c r="U21" s="143" t="str">
        <f aca="false">IFERROR(IF(OR(NOT(ISNUMBER('Price History'!U22)),NOT(ISNUMBER('Price History'!U21)),'Price History'!U21=0),"",'Price History'!U22/'Price History'!U21-1),"")</f>
        <v/>
      </c>
      <c r="V21" s="144" t="n">
        <f aca="false">IFERROR(IF(OR(NOT(ISNUMBER('Price History'!V22)),NOT(ISNUMBER('Price History'!V21)),'Price History'!V21=0),"",'Price History'!V22/'Price History'!V21-1),"")</f>
        <v>0.0015430267062313</v>
      </c>
      <c r="W21" s="145" t="str">
        <f aca="false">IFERROR('Price History'!B3+(INDEX('Price History'!B:B,MATCH(9.99E+307,'Price History'!$A:$A))-'Price History'!B3)*(ROW()-3)/(MATCH(9.99E+307,'Returns (Calc)'!$A:$A)-3),"")</f>
        <v/>
      </c>
      <c r="X21" s="145" t="n">
        <f aca="false">IFERROR('Price History'!C3+(INDEX('Price History'!C:C,MATCH(9.99E+307,'Price History'!$A:$A))-'Price History'!C3)*(ROW()-3)/(MATCH(9.99E+307,'Returns (Calc)'!$A:$A)-3),"")</f>
        <v>40.9520754716981</v>
      </c>
      <c r="Y21" s="145" t="n">
        <f aca="false">IFERROR('Price History'!D3+(INDEX('Price History'!D:D,MATCH(9.99E+307,'Price History'!$A:$A))-'Price History'!D3)*(ROW()-3)/(MATCH(9.99E+307,'Returns (Calc)'!$A:$A)-3),"")</f>
        <v>516.122075471698</v>
      </c>
      <c r="Z21" s="145" t="n">
        <f aca="false">IFERROR('Price History'!E3+(INDEX('Price History'!E:E,MATCH(9.99E+307,'Price History'!$A:$A))-'Price History'!E3)*(ROW()-3)/(MATCH(9.99E+307,'Returns (Calc)'!$A:$A)-3),"")</f>
        <v>72.7169811320755</v>
      </c>
      <c r="AA21" s="145" t="n">
        <f aca="false">IFERROR('Price History'!F3+(INDEX('Price History'!F:F,MATCH(9.99E+307,'Price History'!$A:$A))-'Price History'!F3)*(ROW()-3)/(MATCH(9.99E+307,'Returns (Calc)'!$A:$A)-3),"")</f>
        <v>66.7843396226415</v>
      </c>
      <c r="AB21" s="145" t="n">
        <f aca="false">IFERROR('Price History'!G3+(INDEX('Price History'!G:G,MATCH(9.99E+307,'Price History'!$A:$A))-'Price History'!G3)*(ROW()-3)/(MATCH(9.99E+307,'Returns (Calc)'!$A:$A)-3),"")</f>
        <v>36.6777358490566</v>
      </c>
      <c r="AC21" s="145" t="n">
        <f aca="false">IFERROR('Price History'!H3+(INDEX('Price History'!H:H,MATCH(9.99E+307,'Price History'!$A:$A))-'Price History'!H3)*(ROW()-3)/(MATCH(9.99E+307,'Returns (Calc)'!$A:$A)-3),"")</f>
        <v>89.2024528301887</v>
      </c>
      <c r="AD21" s="145" t="n">
        <f aca="false">IFERROR('Price History'!I3+(INDEX('Price History'!I:I,MATCH(9.99E+307,'Price History'!$A:$A))-'Price History'!I3)*(ROW()-3)/(MATCH(9.99E+307,'Returns (Calc)'!$A:$A)-3),"")</f>
        <v>39.3292452830189</v>
      </c>
      <c r="AE21" s="145" t="n">
        <f aca="false">IFERROR('Price History'!J3+(INDEX('Price History'!J:J,MATCH(9.99E+307,'Price History'!$A:$A))-'Price History'!J3)*(ROW()-3)/(MATCH(9.99E+307,'Returns (Calc)'!$A:$A)-3),"")</f>
        <v>61.2862264150943</v>
      </c>
      <c r="AF21" s="145" t="n">
        <f aca="false">IFERROR('Price History'!K3+(INDEX('Price History'!K:K,MATCH(9.99E+307,'Price History'!$A:$A))-'Price History'!K3)*(ROW()-3)/(MATCH(9.99E+307,'Returns (Calc)'!$A:$A)-3),"")</f>
        <v>38.8149056603774</v>
      </c>
      <c r="AG21" s="145" t="n">
        <f aca="false">IFERROR('Price History'!L3+(INDEX('Price History'!L:L,MATCH(9.99E+307,'Price History'!$A:$A))-'Price History'!L3)*(ROW()-3)/(MATCH(9.99E+307,'Returns (Calc)'!$A:$A)-3),"")</f>
        <v>99.1788679245283</v>
      </c>
      <c r="AH21" s="145" t="n">
        <f aca="false">IFERROR('Price History'!M3+(INDEX('Price History'!M:M,MATCH(9.99E+307,'Price History'!$A:$A))-'Price History'!M3)*(ROW()-3)/(MATCH(9.99E+307,'Returns (Calc)'!$A:$A)-3),"")</f>
        <v>13.5945283018868</v>
      </c>
      <c r="AI21" s="145" t="n">
        <f aca="false">IFERROR('Price History'!N3+(INDEX('Price History'!N:N,MATCH(9.99E+307,'Price History'!$A:$A))-'Price History'!N3)*(ROW()-3)/(MATCH(9.99E+307,'Returns (Calc)'!$A:$A)-3),"")</f>
        <v>19.3320754716981</v>
      </c>
      <c r="AJ21" s="145" t="n">
        <f aca="false">IFERROR('Price History'!O3+(INDEX('Price History'!O:O,MATCH(9.99E+307,'Price History'!$A:$A))-'Price History'!O3)*(ROW()-3)/(MATCH(9.99E+307,'Returns (Calc)'!$A:$A)-3),"")</f>
        <v>51.1058490566038</v>
      </c>
      <c r="AK21" s="145" t="n">
        <f aca="false">IFERROR('Price History'!Q3+(INDEX('Price History'!Q:Q,MATCH(9.99E+307,'Price History'!$A:$A))-'Price History'!Q3)*(ROW()-3)/(MATCH(9.99E+307,'Returns (Calc)'!$A:$A)-3),"")</f>
        <v>208.954905660377</v>
      </c>
      <c r="AL21" s="145" t="n">
        <f aca="false">IFERROR('Price History'!R3+(INDEX('Price History'!R:R,MATCH(9.99E+307,'Price History'!$A:$A))-'Price History'!R3)*(ROW()-3)/(MATCH(9.99E+307,'Returns (Calc)'!$A:$A)-3),"")</f>
        <v>42.4064150943396</v>
      </c>
      <c r="AM21" s="145" t="n">
        <f aca="false">IFERROR('Price History'!S3+(INDEX('Price History'!S:S,MATCH(9.99E+307,'Price History'!$A:$A))-'Price History'!S3)*(ROW()-3)/(MATCH(9.99E+307,'Returns (Calc)'!$A:$A)-3),"")</f>
        <v>51.9128301886792</v>
      </c>
      <c r="AN21" s="145" t="n">
        <f aca="false">IFERROR('Price History'!T3+(INDEX('Price History'!T:T,MATCH(9.99E+307,'Price History'!$A:$A))-'Price History'!T3)*(ROW()-3)/(MATCH(9.99E+307,'Returns (Calc)'!$A:$A)-3),"")</f>
        <v>23.8635849056604</v>
      </c>
      <c r="AO21" s="146" t="n">
        <f aca="false">IFERROR('Price History'!V3+(INDEX('Price History'!V:V,MATCH(9.99E+307,'Price History'!$A:$A))-'Price History'!V3)*(ROW()-3)/(MATCH(9.99E+307,'Returns (Calc)'!$A:$A)-3),"")</f>
        <v>0</v>
      </c>
    </row>
    <row r="22" customFormat="false" ht="15" hidden="false" customHeight="true" outlineLevel="0" collapsed="false">
      <c r="A22" s="142" t="n">
        <f aca="false">IF('Price History'!A23="","",'Price History'!A23)</f>
        <v>45324</v>
      </c>
      <c r="B22" s="143" t="n">
        <f aca="false">IFERROR(IF(OR(NOT(ISNUMBER('Price History'!B23)),NOT(ISNUMBER('Price History'!B22)),'Price History'!B22=0),"",'Price History'!B23/'Price History'!B22-1),"")</f>
        <v>0.0339289495545096</v>
      </c>
      <c r="C22" s="143" t="n">
        <f aca="false">IFERROR(IF(OR(NOT(ISNUMBER('Price History'!C23)),NOT(ISNUMBER('Price History'!C22)),'Price History'!C22=0),"",'Price History'!C23/'Price History'!C22-1),"")</f>
        <v>0.032980332829047</v>
      </c>
      <c r="D22" s="143" t="n">
        <f aca="false">IFERROR(IF(OR(NOT(ISNUMBER('Price History'!D23)),NOT(ISNUMBER('Price History'!D22)),'Price History'!D22=0),"",'Price History'!D23/'Price History'!D22-1),"")</f>
        <v>0.0264078905504295</v>
      </c>
      <c r="E22" s="143" t="n">
        <f aca="false">IFERROR(IF(OR(NOT(ISNUMBER('Price History'!E23)),NOT(ISNUMBER('Price History'!E22)),'Price History'!E22=0),"",'Price History'!E23/'Price History'!E22-1),"")</f>
        <v>0.0161290322580645</v>
      </c>
      <c r="F22" s="143" t="n">
        <f aca="false">IFERROR(IF(OR(NOT(ISNUMBER('Price History'!F23)),NOT(ISNUMBER('Price History'!F22)),'Price History'!F22=0),"",'Price History'!F23/'Price History'!F22-1),"")</f>
        <v>-0.0186926875146956</v>
      </c>
      <c r="G22" s="143" t="n">
        <f aca="false">IFERROR(IF(OR(NOT(ISNUMBER('Price History'!G23)),NOT(ISNUMBER('Price History'!G22)),'Price History'!G22=0),"",'Price History'!G23/'Price History'!G22-1),"")</f>
        <v>0.0456048498208874</v>
      </c>
      <c r="H22" s="143" t="n">
        <f aca="false">IFERROR(IF(OR(NOT(ISNUMBER('Price History'!H23)),NOT(ISNUMBER('Price History'!H22)),'Price History'!H22=0),"",'Price History'!H23/'Price History'!H22-1),"")</f>
        <v>-0.0128580883048123</v>
      </c>
      <c r="I22" s="143" t="n">
        <f aca="false">IFERROR(IF(OR(NOT(ISNUMBER('Price History'!I23)),NOT(ISNUMBER('Price History'!I22)),'Price History'!I22=0),"",'Price History'!I23/'Price History'!I22-1),"")</f>
        <v>0.0081785653433295</v>
      </c>
      <c r="J22" s="143" t="n">
        <f aca="false">IFERROR(IF(OR(NOT(ISNUMBER('Price History'!J23)),NOT(ISNUMBER('Price History'!J22)),'Price History'!J22=0),"",'Price History'!J23/'Price History'!J22-1),"")</f>
        <v>-0.0178612319670255</v>
      </c>
      <c r="K22" s="143" t="n">
        <f aca="false">IFERROR(IF(OR(NOT(ISNUMBER('Price History'!K23)),NOT(ISNUMBER('Price History'!K22)),'Price History'!K22=0),"",'Price History'!K23/'Price History'!K22-1),"")</f>
        <v>0.0841413311421528</v>
      </c>
      <c r="L22" s="143" t="n">
        <f aca="false">IFERROR(IF(OR(NOT(ISNUMBER('Price History'!L23)),NOT(ISNUMBER('Price History'!L22)),'Price History'!L22=0),"",'Price History'!L23/'Price History'!L22-1),"")</f>
        <v>0.0187181920124211</v>
      </c>
      <c r="M22" s="143" t="n">
        <f aca="false">IFERROR(IF(OR(NOT(ISNUMBER('Price History'!M23)),NOT(ISNUMBER('Price History'!M22)),'Price History'!M22=0),"",'Price History'!M23/'Price History'!M22-1),"")</f>
        <v>0.0409785932721711</v>
      </c>
      <c r="N22" s="143" t="n">
        <f aca="false">IFERROR(IF(OR(NOT(ISNUMBER('Price History'!N23)),NOT(ISNUMBER('Price History'!N22)),'Price History'!N22=0),"",'Price History'!N23/'Price History'!N22-1),"")</f>
        <v>-0.000430107526881773</v>
      </c>
      <c r="O22" s="143" t="n">
        <f aca="false">IFERROR(IF(OR(NOT(ISNUMBER('Price History'!O23)),NOT(ISNUMBER('Price History'!O22)),'Price History'!O22=0),"",'Price History'!O23/'Price History'!O22-1),"")</f>
        <v>0.0457084068195179</v>
      </c>
      <c r="P22" s="143" t="n">
        <f aca="false">IFERROR(IF(OR(NOT(ISNUMBER('Price History'!P23)),NOT(ISNUMBER('Price History'!P22)),'Price History'!P22=0),"",'Price History'!P23/'Price History'!P22-1),"")</f>
        <v>-0.0128975265017669</v>
      </c>
      <c r="Q22" s="143" t="n">
        <f aca="false">IFERROR(IF(OR(NOT(ISNUMBER('Price History'!Q23)),NOT(ISNUMBER('Price History'!Q22)),'Price History'!Q22=0),"",'Price History'!Q23/'Price History'!Q22-1),"")</f>
        <v>0.0344814447915873</v>
      </c>
      <c r="R22" s="143" t="n">
        <f aca="false">IFERROR(IF(OR(NOT(ISNUMBER('Price History'!R23)),NOT(ISNUMBER('Price History'!R22)),'Price History'!R22=0),"",'Price History'!R23/'Price History'!R22-1),"")</f>
        <v>-0.00458532695374792</v>
      </c>
      <c r="S22" s="143" t="n">
        <f aca="false">IFERROR(IF(OR(NOT(ISNUMBER('Price History'!S23)),NOT(ISNUMBER('Price History'!S22)),'Price History'!S22=0),"",'Price History'!S23/'Price History'!S22-1),"")</f>
        <v>0.00707257072570711</v>
      </c>
      <c r="T22" s="143" t="n">
        <f aca="false">IFERROR(IF(OR(NOT(ISNUMBER('Price History'!T23)),NOT(ISNUMBER('Price History'!T22)),'Price History'!T22=0),"",'Price History'!T23/'Price History'!T22-1),"")</f>
        <v>-0.0024639211545231</v>
      </c>
      <c r="U22" s="143" t="str">
        <f aca="false">IFERROR(IF(OR(NOT(ISNUMBER('Price History'!U23)),NOT(ISNUMBER('Price History'!U22)),'Price History'!U22=0),"",'Price History'!U23/'Price History'!U22-1),"")</f>
        <v/>
      </c>
      <c r="V22" s="144" t="n">
        <f aca="false">IFERROR(IF(OR(NOT(ISNUMBER('Price History'!V23)),NOT(ISNUMBER('Price History'!V22)),'Price History'!V22=0),"",'Price History'!V23/'Price History'!V22-1),"")</f>
        <v>0.00742672039187808</v>
      </c>
      <c r="W22" s="145" t="str">
        <f aca="false">IFERROR('Price History'!B3+(INDEX('Price History'!B:B,MATCH(9.99E+307,'Price History'!$A:$A))-'Price History'!B3)*(ROW()-3)/(MATCH(9.99E+307,'Returns (Calc)'!$A:$A)-3),"")</f>
        <v/>
      </c>
      <c r="X22" s="145" t="n">
        <f aca="false">IFERROR('Price History'!C3+(INDEX('Price History'!C:C,MATCH(9.99E+307,'Price History'!$A:$A))-'Price History'!C3)*(ROW()-3)/(MATCH(9.99E+307,'Returns (Calc)'!$A:$A)-3),"")</f>
        <v>40.6616352201258</v>
      </c>
      <c r="Y22" s="145" t="n">
        <f aca="false">IFERROR('Price History'!D3+(INDEX('Price History'!D:D,MATCH(9.99E+307,'Price History'!$A:$A))-'Price History'!D3)*(ROW()-3)/(MATCH(9.99E+307,'Returns (Calc)'!$A:$A)-3),"")</f>
        <v>512.461635220126</v>
      </c>
      <c r="Z22" s="145" t="n">
        <f aca="false">IFERROR('Price History'!E3+(INDEX('Price History'!E:E,MATCH(9.99E+307,'Price History'!$A:$A))-'Price History'!E3)*(ROW()-3)/(MATCH(9.99E+307,'Returns (Calc)'!$A:$A)-3),"")</f>
        <v>72.2012578616352</v>
      </c>
      <c r="AA22" s="145" t="n">
        <f aca="false">IFERROR('Price History'!F3+(INDEX('Price History'!F:F,MATCH(9.99E+307,'Price History'!$A:$A))-'Price History'!F3)*(ROW()-3)/(MATCH(9.99E+307,'Returns (Calc)'!$A:$A)-3),"")</f>
        <v>66.3106918238994</v>
      </c>
      <c r="AB22" s="145" t="n">
        <f aca="false">IFERROR('Price History'!G3+(INDEX('Price History'!G:G,MATCH(9.99E+307,'Price History'!$A:$A))-'Price History'!G3)*(ROW()-3)/(MATCH(9.99E+307,'Returns (Calc)'!$A:$A)-3),"")</f>
        <v>36.4176100628931</v>
      </c>
      <c r="AC22" s="145" t="n">
        <f aca="false">IFERROR('Price History'!H3+(INDEX('Price History'!H:H,MATCH(9.99E+307,'Price History'!$A:$A))-'Price History'!H3)*(ROW()-3)/(MATCH(9.99E+307,'Returns (Calc)'!$A:$A)-3),"")</f>
        <v>88.5698113207547</v>
      </c>
      <c r="AD22" s="145" t="n">
        <f aca="false">IFERROR('Price History'!I3+(INDEX('Price History'!I:I,MATCH(9.99E+307,'Price History'!$A:$A))-'Price History'!I3)*(ROW()-3)/(MATCH(9.99E+307,'Returns (Calc)'!$A:$A)-3),"")</f>
        <v>39.0503144654088</v>
      </c>
      <c r="AE22" s="145" t="n">
        <f aca="false">IFERROR('Price History'!J3+(INDEX('Price History'!J:J,MATCH(9.99E+307,'Price History'!$A:$A))-'Price History'!J3)*(ROW()-3)/(MATCH(9.99E+307,'Returns (Calc)'!$A:$A)-3),"")</f>
        <v>60.851572327044</v>
      </c>
      <c r="AF22" s="145" t="n">
        <f aca="false">IFERROR('Price History'!K3+(INDEX('Price History'!K:K,MATCH(9.99E+307,'Price History'!$A:$A))-'Price History'!K3)*(ROW()-3)/(MATCH(9.99E+307,'Returns (Calc)'!$A:$A)-3),"")</f>
        <v>38.5396226415094</v>
      </c>
      <c r="AG22" s="145" t="n">
        <f aca="false">IFERROR('Price History'!L3+(INDEX('Price History'!L:L,MATCH(9.99E+307,'Price History'!$A:$A))-'Price History'!L3)*(ROW()-3)/(MATCH(9.99E+307,'Returns (Calc)'!$A:$A)-3),"")</f>
        <v>98.4754716981132</v>
      </c>
      <c r="AH22" s="145" t="n">
        <f aca="false">IFERROR('Price History'!M3+(INDEX('Price History'!M:M,MATCH(9.99E+307,'Price History'!$A:$A))-'Price History'!M3)*(ROW()-3)/(MATCH(9.99E+307,'Returns (Calc)'!$A:$A)-3),"")</f>
        <v>13.4981132075472</v>
      </c>
      <c r="AI22" s="145" t="n">
        <f aca="false">IFERROR('Price History'!N3+(INDEX('Price History'!N:N,MATCH(9.99E+307,'Price History'!$A:$A))-'Price History'!N3)*(ROW()-3)/(MATCH(9.99E+307,'Returns (Calc)'!$A:$A)-3),"")</f>
        <v>19.1949685534591</v>
      </c>
      <c r="AJ22" s="145" t="n">
        <f aca="false">IFERROR('Price History'!O3+(INDEX('Price History'!O:O,MATCH(9.99E+307,'Price History'!$A:$A))-'Price History'!O3)*(ROW()-3)/(MATCH(9.99E+307,'Returns (Calc)'!$A:$A)-3),"")</f>
        <v>50.7433962264151</v>
      </c>
      <c r="AK22" s="145" t="n">
        <f aca="false">IFERROR('Price History'!Q3+(INDEX('Price History'!Q:Q,MATCH(9.99E+307,'Price History'!$A:$A))-'Price History'!Q3)*(ROW()-3)/(MATCH(9.99E+307,'Returns (Calc)'!$A:$A)-3),"")</f>
        <v>207.472955974843</v>
      </c>
      <c r="AL22" s="145" t="n">
        <f aca="false">IFERROR('Price History'!R3+(INDEX('Price History'!R:R,MATCH(9.99E+307,'Price History'!$A:$A))-'Price History'!R3)*(ROW()-3)/(MATCH(9.99E+307,'Returns (Calc)'!$A:$A)-3),"")</f>
        <v>42.1056603773585</v>
      </c>
      <c r="AM22" s="145" t="n">
        <f aca="false">IFERROR('Price History'!S3+(INDEX('Price History'!S:S,MATCH(9.99E+307,'Price History'!$A:$A))-'Price History'!S3)*(ROW()-3)/(MATCH(9.99E+307,'Returns (Calc)'!$A:$A)-3),"")</f>
        <v>51.5446540880503</v>
      </c>
      <c r="AN22" s="145" t="n">
        <f aca="false">IFERROR('Price History'!T3+(INDEX('Price History'!T:T,MATCH(9.99E+307,'Price History'!$A:$A))-'Price History'!T3)*(ROW()-3)/(MATCH(9.99E+307,'Returns (Calc)'!$A:$A)-3),"")</f>
        <v>23.6943396226415</v>
      </c>
      <c r="AO22" s="146" t="n">
        <f aca="false">IFERROR('Price History'!V3+(INDEX('Price History'!V:V,MATCH(9.99E+307,'Price History'!$A:$A))-'Price History'!V3)*(ROW()-3)/(MATCH(9.99E+307,'Returns (Calc)'!$A:$A)-3),"")</f>
        <v>0</v>
      </c>
    </row>
    <row r="23" customFormat="false" ht="15" hidden="false" customHeight="true" outlineLevel="0" collapsed="false">
      <c r="A23" s="142" t="n">
        <f aca="false">IF('Price History'!A24="","",'Price History'!A24)</f>
        <v>45331</v>
      </c>
      <c r="B23" s="143" t="n">
        <f aca="false">IFERROR(IF(OR(NOT(ISNUMBER('Price History'!B24)),NOT(ISNUMBER('Price History'!B23)),'Price History'!B23=0),"",'Price History'!B24/'Price History'!B23-1),"")</f>
        <v>-0.0118942592475896</v>
      </c>
      <c r="C23" s="143" t="n">
        <f aca="false">IFERROR(IF(OR(NOT(ISNUMBER('Price History'!C24)),NOT(ISNUMBER('Price History'!C23)),'Price History'!C23=0),"",'Price History'!C24/'Price History'!C23-1),"")</f>
        <v>0.0341241944932631</v>
      </c>
      <c r="D23" s="143" t="n">
        <f aca="false">IFERROR(IF(OR(NOT(ISNUMBER('Price History'!D24)),NOT(ISNUMBER('Price History'!D23)),'Price History'!D23=0),"",'Price History'!D24/'Price History'!D23-1),"")</f>
        <v>0.0680351771486303</v>
      </c>
      <c r="E23" s="143" t="n">
        <f aca="false">IFERROR(IF(OR(NOT(ISNUMBER('Price History'!E24)),NOT(ISNUMBER('Price History'!E23)),'Price History'!E23=0),"",'Price History'!E24/'Price History'!E23-1),"")</f>
        <v>0.0482909213067944</v>
      </c>
      <c r="F23" s="143" t="n">
        <f aca="false">IFERROR(IF(OR(NOT(ISNUMBER('Price History'!F24)),NOT(ISNUMBER('Price History'!F23)),'Price History'!F23=0),"",'Price History'!F24/'Price History'!F23-1),"")</f>
        <v>0.00898526416676648</v>
      </c>
      <c r="G23" s="143" t="n">
        <f aca="false">IFERROR(IF(OR(NOT(ISNUMBER('Price History'!G24)),NOT(ISNUMBER('Price History'!G23)),'Price History'!G23=0),"",'Price History'!G24/'Price History'!G23-1),"")</f>
        <v>0.0848596653050469</v>
      </c>
      <c r="H23" s="143" t="n">
        <f aca="false">IFERROR(IF(OR(NOT(ISNUMBER('Price History'!H24)),NOT(ISNUMBER('Price History'!H23)),'Price History'!H23=0),"",'Price History'!H24/'Price History'!H23-1),"")</f>
        <v>-0.00890719279762464</v>
      </c>
      <c r="I23" s="143" t="n">
        <f aca="false">IFERROR(IF(OR(NOT(ISNUMBER('Price History'!I24)),NOT(ISNUMBER('Price History'!I23)),'Price History'!I23=0),"",'Price History'!I24/'Price History'!I23-1),"")</f>
        <v>0.0753760351529491</v>
      </c>
      <c r="J23" s="143" t="n">
        <f aca="false">IFERROR(IF(OR(NOT(ISNUMBER('Price History'!J24)),NOT(ISNUMBER('Price History'!J23)),'Price History'!J23=0),"",'Price History'!J24/'Price History'!J23-1),"")</f>
        <v>-0.0106085334576824</v>
      </c>
      <c r="K23" s="143" t="n">
        <f aca="false">IFERROR(IF(OR(NOT(ISNUMBER('Price History'!K24)),NOT(ISNUMBER('Price History'!K23)),'Price History'!K23=0),"",'Price History'!K24/'Price History'!K23-1),"")</f>
        <v>0.0901925117477642</v>
      </c>
      <c r="L23" s="143" t="n">
        <f aca="false">IFERROR(IF(OR(NOT(ISNUMBER('Price History'!L24)),NOT(ISNUMBER('Price History'!L23)),'Price History'!L23=0),"",'Price History'!L24/'Price History'!L23-1),"")</f>
        <v>0.0249788314987298</v>
      </c>
      <c r="M23" s="143" t="n">
        <f aca="false">IFERROR(IF(OR(NOT(ISNUMBER('Price History'!M24)),NOT(ISNUMBER('Price History'!M23)),'Price History'!M23=0),"",'Price History'!M24/'Price History'!M23-1),"")</f>
        <v>0.432432432432432</v>
      </c>
      <c r="N23" s="143" t="n">
        <f aca="false">IFERROR(IF(OR(NOT(ISNUMBER('Price History'!N24)),NOT(ISNUMBER('Price History'!N23)),'Price History'!N23=0),"",'Price History'!N24/'Price History'!N23-1),"")</f>
        <v>-0.00258175559380369</v>
      </c>
      <c r="O23" s="143" t="n">
        <f aca="false">IFERROR(IF(OR(NOT(ISNUMBER('Price History'!O24)),NOT(ISNUMBER('Price History'!O23)),'Price History'!O23=0),"",'Price History'!O24/'Price History'!O23-1),"")</f>
        <v>0.0238931834153195</v>
      </c>
      <c r="P23" s="143" t="n">
        <f aca="false">IFERROR(IF(OR(NOT(ISNUMBER('Price History'!P24)),NOT(ISNUMBER('Price History'!P23)),'Price History'!P23=0),"",'Price History'!P24/'Price History'!P23-1),"")</f>
        <v>0.149991050653302</v>
      </c>
      <c r="Q23" s="143" t="n">
        <f aca="false">IFERROR(IF(OR(NOT(ISNUMBER('Price History'!Q24)),NOT(ISNUMBER('Price History'!Q23)),'Price History'!Q23=0),"",'Price History'!Q24/'Price History'!Q23-1),"")</f>
        <v>-0.000847114286766648</v>
      </c>
      <c r="R23" s="143" t="n">
        <f aca="false">IFERROR(IF(OR(NOT(ISNUMBER('Price History'!R24)),NOT(ISNUMBER('Price History'!R23)),'Price History'!R23=0),"",'Price History'!R24/'Price History'!R23-1),"")</f>
        <v>-0.0156218706188664</v>
      </c>
      <c r="S23" s="143" t="n">
        <f aca="false">IFERROR(IF(OR(NOT(ISNUMBER('Price History'!S24)),NOT(ISNUMBER('Price History'!S23)),'Price History'!S23=0),"",'Price History'!S24/'Price History'!S23-1),"")</f>
        <v>-0.0103816793893131</v>
      </c>
      <c r="T23" s="143" t="n">
        <f aca="false">IFERROR(IF(OR(NOT(ISNUMBER('Price History'!T24)),NOT(ISNUMBER('Price History'!T23)),'Price History'!T23=0),"",'Price History'!T24/'Price History'!T23-1),"")</f>
        <v>0.00105857445307</v>
      </c>
      <c r="U23" s="143" t="str">
        <f aca="false">IFERROR(IF(OR(NOT(ISNUMBER('Price History'!U24)),NOT(ISNUMBER('Price History'!U23)),'Price History'!U23=0),"",'Price History'!U24/'Price History'!U23-1),"")</f>
        <v/>
      </c>
      <c r="V23" s="144" t="n">
        <f aca="false">IFERROR(IF(OR(NOT(ISNUMBER('Price History'!V24)),NOT(ISNUMBER('Price History'!V23)),'Price History'!V23=0),"",'Price History'!V24/'Price History'!V23-1),"")</f>
        <v>-0.00254881970041565</v>
      </c>
      <c r="W23" s="145" t="str">
        <f aca="false">IFERROR('Price History'!B3+(INDEX('Price History'!B:B,MATCH(9.99E+307,'Price History'!$A:$A))-'Price History'!B3)*(ROW()-3)/(MATCH(9.99E+307,'Returns (Calc)'!$A:$A)-3),"")</f>
        <v/>
      </c>
      <c r="X23" s="145" t="n">
        <f aca="false">IFERROR('Price History'!C3+(INDEX('Price History'!C:C,MATCH(9.99E+307,'Price History'!$A:$A))-'Price History'!C3)*(ROW()-3)/(MATCH(9.99E+307,'Returns (Calc)'!$A:$A)-3),"")</f>
        <v>40.3711949685535</v>
      </c>
      <c r="Y23" s="145" t="n">
        <f aca="false">IFERROR('Price History'!D3+(INDEX('Price History'!D:D,MATCH(9.99E+307,'Price History'!$A:$A))-'Price History'!D3)*(ROW()-3)/(MATCH(9.99E+307,'Returns (Calc)'!$A:$A)-3),"")</f>
        <v>508.801194968553</v>
      </c>
      <c r="Z23" s="145" t="n">
        <f aca="false">IFERROR('Price History'!E3+(INDEX('Price History'!E:E,MATCH(9.99E+307,'Price History'!$A:$A))-'Price History'!E3)*(ROW()-3)/(MATCH(9.99E+307,'Returns (Calc)'!$A:$A)-3),"")</f>
        <v>71.685534591195</v>
      </c>
      <c r="AA23" s="145" t="n">
        <f aca="false">IFERROR('Price History'!F3+(INDEX('Price History'!F:F,MATCH(9.99E+307,'Price History'!$A:$A))-'Price History'!F3)*(ROW()-3)/(MATCH(9.99E+307,'Returns (Calc)'!$A:$A)-3),"")</f>
        <v>65.8370440251572</v>
      </c>
      <c r="AB23" s="145" t="n">
        <f aca="false">IFERROR('Price History'!G3+(INDEX('Price History'!G:G,MATCH(9.99E+307,'Price History'!$A:$A))-'Price History'!G3)*(ROW()-3)/(MATCH(9.99E+307,'Returns (Calc)'!$A:$A)-3),"")</f>
        <v>36.1574842767296</v>
      </c>
      <c r="AC23" s="145" t="n">
        <f aca="false">IFERROR('Price History'!H3+(INDEX('Price History'!H:H,MATCH(9.99E+307,'Price History'!$A:$A))-'Price History'!H3)*(ROW()-3)/(MATCH(9.99E+307,'Returns (Calc)'!$A:$A)-3),"")</f>
        <v>87.9371698113208</v>
      </c>
      <c r="AD23" s="145" t="n">
        <f aca="false">IFERROR('Price History'!I3+(INDEX('Price History'!I:I,MATCH(9.99E+307,'Price History'!$A:$A))-'Price History'!I3)*(ROW()-3)/(MATCH(9.99E+307,'Returns (Calc)'!$A:$A)-3),"")</f>
        <v>38.7713836477987</v>
      </c>
      <c r="AE23" s="145" t="n">
        <f aca="false">IFERROR('Price History'!J3+(INDEX('Price History'!J:J,MATCH(9.99E+307,'Price History'!$A:$A))-'Price History'!J3)*(ROW()-3)/(MATCH(9.99E+307,'Returns (Calc)'!$A:$A)-3),"")</f>
        <v>60.4169182389937</v>
      </c>
      <c r="AF23" s="145" t="n">
        <f aca="false">IFERROR('Price History'!K3+(INDEX('Price History'!K:K,MATCH(9.99E+307,'Price History'!$A:$A))-'Price History'!K3)*(ROW()-3)/(MATCH(9.99E+307,'Returns (Calc)'!$A:$A)-3),"")</f>
        <v>38.2643396226415</v>
      </c>
      <c r="AG23" s="145" t="n">
        <f aca="false">IFERROR('Price History'!L3+(INDEX('Price History'!L:L,MATCH(9.99E+307,'Price History'!$A:$A))-'Price History'!L3)*(ROW()-3)/(MATCH(9.99E+307,'Returns (Calc)'!$A:$A)-3),"")</f>
        <v>97.7720754716981</v>
      </c>
      <c r="AH23" s="145" t="n">
        <f aca="false">IFERROR('Price History'!M3+(INDEX('Price History'!M:M,MATCH(9.99E+307,'Price History'!$A:$A))-'Price History'!M3)*(ROW()-3)/(MATCH(9.99E+307,'Returns (Calc)'!$A:$A)-3),"")</f>
        <v>13.4016981132075</v>
      </c>
      <c r="AI23" s="145" t="n">
        <f aca="false">IFERROR('Price History'!N3+(INDEX('Price History'!N:N,MATCH(9.99E+307,'Price History'!$A:$A))-'Price History'!N3)*(ROW()-3)/(MATCH(9.99E+307,'Returns (Calc)'!$A:$A)-3),"")</f>
        <v>19.0578616352201</v>
      </c>
      <c r="AJ23" s="145" t="n">
        <f aca="false">IFERROR('Price History'!O3+(INDEX('Price History'!O:O,MATCH(9.99E+307,'Price History'!$A:$A))-'Price History'!O3)*(ROW()-3)/(MATCH(9.99E+307,'Returns (Calc)'!$A:$A)-3),"")</f>
        <v>50.3809433962264</v>
      </c>
      <c r="AK23" s="145" t="n">
        <f aca="false">IFERROR('Price History'!Q3+(INDEX('Price History'!Q:Q,MATCH(9.99E+307,'Price History'!$A:$A))-'Price History'!Q3)*(ROW()-3)/(MATCH(9.99E+307,'Returns (Calc)'!$A:$A)-3),"")</f>
        <v>205.991006289308</v>
      </c>
      <c r="AL23" s="145" t="n">
        <f aca="false">IFERROR('Price History'!R3+(INDEX('Price History'!R:R,MATCH(9.99E+307,'Price History'!$A:$A))-'Price History'!R3)*(ROW()-3)/(MATCH(9.99E+307,'Returns (Calc)'!$A:$A)-3),"")</f>
        <v>41.8049056603774</v>
      </c>
      <c r="AM23" s="145" t="n">
        <f aca="false">IFERROR('Price History'!S3+(INDEX('Price History'!S:S,MATCH(9.99E+307,'Price History'!$A:$A))-'Price History'!S3)*(ROW()-3)/(MATCH(9.99E+307,'Returns (Calc)'!$A:$A)-3),"")</f>
        <v>51.1764779874214</v>
      </c>
      <c r="AN23" s="145" t="n">
        <f aca="false">IFERROR('Price History'!T3+(INDEX('Price History'!T:T,MATCH(9.99E+307,'Price History'!$A:$A))-'Price History'!T3)*(ROW()-3)/(MATCH(9.99E+307,'Returns (Calc)'!$A:$A)-3),"")</f>
        <v>23.5250943396226</v>
      </c>
      <c r="AO23" s="146" t="n">
        <f aca="false">IFERROR('Price History'!V3+(INDEX('Price History'!V:V,MATCH(9.99E+307,'Price History'!$A:$A))-'Price History'!V3)*(ROW()-3)/(MATCH(9.99E+307,'Returns (Calc)'!$A:$A)-3),"")</f>
        <v>0</v>
      </c>
    </row>
    <row r="24" customFormat="false" ht="15" hidden="false" customHeight="true" outlineLevel="0" collapsed="false">
      <c r="A24" s="142" t="n">
        <f aca="false">IF('Price History'!A25="","",'Price History'!A25)</f>
        <v>45338</v>
      </c>
      <c r="B24" s="143" t="n">
        <f aca="false">IFERROR(IF(OR(NOT(ISNUMBER('Price History'!B25)),NOT(ISNUMBER('Price History'!B24)),'Price History'!B24=0),"",'Price History'!B25/'Price History'!B24-1),"")</f>
        <v>-0.128425886066868</v>
      </c>
      <c r="C24" s="143" t="n">
        <f aca="false">IFERROR(IF(OR(NOT(ISNUMBER('Price History'!C25)),NOT(ISNUMBER('Price History'!C24)),'Price History'!C24=0),"",'Price History'!C25/'Price History'!C24-1),"")</f>
        <v>-0.0732190907803427</v>
      </c>
      <c r="D24" s="143" t="n">
        <f aca="false">IFERROR(IF(OR(NOT(ISNUMBER('Price History'!D25)),NOT(ISNUMBER('Price History'!D24)),'Price History'!D24=0),"",'Price History'!D25/'Price History'!D24-1),"")</f>
        <v>-0.0217461409468117</v>
      </c>
      <c r="E24" s="143" t="n">
        <f aca="false">IFERROR(IF(OR(NOT(ISNUMBER('Price History'!E25)),NOT(ISNUMBER('Price History'!E24)),'Price History'!E24=0),"",'Price History'!E25/'Price History'!E24-1),"")</f>
        <v>-0.0296426854670725</v>
      </c>
      <c r="F24" s="143" t="n">
        <f aca="false">IFERROR(IF(OR(NOT(ISNUMBER('Price History'!F25)),NOT(ISNUMBER('Price History'!F24)),'Price History'!F24=0),"",'Price History'!F25/'Price History'!F24-1),"")</f>
        <v>0.00712419852766555</v>
      </c>
      <c r="G24" s="143" t="n">
        <f aca="false">IFERROR(IF(OR(NOT(ISNUMBER('Price History'!G25)),NOT(ISNUMBER('Price History'!G24)),'Price History'!G24=0),"",'Price History'!G25/'Price History'!G24-1),"")</f>
        <v>-0.000242924814769729</v>
      </c>
      <c r="H24" s="143" t="n">
        <f aca="false">IFERROR(IF(OR(NOT(ISNUMBER('Price History'!H25)),NOT(ISNUMBER('Price History'!H24)),'Price History'!H24=0),"",'Price History'!H25/'Price History'!H24-1),"")</f>
        <v>0.011693080788558</v>
      </c>
      <c r="I24" s="143" t="n">
        <f aca="false">IFERROR(IF(OR(NOT(ISNUMBER('Price History'!I25)),NOT(ISNUMBER('Price History'!I24)),'Price History'!I24=0),"",'Price History'!I25/'Price History'!I24-1),"")</f>
        <v>0.0199591387710201</v>
      </c>
      <c r="J24" s="143" t="n">
        <f aca="false">IFERROR(IF(OR(NOT(ISNUMBER('Price History'!J25)),NOT(ISNUMBER('Price History'!J24)),'Price History'!J24=0),"",'Price History'!J25/'Price History'!J24-1),"")</f>
        <v>-0.0708141864027336</v>
      </c>
      <c r="K24" s="143" t="n">
        <f aca="false">IFERROR(IF(OR(NOT(ISNUMBER('Price History'!K25)),NOT(ISNUMBER('Price History'!K24)),'Price History'!K24=0),"",'Price History'!K25/'Price History'!K24-1),"")</f>
        <v>0.00667408231368194</v>
      </c>
      <c r="L24" s="143" t="n">
        <f aca="false">IFERROR(IF(OR(NOT(ISNUMBER('Price History'!L25)),NOT(ISNUMBER('Price History'!L24)),'Price History'!L24=0),"",'Price History'!L25/'Price History'!L24-1),"")</f>
        <v>0.00685667079719132</v>
      </c>
      <c r="M24" s="143" t="n">
        <f aca="false">IFERROR(IF(OR(NOT(ISNUMBER('Price History'!M25)),NOT(ISNUMBER('Price History'!M24)),'Price History'!M24=0),"",'Price History'!M25/'Price History'!M24-1),"")</f>
        <v>0.00246103363412642</v>
      </c>
      <c r="N24" s="143" t="n">
        <f aca="false">IFERROR(IF(OR(NOT(ISNUMBER('Price History'!N25)),NOT(ISNUMBER('Price History'!N24)),'Price History'!N24=0),"",'Price History'!N25/'Price History'!N24-1),"")</f>
        <v>0.002588438308887</v>
      </c>
      <c r="O24" s="143" t="n">
        <f aca="false">IFERROR(IF(OR(NOT(ISNUMBER('Price History'!O25)),NOT(ISNUMBER('Price History'!O24)),'Price History'!O24=0),"",'Price History'!O25/'Price History'!O24-1),"")</f>
        <v>0.00837336993822913</v>
      </c>
      <c r="P24" s="143" t="n">
        <f aca="false">IFERROR(IF(OR(NOT(ISNUMBER('Price History'!P25)),NOT(ISNUMBER('Price History'!P24)),'Price History'!P24=0),"",'Price History'!P25/'Price History'!P24-1),"")</f>
        <v>-0.0482490272373541</v>
      </c>
      <c r="Q24" s="143" t="n">
        <f aca="false">IFERROR(IF(OR(NOT(ISNUMBER('Price History'!Q25)),NOT(ISNUMBER('Price History'!Q24)),'Price History'!Q24=0),"",'Price History'!Q25/'Price History'!Q24-1),"")</f>
        <v>0.00770421704511959</v>
      </c>
      <c r="R24" s="143" t="n">
        <f aca="false">IFERROR(IF(OR(NOT(ISNUMBER('Price History'!R25)),NOT(ISNUMBER('Price History'!R24)),'Price History'!R24=0),"",'Price History'!R25/'Price History'!R24-1),"")</f>
        <v>0.0272634791454731</v>
      </c>
      <c r="S24" s="143" t="n">
        <f aca="false">IFERROR(IF(OR(NOT(ISNUMBER('Price History'!S25)),NOT(ISNUMBER('Price History'!S24)),'Price History'!S24=0),"",'Price History'!S25/'Price History'!S24-1),"")</f>
        <v>0.0311632212280162</v>
      </c>
      <c r="T24" s="143" t="n">
        <f aca="false">IFERROR(IF(OR(NOT(ISNUMBER('Price History'!T25)),NOT(ISNUMBER('Price History'!T24)),'Price History'!T24=0),"",'Price History'!T25/'Price History'!T24-1),"")</f>
        <v>-0.00281988015509349</v>
      </c>
      <c r="U24" s="143" t="str">
        <f aca="false">IFERROR(IF(OR(NOT(ISNUMBER('Price History'!U25)),NOT(ISNUMBER('Price History'!U24)),'Price History'!U24=0),"",'Price History'!U25/'Price History'!U24-1),"")</f>
        <v/>
      </c>
      <c r="V24" s="144" t="n">
        <f aca="false">IFERROR(IF(OR(NOT(ISNUMBER('Price History'!V25)),NOT(ISNUMBER('Price History'!V24)),'Price History'!V24=0),"",'Price History'!V25/'Price History'!V24-1),"")</f>
        <v>0.0172583244879505</v>
      </c>
      <c r="W24" s="145" t="str">
        <f aca="false">IFERROR('Price History'!B3+(INDEX('Price History'!B:B,MATCH(9.99E+307,'Price History'!$A:$A))-'Price History'!B3)*(ROW()-3)/(MATCH(9.99E+307,'Returns (Calc)'!$A:$A)-3),"")</f>
        <v/>
      </c>
      <c r="X24" s="145" t="n">
        <f aca="false">IFERROR('Price History'!C3+(INDEX('Price History'!C:C,MATCH(9.99E+307,'Price History'!$A:$A))-'Price History'!C3)*(ROW()-3)/(MATCH(9.99E+307,'Returns (Calc)'!$A:$A)-3),"")</f>
        <v>40.0807547169811</v>
      </c>
      <c r="Y24" s="145" t="n">
        <f aca="false">IFERROR('Price History'!D3+(INDEX('Price History'!D:D,MATCH(9.99E+307,'Price History'!$A:$A))-'Price History'!D3)*(ROW()-3)/(MATCH(9.99E+307,'Returns (Calc)'!$A:$A)-3),"")</f>
        <v>505.140754716981</v>
      </c>
      <c r="Z24" s="145" t="n">
        <f aca="false">IFERROR('Price History'!E3+(INDEX('Price History'!E:E,MATCH(9.99E+307,'Price History'!$A:$A))-'Price History'!E3)*(ROW()-3)/(MATCH(9.99E+307,'Returns (Calc)'!$A:$A)-3),"")</f>
        <v>71.1698113207547</v>
      </c>
      <c r="AA24" s="145" t="n">
        <f aca="false">IFERROR('Price History'!F3+(INDEX('Price History'!F:F,MATCH(9.99E+307,'Price History'!$A:$A))-'Price History'!F3)*(ROW()-3)/(MATCH(9.99E+307,'Returns (Calc)'!$A:$A)-3),"")</f>
        <v>65.3633962264151</v>
      </c>
      <c r="AB24" s="145" t="n">
        <f aca="false">IFERROR('Price History'!G3+(INDEX('Price History'!G:G,MATCH(9.99E+307,'Price History'!$A:$A))-'Price History'!G3)*(ROW()-3)/(MATCH(9.99E+307,'Returns (Calc)'!$A:$A)-3),"")</f>
        <v>35.897358490566</v>
      </c>
      <c r="AC24" s="145" t="n">
        <f aca="false">IFERROR('Price History'!H3+(INDEX('Price History'!H:H,MATCH(9.99E+307,'Price History'!$A:$A))-'Price History'!H3)*(ROW()-3)/(MATCH(9.99E+307,'Returns (Calc)'!$A:$A)-3),"")</f>
        <v>87.3045283018868</v>
      </c>
      <c r="AD24" s="145" t="n">
        <f aca="false">IFERROR('Price History'!I3+(INDEX('Price History'!I:I,MATCH(9.99E+307,'Price History'!$A:$A))-'Price History'!I3)*(ROW()-3)/(MATCH(9.99E+307,'Returns (Calc)'!$A:$A)-3),"")</f>
        <v>38.4924528301887</v>
      </c>
      <c r="AE24" s="145" t="n">
        <f aca="false">IFERROR('Price History'!J3+(INDEX('Price History'!J:J,MATCH(9.99E+307,'Price History'!$A:$A))-'Price History'!J3)*(ROW()-3)/(MATCH(9.99E+307,'Returns (Calc)'!$A:$A)-3),"")</f>
        <v>59.9822641509434</v>
      </c>
      <c r="AF24" s="145" t="n">
        <f aca="false">IFERROR('Price History'!K3+(INDEX('Price History'!K:K,MATCH(9.99E+307,'Price History'!$A:$A))-'Price History'!K3)*(ROW()-3)/(MATCH(9.99E+307,'Returns (Calc)'!$A:$A)-3),"")</f>
        <v>37.9890566037736</v>
      </c>
      <c r="AG24" s="145" t="n">
        <f aca="false">IFERROR('Price History'!L3+(INDEX('Price History'!L:L,MATCH(9.99E+307,'Price History'!$A:$A))-'Price History'!L3)*(ROW()-3)/(MATCH(9.99E+307,'Returns (Calc)'!$A:$A)-3),"")</f>
        <v>97.068679245283</v>
      </c>
      <c r="AH24" s="145" t="n">
        <f aca="false">IFERROR('Price History'!M3+(INDEX('Price History'!M:M,MATCH(9.99E+307,'Price History'!$A:$A))-'Price History'!M3)*(ROW()-3)/(MATCH(9.99E+307,'Returns (Calc)'!$A:$A)-3),"")</f>
        <v>13.3052830188679</v>
      </c>
      <c r="AI24" s="145" t="n">
        <f aca="false">IFERROR('Price History'!N3+(INDEX('Price History'!N:N,MATCH(9.99E+307,'Price History'!$A:$A))-'Price History'!N3)*(ROW()-3)/(MATCH(9.99E+307,'Returns (Calc)'!$A:$A)-3),"")</f>
        <v>18.9207547169811</v>
      </c>
      <c r="AJ24" s="145" t="n">
        <f aca="false">IFERROR('Price History'!O3+(INDEX('Price History'!O:O,MATCH(9.99E+307,'Price History'!$A:$A))-'Price History'!O3)*(ROW()-3)/(MATCH(9.99E+307,'Returns (Calc)'!$A:$A)-3),"")</f>
        <v>50.0184905660377</v>
      </c>
      <c r="AK24" s="145" t="n">
        <f aca="false">IFERROR('Price History'!Q3+(INDEX('Price History'!Q:Q,MATCH(9.99E+307,'Price History'!$A:$A))-'Price History'!Q3)*(ROW()-3)/(MATCH(9.99E+307,'Returns (Calc)'!$A:$A)-3),"")</f>
        <v>204.509056603774</v>
      </c>
      <c r="AL24" s="145" t="n">
        <f aca="false">IFERROR('Price History'!R3+(INDEX('Price History'!R:R,MATCH(9.99E+307,'Price History'!$A:$A))-'Price History'!R3)*(ROW()-3)/(MATCH(9.99E+307,'Returns (Calc)'!$A:$A)-3),"")</f>
        <v>41.5041509433962</v>
      </c>
      <c r="AM24" s="145" t="n">
        <f aca="false">IFERROR('Price History'!S3+(INDEX('Price History'!S:S,MATCH(9.99E+307,'Price History'!$A:$A))-'Price History'!S3)*(ROW()-3)/(MATCH(9.99E+307,'Returns (Calc)'!$A:$A)-3),"")</f>
        <v>50.8083018867925</v>
      </c>
      <c r="AN24" s="145" t="n">
        <f aca="false">IFERROR('Price History'!T3+(INDEX('Price History'!T:T,MATCH(9.99E+307,'Price History'!$A:$A))-'Price History'!T3)*(ROW()-3)/(MATCH(9.99E+307,'Returns (Calc)'!$A:$A)-3),"")</f>
        <v>23.3558490566038</v>
      </c>
      <c r="AO24" s="146" t="n">
        <f aca="false">IFERROR('Price History'!V3+(INDEX('Price History'!V:V,MATCH(9.99E+307,'Price History'!$A:$A))-'Price History'!V3)*(ROW()-3)/(MATCH(9.99E+307,'Returns (Calc)'!$A:$A)-3),"")</f>
        <v>0</v>
      </c>
    </row>
    <row r="25" customFormat="false" ht="15" hidden="false" customHeight="true" outlineLevel="0" collapsed="false">
      <c r="A25" s="142" t="n">
        <f aca="false">IF('Price History'!A26="","",'Price History'!A26)</f>
        <v>45345</v>
      </c>
      <c r="B25" s="143" t="n">
        <f aca="false">IFERROR(IF(OR(NOT(ISNUMBER('Price History'!B26)),NOT(ISNUMBER('Price History'!B25)),'Price History'!B25=0),"",'Price History'!B26/'Price History'!B25-1),"")</f>
        <v>0.0124025902754914</v>
      </c>
      <c r="C25" s="143" t="n">
        <f aca="false">IFERROR(IF(OR(NOT(ISNUMBER('Price History'!C26)),NOT(ISNUMBER('Price History'!C25)),'Price History'!C25=0),"",'Price History'!C26/'Price History'!C25-1),"")</f>
        <v>0.0226161369193154</v>
      </c>
      <c r="D25" s="143" t="n">
        <f aca="false">IFERROR(IF(OR(NOT(ISNUMBER('Price History'!D26)),NOT(ISNUMBER('Price History'!D25)),'Price History'!D25=0),"",'Price History'!D26/'Price History'!D25-1),"")</f>
        <v>0.00463710785121707</v>
      </c>
      <c r="E25" s="143" t="n">
        <f aca="false">IFERROR(IF(OR(NOT(ISNUMBER('Price History'!E26)),NOT(ISNUMBER('Price History'!E25)),'Price History'!E25=0),"",'Price History'!E26/'Price History'!E25-1),"")</f>
        <v>0.0408685601056802</v>
      </c>
      <c r="F25" s="143" t="n">
        <f aca="false">IFERROR(IF(OR(NOT(ISNUMBER('Price History'!F26)),NOT(ISNUMBER('Price History'!F25)),'Price History'!F25=0),"",'Price History'!F26/'Price History'!F25-1),"")</f>
        <v>-0.00330110822919105</v>
      </c>
      <c r="G25" s="143" t="n">
        <f aca="false">IFERROR(IF(OR(NOT(ISNUMBER('Price History'!G26)),NOT(ISNUMBER('Price History'!G25)),'Price History'!G25=0),"",'Price History'!G26/'Price History'!G25-1),"")</f>
        <v>-0.0539424128295468</v>
      </c>
      <c r="H25" s="143" t="n">
        <f aca="false">IFERROR(IF(OR(NOT(ISNUMBER('Price History'!H26)),NOT(ISNUMBER('Price History'!H25)),'Price History'!H25=0),"",'Price History'!H26/'Price History'!H25-1),"")</f>
        <v>0.0084057694144617</v>
      </c>
      <c r="I25" s="143" t="n">
        <f aca="false">IFERROR(IF(OR(NOT(ISNUMBER('Price History'!I26)),NOT(ISNUMBER('Price History'!I25)),'Price History'!I25=0),"",'Price History'!I26/'Price History'!I25-1),"")</f>
        <v>0.0112480739599381</v>
      </c>
      <c r="J25" s="143" t="n">
        <f aca="false">IFERROR(IF(OR(NOT(ISNUMBER('Price History'!J26)),NOT(ISNUMBER('Price History'!J25)),'Price History'!J25=0),"",'Price History'!J26/'Price History'!J25-1),"")</f>
        <v>0.0817905148364191</v>
      </c>
      <c r="K25" s="143" t="n">
        <f aca="false">IFERROR(IF(OR(NOT(ISNUMBER('Price History'!K26)),NOT(ISNUMBER('Price History'!K25)),'Price History'!K25=0),"",'Price History'!K26/'Price History'!K25-1),"")</f>
        <v>0.0854972375690608</v>
      </c>
      <c r="L25" s="143" t="n">
        <f aca="false">IFERROR(IF(OR(NOT(ISNUMBER('Price History'!L26)),NOT(ISNUMBER('Price History'!L25)),'Price History'!L25=0),"",'Price History'!L26/'Price History'!L25-1),"")</f>
        <v>-0.00131276665572688</v>
      </c>
      <c r="M25" s="143" t="n">
        <f aca="false">IFERROR(IF(OR(NOT(ISNUMBER('Price History'!M26)),NOT(ISNUMBER('Price History'!M25)),'Price History'!M25=0),"",'Price History'!M26/'Price History'!M25-1),"")</f>
        <v>-0.0601472995090018</v>
      </c>
      <c r="N25" s="143" t="n">
        <f aca="false">IFERROR(IF(OR(NOT(ISNUMBER('Price History'!N26)),NOT(ISNUMBER('Price History'!N25)),'Price History'!N25=0),"",'Price History'!N26/'Price History'!N25-1),"")</f>
        <v>0.0116179001721173</v>
      </c>
      <c r="O25" s="143" t="n">
        <f aca="false">IFERROR(IF(OR(NOT(ISNUMBER('Price History'!O26)),NOT(ISNUMBER('Price History'!O25)),'Price History'!O25=0),"",'Price History'!O26/'Price History'!O25-1),"")</f>
        <v>0.022325074870678</v>
      </c>
      <c r="P25" s="143" t="n">
        <f aca="false">IFERROR(IF(OR(NOT(ISNUMBER('Price History'!P26)),NOT(ISNUMBER('Price History'!P25)),'Price History'!P25=0),"",'Price History'!P26/'Price History'!P25-1),"")</f>
        <v>0.0224039247751431</v>
      </c>
      <c r="Q25" s="143" t="n">
        <f aca="false">IFERROR(IF(OR(NOT(ISNUMBER('Price History'!Q26)),NOT(ISNUMBER('Price History'!Q25)),'Price History'!Q25=0),"",'Price History'!Q26/'Price History'!Q25-1),"")</f>
        <v>0.0180707466071623</v>
      </c>
      <c r="R25" s="143" t="n">
        <f aca="false">IFERROR(IF(OR(NOT(ISNUMBER('Price History'!R26)),NOT(ISNUMBER('Price History'!R25)),'Price History'!R25=0),"",'Price History'!R26/'Price History'!R25-1),"")</f>
        <v>0.017825311942959</v>
      </c>
      <c r="S25" s="143" t="n">
        <f aca="false">IFERROR(IF(OR(NOT(ISNUMBER('Price History'!S26)),NOT(ISNUMBER('Price History'!S25)),'Price History'!S25=0),"",'Price History'!S26/'Price History'!S25-1),"")</f>
        <v>0.0210951526032315</v>
      </c>
      <c r="T25" s="143" t="n">
        <f aca="false">IFERROR(IF(OR(NOT(ISNUMBER('Price History'!T26)),NOT(ISNUMBER('Price History'!T25)),'Price History'!T25=0),"",'Price History'!T26/'Price History'!T25-1),"")</f>
        <v>-0.00954400848356307</v>
      </c>
      <c r="U25" s="143" t="str">
        <f aca="false">IFERROR(IF(OR(NOT(ISNUMBER('Price History'!U26)),NOT(ISNUMBER('Price History'!U25)),'Price History'!U25=0),"",'Price History'!U26/'Price History'!U25-1),"")</f>
        <v/>
      </c>
      <c r="V25" s="144" t="n">
        <f aca="false">IFERROR(IF(OR(NOT(ISNUMBER('Price History'!V26)),NOT(ISNUMBER('Price History'!V25)),'Price History'!V25=0),"",'Price History'!V26/'Price History'!V25-1),"")</f>
        <v>0.0255062606276086</v>
      </c>
      <c r="W25" s="145" t="str">
        <f aca="false">IFERROR('Price History'!B3+(INDEX('Price History'!B:B,MATCH(9.99E+307,'Price History'!$A:$A))-'Price History'!B3)*(ROW()-3)/(MATCH(9.99E+307,'Returns (Calc)'!$A:$A)-3),"")</f>
        <v/>
      </c>
      <c r="X25" s="145" t="n">
        <f aca="false">IFERROR('Price History'!C3+(INDEX('Price History'!C:C,MATCH(9.99E+307,'Price History'!$A:$A))-'Price History'!C3)*(ROW()-3)/(MATCH(9.99E+307,'Returns (Calc)'!$A:$A)-3),"")</f>
        <v>39.7903144654088</v>
      </c>
      <c r="Y25" s="145" t="n">
        <f aca="false">IFERROR('Price History'!D3+(INDEX('Price History'!D:D,MATCH(9.99E+307,'Price History'!$A:$A))-'Price History'!D3)*(ROW()-3)/(MATCH(9.99E+307,'Returns (Calc)'!$A:$A)-3),"")</f>
        <v>501.480314465409</v>
      </c>
      <c r="Z25" s="145" t="n">
        <f aca="false">IFERROR('Price History'!E3+(INDEX('Price History'!E:E,MATCH(9.99E+307,'Price History'!$A:$A))-'Price History'!E3)*(ROW()-3)/(MATCH(9.99E+307,'Returns (Calc)'!$A:$A)-3),"")</f>
        <v>70.6540880503145</v>
      </c>
      <c r="AA25" s="145" t="n">
        <f aca="false">IFERROR('Price History'!F3+(INDEX('Price History'!F:F,MATCH(9.99E+307,'Price History'!$A:$A))-'Price History'!F3)*(ROW()-3)/(MATCH(9.99E+307,'Returns (Calc)'!$A:$A)-3),"")</f>
        <v>64.889748427673</v>
      </c>
      <c r="AB25" s="145" t="n">
        <f aca="false">IFERROR('Price History'!G3+(INDEX('Price History'!G:G,MATCH(9.99E+307,'Price History'!$A:$A))-'Price History'!G3)*(ROW()-3)/(MATCH(9.99E+307,'Returns (Calc)'!$A:$A)-3),"")</f>
        <v>35.6372327044025</v>
      </c>
      <c r="AC25" s="145" t="n">
        <f aca="false">IFERROR('Price History'!H3+(INDEX('Price History'!H:H,MATCH(9.99E+307,'Price History'!$A:$A))-'Price History'!H3)*(ROW()-3)/(MATCH(9.99E+307,'Returns (Calc)'!$A:$A)-3),"")</f>
        <v>86.6718867924528</v>
      </c>
      <c r="AD25" s="145" t="n">
        <f aca="false">IFERROR('Price History'!I3+(INDEX('Price History'!I:I,MATCH(9.99E+307,'Price History'!$A:$A))-'Price History'!I3)*(ROW()-3)/(MATCH(9.99E+307,'Returns (Calc)'!$A:$A)-3),"")</f>
        <v>38.2135220125786</v>
      </c>
      <c r="AE25" s="145" t="n">
        <f aca="false">IFERROR('Price History'!J3+(INDEX('Price History'!J:J,MATCH(9.99E+307,'Price History'!$A:$A))-'Price History'!J3)*(ROW()-3)/(MATCH(9.99E+307,'Returns (Calc)'!$A:$A)-3),"")</f>
        <v>59.5476100628931</v>
      </c>
      <c r="AF25" s="145" t="n">
        <f aca="false">IFERROR('Price History'!K3+(INDEX('Price History'!K:K,MATCH(9.99E+307,'Price History'!$A:$A))-'Price History'!K3)*(ROW()-3)/(MATCH(9.99E+307,'Returns (Calc)'!$A:$A)-3),"")</f>
        <v>37.7137735849057</v>
      </c>
      <c r="AG25" s="145" t="n">
        <f aca="false">IFERROR('Price History'!L3+(INDEX('Price History'!L:L,MATCH(9.99E+307,'Price History'!$A:$A))-'Price History'!L3)*(ROW()-3)/(MATCH(9.99E+307,'Returns (Calc)'!$A:$A)-3),"")</f>
        <v>96.3652830188679</v>
      </c>
      <c r="AH25" s="145" t="n">
        <f aca="false">IFERROR('Price History'!M3+(INDEX('Price History'!M:M,MATCH(9.99E+307,'Price History'!$A:$A))-'Price History'!M3)*(ROW()-3)/(MATCH(9.99E+307,'Returns (Calc)'!$A:$A)-3),"")</f>
        <v>13.2088679245283</v>
      </c>
      <c r="AI25" s="145" t="n">
        <f aca="false">IFERROR('Price History'!N3+(INDEX('Price History'!N:N,MATCH(9.99E+307,'Price History'!$A:$A))-'Price History'!N3)*(ROW()-3)/(MATCH(9.99E+307,'Returns (Calc)'!$A:$A)-3),"")</f>
        <v>18.7836477987421</v>
      </c>
      <c r="AJ25" s="145" t="n">
        <f aca="false">IFERROR('Price History'!O3+(INDEX('Price History'!O:O,MATCH(9.99E+307,'Price History'!$A:$A))-'Price History'!O3)*(ROW()-3)/(MATCH(9.99E+307,'Returns (Calc)'!$A:$A)-3),"")</f>
        <v>49.6560377358491</v>
      </c>
      <c r="AK25" s="145" t="n">
        <f aca="false">IFERROR('Price History'!Q3+(INDEX('Price History'!Q:Q,MATCH(9.99E+307,'Price History'!$A:$A))-'Price History'!Q3)*(ROW()-3)/(MATCH(9.99E+307,'Returns (Calc)'!$A:$A)-3),"")</f>
        <v>203.027106918239</v>
      </c>
      <c r="AL25" s="145" t="n">
        <f aca="false">IFERROR('Price History'!R3+(INDEX('Price History'!R:R,MATCH(9.99E+307,'Price History'!$A:$A))-'Price History'!R3)*(ROW()-3)/(MATCH(9.99E+307,'Returns (Calc)'!$A:$A)-3),"")</f>
        <v>41.2033962264151</v>
      </c>
      <c r="AM25" s="145" t="n">
        <f aca="false">IFERROR('Price History'!S3+(INDEX('Price History'!S:S,MATCH(9.99E+307,'Price History'!$A:$A))-'Price History'!S3)*(ROW()-3)/(MATCH(9.99E+307,'Returns (Calc)'!$A:$A)-3),"")</f>
        <v>50.4401257861635</v>
      </c>
      <c r="AN25" s="145" t="n">
        <f aca="false">IFERROR('Price History'!T3+(INDEX('Price History'!T:T,MATCH(9.99E+307,'Price History'!$A:$A))-'Price History'!T3)*(ROW()-3)/(MATCH(9.99E+307,'Returns (Calc)'!$A:$A)-3),"")</f>
        <v>23.1866037735849</v>
      </c>
      <c r="AO25" s="146" t="n">
        <f aca="false">IFERROR('Price History'!V3+(INDEX('Price History'!V:V,MATCH(9.99E+307,'Price History'!$A:$A))-'Price History'!V3)*(ROW()-3)/(MATCH(9.99E+307,'Returns (Calc)'!$A:$A)-3),"")</f>
        <v>0</v>
      </c>
    </row>
    <row r="26" customFormat="false" ht="15" hidden="false" customHeight="true" outlineLevel="0" collapsed="false">
      <c r="A26" s="142" t="n">
        <f aca="false">IF('Price History'!A27="","",'Price History'!A27)</f>
        <v>45352</v>
      </c>
      <c r="B26" s="143" t="n">
        <f aca="false">IFERROR(IF(OR(NOT(ISNUMBER('Price History'!B27)),NOT(ISNUMBER('Price History'!B26)),'Price History'!B26=0),"",'Price History'!B27/'Price History'!B26-1),"")</f>
        <v>0.0316023417172591</v>
      </c>
      <c r="C26" s="143" t="n">
        <f aca="false">IFERROR(IF(OR(NOT(ISNUMBER('Price History'!C27)),NOT(ISNUMBER('Price History'!C26)),'Price History'!C26=0),"",'Price History'!C27/'Price History'!C26-1),"")</f>
        <v>0.0748655110579797</v>
      </c>
      <c r="D26" s="143" t="n">
        <f aca="false">IFERROR(IF(OR(NOT(ISNUMBER('Price History'!D27)),NOT(ISNUMBER('Price History'!D26)),'Price History'!D26=0),"",'Price History'!D27/'Price History'!D26-1),"")</f>
        <v>0.0618088748400363</v>
      </c>
      <c r="E26" s="143" t="n">
        <f aca="false">IFERROR(IF(OR(NOT(ISNUMBER('Price History'!E27)),NOT(ISNUMBER('Price History'!E26)),'Price History'!E26=0),"",'Price History'!E27/'Price History'!E26-1),"")</f>
        <v>0.0793210121361148</v>
      </c>
      <c r="F26" s="143" t="n">
        <f aca="false">IFERROR(IF(OR(NOT(ISNUMBER('Price History'!F27)),NOT(ISNUMBER('Price History'!F26)),'Price History'!F26=0),"",'Price History'!F27/'Price History'!F26-1),"")</f>
        <v>0.0157321977762006</v>
      </c>
      <c r="G26" s="143" t="n">
        <f aca="false">IFERROR(IF(OR(NOT(ISNUMBER('Price History'!G27)),NOT(ISNUMBER('Price History'!G26)),'Price History'!G26=0),"",'Price History'!G27/'Price History'!G26-1),"")</f>
        <v>0.010016694490818</v>
      </c>
      <c r="H26" s="143" t="n">
        <f aca="false">IFERROR(IF(OR(NOT(ISNUMBER('Price History'!H27)),NOT(ISNUMBER('Price History'!H26)),'Price History'!H26=0),"",'Price History'!H27/'Price History'!H26-1),"")</f>
        <v>0.000189447759780359</v>
      </c>
      <c r="I26" s="143" t="n">
        <f aca="false">IFERROR(IF(OR(NOT(ISNUMBER('Price History'!I27)),NOT(ISNUMBER('Price History'!I26)),'Price History'!I26=0),"",'Price History'!I27/'Price History'!I26-1),"")</f>
        <v>0.0729849154350146</v>
      </c>
      <c r="J26" s="143" t="n">
        <f aca="false">IFERROR(IF(OR(NOT(ISNUMBER('Price History'!J27)),NOT(ISNUMBER('Price History'!J26)),'Price History'!J26=0),"",'Price History'!J27/'Price History'!J26-1),"")</f>
        <v>0.106318133864729</v>
      </c>
      <c r="K26" s="143" t="n">
        <f aca="false">IFERROR(IF(OR(NOT(ISNUMBER('Price History'!K27)),NOT(ISNUMBER('Price History'!K26)),'Price History'!K26=0),"",'Price History'!K27/'Price History'!K26-1),"")</f>
        <v>0.0438987148492176</v>
      </c>
      <c r="L26" s="143" t="n">
        <f aca="false">IFERROR(IF(OR(NOT(ISNUMBER('Price History'!L27)),NOT(ISNUMBER('Price History'!L26)),'Price History'!L26=0),"",'Price History'!L27/'Price History'!L26-1),"")</f>
        <v>0.0104337824515282</v>
      </c>
      <c r="M26" s="143" t="n">
        <f aca="false">IFERROR(IF(OR(NOT(ISNUMBER('Price History'!M27)),NOT(ISNUMBER('Price History'!M26)),'Price History'!M26=0),"",'Price History'!M27/'Price History'!M26-1),"")</f>
        <v>0.0853286895951242</v>
      </c>
      <c r="N26" s="143" t="n">
        <f aca="false">IFERROR(IF(OR(NOT(ISNUMBER('Price History'!N27)),NOT(ISNUMBER('Price History'!N26)),'Price History'!N26=0),"",'Price History'!N27/'Price History'!N26-1),"")</f>
        <v>0.00340280731603571</v>
      </c>
      <c r="O26" s="143" t="n">
        <f aca="false">IFERROR(IF(OR(NOT(ISNUMBER('Price History'!O27)),NOT(ISNUMBER('Price History'!O26)),'Price History'!O26=0),"",'Price History'!O27/'Price History'!O26-1),"")</f>
        <v>0.0280958721704394</v>
      </c>
      <c r="P26" s="143" t="n">
        <f aca="false">IFERROR(IF(OR(NOT(ISNUMBER('Price History'!P27)),NOT(ISNUMBER('Price History'!P26)),'Price History'!P26=0),"",'Price History'!P27/'Price History'!P26-1),"")</f>
        <v>0.0337492002559179</v>
      </c>
      <c r="Q26" s="143" t="n">
        <f aca="false">IFERROR(IF(OR(NOT(ISNUMBER('Price History'!Q27)),NOT(ISNUMBER('Price History'!Q26)),'Price History'!Q26=0),"",'Price History'!Q27/'Price History'!Q26-1),"")</f>
        <v>-0.00154503970392728</v>
      </c>
      <c r="R26" s="143" t="n">
        <f aca="false">IFERROR(IF(OR(NOT(ISNUMBER('Price History'!R27)),NOT(ISNUMBER('Price History'!R26)),'Price History'!R26=0),"",'Price History'!R27/'Price History'!R26-1),"")</f>
        <v>0.00778361548939488</v>
      </c>
      <c r="S26" s="143" t="n">
        <f aca="false">IFERROR(IF(OR(NOT(ISNUMBER('Price History'!S27)),NOT(ISNUMBER('Price History'!S26)),'Price History'!S26=0),"",'Price History'!S27/'Price History'!S26-1),"")</f>
        <v>0.0161172161172161</v>
      </c>
      <c r="T26" s="143" t="n">
        <f aca="false">IFERROR(IF(OR(NOT(ISNUMBER('Price History'!T27)),NOT(ISNUMBER('Price History'!T26)),'Price History'!T26=0),"",'Price History'!T27/'Price History'!T26-1),"")</f>
        <v>0.00820842255531762</v>
      </c>
      <c r="U26" s="143" t="str">
        <f aca="false">IFERROR(IF(OR(NOT(ISNUMBER('Price History'!U27)),NOT(ISNUMBER('Price History'!U26)),'Price History'!U26=0),"",'Price History'!U27/'Price History'!U26-1),"")</f>
        <v/>
      </c>
      <c r="V26" s="144" t="n">
        <f aca="false">IFERROR(IF(OR(NOT(ISNUMBER('Price History'!V27)),NOT(ISNUMBER('Price History'!V26)),'Price History'!V26=0),"",'Price History'!V27/'Price History'!V26-1),"")</f>
        <v>-0.0109285498944831</v>
      </c>
      <c r="W26" s="145" t="str">
        <f aca="false">IFERROR('Price History'!B3+(INDEX('Price History'!B:B,MATCH(9.99E+307,'Price History'!$A:$A))-'Price History'!B3)*(ROW()-3)/(MATCH(9.99E+307,'Returns (Calc)'!$A:$A)-3),"")</f>
        <v/>
      </c>
      <c r="X26" s="145" t="n">
        <f aca="false">IFERROR('Price History'!C3+(INDEX('Price History'!C:C,MATCH(9.99E+307,'Price History'!$A:$A))-'Price History'!C3)*(ROW()-3)/(MATCH(9.99E+307,'Returns (Calc)'!$A:$A)-3),"")</f>
        <v>39.4998742138365</v>
      </c>
      <c r="Y26" s="145" t="n">
        <f aca="false">IFERROR('Price History'!D3+(INDEX('Price History'!D:D,MATCH(9.99E+307,'Price History'!$A:$A))-'Price History'!D3)*(ROW()-3)/(MATCH(9.99E+307,'Returns (Calc)'!$A:$A)-3),"")</f>
        <v>497.819874213836</v>
      </c>
      <c r="Z26" s="145" t="n">
        <f aca="false">IFERROR('Price History'!E3+(INDEX('Price History'!E:E,MATCH(9.99E+307,'Price History'!$A:$A))-'Price History'!E3)*(ROW()-3)/(MATCH(9.99E+307,'Returns (Calc)'!$A:$A)-3),"")</f>
        <v>70.1383647798742</v>
      </c>
      <c r="AA26" s="145" t="n">
        <f aca="false">IFERROR('Price History'!F3+(INDEX('Price History'!F:F,MATCH(9.99E+307,'Price History'!$A:$A))-'Price History'!F3)*(ROW()-3)/(MATCH(9.99E+307,'Returns (Calc)'!$A:$A)-3),"")</f>
        <v>64.4161006289308</v>
      </c>
      <c r="AB26" s="145" t="n">
        <f aca="false">IFERROR('Price History'!G3+(INDEX('Price History'!G:G,MATCH(9.99E+307,'Price History'!$A:$A))-'Price History'!G3)*(ROW()-3)/(MATCH(9.99E+307,'Returns (Calc)'!$A:$A)-3),"")</f>
        <v>35.377106918239</v>
      </c>
      <c r="AC26" s="145" t="n">
        <f aca="false">IFERROR('Price History'!H3+(INDEX('Price History'!H:H,MATCH(9.99E+307,'Price History'!$A:$A))-'Price History'!H3)*(ROW()-3)/(MATCH(9.99E+307,'Returns (Calc)'!$A:$A)-3),"")</f>
        <v>86.0392452830189</v>
      </c>
      <c r="AD26" s="145" t="n">
        <f aca="false">IFERROR('Price History'!I3+(INDEX('Price History'!I:I,MATCH(9.99E+307,'Price History'!$A:$A))-'Price History'!I3)*(ROW()-3)/(MATCH(9.99E+307,'Returns (Calc)'!$A:$A)-3),"")</f>
        <v>37.9345911949686</v>
      </c>
      <c r="AE26" s="145" t="n">
        <f aca="false">IFERROR('Price History'!J3+(INDEX('Price History'!J:J,MATCH(9.99E+307,'Price History'!$A:$A))-'Price History'!J3)*(ROW()-3)/(MATCH(9.99E+307,'Returns (Calc)'!$A:$A)-3),"")</f>
        <v>59.1129559748428</v>
      </c>
      <c r="AF26" s="145" t="n">
        <f aca="false">IFERROR('Price History'!K3+(INDEX('Price History'!K:K,MATCH(9.99E+307,'Price History'!$A:$A))-'Price History'!K3)*(ROW()-3)/(MATCH(9.99E+307,'Returns (Calc)'!$A:$A)-3),"")</f>
        <v>37.4384905660377</v>
      </c>
      <c r="AG26" s="145" t="n">
        <f aca="false">IFERROR('Price History'!L3+(INDEX('Price History'!L:L,MATCH(9.99E+307,'Price History'!$A:$A))-'Price History'!L3)*(ROW()-3)/(MATCH(9.99E+307,'Returns (Calc)'!$A:$A)-3),"")</f>
        <v>95.6618867924528</v>
      </c>
      <c r="AH26" s="145" t="n">
        <f aca="false">IFERROR('Price History'!M3+(INDEX('Price History'!M:M,MATCH(9.99E+307,'Price History'!$A:$A))-'Price History'!M3)*(ROW()-3)/(MATCH(9.99E+307,'Returns (Calc)'!$A:$A)-3),"")</f>
        <v>13.1124528301887</v>
      </c>
      <c r="AI26" s="145" t="n">
        <f aca="false">IFERROR('Price History'!N3+(INDEX('Price History'!N:N,MATCH(9.99E+307,'Price History'!$A:$A))-'Price History'!N3)*(ROW()-3)/(MATCH(9.99E+307,'Returns (Calc)'!$A:$A)-3),"")</f>
        <v>18.6465408805031</v>
      </c>
      <c r="AJ26" s="145" t="n">
        <f aca="false">IFERROR('Price History'!O3+(INDEX('Price History'!O:O,MATCH(9.99E+307,'Price History'!$A:$A))-'Price History'!O3)*(ROW()-3)/(MATCH(9.99E+307,'Returns (Calc)'!$A:$A)-3),"")</f>
        <v>49.2935849056604</v>
      </c>
      <c r="AK26" s="145" t="n">
        <f aca="false">IFERROR('Price History'!Q3+(INDEX('Price History'!Q:Q,MATCH(9.99E+307,'Price History'!$A:$A))-'Price History'!Q3)*(ROW()-3)/(MATCH(9.99E+307,'Returns (Calc)'!$A:$A)-3),"")</f>
        <v>201.545157232704</v>
      </c>
      <c r="AL26" s="145" t="n">
        <f aca="false">IFERROR('Price History'!R3+(INDEX('Price History'!R:R,MATCH(9.99E+307,'Price History'!$A:$A))-'Price History'!R3)*(ROW()-3)/(MATCH(9.99E+307,'Returns (Calc)'!$A:$A)-3),"")</f>
        <v>40.902641509434</v>
      </c>
      <c r="AM26" s="145" t="n">
        <f aca="false">IFERROR('Price History'!S3+(INDEX('Price History'!S:S,MATCH(9.99E+307,'Price History'!$A:$A))-'Price History'!S3)*(ROW()-3)/(MATCH(9.99E+307,'Returns (Calc)'!$A:$A)-3),"")</f>
        <v>50.0719496855346</v>
      </c>
      <c r="AN26" s="145" t="n">
        <f aca="false">IFERROR('Price History'!T3+(INDEX('Price History'!T:T,MATCH(9.99E+307,'Price History'!$A:$A))-'Price History'!T3)*(ROW()-3)/(MATCH(9.99E+307,'Returns (Calc)'!$A:$A)-3),"")</f>
        <v>23.017358490566</v>
      </c>
      <c r="AO26" s="146" t="n">
        <f aca="false">IFERROR('Price History'!V3+(INDEX('Price History'!V:V,MATCH(9.99E+307,'Price History'!$A:$A))-'Price History'!V3)*(ROW()-3)/(MATCH(9.99E+307,'Returns (Calc)'!$A:$A)-3),"")</f>
        <v>0</v>
      </c>
    </row>
    <row r="27" customFormat="false" ht="15" hidden="false" customHeight="true" outlineLevel="0" collapsed="false">
      <c r="A27" s="142" t="n">
        <f aca="false">IF('Price History'!A28="","",'Price History'!A28)</f>
        <v>45359</v>
      </c>
      <c r="B27" s="143" t="n">
        <f aca="false">IFERROR(IF(OR(NOT(ISNUMBER('Price History'!B28)),NOT(ISNUMBER('Price History'!B27)),'Price History'!B27=0),"",'Price History'!B28/'Price History'!B27-1),"")</f>
        <v>-0.0336994027288807</v>
      </c>
      <c r="C27" s="143" t="n">
        <f aca="false">IFERROR(IF(OR(NOT(ISNUMBER('Price History'!C28)),NOT(ISNUMBER('Price History'!C27)),'Price History'!C27=0),"",'Price History'!C28/'Price History'!C27-1),"")</f>
        <v>-0.0507437786737106</v>
      </c>
      <c r="D27" s="143" t="n">
        <f aca="false">IFERROR(IF(OR(NOT(ISNUMBER('Price History'!D28)),NOT(ISNUMBER('Price History'!D27)),'Price History'!D27=0),"",'Price History'!D28/'Price History'!D27-1),"")</f>
        <v>0.00343023136034937</v>
      </c>
      <c r="E27" s="143" t="n">
        <f aca="false">IFERROR(IF(OR(NOT(ISNUMBER('Price History'!E28)),NOT(ISNUMBER('Price History'!E27)),'Price History'!E27=0),"",'Price History'!E28/'Price History'!E27-1),"")</f>
        <v>-0.0646725949878739</v>
      </c>
      <c r="F27" s="143" t="n">
        <f aca="false">IFERROR(IF(OR(NOT(ISNUMBER('Price History'!F28)),NOT(ISNUMBER('Price History'!F27)),'Price History'!F27=0),"",'Price History'!F28/'Price History'!F27-1),"")</f>
        <v>0.00116455106556423</v>
      </c>
      <c r="G27" s="143" t="n">
        <f aca="false">IFERROR(IF(OR(NOT(ISNUMBER('Price History'!G28)),NOT(ISNUMBER('Price History'!G27)),'Price History'!G27=0),"",'Price History'!G28/'Price History'!G27-1),"")</f>
        <v>0.0261919898283534</v>
      </c>
      <c r="H27" s="143" t="n">
        <f aca="false">IFERROR(IF(OR(NOT(ISNUMBER('Price History'!H28)),NOT(ISNUMBER('Price History'!H27)),'Price History'!H27=0),"",'Price History'!H28/'Price History'!H27-1),"")</f>
        <v>0.0267070745335731</v>
      </c>
      <c r="I27" s="143" t="n">
        <f aca="false">IFERROR(IF(OR(NOT(ISNUMBER('Price History'!I28)),NOT(ISNUMBER('Price History'!I27)),'Price History'!I27=0),"",'Price History'!I28/'Price History'!I27-1),"")</f>
        <v>-0.0255609201931269</v>
      </c>
      <c r="J27" s="143" t="n">
        <f aca="false">IFERROR(IF(OR(NOT(ISNUMBER('Price History'!J28)),NOT(ISNUMBER('Price History'!J27)),'Price History'!J27=0),"",'Price History'!J28/'Price History'!J27-1),"")</f>
        <v>0.0259588895952532</v>
      </c>
      <c r="K27" s="143" t="n">
        <f aca="false">IFERROR(IF(OR(NOT(ISNUMBER('Price History'!K28)),NOT(ISNUMBER('Price History'!K27)),'Price History'!K27=0),"",'Price History'!K28/'Price History'!K27-1),"")</f>
        <v>0.0638712823013163</v>
      </c>
      <c r="L27" s="143" t="n">
        <f aca="false">IFERROR(IF(OR(NOT(ISNUMBER('Price History'!L28)),NOT(ISNUMBER('Price History'!L27)),'Price History'!L27=0),"",'Price History'!L28/'Price History'!L27-1),"")</f>
        <v>0.00349621920481336</v>
      </c>
      <c r="M27" s="143" t="n">
        <f aca="false">IFERROR(IF(OR(NOT(ISNUMBER('Price History'!M28)),NOT(ISNUMBER('Price History'!M27)),'Price History'!M27=0),"",'Price History'!M28/'Price History'!M27-1),"")</f>
        <v>0.0445246690734056</v>
      </c>
      <c r="N27" s="143" t="n">
        <f aca="false">IFERROR(IF(OR(NOT(ISNUMBER('Price History'!N28)),NOT(ISNUMBER('Price History'!N27)),'Price History'!N27=0),"",'Price History'!N28/'Price History'!N27-1),"")</f>
        <v>0.00339126748622309</v>
      </c>
      <c r="O27" s="143" t="n">
        <f aca="false">IFERROR(IF(OR(NOT(ISNUMBER('Price History'!O28)),NOT(ISNUMBER('Price History'!O27)),'Price History'!O27=0),"",'Price History'!O28/'Price History'!O27-1),"")</f>
        <v>0.00388550705867141</v>
      </c>
      <c r="P27" s="143" t="n">
        <f aca="false">IFERROR(IF(OR(NOT(ISNUMBER('Price History'!P28)),NOT(ISNUMBER('Price History'!P27)),'Price History'!P27=0),"",'Price History'!P28/'Price History'!P27-1),"")</f>
        <v>0.0931455980194957</v>
      </c>
      <c r="Q27" s="143" t="n">
        <f aca="false">IFERROR(IF(OR(NOT(ISNUMBER('Price History'!Q28)),NOT(ISNUMBER('Price History'!Q27)),'Price History'!Q27=0),"",'Price History'!Q28/'Price History'!Q27-1),"")</f>
        <v>-0.0110119476032819</v>
      </c>
      <c r="R27" s="143" t="n">
        <f aca="false">IFERROR(IF(OR(NOT(ISNUMBER('Price History'!R28)),NOT(ISNUMBER('Price History'!R27)),'Price History'!R27=0),"",'Price History'!R28/'Price History'!R27-1),"")</f>
        <v>0.00289631202934926</v>
      </c>
      <c r="S27" s="143" t="n">
        <f aca="false">IFERROR(IF(OR(NOT(ISNUMBER('Price History'!S28)),NOT(ISNUMBER('Price History'!S27)),'Price History'!S27=0),"",'Price History'!S28/'Price History'!S27-1),"")</f>
        <v>0.0457101658255228</v>
      </c>
      <c r="T27" s="143" t="n">
        <f aca="false">IFERROR(IF(OR(NOT(ISNUMBER('Price History'!T28)),NOT(ISNUMBER('Price History'!T27)),'Price History'!T27=0),"",'Price History'!T28/'Price History'!T27-1),"")</f>
        <v>0.00955752212389371</v>
      </c>
      <c r="U27" s="143" t="str">
        <f aca="false">IFERROR(IF(OR(NOT(ISNUMBER('Price History'!U28)),NOT(ISNUMBER('Price History'!U27)),'Price History'!U27=0),"",'Price History'!U28/'Price History'!U27-1),"")</f>
        <v/>
      </c>
      <c r="V27" s="144" t="n">
        <f aca="false">IFERROR(IF(OR(NOT(ISNUMBER('Price History'!V28)),NOT(ISNUMBER('Price History'!V27)),'Price History'!V27=0),"",'Price History'!V28/'Price History'!V27-1),"")</f>
        <v>0.0344814447915873</v>
      </c>
      <c r="W27" s="145" t="str">
        <f aca="false">IFERROR('Price History'!B3+(INDEX('Price History'!B:B,MATCH(9.99E+307,'Price History'!$A:$A))-'Price History'!B3)*(ROW()-3)/(MATCH(9.99E+307,'Returns (Calc)'!$A:$A)-3),"")</f>
        <v/>
      </c>
      <c r="X27" s="145" t="n">
        <f aca="false">IFERROR('Price History'!C3+(INDEX('Price History'!C:C,MATCH(9.99E+307,'Price History'!$A:$A))-'Price History'!C3)*(ROW()-3)/(MATCH(9.99E+307,'Returns (Calc)'!$A:$A)-3),"")</f>
        <v>39.2094339622642</v>
      </c>
      <c r="Y27" s="145" t="n">
        <f aca="false">IFERROR('Price History'!D3+(INDEX('Price History'!D:D,MATCH(9.99E+307,'Price History'!$A:$A))-'Price History'!D3)*(ROW()-3)/(MATCH(9.99E+307,'Returns (Calc)'!$A:$A)-3),"")</f>
        <v>494.159433962264</v>
      </c>
      <c r="Z27" s="145" t="n">
        <f aca="false">IFERROR('Price History'!E3+(INDEX('Price History'!E:E,MATCH(9.99E+307,'Price History'!$A:$A))-'Price History'!E3)*(ROW()-3)/(MATCH(9.99E+307,'Returns (Calc)'!$A:$A)-3),"")</f>
        <v>69.622641509434</v>
      </c>
      <c r="AA27" s="145" t="n">
        <f aca="false">IFERROR('Price History'!F3+(INDEX('Price History'!F:F,MATCH(9.99E+307,'Price History'!$A:$A))-'Price History'!F3)*(ROW()-3)/(MATCH(9.99E+307,'Returns (Calc)'!$A:$A)-3),"")</f>
        <v>63.9424528301887</v>
      </c>
      <c r="AB27" s="145" t="n">
        <f aca="false">IFERROR('Price History'!G3+(INDEX('Price History'!G:G,MATCH(9.99E+307,'Price History'!$A:$A))-'Price History'!G3)*(ROW()-3)/(MATCH(9.99E+307,'Returns (Calc)'!$A:$A)-3),"")</f>
        <v>35.1169811320755</v>
      </c>
      <c r="AC27" s="145" t="n">
        <f aca="false">IFERROR('Price History'!H3+(INDEX('Price History'!H:H,MATCH(9.99E+307,'Price History'!$A:$A))-'Price History'!H3)*(ROW()-3)/(MATCH(9.99E+307,'Returns (Calc)'!$A:$A)-3),"")</f>
        <v>85.4066037735849</v>
      </c>
      <c r="AD27" s="145" t="n">
        <f aca="false">IFERROR('Price History'!I3+(INDEX('Price History'!I:I,MATCH(9.99E+307,'Price History'!$A:$A))-'Price History'!I3)*(ROW()-3)/(MATCH(9.99E+307,'Returns (Calc)'!$A:$A)-3),"")</f>
        <v>37.6556603773585</v>
      </c>
      <c r="AE27" s="145" t="n">
        <f aca="false">IFERROR('Price History'!J3+(INDEX('Price History'!J:J,MATCH(9.99E+307,'Price History'!$A:$A))-'Price History'!J3)*(ROW()-3)/(MATCH(9.99E+307,'Returns (Calc)'!$A:$A)-3),"")</f>
        <v>58.6783018867925</v>
      </c>
      <c r="AF27" s="145" t="n">
        <f aca="false">IFERROR('Price History'!K3+(INDEX('Price History'!K:K,MATCH(9.99E+307,'Price History'!$A:$A))-'Price History'!K3)*(ROW()-3)/(MATCH(9.99E+307,'Returns (Calc)'!$A:$A)-3),"")</f>
        <v>37.1632075471698</v>
      </c>
      <c r="AG27" s="145" t="n">
        <f aca="false">IFERROR('Price History'!L3+(INDEX('Price History'!L:L,MATCH(9.99E+307,'Price History'!$A:$A))-'Price History'!L3)*(ROW()-3)/(MATCH(9.99E+307,'Returns (Calc)'!$A:$A)-3),"")</f>
        <v>94.9584905660377</v>
      </c>
      <c r="AH27" s="145" t="n">
        <f aca="false">IFERROR('Price History'!M3+(INDEX('Price History'!M:M,MATCH(9.99E+307,'Price History'!$A:$A))-'Price History'!M3)*(ROW()-3)/(MATCH(9.99E+307,'Returns (Calc)'!$A:$A)-3),"")</f>
        <v>13.0160377358491</v>
      </c>
      <c r="AI27" s="145" t="n">
        <f aca="false">IFERROR('Price History'!N3+(INDEX('Price History'!N:N,MATCH(9.99E+307,'Price History'!$A:$A))-'Price History'!N3)*(ROW()-3)/(MATCH(9.99E+307,'Returns (Calc)'!$A:$A)-3),"")</f>
        <v>18.5094339622642</v>
      </c>
      <c r="AJ27" s="145" t="n">
        <f aca="false">IFERROR('Price History'!O3+(INDEX('Price History'!O:O,MATCH(9.99E+307,'Price History'!$A:$A))-'Price History'!O3)*(ROW()-3)/(MATCH(9.99E+307,'Returns (Calc)'!$A:$A)-3),"")</f>
        <v>48.9311320754717</v>
      </c>
      <c r="AK27" s="145" t="n">
        <f aca="false">IFERROR('Price History'!Q3+(INDEX('Price History'!Q:Q,MATCH(9.99E+307,'Price History'!$A:$A))-'Price History'!Q3)*(ROW()-3)/(MATCH(9.99E+307,'Returns (Calc)'!$A:$A)-3),"")</f>
        <v>200.06320754717</v>
      </c>
      <c r="AL27" s="145" t="n">
        <f aca="false">IFERROR('Price History'!R3+(INDEX('Price History'!R:R,MATCH(9.99E+307,'Price History'!$A:$A))-'Price History'!R3)*(ROW()-3)/(MATCH(9.99E+307,'Returns (Calc)'!$A:$A)-3),"")</f>
        <v>40.6018867924528</v>
      </c>
      <c r="AM27" s="145" t="n">
        <f aca="false">IFERROR('Price History'!S3+(INDEX('Price History'!S:S,MATCH(9.99E+307,'Price History'!$A:$A))-'Price History'!S3)*(ROW()-3)/(MATCH(9.99E+307,'Returns (Calc)'!$A:$A)-3),"")</f>
        <v>49.7037735849057</v>
      </c>
      <c r="AN27" s="145" t="n">
        <f aca="false">IFERROR('Price History'!T3+(INDEX('Price History'!T:T,MATCH(9.99E+307,'Price History'!$A:$A))-'Price History'!T3)*(ROW()-3)/(MATCH(9.99E+307,'Returns (Calc)'!$A:$A)-3),"")</f>
        <v>22.8481132075472</v>
      </c>
      <c r="AO27" s="146" t="n">
        <f aca="false">IFERROR('Price History'!V3+(INDEX('Price History'!V:V,MATCH(9.99E+307,'Price History'!$A:$A))-'Price History'!V3)*(ROW()-3)/(MATCH(9.99E+307,'Returns (Calc)'!$A:$A)-3),"")</f>
        <v>0</v>
      </c>
    </row>
    <row r="28" customFormat="false" ht="15" hidden="false" customHeight="true" outlineLevel="0" collapsed="false">
      <c r="A28" s="142" t="n">
        <f aca="false">IF('Price History'!A29="","",'Price History'!A29)</f>
        <v>45366</v>
      </c>
      <c r="B28" s="143" t="n">
        <f aca="false">IFERROR(IF(OR(NOT(ISNUMBER('Price History'!B29)),NOT(ISNUMBER('Price History'!B28)),'Price History'!B28=0),"",'Price History'!B29/'Price History'!B28-1),"")</f>
        <v>-0.107361017962987</v>
      </c>
      <c r="C28" s="143" t="n">
        <f aca="false">IFERROR(IF(OR(NOT(ISNUMBER('Price History'!C29)),NOT(ISNUMBER('Price History'!C28)),'Price History'!C28=0),"",'Price History'!C29/'Price History'!C28-1),"")</f>
        <v>0.0168424135910956</v>
      </c>
      <c r="D28" s="143" t="n">
        <f aca="false">IFERROR(IF(OR(NOT(ISNUMBER('Price History'!D29)),NOT(ISNUMBER('Price History'!D28)),'Price History'!D28=0),"",'Price History'!D29/'Price History'!D28-1),"")</f>
        <v>-0.054429171243494</v>
      </c>
      <c r="E28" s="143" t="n">
        <f aca="false">IFERROR(IF(OR(NOT(ISNUMBER('Price History'!E29)),NOT(ISNUMBER('Price History'!E28)),'Price History'!E28=0),"",'Price History'!E29/'Price History'!E28-1),"")</f>
        <v>-0.0559440559440558</v>
      </c>
      <c r="F28" s="143" t="n">
        <f aca="false">IFERROR(IF(OR(NOT(ISNUMBER('Price History'!F29)),NOT(ISNUMBER('Price History'!F28)),'Price History'!F28=0),"",'Price History'!F29/'Price History'!F28-1),"")</f>
        <v>-0.00849133418634407</v>
      </c>
      <c r="G28" s="143" t="n">
        <f aca="false">IFERROR(IF(OR(NOT(ISNUMBER('Price History'!G29)),NOT(ISNUMBER('Price History'!G28)),'Price History'!G28=0),"",'Price History'!G29/'Price History'!G28-1),"")</f>
        <v>-0.0223020691364143</v>
      </c>
      <c r="H28" s="143" t="n">
        <f aca="false">IFERROR(IF(OR(NOT(ISNUMBER('Price History'!H29)),NOT(ISNUMBER('Price History'!H28)),'Price History'!H28=0),"",'Price History'!H29/'Price History'!H28-1),"")</f>
        <v>-0.0032284844571534</v>
      </c>
      <c r="I28" s="143" t="n">
        <f aca="false">IFERROR(IF(OR(NOT(ISNUMBER('Price History'!I29)),NOT(ISNUMBER('Price History'!I28)),'Price History'!I28=0),"",'Price History'!I29/'Price History'!I28-1),"")</f>
        <v>-0.0220052462838823</v>
      </c>
      <c r="J28" s="143" t="n">
        <f aca="false">IFERROR(IF(OR(NOT(ISNUMBER('Price History'!J29)),NOT(ISNUMBER('Price History'!J28)),'Price History'!J28=0),"",'Price History'!J29/'Price History'!J28-1),"")</f>
        <v>-0.044717546215016</v>
      </c>
      <c r="K28" s="143" t="n">
        <f aca="false">IFERROR(IF(OR(NOT(ISNUMBER('Price History'!K29)),NOT(ISNUMBER('Price History'!K28)),'Price History'!K28=0),"",'Price History'!K29/'Price History'!K28-1),"")</f>
        <v>0.00355178735105421</v>
      </c>
      <c r="L28" s="143" t="n">
        <f aca="false">IFERROR(IF(OR(NOT(ISNUMBER('Price History'!L29)),NOT(ISNUMBER('Price History'!L28)),'Price History'!L28=0),"",'Price History'!L29/'Price History'!L28-1),"")</f>
        <v>-0.037757251660995</v>
      </c>
      <c r="M28" s="143" t="n">
        <f aca="false">IFERROR(IF(OR(NOT(ISNUMBER('Price History'!M29)),NOT(ISNUMBER('Price History'!M28)),'Price History'!M28=0),"",'Price History'!M29/'Price History'!M28-1),"")</f>
        <v>-0.097926267281106</v>
      </c>
      <c r="N28" s="143" t="n">
        <f aca="false">IFERROR(IF(OR(NOT(ISNUMBER('Price History'!N29)),NOT(ISNUMBER('Price History'!N28)),'Price History'!N28=0),"",'Price History'!N29/'Price History'!N28-1),"")</f>
        <v>0.00168990283058723</v>
      </c>
      <c r="O28" s="143" t="n">
        <f aca="false">IFERROR(IF(OR(NOT(ISNUMBER('Price History'!O29)),NOT(ISNUMBER('Price History'!O28)),'Price History'!O28=0),"",'Price History'!O29/'Price History'!O28-1),"")</f>
        <v>-0.00516062443555676</v>
      </c>
      <c r="P28" s="143" t="n">
        <f aca="false">IFERROR(IF(OR(NOT(ISNUMBER('Price History'!P29)),NOT(ISNUMBER('Price History'!P28)),'Price History'!P28=0),"",'Price History'!P29/'Price History'!P28-1),"")</f>
        <v>-0.0641896673743809</v>
      </c>
      <c r="Q28" s="143" t="n">
        <f aca="false">IFERROR(IF(OR(NOT(ISNUMBER('Price History'!Q29)),NOT(ISNUMBER('Price History'!Q28)),'Price History'!Q28=0),"",'Price History'!Q29/'Price History'!Q28-1),"")</f>
        <v>0.0106979113601631</v>
      </c>
      <c r="R28" s="143" t="n">
        <f aca="false">IFERROR(IF(OR(NOT(ISNUMBER('Price History'!R29)),NOT(ISNUMBER('Price History'!R28)),'Price History'!R28=0),"",'Price History'!R29/'Price History'!R28-1),"")</f>
        <v>0.0105891413169041</v>
      </c>
      <c r="S28" s="143" t="n">
        <f aca="false">IFERROR(IF(OR(NOT(ISNUMBER('Price History'!S29)),NOT(ISNUMBER('Price History'!S28)),'Price History'!S28=0),"",'Price History'!S29/'Price History'!S28-1),"")</f>
        <v>0.0238554881412025</v>
      </c>
      <c r="T28" s="143" t="n">
        <f aca="false">IFERROR(IF(OR(NOT(ISNUMBER('Price History'!T29)),NOT(ISNUMBER('Price History'!T28)),'Price History'!T28=0),"",'Price History'!T29/'Price History'!T28-1),"")</f>
        <v>0.0038569424964936</v>
      </c>
      <c r="U28" s="143" t="str">
        <f aca="false">IFERROR(IF(OR(NOT(ISNUMBER('Price History'!U29)),NOT(ISNUMBER('Price History'!U28)),'Price History'!U28=0),"",'Price History'!U29/'Price History'!U28-1),"")</f>
        <v/>
      </c>
      <c r="V28" s="144" t="n">
        <f aca="false">IFERROR(IF(OR(NOT(ISNUMBER('Price History'!V29)),NOT(ISNUMBER('Price History'!V28)),'Price History'!V28=0),"",'Price History'!V29/'Price History'!V28-1),"")</f>
        <v>-0.000847114286766648</v>
      </c>
      <c r="W28" s="145" t="str">
        <f aca="false">IFERROR('Price History'!B3+(INDEX('Price History'!B:B,MATCH(9.99E+307,'Price History'!$A:$A))-'Price History'!B3)*(ROW()-3)/(MATCH(9.99E+307,'Returns (Calc)'!$A:$A)-3),"")</f>
        <v/>
      </c>
      <c r="X28" s="145" t="n">
        <f aca="false">IFERROR('Price History'!C3+(INDEX('Price History'!C:C,MATCH(9.99E+307,'Price History'!$A:$A))-'Price History'!C3)*(ROW()-3)/(MATCH(9.99E+307,'Returns (Calc)'!$A:$A)-3),"")</f>
        <v>38.9189937106918</v>
      </c>
      <c r="Y28" s="145" t="n">
        <f aca="false">IFERROR('Price History'!D3+(INDEX('Price History'!D:D,MATCH(9.99E+307,'Price History'!$A:$A))-'Price History'!D3)*(ROW()-3)/(MATCH(9.99E+307,'Returns (Calc)'!$A:$A)-3),"")</f>
        <v>490.498993710692</v>
      </c>
      <c r="Z28" s="145" t="n">
        <f aca="false">IFERROR('Price History'!E3+(INDEX('Price History'!E:E,MATCH(9.99E+307,'Price History'!$A:$A))-'Price History'!E3)*(ROW()-3)/(MATCH(9.99E+307,'Returns (Calc)'!$A:$A)-3),"")</f>
        <v>69.1069182389937</v>
      </c>
      <c r="AA28" s="145" t="n">
        <f aca="false">IFERROR('Price History'!F3+(INDEX('Price History'!F:F,MATCH(9.99E+307,'Price History'!$A:$A))-'Price History'!F3)*(ROW()-3)/(MATCH(9.99E+307,'Returns (Calc)'!$A:$A)-3),"")</f>
        <v>63.4688050314465</v>
      </c>
      <c r="AB28" s="145" t="n">
        <f aca="false">IFERROR('Price History'!G3+(INDEX('Price History'!G:G,MATCH(9.99E+307,'Price History'!$A:$A))-'Price History'!G3)*(ROW()-3)/(MATCH(9.99E+307,'Returns (Calc)'!$A:$A)-3),"")</f>
        <v>34.856855345912</v>
      </c>
      <c r="AC28" s="145" t="n">
        <f aca="false">IFERROR('Price History'!H3+(INDEX('Price History'!H:H,MATCH(9.99E+307,'Price History'!$A:$A))-'Price History'!H3)*(ROW()-3)/(MATCH(9.99E+307,'Returns (Calc)'!$A:$A)-3),"")</f>
        <v>84.773962264151</v>
      </c>
      <c r="AD28" s="145" t="n">
        <f aca="false">IFERROR('Price History'!I3+(INDEX('Price History'!I:I,MATCH(9.99E+307,'Price History'!$A:$A))-'Price History'!I3)*(ROW()-3)/(MATCH(9.99E+307,'Returns (Calc)'!$A:$A)-3),"")</f>
        <v>37.3767295597484</v>
      </c>
      <c r="AE28" s="145" t="n">
        <f aca="false">IFERROR('Price History'!J3+(INDEX('Price History'!J:J,MATCH(9.99E+307,'Price History'!$A:$A))-'Price History'!J3)*(ROW()-3)/(MATCH(9.99E+307,'Returns (Calc)'!$A:$A)-3),"")</f>
        <v>58.2436477987421</v>
      </c>
      <c r="AF28" s="145" t="n">
        <f aca="false">IFERROR('Price History'!K3+(INDEX('Price History'!K:K,MATCH(9.99E+307,'Price History'!$A:$A))-'Price History'!K3)*(ROW()-3)/(MATCH(9.99E+307,'Returns (Calc)'!$A:$A)-3),"")</f>
        <v>36.8879245283019</v>
      </c>
      <c r="AG28" s="145" t="n">
        <f aca="false">IFERROR('Price History'!L3+(INDEX('Price History'!L:L,MATCH(9.99E+307,'Price History'!$A:$A))-'Price History'!L3)*(ROW()-3)/(MATCH(9.99E+307,'Returns (Calc)'!$A:$A)-3),"")</f>
        <v>94.2550943396226</v>
      </c>
      <c r="AH28" s="145" t="n">
        <f aca="false">IFERROR('Price History'!M3+(INDEX('Price History'!M:M,MATCH(9.99E+307,'Price History'!$A:$A))-'Price History'!M3)*(ROW()-3)/(MATCH(9.99E+307,'Returns (Calc)'!$A:$A)-3),"")</f>
        <v>12.9196226415094</v>
      </c>
      <c r="AI28" s="145" t="n">
        <f aca="false">IFERROR('Price History'!N3+(INDEX('Price History'!N:N,MATCH(9.99E+307,'Price History'!$A:$A))-'Price History'!N3)*(ROW()-3)/(MATCH(9.99E+307,'Returns (Calc)'!$A:$A)-3),"")</f>
        <v>18.3723270440252</v>
      </c>
      <c r="AJ28" s="145" t="n">
        <f aca="false">IFERROR('Price History'!O3+(INDEX('Price History'!O:O,MATCH(9.99E+307,'Price History'!$A:$A))-'Price History'!O3)*(ROW()-3)/(MATCH(9.99E+307,'Returns (Calc)'!$A:$A)-3),"")</f>
        <v>48.568679245283</v>
      </c>
      <c r="AK28" s="145" t="n">
        <f aca="false">IFERROR('Price History'!Q3+(INDEX('Price History'!Q:Q,MATCH(9.99E+307,'Price History'!$A:$A))-'Price History'!Q3)*(ROW()-3)/(MATCH(9.99E+307,'Returns (Calc)'!$A:$A)-3),"")</f>
        <v>198.581257861635</v>
      </c>
      <c r="AL28" s="145" t="n">
        <f aca="false">IFERROR('Price History'!R3+(INDEX('Price History'!R:R,MATCH(9.99E+307,'Price History'!$A:$A))-'Price History'!R3)*(ROW()-3)/(MATCH(9.99E+307,'Returns (Calc)'!$A:$A)-3),"")</f>
        <v>40.3011320754717</v>
      </c>
      <c r="AM28" s="145" t="n">
        <f aca="false">IFERROR('Price History'!S3+(INDEX('Price History'!S:S,MATCH(9.99E+307,'Price History'!$A:$A))-'Price History'!S3)*(ROW()-3)/(MATCH(9.99E+307,'Returns (Calc)'!$A:$A)-3),"")</f>
        <v>49.3355974842767</v>
      </c>
      <c r="AN28" s="145" t="n">
        <f aca="false">IFERROR('Price History'!T3+(INDEX('Price History'!T:T,MATCH(9.99E+307,'Price History'!$A:$A))-'Price History'!T3)*(ROW()-3)/(MATCH(9.99E+307,'Returns (Calc)'!$A:$A)-3),"")</f>
        <v>22.6788679245283</v>
      </c>
      <c r="AO28" s="146" t="n">
        <f aca="false">IFERROR('Price History'!V3+(INDEX('Price History'!V:V,MATCH(9.99E+307,'Price History'!$A:$A))-'Price History'!V3)*(ROW()-3)/(MATCH(9.99E+307,'Returns (Calc)'!$A:$A)-3),"")</f>
        <v>0</v>
      </c>
    </row>
    <row r="29" customFormat="false" ht="15" hidden="false" customHeight="true" outlineLevel="0" collapsed="false">
      <c r="A29" s="142" t="n">
        <f aca="false">IF('Price History'!A30="","",'Price History'!A30)</f>
        <v>45373</v>
      </c>
      <c r="B29" s="143" t="n">
        <f aca="false">IFERROR(IF(OR(NOT(ISNUMBER('Price History'!B30)),NOT(ISNUMBER('Price History'!B29)),'Price History'!B29=0),"",'Price History'!B30/'Price History'!B29-1),"")</f>
        <v>0.0143361897412988</v>
      </c>
      <c r="C29" s="143" t="n">
        <f aca="false">IFERROR(IF(OR(NOT(ISNUMBER('Price History'!C30)),NOT(ISNUMBER('Price History'!C29)),'Price History'!C29=0),"",'Price History'!C30/'Price History'!C29-1),"")</f>
        <v>0.103413510010082</v>
      </c>
      <c r="D29" s="143" t="n">
        <f aca="false">IFERROR(IF(OR(NOT(ISNUMBER('Price History'!D30)),NOT(ISNUMBER('Price History'!D29)),'Price History'!D29=0),"",'Price History'!D30/'Price History'!D29-1),"")</f>
        <v>0.042275999088037</v>
      </c>
      <c r="E29" s="143" t="n">
        <f aca="false">IFERROR(IF(OR(NOT(ISNUMBER('Price History'!E30)),NOT(ISNUMBER('Price History'!E29)),'Price History'!E29=0),"",'Price History'!E30/'Price History'!E29-1),"")</f>
        <v>0.100208073241781</v>
      </c>
      <c r="F29" s="143" t="n">
        <f aca="false">IFERROR(IF(OR(NOT(ISNUMBER('Price History'!F30)),NOT(ISNUMBER('Price History'!F29)),'Price History'!F29=0),"",'Price History'!F30/'Price History'!F29-1),"")</f>
        <v>0.0273345847020179</v>
      </c>
      <c r="G29" s="143" t="n">
        <f aca="false">IFERROR(IF(OR(NOT(ISNUMBER('Price History'!G30)),NOT(ISNUMBER('Price History'!G29)),'Price History'!G29=0),"",'Price History'!G30/'Price History'!G29-1),"")</f>
        <v>0.037764541883158</v>
      </c>
      <c r="H29" s="143" t="n">
        <f aca="false">IFERROR(IF(OR(NOT(ISNUMBER('Price History'!H30)),NOT(ISNUMBER('Price History'!H29)),'Price History'!H29=0),"",'Price History'!H30/'Price History'!H29-1),"")</f>
        <v>0.0161947066444568</v>
      </c>
      <c r="I29" s="143" t="n">
        <f aca="false">IFERROR(IF(OR(NOT(ISNUMBER('Price History'!I30)),NOT(ISNUMBER('Price History'!I29)),'Price History'!I29=0),"",'Price History'!I30/'Price History'!I29-1),"")</f>
        <v>0.0390403814632694</v>
      </c>
      <c r="J29" s="143" t="n">
        <f aca="false">IFERROR(IF(OR(NOT(ISNUMBER('Price History'!J30)),NOT(ISNUMBER('Price History'!J29)),'Price History'!J29=0),"",'Price History'!J30/'Price History'!J29-1),"")</f>
        <v>0.181837837837838</v>
      </c>
      <c r="K29" s="143" t="n">
        <f aca="false">IFERROR(IF(OR(NOT(ISNUMBER('Price History'!K30)),NOT(ISNUMBER('Price History'!K29)),'Price History'!K29=0),"",'Price History'!K30/'Price History'!K29-1),"")</f>
        <v>0.0734102066445941</v>
      </c>
      <c r="L29" s="143" t="n">
        <f aca="false">IFERROR(IF(OR(NOT(ISNUMBER('Price History'!L30)),NOT(ISNUMBER('Price History'!L29)),'Price History'!L29=0),"",'Price History'!L30/'Price History'!L29-1),"")</f>
        <v>-0.00303132367800607</v>
      </c>
      <c r="M29" s="143" t="n">
        <f aca="false">IFERROR(IF(OR(NOT(ISNUMBER('Price History'!M30)),NOT(ISNUMBER('Price History'!M29)),'Price History'!M29=0),"",'Price History'!M30/'Price History'!M29-1),"")</f>
        <v>0.029374201787995</v>
      </c>
      <c r="N29" s="143" t="n">
        <f aca="false">IFERROR(IF(OR(NOT(ISNUMBER('Price History'!N30)),NOT(ISNUMBER('Price History'!N29)),'Price History'!N29=0),"",'Price History'!N30/'Price History'!N29-1),"")</f>
        <v>0.0185575706452972</v>
      </c>
      <c r="O29" s="143" t="n">
        <f aca="false">IFERROR(IF(OR(NOT(ISNUMBER('Price History'!O30)),NOT(ISNUMBER('Price History'!O29)),'Price History'!O29=0),"",'Price History'!O30/'Price History'!O29-1),"")</f>
        <v>0.0300868888600701</v>
      </c>
      <c r="P29" s="143" t="n">
        <f aca="false">IFERROR(IF(OR(NOT(ISNUMBER('Price History'!P30)),NOT(ISNUMBER('Price History'!P29)),'Price History'!P29=0),"",'Price History'!P30/'Price History'!P29-1),"")</f>
        <v>0.0301746956061408</v>
      </c>
      <c r="Q29" s="143" t="n">
        <f aca="false">IFERROR(IF(OR(NOT(ISNUMBER('Price History'!Q30)),NOT(ISNUMBER('Price History'!Q29)),'Price History'!Q29=0),"",'Price History'!Q30/'Price History'!Q29-1),"")</f>
        <v>0.000792050691244439</v>
      </c>
      <c r="R29" s="143" t="n">
        <f aca="false">IFERROR(IF(OR(NOT(ISNUMBER('Price History'!R30)),NOT(ISNUMBER('Price History'!R29)),'Price History'!R29=0),"",'Price History'!R30/'Price History'!R29-1),"")</f>
        <v>-0.00323871213564497</v>
      </c>
      <c r="S29" s="143" t="n">
        <f aca="false">IFERROR(IF(OR(NOT(ISNUMBER('Price History'!S30)),NOT(ISNUMBER('Price History'!S29)),'Price History'!S29=0),"",'Price History'!S30/'Price History'!S29-1),"")</f>
        <v>0.00835016835016833</v>
      </c>
      <c r="T29" s="143" t="n">
        <f aca="false">IFERROR(IF(OR(NOT(ISNUMBER('Price History'!T30)),NOT(ISNUMBER('Price History'!T29)),'Price History'!T29=0),"",'Price History'!T30/'Price History'!T29-1),"")</f>
        <v>0.00838281522878104</v>
      </c>
      <c r="U29" s="143" t="str">
        <f aca="false">IFERROR(IF(OR(NOT(ISNUMBER('Price History'!U30)),NOT(ISNUMBER('Price History'!U29)),'Price History'!U29=0),"",'Price History'!U30/'Price History'!U29-1),"")</f>
        <v/>
      </c>
      <c r="V29" s="144" t="n">
        <f aca="false">IFERROR(IF(OR(NOT(ISNUMBER('Price History'!V30)),NOT(ISNUMBER('Price History'!V29)),'Price History'!V29=0),"",'Price History'!V30/'Price History'!V29-1),"")</f>
        <v>0.00770421704511959</v>
      </c>
      <c r="W29" s="145" t="str">
        <f aca="false">IFERROR('Price History'!B3+(INDEX('Price History'!B:B,MATCH(9.99E+307,'Price History'!$A:$A))-'Price History'!B3)*(ROW()-3)/(MATCH(9.99E+307,'Returns (Calc)'!$A:$A)-3),"")</f>
        <v/>
      </c>
      <c r="X29" s="145" t="n">
        <f aca="false">IFERROR('Price History'!C3+(INDEX('Price History'!C:C,MATCH(9.99E+307,'Price History'!$A:$A))-'Price History'!C3)*(ROW()-3)/(MATCH(9.99E+307,'Returns (Calc)'!$A:$A)-3),"")</f>
        <v>38.6285534591195</v>
      </c>
      <c r="Y29" s="145" t="n">
        <f aca="false">IFERROR('Price History'!D3+(INDEX('Price History'!D:D,MATCH(9.99E+307,'Price History'!$A:$A))-'Price History'!D3)*(ROW()-3)/(MATCH(9.99E+307,'Returns (Calc)'!$A:$A)-3),"")</f>
        <v>486.838553459119</v>
      </c>
      <c r="Z29" s="145" t="n">
        <f aca="false">IFERROR('Price History'!E3+(INDEX('Price History'!E:E,MATCH(9.99E+307,'Price History'!$A:$A))-'Price History'!E3)*(ROW()-3)/(MATCH(9.99E+307,'Returns (Calc)'!$A:$A)-3),"")</f>
        <v>68.5911949685535</v>
      </c>
      <c r="AA29" s="145" t="n">
        <f aca="false">IFERROR('Price History'!F3+(INDEX('Price History'!F:F,MATCH(9.99E+307,'Price History'!$A:$A))-'Price History'!F3)*(ROW()-3)/(MATCH(9.99E+307,'Returns (Calc)'!$A:$A)-3),"")</f>
        <v>62.9951572327044</v>
      </c>
      <c r="AB29" s="145" t="n">
        <f aca="false">IFERROR('Price History'!G3+(INDEX('Price History'!G:G,MATCH(9.99E+307,'Price History'!$A:$A))-'Price History'!G3)*(ROW()-3)/(MATCH(9.99E+307,'Returns (Calc)'!$A:$A)-3),"")</f>
        <v>34.5967295597484</v>
      </c>
      <c r="AC29" s="145" t="n">
        <f aca="false">IFERROR('Price History'!H3+(INDEX('Price History'!H:H,MATCH(9.99E+307,'Price History'!$A:$A))-'Price History'!H3)*(ROW()-3)/(MATCH(9.99E+307,'Returns (Calc)'!$A:$A)-3),"")</f>
        <v>84.141320754717</v>
      </c>
      <c r="AD29" s="145" t="n">
        <f aca="false">IFERROR('Price History'!I3+(INDEX('Price History'!I:I,MATCH(9.99E+307,'Price History'!$A:$A))-'Price History'!I3)*(ROW()-3)/(MATCH(9.99E+307,'Returns (Calc)'!$A:$A)-3),"")</f>
        <v>37.0977987421384</v>
      </c>
      <c r="AE29" s="145" t="n">
        <f aca="false">IFERROR('Price History'!J3+(INDEX('Price History'!J:J,MATCH(9.99E+307,'Price History'!$A:$A))-'Price History'!J3)*(ROW()-3)/(MATCH(9.99E+307,'Returns (Calc)'!$A:$A)-3),"")</f>
        <v>57.8089937106918</v>
      </c>
      <c r="AF29" s="145" t="n">
        <f aca="false">IFERROR('Price History'!K3+(INDEX('Price History'!K:K,MATCH(9.99E+307,'Price History'!$A:$A))-'Price History'!K3)*(ROW()-3)/(MATCH(9.99E+307,'Returns (Calc)'!$A:$A)-3),"")</f>
        <v>36.612641509434</v>
      </c>
      <c r="AG29" s="145" t="n">
        <f aca="false">IFERROR('Price History'!L3+(INDEX('Price History'!L:L,MATCH(9.99E+307,'Price History'!$A:$A))-'Price History'!L3)*(ROW()-3)/(MATCH(9.99E+307,'Returns (Calc)'!$A:$A)-3),"")</f>
        <v>93.5516981132076</v>
      </c>
      <c r="AH29" s="145" t="n">
        <f aca="false">IFERROR('Price History'!M3+(INDEX('Price History'!M:M,MATCH(9.99E+307,'Price History'!$A:$A))-'Price History'!M3)*(ROW()-3)/(MATCH(9.99E+307,'Returns (Calc)'!$A:$A)-3),"")</f>
        <v>12.8232075471698</v>
      </c>
      <c r="AI29" s="145" t="n">
        <f aca="false">IFERROR('Price History'!N3+(INDEX('Price History'!N:N,MATCH(9.99E+307,'Price History'!$A:$A))-'Price History'!N3)*(ROW()-3)/(MATCH(9.99E+307,'Returns (Calc)'!$A:$A)-3),"")</f>
        <v>18.2352201257862</v>
      </c>
      <c r="AJ29" s="145" t="n">
        <f aca="false">IFERROR('Price History'!O3+(INDEX('Price History'!O:O,MATCH(9.99E+307,'Price History'!$A:$A))-'Price History'!O3)*(ROW()-3)/(MATCH(9.99E+307,'Returns (Calc)'!$A:$A)-3),"")</f>
        <v>48.2062264150943</v>
      </c>
      <c r="AK29" s="145" t="n">
        <f aca="false">IFERROR('Price History'!Q3+(INDEX('Price History'!Q:Q,MATCH(9.99E+307,'Price History'!$A:$A))-'Price History'!Q3)*(ROW()-3)/(MATCH(9.99E+307,'Returns (Calc)'!$A:$A)-3),"")</f>
        <v>197.099308176101</v>
      </c>
      <c r="AL29" s="145" t="n">
        <f aca="false">IFERROR('Price History'!R3+(INDEX('Price History'!R:R,MATCH(9.99E+307,'Price History'!$A:$A))-'Price History'!R3)*(ROW()-3)/(MATCH(9.99E+307,'Returns (Calc)'!$A:$A)-3),"")</f>
        <v>40.0003773584906</v>
      </c>
      <c r="AM29" s="145" t="n">
        <f aca="false">IFERROR('Price History'!S3+(INDEX('Price History'!S:S,MATCH(9.99E+307,'Price History'!$A:$A))-'Price History'!S3)*(ROW()-3)/(MATCH(9.99E+307,'Returns (Calc)'!$A:$A)-3),"")</f>
        <v>48.9674213836478</v>
      </c>
      <c r="AN29" s="145" t="n">
        <f aca="false">IFERROR('Price History'!T3+(INDEX('Price History'!T:T,MATCH(9.99E+307,'Price History'!$A:$A))-'Price History'!T3)*(ROW()-3)/(MATCH(9.99E+307,'Returns (Calc)'!$A:$A)-3),"")</f>
        <v>22.5096226415094</v>
      </c>
      <c r="AO29" s="146" t="n">
        <f aca="false">IFERROR('Price History'!V3+(INDEX('Price History'!V:V,MATCH(9.99E+307,'Price History'!$A:$A))-'Price History'!V3)*(ROW()-3)/(MATCH(9.99E+307,'Returns (Calc)'!$A:$A)-3),"")</f>
        <v>0</v>
      </c>
    </row>
    <row r="30" customFormat="false" ht="15" hidden="false" customHeight="true" outlineLevel="0" collapsed="false">
      <c r="A30" s="142" t="n">
        <f aca="false">IF('Price History'!A31="","",'Price History'!A31)</f>
        <v>45380</v>
      </c>
      <c r="B30" s="143" t="n">
        <f aca="false">IFERROR(IF(OR(NOT(ISNUMBER('Price History'!B31)),NOT(ISNUMBER('Price History'!B30)),'Price History'!B30=0),"",'Price History'!B31/'Price History'!B30-1),"")</f>
        <v>0.0101697629724535</v>
      </c>
      <c r="C30" s="143" t="n">
        <f aca="false">IFERROR(IF(OR(NOT(ISNUMBER('Price History'!C31)),NOT(ISNUMBER('Price History'!C30)),'Price History'!C30=0),"",'Price History'!C31/'Price History'!C30-1),"")</f>
        <v>-0.0536483487795327</v>
      </c>
      <c r="D30" s="143" t="n">
        <f aca="false">IFERROR(IF(OR(NOT(ISNUMBER('Price History'!D31)),NOT(ISNUMBER('Price History'!D30)),'Price History'!D30=0),"",'Price History'!D31/'Price History'!D30-1),"")</f>
        <v>-0.00968719727508516</v>
      </c>
      <c r="E30" s="143" t="n">
        <f aca="false">IFERROR(IF(OR(NOT(ISNUMBER('Price History'!E31)),NOT(ISNUMBER('Price History'!E30)),'Price History'!E30=0),"",'Price History'!E31/'Price History'!E30-1),"")</f>
        <v>-0.0207277403737046</v>
      </c>
      <c r="F30" s="143" t="n">
        <f aca="false">IFERROR(IF(OR(NOT(ISNUMBER('Price History'!F31)),NOT(ISNUMBER('Price History'!F30)),'Price History'!F30=0),"",'Price History'!F31/'Price History'!F30-1),"")</f>
        <v>0.0286627840584677</v>
      </c>
      <c r="G30" s="143" t="n">
        <f aca="false">IFERROR(IF(OR(NOT(ISNUMBER('Price History'!G31)),NOT(ISNUMBER('Price History'!G30)),'Price History'!G30=0),"",'Price History'!G31/'Price History'!G30-1),"")</f>
        <v>-0.0212480156307241</v>
      </c>
      <c r="H30" s="143" t="n">
        <f aca="false">IFERROR(IF(OR(NOT(ISNUMBER('Price History'!H31)),NOT(ISNUMBER('Price History'!H30)),'Price History'!H30=0),"",'Price History'!H31/'Price History'!H30-1),"")</f>
        <v>0.0252253893088061</v>
      </c>
      <c r="I30" s="143" t="n">
        <f aca="false">IFERROR(IF(OR(NOT(ISNUMBER('Price History'!I31)),NOT(ISNUMBER('Price History'!I30)),'Price History'!I30=0),"",'Price History'!I31/'Price History'!I30-1),"")</f>
        <v>-0.0169224150293992</v>
      </c>
      <c r="J30" s="143" t="n">
        <f aca="false">IFERROR(IF(OR(NOT(ISNUMBER('Price History'!J31)),NOT(ISNUMBER('Price History'!J30)),'Price History'!J30=0),"",'Price History'!J31/'Price History'!J30-1),"")</f>
        <v>0.0707098426637396</v>
      </c>
      <c r="K30" s="143" t="n">
        <f aca="false">IFERROR(IF(OR(NOT(ISNUMBER('Price History'!K31)),NOT(ISNUMBER('Price History'!K30)),'Price History'!K30=0),"",'Price History'!K31/'Price History'!K30-1),"")</f>
        <v>-0.0416932567538821</v>
      </c>
      <c r="L30" s="143" t="n">
        <f aca="false">IFERROR(IF(OR(NOT(ISNUMBER('Price History'!L31)),NOT(ISNUMBER('Price History'!L30)),'Price History'!L30=0),"",'Price History'!L31/'Price History'!L30-1),"")</f>
        <v>0.0124155405405406</v>
      </c>
      <c r="M30" s="143" t="n">
        <f aca="false">IFERROR(IF(OR(NOT(ISNUMBER('Price History'!M31)),NOT(ISNUMBER('Price History'!M30)),'Price History'!M30=0),"",'Price History'!M31/'Price History'!M30-1),"")</f>
        <v>-0.0483870967741935</v>
      </c>
      <c r="N30" s="143" t="n">
        <f aca="false">IFERROR(IF(OR(NOT(ISNUMBER('Price History'!N31)),NOT(ISNUMBER('Price History'!N30)),'Price History'!N30=0),"",'Price History'!N31/'Price History'!N30-1),"")</f>
        <v>0.0157349896480332</v>
      </c>
      <c r="O30" s="143" t="n">
        <f aca="false">IFERROR(IF(OR(NOT(ISNUMBER('Price History'!O31)),NOT(ISNUMBER('Price History'!O30)),'Price History'!O30=0),"",'Price History'!O31/'Price History'!O30-1),"")</f>
        <v>-0.00755382097444302</v>
      </c>
      <c r="P30" s="143" t="n">
        <f aca="false">IFERROR(IF(OR(NOT(ISNUMBER('Price History'!P31)),NOT(ISNUMBER('Price History'!P30)),'Price History'!P30=0),"",'Price History'!P31/'Price History'!P30-1),"")</f>
        <v>-0.0319336367640581</v>
      </c>
      <c r="Q30" s="143" t="n">
        <f aca="false">IFERROR(IF(OR(NOT(ISNUMBER('Price History'!Q31)),NOT(ISNUMBER('Price History'!Q30)),'Price History'!Q30=0),"",'Price History'!Q31/'Price History'!Q30-1),"")</f>
        <v>-0.0147492625368733</v>
      </c>
      <c r="R30" s="143" t="n">
        <f aca="false">IFERROR(IF(OR(NOT(ISNUMBER('Price History'!R31)),NOT(ISNUMBER('Price History'!R30)),'Price History'!R30=0),"",'Price History'!R31/'Price History'!R30-1),"")</f>
        <v>0.0126146788990824</v>
      </c>
      <c r="S30" s="143" t="n">
        <f aca="false">IFERROR(IF(OR(NOT(ISNUMBER('Price History'!S31)),NOT(ISNUMBER('Price History'!S30)),'Price History'!S30=0),"",'Price History'!S31/'Price History'!S30-1),"")</f>
        <v>0.0224388940830773</v>
      </c>
      <c r="T30" s="143" t="n">
        <f aca="false">IFERROR(IF(OR(NOT(ISNUMBER('Price History'!T31)),NOT(ISNUMBER('Price History'!T30)),'Price History'!T30=0),"",'Price History'!T31/'Price History'!T30-1),"")</f>
        <v>0.0218219605126428</v>
      </c>
      <c r="U30" s="143" t="str">
        <f aca="false">IFERROR(IF(OR(NOT(ISNUMBER('Price History'!U31)),NOT(ISNUMBER('Price History'!U30)),'Price History'!U30=0),"",'Price History'!U31/'Price History'!U30-1),"")</f>
        <v/>
      </c>
      <c r="V30" s="144" t="n">
        <f aca="false">IFERROR(IF(OR(NOT(ISNUMBER('Price History'!V31)),NOT(ISNUMBER('Price History'!V30)),'Price History'!V30=0),"",'Price History'!V31/'Price History'!V30-1),"")</f>
        <v>0.0180707466071623</v>
      </c>
      <c r="W30" s="145" t="str">
        <f aca="false">IFERROR('Price History'!B3+(INDEX('Price History'!B:B,MATCH(9.99E+307,'Price History'!$A:$A))-'Price History'!B3)*(ROW()-3)/(MATCH(9.99E+307,'Returns (Calc)'!$A:$A)-3),"")</f>
        <v/>
      </c>
      <c r="X30" s="145" t="n">
        <f aca="false">IFERROR('Price History'!C3+(INDEX('Price History'!C:C,MATCH(9.99E+307,'Price History'!$A:$A))-'Price History'!C3)*(ROW()-3)/(MATCH(9.99E+307,'Returns (Calc)'!$A:$A)-3),"")</f>
        <v>38.3381132075472</v>
      </c>
      <c r="Y30" s="145" t="n">
        <f aca="false">IFERROR('Price History'!D3+(INDEX('Price History'!D:D,MATCH(9.99E+307,'Price History'!$A:$A))-'Price History'!D3)*(ROW()-3)/(MATCH(9.99E+307,'Returns (Calc)'!$A:$A)-3),"")</f>
        <v>483.178113207547</v>
      </c>
      <c r="Z30" s="145" t="n">
        <f aca="false">IFERROR('Price History'!E3+(INDEX('Price History'!E:E,MATCH(9.99E+307,'Price History'!$A:$A))-'Price History'!E3)*(ROW()-3)/(MATCH(9.99E+307,'Returns (Calc)'!$A:$A)-3),"")</f>
        <v>68.0754716981132</v>
      </c>
      <c r="AA30" s="145" t="n">
        <f aca="false">IFERROR('Price History'!F3+(INDEX('Price History'!F:F,MATCH(9.99E+307,'Price History'!$A:$A))-'Price History'!F3)*(ROW()-3)/(MATCH(9.99E+307,'Returns (Calc)'!$A:$A)-3),"")</f>
        <v>62.5215094339623</v>
      </c>
      <c r="AB30" s="145" t="n">
        <f aca="false">IFERROR('Price History'!G3+(INDEX('Price History'!G:G,MATCH(9.99E+307,'Price History'!$A:$A))-'Price History'!G3)*(ROW()-3)/(MATCH(9.99E+307,'Returns (Calc)'!$A:$A)-3),"")</f>
        <v>34.3366037735849</v>
      </c>
      <c r="AC30" s="145" t="n">
        <f aca="false">IFERROR('Price History'!H3+(INDEX('Price History'!H:H,MATCH(9.99E+307,'Price History'!$A:$A))-'Price History'!H3)*(ROW()-3)/(MATCH(9.99E+307,'Returns (Calc)'!$A:$A)-3),"")</f>
        <v>83.508679245283</v>
      </c>
      <c r="AD30" s="145" t="n">
        <f aca="false">IFERROR('Price History'!I3+(INDEX('Price History'!I:I,MATCH(9.99E+307,'Price History'!$A:$A))-'Price History'!I3)*(ROW()-3)/(MATCH(9.99E+307,'Returns (Calc)'!$A:$A)-3),"")</f>
        <v>36.8188679245283</v>
      </c>
      <c r="AE30" s="145" t="n">
        <f aca="false">IFERROR('Price History'!J3+(INDEX('Price History'!J:J,MATCH(9.99E+307,'Price History'!$A:$A))-'Price History'!J3)*(ROW()-3)/(MATCH(9.99E+307,'Returns (Calc)'!$A:$A)-3),"")</f>
        <v>57.3743396226415</v>
      </c>
      <c r="AF30" s="145" t="n">
        <f aca="false">IFERROR('Price History'!K3+(INDEX('Price History'!K:K,MATCH(9.99E+307,'Price History'!$A:$A))-'Price History'!K3)*(ROW()-3)/(MATCH(9.99E+307,'Returns (Calc)'!$A:$A)-3),"")</f>
        <v>36.337358490566</v>
      </c>
      <c r="AG30" s="145" t="n">
        <f aca="false">IFERROR('Price History'!L3+(INDEX('Price History'!L:L,MATCH(9.99E+307,'Price History'!$A:$A))-'Price History'!L3)*(ROW()-3)/(MATCH(9.99E+307,'Returns (Calc)'!$A:$A)-3),"")</f>
        <v>92.8483018867925</v>
      </c>
      <c r="AH30" s="145" t="n">
        <f aca="false">IFERROR('Price History'!M3+(INDEX('Price History'!M:M,MATCH(9.99E+307,'Price History'!$A:$A))-'Price History'!M3)*(ROW()-3)/(MATCH(9.99E+307,'Returns (Calc)'!$A:$A)-3),"")</f>
        <v>12.7267924528302</v>
      </c>
      <c r="AI30" s="145" t="n">
        <f aca="false">IFERROR('Price History'!N3+(INDEX('Price History'!N:N,MATCH(9.99E+307,'Price History'!$A:$A))-'Price History'!N3)*(ROW()-3)/(MATCH(9.99E+307,'Returns (Calc)'!$A:$A)-3),"")</f>
        <v>18.0981132075472</v>
      </c>
      <c r="AJ30" s="145" t="n">
        <f aca="false">IFERROR('Price History'!O3+(INDEX('Price History'!O:O,MATCH(9.99E+307,'Price History'!$A:$A))-'Price History'!O3)*(ROW()-3)/(MATCH(9.99E+307,'Returns (Calc)'!$A:$A)-3),"")</f>
        <v>47.8437735849057</v>
      </c>
      <c r="AK30" s="145" t="n">
        <f aca="false">IFERROR('Price History'!Q3+(INDEX('Price History'!Q:Q,MATCH(9.99E+307,'Price History'!$A:$A))-'Price History'!Q3)*(ROW()-3)/(MATCH(9.99E+307,'Returns (Calc)'!$A:$A)-3),"")</f>
        <v>195.617358490566</v>
      </c>
      <c r="AL30" s="145" t="n">
        <f aca="false">IFERROR('Price History'!R3+(INDEX('Price History'!R:R,MATCH(9.99E+307,'Price History'!$A:$A))-'Price History'!R3)*(ROW()-3)/(MATCH(9.99E+307,'Returns (Calc)'!$A:$A)-3),"")</f>
        <v>39.6996226415094</v>
      </c>
      <c r="AM30" s="145" t="n">
        <f aca="false">IFERROR('Price History'!S3+(INDEX('Price History'!S:S,MATCH(9.99E+307,'Price History'!$A:$A))-'Price History'!S3)*(ROW()-3)/(MATCH(9.99E+307,'Returns (Calc)'!$A:$A)-3),"")</f>
        <v>48.5992452830189</v>
      </c>
      <c r="AN30" s="145" t="n">
        <f aca="false">IFERROR('Price History'!T3+(INDEX('Price History'!T:T,MATCH(9.99E+307,'Price History'!$A:$A))-'Price History'!T3)*(ROW()-3)/(MATCH(9.99E+307,'Returns (Calc)'!$A:$A)-3),"")</f>
        <v>22.3403773584906</v>
      </c>
      <c r="AO30" s="146" t="n">
        <f aca="false">IFERROR('Price History'!V3+(INDEX('Price History'!V:V,MATCH(9.99E+307,'Price History'!$A:$A))-'Price History'!V3)*(ROW()-3)/(MATCH(9.99E+307,'Returns (Calc)'!$A:$A)-3),"")</f>
        <v>0</v>
      </c>
    </row>
    <row r="31" customFormat="false" ht="15" hidden="false" customHeight="true" outlineLevel="0" collapsed="false">
      <c r="A31" s="142" t="n">
        <f aca="false">IF('Price History'!A32="","",'Price History'!A32)</f>
        <v>45387</v>
      </c>
      <c r="B31" s="143" t="n">
        <f aca="false">IFERROR(IF(OR(NOT(ISNUMBER('Price History'!B32)),NOT(ISNUMBER('Price History'!B31)),'Price History'!B31=0),"",'Price History'!B32/'Price History'!B31-1),"")</f>
        <v>-0.0386048355132779</v>
      </c>
      <c r="C31" s="143" t="n">
        <f aca="false">IFERROR(IF(OR(NOT(ISNUMBER('Price History'!C32)),NOT(ISNUMBER('Price History'!C31)),'Price History'!C31=0),"",'Price History'!C32/'Price History'!C31-1),"")</f>
        <v>0.0262068965517241</v>
      </c>
      <c r="D31" s="143" t="n">
        <f aca="false">IFERROR(IF(OR(NOT(ISNUMBER('Price History'!D32)),NOT(ISNUMBER('Price History'!D31)),'Price History'!D31=0),"",'Price History'!D32/'Price History'!D31-1),"")</f>
        <v>0.00936122768819736</v>
      </c>
      <c r="E31" s="143" t="n">
        <f aca="false">IFERROR(IF(OR(NOT(ISNUMBER('Price History'!E32)),NOT(ISNUMBER('Price History'!E31)),'Price History'!E31=0),"",'Price History'!E32/'Price History'!E31-1),"")</f>
        <v>0.010583236770954</v>
      </c>
      <c r="F31" s="143" t="n">
        <f aca="false">IFERROR(IF(OR(NOT(ISNUMBER('Price History'!F32)),NOT(ISNUMBER('Price History'!F31)),'Price History'!F31=0),"",'Price History'!F32/'Price History'!F31-1),"")</f>
        <v>-0.0215364120781527</v>
      </c>
      <c r="G31" s="143" t="n">
        <f aca="false">IFERROR(IF(OR(NOT(ISNUMBER('Price History'!G32)),NOT(ISNUMBER('Price History'!G31)),'Price History'!G31=0),"",'Price History'!G32/'Price History'!G31-1),"")</f>
        <v>-0.015845290081098</v>
      </c>
      <c r="H31" s="143" t="n">
        <f aca="false">IFERROR(IF(OR(NOT(ISNUMBER('Price History'!H32)),NOT(ISNUMBER('Price History'!H31)),'Price History'!H31=0),"",'Price History'!H32/'Price History'!H31-1),"")</f>
        <v>-0.0177651447859301</v>
      </c>
      <c r="I31" s="143" t="n">
        <f aca="false">IFERROR(IF(OR(NOT(ISNUMBER('Price History'!I32)),NOT(ISNUMBER('Price History'!I31)),'Price History'!I31=0),"",'Price History'!I32/'Price History'!I31-1),"")</f>
        <v>-0.022465353756382</v>
      </c>
      <c r="J31" s="143" t="n">
        <f aca="false">IFERROR(IF(OR(NOT(ISNUMBER('Price History'!J32)),NOT(ISNUMBER('Price History'!J31)),'Price History'!J31=0),"",'Price History'!J32/'Price History'!J31-1),"")</f>
        <v>0.0482699700982487</v>
      </c>
      <c r="K31" s="143" t="n">
        <f aca="false">IFERROR(IF(OR(NOT(ISNUMBER('Price History'!K32)),NOT(ISNUMBER('Price History'!K31)),'Price History'!K31=0),"",'Price History'!K32/'Price History'!K31-1),"")</f>
        <v>-0.0259711431742508</v>
      </c>
      <c r="L31" s="143" t="n">
        <f aca="false">IFERROR(IF(OR(NOT(ISNUMBER('Price History'!L32)),NOT(ISNUMBER('Price History'!L31)),'Price History'!L31=0),"",'Price History'!L32/'Price History'!L31-1),"")</f>
        <v>-0.0421289730541421</v>
      </c>
      <c r="M31" s="143" t="n">
        <f aca="false">IFERROR(IF(OR(NOT(ISNUMBER('Price History'!M32)),NOT(ISNUMBER('Price History'!M31)),'Price History'!M31=0),"",'Price History'!M32/'Price History'!M31-1),"")</f>
        <v>-0.00217296827466318</v>
      </c>
      <c r="N31" s="143" t="n">
        <f aca="false">IFERROR(IF(OR(NOT(ISNUMBER('Price History'!N32)),NOT(ISNUMBER('Price History'!N31)),'Price History'!N31=0),"",'Price History'!N32/'Price History'!N31-1),"")</f>
        <v>-0.0203832042397065</v>
      </c>
      <c r="O31" s="143" t="n">
        <f aca="false">IFERROR(IF(OR(NOT(ISNUMBER('Price History'!O32)),NOT(ISNUMBER('Price History'!O31)),'Price History'!O31=0),"",'Price History'!O32/'Price History'!O31-1),"")</f>
        <v>0.00291767093746032</v>
      </c>
      <c r="P31" s="143" t="n">
        <f aca="false">IFERROR(IF(OR(NOT(ISNUMBER('Price History'!P32)),NOT(ISNUMBER('Price History'!P31)),'Price History'!P31=0),"",'Price History'!P32/'Price History'!P31-1),"")</f>
        <v>0.0389777811481002</v>
      </c>
      <c r="Q31" s="143" t="n">
        <f aca="false">IFERROR(IF(OR(NOT(ISNUMBER('Price History'!Q32)),NOT(ISNUMBER('Price History'!Q31)),'Price History'!Q31=0),"",'Price History'!Q32/'Price History'!Q31-1),"")</f>
        <v>-0.00697385716372123</v>
      </c>
      <c r="R31" s="143" t="n">
        <f aca="false">IFERROR(IF(OR(NOT(ISNUMBER('Price History'!R32)),NOT(ISNUMBER('Price History'!R31)),'Price History'!R31=0),"",'Price History'!R32/'Price History'!R31-1),"")</f>
        <v>0.00528501321253305</v>
      </c>
      <c r="S31" s="143" t="n">
        <f aca="false">IFERROR(IF(OR(NOT(ISNUMBER('Price History'!S32)),NOT(ISNUMBER('Price History'!S31)),'Price History'!S31=0),"",'Price History'!S32/'Price History'!S31-1),"")</f>
        <v>0.0280862181580668</v>
      </c>
      <c r="T31" s="143" t="n">
        <f aca="false">IFERROR(IF(OR(NOT(ISNUMBER('Price History'!T32)),NOT(ISNUMBER('Price History'!T31)),'Price History'!T31=0),"",'Price History'!T32/'Price History'!T31-1),"")</f>
        <v>0.0220338983050847</v>
      </c>
      <c r="U31" s="143" t="str">
        <f aca="false">IFERROR(IF(OR(NOT(ISNUMBER('Price History'!U32)),NOT(ISNUMBER('Price History'!U31)),'Price History'!U31=0),"",'Price History'!U32/'Price History'!U31-1),"")</f>
        <v/>
      </c>
      <c r="V31" s="144" t="n">
        <f aca="false">IFERROR(IF(OR(NOT(ISNUMBER('Price History'!V32)),NOT(ISNUMBER('Price History'!V31)),'Price History'!V31=0),"",'Price History'!V32/'Price History'!V31-1),"")</f>
        <v>-0.00154503970392728</v>
      </c>
      <c r="W31" s="145" t="str">
        <f aca="false">IFERROR('Price History'!B3+(INDEX('Price History'!B:B,MATCH(9.99E+307,'Price History'!$A:$A))-'Price History'!B3)*(ROW()-3)/(MATCH(9.99E+307,'Returns (Calc)'!$A:$A)-3),"")</f>
        <v/>
      </c>
      <c r="X31" s="145" t="n">
        <f aca="false">IFERROR('Price History'!C3+(INDEX('Price History'!C:C,MATCH(9.99E+307,'Price History'!$A:$A))-'Price History'!C3)*(ROW()-3)/(MATCH(9.99E+307,'Returns (Calc)'!$A:$A)-3),"")</f>
        <v>38.0476729559748</v>
      </c>
      <c r="Y31" s="145" t="n">
        <f aca="false">IFERROR('Price History'!D3+(INDEX('Price History'!D:D,MATCH(9.99E+307,'Price History'!$A:$A))-'Price History'!D3)*(ROW()-3)/(MATCH(9.99E+307,'Returns (Calc)'!$A:$A)-3),"")</f>
        <v>479.517672955975</v>
      </c>
      <c r="Z31" s="145" t="n">
        <f aca="false">IFERROR('Price History'!E3+(INDEX('Price History'!E:E,MATCH(9.99E+307,'Price History'!$A:$A))-'Price History'!E3)*(ROW()-3)/(MATCH(9.99E+307,'Returns (Calc)'!$A:$A)-3),"")</f>
        <v>67.559748427673</v>
      </c>
      <c r="AA31" s="145" t="n">
        <f aca="false">IFERROR('Price History'!F3+(INDEX('Price History'!F:F,MATCH(9.99E+307,'Price History'!$A:$A))-'Price History'!F3)*(ROW()-3)/(MATCH(9.99E+307,'Returns (Calc)'!$A:$A)-3),"")</f>
        <v>62.0478616352201</v>
      </c>
      <c r="AB31" s="145" t="n">
        <f aca="false">IFERROR('Price History'!G3+(INDEX('Price History'!G:G,MATCH(9.99E+307,'Price History'!$A:$A))-'Price History'!G3)*(ROW()-3)/(MATCH(9.99E+307,'Returns (Calc)'!$A:$A)-3),"")</f>
        <v>34.0764779874214</v>
      </c>
      <c r="AC31" s="145" t="n">
        <f aca="false">IFERROR('Price History'!H3+(INDEX('Price History'!H:H,MATCH(9.99E+307,'Price History'!$A:$A))-'Price History'!H3)*(ROW()-3)/(MATCH(9.99E+307,'Returns (Calc)'!$A:$A)-3),"")</f>
        <v>82.8760377358491</v>
      </c>
      <c r="AD31" s="145" t="n">
        <f aca="false">IFERROR('Price History'!I3+(INDEX('Price History'!I:I,MATCH(9.99E+307,'Price History'!$A:$A))-'Price History'!I3)*(ROW()-3)/(MATCH(9.99E+307,'Returns (Calc)'!$A:$A)-3),"")</f>
        <v>36.5399371069182</v>
      </c>
      <c r="AE31" s="145" t="n">
        <f aca="false">IFERROR('Price History'!J3+(INDEX('Price History'!J:J,MATCH(9.99E+307,'Price History'!$A:$A))-'Price History'!J3)*(ROW()-3)/(MATCH(9.99E+307,'Returns (Calc)'!$A:$A)-3),"")</f>
        <v>56.9396855345912</v>
      </c>
      <c r="AF31" s="145" t="n">
        <f aca="false">IFERROR('Price History'!K3+(INDEX('Price History'!K:K,MATCH(9.99E+307,'Price History'!$A:$A))-'Price History'!K3)*(ROW()-3)/(MATCH(9.99E+307,'Returns (Calc)'!$A:$A)-3),"")</f>
        <v>36.0620754716981</v>
      </c>
      <c r="AG31" s="145" t="n">
        <f aca="false">IFERROR('Price History'!L3+(INDEX('Price History'!L:L,MATCH(9.99E+307,'Price History'!$A:$A))-'Price History'!L3)*(ROW()-3)/(MATCH(9.99E+307,'Returns (Calc)'!$A:$A)-3),"")</f>
        <v>92.1449056603774</v>
      </c>
      <c r="AH31" s="145" t="n">
        <f aca="false">IFERROR('Price History'!M3+(INDEX('Price History'!M:M,MATCH(9.99E+307,'Price History'!$A:$A))-'Price History'!M3)*(ROW()-3)/(MATCH(9.99E+307,'Returns (Calc)'!$A:$A)-3),"")</f>
        <v>12.6303773584906</v>
      </c>
      <c r="AI31" s="145" t="n">
        <f aca="false">IFERROR('Price History'!N3+(INDEX('Price History'!N:N,MATCH(9.99E+307,'Price History'!$A:$A))-'Price History'!N3)*(ROW()-3)/(MATCH(9.99E+307,'Returns (Calc)'!$A:$A)-3),"")</f>
        <v>17.9610062893082</v>
      </c>
      <c r="AJ31" s="145" t="n">
        <f aca="false">IFERROR('Price History'!O3+(INDEX('Price History'!O:O,MATCH(9.99E+307,'Price History'!$A:$A))-'Price History'!O3)*(ROW()-3)/(MATCH(9.99E+307,'Returns (Calc)'!$A:$A)-3),"")</f>
        <v>47.481320754717</v>
      </c>
      <c r="AK31" s="145" t="n">
        <f aca="false">IFERROR('Price History'!Q3+(INDEX('Price History'!Q:Q,MATCH(9.99E+307,'Price History'!$A:$A))-'Price History'!Q3)*(ROW()-3)/(MATCH(9.99E+307,'Returns (Calc)'!$A:$A)-3),"")</f>
        <v>194.135408805031</v>
      </c>
      <c r="AL31" s="145" t="n">
        <f aca="false">IFERROR('Price History'!R3+(INDEX('Price History'!R:R,MATCH(9.99E+307,'Price History'!$A:$A))-'Price History'!R3)*(ROW()-3)/(MATCH(9.99E+307,'Returns (Calc)'!$A:$A)-3),"")</f>
        <v>39.3988679245283</v>
      </c>
      <c r="AM31" s="145" t="n">
        <f aca="false">IFERROR('Price History'!S3+(INDEX('Price History'!S:S,MATCH(9.99E+307,'Price History'!$A:$A))-'Price History'!S3)*(ROW()-3)/(MATCH(9.99E+307,'Returns (Calc)'!$A:$A)-3),"")</f>
        <v>48.2310691823899</v>
      </c>
      <c r="AN31" s="145" t="n">
        <f aca="false">IFERROR('Price History'!T3+(INDEX('Price History'!T:T,MATCH(9.99E+307,'Price History'!$A:$A))-'Price History'!T3)*(ROW()-3)/(MATCH(9.99E+307,'Returns (Calc)'!$A:$A)-3),"")</f>
        <v>22.1711320754717</v>
      </c>
      <c r="AO31" s="146" t="n">
        <f aca="false">IFERROR('Price History'!V3+(INDEX('Price History'!V:V,MATCH(9.99E+307,'Price History'!$A:$A))-'Price History'!V3)*(ROW()-3)/(MATCH(9.99E+307,'Returns (Calc)'!$A:$A)-3),"")</f>
        <v>0</v>
      </c>
    </row>
    <row r="32" customFormat="false" ht="15" hidden="false" customHeight="true" outlineLevel="0" collapsed="false">
      <c r="A32" s="142" t="n">
        <f aca="false">IF('Price History'!A33="","",'Price History'!A33)</f>
        <v>45394</v>
      </c>
      <c r="B32" s="143" t="n">
        <f aca="false">IFERROR(IF(OR(NOT(ISNUMBER('Price History'!B33)),NOT(ISNUMBER('Price History'!B32)),'Price History'!B32=0),"",'Price History'!B33/'Price History'!B32-1),"")</f>
        <v>-0.0227366424802111</v>
      </c>
      <c r="C32" s="143" t="n">
        <f aca="false">IFERROR(IF(OR(NOT(ISNUMBER('Price History'!C33)),NOT(ISNUMBER('Price History'!C32)),'Price History'!C32=0),"",'Price History'!C33/'Price History'!C32-1),"")</f>
        <v>-0.0885752688172043</v>
      </c>
      <c r="D32" s="143" t="n">
        <f aca="false">IFERROR(IF(OR(NOT(ISNUMBER('Price History'!D33)),NOT(ISNUMBER('Price History'!D32)),'Price History'!D32=0),"",'Price History'!D33/'Price History'!D32-1),"")</f>
        <v>-0.01807988495566</v>
      </c>
      <c r="E32" s="143" t="n">
        <f aca="false">IFERROR(IF(OR(NOT(ISNUMBER('Price History'!E33)),NOT(ISNUMBER('Price History'!E32)),'Price History'!E32=0),"",'Price History'!E33/'Price History'!E32-1),"")</f>
        <v>0.00343984100290484</v>
      </c>
      <c r="F32" s="143" t="n">
        <f aca="false">IFERROR(IF(OR(NOT(ISNUMBER('Price History'!F33)),NOT(ISNUMBER('Price History'!F32)),'Price History'!F32=0),"",'Price History'!F33/'Price History'!F32-1),"")</f>
        <v>-0.0308599954617653</v>
      </c>
      <c r="G32" s="143" t="n">
        <f aca="false">IFERROR(IF(OR(NOT(ISNUMBER('Price History'!G33)),NOT(ISNUMBER('Price History'!G32)),'Price History'!G32=0),"",'Price History'!G33/'Price History'!G32-1),"")</f>
        <v>-0.0205375253549694</v>
      </c>
      <c r="H32" s="143" t="n">
        <f aca="false">IFERROR(IF(OR(NOT(ISNUMBER('Price History'!H33)),NOT(ISNUMBER('Price History'!H32)),'Price History'!H32=0),"",'Price History'!H33/'Price History'!H32-1),"")</f>
        <v>-0.0285765961294989</v>
      </c>
      <c r="I32" s="143" t="n">
        <f aca="false">IFERROR(IF(OR(NOT(ISNUMBER('Price History'!I33)),NOT(ISNUMBER('Price History'!I32)),'Price History'!I32=0),"",'Price History'!I33/'Price History'!I32-1),"")</f>
        <v>-0.00298462915982689</v>
      </c>
      <c r="J32" s="143" t="n">
        <f aca="false">IFERROR(IF(OR(NOT(ISNUMBER('Price History'!J33)),NOT(ISNUMBER('Price History'!J32)),'Price History'!J32=0),"",'Price History'!J33/'Price History'!J32-1),"")</f>
        <v>-0.00855745721271395</v>
      </c>
      <c r="K32" s="143" t="n">
        <f aca="false">IFERROR(IF(OR(NOT(ISNUMBER('Price History'!K33)),NOT(ISNUMBER('Price History'!K32)),'Price History'!K32=0),"",'Price History'!K33/'Price History'!K32-1),"")</f>
        <v>0.00205104831358249</v>
      </c>
      <c r="L32" s="143" t="n">
        <f aca="false">IFERROR(IF(OR(NOT(ISNUMBER('Price History'!L33)),NOT(ISNUMBER('Price History'!L32)),'Price History'!L32=0),"",'Price History'!L33/'Price History'!L32-1),"")</f>
        <v>-0.0459850200313533</v>
      </c>
      <c r="M32" s="143" t="n">
        <f aca="false">IFERROR(IF(OR(NOT(ISNUMBER('Price History'!M33)),NOT(ISNUMBER('Price History'!M32)),'Price History'!M32=0),"",'Price History'!M33/'Price History'!M32-1),"")</f>
        <v>-0.0126306620209059</v>
      </c>
      <c r="N32" s="143" t="n">
        <f aca="false">IFERROR(IF(OR(NOT(ISNUMBER('Price History'!N33)),NOT(ISNUMBER('Price History'!N32)),'Price History'!N32=0),"",'Price History'!N33/'Price History'!N32-1),"")</f>
        <v>-0.0278818143986684</v>
      </c>
      <c r="O32" s="143" t="n">
        <f aca="false">IFERROR(IF(OR(NOT(ISNUMBER('Price History'!O33)),NOT(ISNUMBER('Price History'!O32)),'Price History'!O32=0),"",'Price History'!O33/'Price History'!O32-1),"")</f>
        <v>-0.0140399696433089</v>
      </c>
      <c r="P32" s="143" t="n">
        <f aca="false">IFERROR(IF(OR(NOT(ISNUMBER('Price History'!P33)),NOT(ISNUMBER('Price History'!P32)),'Price History'!P32=0),"",'Price History'!P33/'Price History'!P32-1),"")</f>
        <v>0.00824757316984148</v>
      </c>
      <c r="Q32" s="143" t="n">
        <f aca="false">IFERROR(IF(OR(NOT(ISNUMBER('Price History'!Q33)),NOT(ISNUMBER('Price History'!Q32)),'Price History'!Q32=0),"",'Price History'!Q33/'Price History'!Q32-1),"")</f>
        <v>-0.00422840754494991</v>
      </c>
      <c r="R32" s="143" t="n">
        <f aca="false">IFERROR(IF(OR(NOT(ISNUMBER('Price History'!R33)),NOT(ISNUMBER('Price History'!R32)),'Price History'!R32=0),"",'Price History'!R33/'Price History'!R32-1),"")</f>
        <v>-0.00131430717236203</v>
      </c>
      <c r="S32" s="143" t="n">
        <f aca="false">IFERROR(IF(OR(NOT(ISNUMBER('Price History'!S33)),NOT(ISNUMBER('Price History'!S32)),'Price History'!S32=0),"",'Price History'!S33/'Price History'!S32-1),"")</f>
        <v>0.00381194409148655</v>
      </c>
      <c r="T32" s="143" t="n">
        <f aca="false">IFERROR(IF(OR(NOT(ISNUMBER('Price History'!T33)),NOT(ISNUMBER('Price History'!T32)),'Price History'!T32=0),"",'Price History'!T33/'Price History'!T32-1),"")</f>
        <v>0.0195688225538972</v>
      </c>
      <c r="U32" s="143" t="str">
        <f aca="false">IFERROR(IF(OR(NOT(ISNUMBER('Price History'!U33)),NOT(ISNUMBER('Price History'!U32)),'Price History'!U32=0),"",'Price History'!U33/'Price History'!U32-1),"")</f>
        <v/>
      </c>
      <c r="V32" s="144" t="n">
        <f aca="false">IFERROR(IF(OR(NOT(ISNUMBER('Price History'!V33)),NOT(ISNUMBER('Price History'!V32)),'Price History'!V32=0),"",'Price History'!V33/'Price History'!V32-1),"")</f>
        <v>-0.0110119476032819</v>
      </c>
      <c r="W32" s="145" t="str">
        <f aca="false">IFERROR('Price History'!B3+(INDEX('Price History'!B:B,MATCH(9.99E+307,'Price History'!$A:$A))-'Price History'!B3)*(ROW()-3)/(MATCH(9.99E+307,'Returns (Calc)'!$A:$A)-3),"")</f>
        <v/>
      </c>
      <c r="X32" s="145" t="n">
        <f aca="false">IFERROR('Price History'!C3+(INDEX('Price History'!C:C,MATCH(9.99E+307,'Price History'!$A:$A))-'Price History'!C3)*(ROW()-3)/(MATCH(9.99E+307,'Returns (Calc)'!$A:$A)-3),"")</f>
        <v>37.7572327044025</v>
      </c>
      <c r="Y32" s="145" t="n">
        <f aca="false">IFERROR('Price History'!D3+(INDEX('Price History'!D:D,MATCH(9.99E+307,'Price History'!$A:$A))-'Price History'!D3)*(ROW()-3)/(MATCH(9.99E+307,'Returns (Calc)'!$A:$A)-3),"")</f>
        <v>475.857232704403</v>
      </c>
      <c r="Z32" s="145" t="n">
        <f aca="false">IFERROR('Price History'!E3+(INDEX('Price History'!E:E,MATCH(9.99E+307,'Price History'!$A:$A))-'Price History'!E3)*(ROW()-3)/(MATCH(9.99E+307,'Returns (Calc)'!$A:$A)-3),"")</f>
        <v>67.0440251572327</v>
      </c>
      <c r="AA32" s="145" t="n">
        <f aca="false">IFERROR('Price History'!F3+(INDEX('Price History'!F:F,MATCH(9.99E+307,'Price History'!$A:$A))-'Price History'!F3)*(ROW()-3)/(MATCH(9.99E+307,'Returns (Calc)'!$A:$A)-3),"")</f>
        <v>61.574213836478</v>
      </c>
      <c r="AB32" s="145" t="n">
        <f aca="false">IFERROR('Price History'!G3+(INDEX('Price History'!G:G,MATCH(9.99E+307,'Price History'!$A:$A))-'Price History'!G3)*(ROW()-3)/(MATCH(9.99E+307,'Returns (Calc)'!$A:$A)-3),"")</f>
        <v>33.8163522012579</v>
      </c>
      <c r="AC32" s="145" t="n">
        <f aca="false">IFERROR('Price History'!H3+(INDEX('Price History'!H:H,MATCH(9.99E+307,'Price History'!$A:$A))-'Price History'!H3)*(ROW()-3)/(MATCH(9.99E+307,'Returns (Calc)'!$A:$A)-3),"")</f>
        <v>82.2433962264151</v>
      </c>
      <c r="AD32" s="145" t="n">
        <f aca="false">IFERROR('Price History'!I3+(INDEX('Price History'!I:I,MATCH(9.99E+307,'Price History'!$A:$A))-'Price History'!I3)*(ROW()-3)/(MATCH(9.99E+307,'Returns (Calc)'!$A:$A)-3),"")</f>
        <v>36.2610062893082</v>
      </c>
      <c r="AE32" s="145" t="n">
        <f aca="false">IFERROR('Price History'!J3+(INDEX('Price History'!J:J,MATCH(9.99E+307,'Price History'!$A:$A))-'Price History'!J3)*(ROW()-3)/(MATCH(9.99E+307,'Returns (Calc)'!$A:$A)-3),"")</f>
        <v>56.5050314465409</v>
      </c>
      <c r="AF32" s="145" t="n">
        <f aca="false">IFERROR('Price History'!K3+(INDEX('Price History'!K:K,MATCH(9.99E+307,'Price History'!$A:$A))-'Price History'!K3)*(ROW()-3)/(MATCH(9.99E+307,'Returns (Calc)'!$A:$A)-3),"")</f>
        <v>35.7867924528302</v>
      </c>
      <c r="AG32" s="145" t="n">
        <f aca="false">IFERROR('Price History'!L3+(INDEX('Price History'!L:L,MATCH(9.99E+307,'Price History'!$A:$A))-'Price History'!L3)*(ROW()-3)/(MATCH(9.99E+307,'Returns (Calc)'!$A:$A)-3),"")</f>
        <v>91.4415094339623</v>
      </c>
      <c r="AH32" s="145" t="n">
        <f aca="false">IFERROR('Price History'!M3+(INDEX('Price History'!M:M,MATCH(9.99E+307,'Price History'!$A:$A))-'Price History'!M3)*(ROW()-3)/(MATCH(9.99E+307,'Returns (Calc)'!$A:$A)-3),"")</f>
        <v>12.5339622641509</v>
      </c>
      <c r="AI32" s="145" t="n">
        <f aca="false">IFERROR('Price History'!N3+(INDEX('Price History'!N:N,MATCH(9.99E+307,'Price History'!$A:$A))-'Price History'!N3)*(ROW()-3)/(MATCH(9.99E+307,'Returns (Calc)'!$A:$A)-3),"")</f>
        <v>17.8238993710692</v>
      </c>
      <c r="AJ32" s="145" t="n">
        <f aca="false">IFERROR('Price History'!O3+(INDEX('Price History'!O:O,MATCH(9.99E+307,'Price History'!$A:$A))-'Price History'!O3)*(ROW()-3)/(MATCH(9.99E+307,'Returns (Calc)'!$A:$A)-3),"")</f>
        <v>47.1188679245283</v>
      </c>
      <c r="AK32" s="145" t="n">
        <f aca="false">IFERROR('Price History'!Q3+(INDEX('Price History'!Q:Q,MATCH(9.99E+307,'Price History'!$A:$A))-'Price History'!Q3)*(ROW()-3)/(MATCH(9.99E+307,'Returns (Calc)'!$A:$A)-3),"")</f>
        <v>192.653459119497</v>
      </c>
      <c r="AL32" s="145" t="n">
        <f aca="false">IFERROR('Price History'!R3+(INDEX('Price History'!R:R,MATCH(9.99E+307,'Price History'!$A:$A))-'Price History'!R3)*(ROW()-3)/(MATCH(9.99E+307,'Returns (Calc)'!$A:$A)-3),"")</f>
        <v>39.0981132075472</v>
      </c>
      <c r="AM32" s="145" t="n">
        <f aca="false">IFERROR('Price History'!S3+(INDEX('Price History'!S:S,MATCH(9.99E+307,'Price History'!$A:$A))-'Price History'!S3)*(ROW()-3)/(MATCH(9.99E+307,'Returns (Calc)'!$A:$A)-3),"")</f>
        <v>47.862893081761</v>
      </c>
      <c r="AN32" s="145" t="n">
        <f aca="false">IFERROR('Price History'!T3+(INDEX('Price History'!T:T,MATCH(9.99E+307,'Price History'!$A:$A))-'Price History'!T3)*(ROW()-3)/(MATCH(9.99E+307,'Returns (Calc)'!$A:$A)-3),"")</f>
        <v>22.0018867924528</v>
      </c>
      <c r="AO32" s="146" t="n">
        <f aca="false">IFERROR('Price History'!V3+(INDEX('Price History'!V:V,MATCH(9.99E+307,'Price History'!$A:$A))-'Price History'!V3)*(ROW()-3)/(MATCH(9.99E+307,'Returns (Calc)'!$A:$A)-3),"")</f>
        <v>0</v>
      </c>
    </row>
    <row r="33" customFormat="false" ht="15" hidden="false" customHeight="true" outlineLevel="0" collapsed="false">
      <c r="A33" s="142" t="n">
        <f aca="false">IF('Price History'!A34="","",'Price History'!A34)</f>
        <v>45401</v>
      </c>
      <c r="B33" s="143" t="n">
        <f aca="false">IFERROR(IF(OR(NOT(ISNUMBER('Price History'!B34)),NOT(ISNUMBER('Price History'!B33)),'Price History'!B33=0),"",'Price History'!B34/'Price History'!B33-1),"")</f>
        <v>-0.0191313885549157</v>
      </c>
      <c r="C33" s="143" t="n">
        <f aca="false">IFERROR(IF(OR(NOT(ISNUMBER('Price History'!C34)),NOT(ISNUMBER('Price History'!C33)),'Price History'!C33=0),"",'Price History'!C34/'Price History'!C33-1),"")</f>
        <v>-0.0927591800619377</v>
      </c>
      <c r="D33" s="143" t="n">
        <f aca="false">IFERROR(IF(OR(NOT(ISNUMBER('Price History'!D34)),NOT(ISNUMBER('Price History'!D33)),'Price History'!D33=0),"",'Price History'!D34/'Price History'!D33-1),"")</f>
        <v>-0.106359044020886</v>
      </c>
      <c r="E33" s="143" t="n">
        <f aca="false">IFERROR(IF(OR(NOT(ISNUMBER('Price History'!E34)),NOT(ISNUMBER('Price History'!E33)),'Price History'!E33=0),"",'Price History'!E34/'Price History'!E33-1),"")</f>
        <v>-0.103679439323532</v>
      </c>
      <c r="F33" s="143" t="n">
        <f aca="false">IFERROR(IF(OR(NOT(ISNUMBER('Price History'!F34)),NOT(ISNUMBER('Price History'!F33)),'Price History'!F33=0),"",'Price History'!F34/'Price History'!F33-1),"")</f>
        <v>-0.00901428236946844</v>
      </c>
      <c r="G33" s="143" t="n">
        <f aca="false">IFERROR(IF(OR(NOT(ISNUMBER('Price History'!G34)),NOT(ISNUMBER('Price History'!G33)),'Price History'!G33=0),"",'Price History'!G34/'Price History'!G33-1),"")</f>
        <v>-0.0854258348433861</v>
      </c>
      <c r="H33" s="143" t="n">
        <f aca="false">IFERROR(IF(OR(NOT(ISNUMBER('Price History'!H34)),NOT(ISNUMBER('Price History'!H33)),'Price History'!H33=0),"",'Price History'!H34/'Price History'!H33-1),"")</f>
        <v>0.00986780860175007</v>
      </c>
      <c r="I33" s="143" t="n">
        <f aca="false">IFERROR(IF(OR(NOT(ISNUMBER('Price History'!I34)),NOT(ISNUMBER('Price History'!I33)),'Price History'!I33=0),"",'Price History'!I34/'Price History'!I33-1),"")</f>
        <v>-0.0773836252058076</v>
      </c>
      <c r="J33" s="143" t="n">
        <f aca="false">IFERROR(IF(OR(NOT(ISNUMBER('Price History'!J34)),NOT(ISNUMBER('Price History'!J33)),'Price History'!J33=0),"",'Price History'!J34/'Price History'!J33-1),"")</f>
        <v>-0.128565556925606</v>
      </c>
      <c r="K33" s="143" t="n">
        <f aca="false">IFERROR(IF(OR(NOT(ISNUMBER('Price History'!K34)),NOT(ISNUMBER('Price History'!K33)),'Price History'!K33=0),"",'Price History'!K34/'Price History'!K33-1),"")</f>
        <v>-0.136001819422333</v>
      </c>
      <c r="L33" s="143" t="n">
        <f aca="false">IFERROR(IF(OR(NOT(ISNUMBER('Price History'!L34)),NOT(ISNUMBER('Price History'!L33)),'Price History'!L33=0),"",'Price History'!L34/'Price History'!L33-1),"")</f>
        <v>-0.130363337593573</v>
      </c>
      <c r="M33" s="143" t="n">
        <f aca="false">IFERROR(IF(OR(NOT(ISNUMBER('Price History'!M34)),NOT(ISNUMBER('Price History'!M33)),'Price History'!M33=0),"",'Price History'!M34/'Price History'!M33-1),"")</f>
        <v>-0.0970445522717248</v>
      </c>
      <c r="N33" s="143" t="n">
        <f aca="false">IFERROR(IF(OR(NOT(ISNUMBER('Price History'!N34)),NOT(ISNUMBER('Price History'!N33)),'Price History'!N33=0),"",'Price History'!N34/'Price History'!N33-1),"")</f>
        <v>-0.00171232876712324</v>
      </c>
      <c r="O33" s="143" t="n">
        <f aca="false">IFERROR(IF(OR(NOT(ISNUMBER('Price History'!O34)),NOT(ISNUMBER('Price History'!O33)),'Price History'!O33=0),"",'Price History'!O34/'Price History'!O33-1),"")</f>
        <v>-0.0568313021167416</v>
      </c>
      <c r="P33" s="143" t="n">
        <f aca="false">IFERROR(IF(OR(NOT(ISNUMBER('Price History'!P34)),NOT(ISNUMBER('Price History'!P33)),'Price History'!P33=0),"",'Price History'!P34/'Price History'!P33-1),"")</f>
        <v>-0.104024902273056</v>
      </c>
      <c r="Q33" s="143" t="n">
        <f aca="false">IFERROR(IF(OR(NOT(ISNUMBER('Price History'!Q34)),NOT(ISNUMBER('Price History'!Q33)),'Price History'!Q33=0),"",'Price History'!Q34/'Price History'!Q33-1),"")</f>
        <v>-0.0224134111217783</v>
      </c>
      <c r="R33" s="143" t="n">
        <f aca="false">IFERROR(IF(OR(NOT(ISNUMBER('Price History'!R34)),NOT(ISNUMBER('Price History'!R33)),'Price History'!R33=0),"",'Price History'!R34/'Price History'!R33-1),"")</f>
        <v>-0.00526414739612713</v>
      </c>
      <c r="S33" s="143" t="n">
        <f aca="false">IFERROR(IF(OR(NOT(ISNUMBER('Price History'!S34)),NOT(ISNUMBER('Price History'!S33)),'Price History'!S33=0),"",'Price History'!S34/'Price History'!S33-1),"")</f>
        <v>-0.00518987341772148</v>
      </c>
      <c r="T33" s="143" t="n">
        <f aca="false">IFERROR(IF(OR(NOT(ISNUMBER('Price History'!T34)),NOT(ISNUMBER('Price History'!T33)),'Price History'!T33=0),"",'Price History'!T34/'Price History'!T33-1),"")</f>
        <v>0.0136629798308394</v>
      </c>
      <c r="U33" s="143" t="str">
        <f aca="false">IFERROR(IF(OR(NOT(ISNUMBER('Price History'!U34)),NOT(ISNUMBER('Price History'!U33)),'Price History'!U33=0),"",'Price History'!U34/'Price History'!U33-1),"")</f>
        <v/>
      </c>
      <c r="V33" s="144" t="n">
        <f aca="false">IFERROR(IF(OR(NOT(ISNUMBER('Price History'!V34)),NOT(ISNUMBER('Price History'!V33)),'Price History'!V33=0),"",'Price History'!V34/'Price History'!V33-1),"")</f>
        <v>0.0106979113601631</v>
      </c>
      <c r="W33" s="145" t="str">
        <f aca="false">IFERROR('Price History'!B3+(INDEX('Price History'!B:B,MATCH(9.99E+307,'Price History'!$A:$A))-'Price History'!B3)*(ROW()-3)/(MATCH(9.99E+307,'Returns (Calc)'!$A:$A)-3),"")</f>
        <v/>
      </c>
      <c r="X33" s="145" t="n">
        <f aca="false">IFERROR('Price History'!C3+(INDEX('Price History'!C:C,MATCH(9.99E+307,'Price History'!$A:$A))-'Price History'!C3)*(ROW()-3)/(MATCH(9.99E+307,'Returns (Calc)'!$A:$A)-3),"")</f>
        <v>37.4667924528302</v>
      </c>
      <c r="Y33" s="145" t="n">
        <f aca="false">IFERROR('Price History'!D3+(INDEX('Price History'!D:D,MATCH(9.99E+307,'Price History'!$A:$A))-'Price History'!D3)*(ROW()-3)/(MATCH(9.99E+307,'Returns (Calc)'!$A:$A)-3),"")</f>
        <v>472.19679245283</v>
      </c>
      <c r="Z33" s="145" t="n">
        <f aca="false">IFERROR('Price History'!E3+(INDEX('Price History'!E:E,MATCH(9.99E+307,'Price History'!$A:$A))-'Price History'!E3)*(ROW()-3)/(MATCH(9.99E+307,'Returns (Calc)'!$A:$A)-3),"")</f>
        <v>66.5283018867925</v>
      </c>
      <c r="AA33" s="145" t="n">
        <f aca="false">IFERROR('Price History'!F3+(INDEX('Price History'!F:F,MATCH(9.99E+307,'Price History'!$A:$A))-'Price History'!F3)*(ROW()-3)/(MATCH(9.99E+307,'Returns (Calc)'!$A:$A)-3),"")</f>
        <v>61.1005660377359</v>
      </c>
      <c r="AB33" s="145" t="n">
        <f aca="false">IFERROR('Price History'!G3+(INDEX('Price History'!G:G,MATCH(9.99E+307,'Price History'!$A:$A))-'Price History'!G3)*(ROW()-3)/(MATCH(9.99E+307,'Returns (Calc)'!$A:$A)-3),"")</f>
        <v>33.5562264150943</v>
      </c>
      <c r="AC33" s="145" t="n">
        <f aca="false">IFERROR('Price History'!H3+(INDEX('Price History'!H:H,MATCH(9.99E+307,'Price History'!$A:$A))-'Price History'!H3)*(ROW()-3)/(MATCH(9.99E+307,'Returns (Calc)'!$A:$A)-3),"")</f>
        <v>81.6107547169811</v>
      </c>
      <c r="AD33" s="145" t="n">
        <f aca="false">IFERROR('Price History'!I3+(INDEX('Price History'!I:I,MATCH(9.99E+307,'Price History'!$A:$A))-'Price History'!I3)*(ROW()-3)/(MATCH(9.99E+307,'Returns (Calc)'!$A:$A)-3),"")</f>
        <v>35.9820754716981</v>
      </c>
      <c r="AE33" s="145" t="n">
        <f aca="false">IFERROR('Price History'!J3+(INDEX('Price History'!J:J,MATCH(9.99E+307,'Price History'!$A:$A))-'Price History'!J3)*(ROW()-3)/(MATCH(9.99E+307,'Returns (Calc)'!$A:$A)-3),"")</f>
        <v>56.0703773584906</v>
      </c>
      <c r="AF33" s="145" t="n">
        <f aca="false">IFERROR('Price History'!K3+(INDEX('Price History'!K:K,MATCH(9.99E+307,'Price History'!$A:$A))-'Price History'!K3)*(ROW()-3)/(MATCH(9.99E+307,'Returns (Calc)'!$A:$A)-3),"")</f>
        <v>35.5115094339623</v>
      </c>
      <c r="AG33" s="145" t="n">
        <f aca="false">IFERROR('Price History'!L3+(INDEX('Price History'!L:L,MATCH(9.99E+307,'Price History'!$A:$A))-'Price History'!L3)*(ROW()-3)/(MATCH(9.99E+307,'Returns (Calc)'!$A:$A)-3),"")</f>
        <v>90.7381132075472</v>
      </c>
      <c r="AH33" s="145" t="n">
        <f aca="false">IFERROR('Price History'!M3+(INDEX('Price History'!M:M,MATCH(9.99E+307,'Price History'!$A:$A))-'Price History'!M3)*(ROW()-3)/(MATCH(9.99E+307,'Returns (Calc)'!$A:$A)-3),"")</f>
        <v>12.4375471698113</v>
      </c>
      <c r="AI33" s="145" t="n">
        <f aca="false">IFERROR('Price History'!N3+(INDEX('Price History'!N:N,MATCH(9.99E+307,'Price History'!$A:$A))-'Price History'!N3)*(ROW()-3)/(MATCH(9.99E+307,'Returns (Calc)'!$A:$A)-3),"")</f>
        <v>17.6867924528302</v>
      </c>
      <c r="AJ33" s="145" t="n">
        <f aca="false">IFERROR('Price History'!O3+(INDEX('Price History'!O:O,MATCH(9.99E+307,'Price History'!$A:$A))-'Price History'!O3)*(ROW()-3)/(MATCH(9.99E+307,'Returns (Calc)'!$A:$A)-3),"")</f>
        <v>46.7564150943396</v>
      </c>
      <c r="AK33" s="145" t="n">
        <f aca="false">IFERROR('Price History'!Q3+(INDEX('Price History'!Q:Q,MATCH(9.99E+307,'Price History'!$A:$A))-'Price History'!Q3)*(ROW()-3)/(MATCH(9.99E+307,'Returns (Calc)'!$A:$A)-3),"")</f>
        <v>191.171509433962</v>
      </c>
      <c r="AL33" s="145" t="n">
        <f aca="false">IFERROR('Price History'!R3+(INDEX('Price History'!R:R,MATCH(9.99E+307,'Price History'!$A:$A))-'Price History'!R3)*(ROW()-3)/(MATCH(9.99E+307,'Returns (Calc)'!$A:$A)-3),"")</f>
        <v>38.797358490566</v>
      </c>
      <c r="AM33" s="145" t="n">
        <f aca="false">IFERROR('Price History'!S3+(INDEX('Price History'!S:S,MATCH(9.99E+307,'Price History'!$A:$A))-'Price History'!S3)*(ROW()-3)/(MATCH(9.99E+307,'Returns (Calc)'!$A:$A)-3),"")</f>
        <v>47.4947169811321</v>
      </c>
      <c r="AN33" s="145" t="n">
        <f aca="false">IFERROR('Price History'!T3+(INDEX('Price History'!T:T,MATCH(9.99E+307,'Price History'!$A:$A))-'Price History'!T3)*(ROW()-3)/(MATCH(9.99E+307,'Returns (Calc)'!$A:$A)-3),"")</f>
        <v>21.832641509434</v>
      </c>
      <c r="AO33" s="146" t="n">
        <f aca="false">IFERROR('Price History'!V3+(INDEX('Price History'!V:V,MATCH(9.99E+307,'Price History'!$A:$A))-'Price History'!V3)*(ROW()-3)/(MATCH(9.99E+307,'Returns (Calc)'!$A:$A)-3),"")</f>
        <v>0</v>
      </c>
    </row>
    <row r="34" customFormat="false" ht="15" hidden="false" customHeight="true" outlineLevel="0" collapsed="false">
      <c r="A34" s="142" t="n">
        <f aca="false">IF('Price History'!A35="","",'Price History'!A35)</f>
        <v>45408</v>
      </c>
      <c r="B34" s="143" t="n">
        <f aca="false">IFERROR(IF(OR(NOT(ISNUMBER('Price History'!B35)),NOT(ISNUMBER('Price History'!B34)),'Price History'!B34=0),"",'Price History'!B35/'Price History'!B34-1),"")</f>
        <v>0.0269665820824911</v>
      </c>
      <c r="C34" s="143" t="n">
        <f aca="false">IFERROR(IF(OR(NOT(ISNUMBER('Price History'!C35)),NOT(ISNUMBER('Price History'!C34)),'Price History'!C34=0),"",'Price History'!C35/'Price History'!C34-1),"")</f>
        <v>0.0757477243172953</v>
      </c>
      <c r="D34" s="143" t="n">
        <f aca="false">IFERROR(IF(OR(NOT(ISNUMBER('Price History'!D35)),NOT(ISNUMBER('Price History'!D34)),'Price History'!D34=0),"",'Price History'!D35/'Price History'!D34-1),"")</f>
        <v>0.0713607106381968</v>
      </c>
      <c r="E34" s="143" t="n">
        <f aca="false">IFERROR(IF(OR(NOT(ISNUMBER('Price History'!E35)),NOT(ISNUMBER('Price History'!E34)),'Price History'!E34=0),"",'Price History'!E35/'Price History'!E34-1),"")</f>
        <v>0.115672276049635</v>
      </c>
      <c r="F34" s="143" t="n">
        <f aca="false">IFERROR(IF(OR(NOT(ISNUMBER('Price History'!F35)),NOT(ISNUMBER('Price History'!F34)),'Price History'!F34=0),"",'Price History'!F35/'Price History'!F34-1),"")</f>
        <v>0.0248080330773774</v>
      </c>
      <c r="G34" s="143" t="n">
        <f aca="false">IFERROR(IF(OR(NOT(ISNUMBER('Price History'!G35)),NOT(ISNUMBER('Price History'!G34)),'Price History'!G34=0),"",'Price History'!G35/'Price History'!G34-1),"")</f>
        <v>0.0758562128502689</v>
      </c>
      <c r="H34" s="143" t="n">
        <f aca="false">IFERROR(IF(OR(NOT(ISNUMBER('Price History'!H35)),NOT(ISNUMBER('Price History'!H34)),'Price History'!H34=0),"",'Price History'!H35/'Price History'!H34-1),"")</f>
        <v>0.00912610619469012</v>
      </c>
      <c r="I34" s="143" t="n">
        <f aca="false">IFERROR(IF(OR(NOT(ISNUMBER('Price History'!I35)),NOT(ISNUMBER('Price History'!I34)),'Price History'!I34=0),"",'Price History'!I35/'Price History'!I34-1),"")</f>
        <v>0.124432186891629</v>
      </c>
      <c r="J34" s="143" t="n">
        <f aca="false">IFERROR(IF(OR(NOT(ISNUMBER('Price History'!J35)),NOT(ISNUMBER('Price History'!J34)),'Price History'!J34=0),"",'Price History'!J35/'Price History'!J34-1),"")</f>
        <v>0.0755589095368361</v>
      </c>
      <c r="K34" s="143" t="n">
        <f aca="false">IFERROR(IF(OR(NOT(ISNUMBER('Price History'!K35)),NOT(ISNUMBER('Price History'!K34)),'Price History'!K34=0),"",'Price History'!K35/'Price History'!K34-1),"")</f>
        <v>0.151487233482495</v>
      </c>
      <c r="L34" s="143" t="n">
        <f aca="false">IFERROR(IF(OR(NOT(ISNUMBER('Price History'!L35)),NOT(ISNUMBER('Price History'!L34)),'Price History'!L34=0),"",'Price History'!L35/'Price History'!L34-1),"")</f>
        <v>0.00556372034432084</v>
      </c>
      <c r="M34" s="143" t="n">
        <f aca="false">IFERROR(IF(OR(NOT(ISNUMBER('Price History'!M35)),NOT(ISNUMBER('Price History'!M34)),'Price History'!M34=0),"",'Price History'!M35/'Price History'!M34-1),"")</f>
        <v>0.100146555935515</v>
      </c>
      <c r="N34" s="143" t="n">
        <f aca="false">IFERROR(IF(OR(NOT(ISNUMBER('Price History'!N35)),NOT(ISNUMBER('Price History'!N34)),'Price History'!N34=0),"",'Price History'!N35/'Price History'!N34-1),"")</f>
        <v>0.010720411663808</v>
      </c>
      <c r="O34" s="143" t="n">
        <f aca="false">IFERROR(IF(OR(NOT(ISNUMBER('Price History'!O35)),NOT(ISNUMBER('Price History'!O34)),'Price History'!O34=0),"",'Price History'!O35/'Price History'!O34-1),"")</f>
        <v>0.0300598476605007</v>
      </c>
      <c r="P34" s="143" t="n">
        <f aca="false">IFERROR(IF(OR(NOT(ISNUMBER('Price History'!P35)),NOT(ISNUMBER('Price History'!P34)),'Price History'!P34=0),"",'Price History'!P35/'Price History'!P34-1),"")</f>
        <v>0.0830572836713259</v>
      </c>
      <c r="Q34" s="143" t="n">
        <f aca="false">IFERROR(IF(OR(NOT(ISNUMBER('Price History'!Q35)),NOT(ISNUMBER('Price History'!Q34)),'Price History'!Q34=0),"",'Price History'!Q35/'Price History'!Q34-1),"")</f>
        <v>0.0175637393767705</v>
      </c>
      <c r="R34" s="143" t="n">
        <f aca="false">IFERROR(IF(OR(NOT(ISNUMBER('Price History'!R35)),NOT(ISNUMBER('Price History'!R34)),'Price History'!R34=0),"",'Price History'!R35/'Price History'!R34-1),"")</f>
        <v>0.0255150255150256</v>
      </c>
      <c r="S34" s="143" t="n">
        <f aca="false">IFERROR(IF(OR(NOT(ISNUMBER('Price History'!S35)),NOT(ISNUMBER('Price History'!S34)),'Price History'!S34=0),"",'Price History'!S35/'Price History'!S34-1),"")</f>
        <v>0.028502353989057</v>
      </c>
      <c r="T34" s="143" t="n">
        <f aca="false">IFERROR(IF(OR(NOT(ISNUMBER('Price History'!T35)),NOT(ISNUMBER('Price History'!T34)),'Price History'!T34=0),"",'Price History'!T35/'Price History'!T34-1),"")</f>
        <v>0.0240693196405648</v>
      </c>
      <c r="U34" s="143" t="str">
        <f aca="false">IFERROR(IF(OR(NOT(ISNUMBER('Price History'!U35)),NOT(ISNUMBER('Price History'!U34)),'Price History'!U34=0),"",'Price History'!U35/'Price History'!U34-1),"")</f>
        <v/>
      </c>
      <c r="V34" s="144" t="n">
        <f aca="false">IFERROR(IF(OR(NOT(ISNUMBER('Price History'!V35)),NOT(ISNUMBER('Price History'!V34)),'Price History'!V34=0),"",'Price History'!V35/'Price History'!V34-1),"")</f>
        <v>0.000792050691244439</v>
      </c>
      <c r="W34" s="145" t="str">
        <f aca="false">IFERROR('Price History'!B3+(INDEX('Price History'!B:B,MATCH(9.99E+307,'Price History'!$A:$A))-'Price History'!B3)*(ROW()-3)/(MATCH(9.99E+307,'Returns (Calc)'!$A:$A)-3),"")</f>
        <v/>
      </c>
      <c r="X34" s="145" t="n">
        <f aca="false">IFERROR('Price History'!C3+(INDEX('Price History'!C:C,MATCH(9.99E+307,'Price History'!$A:$A))-'Price History'!C3)*(ROW()-3)/(MATCH(9.99E+307,'Returns (Calc)'!$A:$A)-3),"")</f>
        <v>37.1763522012579</v>
      </c>
      <c r="Y34" s="145" t="n">
        <f aca="false">IFERROR('Price History'!D3+(INDEX('Price History'!D:D,MATCH(9.99E+307,'Price History'!$A:$A))-'Price History'!D3)*(ROW()-3)/(MATCH(9.99E+307,'Returns (Calc)'!$A:$A)-3),"")</f>
        <v>468.536352201258</v>
      </c>
      <c r="Z34" s="145" t="n">
        <f aca="false">IFERROR('Price History'!E3+(INDEX('Price History'!E:E,MATCH(9.99E+307,'Price History'!$A:$A))-'Price History'!E3)*(ROW()-3)/(MATCH(9.99E+307,'Returns (Calc)'!$A:$A)-3),"")</f>
        <v>66.0125786163522</v>
      </c>
      <c r="AA34" s="145" t="n">
        <f aca="false">IFERROR('Price History'!F3+(INDEX('Price History'!F:F,MATCH(9.99E+307,'Price History'!$A:$A))-'Price History'!F3)*(ROW()-3)/(MATCH(9.99E+307,'Returns (Calc)'!$A:$A)-3),"")</f>
        <v>60.6269182389937</v>
      </c>
      <c r="AB34" s="145" t="n">
        <f aca="false">IFERROR('Price History'!G3+(INDEX('Price History'!G:G,MATCH(9.99E+307,'Price History'!$A:$A))-'Price History'!G3)*(ROW()-3)/(MATCH(9.99E+307,'Returns (Calc)'!$A:$A)-3),"")</f>
        <v>33.2961006289308</v>
      </c>
      <c r="AC34" s="145" t="n">
        <f aca="false">IFERROR('Price History'!H3+(INDEX('Price History'!H:H,MATCH(9.99E+307,'Price History'!$A:$A))-'Price History'!H3)*(ROW()-3)/(MATCH(9.99E+307,'Returns (Calc)'!$A:$A)-3),"")</f>
        <v>80.9781132075472</v>
      </c>
      <c r="AD34" s="145" t="n">
        <f aca="false">IFERROR('Price History'!I3+(INDEX('Price History'!I:I,MATCH(9.99E+307,'Price History'!$A:$A))-'Price History'!I3)*(ROW()-3)/(MATCH(9.99E+307,'Returns (Calc)'!$A:$A)-3),"")</f>
        <v>35.7031446540881</v>
      </c>
      <c r="AE34" s="145" t="n">
        <f aca="false">IFERROR('Price History'!J3+(INDEX('Price History'!J:J,MATCH(9.99E+307,'Price History'!$A:$A))-'Price History'!J3)*(ROW()-3)/(MATCH(9.99E+307,'Returns (Calc)'!$A:$A)-3),"")</f>
        <v>55.6357232704403</v>
      </c>
      <c r="AF34" s="145" t="n">
        <f aca="false">IFERROR('Price History'!K3+(INDEX('Price History'!K:K,MATCH(9.99E+307,'Price History'!$A:$A))-'Price History'!K3)*(ROW()-3)/(MATCH(9.99E+307,'Returns (Calc)'!$A:$A)-3),"")</f>
        <v>35.2362264150943</v>
      </c>
      <c r="AG34" s="145" t="n">
        <f aca="false">IFERROR('Price History'!L3+(INDEX('Price History'!L:L,MATCH(9.99E+307,'Price History'!$A:$A))-'Price History'!L3)*(ROW()-3)/(MATCH(9.99E+307,'Returns (Calc)'!$A:$A)-3),"")</f>
        <v>90.0347169811321</v>
      </c>
      <c r="AH34" s="145" t="n">
        <f aca="false">IFERROR('Price History'!M3+(INDEX('Price History'!M:M,MATCH(9.99E+307,'Price History'!$A:$A))-'Price History'!M3)*(ROW()-3)/(MATCH(9.99E+307,'Returns (Calc)'!$A:$A)-3),"")</f>
        <v>12.3411320754717</v>
      </c>
      <c r="AI34" s="145" t="n">
        <f aca="false">IFERROR('Price History'!N3+(INDEX('Price History'!N:N,MATCH(9.99E+307,'Price History'!$A:$A))-'Price History'!N3)*(ROW()-3)/(MATCH(9.99E+307,'Returns (Calc)'!$A:$A)-3),"")</f>
        <v>17.5496855345912</v>
      </c>
      <c r="AJ34" s="145" t="n">
        <f aca="false">IFERROR('Price History'!O3+(INDEX('Price History'!O:O,MATCH(9.99E+307,'Price History'!$A:$A))-'Price History'!O3)*(ROW()-3)/(MATCH(9.99E+307,'Returns (Calc)'!$A:$A)-3),"")</f>
        <v>46.3939622641509</v>
      </c>
      <c r="AK34" s="145" t="n">
        <f aca="false">IFERROR('Price History'!Q3+(INDEX('Price History'!Q:Q,MATCH(9.99E+307,'Price History'!$A:$A))-'Price History'!Q3)*(ROW()-3)/(MATCH(9.99E+307,'Returns (Calc)'!$A:$A)-3),"")</f>
        <v>189.689559748428</v>
      </c>
      <c r="AL34" s="145" t="n">
        <f aca="false">IFERROR('Price History'!R3+(INDEX('Price History'!R:R,MATCH(9.99E+307,'Price History'!$A:$A))-'Price History'!R3)*(ROW()-3)/(MATCH(9.99E+307,'Returns (Calc)'!$A:$A)-3),"")</f>
        <v>38.4966037735849</v>
      </c>
      <c r="AM34" s="145" t="n">
        <f aca="false">IFERROR('Price History'!S3+(INDEX('Price History'!S:S,MATCH(9.99E+307,'Price History'!$A:$A))-'Price History'!S3)*(ROW()-3)/(MATCH(9.99E+307,'Returns (Calc)'!$A:$A)-3),"")</f>
        <v>47.1265408805031</v>
      </c>
      <c r="AN34" s="145" t="n">
        <f aca="false">IFERROR('Price History'!T3+(INDEX('Price History'!T:T,MATCH(9.99E+307,'Price History'!$A:$A))-'Price History'!T3)*(ROW()-3)/(MATCH(9.99E+307,'Returns (Calc)'!$A:$A)-3),"")</f>
        <v>21.6633962264151</v>
      </c>
      <c r="AO34" s="146" t="n">
        <f aca="false">IFERROR('Price History'!V3+(INDEX('Price History'!V:V,MATCH(9.99E+307,'Price History'!$A:$A))-'Price History'!V3)*(ROW()-3)/(MATCH(9.99E+307,'Returns (Calc)'!$A:$A)-3),"")</f>
        <v>0</v>
      </c>
    </row>
    <row r="35" customFormat="false" ht="15" hidden="false" customHeight="true" outlineLevel="0" collapsed="false">
      <c r="A35" s="142" t="n">
        <f aca="false">IF('Price History'!A36="","",'Price History'!A36)</f>
        <v>45415</v>
      </c>
      <c r="B35" s="143" t="n">
        <f aca="false">IFERROR(IF(OR(NOT(ISNUMBER('Price History'!B36)),NOT(ISNUMBER('Price History'!B35)),'Price History'!B35=0),"",'Price History'!B36/'Price History'!B35-1),"")</f>
        <v>0.0180500879470642</v>
      </c>
      <c r="C35" s="143" t="n">
        <f aca="false">IFERROR(IF(OR(NOT(ISNUMBER('Price History'!C36)),NOT(ISNUMBER('Price History'!C35)),'Price History'!C35=0),"",'Price History'!C36/'Price History'!C35-1),"")</f>
        <v>0.0365669386521605</v>
      </c>
      <c r="D35" s="143" t="n">
        <f aca="false">IFERROR(IF(OR(NOT(ISNUMBER('Price History'!D36)),NOT(ISNUMBER('Price History'!D35)),'Price History'!D35=0),"",'Price History'!D36/'Price History'!D35-1),"")</f>
        <v>-0.0188660422324447</v>
      </c>
      <c r="E35" s="143" t="n">
        <f aca="false">IFERROR(IF(OR(NOT(ISNUMBER('Price History'!E36)),NOT(ISNUMBER('Price History'!E35)),'Price History'!E35=0),"",'Price History'!E36/'Price History'!E35-1),"")</f>
        <v>-0.0490591909804221</v>
      </c>
      <c r="F35" s="143" t="n">
        <f aca="false">IFERROR(IF(OR(NOT(ISNUMBER('Price History'!F36)),NOT(ISNUMBER('Price History'!F35)),'Price History'!F35=0),"",'Price History'!F36/'Price History'!F35-1),"")</f>
        <v>0.00680115273775228</v>
      </c>
      <c r="G35" s="143" t="n">
        <f aca="false">IFERROR(IF(OR(NOT(ISNUMBER('Price History'!G36)),NOT(ISNUMBER('Price History'!G35)),'Price History'!G35=0),"",'Price History'!G36/'Price History'!G35-1),"")</f>
        <v>0.0201262825572217</v>
      </c>
      <c r="H35" s="143" t="n">
        <f aca="false">IFERROR(IF(OR(NOT(ISNUMBER('Price History'!H36)),NOT(ISNUMBER('Price History'!H35)),'Price History'!H35=0),"",'Price History'!H36/'Price History'!H35-1),"")</f>
        <v>0.0122407965652691</v>
      </c>
      <c r="I35" s="143" t="n">
        <f aca="false">IFERROR(IF(OR(NOT(ISNUMBER('Price History'!I36)),NOT(ISNUMBER('Price History'!I35)),'Price History'!I35=0),"",'Price History'!I36/'Price History'!I35-1),"")</f>
        <v>-0.0137065358534122</v>
      </c>
      <c r="J35" s="143" t="n">
        <f aca="false">IFERROR(IF(OR(NOT(ISNUMBER('Price History'!J36)),NOT(ISNUMBER('Price History'!J35)),'Price History'!J35=0),"",'Price History'!J36/'Price History'!J35-1),"")</f>
        <v>-0.00122785476232246</v>
      </c>
      <c r="K35" s="143" t="n">
        <f aca="false">IFERROR(IF(OR(NOT(ISNUMBER('Price History'!K36)),NOT(ISNUMBER('Price History'!K35)),'Price History'!K35=0),"",'Price History'!K36/'Price History'!K35-1),"")</f>
        <v>0.0120013715853242</v>
      </c>
      <c r="L35" s="143" t="n">
        <f aca="false">IFERROR(IF(OR(NOT(ISNUMBER('Price History'!L36)),NOT(ISNUMBER('Price History'!L35)),'Price History'!L35=0),"",'Price History'!L36/'Price History'!L35-1),"")</f>
        <v>0.0175383651738177</v>
      </c>
      <c r="M35" s="143" t="n">
        <f aca="false">IFERROR(IF(OR(NOT(ISNUMBER('Price History'!M36)),NOT(ISNUMBER('Price History'!M35)),'Price History'!M35=0),"",'Price History'!M36/'Price History'!M35-1),"")</f>
        <v>0.0359680284191828</v>
      </c>
      <c r="N35" s="143" t="n">
        <f aca="false">IFERROR(IF(OR(NOT(ISNUMBER('Price History'!N36)),NOT(ISNUMBER('Price History'!N35)),'Price History'!N35=0),"",'Price History'!N36/'Price History'!N35-1),"")</f>
        <v>0.0063640220619432</v>
      </c>
      <c r="O35" s="143" t="n">
        <f aca="false">IFERROR(IF(OR(NOT(ISNUMBER('Price History'!O36)),NOT(ISNUMBER('Price History'!O35)),'Price History'!O35=0),"",'Price History'!O36/'Price History'!O35-1),"")</f>
        <v>0.00977155684669206</v>
      </c>
      <c r="P35" s="143" t="n">
        <f aca="false">IFERROR(IF(OR(NOT(ISNUMBER('Price History'!P36)),NOT(ISNUMBER('Price History'!P35)),'Price History'!P35=0),"",'Price History'!P36/'Price History'!P35-1),"")</f>
        <v>0.023573293547184</v>
      </c>
      <c r="Q35" s="143" t="n">
        <f aca="false">IFERROR(IF(OR(NOT(ISNUMBER('Price History'!Q36)),NOT(ISNUMBER('Price History'!Q35)),'Price History'!Q35=0),"",'Price History'!Q36/'Price History'!Q35-1),"")</f>
        <v>-0.0219376391982181</v>
      </c>
      <c r="R35" s="143" t="n">
        <f aca="false">IFERROR(IF(OR(NOT(ISNUMBER('Price History'!R36)),NOT(ISNUMBER('Price History'!R35)),'Price History'!R35=0),"",'Price History'!R36/'Price History'!R35-1),"")</f>
        <v>-0.000368595650571235</v>
      </c>
      <c r="S35" s="143" t="n">
        <f aca="false">IFERROR(IF(OR(NOT(ISNUMBER('Price History'!S36)),NOT(ISNUMBER('Price History'!S35)),'Price History'!S35=0),"",'Price History'!S36/'Price History'!S35-1),"")</f>
        <v>-0.00754670295682292</v>
      </c>
      <c r="T35" s="143" t="n">
        <f aca="false">IFERROR(IF(OR(NOT(ISNUMBER('Price History'!T36)),NOT(ISNUMBER('Price History'!T35)),'Price History'!T35=0),"",'Price History'!T36/'Price History'!T35-1),"")</f>
        <v>0.0156690692572861</v>
      </c>
      <c r="U35" s="143" t="str">
        <f aca="false">IFERROR(IF(OR(NOT(ISNUMBER('Price History'!U36)),NOT(ISNUMBER('Price History'!U35)),'Price History'!U35=0),"",'Price History'!U36/'Price History'!U35-1),"")</f>
        <v/>
      </c>
      <c r="V35" s="144" t="str">
        <f aca="false">IFERROR(IF(OR(NOT(ISNUMBER('Price History'!V36)),NOT(ISNUMBER('Price History'!V35)),'Price History'!V35=0),"",'Price History'!V36/'Price History'!V35-1),"")</f>
        <v/>
      </c>
      <c r="W35" s="145" t="str">
        <f aca="false">IFERROR('Price History'!B3+(INDEX('Price History'!B:B,MATCH(9.99E+307,'Price History'!$A:$A))-'Price History'!B3)*(ROW()-3)/(MATCH(9.99E+307,'Returns (Calc)'!$A:$A)-3),"")</f>
        <v/>
      </c>
      <c r="X35" s="145" t="n">
        <f aca="false">IFERROR('Price History'!C3+(INDEX('Price History'!C:C,MATCH(9.99E+307,'Price History'!$A:$A))-'Price History'!C3)*(ROW()-3)/(MATCH(9.99E+307,'Returns (Calc)'!$A:$A)-3),"")</f>
        <v>36.8859119496855</v>
      </c>
      <c r="Y35" s="145" t="n">
        <f aca="false">IFERROR('Price History'!D3+(INDEX('Price History'!D:D,MATCH(9.99E+307,'Price History'!$A:$A))-'Price History'!D3)*(ROW()-3)/(MATCH(9.99E+307,'Returns (Calc)'!$A:$A)-3),"")</f>
        <v>464.875911949686</v>
      </c>
      <c r="Z35" s="145" t="n">
        <f aca="false">IFERROR('Price History'!E3+(INDEX('Price History'!E:E,MATCH(9.99E+307,'Price History'!$A:$A))-'Price History'!E3)*(ROW()-3)/(MATCH(9.99E+307,'Returns (Calc)'!$A:$A)-3),"")</f>
        <v>65.496855345912</v>
      </c>
      <c r="AA35" s="145" t="n">
        <f aca="false">IFERROR('Price History'!F3+(INDEX('Price History'!F:F,MATCH(9.99E+307,'Price History'!$A:$A))-'Price History'!F3)*(ROW()-3)/(MATCH(9.99E+307,'Returns (Calc)'!$A:$A)-3),"")</f>
        <v>60.1532704402516</v>
      </c>
      <c r="AB35" s="145" t="n">
        <f aca="false">IFERROR('Price History'!G3+(INDEX('Price History'!G:G,MATCH(9.99E+307,'Price History'!$A:$A))-'Price History'!G3)*(ROW()-3)/(MATCH(9.99E+307,'Returns (Calc)'!$A:$A)-3),"")</f>
        <v>33.0359748427673</v>
      </c>
      <c r="AC35" s="145" t="n">
        <f aca="false">IFERROR('Price History'!H3+(INDEX('Price History'!H:H,MATCH(9.99E+307,'Price History'!$A:$A))-'Price History'!H3)*(ROW()-3)/(MATCH(9.99E+307,'Returns (Calc)'!$A:$A)-3),"")</f>
        <v>80.3454716981132</v>
      </c>
      <c r="AD35" s="145" t="n">
        <f aca="false">IFERROR('Price History'!I3+(INDEX('Price History'!I:I,MATCH(9.99E+307,'Price History'!$A:$A))-'Price History'!I3)*(ROW()-3)/(MATCH(9.99E+307,'Returns (Calc)'!$A:$A)-3),"")</f>
        <v>35.424213836478</v>
      </c>
      <c r="AE35" s="145" t="n">
        <f aca="false">IFERROR('Price History'!J3+(INDEX('Price History'!J:J,MATCH(9.99E+307,'Price History'!$A:$A))-'Price History'!J3)*(ROW()-3)/(MATCH(9.99E+307,'Returns (Calc)'!$A:$A)-3),"")</f>
        <v>55.2010691823899</v>
      </c>
      <c r="AF35" s="145" t="n">
        <f aca="false">IFERROR('Price History'!K3+(INDEX('Price History'!K:K,MATCH(9.99E+307,'Price History'!$A:$A))-'Price History'!K3)*(ROW()-3)/(MATCH(9.99E+307,'Returns (Calc)'!$A:$A)-3),"")</f>
        <v>34.9609433962264</v>
      </c>
      <c r="AG35" s="145" t="n">
        <f aca="false">IFERROR('Price History'!L3+(INDEX('Price History'!L:L,MATCH(9.99E+307,'Price History'!$A:$A))-'Price History'!L3)*(ROW()-3)/(MATCH(9.99E+307,'Returns (Calc)'!$A:$A)-3),"")</f>
        <v>89.331320754717</v>
      </c>
      <c r="AH35" s="145" t="n">
        <f aca="false">IFERROR('Price History'!M3+(INDEX('Price History'!M:M,MATCH(9.99E+307,'Price History'!$A:$A))-'Price History'!M3)*(ROW()-3)/(MATCH(9.99E+307,'Returns (Calc)'!$A:$A)-3),"")</f>
        <v>12.2447169811321</v>
      </c>
      <c r="AI35" s="145" t="n">
        <f aca="false">IFERROR('Price History'!N3+(INDEX('Price History'!N:N,MATCH(9.99E+307,'Price History'!$A:$A))-'Price History'!N3)*(ROW()-3)/(MATCH(9.99E+307,'Returns (Calc)'!$A:$A)-3),"")</f>
        <v>17.4125786163522</v>
      </c>
      <c r="AJ35" s="145" t="n">
        <f aca="false">IFERROR('Price History'!O3+(INDEX('Price History'!O:O,MATCH(9.99E+307,'Price History'!$A:$A))-'Price History'!O3)*(ROW()-3)/(MATCH(9.99E+307,'Returns (Calc)'!$A:$A)-3),"")</f>
        <v>46.0315094339623</v>
      </c>
      <c r="AK35" s="145" t="n">
        <f aca="false">IFERROR('Price History'!Q3+(INDEX('Price History'!Q:Q,MATCH(9.99E+307,'Price History'!$A:$A))-'Price History'!Q3)*(ROW()-3)/(MATCH(9.99E+307,'Returns (Calc)'!$A:$A)-3),"")</f>
        <v>188.207610062893</v>
      </c>
      <c r="AL35" s="145" t="n">
        <f aca="false">IFERROR('Price History'!R3+(INDEX('Price History'!R:R,MATCH(9.99E+307,'Price History'!$A:$A))-'Price History'!R3)*(ROW()-3)/(MATCH(9.99E+307,'Returns (Calc)'!$A:$A)-3),"")</f>
        <v>38.1958490566038</v>
      </c>
      <c r="AM35" s="145" t="n">
        <f aca="false">IFERROR('Price History'!S3+(INDEX('Price History'!S:S,MATCH(9.99E+307,'Price History'!$A:$A))-'Price History'!S3)*(ROW()-3)/(MATCH(9.99E+307,'Returns (Calc)'!$A:$A)-3),"")</f>
        <v>46.7583647798742</v>
      </c>
      <c r="AN35" s="145" t="n">
        <f aca="false">IFERROR('Price History'!T3+(INDEX('Price History'!T:T,MATCH(9.99E+307,'Price History'!$A:$A))-'Price History'!T3)*(ROW()-3)/(MATCH(9.99E+307,'Returns (Calc)'!$A:$A)-3),"")</f>
        <v>21.4941509433962</v>
      </c>
      <c r="AO35" s="146" t="n">
        <f aca="false">IFERROR('Price History'!V3+(INDEX('Price History'!V:V,MATCH(9.99E+307,'Price History'!$A:$A))-'Price History'!V3)*(ROW()-3)/(MATCH(9.99E+307,'Returns (Calc)'!$A:$A)-3),"")</f>
        <v>0</v>
      </c>
    </row>
    <row r="36" customFormat="false" ht="15" hidden="false" customHeight="true" outlineLevel="0" collapsed="false">
      <c r="A36" s="142" t="n">
        <f aca="false">IF('Price History'!A37="","",'Price History'!A37)</f>
        <v>45422</v>
      </c>
      <c r="B36" s="143" t="n">
        <f aca="false">IFERROR(IF(OR(NOT(ISNUMBER('Price History'!B37)),NOT(ISNUMBER('Price History'!B36)),'Price History'!B36=0),"",'Price History'!B37/'Price History'!B36-1),"")</f>
        <v>-0.00800115183676819</v>
      </c>
      <c r="C36" s="143" t="n">
        <f aca="false">IFERROR(IF(OR(NOT(ISNUMBER('Price History'!C37)),NOT(ISNUMBER('Price History'!C36)),'Price History'!C36=0),"",'Price History'!C37/'Price History'!C36-1),"")</f>
        <v>0.144460641399417</v>
      </c>
      <c r="D36" s="143" t="n">
        <f aca="false">IFERROR(IF(OR(NOT(ISNUMBER('Price History'!D37)),NOT(ISNUMBER('Price History'!D36)),'Price History'!D36=0),"",'Price History'!D37/'Price History'!D36-1),"")</f>
        <v>0.031780642391513</v>
      </c>
      <c r="E36" s="143" t="n">
        <f aca="false">IFERROR(IF(OR(NOT(ISNUMBER('Price History'!E37)),NOT(ISNUMBER('Price History'!E36)),'Price History'!E36=0),"",'Price History'!E37/'Price History'!E36-1),"")</f>
        <v>0.0427781783225185</v>
      </c>
      <c r="F36" s="143" t="n">
        <f aca="false">IFERROR(IF(OR(NOT(ISNUMBER('Price History'!F37)),NOT(ISNUMBER('Price History'!F36)),'Price History'!F36=0),"",'Price History'!F37/'Price History'!F36-1),"")</f>
        <v>0.0172887565834667</v>
      </c>
      <c r="G36" s="143" t="n">
        <f aca="false">IFERROR(IF(OR(NOT(ISNUMBER('Price History'!G37)),NOT(ISNUMBER('Price History'!G36)),'Price History'!G36=0),"",'Price History'!G37/'Price History'!G36-1),"")</f>
        <v>0.0340425531914894</v>
      </c>
      <c r="H36" s="143" t="n">
        <f aca="false">IFERROR(IF(OR(NOT(ISNUMBER('Price History'!H37)),NOT(ISNUMBER('Price History'!H36)),'Price History'!H36=0),"",'Price History'!H37/'Price History'!H36-1),"")</f>
        <v>0.0247270101976356</v>
      </c>
      <c r="I36" s="143" t="n">
        <f aca="false">IFERROR(IF(OR(NOT(ISNUMBER('Price History'!I37)),NOT(ISNUMBER('Price History'!I36)),'Price History'!I36=0),"",'Price History'!I37/'Price History'!I36-1),"")</f>
        <v>0.031158572264482</v>
      </c>
      <c r="J36" s="143" t="n">
        <f aca="false">IFERROR(IF(OR(NOT(ISNUMBER('Price History'!J37)),NOT(ISNUMBER('Price History'!J36)),'Price History'!J36=0),"",'Price History'!J37/'Price History'!J36-1),"")</f>
        <v>0.0570776255707763</v>
      </c>
      <c r="K36" s="143" t="n">
        <f aca="false">IFERROR(IF(OR(NOT(ISNUMBER('Price History'!K37)),NOT(ISNUMBER('Price History'!K36)),'Price History'!K36=0),"",'Price History'!K37/'Price History'!K36-1),"")</f>
        <v>0.0121978766659137</v>
      </c>
      <c r="L36" s="143" t="n">
        <f aca="false">IFERROR(IF(OR(NOT(ISNUMBER('Price History'!L37)),NOT(ISNUMBER('Price History'!L36)),'Price History'!L36=0),"",'Price History'!L37/'Price History'!L36-1),"")</f>
        <v>0.0151841592284807</v>
      </c>
      <c r="M36" s="143" t="n">
        <f aca="false">IFERROR(IF(OR(NOT(ISNUMBER('Price History'!M37)),NOT(ISNUMBER('Price History'!M36)),'Price History'!M36=0),"",'Price History'!M37/'Price History'!M36-1),"")</f>
        <v>-0.11701671667381</v>
      </c>
      <c r="N36" s="143" t="n">
        <f aca="false">IFERROR(IF(OR(NOT(ISNUMBER('Price History'!N37)),NOT(ISNUMBER('Price History'!N36)),'Price History'!N36=0),"",'Price History'!N37/'Price History'!N36-1),"")</f>
        <v>0.0168634064080946</v>
      </c>
      <c r="O36" s="143" t="n">
        <f aca="false">IFERROR(IF(OR(NOT(ISNUMBER('Price History'!O37)),NOT(ISNUMBER('Price History'!O36)),'Price History'!O36=0),"",'Price History'!O37/'Price History'!O36-1),"")</f>
        <v>0.0222309402380019</v>
      </c>
      <c r="P36" s="143" t="n">
        <f aca="false">IFERROR(IF(OR(NOT(ISNUMBER('Price History'!P37)),NOT(ISNUMBER('Price History'!P36)),'Price History'!P36=0),"",'Price History'!P37/'Price History'!P36-1),"")</f>
        <v>0.0543692150717876</v>
      </c>
      <c r="Q36" s="143" t="n">
        <f aca="false">IFERROR(IF(OR(NOT(ISNUMBER('Price History'!Q37)),NOT(ISNUMBER('Price History'!Q36)),'Price History'!Q36=0),"",'Price History'!Q37/'Price History'!Q36-1),"")</f>
        <v>0.045618429541918</v>
      </c>
      <c r="R36" s="143" t="n">
        <f aca="false">IFERROR(IF(OR(NOT(ISNUMBER('Price History'!R37)),NOT(ISNUMBER('Price History'!R36)),'Price History'!R36=0),"",'Price History'!R37/'Price History'!R36-1),"")</f>
        <v>-0.0119837758112095</v>
      </c>
      <c r="S36" s="143" t="n">
        <f aca="false">IFERROR(IF(OR(NOT(ISNUMBER('Price History'!S37)),NOT(ISNUMBER('Price History'!S36)),'Price History'!S36=0),"",'Price History'!S37/'Price History'!S36-1),"")</f>
        <v>0.00286711543256057</v>
      </c>
      <c r="T36" s="143" t="n">
        <f aca="false">IFERROR(IF(OR(NOT(ISNUMBER('Price History'!T37)),NOT(ISNUMBER('Price History'!T36)),'Price History'!T36=0),"",'Price History'!T37/'Price History'!T36-1),"")</f>
        <v>-0.00246837395865474</v>
      </c>
      <c r="U36" s="143" t="str">
        <f aca="false">IFERROR(IF(OR(NOT(ISNUMBER('Price History'!U37)),NOT(ISNUMBER('Price History'!U36)),'Price History'!U36=0),"",'Price History'!U37/'Price History'!U36-1),"")</f>
        <v/>
      </c>
      <c r="V36" s="144" t="str">
        <f aca="false">IFERROR(IF(OR(NOT(ISNUMBER('Price History'!V37)),NOT(ISNUMBER('Price History'!V36)),'Price History'!V36=0),"",'Price History'!V37/'Price History'!V36-1),"")</f>
        <v/>
      </c>
      <c r="W36" s="145" t="str">
        <f aca="false">IFERROR('Price History'!B3+(INDEX('Price History'!B:B,MATCH(9.99E+307,'Price History'!$A:$A))-'Price History'!B3)*(ROW()-3)/(MATCH(9.99E+307,'Returns (Calc)'!$A:$A)-3),"")</f>
        <v/>
      </c>
      <c r="X36" s="145" t="n">
        <f aca="false">IFERROR('Price History'!C3+(INDEX('Price History'!C:C,MATCH(9.99E+307,'Price History'!$A:$A))-'Price History'!C3)*(ROW()-3)/(MATCH(9.99E+307,'Returns (Calc)'!$A:$A)-3),"")</f>
        <v>36.5954716981132</v>
      </c>
      <c r="Y36" s="145" t="n">
        <f aca="false">IFERROR('Price History'!D3+(INDEX('Price History'!D:D,MATCH(9.99E+307,'Price History'!$A:$A))-'Price History'!D3)*(ROW()-3)/(MATCH(9.99E+307,'Returns (Calc)'!$A:$A)-3),"")</f>
        <v>461.215471698113</v>
      </c>
      <c r="Z36" s="145" t="n">
        <f aca="false">IFERROR('Price History'!E3+(INDEX('Price History'!E:E,MATCH(9.99E+307,'Price History'!$A:$A))-'Price History'!E3)*(ROW()-3)/(MATCH(9.99E+307,'Returns (Calc)'!$A:$A)-3),"")</f>
        <v>64.9811320754717</v>
      </c>
      <c r="AA36" s="145" t="n">
        <f aca="false">IFERROR('Price History'!F3+(INDEX('Price History'!F:F,MATCH(9.99E+307,'Price History'!$A:$A))-'Price History'!F3)*(ROW()-3)/(MATCH(9.99E+307,'Returns (Calc)'!$A:$A)-3),"")</f>
        <v>59.6796226415094</v>
      </c>
      <c r="AB36" s="145" t="n">
        <f aca="false">IFERROR('Price History'!G3+(INDEX('Price History'!G:G,MATCH(9.99E+307,'Price History'!$A:$A))-'Price History'!G3)*(ROW()-3)/(MATCH(9.99E+307,'Returns (Calc)'!$A:$A)-3),"")</f>
        <v>32.7758490566038</v>
      </c>
      <c r="AC36" s="145" t="n">
        <f aca="false">IFERROR('Price History'!H3+(INDEX('Price History'!H:H,MATCH(9.99E+307,'Price History'!$A:$A))-'Price History'!H3)*(ROW()-3)/(MATCH(9.99E+307,'Returns (Calc)'!$A:$A)-3),"")</f>
        <v>79.7128301886793</v>
      </c>
      <c r="AD36" s="145" t="n">
        <f aca="false">IFERROR('Price History'!I3+(INDEX('Price History'!I:I,MATCH(9.99E+307,'Price History'!$A:$A))-'Price History'!I3)*(ROW()-3)/(MATCH(9.99E+307,'Returns (Calc)'!$A:$A)-3),"")</f>
        <v>35.1452830188679</v>
      </c>
      <c r="AE36" s="145" t="n">
        <f aca="false">IFERROR('Price History'!J3+(INDEX('Price History'!J:J,MATCH(9.99E+307,'Price History'!$A:$A))-'Price History'!J3)*(ROW()-3)/(MATCH(9.99E+307,'Returns (Calc)'!$A:$A)-3),"")</f>
        <v>54.7664150943396</v>
      </c>
      <c r="AF36" s="145" t="n">
        <f aca="false">IFERROR('Price History'!K3+(INDEX('Price History'!K:K,MATCH(9.99E+307,'Price History'!$A:$A))-'Price History'!K3)*(ROW()-3)/(MATCH(9.99E+307,'Returns (Calc)'!$A:$A)-3),"")</f>
        <v>34.6856603773585</v>
      </c>
      <c r="AG36" s="145" t="n">
        <f aca="false">IFERROR('Price History'!L3+(INDEX('Price History'!L:L,MATCH(9.99E+307,'Price History'!$A:$A))-'Price History'!L3)*(ROW()-3)/(MATCH(9.99E+307,'Returns (Calc)'!$A:$A)-3),"")</f>
        <v>88.6279245283019</v>
      </c>
      <c r="AH36" s="145" t="n">
        <f aca="false">IFERROR('Price History'!M3+(INDEX('Price History'!M:M,MATCH(9.99E+307,'Price History'!$A:$A))-'Price History'!M3)*(ROW()-3)/(MATCH(9.99E+307,'Returns (Calc)'!$A:$A)-3),"")</f>
        <v>12.1483018867925</v>
      </c>
      <c r="AI36" s="145" t="n">
        <f aca="false">IFERROR('Price History'!N3+(INDEX('Price History'!N:N,MATCH(9.99E+307,'Price History'!$A:$A))-'Price History'!N3)*(ROW()-3)/(MATCH(9.99E+307,'Returns (Calc)'!$A:$A)-3),"")</f>
        <v>17.2754716981132</v>
      </c>
      <c r="AJ36" s="145" t="n">
        <f aca="false">IFERROR('Price History'!O3+(INDEX('Price History'!O:O,MATCH(9.99E+307,'Price History'!$A:$A))-'Price History'!O3)*(ROW()-3)/(MATCH(9.99E+307,'Returns (Calc)'!$A:$A)-3),"")</f>
        <v>45.6690566037736</v>
      </c>
      <c r="AK36" s="145" t="n">
        <f aca="false">IFERROR('Price History'!Q3+(INDEX('Price History'!Q:Q,MATCH(9.99E+307,'Price History'!$A:$A))-'Price History'!Q3)*(ROW()-3)/(MATCH(9.99E+307,'Returns (Calc)'!$A:$A)-3),"")</f>
        <v>186.725660377358</v>
      </c>
      <c r="AL36" s="145" t="n">
        <f aca="false">IFERROR('Price History'!R3+(INDEX('Price History'!R:R,MATCH(9.99E+307,'Price History'!$A:$A))-'Price History'!R3)*(ROW()-3)/(MATCH(9.99E+307,'Returns (Calc)'!$A:$A)-3),"")</f>
        <v>37.8950943396226</v>
      </c>
      <c r="AM36" s="145" t="n">
        <f aca="false">IFERROR('Price History'!S3+(INDEX('Price History'!S:S,MATCH(9.99E+307,'Price History'!$A:$A))-'Price History'!S3)*(ROW()-3)/(MATCH(9.99E+307,'Returns (Calc)'!$A:$A)-3),"")</f>
        <v>46.3901886792453</v>
      </c>
      <c r="AN36" s="145" t="n">
        <f aca="false">IFERROR('Price History'!T3+(INDEX('Price History'!T:T,MATCH(9.99E+307,'Price History'!$A:$A))-'Price History'!T3)*(ROW()-3)/(MATCH(9.99E+307,'Returns (Calc)'!$A:$A)-3),"")</f>
        <v>21.3249056603774</v>
      </c>
      <c r="AO36" s="146" t="n">
        <f aca="false">IFERROR('Price History'!V3+(INDEX('Price History'!V:V,MATCH(9.99E+307,'Price History'!$A:$A))-'Price History'!V3)*(ROW()-3)/(MATCH(9.99E+307,'Returns (Calc)'!$A:$A)-3),"")</f>
        <v>0</v>
      </c>
    </row>
    <row r="37" customFormat="false" ht="15" hidden="false" customHeight="true" outlineLevel="0" collapsed="false">
      <c r="A37" s="142" t="n">
        <f aca="false">IF('Price History'!A38="","",'Price History'!A38)</f>
        <v>45429</v>
      </c>
      <c r="B37" s="143" t="n">
        <f aca="false">IFERROR(IF(OR(NOT(ISNUMBER('Price History'!B38)),NOT(ISNUMBER('Price History'!B37)),'Price History'!B37=0),"",'Price History'!B38/'Price History'!B37-1),"")</f>
        <v>0.00236372307118127</v>
      </c>
      <c r="C37" s="143" t="n">
        <f aca="false">IFERROR(IF(OR(NOT(ISNUMBER('Price History'!C38)),NOT(ISNUMBER('Price History'!C37)),'Price History'!C37=0),"",'Price History'!C38/'Price History'!C37-1),"")</f>
        <v>0.0185963571519552</v>
      </c>
      <c r="D37" s="143" t="n">
        <f aca="false">IFERROR(IF(OR(NOT(ISNUMBER('Price History'!D38)),NOT(ISNUMBER('Price History'!D37)),'Price History'!D37=0),"",'Price History'!D38/'Price History'!D37-1),"")</f>
        <v>-0.00571578739898826</v>
      </c>
      <c r="E37" s="143" t="n">
        <f aca="false">IFERROR(IF(OR(NOT(ISNUMBER('Price History'!E38)),NOT(ISNUMBER('Price History'!E37)),'Price History'!E37=0),"",'Price History'!E38/'Price History'!E37-1),"")</f>
        <v>0.0468617961127757</v>
      </c>
      <c r="F37" s="143" t="n">
        <f aca="false">IFERROR(IF(OR(NOT(ISNUMBER('Price History'!F38)),NOT(ISNUMBER('Price History'!F37)),'Price History'!F37=0),"",'Price History'!F38/'Price History'!F37-1),"")</f>
        <v>0.0110298255486776</v>
      </c>
      <c r="G37" s="143" t="n">
        <f aca="false">IFERROR(IF(OR(NOT(ISNUMBER('Price History'!G38)),NOT(ISNUMBER('Price History'!G37)),'Price History'!G37=0),"",'Price History'!G38/'Price History'!G37-1),"")</f>
        <v>0.0784387080683378</v>
      </c>
      <c r="H37" s="143" t="n">
        <f aca="false">IFERROR(IF(OR(NOT(ISNUMBER('Price History'!H38)),NOT(ISNUMBER('Price History'!H37)),'Price History'!H37=0),"",'Price History'!H38/'Price History'!H37-1),"")</f>
        <v>0.0121532364597094</v>
      </c>
      <c r="I37" s="143" t="n">
        <f aca="false">IFERROR(IF(OR(NOT(ISNUMBER('Price History'!I38)),NOT(ISNUMBER('Price History'!I37)),'Price History'!I37=0),"",'Price History'!I38/'Price History'!I37-1),"")</f>
        <v>0.0429848205419208</v>
      </c>
      <c r="J37" s="143" t="n">
        <f aca="false">IFERROR(IF(OR(NOT(ISNUMBER('Price History'!J38)),NOT(ISNUMBER('Price History'!J37)),'Price History'!J37=0),"",'Price History'!J38/'Price History'!J37-1),"")</f>
        <v>0.0333942515368002</v>
      </c>
      <c r="K37" s="143" t="n">
        <f aca="false">IFERROR(IF(OR(NOT(ISNUMBER('Price History'!K38)),NOT(ISNUMBER('Price History'!K37)),'Price History'!K37=0),"",'Price History'!K38/'Price History'!K37-1),"")</f>
        <v>0.029011381388083</v>
      </c>
      <c r="L37" s="143" t="n">
        <f aca="false">IFERROR(IF(OR(NOT(ISNUMBER('Price History'!L38)),NOT(ISNUMBER('Price History'!L37)),'Price History'!L37=0),"",'Price History'!L38/'Price History'!L37-1),"")</f>
        <v>0.0372915613946438</v>
      </c>
      <c r="M37" s="143" t="n">
        <f aca="false">IFERROR(IF(OR(NOT(ISNUMBER('Price History'!M38)),NOT(ISNUMBER('Price History'!M37)),'Price History'!M37=0),"",'Price History'!M38/'Price History'!M37-1),"")</f>
        <v>0.0563106796116506</v>
      </c>
      <c r="N37" s="143" t="n">
        <f aca="false">IFERROR(IF(OR(NOT(ISNUMBER('Price History'!N38)),NOT(ISNUMBER('Price History'!N37)),'Price History'!N37=0),"",'Price History'!N38/'Price History'!N37-1),"")</f>
        <v>0.00995024875621886</v>
      </c>
      <c r="O37" s="143" t="n">
        <f aca="false">IFERROR(IF(OR(NOT(ISNUMBER('Price History'!O38)),NOT(ISNUMBER('Price History'!O37)),'Price History'!O37=0),"",'Price History'!O38/'Price History'!O37-1),"")</f>
        <v>0.0150953051042599</v>
      </c>
      <c r="P37" s="143" t="n">
        <f aca="false">IFERROR(IF(OR(NOT(ISNUMBER('Price History'!P38)),NOT(ISNUMBER('Price History'!P37)),'Price History'!P37=0),"",'Price History'!P38/'Price History'!P37-1),"")</f>
        <v>0.0162438653487249</v>
      </c>
      <c r="Q37" s="143" t="n">
        <f aca="false">IFERROR(IF(OR(NOT(ISNUMBER('Price History'!Q38)),NOT(ISNUMBER('Price History'!Q37)),'Price History'!Q37=0),"",'Price History'!Q38/'Price History'!Q37-1),"")</f>
        <v>-0.000435555878189553</v>
      </c>
      <c r="R37" s="143" t="n">
        <f aca="false">IFERROR(IF(OR(NOT(ISNUMBER('Price History'!R38)),NOT(ISNUMBER('Price History'!R37)),'Price History'!R37=0),"",'Price History'!R38/'Price History'!R37-1),"")</f>
        <v>-0.0035454375816385</v>
      </c>
      <c r="S37" s="143" t="n">
        <f aca="false">IFERROR(IF(OR(NOT(ISNUMBER('Price History'!S38)),NOT(ISNUMBER('Price History'!S37)),'Price History'!S37=0),"",'Price History'!S38/'Price History'!S37-1),"")</f>
        <v>-0.0140459912989436</v>
      </c>
      <c r="T37" s="143" t="n">
        <f aca="false">IFERROR(IF(OR(NOT(ISNUMBER('Price History'!T38)),NOT(ISNUMBER('Price History'!T37)),'Price History'!T37=0),"",'Price History'!T38/'Price History'!T37-1),"")</f>
        <v>-0.0259820600061862</v>
      </c>
      <c r="U37" s="143" t="str">
        <f aca="false">IFERROR(IF(OR(NOT(ISNUMBER('Price History'!U38)),NOT(ISNUMBER('Price History'!U37)),'Price History'!U37=0),"",'Price History'!U38/'Price History'!U37-1),"")</f>
        <v/>
      </c>
      <c r="V37" s="144" t="n">
        <f aca="false">IFERROR(IF(OR(NOT(ISNUMBER('Price History'!V38)),NOT(ISNUMBER('Price History'!V37)),'Price History'!V37=0),"",'Price History'!V38/'Price History'!V37-1),"")</f>
        <v>-0.00422840754494991</v>
      </c>
      <c r="W37" s="145" t="str">
        <f aca="false">IFERROR('Price History'!B3+(INDEX('Price History'!B:B,MATCH(9.99E+307,'Price History'!$A:$A))-'Price History'!B3)*(ROW()-3)/(MATCH(9.99E+307,'Returns (Calc)'!$A:$A)-3),"")</f>
        <v/>
      </c>
      <c r="X37" s="145" t="n">
        <f aca="false">IFERROR('Price History'!C3+(INDEX('Price History'!C:C,MATCH(9.99E+307,'Price History'!$A:$A))-'Price History'!C3)*(ROW()-3)/(MATCH(9.99E+307,'Returns (Calc)'!$A:$A)-3),"")</f>
        <v>36.3050314465409</v>
      </c>
      <c r="Y37" s="145" t="n">
        <f aca="false">IFERROR('Price History'!D3+(INDEX('Price History'!D:D,MATCH(9.99E+307,'Price History'!$A:$A))-'Price History'!D3)*(ROW()-3)/(MATCH(9.99E+307,'Returns (Calc)'!$A:$A)-3),"")</f>
        <v>457.555031446541</v>
      </c>
      <c r="Z37" s="145" t="n">
        <f aca="false">IFERROR('Price History'!E3+(INDEX('Price History'!E:E,MATCH(9.99E+307,'Price History'!$A:$A))-'Price History'!E3)*(ROW()-3)/(MATCH(9.99E+307,'Returns (Calc)'!$A:$A)-3),"")</f>
        <v>64.4654088050314</v>
      </c>
      <c r="AA37" s="145" t="n">
        <f aca="false">IFERROR('Price History'!F3+(INDEX('Price History'!F:F,MATCH(9.99E+307,'Price History'!$A:$A))-'Price History'!F3)*(ROW()-3)/(MATCH(9.99E+307,'Returns (Calc)'!$A:$A)-3),"")</f>
        <v>59.2059748427673</v>
      </c>
      <c r="AB37" s="145" t="n">
        <f aca="false">IFERROR('Price History'!G3+(INDEX('Price History'!G:G,MATCH(9.99E+307,'Price History'!$A:$A))-'Price History'!G3)*(ROW()-3)/(MATCH(9.99E+307,'Returns (Calc)'!$A:$A)-3),"")</f>
        <v>32.5157232704403</v>
      </c>
      <c r="AC37" s="145" t="n">
        <f aca="false">IFERROR('Price History'!H3+(INDEX('Price History'!H:H,MATCH(9.99E+307,'Price History'!$A:$A))-'Price History'!H3)*(ROW()-3)/(MATCH(9.99E+307,'Returns (Calc)'!$A:$A)-3),"")</f>
        <v>79.0801886792453</v>
      </c>
      <c r="AD37" s="145" t="n">
        <f aca="false">IFERROR('Price History'!I3+(INDEX('Price History'!I:I,MATCH(9.99E+307,'Price History'!$A:$A))-'Price History'!I3)*(ROW()-3)/(MATCH(9.99E+307,'Returns (Calc)'!$A:$A)-3),"")</f>
        <v>34.8663522012579</v>
      </c>
      <c r="AE37" s="145" t="n">
        <f aca="false">IFERROR('Price History'!J3+(INDEX('Price History'!J:J,MATCH(9.99E+307,'Price History'!$A:$A))-'Price History'!J3)*(ROW()-3)/(MATCH(9.99E+307,'Returns (Calc)'!$A:$A)-3),"")</f>
        <v>54.3317610062893</v>
      </c>
      <c r="AF37" s="145" t="n">
        <f aca="false">IFERROR('Price History'!K3+(INDEX('Price History'!K:K,MATCH(9.99E+307,'Price History'!$A:$A))-'Price History'!K3)*(ROW()-3)/(MATCH(9.99E+307,'Returns (Calc)'!$A:$A)-3),"")</f>
        <v>34.4103773584906</v>
      </c>
      <c r="AG37" s="145" t="n">
        <f aca="false">IFERROR('Price History'!L3+(INDEX('Price History'!L:L,MATCH(9.99E+307,'Price History'!$A:$A))-'Price History'!L3)*(ROW()-3)/(MATCH(9.99E+307,'Returns (Calc)'!$A:$A)-3),"")</f>
        <v>87.9245283018868</v>
      </c>
      <c r="AH37" s="145" t="n">
        <f aca="false">IFERROR('Price History'!M3+(INDEX('Price History'!M:M,MATCH(9.99E+307,'Price History'!$A:$A))-'Price History'!M3)*(ROW()-3)/(MATCH(9.99E+307,'Returns (Calc)'!$A:$A)-3),"")</f>
        <v>12.0518867924528</v>
      </c>
      <c r="AI37" s="145" t="n">
        <f aca="false">IFERROR('Price History'!N3+(INDEX('Price History'!N:N,MATCH(9.99E+307,'Price History'!$A:$A))-'Price History'!N3)*(ROW()-3)/(MATCH(9.99E+307,'Returns (Calc)'!$A:$A)-3),"")</f>
        <v>17.1383647798742</v>
      </c>
      <c r="AJ37" s="145" t="n">
        <f aca="false">IFERROR('Price History'!O3+(INDEX('Price History'!O:O,MATCH(9.99E+307,'Price History'!$A:$A))-'Price History'!O3)*(ROW()-3)/(MATCH(9.99E+307,'Returns (Calc)'!$A:$A)-3),"")</f>
        <v>45.3066037735849</v>
      </c>
      <c r="AK37" s="145" t="n">
        <f aca="false">IFERROR('Price History'!Q3+(INDEX('Price History'!Q:Q,MATCH(9.99E+307,'Price History'!$A:$A))-'Price History'!Q3)*(ROW()-3)/(MATCH(9.99E+307,'Returns (Calc)'!$A:$A)-3),"")</f>
        <v>185.243710691824</v>
      </c>
      <c r="AL37" s="145" t="n">
        <f aca="false">IFERROR('Price History'!R3+(INDEX('Price History'!R:R,MATCH(9.99E+307,'Price History'!$A:$A))-'Price History'!R3)*(ROW()-3)/(MATCH(9.99E+307,'Returns (Calc)'!$A:$A)-3),"")</f>
        <v>37.5943396226415</v>
      </c>
      <c r="AM37" s="145" t="n">
        <f aca="false">IFERROR('Price History'!S3+(INDEX('Price History'!S:S,MATCH(9.99E+307,'Price History'!$A:$A))-'Price History'!S3)*(ROW()-3)/(MATCH(9.99E+307,'Returns (Calc)'!$A:$A)-3),"")</f>
        <v>46.0220125786164</v>
      </c>
      <c r="AN37" s="145" t="n">
        <f aca="false">IFERROR('Price History'!T3+(INDEX('Price History'!T:T,MATCH(9.99E+307,'Price History'!$A:$A))-'Price History'!T3)*(ROW()-3)/(MATCH(9.99E+307,'Returns (Calc)'!$A:$A)-3),"")</f>
        <v>21.1556603773585</v>
      </c>
      <c r="AO37" s="146" t="n">
        <f aca="false">IFERROR('Price History'!V3+(INDEX('Price History'!V:V,MATCH(9.99E+307,'Price History'!$A:$A))-'Price History'!V3)*(ROW()-3)/(MATCH(9.99E+307,'Returns (Calc)'!$A:$A)-3),"")</f>
        <v>0</v>
      </c>
    </row>
    <row r="38" customFormat="false" ht="15" hidden="false" customHeight="true" outlineLevel="0" collapsed="false">
      <c r="A38" s="142" t="n">
        <f aca="false">IF('Price History'!A39="","",'Price History'!A39)</f>
        <v>45436</v>
      </c>
      <c r="B38" s="143" t="n">
        <f aca="false">IFERROR(IF(OR(NOT(ISNUMBER('Price History'!B39)),NOT(ISNUMBER('Price History'!B38)),'Price History'!B38=0),"",'Price History'!B39/'Price History'!B38-1),"")</f>
        <v>-0.0165484144550401</v>
      </c>
      <c r="C38" s="143" t="n">
        <f aca="false">IFERROR(IF(OR(NOT(ISNUMBER('Price History'!C39)),NOT(ISNUMBER('Price History'!C38)),'Price History'!C38=0),"",'Price History'!C39/'Price History'!C38-1),"")</f>
        <v>-0.0416406152307115</v>
      </c>
      <c r="D38" s="143" t="n">
        <f aca="false">IFERROR(IF(OR(NOT(ISNUMBER('Price History'!D39)),NOT(ISNUMBER('Price History'!D38)),'Price History'!D38=0),"",'Price History'!D39/'Price History'!D38-1),"")</f>
        <v>0.0337870578388617</v>
      </c>
      <c r="E38" s="143" t="n">
        <f aca="false">IFERROR(IF(OR(NOT(ISNUMBER('Price History'!E39)),NOT(ISNUMBER('Price History'!E38)),'Price History'!E38=0),"",'Price History'!E39/'Price History'!E38-1),"")</f>
        <v>0.00902619798928583</v>
      </c>
      <c r="F38" s="143" t="n">
        <f aca="false">IFERROR(IF(OR(NOT(ISNUMBER('Price History'!F39)),NOT(ISNUMBER('Price History'!F38)),'Price History'!F38=0),"",'Price History'!F39/'Price History'!F38-1),"")</f>
        <v>-0.0148057441834576</v>
      </c>
      <c r="G38" s="143" t="n">
        <f aca="false">IFERROR(IF(OR(NOT(ISNUMBER('Price History'!G39)),NOT(ISNUMBER('Price History'!G38)),'Price History'!G38=0),"",'Price History'!G39/'Price History'!G38-1),"")</f>
        <v>0.0160730804810361</v>
      </c>
      <c r="H38" s="143" t="n">
        <f aca="false">IFERROR(IF(OR(NOT(ISNUMBER('Price History'!H39)),NOT(ISNUMBER('Price History'!H38)),'Price History'!H38=0),"",'Price History'!H39/'Price History'!H38-1),"")</f>
        <v>-0.0204472287479336</v>
      </c>
      <c r="I38" s="143" t="n">
        <f aca="false">IFERROR(IF(OR(NOT(ISNUMBER('Price History'!I39)),NOT(ISNUMBER('Price History'!I38)),'Price History'!I38=0),"",'Price History'!I39/'Price History'!I38-1),"")</f>
        <v>0.0420293797606095</v>
      </c>
      <c r="J38" s="143" t="n">
        <f aca="false">IFERROR(IF(OR(NOT(ISNUMBER('Price History'!J39)),NOT(ISNUMBER('Price History'!J38)),'Price History'!J38=0),"",'Price History'!J39/'Price History'!J38-1),"")</f>
        <v>0.0335209003215433</v>
      </c>
      <c r="K38" s="143" t="n">
        <f aca="false">IFERROR(IF(OR(NOT(ISNUMBER('Price History'!K39)),NOT(ISNUMBER('Price History'!K38)),'Price History'!K38=0),"",'Price History'!K39/'Price History'!K38-1),"")</f>
        <v>0.151268705270007</v>
      </c>
      <c r="L38" s="143" t="n">
        <f aca="false">IFERROR(IF(OR(NOT(ISNUMBER('Price History'!L39)),NOT(ISNUMBER('Price History'!L38)),'Price History'!L38=0),"",'Price History'!L39/'Price History'!L38-1),"")</f>
        <v>-0.0606001558846454</v>
      </c>
      <c r="M38" s="143" t="n">
        <f aca="false">IFERROR(IF(OR(NOT(ISNUMBER('Price History'!M39)),NOT(ISNUMBER('Price History'!M38)),'Price History'!M38=0),"",'Price History'!M39/'Price History'!M38-1),"")</f>
        <v>-0.0344669117647058</v>
      </c>
      <c r="N38" s="143" t="n">
        <f aca="false">IFERROR(IF(OR(NOT(ISNUMBER('Price History'!N39)),NOT(ISNUMBER('Price History'!N38)),'Price History'!N38=0),"",'Price History'!N39/'Price History'!N38-1),"")</f>
        <v>-0.024630541871921</v>
      </c>
      <c r="O38" s="143" t="n">
        <f aca="false">IFERROR(IF(OR(NOT(ISNUMBER('Price History'!O39)),NOT(ISNUMBER('Price History'!O38)),'Price History'!O38=0),"",'Price History'!O39/'Price History'!O38-1),"")</f>
        <v>0.019533711405167</v>
      </c>
      <c r="P38" s="143" t="n">
        <f aca="false">IFERROR(IF(OR(NOT(ISNUMBER('Price History'!P39)),NOT(ISNUMBER('Price History'!P38)),'Price History'!P38=0),"",'Price History'!P39/'Price History'!P38-1),"")</f>
        <v>0.054822473132907</v>
      </c>
      <c r="Q38" s="143" t="n">
        <f aca="false">IFERROR(IF(OR(NOT(ISNUMBER('Price History'!Q39)),NOT(ISNUMBER('Price History'!Q38)),'Price History'!Q38=0),"",'Price History'!Q39/'Price History'!Q38-1),"")</f>
        <v>-0.0200443008097606</v>
      </c>
      <c r="R38" s="143" t="n">
        <f aca="false">IFERROR(IF(OR(NOT(ISNUMBER('Price History'!R39)),NOT(ISNUMBER('Price History'!R38)),'Price History'!R38=0),"",'Price History'!R39/'Price History'!R38-1),"")</f>
        <v>-0.047940074906367</v>
      </c>
      <c r="S38" s="143" t="n">
        <f aca="false">IFERROR(IF(OR(NOT(ISNUMBER('Price History'!S39)),NOT(ISNUMBER('Price History'!S38)),'Price History'!S38=0),"",'Price History'!S39/'Price History'!S38-1),"")</f>
        <v>-0.0568582955118506</v>
      </c>
      <c r="T38" s="143" t="n">
        <f aca="false">IFERROR(IF(OR(NOT(ISNUMBER('Price History'!T39)),NOT(ISNUMBER('Price History'!T38)),'Price History'!T38=0),"",'Price History'!T39/'Price History'!T38-1),"")</f>
        <v>-0.017783423308987</v>
      </c>
      <c r="U38" s="143" t="str">
        <f aca="false">IFERROR(IF(OR(NOT(ISNUMBER('Price History'!U39)),NOT(ISNUMBER('Price History'!U38)),'Price History'!U38=0),"",'Price History'!U39/'Price History'!U38-1),"")</f>
        <v/>
      </c>
      <c r="V38" s="144" t="n">
        <f aca="false">IFERROR(IF(OR(NOT(ISNUMBER('Price History'!V39)),NOT(ISNUMBER('Price History'!V38)),'Price History'!V38=0),"",'Price History'!V39/'Price History'!V38-1),"")</f>
        <v>-0.0224134111217783</v>
      </c>
      <c r="W38" s="145" t="str">
        <f aca="false">IFERROR('Price History'!B3+(INDEX('Price History'!B:B,MATCH(9.99E+307,'Price History'!$A:$A))-'Price History'!B3)*(ROW()-3)/(MATCH(9.99E+307,'Returns (Calc)'!$A:$A)-3),"")</f>
        <v/>
      </c>
      <c r="X38" s="145" t="n">
        <f aca="false">IFERROR('Price History'!C3+(INDEX('Price History'!C:C,MATCH(9.99E+307,'Price History'!$A:$A))-'Price History'!C3)*(ROW()-3)/(MATCH(9.99E+307,'Returns (Calc)'!$A:$A)-3),"")</f>
        <v>36.0145911949686</v>
      </c>
      <c r="Y38" s="145" t="n">
        <f aca="false">IFERROR('Price History'!D3+(INDEX('Price History'!D:D,MATCH(9.99E+307,'Price History'!$A:$A))-'Price History'!D3)*(ROW()-3)/(MATCH(9.99E+307,'Returns (Calc)'!$A:$A)-3),"")</f>
        <v>453.894591194969</v>
      </c>
      <c r="Z38" s="145" t="n">
        <f aca="false">IFERROR('Price History'!E3+(INDEX('Price History'!E:E,MATCH(9.99E+307,'Price History'!$A:$A))-'Price History'!E3)*(ROW()-3)/(MATCH(9.99E+307,'Returns (Calc)'!$A:$A)-3),"")</f>
        <v>63.9496855345912</v>
      </c>
      <c r="AA38" s="145" t="n">
        <f aca="false">IFERROR('Price History'!F3+(INDEX('Price History'!F:F,MATCH(9.99E+307,'Price History'!$A:$A))-'Price History'!F3)*(ROW()-3)/(MATCH(9.99E+307,'Returns (Calc)'!$A:$A)-3),"")</f>
        <v>58.7323270440252</v>
      </c>
      <c r="AB38" s="145" t="n">
        <f aca="false">IFERROR('Price History'!G3+(INDEX('Price History'!G:G,MATCH(9.99E+307,'Price History'!$A:$A))-'Price History'!G3)*(ROW()-3)/(MATCH(9.99E+307,'Returns (Calc)'!$A:$A)-3),"")</f>
        <v>32.2555974842767</v>
      </c>
      <c r="AC38" s="145" t="n">
        <f aca="false">IFERROR('Price History'!H3+(INDEX('Price History'!H:H,MATCH(9.99E+307,'Price History'!$A:$A))-'Price History'!H3)*(ROW()-3)/(MATCH(9.99E+307,'Returns (Calc)'!$A:$A)-3),"")</f>
        <v>78.4475471698113</v>
      </c>
      <c r="AD38" s="145" t="n">
        <f aca="false">IFERROR('Price History'!I3+(INDEX('Price History'!I:I,MATCH(9.99E+307,'Price History'!$A:$A))-'Price History'!I3)*(ROW()-3)/(MATCH(9.99E+307,'Returns (Calc)'!$A:$A)-3),"")</f>
        <v>34.5874213836478</v>
      </c>
      <c r="AE38" s="145" t="n">
        <f aca="false">IFERROR('Price History'!J3+(INDEX('Price History'!J:J,MATCH(9.99E+307,'Price History'!$A:$A))-'Price History'!J3)*(ROW()-3)/(MATCH(9.99E+307,'Returns (Calc)'!$A:$A)-3),"")</f>
        <v>53.897106918239</v>
      </c>
      <c r="AF38" s="145" t="n">
        <f aca="false">IFERROR('Price History'!K3+(INDEX('Price History'!K:K,MATCH(9.99E+307,'Price History'!$A:$A))-'Price History'!K3)*(ROW()-3)/(MATCH(9.99E+307,'Returns (Calc)'!$A:$A)-3),"")</f>
        <v>34.1350943396227</v>
      </c>
      <c r="AG38" s="145" t="n">
        <f aca="false">IFERROR('Price History'!L3+(INDEX('Price History'!L:L,MATCH(9.99E+307,'Price History'!$A:$A))-'Price History'!L3)*(ROW()-3)/(MATCH(9.99E+307,'Returns (Calc)'!$A:$A)-3),"")</f>
        <v>87.2211320754717</v>
      </c>
      <c r="AH38" s="145" t="n">
        <f aca="false">IFERROR('Price History'!M3+(INDEX('Price History'!M:M,MATCH(9.99E+307,'Price History'!$A:$A))-'Price History'!M3)*(ROW()-3)/(MATCH(9.99E+307,'Returns (Calc)'!$A:$A)-3),"")</f>
        <v>11.9554716981132</v>
      </c>
      <c r="AI38" s="145" t="n">
        <f aca="false">IFERROR('Price History'!N3+(INDEX('Price History'!N:N,MATCH(9.99E+307,'Price History'!$A:$A))-'Price History'!N3)*(ROW()-3)/(MATCH(9.99E+307,'Returns (Calc)'!$A:$A)-3),"")</f>
        <v>17.0012578616352</v>
      </c>
      <c r="AJ38" s="145" t="n">
        <f aca="false">IFERROR('Price History'!O3+(INDEX('Price History'!O:O,MATCH(9.99E+307,'Price History'!$A:$A))-'Price History'!O3)*(ROW()-3)/(MATCH(9.99E+307,'Returns (Calc)'!$A:$A)-3),"")</f>
        <v>44.9441509433962</v>
      </c>
      <c r="AK38" s="145" t="n">
        <f aca="false">IFERROR('Price History'!Q3+(INDEX('Price History'!Q:Q,MATCH(9.99E+307,'Price History'!$A:$A))-'Price History'!Q3)*(ROW()-3)/(MATCH(9.99E+307,'Returns (Calc)'!$A:$A)-3),"")</f>
        <v>183.761761006289</v>
      </c>
      <c r="AL38" s="145" t="n">
        <f aca="false">IFERROR('Price History'!R3+(INDEX('Price History'!R:R,MATCH(9.99E+307,'Price History'!$A:$A))-'Price History'!R3)*(ROW()-3)/(MATCH(9.99E+307,'Returns (Calc)'!$A:$A)-3),"")</f>
        <v>37.2935849056604</v>
      </c>
      <c r="AM38" s="145" t="n">
        <f aca="false">IFERROR('Price History'!S3+(INDEX('Price History'!S:S,MATCH(9.99E+307,'Price History'!$A:$A))-'Price History'!S3)*(ROW()-3)/(MATCH(9.99E+307,'Returns (Calc)'!$A:$A)-3),"")</f>
        <v>45.6538364779874</v>
      </c>
      <c r="AN38" s="145" t="n">
        <f aca="false">IFERROR('Price History'!T3+(INDEX('Price History'!T:T,MATCH(9.99E+307,'Price History'!$A:$A))-'Price History'!T3)*(ROW()-3)/(MATCH(9.99E+307,'Returns (Calc)'!$A:$A)-3),"")</f>
        <v>20.9864150943396</v>
      </c>
      <c r="AO38" s="146" t="n">
        <f aca="false">IFERROR('Price History'!V3+(INDEX('Price History'!V:V,MATCH(9.99E+307,'Price History'!$A:$A))-'Price History'!V3)*(ROW()-3)/(MATCH(9.99E+307,'Returns (Calc)'!$A:$A)-3),"")</f>
        <v>0</v>
      </c>
    </row>
    <row r="39" customFormat="false" ht="15" hidden="false" customHeight="true" outlineLevel="0" collapsed="false">
      <c r="A39" s="142" t="n">
        <f aca="false">IF('Price History'!A40="","",'Price History'!A40)</f>
        <v>45443</v>
      </c>
      <c r="B39" s="143" t="n">
        <f aca="false">IFERROR(IF(OR(NOT(ISNUMBER('Price History'!B40)),NOT(ISNUMBER('Price History'!B39)),'Price History'!B39=0),"",'Price History'!B40/'Price History'!B39-1),"")</f>
        <v>-0.0645100225059421</v>
      </c>
      <c r="C39" s="143" t="n">
        <f aca="false">IFERROR(IF(OR(NOT(ISNUMBER('Price History'!C40)),NOT(ISNUMBER('Price History'!C39)),'Price History'!C39=0),"",'Price History'!C40/'Price History'!C39-1),"")</f>
        <v>-0.0290970772442589</v>
      </c>
      <c r="D39" s="143" t="n">
        <f aca="false">IFERROR(IF(OR(NOT(ISNUMBER('Price History'!D40)),NOT(ISNUMBER('Price History'!D39)),'Price History'!D39=0),"",'Price History'!D40/'Price History'!D39-1),"")</f>
        <v>0.00431438554627572</v>
      </c>
      <c r="E39" s="143" t="n">
        <f aca="false">IFERROR(IF(OR(NOT(ISNUMBER('Price History'!E40)),NOT(ISNUMBER('Price History'!E39)),'Price History'!E39=0),"",'Price History'!E40/'Price History'!E39-1),"")</f>
        <v>-0.0563636363636364</v>
      </c>
      <c r="F39" s="143" t="n">
        <f aca="false">IFERROR(IF(OR(NOT(ISNUMBER('Price History'!F40)),NOT(ISNUMBER('Price History'!F39)),'Price History'!F39=0),"",'Price History'!F40/'Price History'!F39-1),"")</f>
        <v>0.0107344632768362</v>
      </c>
      <c r="G39" s="143" t="n">
        <f aca="false">IFERROR(IF(OR(NOT(ISNUMBER('Price History'!G40)),NOT(ISNUMBER('Price History'!G39)),'Price History'!G39=0),"",'Price History'!G40/'Price History'!G39-1),"")</f>
        <v>-0.107545237282349</v>
      </c>
      <c r="H39" s="143" t="n">
        <f aca="false">IFERROR(IF(OR(NOT(ISNUMBER('Price History'!H40)),NOT(ISNUMBER('Price History'!H39)),'Price History'!H39=0),"",'Price History'!H40/'Price History'!H39-1),"")</f>
        <v>0.0104814354236988</v>
      </c>
      <c r="I39" s="143" t="n">
        <f aca="false">IFERROR(IF(OR(NOT(ISNUMBER('Price History'!I40)),NOT(ISNUMBER('Price History'!I39)),'Price History'!I39=0),"",'Price History'!I40/'Price History'!I39-1),"")</f>
        <v>-0.0250620023495628</v>
      </c>
      <c r="J39" s="143" t="n">
        <f aca="false">IFERROR(IF(OR(NOT(ISNUMBER('Price History'!J40)),NOT(ISNUMBER('Price History'!J39)),'Price History'!J39=0),"",'Price History'!J40/'Price History'!J39-1),"")</f>
        <v>-0.0346892743252703</v>
      </c>
      <c r="K39" s="143" t="n">
        <f aca="false">IFERROR(IF(OR(NOT(ISNUMBER('Price History'!K40)),NOT(ISNUMBER('Price History'!K39)),'Price History'!K39=0),"",'Price History'!K40/'Price History'!K39-1),"")</f>
        <v>0.0296693981350664</v>
      </c>
      <c r="L39" s="143" t="n">
        <f aca="false">IFERROR(IF(OR(NOT(ISNUMBER('Price History'!L40)),NOT(ISNUMBER('Price History'!L39)),'Price History'!L39=0),"",'Price History'!L40/'Price History'!L39-1),"")</f>
        <v>0.0548641360713544</v>
      </c>
      <c r="M39" s="143" t="n">
        <f aca="false">IFERROR(IF(OR(NOT(ISNUMBER('Price History'!M40)),NOT(ISNUMBER('Price History'!M39)),'Price History'!M39=0),"",'Price History'!M40/'Price History'!M39-1),"")</f>
        <v>0.031889576392194</v>
      </c>
      <c r="N39" s="143" t="n">
        <f aca="false">IFERROR(IF(OR(NOT(ISNUMBER('Price History'!N40)),NOT(ISNUMBER('Price History'!N39)),'Price History'!N39=0),"",'Price History'!N40/'Price History'!N39-1),"")</f>
        <v>0.00589225589225584</v>
      </c>
      <c r="O39" s="143" t="n">
        <f aca="false">IFERROR(IF(OR(NOT(ISNUMBER('Price History'!O40)),NOT(ISNUMBER('Price History'!O39)),'Price History'!O39=0),"",'Price History'!O40/'Price History'!O39-1),"")</f>
        <v>-0.0110012360939431</v>
      </c>
      <c r="P39" s="143" t="n">
        <f aca="false">IFERROR(IF(OR(NOT(ISNUMBER('Price History'!P40)),NOT(ISNUMBER('Price History'!P39)),'Price History'!P39=0),"",'Price History'!P40/'Price History'!P39-1),"")</f>
        <v>-0.055971111684292</v>
      </c>
      <c r="Q39" s="143" t="n">
        <f aca="false">IFERROR(IF(OR(NOT(ISNUMBER('Price History'!Q40)),NOT(ISNUMBER('Price History'!Q39)),'Price History'!Q39=0),"",'Price History'!Q40/'Price History'!Q39-1),"")</f>
        <v>-0.00737392077667032</v>
      </c>
      <c r="R39" s="143" t="n">
        <f aca="false">IFERROR(IF(OR(NOT(ISNUMBER('Price History'!R40)),NOT(ISNUMBER('Price History'!R39)),'Price History'!R39=0),"",'Price History'!R40/'Price History'!R39-1),"")</f>
        <v>0.0357985837922894</v>
      </c>
      <c r="S39" s="143" t="n">
        <f aca="false">IFERROR(IF(OR(NOT(ISNUMBER('Price History'!S40)),NOT(ISNUMBER('Price History'!S39)),'Price History'!S39=0),"",'Price History'!S40/'Price History'!S39-1),"")</f>
        <v>0.0300761930223232</v>
      </c>
      <c r="T39" s="143" t="n">
        <f aca="false">IFERROR(IF(OR(NOT(ISNUMBER('Price History'!T40)),NOT(ISNUMBER('Price History'!T39)),'Price History'!T39=0),"",'Price History'!T40/'Price History'!T39-1),"")</f>
        <v>0.0126091173617846</v>
      </c>
      <c r="U39" s="143" t="str">
        <f aca="false">IFERROR(IF(OR(NOT(ISNUMBER('Price History'!U40)),NOT(ISNUMBER('Price History'!U39)),'Price History'!U39=0),"",'Price History'!U40/'Price History'!U39-1),"")</f>
        <v/>
      </c>
      <c r="V39" s="144" t="n">
        <f aca="false">IFERROR(IF(OR(NOT(ISNUMBER('Price History'!V40)),NOT(ISNUMBER('Price History'!V39)),'Price History'!V39=0),"",'Price History'!V40/'Price History'!V39-1),"")</f>
        <v>0.0175637393767705</v>
      </c>
      <c r="W39" s="145" t="str">
        <f aca="false">IFERROR('Price History'!B3+(INDEX('Price History'!B:B,MATCH(9.99E+307,'Price History'!$A:$A))-'Price History'!B3)*(ROW()-3)/(MATCH(9.99E+307,'Returns (Calc)'!$A:$A)-3),"")</f>
        <v/>
      </c>
      <c r="X39" s="145" t="n">
        <f aca="false">IFERROR('Price History'!C3+(INDEX('Price History'!C:C,MATCH(9.99E+307,'Price History'!$A:$A))-'Price History'!C3)*(ROW()-3)/(MATCH(9.99E+307,'Returns (Calc)'!$A:$A)-3),"")</f>
        <v>35.7241509433962</v>
      </c>
      <c r="Y39" s="145" t="n">
        <f aca="false">IFERROR('Price History'!D3+(INDEX('Price History'!D:D,MATCH(9.99E+307,'Price History'!$A:$A))-'Price History'!D3)*(ROW()-3)/(MATCH(9.99E+307,'Returns (Calc)'!$A:$A)-3),"")</f>
        <v>450.234150943396</v>
      </c>
      <c r="Z39" s="145" t="n">
        <f aca="false">IFERROR('Price History'!E3+(INDEX('Price History'!E:E,MATCH(9.99E+307,'Price History'!$A:$A))-'Price History'!E3)*(ROW()-3)/(MATCH(9.99E+307,'Returns (Calc)'!$A:$A)-3),"")</f>
        <v>63.4339622641509</v>
      </c>
      <c r="AA39" s="145" t="n">
        <f aca="false">IFERROR('Price History'!F3+(INDEX('Price History'!F:F,MATCH(9.99E+307,'Price History'!$A:$A))-'Price History'!F3)*(ROW()-3)/(MATCH(9.99E+307,'Returns (Calc)'!$A:$A)-3),"")</f>
        <v>58.258679245283</v>
      </c>
      <c r="AB39" s="145" t="n">
        <f aca="false">IFERROR('Price History'!G3+(INDEX('Price History'!G:G,MATCH(9.99E+307,'Price History'!$A:$A))-'Price History'!G3)*(ROW()-3)/(MATCH(9.99E+307,'Returns (Calc)'!$A:$A)-3),"")</f>
        <v>31.9954716981132</v>
      </c>
      <c r="AC39" s="145" t="n">
        <f aca="false">IFERROR('Price History'!H3+(INDEX('Price History'!H:H,MATCH(9.99E+307,'Price History'!$A:$A))-'Price History'!H3)*(ROW()-3)/(MATCH(9.99E+307,'Returns (Calc)'!$A:$A)-3),"")</f>
        <v>77.8149056603774</v>
      </c>
      <c r="AD39" s="145" t="n">
        <f aca="false">IFERROR('Price History'!I3+(INDEX('Price History'!I:I,MATCH(9.99E+307,'Price History'!$A:$A))-'Price History'!I3)*(ROW()-3)/(MATCH(9.99E+307,'Returns (Calc)'!$A:$A)-3),"")</f>
        <v>34.3084905660377</v>
      </c>
      <c r="AE39" s="145" t="n">
        <f aca="false">IFERROR('Price History'!J3+(INDEX('Price History'!J:J,MATCH(9.99E+307,'Price History'!$A:$A))-'Price History'!J3)*(ROW()-3)/(MATCH(9.99E+307,'Returns (Calc)'!$A:$A)-3),"")</f>
        <v>53.4624528301887</v>
      </c>
      <c r="AF39" s="145" t="n">
        <f aca="false">IFERROR('Price History'!K3+(INDEX('Price History'!K:K,MATCH(9.99E+307,'Price History'!$A:$A))-'Price History'!K3)*(ROW()-3)/(MATCH(9.99E+307,'Returns (Calc)'!$A:$A)-3),"")</f>
        <v>33.8598113207547</v>
      </c>
      <c r="AG39" s="145" t="n">
        <f aca="false">IFERROR('Price History'!L3+(INDEX('Price History'!L:L,MATCH(9.99E+307,'Price History'!$A:$A))-'Price History'!L3)*(ROW()-3)/(MATCH(9.99E+307,'Returns (Calc)'!$A:$A)-3),"")</f>
        <v>86.5177358490566</v>
      </c>
      <c r="AH39" s="145" t="n">
        <f aca="false">IFERROR('Price History'!M3+(INDEX('Price History'!M:M,MATCH(9.99E+307,'Price History'!$A:$A))-'Price History'!M3)*(ROW()-3)/(MATCH(9.99E+307,'Returns (Calc)'!$A:$A)-3),"")</f>
        <v>11.8590566037736</v>
      </c>
      <c r="AI39" s="145" t="n">
        <f aca="false">IFERROR('Price History'!N3+(INDEX('Price History'!N:N,MATCH(9.99E+307,'Price History'!$A:$A))-'Price History'!N3)*(ROW()-3)/(MATCH(9.99E+307,'Returns (Calc)'!$A:$A)-3),"")</f>
        <v>16.8641509433962</v>
      </c>
      <c r="AJ39" s="145" t="n">
        <f aca="false">IFERROR('Price History'!O3+(INDEX('Price History'!O:O,MATCH(9.99E+307,'Price History'!$A:$A))-'Price History'!O3)*(ROW()-3)/(MATCH(9.99E+307,'Returns (Calc)'!$A:$A)-3),"")</f>
        <v>44.5816981132076</v>
      </c>
      <c r="AK39" s="145" t="n">
        <f aca="false">IFERROR('Price History'!Q3+(INDEX('Price History'!Q:Q,MATCH(9.99E+307,'Price History'!$A:$A))-'Price History'!Q3)*(ROW()-3)/(MATCH(9.99E+307,'Returns (Calc)'!$A:$A)-3),"")</f>
        <v>182.279811320755</v>
      </c>
      <c r="AL39" s="145" t="n">
        <f aca="false">IFERROR('Price History'!R3+(INDEX('Price History'!R:R,MATCH(9.99E+307,'Price History'!$A:$A))-'Price History'!R3)*(ROW()-3)/(MATCH(9.99E+307,'Returns (Calc)'!$A:$A)-3),"")</f>
        <v>36.9928301886793</v>
      </c>
      <c r="AM39" s="145" t="n">
        <f aca="false">IFERROR('Price History'!S3+(INDEX('Price History'!S:S,MATCH(9.99E+307,'Price History'!$A:$A))-'Price History'!S3)*(ROW()-3)/(MATCH(9.99E+307,'Returns (Calc)'!$A:$A)-3),"")</f>
        <v>45.2856603773585</v>
      </c>
      <c r="AN39" s="145" t="n">
        <f aca="false">IFERROR('Price History'!T3+(INDEX('Price History'!T:T,MATCH(9.99E+307,'Price History'!$A:$A))-'Price History'!T3)*(ROW()-3)/(MATCH(9.99E+307,'Returns (Calc)'!$A:$A)-3),"")</f>
        <v>20.8171698113208</v>
      </c>
      <c r="AO39" s="146" t="n">
        <f aca="false">IFERROR('Price History'!V3+(INDEX('Price History'!V:V,MATCH(9.99E+307,'Price History'!$A:$A))-'Price History'!V3)*(ROW()-3)/(MATCH(9.99E+307,'Returns (Calc)'!$A:$A)-3),"")</f>
        <v>0</v>
      </c>
    </row>
    <row r="40" customFormat="false" ht="15" hidden="false" customHeight="true" outlineLevel="0" collapsed="false">
      <c r="A40" s="142" t="n">
        <f aca="false">IF('Price History'!A41="","",'Price History'!A41)</f>
        <v>45450</v>
      </c>
      <c r="B40" s="143" t="n">
        <f aca="false">IFERROR(IF(OR(NOT(ISNUMBER('Price History'!B41)),NOT(ISNUMBER('Price History'!B40)),'Price History'!B40=0),"",'Price History'!B41/'Price History'!B40-1),"")</f>
        <v>0.0464745031027971</v>
      </c>
      <c r="C40" s="143" t="n">
        <f aca="false">IFERROR(IF(OR(NOT(ISNUMBER('Price History'!C41)),NOT(ISNUMBER('Price History'!C40)),'Price History'!C40=0),"",'Price History'!C41/'Price History'!C40-1),"")</f>
        <v>-0.00282220131702715</v>
      </c>
      <c r="D40" s="143" t="n">
        <f aca="false">IFERROR(IF(OR(NOT(ISNUMBER('Price History'!D41)),NOT(ISNUMBER('Price History'!D40)),'Price History'!D40=0),"",'Price History'!D41/'Price History'!D40-1),"")</f>
        <v>0.0708868546941461</v>
      </c>
      <c r="E40" s="143" t="n">
        <f aca="false">IFERROR(IF(OR(NOT(ISNUMBER('Price History'!E41)),NOT(ISNUMBER('Price History'!E40)),'Price History'!E40=0),"",'Price History'!E41/'Price History'!E40-1),"")</f>
        <v>0.058805394990366</v>
      </c>
      <c r="F40" s="143" t="n">
        <f aca="false">IFERROR(IF(OR(NOT(ISNUMBER('Price History'!F41)),NOT(ISNUMBER('Price History'!F40)),'Price History'!F40=0),"",'Price History'!F41/'Price History'!F40-1),"")</f>
        <v>-0.0340972610396869</v>
      </c>
      <c r="G40" s="143" t="n">
        <f aca="false">IFERROR(IF(OR(NOT(ISNUMBER('Price History'!G41)),NOT(ISNUMBER('Price History'!G40)),'Price History'!G40=0),"",'Price History'!G41/'Price History'!G40-1),"")</f>
        <v>0.112981382300434</v>
      </c>
      <c r="H40" s="143" t="n">
        <f aca="false">IFERROR(IF(OR(NOT(ISNUMBER('Price History'!H41)),NOT(ISNUMBER('Price History'!H40)),'Price History'!H40=0),"",'Price History'!H41/'Price History'!H40-1),"")</f>
        <v>-0.0202180028129396</v>
      </c>
      <c r="I40" s="143" t="n">
        <f aca="false">IFERROR(IF(OR(NOT(ISNUMBER('Price History'!I41)),NOT(ISNUMBER('Price History'!I40)),'Price History'!I40=0),"",'Price History'!I41/'Price History'!I40-1),"")</f>
        <v>0.0123175793278887</v>
      </c>
      <c r="J40" s="143" t="n">
        <f aca="false">IFERROR(IF(OR(NOT(ISNUMBER('Price History'!J41)),NOT(ISNUMBER('Price History'!J40)),'Price History'!J40=0),"",'Price History'!J41/'Price History'!J40-1),"")</f>
        <v>0.0475384739344129</v>
      </c>
      <c r="K40" s="143" t="n">
        <f aca="false">IFERROR(IF(OR(NOT(ISNUMBER('Price History'!K41)),NOT(ISNUMBER('Price History'!K40)),'Price History'!K40=0),"",'Price History'!K41/'Price History'!K40-1),"")</f>
        <v>0.102634467618002</v>
      </c>
      <c r="L40" s="143" t="n">
        <f aca="false">IFERROR(IF(OR(NOT(ISNUMBER('Price History'!L41)),NOT(ISNUMBER('Price History'!L40)),'Price History'!L40=0),"",'Price History'!L41/'Price History'!L40-1),"")</f>
        <v>-0.00265460623340863</v>
      </c>
      <c r="M40" s="143" t="n">
        <f aca="false">IFERROR(IF(OR(NOT(ISNUMBER('Price History'!M41)),NOT(ISNUMBER('Price History'!M40)),'Price History'!M40=0),"",'Price History'!M41/'Price History'!M40-1),"")</f>
        <v>0.0751845018450184</v>
      </c>
      <c r="N40" s="143" t="n">
        <f aca="false">IFERROR(IF(OR(NOT(ISNUMBER('Price History'!N41)),NOT(ISNUMBER('Price History'!N40)),'Price History'!N40=0),"",'Price History'!N41/'Price History'!N40-1),"")</f>
        <v>-0.00878661087866095</v>
      </c>
      <c r="O40" s="143" t="n">
        <f aca="false">IFERROR(IF(OR(NOT(ISNUMBER('Price History'!O41)),NOT(ISNUMBER('Price History'!O40)),'Price History'!O40=0),"",'Price History'!O41/'Price History'!O40-1),"")</f>
        <v>0.03037120359955</v>
      </c>
      <c r="P40" s="143" t="n">
        <f aca="false">IFERROR(IF(OR(NOT(ISNUMBER('Price History'!P41)),NOT(ISNUMBER('Price History'!P40)),'Price History'!P40=0),"",'Price History'!P41/'Price History'!P40-1),"")</f>
        <v>0.0883879781420764</v>
      </c>
      <c r="Q40" s="143" t="n">
        <f aca="false">IFERROR(IF(OR(NOT(ISNUMBER('Price History'!Q41)),NOT(ISNUMBER('Price History'!Q40)),'Price History'!Q40=0),"",'Price History'!Q41/'Price History'!Q40-1),"")</f>
        <v>0.0227713901747051</v>
      </c>
      <c r="R40" s="143" t="n">
        <f aca="false">IFERROR(IF(OR(NOT(ISNUMBER('Price History'!R41)),NOT(ISNUMBER('Price History'!R40)),'Price History'!R40=0),"",'Price History'!R41/'Price History'!R40-1),"")</f>
        <v>0.00170907709836698</v>
      </c>
      <c r="S40" s="143" t="n">
        <f aca="false">IFERROR(IF(OR(NOT(ISNUMBER('Price History'!S41)),NOT(ISNUMBER('Price History'!S40)),'Price History'!S40=0),"",'Price History'!S41/'Price History'!S40-1),"")</f>
        <v>0.00986244484817012</v>
      </c>
      <c r="T40" s="143" t="n">
        <f aca="false">IFERROR(IF(OR(NOT(ISNUMBER('Price History'!T41)),NOT(ISNUMBER('Price History'!T40)),'Price History'!T40=0),"",'Price History'!T41/'Price History'!T40-1),"")</f>
        <v>-0.0156449553001278</v>
      </c>
      <c r="U40" s="143" t="str">
        <f aca="false">IFERROR(IF(OR(NOT(ISNUMBER('Price History'!U41)),NOT(ISNUMBER('Price History'!U40)),'Price History'!U40=0),"",'Price History'!U41/'Price History'!U40-1),"")</f>
        <v/>
      </c>
      <c r="V40" s="144" t="n">
        <f aca="false">IFERROR(IF(OR(NOT(ISNUMBER('Price History'!V41)),NOT(ISNUMBER('Price History'!V40)),'Price History'!V40=0),"",'Price History'!V41/'Price History'!V40-1),"")</f>
        <v>-0.0219376391982181</v>
      </c>
      <c r="W40" s="145" t="str">
        <f aca="false">IFERROR('Price History'!B3+(INDEX('Price History'!B:B,MATCH(9.99E+307,'Price History'!$A:$A))-'Price History'!B3)*(ROW()-3)/(MATCH(9.99E+307,'Returns (Calc)'!$A:$A)-3),"")</f>
        <v/>
      </c>
      <c r="X40" s="145" t="n">
        <f aca="false">IFERROR('Price History'!C3+(INDEX('Price History'!C:C,MATCH(9.99E+307,'Price History'!$A:$A))-'Price History'!C3)*(ROW()-3)/(MATCH(9.99E+307,'Returns (Calc)'!$A:$A)-3),"")</f>
        <v>35.4337106918239</v>
      </c>
      <c r="Y40" s="145" t="n">
        <f aca="false">IFERROR('Price History'!D3+(INDEX('Price History'!D:D,MATCH(9.99E+307,'Price History'!$A:$A))-'Price History'!D3)*(ROW()-3)/(MATCH(9.99E+307,'Returns (Calc)'!$A:$A)-3),"")</f>
        <v>446.573710691824</v>
      </c>
      <c r="Z40" s="145" t="n">
        <f aca="false">IFERROR('Price History'!E3+(INDEX('Price History'!E:E,MATCH(9.99E+307,'Price History'!$A:$A))-'Price History'!E3)*(ROW()-3)/(MATCH(9.99E+307,'Returns (Calc)'!$A:$A)-3),"")</f>
        <v>62.9182389937107</v>
      </c>
      <c r="AA40" s="145" t="n">
        <f aca="false">IFERROR('Price History'!F3+(INDEX('Price History'!F:F,MATCH(9.99E+307,'Price History'!$A:$A))-'Price History'!F3)*(ROW()-3)/(MATCH(9.99E+307,'Returns (Calc)'!$A:$A)-3),"")</f>
        <v>57.7850314465409</v>
      </c>
      <c r="AB40" s="145" t="n">
        <f aca="false">IFERROR('Price History'!G3+(INDEX('Price History'!G:G,MATCH(9.99E+307,'Price History'!$A:$A))-'Price History'!G3)*(ROW()-3)/(MATCH(9.99E+307,'Returns (Calc)'!$A:$A)-3),"")</f>
        <v>31.7353459119497</v>
      </c>
      <c r="AC40" s="145" t="n">
        <f aca="false">IFERROR('Price History'!H3+(INDEX('Price History'!H:H,MATCH(9.99E+307,'Price History'!$A:$A))-'Price History'!H3)*(ROW()-3)/(MATCH(9.99E+307,'Returns (Calc)'!$A:$A)-3),"")</f>
        <v>77.1822641509434</v>
      </c>
      <c r="AD40" s="145" t="n">
        <f aca="false">IFERROR('Price History'!I3+(INDEX('Price History'!I:I,MATCH(9.99E+307,'Price History'!$A:$A))-'Price History'!I3)*(ROW()-3)/(MATCH(9.99E+307,'Returns (Calc)'!$A:$A)-3),"")</f>
        <v>34.0295597484277</v>
      </c>
      <c r="AE40" s="145" t="n">
        <f aca="false">IFERROR('Price History'!J3+(INDEX('Price History'!J:J,MATCH(9.99E+307,'Price History'!$A:$A))-'Price History'!J3)*(ROW()-3)/(MATCH(9.99E+307,'Returns (Calc)'!$A:$A)-3),"")</f>
        <v>53.0277987421384</v>
      </c>
      <c r="AF40" s="145" t="n">
        <f aca="false">IFERROR('Price History'!K3+(INDEX('Price History'!K:K,MATCH(9.99E+307,'Price History'!$A:$A))-'Price History'!K3)*(ROW()-3)/(MATCH(9.99E+307,'Returns (Calc)'!$A:$A)-3),"")</f>
        <v>33.5845283018868</v>
      </c>
      <c r="AG40" s="145" t="n">
        <f aca="false">IFERROR('Price History'!L3+(INDEX('Price History'!L:L,MATCH(9.99E+307,'Price History'!$A:$A))-'Price History'!L3)*(ROW()-3)/(MATCH(9.99E+307,'Returns (Calc)'!$A:$A)-3),"")</f>
        <v>85.8143396226415</v>
      </c>
      <c r="AH40" s="145" t="n">
        <f aca="false">IFERROR('Price History'!M3+(INDEX('Price History'!M:M,MATCH(9.99E+307,'Price History'!$A:$A))-'Price History'!M3)*(ROW()-3)/(MATCH(9.99E+307,'Returns (Calc)'!$A:$A)-3),"")</f>
        <v>11.762641509434</v>
      </c>
      <c r="AI40" s="145" t="n">
        <f aca="false">IFERROR('Price History'!N3+(INDEX('Price History'!N:N,MATCH(9.99E+307,'Price History'!$A:$A))-'Price History'!N3)*(ROW()-3)/(MATCH(9.99E+307,'Returns (Calc)'!$A:$A)-3),"")</f>
        <v>16.7270440251572</v>
      </c>
      <c r="AJ40" s="145" t="n">
        <f aca="false">IFERROR('Price History'!O3+(INDEX('Price History'!O:O,MATCH(9.99E+307,'Price History'!$A:$A))-'Price History'!O3)*(ROW()-3)/(MATCH(9.99E+307,'Returns (Calc)'!$A:$A)-3),"")</f>
        <v>44.2192452830189</v>
      </c>
      <c r="AK40" s="145" t="n">
        <f aca="false">IFERROR('Price History'!Q3+(INDEX('Price History'!Q:Q,MATCH(9.99E+307,'Price History'!$A:$A))-'Price History'!Q3)*(ROW()-3)/(MATCH(9.99E+307,'Returns (Calc)'!$A:$A)-3),"")</f>
        <v>180.79786163522</v>
      </c>
      <c r="AL40" s="145" t="n">
        <f aca="false">IFERROR('Price History'!R3+(INDEX('Price History'!R:R,MATCH(9.99E+307,'Price History'!$A:$A))-'Price History'!R3)*(ROW()-3)/(MATCH(9.99E+307,'Returns (Calc)'!$A:$A)-3),"")</f>
        <v>36.6920754716981</v>
      </c>
      <c r="AM40" s="145" t="n">
        <f aca="false">IFERROR('Price History'!S3+(INDEX('Price History'!S:S,MATCH(9.99E+307,'Price History'!$A:$A))-'Price History'!S3)*(ROW()-3)/(MATCH(9.99E+307,'Returns (Calc)'!$A:$A)-3),"")</f>
        <v>44.9174842767296</v>
      </c>
      <c r="AN40" s="145" t="n">
        <f aca="false">IFERROR('Price History'!T3+(INDEX('Price History'!T:T,MATCH(9.99E+307,'Price History'!$A:$A))-'Price History'!T3)*(ROW()-3)/(MATCH(9.99E+307,'Returns (Calc)'!$A:$A)-3),"")</f>
        <v>20.6479245283019</v>
      </c>
      <c r="AO40" s="146" t="n">
        <f aca="false">IFERROR('Price History'!V3+(INDEX('Price History'!V:V,MATCH(9.99E+307,'Price History'!$A:$A))-'Price History'!V3)*(ROW()-3)/(MATCH(9.99E+307,'Returns (Calc)'!$A:$A)-3),"")</f>
        <v>0</v>
      </c>
    </row>
    <row r="41" customFormat="false" ht="15" hidden="false" customHeight="true" outlineLevel="0" collapsed="false">
      <c r="A41" s="142" t="n">
        <f aca="false">IF('Price History'!A42="","",'Price History'!A42)</f>
        <v>45457</v>
      </c>
      <c r="B41" s="143" t="n">
        <f aca="false">IFERROR(IF(OR(NOT(ISNUMBER('Price History'!B42)),NOT(ISNUMBER('Price History'!B41)),'Price History'!B41=0),"",'Price History'!B42/'Price History'!B41-1),"")</f>
        <v>0.128655222052725</v>
      </c>
      <c r="C41" s="143" t="n">
        <f aca="false">IFERROR(IF(OR(NOT(ISNUMBER('Price History'!C42)),NOT(ISNUMBER('Price History'!C41)),'Price History'!C41=0),"",'Price History'!C42/'Price History'!C41-1),"")</f>
        <v>0.106738544474394</v>
      </c>
      <c r="D41" s="143" t="n">
        <f aca="false">IFERROR(IF(OR(NOT(ISNUMBER('Price History'!D42)),NOT(ISNUMBER('Price History'!D41)),'Price History'!D41=0),"",'Price History'!D42/'Price History'!D41-1),"")</f>
        <v>-0.000505150554675149</v>
      </c>
      <c r="E41" s="143" t="n">
        <f aca="false">IFERROR(IF(OR(NOT(ISNUMBER('Price History'!E42)),NOT(ISNUMBER('Price History'!E41)),'Price History'!E41=0),"",'Price History'!E42/'Price History'!E41-1),"")</f>
        <v>0.233440093172223</v>
      </c>
      <c r="F41" s="143" t="n">
        <f aca="false">IFERROR(IF(OR(NOT(ISNUMBER('Price History'!F42)),NOT(ISNUMBER('Price History'!F41)),'Price History'!F41=0),"",'Price History'!F42/'Price History'!F41-1),"")</f>
        <v>-0.0238425925925926</v>
      </c>
      <c r="G41" s="143" t="n">
        <f aca="false">IFERROR(IF(OR(NOT(ISNUMBER('Price History'!G42)),NOT(ISNUMBER('Price History'!G41)),'Price History'!G41=0),"",'Price History'!G42/'Price History'!G41-1),"")</f>
        <v>0.104032997250229</v>
      </c>
      <c r="H41" s="143" t="n">
        <f aca="false">IFERROR(IF(OR(NOT(ISNUMBER('Price History'!H42)),NOT(ISNUMBER('Price History'!H41)),'Price History'!H41=0),"",'Price History'!H42/'Price History'!H41-1),"")</f>
        <v>-0.0168670375022429</v>
      </c>
      <c r="I41" s="143" t="n">
        <f aca="false">IFERROR(IF(OR(NOT(ISNUMBER('Price History'!I42)),NOT(ISNUMBER('Price History'!I41)),'Price History'!I41=0),"",'Price History'!I42/'Price History'!I41-1),"")</f>
        <v>0.0727417008332232</v>
      </c>
      <c r="J41" s="143" t="n">
        <f aca="false">IFERROR(IF(OR(NOT(ISNUMBER('Price History'!J42)),NOT(ISNUMBER('Price History'!J41)),'Price History'!J41=0),"",'Price History'!J42/'Price History'!J41-1),"")</f>
        <v>0.0795323436658719</v>
      </c>
      <c r="K41" s="143" t="n">
        <f aca="false">IFERROR(IF(OR(NOT(ISNUMBER('Price History'!K42)),NOT(ISNUMBER('Price History'!K41)),'Price History'!K41=0),"",'Price History'!K42/'Price History'!K41-1),"")</f>
        <v>0.0910900945744151</v>
      </c>
      <c r="L41" s="143" t="n">
        <f aca="false">IFERROR(IF(OR(NOT(ISNUMBER('Price History'!L42)),NOT(ISNUMBER('Price History'!L41)),'Price History'!L41=0),"",'Price History'!L42/'Price History'!L41-1),"")</f>
        <v>0.0189274447949528</v>
      </c>
      <c r="M41" s="143" t="n">
        <f aca="false">IFERROR(IF(OR(NOT(ISNUMBER('Price History'!M42)),NOT(ISNUMBER('Price History'!M41)),'Price History'!M41=0),"",'Price History'!M42/'Price History'!M41-1),"")</f>
        <v>0.0111540111540112</v>
      </c>
      <c r="N41" s="143" t="n">
        <f aca="false">IFERROR(IF(OR(NOT(ISNUMBER('Price History'!N42)),NOT(ISNUMBER('Price History'!N41)),'Price History'!N41=0),"",'Price History'!N42/'Price History'!N41-1),"")</f>
        <v>-0.0139299282397637</v>
      </c>
      <c r="O41" s="143" t="n">
        <f aca="false">IFERROR(IF(OR(NOT(ISNUMBER('Price History'!O42)),NOT(ISNUMBER('Price History'!O41)),'Price History'!O41=0),"",'Price History'!O42/'Price History'!O41-1),"")</f>
        <v>0.042212518195051</v>
      </c>
      <c r="P41" s="143" t="n">
        <f aca="false">IFERROR(IF(OR(NOT(ISNUMBER('Price History'!P42)),NOT(ISNUMBER('Price History'!P41)),'Price History'!P41=0),"",'Price History'!P42/'Price History'!P41-1),"")</f>
        <v>0.0526547006401406</v>
      </c>
      <c r="Q41" s="143" t="n">
        <f aca="false">IFERROR(IF(OR(NOT(ISNUMBER('Price History'!Q42)),NOT(ISNUMBER('Price History'!Q41)),'Price History'!Q41=0),"",'Price History'!Q42/'Price History'!Q41-1),"")</f>
        <v>-0.0287247244324403</v>
      </c>
      <c r="R41" s="143" t="n">
        <f aca="false">IFERROR(IF(OR(NOT(ISNUMBER('Price History'!R42)),NOT(ISNUMBER('Price History'!R41)),'Price History'!R41=0),"",'Price History'!R42/'Price History'!R41-1),"")</f>
        <v>0.0138388625592416</v>
      </c>
      <c r="S41" s="143" t="n">
        <f aca="false">IFERROR(IF(OR(NOT(ISNUMBER('Price History'!S42)),NOT(ISNUMBER('Price History'!S41)),'Price History'!S41=0),"",'Price History'!S42/'Price History'!S41-1),"")</f>
        <v>0.0222307890002571</v>
      </c>
      <c r="T41" s="143" t="n">
        <f aca="false">IFERROR(IF(OR(NOT(ISNUMBER('Price History'!T42)),NOT(ISNUMBER('Price History'!T41)),'Price History'!T41=0),"",'Price History'!T42/'Price History'!T41-1),"")</f>
        <v>0.0220564385338957</v>
      </c>
      <c r="U41" s="143" t="str">
        <f aca="false">IFERROR(IF(OR(NOT(ISNUMBER('Price History'!U42)),NOT(ISNUMBER('Price History'!U41)),'Price History'!U41=0),"",'Price History'!U42/'Price History'!U41-1),"")</f>
        <v/>
      </c>
      <c r="V41" s="144" t="n">
        <f aca="false">IFERROR(IF(OR(NOT(ISNUMBER('Price History'!V42)),NOT(ISNUMBER('Price History'!V41)),'Price History'!V41=0),"",'Price History'!V42/'Price History'!V41-1),"")</f>
        <v>0.045618429541918</v>
      </c>
      <c r="W41" s="145" t="str">
        <f aca="false">IFERROR('Price History'!B3+(INDEX('Price History'!B:B,MATCH(9.99E+307,'Price History'!$A:$A))-'Price History'!B3)*(ROW()-3)/(MATCH(9.99E+307,'Returns (Calc)'!$A:$A)-3),"")</f>
        <v/>
      </c>
      <c r="X41" s="145" t="n">
        <f aca="false">IFERROR('Price History'!C3+(INDEX('Price History'!C:C,MATCH(9.99E+307,'Price History'!$A:$A))-'Price History'!C3)*(ROW()-3)/(MATCH(9.99E+307,'Returns (Calc)'!$A:$A)-3),"")</f>
        <v>35.1432704402516</v>
      </c>
      <c r="Y41" s="145" t="n">
        <f aca="false">IFERROR('Price History'!D3+(INDEX('Price History'!D:D,MATCH(9.99E+307,'Price History'!$A:$A))-'Price History'!D3)*(ROW()-3)/(MATCH(9.99E+307,'Returns (Calc)'!$A:$A)-3),"")</f>
        <v>442.913270440252</v>
      </c>
      <c r="Z41" s="145" t="n">
        <f aca="false">IFERROR('Price History'!E3+(INDEX('Price History'!E:E,MATCH(9.99E+307,'Price History'!$A:$A))-'Price History'!E3)*(ROW()-3)/(MATCH(9.99E+307,'Returns (Calc)'!$A:$A)-3),"")</f>
        <v>62.4025157232704</v>
      </c>
      <c r="AA41" s="145" t="n">
        <f aca="false">IFERROR('Price History'!F3+(INDEX('Price History'!F:F,MATCH(9.99E+307,'Price History'!$A:$A))-'Price History'!F3)*(ROW()-3)/(MATCH(9.99E+307,'Returns (Calc)'!$A:$A)-3),"")</f>
        <v>57.3113836477987</v>
      </c>
      <c r="AB41" s="145" t="n">
        <f aca="false">IFERROR('Price History'!G3+(INDEX('Price History'!G:G,MATCH(9.99E+307,'Price History'!$A:$A))-'Price History'!G3)*(ROW()-3)/(MATCH(9.99E+307,'Returns (Calc)'!$A:$A)-3),"")</f>
        <v>31.4752201257862</v>
      </c>
      <c r="AC41" s="145" t="n">
        <f aca="false">IFERROR('Price History'!H3+(INDEX('Price History'!H:H,MATCH(9.99E+307,'Price History'!$A:$A))-'Price History'!H3)*(ROW()-3)/(MATCH(9.99E+307,'Returns (Calc)'!$A:$A)-3),"")</f>
        <v>76.5496226415094</v>
      </c>
      <c r="AD41" s="145" t="n">
        <f aca="false">IFERROR('Price History'!I3+(INDEX('Price History'!I:I,MATCH(9.99E+307,'Price History'!$A:$A))-'Price History'!I3)*(ROW()-3)/(MATCH(9.99E+307,'Returns (Calc)'!$A:$A)-3),"")</f>
        <v>33.7506289308176</v>
      </c>
      <c r="AE41" s="145" t="n">
        <f aca="false">IFERROR('Price History'!J3+(INDEX('Price History'!J:J,MATCH(9.99E+307,'Price History'!$A:$A))-'Price History'!J3)*(ROW()-3)/(MATCH(9.99E+307,'Returns (Calc)'!$A:$A)-3),"")</f>
        <v>52.5931446540881</v>
      </c>
      <c r="AF41" s="145" t="n">
        <f aca="false">IFERROR('Price History'!K3+(INDEX('Price History'!K:K,MATCH(9.99E+307,'Price History'!$A:$A))-'Price History'!K3)*(ROW()-3)/(MATCH(9.99E+307,'Returns (Calc)'!$A:$A)-3),"")</f>
        <v>33.3092452830189</v>
      </c>
      <c r="AG41" s="145" t="n">
        <f aca="false">IFERROR('Price History'!L3+(INDEX('Price History'!L:L,MATCH(9.99E+307,'Price History'!$A:$A))-'Price History'!L3)*(ROW()-3)/(MATCH(9.99E+307,'Returns (Calc)'!$A:$A)-3),"")</f>
        <v>85.1109433962264</v>
      </c>
      <c r="AH41" s="145" t="n">
        <f aca="false">IFERROR('Price History'!M3+(INDEX('Price History'!M:M,MATCH(9.99E+307,'Price History'!$A:$A))-'Price History'!M3)*(ROW()-3)/(MATCH(9.99E+307,'Returns (Calc)'!$A:$A)-3),"")</f>
        <v>11.6662264150943</v>
      </c>
      <c r="AI41" s="145" t="n">
        <f aca="false">IFERROR('Price History'!N3+(INDEX('Price History'!N:N,MATCH(9.99E+307,'Price History'!$A:$A))-'Price History'!N3)*(ROW()-3)/(MATCH(9.99E+307,'Returns (Calc)'!$A:$A)-3),"")</f>
        <v>16.5899371069182</v>
      </c>
      <c r="AJ41" s="145" t="n">
        <f aca="false">IFERROR('Price History'!O3+(INDEX('Price History'!O:O,MATCH(9.99E+307,'Price History'!$A:$A))-'Price History'!O3)*(ROW()-3)/(MATCH(9.99E+307,'Returns (Calc)'!$A:$A)-3),"")</f>
        <v>43.8567924528302</v>
      </c>
      <c r="AK41" s="145" t="n">
        <f aca="false">IFERROR('Price History'!Q3+(INDEX('Price History'!Q:Q,MATCH(9.99E+307,'Price History'!$A:$A))-'Price History'!Q3)*(ROW()-3)/(MATCH(9.99E+307,'Returns (Calc)'!$A:$A)-3),"")</f>
        <v>179.315911949686</v>
      </c>
      <c r="AL41" s="145" t="n">
        <f aca="false">IFERROR('Price History'!R3+(INDEX('Price History'!R:R,MATCH(9.99E+307,'Price History'!$A:$A))-'Price History'!R3)*(ROW()-3)/(MATCH(9.99E+307,'Returns (Calc)'!$A:$A)-3),"")</f>
        <v>36.391320754717</v>
      </c>
      <c r="AM41" s="145" t="n">
        <f aca="false">IFERROR('Price History'!S3+(INDEX('Price History'!S:S,MATCH(9.99E+307,'Price History'!$A:$A))-'Price History'!S3)*(ROW()-3)/(MATCH(9.99E+307,'Returns (Calc)'!$A:$A)-3),"")</f>
        <v>44.5493081761006</v>
      </c>
      <c r="AN41" s="145" t="n">
        <f aca="false">IFERROR('Price History'!T3+(INDEX('Price History'!T:T,MATCH(9.99E+307,'Price History'!$A:$A))-'Price History'!T3)*(ROW()-3)/(MATCH(9.99E+307,'Returns (Calc)'!$A:$A)-3),"")</f>
        <v>20.478679245283</v>
      </c>
      <c r="AO41" s="146" t="n">
        <f aca="false">IFERROR('Price History'!V3+(INDEX('Price History'!V:V,MATCH(9.99E+307,'Price History'!$A:$A))-'Price History'!V3)*(ROW()-3)/(MATCH(9.99E+307,'Returns (Calc)'!$A:$A)-3),"")</f>
        <v>0</v>
      </c>
    </row>
    <row r="42" customFormat="false" ht="15" hidden="false" customHeight="true" outlineLevel="0" collapsed="false">
      <c r="A42" s="142" t="n">
        <f aca="false">IF('Price History'!A43="","",'Price History'!A43)</f>
        <v>45464</v>
      </c>
      <c r="B42" s="143" t="n">
        <f aca="false">IFERROR(IF(OR(NOT(ISNUMBER('Price History'!B43)),NOT(ISNUMBER('Price History'!B42)),'Price History'!B42=0),"",'Price History'!B43/'Price History'!B42-1),"")</f>
        <v>0.0154765757362321</v>
      </c>
      <c r="C42" s="143" t="n">
        <f aca="false">IFERROR(IF(OR(NOT(ISNUMBER('Price History'!C43)),NOT(ISNUMBER('Price History'!C42)),'Price History'!C42=0),"",'Price History'!C43/'Price History'!C42-1),"")</f>
        <v>0.0270336093521675</v>
      </c>
      <c r="D42" s="143" t="n">
        <f aca="false">IFERROR(IF(OR(NOT(ISNUMBER('Price History'!D43)),NOT(ISNUMBER('Price History'!D42)),'Price History'!D42=0),"",'Price History'!D43/'Price History'!D42-1),"")</f>
        <v>0.00846307068745111</v>
      </c>
      <c r="E42" s="143" t="n">
        <f aca="false">IFERROR(IF(OR(NOT(ISNUMBER('Price History'!E43)),NOT(ISNUMBER('Price History'!E42)),'Price History'!E42=0),"",'Price History'!E43/'Price History'!E42-1),"")</f>
        <v>-0.0440247860725876</v>
      </c>
      <c r="F42" s="143" t="n">
        <f aca="false">IFERROR(IF(OR(NOT(ISNUMBER('Price History'!F43)),NOT(ISNUMBER('Price History'!F42)),'Price History'!F42=0),"",'Price History'!F43/'Price History'!F42-1),"")</f>
        <v>0.0107896608963718</v>
      </c>
      <c r="G42" s="143" t="n">
        <f aca="false">IFERROR(IF(OR(NOT(ISNUMBER('Price History'!G43)),NOT(ISNUMBER('Price History'!G42)),'Price History'!G42=0),"",'Price History'!G43/'Price History'!G42-1),"")</f>
        <v>-0.0124533001245331</v>
      </c>
      <c r="H42" s="143" t="n">
        <f aca="false">IFERROR(IF(OR(NOT(ISNUMBER('Price History'!H43)),NOT(ISNUMBER('Price History'!H42)),'Price History'!H42=0),"",'Price History'!H43/'Price History'!H42-1),"")</f>
        <v>0.0137798868406644</v>
      </c>
      <c r="I42" s="143" t="n">
        <f aca="false">IFERROR(IF(OR(NOT(ISNUMBER('Price History'!I43)),NOT(ISNUMBER('Price History'!I42)),'Price History'!I42=0),"",'Price History'!I43/'Price History'!I42-1),"")</f>
        <v>-0.010109727530514</v>
      </c>
      <c r="J42" s="143" t="n">
        <f aca="false">IFERROR(IF(OR(NOT(ISNUMBER('Price History'!J43)),NOT(ISNUMBER('Price History'!J42)),'Price History'!J42=0),"",'Price History'!J43/'Price History'!J42-1),"")</f>
        <v>-0.0128250801567509</v>
      </c>
      <c r="K42" s="143" t="n">
        <f aca="false">IFERROR(IF(OR(NOT(ISNUMBER('Price History'!K43)),NOT(ISNUMBER('Price History'!K42)),'Price History'!K42=0),"",'Price History'!K43/'Price History'!K42-1),"")</f>
        <v>-0.0402980535279807</v>
      </c>
      <c r="L42" s="143" t="n">
        <f aca="false">IFERROR(IF(OR(NOT(ISNUMBER('Price History'!L43)),NOT(ISNUMBER('Price History'!L42)),'Price History'!L42=0),"",'Price History'!L43/'Price History'!L42-1),"")</f>
        <v>-0.0173181114551084</v>
      </c>
      <c r="M42" s="143" t="n">
        <f aca="false">IFERROR(IF(OR(NOT(ISNUMBER('Price History'!M43)),NOT(ISNUMBER('Price History'!M42)),'Price History'!M42=0),"",'Price History'!M43/'Price History'!M42-1),"")</f>
        <v>0.0114552397114978</v>
      </c>
      <c r="N42" s="143" t="n">
        <f aca="false">IFERROR(IF(OR(NOT(ISNUMBER('Price History'!N43)),NOT(ISNUMBER('Price History'!N42)),'Price History'!N42=0),"",'Price History'!N43/'Price History'!N42-1),"")</f>
        <v>0.0171232876712331</v>
      </c>
      <c r="O42" s="143" t="n">
        <f aca="false">IFERROR(IF(OR(NOT(ISNUMBER('Price History'!O43)),NOT(ISNUMBER('Price History'!O42)),'Price History'!O42=0),"",'Price History'!O43/'Price History'!O42-1),"")</f>
        <v>-0.000814711359404141</v>
      </c>
      <c r="P42" s="143" t="n">
        <f aca="false">IFERROR(IF(OR(NOT(ISNUMBER('Price History'!P43)),NOT(ISNUMBER('Price History'!P42)),'Price History'!P42=0),"",'Price History'!P43/'Price History'!P42-1),"")</f>
        <v>0.00840636737614031</v>
      </c>
      <c r="Q42" s="143" t="n">
        <f aca="false">IFERROR(IF(OR(NOT(ISNUMBER('Price History'!Q43)),NOT(ISNUMBER('Price History'!Q42)),'Price History'!Q42=0),"",'Price History'!Q43/'Price History'!Q42-1),"")</f>
        <v>0.0168351433617675</v>
      </c>
      <c r="R42" s="143" t="n">
        <f aca="false">IFERROR(IF(OR(NOT(ISNUMBER('Price History'!R43)),NOT(ISNUMBER('Price History'!R42)),'Price History'!R42=0),"",'Price History'!R43/'Price History'!R42-1),"")</f>
        <v>0.011967090501122</v>
      </c>
      <c r="S42" s="143" t="n">
        <f aca="false">IFERROR(IF(OR(NOT(ISNUMBER('Price History'!S43)),NOT(ISNUMBER('Price History'!S42)),'Price History'!S42=0),"",'Price History'!S43/'Price History'!S42-1),"")</f>
        <v>0.0150848522941547</v>
      </c>
      <c r="T42" s="143" t="n">
        <f aca="false">IFERROR(IF(OR(NOT(ISNUMBER('Price History'!T43)),NOT(ISNUMBER('Price History'!T42)),'Price History'!T42=0),"",'Price History'!T43/'Price History'!T42-1),"")</f>
        <v>0.00920342748333858</v>
      </c>
      <c r="U42" s="143" t="str">
        <f aca="false">IFERROR(IF(OR(NOT(ISNUMBER('Price History'!U43)),NOT(ISNUMBER('Price History'!U42)),'Price History'!U42=0),"",'Price History'!U43/'Price History'!U42-1),"")</f>
        <v/>
      </c>
      <c r="V42" s="144" t="n">
        <f aca="false">IFERROR(IF(OR(NOT(ISNUMBER('Price History'!V43)),NOT(ISNUMBER('Price History'!V42)),'Price History'!V42=0),"",'Price History'!V43/'Price History'!V42-1),"")</f>
        <v>-0.000435555878189553</v>
      </c>
      <c r="W42" s="145" t="str">
        <f aca="false">IFERROR('Price History'!B3+(INDEX('Price History'!B:B,MATCH(9.99E+307,'Price History'!$A:$A))-'Price History'!B3)*(ROW()-3)/(MATCH(9.99E+307,'Returns (Calc)'!$A:$A)-3),"")</f>
        <v/>
      </c>
      <c r="X42" s="145" t="n">
        <f aca="false">IFERROR('Price History'!C3+(INDEX('Price History'!C:C,MATCH(9.99E+307,'Price History'!$A:$A))-'Price History'!C3)*(ROW()-3)/(MATCH(9.99E+307,'Returns (Calc)'!$A:$A)-3),"")</f>
        <v>34.8528301886793</v>
      </c>
      <c r="Y42" s="145" t="n">
        <f aca="false">IFERROR('Price History'!D3+(INDEX('Price History'!D:D,MATCH(9.99E+307,'Price History'!$A:$A))-'Price History'!D3)*(ROW()-3)/(MATCH(9.99E+307,'Returns (Calc)'!$A:$A)-3),"")</f>
        <v>439.252830188679</v>
      </c>
      <c r="Z42" s="145" t="n">
        <f aca="false">IFERROR('Price History'!E3+(INDEX('Price History'!E:E,MATCH(9.99E+307,'Price History'!$A:$A))-'Price History'!E3)*(ROW()-3)/(MATCH(9.99E+307,'Returns (Calc)'!$A:$A)-3),"")</f>
        <v>61.8867924528302</v>
      </c>
      <c r="AA42" s="145" t="n">
        <f aca="false">IFERROR('Price History'!F3+(INDEX('Price History'!F:F,MATCH(9.99E+307,'Price History'!$A:$A))-'Price History'!F3)*(ROW()-3)/(MATCH(9.99E+307,'Returns (Calc)'!$A:$A)-3),"")</f>
        <v>56.8377358490566</v>
      </c>
      <c r="AB42" s="145" t="n">
        <f aca="false">IFERROR('Price History'!G3+(INDEX('Price History'!G:G,MATCH(9.99E+307,'Price History'!$A:$A))-'Price History'!G3)*(ROW()-3)/(MATCH(9.99E+307,'Returns (Calc)'!$A:$A)-3),"")</f>
        <v>31.2150943396226</v>
      </c>
      <c r="AC42" s="145" t="n">
        <f aca="false">IFERROR('Price History'!H3+(INDEX('Price History'!H:H,MATCH(9.99E+307,'Price History'!$A:$A))-'Price History'!H3)*(ROW()-3)/(MATCH(9.99E+307,'Returns (Calc)'!$A:$A)-3),"")</f>
        <v>75.9169811320755</v>
      </c>
      <c r="AD42" s="145" t="n">
        <f aca="false">IFERROR('Price History'!I3+(INDEX('Price History'!I:I,MATCH(9.99E+307,'Price History'!$A:$A))-'Price History'!I3)*(ROW()-3)/(MATCH(9.99E+307,'Returns (Calc)'!$A:$A)-3),"")</f>
        <v>33.4716981132076</v>
      </c>
      <c r="AE42" s="145" t="n">
        <f aca="false">IFERROR('Price History'!J3+(INDEX('Price History'!J:J,MATCH(9.99E+307,'Price History'!$A:$A))-'Price History'!J3)*(ROW()-3)/(MATCH(9.99E+307,'Returns (Calc)'!$A:$A)-3),"")</f>
        <v>52.1584905660377</v>
      </c>
      <c r="AF42" s="145" t="n">
        <f aca="false">IFERROR('Price History'!K3+(INDEX('Price History'!K:K,MATCH(9.99E+307,'Price History'!$A:$A))-'Price History'!K3)*(ROW()-3)/(MATCH(9.99E+307,'Returns (Calc)'!$A:$A)-3),"")</f>
        <v>33.0339622641509</v>
      </c>
      <c r="AG42" s="145" t="n">
        <f aca="false">IFERROR('Price History'!L3+(INDEX('Price History'!L:L,MATCH(9.99E+307,'Price History'!$A:$A))-'Price History'!L3)*(ROW()-3)/(MATCH(9.99E+307,'Returns (Calc)'!$A:$A)-3),"")</f>
        <v>84.4075471698113</v>
      </c>
      <c r="AH42" s="145" t="n">
        <f aca="false">IFERROR('Price History'!M3+(INDEX('Price History'!M:M,MATCH(9.99E+307,'Price History'!$A:$A))-'Price History'!M3)*(ROW()-3)/(MATCH(9.99E+307,'Returns (Calc)'!$A:$A)-3),"")</f>
        <v>11.5698113207547</v>
      </c>
      <c r="AI42" s="145" t="n">
        <f aca="false">IFERROR('Price History'!N3+(INDEX('Price History'!N:N,MATCH(9.99E+307,'Price History'!$A:$A))-'Price History'!N3)*(ROW()-3)/(MATCH(9.99E+307,'Returns (Calc)'!$A:$A)-3),"")</f>
        <v>16.4528301886792</v>
      </c>
      <c r="AJ42" s="145" t="n">
        <f aca="false">IFERROR('Price History'!O3+(INDEX('Price History'!O:O,MATCH(9.99E+307,'Price History'!$A:$A))-'Price History'!O3)*(ROW()-3)/(MATCH(9.99E+307,'Returns (Calc)'!$A:$A)-3),"")</f>
        <v>43.4943396226415</v>
      </c>
      <c r="AK42" s="145" t="n">
        <f aca="false">IFERROR('Price History'!Q3+(INDEX('Price History'!Q:Q,MATCH(9.99E+307,'Price History'!$A:$A))-'Price History'!Q3)*(ROW()-3)/(MATCH(9.99E+307,'Returns (Calc)'!$A:$A)-3),"")</f>
        <v>177.833962264151</v>
      </c>
      <c r="AL42" s="145" t="n">
        <f aca="false">IFERROR('Price History'!R3+(INDEX('Price History'!R:R,MATCH(9.99E+307,'Price History'!$A:$A))-'Price History'!R3)*(ROW()-3)/(MATCH(9.99E+307,'Returns (Calc)'!$A:$A)-3),"")</f>
        <v>36.0905660377359</v>
      </c>
      <c r="AM42" s="145" t="n">
        <f aca="false">IFERROR('Price History'!S3+(INDEX('Price History'!S:S,MATCH(9.99E+307,'Price History'!$A:$A))-'Price History'!S3)*(ROW()-3)/(MATCH(9.99E+307,'Returns (Calc)'!$A:$A)-3),"")</f>
        <v>44.1811320754717</v>
      </c>
      <c r="AN42" s="145" t="n">
        <f aca="false">IFERROR('Price History'!T3+(INDEX('Price History'!T:T,MATCH(9.99E+307,'Price History'!$A:$A))-'Price History'!T3)*(ROW()-3)/(MATCH(9.99E+307,'Returns (Calc)'!$A:$A)-3),"")</f>
        <v>20.3094339622642</v>
      </c>
      <c r="AO42" s="146" t="n">
        <f aca="false">IFERROR('Price History'!V3+(INDEX('Price History'!V:V,MATCH(9.99E+307,'Price History'!$A:$A))-'Price History'!V3)*(ROW()-3)/(MATCH(9.99E+307,'Returns (Calc)'!$A:$A)-3),"")</f>
        <v>0</v>
      </c>
    </row>
    <row r="43" customFormat="false" ht="15" hidden="false" customHeight="true" outlineLevel="0" collapsed="false">
      <c r="A43" s="142" t="n">
        <f aca="false">IF('Price History'!A44="","",'Price History'!A44)</f>
        <v>45471</v>
      </c>
      <c r="B43" s="143" t="n">
        <f aca="false">IFERROR(IF(OR(NOT(ISNUMBER('Price History'!B44)),NOT(ISNUMBER('Price History'!B43)),'Price History'!B43=0),"",'Price History'!B44/'Price History'!B43-1),"")</f>
        <v>0.0414292141571684</v>
      </c>
      <c r="C43" s="143" t="n">
        <f aca="false">IFERROR(IF(OR(NOT(ISNUMBER('Price History'!C44)),NOT(ISNUMBER('Price History'!C43)),'Price History'!C43=0),"",'Price History'!C44/'Price History'!C43-1),"")</f>
        <v>0.0388902063078018</v>
      </c>
      <c r="D43" s="143" t="n">
        <f aca="false">IFERROR(IF(OR(NOT(ISNUMBER('Price History'!D44)),NOT(ISNUMBER('Price History'!D43)),'Price History'!D43=0),"",'Price History'!D44/'Price History'!D43-1),"")</f>
        <v>-0.0133840393856314</v>
      </c>
      <c r="E43" s="143" t="n">
        <f aca="false">IFERROR(IF(OR(NOT(ISNUMBER('Price History'!E44)),NOT(ISNUMBER('Price History'!E43)),'Price History'!E43=0),"",'Price History'!E44/'Price History'!E43-1),"")</f>
        <v>-0.0289524044694117</v>
      </c>
      <c r="F43" s="143" t="n">
        <f aca="false">IFERROR(IF(OR(NOT(ISNUMBER('Price History'!F44)),NOT(ISNUMBER('Price History'!F43)),'Price History'!F43=0),"",'Price History'!F44/'Price History'!F43-1),"")</f>
        <v>0.0166568914956011</v>
      </c>
      <c r="G43" s="143" t="n">
        <f aca="false">IFERROR(IF(OR(NOT(ISNUMBER('Price History'!G44)),NOT(ISNUMBER('Price History'!G43)),'Price History'!G43=0),"",'Price History'!G44/'Price History'!G43-1),"")</f>
        <v>0.00672551492223628</v>
      </c>
      <c r="H43" s="143" t="n">
        <f aca="false">IFERROR(IF(OR(NOT(ISNUMBER('Price History'!H44)),NOT(ISNUMBER('Price History'!H43)),'Price History'!H43=0),"",'Price History'!H44/'Price History'!H43-1),"")</f>
        <v>0.00297056440723731</v>
      </c>
      <c r="I43" s="143" t="n">
        <f aca="false">IFERROR(IF(OR(NOT(ISNUMBER('Price History'!I44)),NOT(ISNUMBER('Price History'!I43)),'Price History'!I43=0),"",'Price History'!I44/'Price History'!I43-1),"")</f>
        <v>0.00983933241997748</v>
      </c>
      <c r="J43" s="143" t="n">
        <f aca="false">IFERROR(IF(OR(NOT(ISNUMBER('Price History'!J44)),NOT(ISNUMBER('Price History'!J43)),'Price History'!J43=0),"",'Price History'!J44/'Price History'!J43-1),"")</f>
        <v>-0.0574521833273187</v>
      </c>
      <c r="K43" s="143" t="n">
        <f aca="false">IFERROR(IF(OR(NOT(ISNUMBER('Price History'!K44)),NOT(ISNUMBER('Price History'!K43)),'Price History'!K43=0),"",'Price History'!K44/'Price History'!K43-1),"")</f>
        <v>-0.0239264775788306</v>
      </c>
      <c r="L43" s="143" t="n">
        <f aca="false">IFERROR(IF(OR(NOT(ISNUMBER('Price History'!L44)),NOT(ISNUMBER('Price History'!L43)),'Price History'!L43=0),"",'Price History'!L44/'Price History'!L43-1),"")</f>
        <v>0.0265826523579797</v>
      </c>
      <c r="M43" s="143" t="n">
        <f aca="false">IFERROR(IF(OR(NOT(ISNUMBER('Price History'!M44)),NOT(ISNUMBER('Price History'!M43)),'Price History'!M43=0),"",'Price History'!M44/'Price History'!M43-1),"")</f>
        <v>0.0625</v>
      </c>
      <c r="N43" s="143" t="n">
        <f aca="false">IFERROR(IF(OR(NOT(ISNUMBER('Price History'!N44)),NOT(ISNUMBER('Price History'!N43)),'Price History'!N43=0),"",'Price History'!N44/'Price History'!N43-1),"")</f>
        <v>0.00589225589225584</v>
      </c>
      <c r="O43" s="143" t="n">
        <f aca="false">IFERROR(IF(OR(NOT(ISNUMBER('Price History'!O44)),NOT(ISNUMBER('Price History'!O43)),'Price History'!O43=0),"",'Price History'!O44/'Price History'!O43-1),"")</f>
        <v>0.00186371578334321</v>
      </c>
      <c r="P43" s="143" t="n">
        <f aca="false">IFERROR(IF(OR(NOT(ISNUMBER('Price History'!P44)),NOT(ISNUMBER('Price History'!P43)),'Price History'!P43=0),"",'Price History'!P44/'Price History'!P43-1),"")</f>
        <v>-0.000827716684403401</v>
      </c>
      <c r="Q43" s="143" t="n">
        <f aca="false">IFERROR(IF(OR(NOT(ISNUMBER('Price History'!Q44)),NOT(ISNUMBER('Price History'!Q43)),'Price History'!Q43=0),"",'Price History'!Q44/'Price History'!Q43-1),"")</f>
        <v>-0.0463431760227649</v>
      </c>
      <c r="R43" s="143" t="n">
        <f aca="false">IFERROR(IF(OR(NOT(ISNUMBER('Price History'!R44)),NOT(ISNUMBER('Price History'!R43)),'Price History'!R43=0),"",'Price History'!R44/'Price History'!R43-1),"")</f>
        <v>0.00480413895048049</v>
      </c>
      <c r="S43" s="143" t="n">
        <f aca="false">IFERROR(IF(OR(NOT(ISNUMBER('Price History'!S44)),NOT(ISNUMBER('Price History'!S43)),'Price History'!S43=0),"",'Price History'!S44/'Price History'!S43-1),"")</f>
        <v>0.0194427244582043</v>
      </c>
      <c r="T43" s="143" t="n">
        <f aca="false">IFERROR(IF(OR(NOT(ISNUMBER('Price History'!T44)),NOT(ISNUMBER('Price History'!T43)),'Price History'!T43=0),"",'Price History'!T44/'Price History'!T43-1),"")</f>
        <v>-0.0169811320754717</v>
      </c>
      <c r="U43" s="143" t="str">
        <f aca="false">IFERROR(IF(OR(NOT(ISNUMBER('Price History'!U44)),NOT(ISNUMBER('Price History'!U43)),'Price History'!U43=0),"",'Price History'!U44/'Price History'!U43-1),"")</f>
        <v/>
      </c>
      <c r="V43" s="144" t="n">
        <f aca="false">IFERROR(IF(OR(NOT(ISNUMBER('Price History'!V44)),NOT(ISNUMBER('Price History'!V43)),'Price History'!V43=0),"",'Price History'!V44/'Price History'!V43-1),"")</f>
        <v>-0.0200443008097606</v>
      </c>
      <c r="W43" s="145" t="str">
        <f aca="false">IFERROR('Price History'!B3+(INDEX('Price History'!B:B,MATCH(9.99E+307,'Price History'!$A:$A))-'Price History'!B3)*(ROW()-3)/(MATCH(9.99E+307,'Returns (Calc)'!$A:$A)-3),"")</f>
        <v/>
      </c>
      <c r="X43" s="145" t="n">
        <f aca="false">IFERROR('Price History'!C3+(INDEX('Price History'!C:C,MATCH(9.99E+307,'Price History'!$A:$A))-'Price History'!C3)*(ROW()-3)/(MATCH(9.99E+307,'Returns (Calc)'!$A:$A)-3),"")</f>
        <v>34.5623899371069</v>
      </c>
      <c r="Y43" s="145" t="n">
        <f aca="false">IFERROR('Price History'!D3+(INDEX('Price History'!D:D,MATCH(9.99E+307,'Price History'!$A:$A))-'Price History'!D3)*(ROW()-3)/(MATCH(9.99E+307,'Returns (Calc)'!$A:$A)-3),"")</f>
        <v>435.592389937107</v>
      </c>
      <c r="Z43" s="145" t="n">
        <f aca="false">IFERROR('Price History'!E3+(INDEX('Price History'!E:E,MATCH(9.99E+307,'Price History'!$A:$A))-'Price History'!E3)*(ROW()-3)/(MATCH(9.99E+307,'Returns (Calc)'!$A:$A)-3),"")</f>
        <v>61.3710691823899</v>
      </c>
      <c r="AA43" s="145" t="n">
        <f aca="false">IFERROR('Price History'!F3+(INDEX('Price History'!F:F,MATCH(9.99E+307,'Price History'!$A:$A))-'Price History'!F3)*(ROW()-3)/(MATCH(9.99E+307,'Returns (Calc)'!$A:$A)-3),"")</f>
        <v>56.3640880503145</v>
      </c>
      <c r="AB43" s="145" t="n">
        <f aca="false">IFERROR('Price History'!G3+(INDEX('Price History'!G:G,MATCH(9.99E+307,'Price History'!$A:$A))-'Price History'!G3)*(ROW()-3)/(MATCH(9.99E+307,'Returns (Calc)'!$A:$A)-3),"")</f>
        <v>30.9549685534591</v>
      </c>
      <c r="AC43" s="145" t="n">
        <f aca="false">IFERROR('Price History'!H3+(INDEX('Price History'!H:H,MATCH(9.99E+307,'Price History'!$A:$A))-'Price History'!H3)*(ROW()-3)/(MATCH(9.99E+307,'Returns (Calc)'!$A:$A)-3),"")</f>
        <v>75.2843396226415</v>
      </c>
      <c r="AD43" s="145" t="n">
        <f aca="false">IFERROR('Price History'!I3+(INDEX('Price History'!I:I,MATCH(9.99E+307,'Price History'!$A:$A))-'Price History'!I3)*(ROW()-3)/(MATCH(9.99E+307,'Returns (Calc)'!$A:$A)-3),"")</f>
        <v>33.1927672955975</v>
      </c>
      <c r="AE43" s="145" t="n">
        <f aca="false">IFERROR('Price History'!J3+(INDEX('Price History'!J:J,MATCH(9.99E+307,'Price History'!$A:$A))-'Price History'!J3)*(ROW()-3)/(MATCH(9.99E+307,'Returns (Calc)'!$A:$A)-3),"")</f>
        <v>51.7238364779874</v>
      </c>
      <c r="AF43" s="145" t="n">
        <f aca="false">IFERROR('Price History'!K3+(INDEX('Price History'!K:K,MATCH(9.99E+307,'Price History'!$A:$A))-'Price History'!K3)*(ROW()-3)/(MATCH(9.99E+307,'Returns (Calc)'!$A:$A)-3),"")</f>
        <v>32.758679245283</v>
      </c>
      <c r="AG43" s="145" t="n">
        <f aca="false">IFERROR('Price History'!L3+(INDEX('Price History'!L:L,MATCH(9.99E+307,'Price History'!$A:$A))-'Price History'!L3)*(ROW()-3)/(MATCH(9.99E+307,'Returns (Calc)'!$A:$A)-3),"")</f>
        <v>83.7041509433962</v>
      </c>
      <c r="AH43" s="145" t="n">
        <f aca="false">IFERROR('Price History'!M3+(INDEX('Price History'!M:M,MATCH(9.99E+307,'Price History'!$A:$A))-'Price History'!M3)*(ROW()-3)/(MATCH(9.99E+307,'Returns (Calc)'!$A:$A)-3),"")</f>
        <v>11.4733962264151</v>
      </c>
      <c r="AI43" s="145" t="n">
        <f aca="false">IFERROR('Price History'!N3+(INDEX('Price History'!N:N,MATCH(9.99E+307,'Price History'!$A:$A))-'Price History'!N3)*(ROW()-3)/(MATCH(9.99E+307,'Returns (Calc)'!$A:$A)-3),"")</f>
        <v>16.3157232704403</v>
      </c>
      <c r="AJ43" s="145" t="n">
        <f aca="false">IFERROR('Price History'!O3+(INDEX('Price History'!O:O,MATCH(9.99E+307,'Price History'!$A:$A))-'Price History'!O3)*(ROW()-3)/(MATCH(9.99E+307,'Returns (Calc)'!$A:$A)-3),"")</f>
        <v>43.1318867924528</v>
      </c>
      <c r="AK43" s="145" t="n">
        <f aca="false">IFERROR('Price History'!Q3+(INDEX('Price History'!Q:Q,MATCH(9.99E+307,'Price History'!$A:$A))-'Price History'!Q3)*(ROW()-3)/(MATCH(9.99E+307,'Returns (Calc)'!$A:$A)-3),"")</f>
        <v>176.352012578616</v>
      </c>
      <c r="AL43" s="145" t="n">
        <f aca="false">IFERROR('Price History'!R3+(INDEX('Price History'!R:R,MATCH(9.99E+307,'Price History'!$A:$A))-'Price History'!R3)*(ROW()-3)/(MATCH(9.99E+307,'Returns (Calc)'!$A:$A)-3),"")</f>
        <v>35.7898113207547</v>
      </c>
      <c r="AM43" s="145" t="n">
        <f aca="false">IFERROR('Price History'!S3+(INDEX('Price History'!S:S,MATCH(9.99E+307,'Price History'!$A:$A))-'Price History'!S3)*(ROW()-3)/(MATCH(9.99E+307,'Returns (Calc)'!$A:$A)-3),"")</f>
        <v>43.8129559748428</v>
      </c>
      <c r="AN43" s="145" t="n">
        <f aca="false">IFERROR('Price History'!T3+(INDEX('Price History'!T:T,MATCH(9.99E+307,'Price History'!$A:$A))-'Price History'!T3)*(ROW()-3)/(MATCH(9.99E+307,'Returns (Calc)'!$A:$A)-3),"")</f>
        <v>20.1401886792453</v>
      </c>
      <c r="AO43" s="146" t="n">
        <f aca="false">IFERROR('Price History'!V3+(INDEX('Price History'!V:V,MATCH(9.99E+307,'Price History'!$A:$A))-'Price History'!V3)*(ROW()-3)/(MATCH(9.99E+307,'Returns (Calc)'!$A:$A)-3),"")</f>
        <v>0</v>
      </c>
    </row>
    <row r="44" customFormat="false" ht="15" hidden="false" customHeight="true" outlineLevel="0" collapsed="false">
      <c r="A44" s="142" t="n">
        <f aca="false">IF('Price History'!A45="","",'Price History'!A45)</f>
        <v>45478</v>
      </c>
      <c r="B44" s="143" t="n">
        <f aca="false">IFERROR(IF(OR(NOT(ISNUMBER('Price History'!B45)),NOT(ISNUMBER('Price History'!B44)),'Price History'!B44=0),"",'Price History'!B45/'Price History'!B44-1),"")</f>
        <v>0.0410411491521765</v>
      </c>
      <c r="C44" s="143" t="n">
        <f aca="false">IFERROR(IF(OR(NOT(ISNUMBER('Price History'!C45)),NOT(ISNUMBER('Price History'!C44)),'Price History'!C44=0),"",'Price History'!C45/'Price History'!C44-1),"")</f>
        <v>0.0447386441451723</v>
      </c>
      <c r="D44" s="143" t="n">
        <f aca="false">IFERROR(IF(OR(NOT(ISNUMBER('Price History'!D45)),NOT(ISNUMBER('Price History'!D44)),'Price History'!D44=0),"",'Price History'!D45/'Price History'!D44-1),"")</f>
        <v>0.0505971056065178</v>
      </c>
      <c r="E44" s="143" t="n">
        <f aca="false">IFERROR(IF(OR(NOT(ISNUMBER('Price History'!E45)),NOT(ISNUMBER('Price History'!E44)),'Price History'!E44=0),"",'Price History'!E45/'Price History'!E44-1),"")</f>
        <v>0.0609027336300063</v>
      </c>
      <c r="F44" s="143" t="n">
        <f aca="false">IFERROR(IF(OR(NOT(ISNUMBER('Price History'!F45)),NOT(ISNUMBER('Price History'!F44)),'Price History'!F44=0),"",'Price History'!F45/'Price History'!F44-1),"")</f>
        <v>-0.0164993654090229</v>
      </c>
      <c r="G44" s="143" t="n">
        <f aca="false">IFERROR(IF(OR(NOT(ISNUMBER('Price History'!G45)),NOT(ISNUMBER('Price History'!G44)),'Price History'!G44=0),"",'Price History'!G45/'Price History'!G44-1),"")</f>
        <v>0.016910229645094</v>
      </c>
      <c r="H44" s="143" t="n">
        <f aca="false">IFERROR(IF(OR(NOT(ISNUMBER('Price History'!H45)),NOT(ISNUMBER('Price History'!H44)),'Price History'!H44=0),"",'Price History'!H45/'Price History'!H44-1),"")</f>
        <v>-0.00816729492012203</v>
      </c>
      <c r="I44" s="143" t="n">
        <f aca="false">IFERROR(IF(OR(NOT(ISNUMBER('Price History'!I45)),NOT(ISNUMBER('Price History'!I44)),'Price History'!I44=0),"",'Price History'!I45/'Price History'!I44-1),"")</f>
        <v>0.0372471632955105</v>
      </c>
      <c r="J44" s="143" t="n">
        <f aca="false">IFERROR(IF(OR(NOT(ISNUMBER('Price History'!J45)),NOT(ISNUMBER('Price History'!J44)),'Price History'!J44=0),"",'Price History'!J45/'Price History'!J44-1),"")</f>
        <v>0.000536028792403664</v>
      </c>
      <c r="K44" s="143" t="n">
        <f aca="false">IFERROR(IF(OR(NOT(ISNUMBER('Price History'!K45)),NOT(ISNUMBER('Price History'!K44)),'Price History'!K44=0),"",'Price History'!K45/'Price History'!K44-1),"")</f>
        <v>0.0185064935064936</v>
      </c>
      <c r="L44" s="143" t="n">
        <f aca="false">IFERROR(IF(OR(NOT(ISNUMBER('Price History'!L45)),NOT(ISNUMBER('Price History'!L44)),'Price History'!L44=0),"",'Price History'!L45/'Price History'!L44-1),"")</f>
        <v>0.0191809724753045</v>
      </c>
      <c r="M44" s="143" t="n">
        <f aca="false">IFERROR(IF(OR(NOT(ISNUMBER('Price History'!M45)),NOT(ISNUMBER('Price History'!M44)),'Price History'!M44=0),"",'Price History'!M45/'Price History'!M44-1),"")</f>
        <v>0.0750098697197001</v>
      </c>
      <c r="N44" s="143" t="n">
        <f aca="false">IFERROR(IF(OR(NOT(ISNUMBER('Price History'!N45)),NOT(ISNUMBER('Price History'!N44)),'Price History'!N44=0),"",'Price History'!N45/'Price History'!N44-1),"")</f>
        <v>-0.00920502092050202</v>
      </c>
      <c r="O44" s="143" t="n">
        <f aca="false">IFERROR(IF(OR(NOT(ISNUMBER('Price History'!O45)),NOT(ISNUMBER('Price History'!O44)),'Price History'!O44=0),"",'Price History'!O45/'Price History'!O44-1),"")</f>
        <v>0.0310429019881409</v>
      </c>
      <c r="P44" s="143" t="n">
        <f aca="false">IFERROR(IF(OR(NOT(ISNUMBER('Price History'!P45)),NOT(ISNUMBER('Price History'!P44)),'Price History'!P44=0),"",'Price History'!P45/'Price History'!P44-1),"")</f>
        <v>0.0585798816568048</v>
      </c>
      <c r="Q44" s="143" t="n">
        <f aca="false">IFERROR(IF(OR(NOT(ISNUMBER('Price History'!Q45)),NOT(ISNUMBER('Price History'!Q44)),'Price History'!Q44=0),"",'Price History'!Q45/'Price History'!Q44-1),"")</f>
        <v>0.0300716915326487</v>
      </c>
      <c r="R44" s="143" t="n">
        <f aca="false">IFERROR(IF(OR(NOT(ISNUMBER('Price History'!R45)),NOT(ISNUMBER('Price History'!R44)),'Price History'!R44=0),"",'Price History'!R45/'Price History'!R44-1),"")</f>
        <v>-0.00349393159249733</v>
      </c>
      <c r="S44" s="143" t="n">
        <f aca="false">IFERROR(IF(OR(NOT(ISNUMBER('Price History'!S45)),NOT(ISNUMBER('Price History'!S44)),'Price History'!S44=0),"",'Price History'!S45/'Price History'!S44-1),"")</f>
        <v>-0.0109329446064139</v>
      </c>
      <c r="T44" s="143" t="n">
        <f aca="false">IFERROR(IF(OR(NOT(ISNUMBER('Price History'!T45)),NOT(ISNUMBER('Price History'!T44)),'Price History'!T44=0),"",'Price History'!T45/'Price History'!T44-1),"")</f>
        <v>0.0115163147792705</v>
      </c>
      <c r="U44" s="143" t="str">
        <f aca="false">IFERROR(IF(OR(NOT(ISNUMBER('Price History'!U45)),NOT(ISNUMBER('Price History'!U44)),'Price History'!U44=0),"",'Price History'!U45/'Price History'!U44-1),"")</f>
        <v/>
      </c>
      <c r="V44" s="144" t="n">
        <f aca="false">IFERROR(IF(OR(NOT(ISNUMBER('Price History'!V45)),NOT(ISNUMBER('Price History'!V44)),'Price History'!V44=0),"",'Price History'!V45/'Price History'!V44-1),"")</f>
        <v>-0.00737392077667032</v>
      </c>
      <c r="W44" s="145" t="str">
        <f aca="false">IFERROR('Price History'!B3+(INDEX('Price History'!B:B,MATCH(9.99E+307,'Price History'!$A:$A))-'Price History'!B3)*(ROW()-3)/(MATCH(9.99E+307,'Returns (Calc)'!$A:$A)-3),"")</f>
        <v/>
      </c>
      <c r="X44" s="145" t="n">
        <f aca="false">IFERROR('Price History'!C3+(INDEX('Price History'!C:C,MATCH(9.99E+307,'Price History'!$A:$A))-'Price History'!C3)*(ROW()-3)/(MATCH(9.99E+307,'Returns (Calc)'!$A:$A)-3),"")</f>
        <v>34.2719496855346</v>
      </c>
      <c r="Y44" s="145" t="n">
        <f aca="false">IFERROR('Price History'!D3+(INDEX('Price History'!D:D,MATCH(9.99E+307,'Price History'!$A:$A))-'Price History'!D3)*(ROW()-3)/(MATCH(9.99E+307,'Returns (Calc)'!$A:$A)-3),"")</f>
        <v>431.931949685535</v>
      </c>
      <c r="Z44" s="145" t="n">
        <f aca="false">IFERROR('Price History'!E3+(INDEX('Price History'!E:E,MATCH(9.99E+307,'Price History'!$A:$A))-'Price History'!E3)*(ROW()-3)/(MATCH(9.99E+307,'Returns (Calc)'!$A:$A)-3),"")</f>
        <v>60.8553459119497</v>
      </c>
      <c r="AA44" s="145" t="n">
        <f aca="false">IFERROR('Price History'!F3+(INDEX('Price History'!F:F,MATCH(9.99E+307,'Price History'!$A:$A))-'Price History'!F3)*(ROW()-3)/(MATCH(9.99E+307,'Returns (Calc)'!$A:$A)-3),"")</f>
        <v>55.8904402515723</v>
      </c>
      <c r="AB44" s="145" t="n">
        <f aca="false">IFERROR('Price History'!G3+(INDEX('Price History'!G:G,MATCH(9.99E+307,'Price History'!$A:$A))-'Price History'!G3)*(ROW()-3)/(MATCH(9.99E+307,'Returns (Calc)'!$A:$A)-3),"")</f>
        <v>30.6948427672956</v>
      </c>
      <c r="AC44" s="145" t="n">
        <f aca="false">IFERROR('Price History'!H3+(INDEX('Price History'!H:H,MATCH(9.99E+307,'Price History'!$A:$A))-'Price History'!H3)*(ROW()-3)/(MATCH(9.99E+307,'Returns (Calc)'!$A:$A)-3),"")</f>
        <v>74.6516981132075</v>
      </c>
      <c r="AD44" s="145" t="n">
        <f aca="false">IFERROR('Price History'!I3+(INDEX('Price History'!I:I,MATCH(9.99E+307,'Price History'!$A:$A))-'Price History'!I3)*(ROW()-3)/(MATCH(9.99E+307,'Returns (Calc)'!$A:$A)-3),"")</f>
        <v>32.9138364779874</v>
      </c>
      <c r="AE44" s="145" t="n">
        <f aca="false">IFERROR('Price History'!J3+(INDEX('Price History'!J:J,MATCH(9.99E+307,'Price History'!$A:$A))-'Price History'!J3)*(ROW()-3)/(MATCH(9.99E+307,'Returns (Calc)'!$A:$A)-3),"")</f>
        <v>51.2891823899371</v>
      </c>
      <c r="AF44" s="145" t="n">
        <f aca="false">IFERROR('Price History'!K3+(INDEX('Price History'!K:K,MATCH(9.99E+307,'Price History'!$A:$A))-'Price History'!K3)*(ROW()-3)/(MATCH(9.99E+307,'Returns (Calc)'!$A:$A)-3),"")</f>
        <v>32.4833962264151</v>
      </c>
      <c r="AG44" s="145" t="n">
        <f aca="false">IFERROR('Price History'!L3+(INDEX('Price History'!L:L,MATCH(9.99E+307,'Price History'!$A:$A))-'Price History'!L3)*(ROW()-3)/(MATCH(9.99E+307,'Returns (Calc)'!$A:$A)-3),"")</f>
        <v>83.0007547169811</v>
      </c>
      <c r="AH44" s="145" t="n">
        <f aca="false">IFERROR('Price History'!M3+(INDEX('Price History'!M:M,MATCH(9.99E+307,'Price History'!$A:$A))-'Price History'!M3)*(ROW()-3)/(MATCH(9.99E+307,'Returns (Calc)'!$A:$A)-3),"")</f>
        <v>11.3769811320755</v>
      </c>
      <c r="AI44" s="145" t="n">
        <f aca="false">IFERROR('Price History'!N3+(INDEX('Price History'!N:N,MATCH(9.99E+307,'Price History'!$A:$A))-'Price History'!N3)*(ROW()-3)/(MATCH(9.99E+307,'Returns (Calc)'!$A:$A)-3),"")</f>
        <v>16.1786163522013</v>
      </c>
      <c r="AJ44" s="145" t="n">
        <f aca="false">IFERROR('Price History'!O3+(INDEX('Price History'!O:O,MATCH(9.99E+307,'Price History'!$A:$A))-'Price History'!O3)*(ROW()-3)/(MATCH(9.99E+307,'Returns (Calc)'!$A:$A)-3),"")</f>
        <v>42.7694339622642</v>
      </c>
      <c r="AK44" s="145" t="n">
        <f aca="false">IFERROR('Price History'!Q3+(INDEX('Price History'!Q:Q,MATCH(9.99E+307,'Price History'!$A:$A))-'Price History'!Q3)*(ROW()-3)/(MATCH(9.99E+307,'Returns (Calc)'!$A:$A)-3),"")</f>
        <v>174.870062893082</v>
      </c>
      <c r="AL44" s="145" t="n">
        <f aca="false">IFERROR('Price History'!R3+(INDEX('Price History'!R:R,MATCH(9.99E+307,'Price History'!$A:$A))-'Price History'!R3)*(ROW()-3)/(MATCH(9.99E+307,'Returns (Calc)'!$A:$A)-3),"")</f>
        <v>35.4890566037736</v>
      </c>
      <c r="AM44" s="145" t="n">
        <f aca="false">IFERROR('Price History'!S3+(INDEX('Price History'!S:S,MATCH(9.99E+307,'Price History'!$A:$A))-'Price History'!S3)*(ROW()-3)/(MATCH(9.99E+307,'Returns (Calc)'!$A:$A)-3),"")</f>
        <v>43.4447798742138</v>
      </c>
      <c r="AN44" s="145" t="n">
        <f aca="false">IFERROR('Price History'!T3+(INDEX('Price History'!T:T,MATCH(9.99E+307,'Price History'!$A:$A))-'Price History'!T3)*(ROW()-3)/(MATCH(9.99E+307,'Returns (Calc)'!$A:$A)-3),"")</f>
        <v>19.9709433962264</v>
      </c>
      <c r="AO44" s="146" t="n">
        <f aca="false">IFERROR('Price History'!V3+(INDEX('Price History'!V:V,MATCH(9.99E+307,'Price History'!$A:$A))-'Price History'!V3)*(ROW()-3)/(MATCH(9.99E+307,'Returns (Calc)'!$A:$A)-3),"")</f>
        <v>0</v>
      </c>
    </row>
    <row r="45" customFormat="false" ht="15" hidden="false" customHeight="true" outlineLevel="0" collapsed="false">
      <c r="A45" s="142" t="n">
        <f aca="false">IF('Price History'!A46="","",'Price History'!A46)</f>
        <v>45485</v>
      </c>
      <c r="B45" s="143" t="n">
        <f aca="false">IFERROR(IF(OR(NOT(ISNUMBER('Price History'!B46)),NOT(ISNUMBER('Price History'!B45)),'Price History'!B45=0),"",'Price History'!B46/'Price History'!B45-1),"")</f>
        <v>-0.0333540823736903</v>
      </c>
      <c r="C45" s="143" t="n">
        <f aca="false">IFERROR(IF(OR(NOT(ISNUMBER('Price History'!C46)),NOT(ISNUMBER('Price History'!C45)),'Price History'!C45=0),"",'Price History'!C46/'Price History'!C45-1),"")</f>
        <v>-0.0116888791785013</v>
      </c>
      <c r="D45" s="143" t="n">
        <f aca="false">IFERROR(IF(OR(NOT(ISNUMBER('Price History'!D46)),NOT(ISNUMBER('Price History'!D45)),'Price History'!D45=0),"",'Price History'!D46/'Price History'!D45-1),"")</f>
        <v>0.0100397227936786</v>
      </c>
      <c r="E45" s="143" t="n">
        <f aca="false">IFERROR(IF(OR(NOT(ISNUMBER('Price History'!E46)),NOT(ISNUMBER('Price History'!E45)),'Price History'!E45=0),"",'Price History'!E46/'Price History'!E45-1),"")</f>
        <v>-0.00155800575263654</v>
      </c>
      <c r="F45" s="143" t="n">
        <f aca="false">IFERROR(IF(OR(NOT(ISNUMBER('Price History'!F46)),NOT(ISNUMBER('Price History'!F45)),'Price History'!F45=0),"",'Price History'!F46/'Price History'!F45-1),"")</f>
        <v>0.0557250117315815</v>
      </c>
      <c r="G45" s="143" t="n">
        <f aca="false">IFERROR(IF(OR(NOT(ISNUMBER('Price History'!G46)),NOT(ISNUMBER('Price History'!G45)),'Price History'!G45=0),"",'Price History'!G46/'Price History'!G45-1),"")</f>
        <v>-0.0471155820160132</v>
      </c>
      <c r="H45" s="143" t="n">
        <f aca="false">IFERROR(IF(OR(NOT(ISNUMBER('Price History'!H46)),NOT(ISNUMBER('Price History'!H45)),'Price History'!H45=0),"",'Price History'!H46/'Price History'!H45-1),"")</f>
        <v>0.0420776400325762</v>
      </c>
      <c r="I45" s="143" t="n">
        <f aca="false">IFERROR(IF(OR(NOT(ISNUMBER('Price History'!I46)),NOT(ISNUMBER('Price History'!I45)),'Price History'!I45=0),"",'Price History'!I46/'Price History'!I45-1),"")</f>
        <v>0.00285374554102269</v>
      </c>
      <c r="J45" s="143" t="n">
        <f aca="false">IFERROR(IF(OR(NOT(ISNUMBER('Price History'!J46)),NOT(ISNUMBER('Price History'!J45)),'Price History'!J45=0),"",'Price History'!J46/'Price History'!J45-1),"")</f>
        <v>0.0157661105158426</v>
      </c>
      <c r="K45" s="143" t="n">
        <f aca="false">IFERROR(IF(OR(NOT(ISNUMBER('Price History'!K46)),NOT(ISNUMBER('Price History'!K45)),'Price History'!K45=0),"",'Price History'!K46/'Price History'!K45-1),"")</f>
        <v>0.0270959515460631</v>
      </c>
      <c r="L45" s="143" t="n">
        <f aca="false">IFERROR(IF(OR(NOT(ISNUMBER('Price History'!L46)),NOT(ISNUMBER('Price History'!L45)),'Price History'!L45=0),"",'Price History'!L46/'Price History'!L45-1),"")</f>
        <v>0.0496847652206645</v>
      </c>
      <c r="M45" s="143" t="n">
        <f aca="false">IFERROR(IF(OR(NOT(ISNUMBER('Price History'!M46)),NOT(ISNUMBER('Price History'!M45)),'Price History'!M45=0),"",'Price History'!M46/'Price History'!M45-1),"")</f>
        <v>0.0308483290488433</v>
      </c>
      <c r="N45" s="143" t="n">
        <f aca="false">IFERROR(IF(OR(NOT(ISNUMBER('Price History'!N46)),NOT(ISNUMBER('Price History'!N45)),'Price History'!N45=0),"",'Price History'!N46/'Price History'!N45-1),"")</f>
        <v>0.0337837837837838</v>
      </c>
      <c r="O45" s="143" t="n">
        <f aca="false">IFERROR(IF(OR(NOT(ISNUMBER('Price History'!O46)),NOT(ISNUMBER('Price History'!O45)),'Price History'!O45=0),"",'Price History'!O46/'Price History'!O45-1),"")</f>
        <v>-0.00202976995940463</v>
      </c>
      <c r="P45" s="143" t="n">
        <f aca="false">IFERROR(IF(OR(NOT(ISNUMBER('Price History'!P46)),NOT(ISNUMBER('Price History'!P45)),'Price History'!P45=0),"",'Price History'!P46/'Price History'!P45-1),"")</f>
        <v>0.0182224706539966</v>
      </c>
      <c r="Q45" s="143" t="n">
        <f aca="false">IFERROR(IF(OR(NOT(ISNUMBER('Price History'!Q46)),NOT(ISNUMBER('Price History'!Q45)),'Price History'!Q45=0),"",'Price History'!Q46/'Price History'!Q45-1),"")</f>
        <v>-0.0170798690794177</v>
      </c>
      <c r="R45" s="143" t="n">
        <f aca="false">IFERROR(IF(OR(NOT(ISNUMBER('Price History'!R46)),NOT(ISNUMBER('Price History'!R45)),'Price History'!R45=0),"",'Price History'!R46/'Price History'!R45-1),"")</f>
        <v>0.00553607676693124</v>
      </c>
      <c r="S45" s="143" t="n">
        <f aca="false">IFERROR(IF(OR(NOT(ISNUMBER('Price History'!S46)),NOT(ISNUMBER('Price History'!S45)),'Price History'!S45=0),"",'Price History'!S46/'Price History'!S45-1),"")</f>
        <v>0.0303365266519282</v>
      </c>
      <c r="T45" s="143" t="n">
        <f aca="false">IFERROR(IF(OR(NOT(ISNUMBER('Price History'!T46)),NOT(ISNUMBER('Price History'!T45)),'Price History'!T45=0),"",'Price History'!T46/'Price History'!T45-1),"")</f>
        <v>-0.0211891208096142</v>
      </c>
      <c r="U45" s="143" t="str">
        <f aca="false">IFERROR(IF(OR(NOT(ISNUMBER('Price History'!U46)),NOT(ISNUMBER('Price History'!U45)),'Price History'!U45=0),"",'Price History'!U46/'Price History'!U45-1),"")</f>
        <v/>
      </c>
      <c r="V45" s="144" t="n">
        <f aca="false">IFERROR(IF(OR(NOT(ISNUMBER('Price History'!V46)),NOT(ISNUMBER('Price History'!V45)),'Price History'!V45=0),"",'Price History'!V46/'Price History'!V45-1),"")</f>
        <v>0.0227713901747051</v>
      </c>
      <c r="W45" s="145" t="str">
        <f aca="false">IFERROR('Price History'!B3+(INDEX('Price History'!B:B,MATCH(9.99E+307,'Price History'!$A:$A))-'Price History'!B3)*(ROW()-3)/(MATCH(9.99E+307,'Returns (Calc)'!$A:$A)-3),"")</f>
        <v/>
      </c>
      <c r="X45" s="145" t="n">
        <f aca="false">IFERROR('Price History'!C3+(INDEX('Price History'!C:C,MATCH(9.99E+307,'Price History'!$A:$A))-'Price History'!C3)*(ROW()-3)/(MATCH(9.99E+307,'Returns (Calc)'!$A:$A)-3),"")</f>
        <v>33.9815094339623</v>
      </c>
      <c r="Y45" s="145" t="n">
        <f aca="false">IFERROR('Price History'!D3+(INDEX('Price History'!D:D,MATCH(9.99E+307,'Price History'!$A:$A))-'Price History'!D3)*(ROW()-3)/(MATCH(9.99E+307,'Returns (Calc)'!$A:$A)-3),"")</f>
        <v>428.271509433962</v>
      </c>
      <c r="Z45" s="145" t="n">
        <f aca="false">IFERROR('Price History'!E3+(INDEX('Price History'!E:E,MATCH(9.99E+307,'Price History'!$A:$A))-'Price History'!E3)*(ROW()-3)/(MATCH(9.99E+307,'Returns (Calc)'!$A:$A)-3),"")</f>
        <v>60.3396226415094</v>
      </c>
      <c r="AA45" s="145" t="n">
        <f aca="false">IFERROR('Price History'!F3+(INDEX('Price History'!F:F,MATCH(9.99E+307,'Price History'!$A:$A))-'Price History'!F3)*(ROW()-3)/(MATCH(9.99E+307,'Returns (Calc)'!$A:$A)-3),"")</f>
        <v>55.4167924528302</v>
      </c>
      <c r="AB45" s="145" t="n">
        <f aca="false">IFERROR('Price History'!G3+(INDEX('Price History'!G:G,MATCH(9.99E+307,'Price History'!$A:$A))-'Price History'!G3)*(ROW()-3)/(MATCH(9.99E+307,'Returns (Calc)'!$A:$A)-3),"")</f>
        <v>30.4347169811321</v>
      </c>
      <c r="AC45" s="145" t="n">
        <f aca="false">IFERROR('Price History'!H3+(INDEX('Price History'!H:H,MATCH(9.99E+307,'Price History'!$A:$A))-'Price History'!H3)*(ROW()-3)/(MATCH(9.99E+307,'Returns (Calc)'!$A:$A)-3),"")</f>
        <v>74.0190566037736</v>
      </c>
      <c r="AD45" s="145" t="n">
        <f aca="false">IFERROR('Price History'!I3+(INDEX('Price History'!I:I,MATCH(9.99E+307,'Price History'!$A:$A))-'Price History'!I3)*(ROW()-3)/(MATCH(9.99E+307,'Returns (Calc)'!$A:$A)-3),"")</f>
        <v>32.6349056603774</v>
      </c>
      <c r="AE45" s="145" t="n">
        <f aca="false">IFERROR('Price History'!J3+(INDEX('Price History'!J:J,MATCH(9.99E+307,'Price History'!$A:$A))-'Price History'!J3)*(ROW()-3)/(MATCH(9.99E+307,'Returns (Calc)'!$A:$A)-3),"")</f>
        <v>50.8545283018868</v>
      </c>
      <c r="AF45" s="145" t="n">
        <f aca="false">IFERROR('Price History'!K3+(INDEX('Price History'!K:K,MATCH(9.99E+307,'Price History'!$A:$A))-'Price History'!K3)*(ROW()-3)/(MATCH(9.99E+307,'Returns (Calc)'!$A:$A)-3),"")</f>
        <v>32.2081132075472</v>
      </c>
      <c r="AG45" s="145" t="n">
        <f aca="false">IFERROR('Price History'!L3+(INDEX('Price History'!L:L,MATCH(9.99E+307,'Price History'!$A:$A))-'Price History'!L3)*(ROW()-3)/(MATCH(9.99E+307,'Returns (Calc)'!$A:$A)-3),"")</f>
        <v>82.297358490566</v>
      </c>
      <c r="AH45" s="145" t="n">
        <f aca="false">IFERROR('Price History'!M3+(INDEX('Price History'!M:M,MATCH(9.99E+307,'Price History'!$A:$A))-'Price History'!M3)*(ROW()-3)/(MATCH(9.99E+307,'Returns (Calc)'!$A:$A)-3),"")</f>
        <v>11.2805660377358</v>
      </c>
      <c r="AI45" s="145" t="n">
        <f aca="false">IFERROR('Price History'!N3+(INDEX('Price History'!N:N,MATCH(9.99E+307,'Price History'!$A:$A))-'Price History'!N3)*(ROW()-3)/(MATCH(9.99E+307,'Returns (Calc)'!$A:$A)-3),"")</f>
        <v>16.0415094339623</v>
      </c>
      <c r="AJ45" s="145" t="n">
        <f aca="false">IFERROR('Price History'!O3+(INDEX('Price History'!O:O,MATCH(9.99E+307,'Price History'!$A:$A))-'Price History'!O3)*(ROW()-3)/(MATCH(9.99E+307,'Returns (Calc)'!$A:$A)-3),"")</f>
        <v>42.4069811320755</v>
      </c>
      <c r="AK45" s="145" t="n">
        <f aca="false">IFERROR('Price History'!Q3+(INDEX('Price History'!Q:Q,MATCH(9.99E+307,'Price History'!$A:$A))-'Price History'!Q3)*(ROW()-3)/(MATCH(9.99E+307,'Returns (Calc)'!$A:$A)-3),"")</f>
        <v>173.388113207547</v>
      </c>
      <c r="AL45" s="145" t="n">
        <f aca="false">IFERROR('Price History'!R3+(INDEX('Price History'!R:R,MATCH(9.99E+307,'Price History'!$A:$A))-'Price History'!R3)*(ROW()-3)/(MATCH(9.99E+307,'Returns (Calc)'!$A:$A)-3),"")</f>
        <v>35.1883018867925</v>
      </c>
      <c r="AM45" s="145" t="n">
        <f aca="false">IFERROR('Price History'!S3+(INDEX('Price History'!S:S,MATCH(9.99E+307,'Price History'!$A:$A))-'Price History'!S3)*(ROW()-3)/(MATCH(9.99E+307,'Returns (Calc)'!$A:$A)-3),"")</f>
        <v>43.0766037735849</v>
      </c>
      <c r="AN45" s="145" t="n">
        <f aca="false">IFERROR('Price History'!T3+(INDEX('Price History'!T:T,MATCH(9.99E+307,'Price History'!$A:$A))-'Price History'!T3)*(ROW()-3)/(MATCH(9.99E+307,'Returns (Calc)'!$A:$A)-3),"")</f>
        <v>19.8016981132075</v>
      </c>
      <c r="AO45" s="146" t="n">
        <f aca="false">IFERROR('Price History'!V3+(INDEX('Price History'!V:V,MATCH(9.99E+307,'Price History'!$A:$A))-'Price History'!V3)*(ROW()-3)/(MATCH(9.99E+307,'Returns (Calc)'!$A:$A)-3),"")</f>
        <v>0</v>
      </c>
    </row>
    <row r="46" customFormat="false" ht="15" hidden="false" customHeight="true" outlineLevel="0" collapsed="false">
      <c r="A46" s="142" t="n">
        <f aca="false">IF('Price History'!A47="","",'Price History'!A47)</f>
        <v>45492</v>
      </c>
      <c r="B46" s="143" t="n">
        <f aca="false">IFERROR(IF(OR(NOT(ISNUMBER('Price History'!B47)),NOT(ISNUMBER('Price History'!B46)),'Price History'!B46=0),"",'Price History'!B47/'Price History'!B46-1),"")</f>
        <v>-0.0143994276003935</v>
      </c>
      <c r="C46" s="143" t="n">
        <f aca="false">IFERROR(IF(OR(NOT(ISNUMBER('Price History'!C47)),NOT(ISNUMBER('Price History'!C46)),'Price History'!C46=0),"",'Price History'!C47/'Price History'!C46-1),"")</f>
        <v>-0.0865480269702664</v>
      </c>
      <c r="D46" s="143" t="n">
        <f aca="false">IFERROR(IF(OR(NOT(ISNUMBER('Price History'!D47)),NOT(ISNUMBER('Price History'!D46)),'Price History'!D46=0),"",'Price History'!D47/'Price History'!D46-1),"")</f>
        <v>-0.174976534634879</v>
      </c>
      <c r="E46" s="143" t="n">
        <f aca="false">IFERROR(IF(OR(NOT(ISNUMBER('Price History'!E47)),NOT(ISNUMBER('Price History'!E46)),'Price History'!E46=0),"",'Price History'!E47/'Price History'!E46-1),"")</f>
        <v>-0.0747809386628257</v>
      </c>
      <c r="F46" s="143" t="n">
        <f aca="false">IFERROR(IF(OR(NOT(ISNUMBER('Price History'!F47)),NOT(ISNUMBER('Price History'!F46)),'Price History'!F46=0),"",'Price History'!F47/'Price History'!F46-1),"")</f>
        <v>0.0264473830425604</v>
      </c>
      <c r="G46" s="143" t="n">
        <f aca="false">IFERROR(IF(OR(NOT(ISNUMBER('Price History'!G47)),NOT(ISNUMBER('Price History'!G46)),'Price History'!G46=0),"",'Price History'!G47/'Price History'!G46-1),"")</f>
        <v>-0.178713777873532</v>
      </c>
      <c r="H46" s="143" t="n">
        <f aca="false">IFERROR(IF(OR(NOT(ISNUMBER('Price History'!H47)),NOT(ISNUMBER('Price History'!H46)),'Price History'!H46=0),"",'Price History'!H47/'Price History'!H46-1),"")</f>
        <v>0.0141542202153526</v>
      </c>
      <c r="I46" s="143" t="n">
        <f aca="false">IFERROR(IF(OR(NOT(ISNUMBER('Price History'!I47)),NOT(ISNUMBER('Price History'!I46)),'Price History'!I46=0),"",'Price History'!I47/'Price History'!I46-1),"")</f>
        <v>-0.110979369219825</v>
      </c>
      <c r="J46" s="143" t="n">
        <f aca="false">IFERROR(IF(OR(NOT(ISNUMBER('Price History'!J47)),NOT(ISNUMBER('Price History'!J46)),'Price History'!J46=0),"",'Price History'!J47/'Price History'!J46-1),"")</f>
        <v>-0.144439421338156</v>
      </c>
      <c r="K46" s="143" t="n">
        <f aca="false">IFERROR(IF(OR(NOT(ISNUMBER('Price History'!K47)),NOT(ISNUMBER('Price History'!K46)),'Price History'!K46=0),"",'Price History'!K47/'Price History'!K46-1),"")</f>
        <v>-0.0875232774674115</v>
      </c>
      <c r="L46" s="143" t="n">
        <f aca="false">IFERROR(IF(OR(NOT(ISNUMBER('Price History'!L47)),NOT(ISNUMBER('Price History'!L46)),'Price History'!L46=0),"",'Price History'!L47/'Price History'!L46-1),"")</f>
        <v>0.0300313760645452</v>
      </c>
      <c r="M46" s="143" t="n">
        <f aca="false">IFERROR(IF(OR(NOT(ISNUMBER('Price History'!M47)),NOT(ISNUMBER('Price History'!M46)),'Price History'!M46=0),"",'Price History'!M47/'Price History'!M46-1),"")</f>
        <v>0.0181688635553972</v>
      </c>
      <c r="N46" s="143" t="n">
        <f aca="false">IFERROR(IF(OR(NOT(ISNUMBER('Price History'!N47)),NOT(ISNUMBER('Price History'!N46)),'Price History'!N46=0),"",'Price History'!N47/'Price History'!N46-1),"")</f>
        <v>0.0183823529411764</v>
      </c>
      <c r="O46" s="143" t="n">
        <f aca="false">IFERROR(IF(OR(NOT(ISNUMBER('Price History'!O47)),NOT(ISNUMBER('Price History'!O46)),'Price History'!O46=0),"",'Price History'!O47/'Price History'!O46-1),"")</f>
        <v>-0.0404519774011299</v>
      </c>
      <c r="P46" s="143" t="n">
        <f aca="false">IFERROR(IF(OR(NOT(ISNUMBER('Price History'!P47)),NOT(ISNUMBER('Price History'!P46)),'Price History'!P46=0),"",'Price History'!P47/'Price History'!P46-1),"")</f>
        <v>-0.115173473869126</v>
      </c>
      <c r="Q46" s="143" t="n">
        <f aca="false">IFERROR(IF(OR(NOT(ISNUMBER('Price History'!Q47)),NOT(ISNUMBER('Price History'!Q46)),'Price History'!Q46=0),"",'Price History'!Q47/'Price History'!Q46-1),"")</f>
        <v>-0.00107168829180526</v>
      </c>
      <c r="R46" s="143" t="n">
        <f aca="false">IFERROR(IF(OR(NOT(ISNUMBER('Price History'!R47)),NOT(ISNUMBER('Price History'!R46)),'Price History'!R46=0),"",'Price History'!R47/'Price History'!R46-1),"")</f>
        <v>0.0126628739218204</v>
      </c>
      <c r="S46" s="143" t="n">
        <f aca="false">IFERROR(IF(OR(NOT(ISNUMBER('Price History'!S47)),NOT(ISNUMBER('Price History'!S46)),'Price History'!S46=0),"",'Price History'!S47/'Price History'!S46-1),"")</f>
        <v>0.0421981165812375</v>
      </c>
      <c r="T46" s="143" t="n">
        <f aca="false">IFERROR(IF(OR(NOT(ISNUMBER('Price History'!T47)),NOT(ISNUMBER('Price History'!T46)),'Price History'!T46=0),"",'Price History'!T47/'Price History'!T46-1),"")</f>
        <v>-0.00420032310177698</v>
      </c>
      <c r="U46" s="143" t="str">
        <f aca="false">IFERROR(IF(OR(NOT(ISNUMBER('Price History'!U47)),NOT(ISNUMBER('Price History'!U46)),'Price History'!U46=0),"",'Price History'!U47/'Price History'!U46-1),"")</f>
        <v/>
      </c>
      <c r="V46" s="144" t="n">
        <f aca="false">IFERROR(IF(OR(NOT(ISNUMBER('Price History'!V47)),NOT(ISNUMBER('Price History'!V46)),'Price History'!V46=0),"",'Price History'!V47/'Price History'!V46-1),"")</f>
        <v>-0.0287247244324403</v>
      </c>
      <c r="W46" s="145" t="str">
        <f aca="false">IFERROR('Price History'!B3+(INDEX('Price History'!B:B,MATCH(9.99E+307,'Price History'!$A:$A))-'Price History'!B3)*(ROW()-3)/(MATCH(9.99E+307,'Returns (Calc)'!$A:$A)-3),"")</f>
        <v/>
      </c>
      <c r="X46" s="145" t="n">
        <f aca="false">IFERROR('Price History'!C3+(INDEX('Price History'!C:C,MATCH(9.99E+307,'Price History'!$A:$A))-'Price History'!C3)*(ROW()-3)/(MATCH(9.99E+307,'Returns (Calc)'!$A:$A)-3),"")</f>
        <v>33.6910691823899</v>
      </c>
      <c r="Y46" s="145" t="n">
        <f aca="false">IFERROR('Price History'!D3+(INDEX('Price History'!D:D,MATCH(9.99E+307,'Price History'!$A:$A))-'Price History'!D3)*(ROW()-3)/(MATCH(9.99E+307,'Returns (Calc)'!$A:$A)-3),"")</f>
        <v>424.61106918239</v>
      </c>
      <c r="Z46" s="145" t="n">
        <f aca="false">IFERROR('Price History'!E3+(INDEX('Price History'!E:E,MATCH(9.99E+307,'Price History'!$A:$A))-'Price History'!E3)*(ROW()-3)/(MATCH(9.99E+307,'Returns (Calc)'!$A:$A)-3),"")</f>
        <v>59.8238993710692</v>
      </c>
      <c r="AA46" s="145" t="n">
        <f aca="false">IFERROR('Price History'!F3+(INDEX('Price History'!F:F,MATCH(9.99E+307,'Price History'!$A:$A))-'Price History'!F3)*(ROW()-3)/(MATCH(9.99E+307,'Returns (Calc)'!$A:$A)-3),"")</f>
        <v>54.9431446540881</v>
      </c>
      <c r="AB46" s="145" t="n">
        <f aca="false">IFERROR('Price History'!G3+(INDEX('Price History'!G:G,MATCH(9.99E+307,'Price History'!$A:$A))-'Price History'!G3)*(ROW()-3)/(MATCH(9.99E+307,'Returns (Calc)'!$A:$A)-3),"")</f>
        <v>30.1745911949686</v>
      </c>
      <c r="AC46" s="145" t="n">
        <f aca="false">IFERROR('Price History'!H3+(INDEX('Price History'!H:H,MATCH(9.99E+307,'Price History'!$A:$A))-'Price History'!H3)*(ROW()-3)/(MATCH(9.99E+307,'Returns (Calc)'!$A:$A)-3),"")</f>
        <v>73.3864150943396</v>
      </c>
      <c r="AD46" s="145" t="n">
        <f aca="false">IFERROR('Price History'!I3+(INDEX('Price History'!I:I,MATCH(9.99E+307,'Price History'!$A:$A))-'Price History'!I3)*(ROW()-3)/(MATCH(9.99E+307,'Returns (Calc)'!$A:$A)-3),"")</f>
        <v>32.3559748427673</v>
      </c>
      <c r="AE46" s="145" t="n">
        <f aca="false">IFERROR('Price History'!J3+(INDEX('Price History'!J:J,MATCH(9.99E+307,'Price History'!$A:$A))-'Price History'!J3)*(ROW()-3)/(MATCH(9.99E+307,'Returns (Calc)'!$A:$A)-3),"")</f>
        <v>50.4198742138365</v>
      </c>
      <c r="AF46" s="145" t="n">
        <f aca="false">IFERROR('Price History'!K3+(INDEX('Price History'!K:K,MATCH(9.99E+307,'Price History'!$A:$A))-'Price History'!K3)*(ROW()-3)/(MATCH(9.99E+307,'Returns (Calc)'!$A:$A)-3),"")</f>
        <v>31.9328301886792</v>
      </c>
      <c r="AG46" s="145" t="n">
        <f aca="false">IFERROR('Price History'!L3+(INDEX('Price History'!L:L,MATCH(9.99E+307,'Price History'!$A:$A))-'Price History'!L3)*(ROW()-3)/(MATCH(9.99E+307,'Returns (Calc)'!$A:$A)-3),"")</f>
        <v>81.593962264151</v>
      </c>
      <c r="AH46" s="145" t="n">
        <f aca="false">IFERROR('Price History'!M3+(INDEX('Price History'!M:M,MATCH(9.99E+307,'Price History'!$A:$A))-'Price History'!M3)*(ROW()-3)/(MATCH(9.99E+307,'Returns (Calc)'!$A:$A)-3),"")</f>
        <v>11.1841509433962</v>
      </c>
      <c r="AI46" s="145" t="n">
        <f aca="false">IFERROR('Price History'!N3+(INDEX('Price History'!N:N,MATCH(9.99E+307,'Price History'!$A:$A))-'Price History'!N3)*(ROW()-3)/(MATCH(9.99E+307,'Returns (Calc)'!$A:$A)-3),"")</f>
        <v>15.9044025157233</v>
      </c>
      <c r="AJ46" s="145" t="n">
        <f aca="false">IFERROR('Price History'!O3+(INDEX('Price History'!O:O,MATCH(9.99E+307,'Price History'!$A:$A))-'Price History'!O3)*(ROW()-3)/(MATCH(9.99E+307,'Returns (Calc)'!$A:$A)-3),"")</f>
        <v>42.0445283018868</v>
      </c>
      <c r="AK46" s="145" t="n">
        <f aca="false">IFERROR('Price History'!Q3+(INDEX('Price History'!Q:Q,MATCH(9.99E+307,'Price History'!$A:$A))-'Price History'!Q3)*(ROW()-3)/(MATCH(9.99E+307,'Returns (Calc)'!$A:$A)-3),"")</f>
        <v>171.906163522013</v>
      </c>
      <c r="AL46" s="145" t="n">
        <f aca="false">IFERROR('Price History'!R3+(INDEX('Price History'!R:R,MATCH(9.99E+307,'Price History'!$A:$A))-'Price History'!R3)*(ROW()-3)/(MATCH(9.99E+307,'Returns (Calc)'!$A:$A)-3),"")</f>
        <v>34.8875471698113</v>
      </c>
      <c r="AM46" s="145" t="n">
        <f aca="false">IFERROR('Price History'!S3+(INDEX('Price History'!S:S,MATCH(9.99E+307,'Price History'!$A:$A))-'Price History'!S3)*(ROW()-3)/(MATCH(9.99E+307,'Returns (Calc)'!$A:$A)-3),"")</f>
        <v>42.708427672956</v>
      </c>
      <c r="AN46" s="145" t="n">
        <f aca="false">IFERROR('Price History'!T3+(INDEX('Price History'!T:T,MATCH(9.99E+307,'Price History'!$A:$A))-'Price History'!T3)*(ROW()-3)/(MATCH(9.99E+307,'Returns (Calc)'!$A:$A)-3),"")</f>
        <v>19.6324528301887</v>
      </c>
      <c r="AO46" s="146" t="n">
        <f aca="false">IFERROR('Price History'!V3+(INDEX('Price History'!V:V,MATCH(9.99E+307,'Price History'!$A:$A))-'Price History'!V3)*(ROW()-3)/(MATCH(9.99E+307,'Returns (Calc)'!$A:$A)-3),"")</f>
        <v>0</v>
      </c>
    </row>
    <row r="47" customFormat="false" ht="15" hidden="false" customHeight="true" outlineLevel="0" collapsed="false">
      <c r="A47" s="142" t="n">
        <f aca="false">IF('Price History'!A48="","",'Price History'!A48)</f>
        <v>45499</v>
      </c>
      <c r="B47" s="143" t="n">
        <f aca="false">IFERROR(IF(OR(NOT(ISNUMBER('Price History'!B48)),NOT(ISNUMBER('Price History'!B47)),'Price History'!B47=0),"",'Price History'!B48/'Price History'!B47-1),"")</f>
        <v>-0.0155353901996369</v>
      </c>
      <c r="C47" s="143" t="n">
        <f aca="false">IFERROR(IF(OR(NOT(ISNUMBER('Price History'!C48)),NOT(ISNUMBER('Price History'!C47)),'Price History'!C47=0),"",'Price History'!C48/'Price History'!C47-1),"")</f>
        <v>-0.0343659244917716</v>
      </c>
      <c r="D47" s="143" t="n">
        <f aca="false">IFERROR(IF(OR(NOT(ISNUMBER('Price History'!D48)),NOT(ISNUMBER('Price History'!D47)),'Price History'!D47=0),"",'Price History'!D48/'Price History'!D47-1),"")</f>
        <v>-0.00779312384809672</v>
      </c>
      <c r="E47" s="143" t="n">
        <f aca="false">IFERROR(IF(OR(NOT(ISNUMBER('Price History'!E48)),NOT(ISNUMBER('Price History'!E47)),'Price History'!E47=0),"",'Price History'!E48/'Price History'!E47-1),"")</f>
        <v>-0.0363258951738453</v>
      </c>
      <c r="F47" s="143" t="n">
        <f aca="false">IFERROR(IF(OR(NOT(ISNUMBER('Price History'!F48)),NOT(ISNUMBER('Price History'!F47)),'Price History'!F47=0),"",'Price History'!F48/'Price History'!F47-1),"")</f>
        <v>0.0362671863159034</v>
      </c>
      <c r="G47" s="143" t="n">
        <f aca="false">IFERROR(IF(OR(NOT(ISNUMBER('Price History'!G48)),NOT(ISNUMBER('Price History'!G47)),'Price History'!G47=0),"",'Price History'!G48/'Price History'!G47-1),"")</f>
        <v>-0.160020986358867</v>
      </c>
      <c r="H47" s="143" t="n">
        <f aca="false">IFERROR(IF(OR(NOT(ISNUMBER('Price History'!H48)),NOT(ISNUMBER('Price History'!H47)),'Price History'!H47=0),"",'Price History'!H48/'Price History'!H47-1),"")</f>
        <v>0.0211490709821047</v>
      </c>
      <c r="I47" s="143" t="n">
        <f aca="false">IFERROR(IF(OR(NOT(ISNUMBER('Price History'!I48)),NOT(ISNUMBER('Price History'!I47)),'Price History'!I47=0),"",'Price History'!I48/'Price History'!I47-1),"")</f>
        <v>0.0326753801013604</v>
      </c>
      <c r="J47" s="143" t="n">
        <f aca="false">IFERROR(IF(OR(NOT(ISNUMBER('Price History'!J48)),NOT(ISNUMBER('Price History'!J47)),'Price History'!J47=0),"",'Price History'!J48/'Price History'!J47-1),"")</f>
        <v>-0.0424482606781154</v>
      </c>
      <c r="K47" s="143" t="n">
        <f aca="false">IFERROR(IF(OR(NOT(ISNUMBER('Price History'!K48)),NOT(ISNUMBER('Price History'!K47)),'Price History'!K47=0),"",'Price History'!K48/'Price History'!K47-1),"")</f>
        <v>-0.0412414965986394</v>
      </c>
      <c r="L47" s="143" t="n">
        <f aca="false">IFERROR(IF(OR(NOT(ISNUMBER('Price History'!L48)),NOT(ISNUMBER('Price History'!L47)),'Price History'!L47=0),"",'Price History'!L48/'Price History'!L47-1),"")</f>
        <v>-0.00870322019147085</v>
      </c>
      <c r="M47" s="143" t="n">
        <f aca="false">IFERROR(IF(OR(NOT(ISNUMBER('Price History'!M48)),NOT(ISNUMBER('Price History'!M47)),'Price History'!M47=0),"",'Price History'!M48/'Price History'!M47-1),"")</f>
        <v>-0.0489853044086773</v>
      </c>
      <c r="N47" s="143" t="n">
        <f aca="false">IFERROR(IF(OR(NOT(ISNUMBER('Price History'!N48)),NOT(ISNUMBER('Price History'!N47)),'Price History'!N47=0),"",'Price History'!N48/'Price History'!N47-1),"")</f>
        <v>0.0168471720818293</v>
      </c>
      <c r="O47" s="143" t="n">
        <f aca="false">IFERROR(IF(OR(NOT(ISNUMBER('Price History'!O48)),NOT(ISNUMBER('Price History'!O47)),'Price History'!O47=0),"",'Price History'!O48/'Price History'!O47-1),"")</f>
        <v>-0.0188412623645785</v>
      </c>
      <c r="P47" s="143" t="n">
        <f aca="false">IFERROR(IF(OR(NOT(ISNUMBER('Price History'!P48)),NOT(ISNUMBER('Price History'!P47)),'Price History'!P47=0),"",'Price History'!P48/'Price History'!P47-1),"")</f>
        <v>-0.0230797865740167</v>
      </c>
      <c r="Q47" s="143" t="n">
        <f aca="false">IFERROR(IF(OR(NOT(ISNUMBER('Price History'!Q48)),NOT(ISNUMBER('Price History'!Q47)),'Price History'!Q47=0),"",'Price History'!Q48/'Price History'!Q47-1),"")</f>
        <v>-0.0226062301237595</v>
      </c>
      <c r="R47" s="143" t="n">
        <f aca="false">IFERROR(IF(OR(NOT(ISNUMBER('Price History'!R48)),NOT(ISNUMBER('Price History'!R47)),'Price History'!R47=0),"",'Price History'!R48/'Price History'!R47-1),"")</f>
        <v>0.00108735048930786</v>
      </c>
      <c r="S47" s="143" t="n">
        <f aca="false">IFERROR(IF(OR(NOT(ISNUMBER('Price History'!S48)),NOT(ISNUMBER('Price History'!S47)),'Price History'!S47=0),"",'Price History'!S48/'Price History'!S47-1),"")</f>
        <v>-0.000800640512410022</v>
      </c>
      <c r="T47" s="143" t="n">
        <f aca="false">IFERROR(IF(OR(NOT(ISNUMBER('Price History'!T48)),NOT(ISNUMBER('Price History'!T47)),'Price History'!T47=0),"",'Price History'!T48/'Price History'!T47-1),"")</f>
        <v>0.00973393900064901</v>
      </c>
      <c r="U47" s="143" t="str">
        <f aca="false">IFERROR(IF(OR(NOT(ISNUMBER('Price History'!U48)),NOT(ISNUMBER('Price History'!U47)),'Price History'!U47=0),"",'Price History'!U48/'Price History'!U47-1),"")</f>
        <v/>
      </c>
      <c r="V47" s="144" t="n">
        <f aca="false">IFERROR(IF(OR(NOT(ISNUMBER('Price History'!V48)),NOT(ISNUMBER('Price History'!V47)),'Price History'!V47=0),"",'Price History'!V48/'Price History'!V47-1),"")</f>
        <v>0.0168351433617675</v>
      </c>
      <c r="W47" s="145" t="str">
        <f aca="false">IFERROR('Price History'!B3+(INDEX('Price History'!B:B,MATCH(9.99E+307,'Price History'!$A:$A))-'Price History'!B3)*(ROW()-3)/(MATCH(9.99E+307,'Returns (Calc)'!$A:$A)-3),"")</f>
        <v/>
      </c>
      <c r="X47" s="145" t="n">
        <f aca="false">IFERROR('Price History'!C3+(INDEX('Price History'!C:C,MATCH(9.99E+307,'Price History'!$A:$A))-'Price History'!C3)*(ROW()-3)/(MATCH(9.99E+307,'Returns (Calc)'!$A:$A)-3),"")</f>
        <v>33.4006289308176</v>
      </c>
      <c r="Y47" s="145" t="n">
        <f aca="false">IFERROR('Price History'!D3+(INDEX('Price History'!D:D,MATCH(9.99E+307,'Price History'!$A:$A))-'Price History'!D3)*(ROW()-3)/(MATCH(9.99E+307,'Returns (Calc)'!$A:$A)-3),"")</f>
        <v>420.950628930818</v>
      </c>
      <c r="Z47" s="145" t="n">
        <f aca="false">IFERROR('Price History'!E3+(INDEX('Price History'!E:E,MATCH(9.99E+307,'Price History'!$A:$A))-'Price History'!E3)*(ROW()-3)/(MATCH(9.99E+307,'Returns (Calc)'!$A:$A)-3),"")</f>
        <v>59.3081761006289</v>
      </c>
      <c r="AA47" s="145" t="n">
        <f aca="false">IFERROR('Price History'!F3+(INDEX('Price History'!F:F,MATCH(9.99E+307,'Price History'!$A:$A))-'Price History'!F3)*(ROW()-3)/(MATCH(9.99E+307,'Returns (Calc)'!$A:$A)-3),"")</f>
        <v>54.4694968553459</v>
      </c>
      <c r="AB47" s="145" t="n">
        <f aca="false">IFERROR('Price History'!G3+(INDEX('Price History'!G:G,MATCH(9.99E+307,'Price History'!$A:$A))-'Price History'!G3)*(ROW()-3)/(MATCH(9.99E+307,'Returns (Calc)'!$A:$A)-3),"")</f>
        <v>29.914465408805</v>
      </c>
      <c r="AC47" s="145" t="n">
        <f aca="false">IFERROR('Price History'!H3+(INDEX('Price History'!H:H,MATCH(9.99E+307,'Price History'!$A:$A))-'Price History'!H3)*(ROW()-3)/(MATCH(9.99E+307,'Returns (Calc)'!$A:$A)-3),"")</f>
        <v>72.7537735849057</v>
      </c>
      <c r="AD47" s="145" t="n">
        <f aca="false">IFERROR('Price History'!I3+(INDEX('Price History'!I:I,MATCH(9.99E+307,'Price History'!$A:$A))-'Price History'!I3)*(ROW()-3)/(MATCH(9.99E+307,'Returns (Calc)'!$A:$A)-3),"")</f>
        <v>32.0770440251572</v>
      </c>
      <c r="AE47" s="145" t="n">
        <f aca="false">IFERROR('Price History'!J3+(INDEX('Price History'!J:J,MATCH(9.99E+307,'Price History'!$A:$A))-'Price History'!J3)*(ROW()-3)/(MATCH(9.99E+307,'Returns (Calc)'!$A:$A)-3),"")</f>
        <v>49.9852201257862</v>
      </c>
      <c r="AF47" s="145" t="n">
        <f aca="false">IFERROR('Price History'!K3+(INDEX('Price History'!K:K,MATCH(9.99E+307,'Price History'!$A:$A))-'Price History'!K3)*(ROW()-3)/(MATCH(9.99E+307,'Returns (Calc)'!$A:$A)-3),"")</f>
        <v>31.6575471698113</v>
      </c>
      <c r="AG47" s="145" t="n">
        <f aca="false">IFERROR('Price History'!L3+(INDEX('Price History'!L:L,MATCH(9.99E+307,'Price History'!$A:$A))-'Price History'!L3)*(ROW()-3)/(MATCH(9.99E+307,'Returns (Calc)'!$A:$A)-3),"")</f>
        <v>80.8905660377359</v>
      </c>
      <c r="AH47" s="145" t="n">
        <f aca="false">IFERROR('Price History'!M3+(INDEX('Price History'!M:M,MATCH(9.99E+307,'Price History'!$A:$A))-'Price History'!M3)*(ROW()-3)/(MATCH(9.99E+307,'Returns (Calc)'!$A:$A)-3),"")</f>
        <v>11.0877358490566</v>
      </c>
      <c r="AI47" s="145" t="n">
        <f aca="false">IFERROR('Price History'!N3+(INDEX('Price History'!N:N,MATCH(9.99E+307,'Price History'!$A:$A))-'Price History'!N3)*(ROW()-3)/(MATCH(9.99E+307,'Returns (Calc)'!$A:$A)-3),"")</f>
        <v>15.7672955974843</v>
      </c>
      <c r="AJ47" s="145" t="n">
        <f aca="false">IFERROR('Price History'!O3+(INDEX('Price History'!O:O,MATCH(9.99E+307,'Price History'!$A:$A))-'Price History'!O3)*(ROW()-3)/(MATCH(9.99E+307,'Returns (Calc)'!$A:$A)-3),"")</f>
        <v>41.6820754716981</v>
      </c>
      <c r="AK47" s="145" t="n">
        <f aca="false">IFERROR('Price History'!Q3+(INDEX('Price History'!Q:Q,MATCH(9.99E+307,'Price History'!$A:$A))-'Price History'!Q3)*(ROW()-3)/(MATCH(9.99E+307,'Returns (Calc)'!$A:$A)-3),"")</f>
        <v>170.424213836478</v>
      </c>
      <c r="AL47" s="145" t="n">
        <f aca="false">IFERROR('Price History'!R3+(INDEX('Price History'!R:R,MATCH(9.99E+307,'Price History'!$A:$A))-'Price History'!R3)*(ROW()-3)/(MATCH(9.99E+307,'Returns (Calc)'!$A:$A)-3),"")</f>
        <v>34.5867924528302</v>
      </c>
      <c r="AM47" s="145" t="n">
        <f aca="false">IFERROR('Price History'!S3+(INDEX('Price History'!S:S,MATCH(9.99E+307,'Price History'!$A:$A))-'Price History'!S3)*(ROW()-3)/(MATCH(9.99E+307,'Returns (Calc)'!$A:$A)-3),"")</f>
        <v>42.3402515723271</v>
      </c>
      <c r="AN47" s="145" t="n">
        <f aca="false">IFERROR('Price History'!T3+(INDEX('Price History'!T:T,MATCH(9.99E+307,'Price History'!$A:$A))-'Price History'!T3)*(ROW()-3)/(MATCH(9.99E+307,'Returns (Calc)'!$A:$A)-3),"")</f>
        <v>19.4632075471698</v>
      </c>
      <c r="AO47" s="146" t="n">
        <f aca="false">IFERROR('Price History'!V3+(INDEX('Price History'!V:V,MATCH(9.99E+307,'Price History'!$A:$A))-'Price History'!V3)*(ROW()-3)/(MATCH(9.99E+307,'Returns (Calc)'!$A:$A)-3),"")</f>
        <v>0</v>
      </c>
    </row>
    <row r="48" customFormat="false" ht="15" hidden="false" customHeight="true" outlineLevel="0" collapsed="false">
      <c r="A48" s="142" t="n">
        <f aca="false">IF('Price History'!A49="","",'Price History'!A49)</f>
        <v>45506</v>
      </c>
      <c r="B48" s="143" t="n">
        <f aca="false">IFERROR(IF(OR(NOT(ISNUMBER('Price History'!B49)),NOT(ISNUMBER('Price History'!B48)),'Price History'!B48=0),"",'Price History'!B49/'Price History'!B48-1),"")</f>
        <v>-0.0299941007300348</v>
      </c>
      <c r="C48" s="143" t="n">
        <f aca="false">IFERROR(IF(OR(NOT(ISNUMBER('Price History'!C49)),NOT(ISNUMBER('Price History'!C48)),'Price History'!C48=0),"",'Price History'!C49/'Price History'!C48-1),"")</f>
        <v>0.000375939849624141</v>
      </c>
      <c r="D48" s="143" t="n">
        <f aca="false">IFERROR(IF(OR(NOT(ISNUMBER('Price History'!D49)),NOT(ISNUMBER('Price History'!D48)),'Price History'!D48=0),"",'Price History'!D49/'Price History'!D48-1),"")</f>
        <v>-0.0872805659706695</v>
      </c>
      <c r="E48" s="143" t="n">
        <f aca="false">IFERROR(IF(OR(NOT(ISNUMBER('Price History'!E49)),NOT(ISNUMBER('Price History'!E48)),'Price History'!E48=0),"",'Price History'!E49/'Price History'!E48-1),"")</f>
        <v>-0.0514943457189015</v>
      </c>
      <c r="F48" s="143" t="n">
        <f aca="false">IFERROR(IF(OR(NOT(ISNUMBER('Price History'!F49)),NOT(ISNUMBER('Price History'!F48)),'Price History'!F48=0),"",'Price History'!F49/'Price History'!F48-1),"")</f>
        <v>-0.0714584203928124</v>
      </c>
      <c r="G48" s="143" t="n">
        <f aca="false">IFERROR(IF(OR(NOT(ISNUMBER('Price History'!G49)),NOT(ISNUMBER('Price History'!G48)),'Price History'!G48=0),"",'Price History'!G49/'Price History'!G48-1),"")</f>
        <v>-0.149437851342911</v>
      </c>
      <c r="H48" s="143" t="n">
        <f aca="false">IFERROR(IF(OR(NOT(ISNUMBER('Price History'!H49)),NOT(ISNUMBER('Price History'!H48)),'Price History'!H48=0),"",'Price History'!H49/'Price History'!H48-1),"")</f>
        <v>-0.0144222706691263</v>
      </c>
      <c r="I48" s="143" t="n">
        <f aca="false">IFERROR(IF(OR(NOT(ISNUMBER('Price History'!I49)),NOT(ISNUMBER('Price History'!I48)),'Price History'!I48=0),"",'Price History'!I49/'Price History'!I48-1),"")</f>
        <v>-0.115846571096474</v>
      </c>
      <c r="J48" s="143" t="n">
        <f aca="false">IFERROR(IF(OR(NOT(ISNUMBER('Price History'!J49)),NOT(ISNUMBER('Price History'!J48)),'Price History'!J48=0),"",'Price History'!J49/'Price History'!J48-1),"")</f>
        <v>-0.152763726662375</v>
      </c>
      <c r="K48" s="143" t="n">
        <f aca="false">IFERROR(IF(OR(NOT(ISNUMBER('Price History'!K49)),NOT(ISNUMBER('Price History'!K48)),'Price History'!K48=0),"",'Price History'!K49/'Price History'!K48-1),"")</f>
        <v>-0.0512638580931264</v>
      </c>
      <c r="L48" s="143" t="n">
        <f aca="false">IFERROR(IF(OR(NOT(ISNUMBER('Price History'!L49)),NOT(ISNUMBER('Price History'!L48)),'Price History'!L48=0),"",'Price History'!L49/'Price History'!L48-1),"")</f>
        <v>0.0106233538191396</v>
      </c>
      <c r="M48" s="143" t="n">
        <f aca="false">IFERROR(IF(OR(NOT(ISNUMBER('Price History'!M49)),NOT(ISNUMBER('Price History'!M48)),'Price History'!M48=0),"",'Price History'!M49/'Price History'!M48-1),"")</f>
        <v>-0.0897718910963945</v>
      </c>
      <c r="N48" s="143" t="n">
        <f aca="false">IFERROR(IF(OR(NOT(ISNUMBER('Price History'!N49)),NOT(ISNUMBER('Price History'!N48)),'Price History'!N48=0),"",'Price History'!N49/'Price History'!N48-1),"")</f>
        <v>-0.0201183431952663</v>
      </c>
      <c r="O48" s="143" t="n">
        <f aca="false">IFERROR(IF(OR(NOT(ISNUMBER('Price History'!O49)),NOT(ISNUMBER('Price History'!O48)),'Price History'!O48=0),"",'Price History'!O49/'Price History'!O48-1),"")</f>
        <v>-0.0297647623619778</v>
      </c>
      <c r="P48" s="143" t="n">
        <f aca="false">IFERROR(IF(OR(NOT(ISNUMBER('Price History'!P49)),NOT(ISNUMBER('Price History'!P48)),'Price History'!P48=0),"",'Price History'!P49/'Price History'!P48-1),"")</f>
        <v>-0.0746221262542868</v>
      </c>
      <c r="Q48" s="143" t="n">
        <f aca="false">IFERROR(IF(OR(NOT(ISNUMBER('Price History'!Q49)),NOT(ISNUMBER('Price History'!Q48)),'Price History'!Q48=0),"",'Price History'!Q49/'Price History'!Q48-1),"")</f>
        <v>0.0274804970794622</v>
      </c>
      <c r="R48" s="143" t="n">
        <f aca="false">IFERROR(IF(OR(NOT(ISNUMBER('Price History'!R49)),NOT(ISNUMBER('Price History'!R48)),'Price History'!R48=0),"",'Price History'!R49/'Price History'!R48-1),"")</f>
        <v>0.00470673425054313</v>
      </c>
      <c r="S48" s="143" t="n">
        <f aca="false">IFERROR(IF(OR(NOT(ISNUMBER('Price History'!S49)),NOT(ISNUMBER('Price History'!S48)),'Price History'!S48=0),"",'Price History'!S49/'Price History'!S48-1),"")</f>
        <v>0.00114468864468864</v>
      </c>
      <c r="T48" s="143" t="n">
        <f aca="false">IFERROR(IF(OR(NOT(ISNUMBER('Price History'!T49)),NOT(ISNUMBER('Price History'!T48)),'Price History'!T48=0),"",'Price History'!T49/'Price History'!T48-1),"")</f>
        <v>-0.00642673521850901</v>
      </c>
      <c r="U48" s="143" t="str">
        <f aca="false">IFERROR(IF(OR(NOT(ISNUMBER('Price History'!U49)),NOT(ISNUMBER('Price History'!U48)),'Price History'!U48=0),"",'Price History'!U49/'Price History'!U48-1),"")</f>
        <v/>
      </c>
      <c r="V48" s="144" t="n">
        <f aca="false">IFERROR(IF(OR(NOT(ISNUMBER('Price History'!V49)),NOT(ISNUMBER('Price History'!V48)),'Price History'!V48=0),"",'Price History'!V49/'Price History'!V48-1),"")</f>
        <v>-0.0463431760227649</v>
      </c>
      <c r="W48" s="145" t="str">
        <f aca="false">IFERROR('Price History'!B3+(INDEX('Price History'!B:B,MATCH(9.99E+307,'Price History'!$A:$A))-'Price History'!B3)*(ROW()-3)/(MATCH(9.99E+307,'Returns (Calc)'!$A:$A)-3),"")</f>
        <v/>
      </c>
      <c r="X48" s="145" t="n">
        <f aca="false">IFERROR('Price History'!C3+(INDEX('Price History'!C:C,MATCH(9.99E+307,'Price History'!$A:$A))-'Price History'!C3)*(ROW()-3)/(MATCH(9.99E+307,'Returns (Calc)'!$A:$A)-3),"")</f>
        <v>33.1101886792453</v>
      </c>
      <c r="Y48" s="145" t="n">
        <f aca="false">IFERROR('Price History'!D3+(INDEX('Price History'!D:D,MATCH(9.99E+307,'Price History'!$A:$A))-'Price History'!D3)*(ROW()-3)/(MATCH(9.99E+307,'Returns (Calc)'!$A:$A)-3),"")</f>
        <v>417.290188679245</v>
      </c>
      <c r="Z48" s="145" t="n">
        <f aca="false">IFERROR('Price History'!E3+(INDEX('Price History'!E:E,MATCH(9.99E+307,'Price History'!$A:$A))-'Price History'!E3)*(ROW()-3)/(MATCH(9.99E+307,'Returns (Calc)'!$A:$A)-3),"")</f>
        <v>58.7924528301887</v>
      </c>
      <c r="AA48" s="145" t="n">
        <f aca="false">IFERROR('Price History'!F3+(INDEX('Price History'!F:F,MATCH(9.99E+307,'Price History'!$A:$A))-'Price History'!F3)*(ROW()-3)/(MATCH(9.99E+307,'Returns (Calc)'!$A:$A)-3),"")</f>
        <v>53.9958490566038</v>
      </c>
      <c r="AB48" s="145" t="n">
        <f aca="false">IFERROR('Price History'!G3+(INDEX('Price History'!G:G,MATCH(9.99E+307,'Price History'!$A:$A))-'Price History'!G3)*(ROW()-3)/(MATCH(9.99E+307,'Returns (Calc)'!$A:$A)-3),"")</f>
        <v>29.6543396226415</v>
      </c>
      <c r="AC48" s="145" t="n">
        <f aca="false">IFERROR('Price History'!H3+(INDEX('Price History'!H:H,MATCH(9.99E+307,'Price History'!$A:$A))-'Price History'!H3)*(ROW()-3)/(MATCH(9.99E+307,'Returns (Calc)'!$A:$A)-3),"")</f>
        <v>72.1211320754717</v>
      </c>
      <c r="AD48" s="145" t="n">
        <f aca="false">IFERROR('Price History'!I3+(INDEX('Price History'!I:I,MATCH(9.99E+307,'Price History'!$A:$A))-'Price History'!I3)*(ROW()-3)/(MATCH(9.99E+307,'Returns (Calc)'!$A:$A)-3),"")</f>
        <v>31.7981132075472</v>
      </c>
      <c r="AE48" s="145" t="n">
        <f aca="false">IFERROR('Price History'!J3+(INDEX('Price History'!J:J,MATCH(9.99E+307,'Price History'!$A:$A))-'Price History'!J3)*(ROW()-3)/(MATCH(9.99E+307,'Returns (Calc)'!$A:$A)-3),"")</f>
        <v>49.5505660377359</v>
      </c>
      <c r="AF48" s="145" t="n">
        <f aca="false">IFERROR('Price History'!K3+(INDEX('Price History'!K:K,MATCH(9.99E+307,'Price History'!$A:$A))-'Price History'!K3)*(ROW()-3)/(MATCH(9.99E+307,'Returns (Calc)'!$A:$A)-3),"")</f>
        <v>31.3822641509434</v>
      </c>
      <c r="AG48" s="145" t="n">
        <f aca="false">IFERROR('Price History'!L3+(INDEX('Price History'!L:L,MATCH(9.99E+307,'Price History'!$A:$A))-'Price History'!L3)*(ROW()-3)/(MATCH(9.99E+307,'Returns (Calc)'!$A:$A)-3),"")</f>
        <v>80.1871698113208</v>
      </c>
      <c r="AH48" s="145" t="n">
        <f aca="false">IFERROR('Price History'!M3+(INDEX('Price History'!M:M,MATCH(9.99E+307,'Price History'!$A:$A))-'Price History'!M3)*(ROW()-3)/(MATCH(9.99E+307,'Returns (Calc)'!$A:$A)-3),"")</f>
        <v>10.991320754717</v>
      </c>
      <c r="AI48" s="145" t="n">
        <f aca="false">IFERROR('Price History'!N3+(INDEX('Price History'!N:N,MATCH(9.99E+307,'Price History'!$A:$A))-'Price History'!N3)*(ROW()-3)/(MATCH(9.99E+307,'Returns (Calc)'!$A:$A)-3),"")</f>
        <v>15.6301886792453</v>
      </c>
      <c r="AJ48" s="145" t="n">
        <f aca="false">IFERROR('Price History'!O3+(INDEX('Price History'!O:O,MATCH(9.99E+307,'Price History'!$A:$A))-'Price History'!O3)*(ROW()-3)/(MATCH(9.99E+307,'Returns (Calc)'!$A:$A)-3),"")</f>
        <v>41.3196226415094</v>
      </c>
      <c r="AK48" s="145" t="n">
        <f aca="false">IFERROR('Price History'!Q3+(INDEX('Price History'!Q:Q,MATCH(9.99E+307,'Price History'!$A:$A))-'Price History'!Q3)*(ROW()-3)/(MATCH(9.99E+307,'Returns (Calc)'!$A:$A)-3),"")</f>
        <v>168.942264150943</v>
      </c>
      <c r="AL48" s="145" t="n">
        <f aca="false">IFERROR('Price History'!R3+(INDEX('Price History'!R:R,MATCH(9.99E+307,'Price History'!$A:$A))-'Price History'!R3)*(ROW()-3)/(MATCH(9.99E+307,'Returns (Calc)'!$A:$A)-3),"")</f>
        <v>34.2860377358491</v>
      </c>
      <c r="AM48" s="145" t="n">
        <f aca="false">IFERROR('Price History'!S3+(INDEX('Price History'!S:S,MATCH(9.99E+307,'Price History'!$A:$A))-'Price History'!S3)*(ROW()-3)/(MATCH(9.99E+307,'Returns (Calc)'!$A:$A)-3),"")</f>
        <v>41.9720754716981</v>
      </c>
      <c r="AN48" s="145" t="n">
        <f aca="false">IFERROR('Price History'!T3+(INDEX('Price History'!T:T,MATCH(9.99E+307,'Price History'!$A:$A))-'Price History'!T3)*(ROW()-3)/(MATCH(9.99E+307,'Returns (Calc)'!$A:$A)-3),"")</f>
        <v>19.2939622641509</v>
      </c>
      <c r="AO48" s="146" t="n">
        <f aca="false">IFERROR('Price History'!V3+(INDEX('Price History'!V:V,MATCH(9.99E+307,'Price History'!$A:$A))-'Price History'!V3)*(ROW()-3)/(MATCH(9.99E+307,'Returns (Calc)'!$A:$A)-3),"")</f>
        <v>0</v>
      </c>
    </row>
    <row r="49" customFormat="false" ht="15" hidden="false" customHeight="true" outlineLevel="0" collapsed="false">
      <c r="A49" s="142" t="n">
        <f aca="false">IF('Price History'!A50="","",'Price History'!A50)</f>
        <v>45513</v>
      </c>
      <c r="B49" s="143" t="n">
        <f aca="false">IFERROR(IF(OR(NOT(ISNUMBER('Price History'!B50)),NOT(ISNUMBER('Price History'!B49)),'Price History'!B49=0),"",'Price History'!B50/'Price History'!B49-1),"")</f>
        <v>0.0192523328962122</v>
      </c>
      <c r="C49" s="143" t="n">
        <f aca="false">IFERROR(IF(OR(NOT(ISNUMBER('Price History'!C50)),NOT(ISNUMBER('Price History'!C49)),'Price History'!C49=0),"",'Price History'!C50/'Price History'!C49-1),"")</f>
        <v>0.0516096705499187</v>
      </c>
      <c r="D49" s="143" t="n">
        <f aca="false">IFERROR(IF(OR(NOT(ISNUMBER('Price History'!D50)),NOT(ISNUMBER('Price History'!D49)),'Price History'!D49=0),"",'Price History'!D50/'Price History'!D49-1),"")</f>
        <v>0.0632529742088668</v>
      </c>
      <c r="E49" s="143" t="n">
        <f aca="false">IFERROR(IF(OR(NOT(ISNUMBER('Price History'!E50)),NOT(ISNUMBER('Price History'!E49)),'Price History'!E49=0),"",'Price History'!E50/'Price History'!E49-1),"")</f>
        <v>0.0308707685756866</v>
      </c>
      <c r="F49" s="143" t="n">
        <f aca="false">IFERROR(IF(OR(NOT(ISNUMBER('Price History'!F50)),NOT(ISNUMBER('Price History'!F49)),'Price History'!F49=0),"",'Price History'!F50/'Price History'!F49-1),"")</f>
        <v>-0.0176642664266425</v>
      </c>
      <c r="G49" s="143" t="n">
        <f aca="false">IFERROR(IF(OR(NOT(ISNUMBER('Price History'!G50)),NOT(ISNUMBER('Price History'!G49)),'Price History'!G49=0),"",'Price History'!G50/'Price History'!G49-1),"")</f>
        <v>0.105562695061502</v>
      </c>
      <c r="H49" s="143" t="n">
        <f aca="false">IFERROR(IF(OR(NOT(ISNUMBER('Price History'!H50)),NOT(ISNUMBER('Price History'!H49)),'Price History'!H49=0),"",'Price History'!H50/'Price History'!H49-1),"")</f>
        <v>-0.0101242130338609</v>
      </c>
      <c r="I49" s="143" t="n">
        <f aca="false">IFERROR(IF(OR(NOT(ISNUMBER('Price History'!I50)),NOT(ISNUMBER('Price History'!I49)),'Price History'!I49=0),"",'Price History'!I50/'Price History'!I49-1),"")</f>
        <v>0.072597137014315</v>
      </c>
      <c r="J49" s="143" t="n">
        <f aca="false">IFERROR(IF(OR(NOT(ISNUMBER('Price History'!J50)),NOT(ISNUMBER('Price History'!J49)),'Price History'!J49=0),"",'Price History'!J50/'Price History'!J49-1),"")</f>
        <v>0.00412505427702992</v>
      </c>
      <c r="K49" s="143" t="n">
        <f aca="false">IFERROR(IF(OR(NOT(ISNUMBER('Price History'!K50)),NOT(ISNUMBER('Price History'!K49)),'Price History'!K49=0),"",'Price History'!K50/'Price History'!K49-1),"")</f>
        <v>-0.0234645227633916</v>
      </c>
      <c r="L49" s="143" t="n">
        <f aca="false">IFERROR(IF(OR(NOT(ISNUMBER('Price History'!L50)),NOT(ISNUMBER('Price History'!L49)),'Price History'!L49=0),"",'Price History'!L50/'Price History'!L49-1),"")</f>
        <v>-0.0167665711058986</v>
      </c>
      <c r="M49" s="143" t="n">
        <f aca="false">IFERROR(IF(OR(NOT(ISNUMBER('Price History'!M50)),NOT(ISNUMBER('Price History'!M49)),'Price History'!M49=0),"",'Price History'!M50/'Price History'!M49-1),"")</f>
        <v>0.21301535974131</v>
      </c>
      <c r="N49" s="143" t="n">
        <f aca="false">IFERROR(IF(OR(NOT(ISNUMBER('Price History'!N50)),NOT(ISNUMBER('Price History'!N49)),'Price History'!N49=0),"",'Price History'!N50/'Price History'!N49-1),"")</f>
        <v>-0.00805152979066015</v>
      </c>
      <c r="O49" s="143" t="n">
        <f aca="false">IFERROR(IF(OR(NOT(ISNUMBER('Price History'!O50)),NOT(ISNUMBER('Price History'!O49)),'Price History'!O49=0),"",'Price History'!O50/'Price History'!O49-1),"")</f>
        <v>0.0173181593270657</v>
      </c>
      <c r="P49" s="143" t="n">
        <f aca="false">IFERROR(IF(OR(NOT(ISNUMBER('Price History'!P50)),NOT(ISNUMBER('Price History'!P49)),'Price History'!P49=0),"",'Price History'!P50/'Price History'!P49-1),"")</f>
        <v>0.115160249811269</v>
      </c>
      <c r="Q49" s="143" t="n">
        <f aca="false">IFERROR(IF(OR(NOT(ISNUMBER('Price History'!Q50)),NOT(ISNUMBER('Price History'!Q49)),'Price History'!Q49=0),"",'Price History'!Q50/'Price History'!Q49-1),"")</f>
        <v>-0.0236550934757727</v>
      </c>
      <c r="R49" s="143" t="n">
        <f aca="false">IFERROR(IF(OR(NOT(ISNUMBER('Price History'!R50)),NOT(ISNUMBER('Price History'!R49)),'Price History'!R49=0),"",'Price History'!R50/'Price History'!R49-1),"")</f>
        <v>0.006846846846847</v>
      </c>
      <c r="S49" s="143" t="n">
        <f aca="false">IFERROR(IF(OR(NOT(ISNUMBER('Price History'!S50)),NOT(ISNUMBER('Price History'!S49)),'Price History'!S49=0),"",'Price History'!S50/'Price History'!S49-1),"")</f>
        <v>0.0309855934141323</v>
      </c>
      <c r="T49" s="143" t="n">
        <f aca="false">IFERROR(IF(OR(NOT(ISNUMBER('Price History'!T50)),NOT(ISNUMBER('Price History'!T49)),'Price History'!T49=0),"",'Price History'!T50/'Price History'!T49-1),"")</f>
        <v>-0.0200517464424321</v>
      </c>
      <c r="U49" s="143" t="str">
        <f aca="false">IFERROR(IF(OR(NOT(ISNUMBER('Price History'!U50)),NOT(ISNUMBER('Price History'!U49)),'Price History'!U49=0),"",'Price History'!U50/'Price History'!U49-1),"")</f>
        <v/>
      </c>
      <c r="V49" s="144" t="n">
        <f aca="false">IFERROR(IF(OR(NOT(ISNUMBER('Price History'!V50)),NOT(ISNUMBER('Price History'!V49)),'Price History'!V49=0),"",'Price History'!V50/'Price History'!V49-1),"")</f>
        <v>0.0300716915326487</v>
      </c>
      <c r="W49" s="145" t="str">
        <f aca="false">IFERROR('Price History'!B3+(INDEX('Price History'!B:B,MATCH(9.99E+307,'Price History'!$A:$A))-'Price History'!B3)*(ROW()-3)/(MATCH(9.99E+307,'Returns (Calc)'!$A:$A)-3),"")</f>
        <v/>
      </c>
      <c r="X49" s="145" t="n">
        <f aca="false">IFERROR('Price History'!C3+(INDEX('Price History'!C:C,MATCH(9.99E+307,'Price History'!$A:$A))-'Price History'!C3)*(ROW()-3)/(MATCH(9.99E+307,'Returns (Calc)'!$A:$A)-3),"")</f>
        <v>32.819748427673</v>
      </c>
      <c r="Y49" s="145" t="n">
        <f aca="false">IFERROR('Price History'!D3+(INDEX('Price History'!D:D,MATCH(9.99E+307,'Price History'!$A:$A))-'Price History'!D3)*(ROW()-3)/(MATCH(9.99E+307,'Returns (Calc)'!$A:$A)-3),"")</f>
        <v>413.629748427673</v>
      </c>
      <c r="Z49" s="145" t="n">
        <f aca="false">IFERROR('Price History'!E3+(INDEX('Price History'!E:E,MATCH(9.99E+307,'Price History'!$A:$A))-'Price History'!E3)*(ROW()-3)/(MATCH(9.99E+307,'Returns (Calc)'!$A:$A)-3),"")</f>
        <v>58.2767295597484</v>
      </c>
      <c r="AA49" s="145" t="n">
        <f aca="false">IFERROR('Price History'!F3+(INDEX('Price History'!F:F,MATCH(9.99E+307,'Price History'!$A:$A))-'Price History'!F3)*(ROW()-3)/(MATCH(9.99E+307,'Returns (Calc)'!$A:$A)-3),"")</f>
        <v>53.5222012578616</v>
      </c>
      <c r="AB49" s="145" t="n">
        <f aca="false">IFERROR('Price History'!G3+(INDEX('Price History'!G:G,MATCH(9.99E+307,'Price History'!$A:$A))-'Price History'!G3)*(ROW()-3)/(MATCH(9.99E+307,'Returns (Calc)'!$A:$A)-3),"")</f>
        <v>29.394213836478</v>
      </c>
      <c r="AC49" s="145" t="n">
        <f aca="false">IFERROR('Price History'!H3+(INDEX('Price History'!H:H,MATCH(9.99E+307,'Price History'!$A:$A))-'Price History'!H3)*(ROW()-3)/(MATCH(9.99E+307,'Returns (Calc)'!$A:$A)-3),"")</f>
        <v>71.4884905660377</v>
      </c>
      <c r="AD49" s="145" t="n">
        <f aca="false">IFERROR('Price History'!I3+(INDEX('Price History'!I:I,MATCH(9.99E+307,'Price History'!$A:$A))-'Price History'!I3)*(ROW()-3)/(MATCH(9.99E+307,'Returns (Calc)'!$A:$A)-3),"")</f>
        <v>31.5191823899371</v>
      </c>
      <c r="AE49" s="145" t="n">
        <f aca="false">IFERROR('Price History'!J3+(INDEX('Price History'!J:J,MATCH(9.99E+307,'Price History'!$A:$A))-'Price History'!J3)*(ROW()-3)/(MATCH(9.99E+307,'Returns (Calc)'!$A:$A)-3),"")</f>
        <v>49.1159119496855</v>
      </c>
      <c r="AF49" s="145" t="n">
        <f aca="false">IFERROR('Price History'!K3+(INDEX('Price History'!K:K,MATCH(9.99E+307,'Price History'!$A:$A))-'Price History'!K3)*(ROW()-3)/(MATCH(9.99E+307,'Returns (Calc)'!$A:$A)-3),"")</f>
        <v>31.1069811320755</v>
      </c>
      <c r="AG49" s="145" t="n">
        <f aca="false">IFERROR('Price History'!L3+(INDEX('Price History'!L:L,MATCH(9.99E+307,'Price History'!$A:$A))-'Price History'!L3)*(ROW()-3)/(MATCH(9.99E+307,'Returns (Calc)'!$A:$A)-3),"")</f>
        <v>79.4837735849057</v>
      </c>
      <c r="AH49" s="145" t="n">
        <f aca="false">IFERROR('Price History'!M3+(INDEX('Price History'!M:M,MATCH(9.99E+307,'Price History'!$A:$A))-'Price History'!M3)*(ROW()-3)/(MATCH(9.99E+307,'Returns (Calc)'!$A:$A)-3),"")</f>
        <v>10.8949056603774</v>
      </c>
      <c r="AI49" s="145" t="n">
        <f aca="false">IFERROR('Price History'!N3+(INDEX('Price History'!N:N,MATCH(9.99E+307,'Price History'!$A:$A))-'Price History'!N3)*(ROW()-3)/(MATCH(9.99E+307,'Returns (Calc)'!$A:$A)-3),"")</f>
        <v>15.4930817610063</v>
      </c>
      <c r="AJ49" s="145" t="n">
        <f aca="false">IFERROR('Price History'!O3+(INDEX('Price History'!O:O,MATCH(9.99E+307,'Price History'!$A:$A))-'Price History'!O3)*(ROW()-3)/(MATCH(9.99E+307,'Returns (Calc)'!$A:$A)-3),"")</f>
        <v>40.9571698113208</v>
      </c>
      <c r="AK49" s="145" t="n">
        <f aca="false">IFERROR('Price History'!Q3+(INDEX('Price History'!Q:Q,MATCH(9.99E+307,'Price History'!$A:$A))-'Price History'!Q3)*(ROW()-3)/(MATCH(9.99E+307,'Returns (Calc)'!$A:$A)-3),"")</f>
        <v>167.460314465409</v>
      </c>
      <c r="AL49" s="145" t="n">
        <f aca="false">IFERROR('Price History'!R3+(INDEX('Price History'!R:R,MATCH(9.99E+307,'Price History'!$A:$A))-'Price History'!R3)*(ROW()-3)/(MATCH(9.99E+307,'Returns (Calc)'!$A:$A)-3),"")</f>
        <v>33.9852830188679</v>
      </c>
      <c r="AM49" s="145" t="n">
        <f aca="false">IFERROR('Price History'!S3+(INDEX('Price History'!S:S,MATCH(9.99E+307,'Price History'!$A:$A))-'Price History'!S3)*(ROW()-3)/(MATCH(9.99E+307,'Returns (Calc)'!$A:$A)-3),"")</f>
        <v>41.6038993710692</v>
      </c>
      <c r="AN49" s="145" t="n">
        <f aca="false">IFERROR('Price History'!T3+(INDEX('Price History'!T:T,MATCH(9.99E+307,'Price History'!$A:$A))-'Price History'!T3)*(ROW()-3)/(MATCH(9.99E+307,'Returns (Calc)'!$A:$A)-3),"")</f>
        <v>19.1247169811321</v>
      </c>
      <c r="AO49" s="146" t="n">
        <f aca="false">IFERROR('Price History'!V3+(INDEX('Price History'!V:V,MATCH(9.99E+307,'Price History'!$A:$A))-'Price History'!V3)*(ROW()-3)/(MATCH(9.99E+307,'Returns (Calc)'!$A:$A)-3),"")</f>
        <v>0</v>
      </c>
    </row>
    <row r="50" customFormat="false" ht="15" hidden="false" customHeight="true" outlineLevel="0" collapsed="false">
      <c r="A50" s="142" t="n">
        <f aca="false">IF('Price History'!A51="","",'Price History'!A51)</f>
        <v>45520</v>
      </c>
      <c r="B50" s="143" t="n">
        <f aca="false">IFERROR(IF(OR(NOT(ISNUMBER('Price History'!B51)),NOT(ISNUMBER('Price History'!B50)),'Price History'!B50=0),"",'Price History'!B51/'Price History'!B50-1),"")</f>
        <v>0.0319970165951895</v>
      </c>
      <c r="C50" s="143" t="n">
        <f aca="false">IFERROR(IF(OR(NOT(ISNUMBER('Price History'!C51)),NOT(ISNUMBER('Price History'!C50)),'Price History'!C50=0),"",'Price History'!C51/'Price History'!C50-1),"")</f>
        <v>0.0538415723645027</v>
      </c>
      <c r="D50" s="143" t="n">
        <f aca="false">IFERROR(IF(OR(NOT(ISNUMBER('Price History'!D51)),NOT(ISNUMBER('Price History'!D50)),'Price History'!D50=0),"",'Price History'!D51/'Price History'!D50-1),"")</f>
        <v>0.0675362729807647</v>
      </c>
      <c r="E50" s="143" t="n">
        <f aca="false">IFERROR(IF(OR(NOT(ISNUMBER('Price History'!E51)),NOT(ISNUMBER('Price History'!E50)),'Price History'!E50=0),"",'Price History'!E51/'Price History'!E50-1),"")</f>
        <v>0.117788792509982</v>
      </c>
      <c r="F50" s="143" t="n">
        <f aca="false">IFERROR(IF(OR(NOT(ISNUMBER('Price History'!F51)),NOT(ISNUMBER('Price History'!F50)),'Price History'!F50=0),"",'Price History'!F51/'Price History'!F50-1),"")</f>
        <v>0.0286336043981217</v>
      </c>
      <c r="G50" s="143" t="n">
        <f aca="false">IFERROR(IF(OR(NOT(ISNUMBER('Price History'!G51)),NOT(ISNUMBER('Price History'!G50)),'Price History'!G50=0),"",'Price History'!G51/'Price History'!G50-1),"")</f>
        <v>0.0900033211557623</v>
      </c>
      <c r="H50" s="143" t="n">
        <f aca="false">IFERROR(IF(OR(NOT(ISNUMBER('Price History'!H51)),NOT(ISNUMBER('Price History'!H50)),'Price History'!H50=0),"",'Price History'!H51/'Price History'!H50-1),"")</f>
        <v>0.0256123764503653</v>
      </c>
      <c r="I50" s="143" t="n">
        <f aca="false">IFERROR(IF(OR(NOT(ISNUMBER('Price History'!I51)),NOT(ISNUMBER('Price History'!I50)),'Price History'!I50=0),"",'Price History'!I51/'Price History'!I50-1),"")</f>
        <v>0.0995505924009259</v>
      </c>
      <c r="J50" s="143" t="n">
        <f aca="false">IFERROR(IF(OR(NOT(ISNUMBER('Price History'!J51)),NOT(ISNUMBER('Price History'!J50)),'Price History'!J50=0),"",'Price History'!J51/'Price History'!J50-1),"")</f>
        <v>0.160216216216216</v>
      </c>
      <c r="K50" s="143" t="n">
        <f aca="false">IFERROR(IF(OR(NOT(ISNUMBER('Price History'!K51)),NOT(ISNUMBER('Price History'!K50)),'Price History'!K50=0),"",'Price History'!K51/'Price History'!K50-1),"")</f>
        <v>0.189354776948114</v>
      </c>
      <c r="L50" s="143" t="n">
        <f aca="false">IFERROR(IF(OR(NOT(ISNUMBER('Price History'!L51)),NOT(ISNUMBER('Price History'!L50)),'Price History'!L50=0),"",'Price History'!L51/'Price History'!L50-1),"")</f>
        <v>0.00777522530482422</v>
      </c>
      <c r="M50" s="143" t="n">
        <f aca="false">IFERROR(IF(OR(NOT(ISNUMBER('Price History'!M51)),NOT(ISNUMBER('Price History'!M50)),'Price History'!M50=0),"",'Price History'!M51/'Price History'!M50-1),"")</f>
        <v>0.0689770076641119</v>
      </c>
      <c r="N50" s="143" t="n">
        <f aca="false">IFERROR(IF(OR(NOT(ISNUMBER('Price History'!N51)),NOT(ISNUMBER('Price History'!N50)),'Price History'!N50=0),"",'Price History'!N51/'Price History'!N50-1),"")</f>
        <v>0.0227272727272727</v>
      </c>
      <c r="O50" s="143" t="n">
        <f aca="false">IFERROR(IF(OR(NOT(ISNUMBER('Price History'!O51)),NOT(ISNUMBER('Price History'!O50)),'Price History'!O50=0),"",'Price History'!O51/'Price History'!O50-1),"")</f>
        <v>0.0570282101167317</v>
      </c>
      <c r="P50" s="143" t="n">
        <f aca="false">IFERROR(IF(OR(NOT(ISNUMBER('Price History'!P51)),NOT(ISNUMBER('Price History'!P50)),'Price History'!P50=0),"",'Price History'!P51/'Price History'!P50-1),"")</f>
        <v>0.0444335036002215</v>
      </c>
      <c r="Q50" s="143" t="n">
        <f aca="false">IFERROR(IF(OR(NOT(ISNUMBER('Price History'!Q51)),NOT(ISNUMBER('Price History'!Q50)),'Price History'!Q50=0),"",'Price History'!Q51/'Price History'!Q50-1),"")</f>
        <v>0.0293474013286441</v>
      </c>
      <c r="R50" s="143" t="n">
        <f aca="false">IFERROR(IF(OR(NOT(ISNUMBER('Price History'!R51)),NOT(ISNUMBER('Price History'!R50)),'Price History'!R50=0),"",'Price History'!R51/'Price History'!R50-1),"")</f>
        <v>-0.000715819613457347</v>
      </c>
      <c r="S50" s="143" t="n">
        <f aca="false">IFERROR(IF(OR(NOT(ISNUMBER('Price History'!S51)),NOT(ISNUMBER('Price History'!S50)),'Price History'!S50=0),"",'Price History'!S51/'Price History'!S50-1),"")</f>
        <v>-0.00199622934457144</v>
      </c>
      <c r="T50" s="143" t="n">
        <f aca="false">IFERROR(IF(OR(NOT(ISNUMBER('Price History'!T51)),NOT(ISNUMBER('Price History'!T50)),'Price History'!T50=0),"",'Price History'!T51/'Price History'!T50-1),"")</f>
        <v>0.0382838283828384</v>
      </c>
      <c r="U50" s="143" t="str">
        <f aca="false">IFERROR(IF(OR(NOT(ISNUMBER('Price History'!U51)),NOT(ISNUMBER('Price History'!U50)),'Price History'!U50=0),"",'Price History'!U51/'Price History'!U50-1),"")</f>
        <v/>
      </c>
      <c r="V50" s="144" t="n">
        <f aca="false">IFERROR(IF(OR(NOT(ISNUMBER('Price History'!V51)),NOT(ISNUMBER('Price History'!V50)),'Price History'!V50=0),"",'Price History'!V51/'Price History'!V50-1),"")</f>
        <v>-0.0170798690794177</v>
      </c>
      <c r="W50" s="145" t="str">
        <f aca="false">IFERROR('Price History'!B3+(INDEX('Price History'!B:B,MATCH(9.99E+307,'Price History'!$A:$A))-'Price History'!B3)*(ROW()-3)/(MATCH(9.99E+307,'Returns (Calc)'!$A:$A)-3),"")</f>
        <v/>
      </c>
      <c r="X50" s="145" t="n">
        <f aca="false">IFERROR('Price History'!C3+(INDEX('Price History'!C:C,MATCH(9.99E+307,'Price History'!$A:$A))-'Price History'!C3)*(ROW()-3)/(MATCH(9.99E+307,'Returns (Calc)'!$A:$A)-3),"")</f>
        <v>32.5293081761006</v>
      </c>
      <c r="Y50" s="145" t="n">
        <f aca="false">IFERROR('Price History'!D3+(INDEX('Price History'!D:D,MATCH(9.99E+307,'Price History'!$A:$A))-'Price History'!D3)*(ROW()-3)/(MATCH(9.99E+307,'Returns (Calc)'!$A:$A)-3),"")</f>
        <v>409.969308176101</v>
      </c>
      <c r="Z50" s="145" t="n">
        <f aca="false">IFERROR('Price History'!E3+(INDEX('Price History'!E:E,MATCH(9.99E+307,'Price History'!$A:$A))-'Price History'!E3)*(ROW()-3)/(MATCH(9.99E+307,'Returns (Calc)'!$A:$A)-3),"")</f>
        <v>57.7610062893082</v>
      </c>
      <c r="AA50" s="145" t="n">
        <f aca="false">IFERROR('Price History'!F3+(INDEX('Price History'!F:F,MATCH(9.99E+307,'Price History'!$A:$A))-'Price History'!F3)*(ROW()-3)/(MATCH(9.99E+307,'Returns (Calc)'!$A:$A)-3),"")</f>
        <v>53.0485534591195</v>
      </c>
      <c r="AB50" s="145" t="n">
        <f aca="false">IFERROR('Price History'!G3+(INDEX('Price History'!G:G,MATCH(9.99E+307,'Price History'!$A:$A))-'Price History'!G3)*(ROW()-3)/(MATCH(9.99E+307,'Returns (Calc)'!$A:$A)-3),"")</f>
        <v>29.1340880503145</v>
      </c>
      <c r="AC50" s="145" t="n">
        <f aca="false">IFERROR('Price History'!H3+(INDEX('Price History'!H:H,MATCH(9.99E+307,'Price History'!$A:$A))-'Price History'!H3)*(ROW()-3)/(MATCH(9.99E+307,'Returns (Calc)'!$A:$A)-3),"")</f>
        <v>70.8558490566038</v>
      </c>
      <c r="AD50" s="145" t="n">
        <f aca="false">IFERROR('Price History'!I3+(INDEX('Price History'!I:I,MATCH(9.99E+307,'Price History'!$A:$A))-'Price History'!I3)*(ROW()-3)/(MATCH(9.99E+307,'Returns (Calc)'!$A:$A)-3),"")</f>
        <v>31.240251572327</v>
      </c>
      <c r="AE50" s="145" t="n">
        <f aca="false">IFERROR('Price History'!J3+(INDEX('Price History'!J:J,MATCH(9.99E+307,'Price History'!$A:$A))-'Price History'!J3)*(ROW()-3)/(MATCH(9.99E+307,'Returns (Calc)'!$A:$A)-3),"")</f>
        <v>48.6812578616352</v>
      </c>
      <c r="AF50" s="145" t="n">
        <f aca="false">IFERROR('Price History'!K3+(INDEX('Price History'!K:K,MATCH(9.99E+307,'Price History'!$A:$A))-'Price History'!K3)*(ROW()-3)/(MATCH(9.99E+307,'Returns (Calc)'!$A:$A)-3),"")</f>
        <v>30.8316981132076</v>
      </c>
      <c r="AG50" s="145" t="n">
        <f aca="false">IFERROR('Price History'!L3+(INDEX('Price History'!L:L,MATCH(9.99E+307,'Price History'!$A:$A))-'Price History'!L3)*(ROW()-3)/(MATCH(9.99E+307,'Returns (Calc)'!$A:$A)-3),"")</f>
        <v>78.7803773584906</v>
      </c>
      <c r="AH50" s="145" t="n">
        <f aca="false">IFERROR('Price History'!M3+(INDEX('Price History'!M:M,MATCH(9.99E+307,'Price History'!$A:$A))-'Price History'!M3)*(ROW()-3)/(MATCH(9.99E+307,'Returns (Calc)'!$A:$A)-3),"")</f>
        <v>10.7984905660377</v>
      </c>
      <c r="AI50" s="145" t="n">
        <f aca="false">IFERROR('Price History'!N3+(INDEX('Price History'!N:N,MATCH(9.99E+307,'Price History'!$A:$A))-'Price History'!N3)*(ROW()-3)/(MATCH(9.99E+307,'Returns (Calc)'!$A:$A)-3),"")</f>
        <v>15.3559748427673</v>
      </c>
      <c r="AJ50" s="145" t="n">
        <f aca="false">IFERROR('Price History'!O3+(INDEX('Price History'!O:O,MATCH(9.99E+307,'Price History'!$A:$A))-'Price History'!O3)*(ROW()-3)/(MATCH(9.99E+307,'Returns (Calc)'!$A:$A)-3),"")</f>
        <v>40.5947169811321</v>
      </c>
      <c r="AK50" s="145" t="n">
        <f aca="false">IFERROR('Price History'!Q3+(INDEX('Price History'!Q:Q,MATCH(9.99E+307,'Price History'!$A:$A))-'Price History'!Q3)*(ROW()-3)/(MATCH(9.99E+307,'Returns (Calc)'!$A:$A)-3),"")</f>
        <v>165.978364779874</v>
      </c>
      <c r="AL50" s="145" t="n">
        <f aca="false">IFERROR('Price History'!R3+(INDEX('Price History'!R:R,MATCH(9.99E+307,'Price History'!$A:$A))-'Price History'!R3)*(ROW()-3)/(MATCH(9.99E+307,'Returns (Calc)'!$A:$A)-3),"")</f>
        <v>33.6845283018868</v>
      </c>
      <c r="AM50" s="145" t="n">
        <f aca="false">IFERROR('Price History'!S3+(INDEX('Price History'!S:S,MATCH(9.99E+307,'Price History'!$A:$A))-'Price History'!S3)*(ROW()-3)/(MATCH(9.99E+307,'Returns (Calc)'!$A:$A)-3),"")</f>
        <v>41.2357232704402</v>
      </c>
      <c r="AN50" s="145" t="n">
        <f aca="false">IFERROR('Price History'!T3+(INDEX('Price History'!T:T,MATCH(9.99E+307,'Price History'!$A:$A))-'Price History'!T3)*(ROW()-3)/(MATCH(9.99E+307,'Returns (Calc)'!$A:$A)-3),"")</f>
        <v>18.9554716981132</v>
      </c>
      <c r="AO50" s="146" t="n">
        <f aca="false">IFERROR('Price History'!V3+(INDEX('Price History'!V:V,MATCH(9.99E+307,'Price History'!$A:$A))-'Price History'!V3)*(ROW()-3)/(MATCH(9.99E+307,'Returns (Calc)'!$A:$A)-3),"")</f>
        <v>0</v>
      </c>
    </row>
    <row r="51" customFormat="false" ht="15" hidden="false" customHeight="true" outlineLevel="0" collapsed="false">
      <c r="A51" s="142" t="n">
        <f aca="false">IF('Price History'!A52="","",'Price History'!A52)</f>
        <v>45527</v>
      </c>
      <c r="B51" s="143" t="n">
        <f aca="false">IFERROR(IF(OR(NOT(ISNUMBER('Price History'!B52)),NOT(ISNUMBER('Price History'!B51)),'Price History'!B51=0),"",'Price History'!B52/'Price History'!B51-1),"")</f>
        <v>0.00874498608752194</v>
      </c>
      <c r="C51" s="143" t="n">
        <f aca="false">IFERROR(IF(OR(NOT(ISNUMBER('Price History'!C52)),NOT(ISNUMBER('Price History'!C51)),'Price History'!C51=0),"",'Price History'!C52/'Price History'!C51-1),"")</f>
        <v>0.00350401265965861</v>
      </c>
      <c r="D51" s="143" t="n">
        <f aca="false">IFERROR(IF(OR(NOT(ISNUMBER('Price History'!D52)),NOT(ISNUMBER('Price History'!D51)),'Price History'!D51=0),"",'Price History'!D52/'Price History'!D51-1),"")</f>
        <v>-0.0124180981051887</v>
      </c>
      <c r="E51" s="143" t="n">
        <f aca="false">IFERROR(IF(OR(NOT(ISNUMBER('Price History'!E52)),NOT(ISNUMBER('Price History'!E51)),'Price History'!E51=0),"",'Price History'!E52/'Price History'!E51-1),"")</f>
        <v>0.00381843936687809</v>
      </c>
      <c r="F51" s="143" t="n">
        <f aca="false">IFERROR(IF(OR(NOT(ISNUMBER('Price History'!F52)),NOT(ISNUMBER('Price History'!F51)),'Price History'!F51=0),"",'Price History'!F52/'Price History'!F51-1),"")</f>
        <v>0.0310655828972275</v>
      </c>
      <c r="G51" s="143" t="n">
        <f aca="false">IFERROR(IF(OR(NOT(ISNUMBER('Price History'!G52)),NOT(ISNUMBER('Price History'!G51)),'Price History'!G51=0),"",'Price History'!G52/'Price History'!G51-1),"")</f>
        <v>0.0342778793418648</v>
      </c>
      <c r="H51" s="143" t="n">
        <f aca="false">IFERROR(IF(OR(NOT(ISNUMBER('Price History'!H52)),NOT(ISNUMBER('Price History'!H51)),'Price History'!H51=0),"",'Price History'!H52/'Price History'!H51-1),"")</f>
        <v>0.0207827034274701</v>
      </c>
      <c r="I51" s="143" t="n">
        <f aca="false">IFERROR(IF(OR(NOT(ISNUMBER('Price History'!I52)),NOT(ISNUMBER('Price History'!I51)),'Price History'!I51=0),"",'Price History'!I52/'Price History'!I51-1),"")</f>
        <v>-0.00210552390388907</v>
      </c>
      <c r="J51" s="143" t="n">
        <f aca="false">IFERROR(IF(OR(NOT(ISNUMBER('Price History'!J52)),NOT(ISNUMBER('Price History'!J51)),'Price History'!J51=0),"",'Price History'!J52/'Price History'!J51-1),"")</f>
        <v>-0.0476146105106224</v>
      </c>
      <c r="K51" s="143" t="n">
        <f aca="false">IFERROR(IF(OR(NOT(ISNUMBER('Price History'!K52)),NOT(ISNUMBER('Price History'!K51)),'Price History'!K51=0),"",'Price History'!K52/'Price History'!K51-1),"")</f>
        <v>0.0383934320669672</v>
      </c>
      <c r="L51" s="143" t="n">
        <f aca="false">IFERROR(IF(OR(NOT(ISNUMBER('Price History'!L52)),NOT(ISNUMBER('Price History'!L51)),'Price History'!L51=0),"",'Price History'!L52/'Price History'!L51-1),"")</f>
        <v>0.0489216201998948</v>
      </c>
      <c r="M51" s="143" t="n">
        <f aca="false">IFERROR(IF(OR(NOT(ISNUMBER('Price History'!M52)),NOT(ISNUMBER('Price History'!M51)),'Price History'!M51=0),"",'Price History'!M52/'Price History'!M51-1),"")</f>
        <v>-0.00935162094763087</v>
      </c>
      <c r="N51" s="143" t="n">
        <f aca="false">IFERROR(IF(OR(NOT(ISNUMBER('Price History'!N52)),NOT(ISNUMBER('Price History'!N51)),'Price History'!N51=0),"",'Price History'!N52/'Price History'!N51-1),"")</f>
        <v>0.0186507936507938</v>
      </c>
      <c r="O51" s="143" t="n">
        <f aca="false">IFERROR(IF(OR(NOT(ISNUMBER('Price History'!O52)),NOT(ISNUMBER('Price History'!O51)),'Price History'!O51=0),"",'Price History'!O52/'Price History'!O51-1),"")</f>
        <v>0.0138042102841365</v>
      </c>
      <c r="P51" s="143" t="n">
        <f aca="false">IFERROR(IF(OR(NOT(ISNUMBER('Price History'!P52)),NOT(ISNUMBER('Price History'!P51)),'Price History'!P51=0),"",'Price History'!P52/'Price History'!P51-1),"")</f>
        <v>-0.0186789228684227</v>
      </c>
      <c r="Q51" s="143" t="n">
        <f aca="false">IFERROR(IF(OR(NOT(ISNUMBER('Price History'!Q52)),NOT(ISNUMBER('Price History'!Q51)),'Price History'!Q51=0),"",'Price History'!Q52/'Price History'!Q51-1),"")</f>
        <v>0.000227781785050007</v>
      </c>
      <c r="R51" s="143" t="n">
        <f aca="false">IFERROR(IF(OR(NOT(ISNUMBER('Price History'!R52)),NOT(ISNUMBER('Price History'!R51)),'Price History'!R51=0),"",'Price History'!R52/'Price History'!R51-1),"")</f>
        <v>-0.0295487106017193</v>
      </c>
      <c r="S51" s="143" t="n">
        <f aca="false">IFERROR(IF(OR(NOT(ISNUMBER('Price History'!S52)),NOT(ISNUMBER('Price History'!S51)),'Price History'!S51=0),"",'Price History'!S52/'Price History'!S51-1),"")</f>
        <v>-0.0404489387709746</v>
      </c>
      <c r="T51" s="143" t="n">
        <f aca="false">IFERROR(IF(OR(NOT(ISNUMBER('Price History'!T52)),NOT(ISNUMBER('Price History'!T51)),'Price History'!T51=0),"",'Price History'!T52/'Price History'!T51-1),"")</f>
        <v>0.0152574698029244</v>
      </c>
      <c r="U51" s="143" t="str">
        <f aca="false">IFERROR(IF(OR(NOT(ISNUMBER('Price History'!U52)),NOT(ISNUMBER('Price History'!U51)),'Price History'!U51=0),"",'Price History'!U52/'Price History'!U51-1),"")</f>
        <v/>
      </c>
      <c r="V51" s="144" t="n">
        <f aca="false">IFERROR(IF(OR(NOT(ISNUMBER('Price History'!V52)),NOT(ISNUMBER('Price History'!V51)),'Price History'!V51=0),"",'Price History'!V52/'Price History'!V51-1),"")</f>
        <v>-0.00107168829180526</v>
      </c>
      <c r="W51" s="145" t="str">
        <f aca="false">IFERROR('Price History'!B3+(INDEX('Price History'!B:B,MATCH(9.99E+307,'Price History'!$A:$A))-'Price History'!B3)*(ROW()-3)/(MATCH(9.99E+307,'Returns (Calc)'!$A:$A)-3),"")</f>
        <v/>
      </c>
      <c r="X51" s="145" t="n">
        <f aca="false">IFERROR('Price History'!C3+(INDEX('Price History'!C:C,MATCH(9.99E+307,'Price History'!$A:$A))-'Price History'!C3)*(ROW()-3)/(MATCH(9.99E+307,'Returns (Calc)'!$A:$A)-3),"")</f>
        <v>32.2388679245283</v>
      </c>
      <c r="Y51" s="145" t="n">
        <f aca="false">IFERROR('Price History'!D3+(INDEX('Price History'!D:D,MATCH(9.99E+307,'Price History'!$A:$A))-'Price History'!D3)*(ROW()-3)/(MATCH(9.99E+307,'Returns (Calc)'!$A:$A)-3),"")</f>
        <v>406.308867924528</v>
      </c>
      <c r="Z51" s="145" t="n">
        <f aca="false">IFERROR('Price History'!E3+(INDEX('Price History'!E:E,MATCH(9.99E+307,'Price History'!$A:$A))-'Price History'!E3)*(ROW()-3)/(MATCH(9.99E+307,'Returns (Calc)'!$A:$A)-3),"")</f>
        <v>57.2452830188679</v>
      </c>
      <c r="AA51" s="145" t="n">
        <f aca="false">IFERROR('Price History'!F3+(INDEX('Price History'!F:F,MATCH(9.99E+307,'Price History'!$A:$A))-'Price History'!F3)*(ROW()-3)/(MATCH(9.99E+307,'Returns (Calc)'!$A:$A)-3),"")</f>
        <v>52.5749056603774</v>
      </c>
      <c r="AB51" s="145" t="n">
        <f aca="false">IFERROR('Price History'!G3+(INDEX('Price History'!G:G,MATCH(9.99E+307,'Price History'!$A:$A))-'Price History'!G3)*(ROW()-3)/(MATCH(9.99E+307,'Returns (Calc)'!$A:$A)-3),"")</f>
        <v>28.8739622641509</v>
      </c>
      <c r="AC51" s="145" t="n">
        <f aca="false">IFERROR('Price History'!H3+(INDEX('Price History'!H:H,MATCH(9.99E+307,'Price History'!$A:$A))-'Price History'!H3)*(ROW()-3)/(MATCH(9.99E+307,'Returns (Calc)'!$A:$A)-3),"")</f>
        <v>70.2232075471698</v>
      </c>
      <c r="AD51" s="145" t="n">
        <f aca="false">IFERROR('Price History'!I3+(INDEX('Price History'!I:I,MATCH(9.99E+307,'Price History'!$A:$A))-'Price History'!I3)*(ROW()-3)/(MATCH(9.99E+307,'Returns (Calc)'!$A:$A)-3),"")</f>
        <v>30.961320754717</v>
      </c>
      <c r="AE51" s="145" t="n">
        <f aca="false">IFERROR('Price History'!J3+(INDEX('Price History'!J:J,MATCH(9.99E+307,'Price History'!$A:$A))-'Price History'!J3)*(ROW()-3)/(MATCH(9.99E+307,'Returns (Calc)'!$A:$A)-3),"")</f>
        <v>48.2466037735849</v>
      </c>
      <c r="AF51" s="145" t="n">
        <f aca="false">IFERROR('Price History'!K3+(INDEX('Price History'!K:K,MATCH(9.99E+307,'Price History'!$A:$A))-'Price History'!K3)*(ROW()-3)/(MATCH(9.99E+307,'Returns (Calc)'!$A:$A)-3),"")</f>
        <v>30.5564150943396</v>
      </c>
      <c r="AG51" s="145" t="n">
        <f aca="false">IFERROR('Price History'!L3+(INDEX('Price History'!L:L,MATCH(9.99E+307,'Price History'!$A:$A))-'Price History'!L3)*(ROW()-3)/(MATCH(9.99E+307,'Returns (Calc)'!$A:$A)-3),"")</f>
        <v>78.0769811320755</v>
      </c>
      <c r="AH51" s="145" t="n">
        <f aca="false">IFERROR('Price History'!M3+(INDEX('Price History'!M:M,MATCH(9.99E+307,'Price History'!$A:$A))-'Price History'!M3)*(ROW()-3)/(MATCH(9.99E+307,'Returns (Calc)'!$A:$A)-3),"")</f>
        <v>10.7020754716981</v>
      </c>
      <c r="AI51" s="145" t="n">
        <f aca="false">IFERROR('Price History'!N3+(INDEX('Price History'!N:N,MATCH(9.99E+307,'Price History'!$A:$A))-'Price History'!N3)*(ROW()-3)/(MATCH(9.99E+307,'Returns (Calc)'!$A:$A)-3),"")</f>
        <v>15.2188679245283</v>
      </c>
      <c r="AJ51" s="145" t="n">
        <f aca="false">IFERROR('Price History'!O3+(INDEX('Price History'!O:O,MATCH(9.99E+307,'Price History'!$A:$A))-'Price History'!O3)*(ROW()-3)/(MATCH(9.99E+307,'Returns (Calc)'!$A:$A)-3),"")</f>
        <v>40.2322641509434</v>
      </c>
      <c r="AK51" s="145" t="n">
        <f aca="false">IFERROR('Price History'!Q3+(INDEX('Price History'!Q:Q,MATCH(9.99E+307,'Price History'!$A:$A))-'Price History'!Q3)*(ROW()-3)/(MATCH(9.99E+307,'Returns (Calc)'!$A:$A)-3),"")</f>
        <v>164.49641509434</v>
      </c>
      <c r="AL51" s="145" t="n">
        <f aca="false">IFERROR('Price History'!R3+(INDEX('Price History'!R:R,MATCH(9.99E+307,'Price History'!$A:$A))-'Price History'!R3)*(ROW()-3)/(MATCH(9.99E+307,'Returns (Calc)'!$A:$A)-3),"")</f>
        <v>33.3837735849057</v>
      </c>
      <c r="AM51" s="145" t="n">
        <f aca="false">IFERROR('Price History'!S3+(INDEX('Price History'!S:S,MATCH(9.99E+307,'Price History'!$A:$A))-'Price History'!S3)*(ROW()-3)/(MATCH(9.99E+307,'Returns (Calc)'!$A:$A)-3),"")</f>
        <v>40.8675471698113</v>
      </c>
      <c r="AN51" s="145" t="n">
        <f aca="false">IFERROR('Price History'!T3+(INDEX('Price History'!T:T,MATCH(9.99E+307,'Price History'!$A:$A))-'Price History'!T3)*(ROW()-3)/(MATCH(9.99E+307,'Returns (Calc)'!$A:$A)-3),"")</f>
        <v>18.7862264150943</v>
      </c>
      <c r="AO51" s="146" t="n">
        <f aca="false">IFERROR('Price History'!V3+(INDEX('Price History'!V:V,MATCH(9.99E+307,'Price History'!$A:$A))-'Price History'!V3)*(ROW()-3)/(MATCH(9.99E+307,'Returns (Calc)'!$A:$A)-3),"")</f>
        <v>0</v>
      </c>
    </row>
    <row r="52" customFormat="false" ht="15" hidden="false" customHeight="true" outlineLevel="0" collapsed="false">
      <c r="A52" s="142" t="n">
        <f aca="false">IF('Price History'!A53="","",'Price History'!A53)</f>
        <v>45534</v>
      </c>
      <c r="B52" s="143" t="n">
        <f aca="false">IFERROR(IF(OR(NOT(ISNUMBER('Price History'!B53)),NOT(ISNUMBER('Price History'!B52)),'Price History'!B52=0),"",'Price History'!B53/'Price History'!B52-1),"")</f>
        <v>0.0288554540569586</v>
      </c>
      <c r="C52" s="143" t="n">
        <f aca="false">IFERROR(IF(OR(NOT(ISNUMBER('Price History'!C53)),NOT(ISNUMBER('Price History'!C52)),'Price History'!C52=0),"",'Price History'!C53/'Price History'!C52-1),"")</f>
        <v>-0.00484343320567704</v>
      </c>
      <c r="D52" s="143" t="n">
        <f aca="false">IFERROR(IF(OR(NOT(ISNUMBER('Price History'!D53)),NOT(ISNUMBER('Price History'!D52)),'Price History'!D52=0),"",'Price History'!D53/'Price History'!D52-1),"")</f>
        <v>-0.00373192872352335</v>
      </c>
      <c r="E52" s="143" t="n">
        <f aca="false">IFERROR(IF(OR(NOT(ISNUMBER('Price History'!E53)),NOT(ISNUMBER('Price History'!E52)),'Price History'!E52=0),"",'Price History'!E53/'Price History'!E52-1),"")</f>
        <v>-0.0212896496717589</v>
      </c>
      <c r="F52" s="143" t="n">
        <f aca="false">IFERROR(IF(OR(NOT(ISNUMBER('Price History'!F53)),NOT(ISNUMBER('Price History'!F52)),'Price History'!F52=0),"",'Price History'!F53/'Price History'!F52-1),"")</f>
        <v>0.000539956803455866</v>
      </c>
      <c r="G52" s="143" t="n">
        <f aca="false">IFERROR(IF(OR(NOT(ISNUMBER('Price History'!G53)),NOT(ISNUMBER('Price History'!G52)),'Price History'!G52=0),"",'Price History'!G53/'Price History'!G52-1),"")</f>
        <v>0.0210634850493445</v>
      </c>
      <c r="H52" s="143" t="n">
        <f aca="false">IFERROR(IF(OR(NOT(ISNUMBER('Price History'!H53)),NOT(ISNUMBER('Price History'!H52)),'Price History'!H52=0),"",'Price History'!H53/'Price History'!H52-1),"")</f>
        <v>0.0137098760364502</v>
      </c>
      <c r="I52" s="143" t="n">
        <f aca="false">IFERROR(IF(OR(NOT(ISNUMBER('Price History'!I53)),NOT(ISNUMBER('Price History'!I52)),'Price History'!I52=0),"",'Price History'!I53/'Price History'!I52-1),"")</f>
        <v>0.00186173513714794</v>
      </c>
      <c r="J52" s="143" t="n">
        <f aca="false">IFERROR(IF(OR(NOT(ISNUMBER('Price History'!J53)),NOT(ISNUMBER('Price History'!J52)),'Price History'!J52=0),"",'Price History'!J53/'Price History'!J52-1),"")</f>
        <v>-0.0642794247138244</v>
      </c>
      <c r="K52" s="143" t="n">
        <f aca="false">IFERROR(IF(OR(NOT(ISNUMBER('Price History'!K53)),NOT(ISNUMBER('Price History'!K52)),'Price History'!K52=0),"",'Price History'!K53/'Price History'!K52-1),"")</f>
        <v>-0.0772808309433376</v>
      </c>
      <c r="L52" s="143" t="n">
        <f aca="false">IFERROR(IF(OR(NOT(ISNUMBER('Price History'!L53)),NOT(ISNUMBER('Price History'!L52)),'Price History'!L52=0),"",'Price History'!L53/'Price History'!L52-1),"")</f>
        <v>-0.00810765630224009</v>
      </c>
      <c r="M52" s="143" t="n">
        <f aca="false">IFERROR(IF(OR(NOT(ISNUMBER('Price History'!M53)),NOT(ISNUMBER('Price History'!M52)),'Price History'!M52=0),"",'Price History'!M53/'Price History'!M52-1),"")</f>
        <v>-0.0094398993077407</v>
      </c>
      <c r="N52" s="143" t="n">
        <f aca="false">IFERROR(IF(OR(NOT(ISNUMBER('Price History'!N53)),NOT(ISNUMBER('Price History'!N52)),'Price History'!N52=0),"",'Price History'!N53/'Price History'!N52-1),"")</f>
        <v>0.0124659135177247</v>
      </c>
      <c r="O52" s="143" t="n">
        <f aca="false">IFERROR(IF(OR(NOT(ISNUMBER('Price History'!O53)),NOT(ISNUMBER('Price History'!O52)),'Price History'!O52=0),"",'Price History'!O53/'Price History'!O52-1),"")</f>
        <v>-0.00397140587768063</v>
      </c>
      <c r="P52" s="143" t="n">
        <f aca="false">IFERROR(IF(OR(NOT(ISNUMBER('Price History'!P53)),NOT(ISNUMBER('Price History'!P52)),'Price History'!P52=0),"",'Price History'!P53/'Price History'!P52-1),"")</f>
        <v>0.00246187102197659</v>
      </c>
      <c r="Q52" s="143" t="n">
        <f aca="false">IFERROR(IF(OR(NOT(ISNUMBER('Price History'!Q53)),NOT(ISNUMBER('Price History'!Q52)),'Price History'!Q52=0),"",'Price History'!Q53/'Price History'!Q52-1),"")</f>
        <v>0.0334003871408508</v>
      </c>
      <c r="R52" s="143" t="n">
        <f aca="false">IFERROR(IF(OR(NOT(ISNUMBER('Price History'!R53)),NOT(ISNUMBER('Price History'!R52)),'Price History'!R52=0),"",'Price History'!R53/'Price History'!R52-1),"")</f>
        <v>-0.0226979147444177</v>
      </c>
      <c r="S52" s="143" t="n">
        <f aca="false">IFERROR(IF(OR(NOT(ISNUMBER('Price History'!S53)),NOT(ISNUMBER('Price History'!S52)),'Price History'!S52=0),"",'Price History'!S53/'Price History'!S52-1),"")</f>
        <v>-0.0188766647365373</v>
      </c>
      <c r="T52" s="143" t="n">
        <f aca="false">IFERROR(IF(OR(NOT(ISNUMBER('Price History'!T53)),NOT(ISNUMBER('Price History'!T52)),'Price History'!T52=0),"",'Price History'!T53/'Price History'!T52-1),"")</f>
        <v>0.0178459611772073</v>
      </c>
      <c r="U52" s="143" t="str">
        <f aca="false">IFERROR(IF(OR(NOT(ISNUMBER('Price History'!U53)),NOT(ISNUMBER('Price History'!U52)),'Price History'!U52=0),"",'Price History'!U53/'Price History'!U52-1),"")</f>
        <v/>
      </c>
      <c r="V52" s="144" t="n">
        <f aca="false">IFERROR(IF(OR(NOT(ISNUMBER('Price History'!V53)),NOT(ISNUMBER('Price History'!V52)),'Price History'!V52=0),"",'Price History'!V53/'Price History'!V52-1),"")</f>
        <v>-0.0226062301237595</v>
      </c>
      <c r="W52" s="145" t="str">
        <f aca="false">IFERROR('Price History'!B3+(INDEX('Price History'!B:B,MATCH(9.99E+307,'Price History'!$A:$A))-'Price History'!B3)*(ROW()-3)/(MATCH(9.99E+307,'Returns (Calc)'!$A:$A)-3),"")</f>
        <v/>
      </c>
      <c r="X52" s="145" t="n">
        <f aca="false">IFERROR('Price History'!C3+(INDEX('Price History'!C:C,MATCH(9.99E+307,'Price History'!$A:$A))-'Price History'!C3)*(ROW()-3)/(MATCH(9.99E+307,'Returns (Calc)'!$A:$A)-3),"")</f>
        <v>31.948427672956</v>
      </c>
      <c r="Y52" s="145" t="n">
        <f aca="false">IFERROR('Price History'!D3+(INDEX('Price History'!D:D,MATCH(9.99E+307,'Price History'!$A:$A))-'Price History'!D3)*(ROW()-3)/(MATCH(9.99E+307,'Returns (Calc)'!$A:$A)-3),"")</f>
        <v>402.648427672956</v>
      </c>
      <c r="Z52" s="145" t="n">
        <f aca="false">IFERROR('Price History'!E3+(INDEX('Price History'!E:E,MATCH(9.99E+307,'Price History'!$A:$A))-'Price History'!E3)*(ROW()-3)/(MATCH(9.99E+307,'Returns (Calc)'!$A:$A)-3),"")</f>
        <v>56.7295597484277</v>
      </c>
      <c r="AA52" s="145" t="n">
        <f aca="false">IFERROR('Price History'!F3+(INDEX('Price History'!F:F,MATCH(9.99E+307,'Price History'!$A:$A))-'Price History'!F3)*(ROW()-3)/(MATCH(9.99E+307,'Returns (Calc)'!$A:$A)-3),"")</f>
        <v>52.1012578616352</v>
      </c>
      <c r="AB52" s="145" t="n">
        <f aca="false">IFERROR('Price History'!G3+(INDEX('Price History'!G:G,MATCH(9.99E+307,'Price History'!$A:$A))-'Price History'!G3)*(ROW()-3)/(MATCH(9.99E+307,'Returns (Calc)'!$A:$A)-3),"")</f>
        <v>28.6138364779874</v>
      </c>
      <c r="AC52" s="145" t="n">
        <f aca="false">IFERROR('Price History'!H3+(INDEX('Price History'!H:H,MATCH(9.99E+307,'Price History'!$A:$A))-'Price History'!H3)*(ROW()-3)/(MATCH(9.99E+307,'Returns (Calc)'!$A:$A)-3),"")</f>
        <v>69.5905660377359</v>
      </c>
      <c r="AD52" s="145" t="n">
        <f aca="false">IFERROR('Price History'!I3+(INDEX('Price History'!I:I,MATCH(9.99E+307,'Price History'!$A:$A))-'Price History'!I3)*(ROW()-3)/(MATCH(9.99E+307,'Returns (Calc)'!$A:$A)-3),"")</f>
        <v>30.6823899371069</v>
      </c>
      <c r="AE52" s="145" t="n">
        <f aca="false">IFERROR('Price History'!J3+(INDEX('Price History'!J:J,MATCH(9.99E+307,'Price History'!$A:$A))-'Price History'!J3)*(ROW()-3)/(MATCH(9.99E+307,'Returns (Calc)'!$A:$A)-3),"")</f>
        <v>47.8119496855346</v>
      </c>
      <c r="AF52" s="145" t="n">
        <f aca="false">IFERROR('Price History'!K3+(INDEX('Price History'!K:K,MATCH(9.99E+307,'Price History'!$A:$A))-'Price History'!K3)*(ROW()-3)/(MATCH(9.99E+307,'Returns (Calc)'!$A:$A)-3),"")</f>
        <v>30.2811320754717</v>
      </c>
      <c r="AG52" s="145" t="n">
        <f aca="false">IFERROR('Price History'!L3+(INDEX('Price History'!L:L,MATCH(9.99E+307,'Price History'!$A:$A))-'Price History'!L3)*(ROW()-3)/(MATCH(9.99E+307,'Returns (Calc)'!$A:$A)-3),"")</f>
        <v>77.3735849056604</v>
      </c>
      <c r="AH52" s="145" t="n">
        <f aca="false">IFERROR('Price History'!M3+(INDEX('Price History'!M:M,MATCH(9.99E+307,'Price History'!$A:$A))-'Price History'!M3)*(ROW()-3)/(MATCH(9.99E+307,'Returns (Calc)'!$A:$A)-3),"")</f>
        <v>10.6056603773585</v>
      </c>
      <c r="AI52" s="145" t="n">
        <f aca="false">IFERROR('Price History'!N3+(INDEX('Price History'!N:N,MATCH(9.99E+307,'Price History'!$A:$A))-'Price History'!N3)*(ROW()-3)/(MATCH(9.99E+307,'Returns (Calc)'!$A:$A)-3),"")</f>
        <v>15.0817610062893</v>
      </c>
      <c r="AJ52" s="145" t="n">
        <f aca="false">IFERROR('Price History'!O3+(INDEX('Price History'!O:O,MATCH(9.99E+307,'Price History'!$A:$A))-'Price History'!O3)*(ROW()-3)/(MATCH(9.99E+307,'Returns (Calc)'!$A:$A)-3),"")</f>
        <v>39.8698113207547</v>
      </c>
      <c r="AK52" s="145" t="n">
        <f aca="false">IFERROR('Price History'!Q3+(INDEX('Price History'!Q:Q,MATCH(9.99E+307,'Price History'!$A:$A))-'Price History'!Q3)*(ROW()-3)/(MATCH(9.99E+307,'Returns (Calc)'!$A:$A)-3),"")</f>
        <v>163.014465408805</v>
      </c>
      <c r="AL52" s="145" t="n">
        <f aca="false">IFERROR('Price History'!R3+(INDEX('Price History'!R:R,MATCH(9.99E+307,'Price History'!$A:$A))-'Price History'!R3)*(ROW()-3)/(MATCH(9.99E+307,'Returns (Calc)'!$A:$A)-3),"")</f>
        <v>33.0830188679245</v>
      </c>
      <c r="AM52" s="145" t="n">
        <f aca="false">IFERROR('Price History'!S3+(INDEX('Price History'!S:S,MATCH(9.99E+307,'Price History'!$A:$A))-'Price History'!S3)*(ROW()-3)/(MATCH(9.99E+307,'Returns (Calc)'!$A:$A)-3),"")</f>
        <v>40.4993710691824</v>
      </c>
      <c r="AN52" s="145" t="n">
        <f aca="false">IFERROR('Price History'!T3+(INDEX('Price History'!T:T,MATCH(9.99E+307,'Price History'!$A:$A))-'Price History'!T3)*(ROW()-3)/(MATCH(9.99E+307,'Returns (Calc)'!$A:$A)-3),"")</f>
        <v>18.6169811320755</v>
      </c>
      <c r="AO52" s="146" t="n">
        <f aca="false">IFERROR('Price History'!V3+(INDEX('Price History'!V:V,MATCH(9.99E+307,'Price History'!$A:$A))-'Price History'!V3)*(ROW()-3)/(MATCH(9.99E+307,'Returns (Calc)'!$A:$A)-3),"")</f>
        <v>0</v>
      </c>
    </row>
    <row r="53" customFormat="false" ht="15" hidden="false" customHeight="true" outlineLevel="0" collapsed="false">
      <c r="A53" s="142" t="n">
        <f aca="false">IF('Price History'!A54="","",'Price History'!A54)</f>
        <v>45541</v>
      </c>
      <c r="B53" s="143" t="n">
        <f aca="false">IFERROR(IF(OR(NOT(ISNUMBER('Price History'!B54)),NOT(ISNUMBER('Price History'!B53)),'Price History'!B53=0),"",'Price History'!B54/'Price History'!B53-1),"")</f>
        <v>-0.0191500844344632</v>
      </c>
      <c r="C53" s="143" t="n">
        <f aca="false">IFERROR(IF(OR(NOT(ISNUMBER('Price History'!C54)),NOT(ISNUMBER('Price History'!C53)),'Price History'!C53=0),"",'Price History'!C54/'Price History'!C53-1),"")</f>
        <v>-0.110582908885116</v>
      </c>
      <c r="D53" s="143" t="n">
        <f aca="false">IFERROR(IF(OR(NOT(ISNUMBER('Price History'!D54)),NOT(ISNUMBER('Price History'!D53)),'Price History'!D53=0),"",'Price History'!D54/'Price History'!D53-1),"")</f>
        <v>-0.167148497699585</v>
      </c>
      <c r="E53" s="143" t="n">
        <f aca="false">IFERROR(IF(OR(NOT(ISNUMBER('Price History'!E54)),NOT(ISNUMBER('Price History'!E53)),'Price History'!E53=0),"",'Price History'!E54/'Price History'!E53-1),"")</f>
        <v>-0.158538114343029</v>
      </c>
      <c r="F53" s="143" t="n">
        <f aca="false">IFERROR(IF(OR(NOT(ISNUMBER('Price History'!F54)),NOT(ISNUMBER('Price History'!F53)),'Price History'!F53=0),"",'Price History'!F54/'Price History'!F53-1),"")</f>
        <v>-0.0566648677819752</v>
      </c>
      <c r="G53" s="143" t="n">
        <f aca="false">IFERROR(IF(OR(NOT(ISNUMBER('Price History'!G54)),NOT(ISNUMBER('Price History'!G53)),'Price History'!G53=0),"",'Price History'!G54/'Price History'!G53-1),"")</f>
        <v>-0.11136757068667</v>
      </c>
      <c r="H53" s="143" t="n">
        <f aca="false">IFERROR(IF(OR(NOT(ISNUMBER('Price History'!H54)),NOT(ISNUMBER('Price History'!H53)),'Price History'!H53=0),"",'Price History'!H54/'Price History'!H53-1),"")</f>
        <v>-0.0213799805636541</v>
      </c>
      <c r="I53" s="143" t="n">
        <f aca="false">IFERROR(IF(OR(NOT(ISNUMBER('Price History'!I54)),NOT(ISNUMBER('Price History'!I53)),'Price History'!I53=0),"",'Price History'!I54/'Price History'!I53-1),"")</f>
        <v>-0.142343904856293</v>
      </c>
      <c r="J53" s="143" t="n">
        <f aca="false">IFERROR(IF(OR(NOT(ISNUMBER('Price History'!J54)),NOT(ISNUMBER('Price History'!J53)),'Price History'!J53=0),"",'Price History'!J54/'Price History'!J53-1),"")</f>
        <v>-0.102467586783772</v>
      </c>
      <c r="K53" s="143" t="n">
        <f aca="false">IFERROR(IF(OR(NOT(ISNUMBER('Price History'!K54)),NOT(ISNUMBER('Price History'!K53)),'Price History'!K53=0),"",'Price History'!K54/'Price History'!K53-1),"")</f>
        <v>-0.138524865591398</v>
      </c>
      <c r="L53" s="143" t="n">
        <f aca="false">IFERROR(IF(OR(NOT(ISNUMBER('Price History'!L54)),NOT(ISNUMBER('Price History'!L53)),'Price History'!L53=0),"",'Price History'!L54/'Price History'!L53-1),"")</f>
        <v>-0.00455043397657373</v>
      </c>
      <c r="M53" s="143" t="n">
        <f aca="false">IFERROR(IF(OR(NOT(ISNUMBER('Price History'!M54)),NOT(ISNUMBER('Price History'!M53)),'Price History'!M53=0),"",'Price History'!M54/'Price History'!M53-1),"")</f>
        <v>-0.0365311308767472</v>
      </c>
      <c r="N53" s="143" t="n">
        <f aca="false">IFERROR(IF(OR(NOT(ISNUMBER('Price History'!N54)),NOT(ISNUMBER('Price History'!N53)),'Price History'!N53=0),"",'Price History'!N54/'Price History'!N53-1),"")</f>
        <v>-0.0300115429011157</v>
      </c>
      <c r="O53" s="143" t="n">
        <f aca="false">IFERROR(IF(OR(NOT(ISNUMBER('Price History'!O54)),NOT(ISNUMBER('Price History'!O53)),'Price History'!O53=0),"",'Price History'!O54/'Price History'!O53-1),"")</f>
        <v>-0.0598086124401914</v>
      </c>
      <c r="P53" s="143" t="n">
        <f aca="false">IFERROR(IF(OR(NOT(ISNUMBER('Price History'!P54)),NOT(ISNUMBER('Price History'!P53)),'Price History'!P53=0),"",'Price History'!P54/'Price History'!P53-1),"")</f>
        <v>-0.0866726564839773</v>
      </c>
      <c r="Q53" s="143" t="n">
        <f aca="false">IFERROR(IF(OR(NOT(ISNUMBER('Price History'!Q54)),NOT(ISNUMBER('Price History'!Q53)),'Price History'!Q53=0),"",'Price History'!Q54/'Price History'!Q53-1),"")</f>
        <v>0.0108348330701145</v>
      </c>
      <c r="R53" s="143" t="n">
        <f aca="false">IFERROR(IF(OR(NOT(ISNUMBER('Price History'!R54)),NOT(ISNUMBER('Price History'!R53)),'Price History'!R53=0),"",'Price History'!R54/'Price History'!R53-1),"")</f>
        <v>-0.0343655589123867</v>
      </c>
      <c r="S53" s="143" t="n">
        <f aca="false">IFERROR(IF(OR(NOT(ISNUMBER('Price History'!S54)),NOT(ISNUMBER('Price History'!S53)),'Price History'!S53=0),"",'Price History'!S54/'Price History'!S53-1),"")</f>
        <v>-0.0297450424929178</v>
      </c>
      <c r="T53" s="143" t="n">
        <f aca="false">IFERROR(IF(OR(NOT(ISNUMBER('Price History'!T54)),NOT(ISNUMBER('Price History'!T53)),'Price History'!T53=0),"",'Price History'!T54/'Price History'!T53-1),"")</f>
        <v>-0.0286065825899723</v>
      </c>
      <c r="U53" s="143" t="str">
        <f aca="false">IFERROR(IF(OR(NOT(ISNUMBER('Price History'!U54)),NOT(ISNUMBER('Price History'!U53)),'Price History'!U53=0),"",'Price History'!U54/'Price History'!U53-1),"")</f>
        <v/>
      </c>
      <c r="V53" s="144" t="n">
        <f aca="false">IFERROR(IF(OR(NOT(ISNUMBER('Price History'!V54)),NOT(ISNUMBER('Price History'!V53)),'Price History'!V53=0),"",'Price History'!V54/'Price History'!V53-1),"")</f>
        <v>0.0274804970794622</v>
      </c>
      <c r="W53" s="145" t="str">
        <f aca="false">IFERROR('Price History'!B3+(INDEX('Price History'!B:B,MATCH(9.99E+307,'Price History'!$A:$A))-'Price History'!B3)*(ROW()-3)/(MATCH(9.99E+307,'Returns (Calc)'!$A:$A)-3),"")</f>
        <v/>
      </c>
      <c r="X53" s="145" t="n">
        <f aca="false">IFERROR('Price History'!C3+(INDEX('Price History'!C:C,MATCH(9.99E+307,'Price History'!$A:$A))-'Price History'!C3)*(ROW()-3)/(MATCH(9.99E+307,'Returns (Calc)'!$A:$A)-3),"")</f>
        <v>31.6579874213837</v>
      </c>
      <c r="Y53" s="145" t="n">
        <f aca="false">IFERROR('Price History'!D3+(INDEX('Price History'!D:D,MATCH(9.99E+307,'Price History'!$A:$A))-'Price History'!D3)*(ROW()-3)/(MATCH(9.99E+307,'Returns (Calc)'!$A:$A)-3),"")</f>
        <v>398.987987421384</v>
      </c>
      <c r="Z53" s="145" t="n">
        <f aca="false">IFERROR('Price History'!E3+(INDEX('Price History'!E:E,MATCH(9.99E+307,'Price History'!$A:$A))-'Price History'!E3)*(ROW()-3)/(MATCH(9.99E+307,'Returns (Calc)'!$A:$A)-3),"")</f>
        <v>56.2138364779874</v>
      </c>
      <c r="AA53" s="145" t="n">
        <f aca="false">IFERROR('Price History'!F3+(INDEX('Price History'!F:F,MATCH(9.99E+307,'Price History'!$A:$A))-'Price History'!F3)*(ROW()-3)/(MATCH(9.99E+307,'Returns (Calc)'!$A:$A)-3),"")</f>
        <v>51.6276100628931</v>
      </c>
      <c r="AB53" s="145" t="n">
        <f aca="false">IFERROR('Price History'!G3+(INDEX('Price History'!G:G,MATCH(9.99E+307,'Price History'!$A:$A))-'Price History'!G3)*(ROW()-3)/(MATCH(9.99E+307,'Returns (Calc)'!$A:$A)-3),"")</f>
        <v>28.3537106918239</v>
      </c>
      <c r="AC53" s="145" t="n">
        <f aca="false">IFERROR('Price History'!H3+(INDEX('Price History'!H:H,MATCH(9.99E+307,'Price History'!$A:$A))-'Price History'!H3)*(ROW()-3)/(MATCH(9.99E+307,'Returns (Calc)'!$A:$A)-3),"")</f>
        <v>68.9579245283019</v>
      </c>
      <c r="AD53" s="145" t="n">
        <f aca="false">IFERROR('Price History'!I3+(INDEX('Price History'!I:I,MATCH(9.99E+307,'Price History'!$A:$A))-'Price History'!I3)*(ROW()-3)/(MATCH(9.99E+307,'Returns (Calc)'!$A:$A)-3),"")</f>
        <v>30.4034591194969</v>
      </c>
      <c r="AE53" s="145" t="n">
        <f aca="false">IFERROR('Price History'!J3+(INDEX('Price History'!J:J,MATCH(9.99E+307,'Price History'!$A:$A))-'Price History'!J3)*(ROW()-3)/(MATCH(9.99E+307,'Returns (Calc)'!$A:$A)-3),"")</f>
        <v>47.3772955974843</v>
      </c>
      <c r="AF53" s="145" t="n">
        <f aca="false">IFERROR('Price History'!K3+(INDEX('Price History'!K:K,MATCH(9.99E+307,'Price History'!$A:$A))-'Price History'!K3)*(ROW()-3)/(MATCH(9.99E+307,'Returns (Calc)'!$A:$A)-3),"")</f>
        <v>30.0058490566038</v>
      </c>
      <c r="AG53" s="145" t="n">
        <f aca="false">IFERROR('Price History'!L3+(INDEX('Price History'!L:L,MATCH(9.99E+307,'Price History'!$A:$A))-'Price History'!L3)*(ROW()-3)/(MATCH(9.99E+307,'Returns (Calc)'!$A:$A)-3),"")</f>
        <v>76.6701886792453</v>
      </c>
      <c r="AH53" s="145" t="n">
        <f aca="false">IFERROR('Price History'!M3+(INDEX('Price History'!M:M,MATCH(9.99E+307,'Price History'!$A:$A))-'Price History'!M3)*(ROW()-3)/(MATCH(9.99E+307,'Returns (Calc)'!$A:$A)-3),"")</f>
        <v>10.5092452830189</v>
      </c>
      <c r="AI53" s="145" t="n">
        <f aca="false">IFERROR('Price History'!N3+(INDEX('Price History'!N:N,MATCH(9.99E+307,'Price History'!$A:$A))-'Price History'!N3)*(ROW()-3)/(MATCH(9.99E+307,'Returns (Calc)'!$A:$A)-3),"")</f>
        <v>14.9446540880503</v>
      </c>
      <c r="AJ53" s="145" t="n">
        <f aca="false">IFERROR('Price History'!O3+(INDEX('Price History'!O:O,MATCH(9.99E+307,'Price History'!$A:$A))-'Price History'!O3)*(ROW()-3)/(MATCH(9.99E+307,'Returns (Calc)'!$A:$A)-3),"")</f>
        <v>39.507358490566</v>
      </c>
      <c r="AK53" s="145" t="n">
        <f aca="false">IFERROR('Price History'!Q3+(INDEX('Price History'!Q:Q,MATCH(9.99E+307,'Price History'!$A:$A))-'Price History'!Q3)*(ROW()-3)/(MATCH(9.99E+307,'Returns (Calc)'!$A:$A)-3),"")</f>
        <v>161.53251572327</v>
      </c>
      <c r="AL53" s="145" t="n">
        <f aca="false">IFERROR('Price History'!R3+(INDEX('Price History'!R:R,MATCH(9.99E+307,'Price History'!$A:$A))-'Price History'!R3)*(ROW()-3)/(MATCH(9.99E+307,'Returns (Calc)'!$A:$A)-3),"")</f>
        <v>32.7822641509434</v>
      </c>
      <c r="AM53" s="145" t="n">
        <f aca="false">IFERROR('Price History'!S3+(INDEX('Price History'!S:S,MATCH(9.99E+307,'Price History'!$A:$A))-'Price History'!S3)*(ROW()-3)/(MATCH(9.99E+307,'Returns (Calc)'!$A:$A)-3),"")</f>
        <v>40.1311949685535</v>
      </c>
      <c r="AN53" s="145" t="n">
        <f aca="false">IFERROR('Price History'!T3+(INDEX('Price History'!T:T,MATCH(9.99E+307,'Price History'!$A:$A))-'Price History'!T3)*(ROW()-3)/(MATCH(9.99E+307,'Returns (Calc)'!$A:$A)-3),"")</f>
        <v>18.4477358490566</v>
      </c>
      <c r="AO53" s="146" t="n">
        <f aca="false">IFERROR('Price History'!V3+(INDEX('Price History'!V:V,MATCH(9.99E+307,'Price History'!$A:$A))-'Price History'!V3)*(ROW()-3)/(MATCH(9.99E+307,'Returns (Calc)'!$A:$A)-3),"")</f>
        <v>0</v>
      </c>
    </row>
    <row r="54" customFormat="false" ht="15" hidden="false" customHeight="true" outlineLevel="0" collapsed="false">
      <c r="A54" s="142" t="n">
        <f aca="false">IF('Price History'!A55="","",'Price History'!A55)</f>
        <v>45548</v>
      </c>
      <c r="B54" s="143" t="n">
        <f aca="false">IFERROR(IF(OR(NOT(ISNUMBER('Price History'!B55)),NOT(ISNUMBER('Price History'!B54)),'Price History'!B54=0),"",'Price History'!B55/'Price History'!B54-1),"")</f>
        <v>-0.0471060151577004</v>
      </c>
      <c r="C54" s="143" t="n">
        <f aca="false">IFERROR(IF(OR(NOT(ISNUMBER('Price History'!C55)),NOT(ISNUMBER('Price History'!C54)),'Price History'!C54=0),"",'Price History'!C55/'Price History'!C54-1),"")</f>
        <v>0.14456604734029</v>
      </c>
      <c r="D54" s="143" t="n">
        <f aca="false">IFERROR(IF(OR(NOT(ISNUMBER('Price History'!D55)),NOT(ISNUMBER('Price History'!D54)),'Price History'!D54=0),"",'Price History'!D55/'Price History'!D54-1),"")</f>
        <v>0.0844431238012913</v>
      </c>
      <c r="E54" s="143" t="n">
        <f aca="false">IFERROR(IF(OR(NOT(ISNUMBER('Price History'!E55)),NOT(ISNUMBER('Price History'!E54)),'Price History'!E54=0),"",'Price History'!E55/'Price History'!E54-1),"")</f>
        <v>0.224018475750578</v>
      </c>
      <c r="F54" s="143" t="n">
        <f aca="false">IFERROR(IF(OR(NOT(ISNUMBER('Price History'!F55)),NOT(ISNUMBER('Price History'!F54)),'Price History'!F54=0),"",'Price History'!F55/'Price History'!F54-1),"")</f>
        <v>0.0288329519450801</v>
      </c>
      <c r="G54" s="143" t="n">
        <f aca="false">IFERROR(IF(OR(NOT(ISNUMBER('Price History'!G55)),NOT(ISNUMBER('Price History'!G54)),'Price History'!G54=0),"",'Price History'!G55/'Price History'!G54-1),"")</f>
        <v>0.0516233766233767</v>
      </c>
      <c r="H54" s="143" t="n">
        <f aca="false">IFERROR(IF(OR(NOT(ISNUMBER('Price History'!H55)),NOT(ISNUMBER('Price History'!H54)),'Price History'!H54=0),"",'Price History'!H55/'Price History'!H54-1),"")</f>
        <v>0.0185369083085072</v>
      </c>
      <c r="I54" s="143" t="n">
        <f aca="false">IFERROR(IF(OR(NOT(ISNUMBER('Price History'!I55)),NOT(ISNUMBER('Price History'!I54)),'Price History'!I54=0),"",'Price History'!I55/'Price History'!I54-1),"")</f>
        <v>0.0693341037122635</v>
      </c>
      <c r="J54" s="143" t="n">
        <f aca="false">IFERROR(IF(OR(NOT(ISNUMBER('Price History'!J55)),NOT(ISNUMBER('Price History'!J54)),'Price History'!J54=0),"",'Price History'!J55/'Price History'!J54-1),"")</f>
        <v>0.0560344827586208</v>
      </c>
      <c r="K54" s="143" t="n">
        <f aca="false">IFERROR(IF(OR(NOT(ISNUMBER('Price History'!K55)),NOT(ISNUMBER('Price History'!K54)),'Price History'!K54=0),"",'Price History'!K55/'Price History'!K54-1),"")</f>
        <v>0.158264261335934</v>
      </c>
      <c r="L54" s="143" t="n">
        <f aca="false">IFERROR(IF(OR(NOT(ISNUMBER('Price History'!L55)),NOT(ISNUMBER('Price History'!L54)),'Price History'!L54=0),"",'Price History'!L55/'Price History'!L54-1),"")</f>
        <v>0.0215863878777618</v>
      </c>
      <c r="M54" s="143" t="n">
        <f aca="false">IFERROR(IF(OR(NOT(ISNUMBER('Price History'!M55)),NOT(ISNUMBER('Price History'!M54)),'Price History'!M54=0),"",'Price History'!M55/'Price History'!M54-1),"")</f>
        <v>0.173425651170458</v>
      </c>
      <c r="N54" s="143" t="n">
        <f aca="false">IFERROR(IF(OR(NOT(ISNUMBER('Price History'!N55)),NOT(ISNUMBER('Price History'!N54)),'Price History'!N54=0),"",'Price History'!N55/'Price History'!N54-1),"")</f>
        <v>0.0166600555335183</v>
      </c>
      <c r="O54" s="143" t="n">
        <f aca="false">IFERROR(IF(OR(NOT(ISNUMBER('Price History'!O55)),NOT(ISNUMBER('Price History'!O54)),'Price History'!O54=0),"",'Price History'!O55/'Price History'!O54-1),"")</f>
        <v>0.0615533745304737</v>
      </c>
      <c r="P54" s="143" t="n">
        <f aca="false">IFERROR(IF(OR(NOT(ISNUMBER('Price History'!P55)),NOT(ISNUMBER('Price History'!P54)),'Price History'!P54=0),"",'Price History'!P55/'Price History'!P54-1),"")</f>
        <v>0.104013641133264</v>
      </c>
      <c r="Q54" s="143" t="n">
        <f aca="false">IFERROR(IF(OR(NOT(ISNUMBER('Price History'!Q55)),NOT(ISNUMBER('Price History'!Q54)),'Price History'!Q54=0),"",'Price History'!Q55/'Price History'!Q54-1),"")</f>
        <v>0.028558971005014</v>
      </c>
      <c r="R54" s="143" t="n">
        <f aca="false">IFERROR(IF(OR(NOT(ISNUMBER('Price History'!R55)),NOT(ISNUMBER('Price History'!R54)),'Price History'!R54=0),"",'Price History'!R55/'Price History'!R54-1),"")</f>
        <v>0.00293312475557284</v>
      </c>
      <c r="S54" s="143" t="n">
        <f aca="false">IFERROR(IF(OR(NOT(ISNUMBER('Price History'!S55)),NOT(ISNUMBER('Price History'!S54)),'Price History'!S54=0),"",'Price History'!S55/'Price History'!S54-1),"")</f>
        <v>0.0172749391727494</v>
      </c>
      <c r="T54" s="143" t="n">
        <f aca="false">IFERROR(IF(OR(NOT(ISNUMBER('Price History'!T55)),NOT(ISNUMBER('Price History'!T54)),'Price History'!T54=0),"",'Price History'!T55/'Price History'!T54-1),"")</f>
        <v>-0.00158328055731471</v>
      </c>
      <c r="U54" s="143" t="str">
        <f aca="false">IFERROR(IF(OR(NOT(ISNUMBER('Price History'!U55)),NOT(ISNUMBER('Price History'!U54)),'Price History'!U54=0),"",'Price History'!U55/'Price History'!U54-1),"")</f>
        <v/>
      </c>
      <c r="V54" s="144" t="n">
        <f aca="false">IFERROR(IF(OR(NOT(ISNUMBER('Price History'!V55)),NOT(ISNUMBER('Price History'!V54)),'Price History'!V54=0),"",'Price History'!V55/'Price History'!V54-1),"")</f>
        <v>-0.0236550934757727</v>
      </c>
      <c r="W54" s="145" t="str">
        <f aca="false">IFERROR('Price History'!B3+(INDEX('Price History'!B:B,MATCH(9.99E+307,'Price History'!$A:$A))-'Price History'!B3)*(ROW()-3)/(MATCH(9.99E+307,'Returns (Calc)'!$A:$A)-3),"")</f>
        <v/>
      </c>
      <c r="X54" s="145" t="n">
        <f aca="false">IFERROR('Price History'!C3+(INDEX('Price History'!C:C,MATCH(9.99E+307,'Price History'!$A:$A))-'Price History'!C3)*(ROW()-3)/(MATCH(9.99E+307,'Returns (Calc)'!$A:$A)-3),"")</f>
        <v>31.3675471698113</v>
      </c>
      <c r="Y54" s="145" t="n">
        <f aca="false">IFERROR('Price History'!D3+(INDEX('Price History'!D:D,MATCH(9.99E+307,'Price History'!$A:$A))-'Price History'!D3)*(ROW()-3)/(MATCH(9.99E+307,'Returns (Calc)'!$A:$A)-3),"")</f>
        <v>395.327547169811</v>
      </c>
      <c r="Z54" s="145" t="n">
        <f aca="false">IFERROR('Price History'!E3+(INDEX('Price History'!E:E,MATCH(9.99E+307,'Price History'!$A:$A))-'Price History'!E3)*(ROW()-3)/(MATCH(9.99E+307,'Returns (Calc)'!$A:$A)-3),"")</f>
        <v>55.6981132075472</v>
      </c>
      <c r="AA54" s="145" t="n">
        <f aca="false">IFERROR('Price History'!F3+(INDEX('Price History'!F:F,MATCH(9.99E+307,'Price History'!$A:$A))-'Price History'!F3)*(ROW()-3)/(MATCH(9.99E+307,'Returns (Calc)'!$A:$A)-3),"")</f>
        <v>51.153962264151</v>
      </c>
      <c r="AB54" s="145" t="n">
        <f aca="false">IFERROR('Price History'!G3+(INDEX('Price History'!G:G,MATCH(9.99E+307,'Price History'!$A:$A))-'Price History'!G3)*(ROW()-3)/(MATCH(9.99E+307,'Returns (Calc)'!$A:$A)-3),"")</f>
        <v>28.0935849056604</v>
      </c>
      <c r="AC54" s="145" t="n">
        <f aca="false">IFERROR('Price History'!H3+(INDEX('Price History'!H:H,MATCH(9.99E+307,'Price History'!$A:$A))-'Price History'!H3)*(ROW()-3)/(MATCH(9.99E+307,'Returns (Calc)'!$A:$A)-3),"")</f>
        <v>68.3252830188679</v>
      </c>
      <c r="AD54" s="145" t="n">
        <f aca="false">IFERROR('Price History'!I3+(INDEX('Price History'!I:I,MATCH(9.99E+307,'Price History'!$A:$A))-'Price History'!I3)*(ROW()-3)/(MATCH(9.99E+307,'Returns (Calc)'!$A:$A)-3),"")</f>
        <v>30.1245283018868</v>
      </c>
      <c r="AE54" s="145" t="n">
        <f aca="false">IFERROR('Price History'!J3+(INDEX('Price History'!J:J,MATCH(9.99E+307,'Price History'!$A:$A))-'Price History'!J3)*(ROW()-3)/(MATCH(9.99E+307,'Returns (Calc)'!$A:$A)-3),"")</f>
        <v>46.942641509434</v>
      </c>
      <c r="AF54" s="145" t="n">
        <f aca="false">IFERROR('Price History'!K3+(INDEX('Price History'!K:K,MATCH(9.99E+307,'Price History'!$A:$A))-'Price History'!K3)*(ROW()-3)/(MATCH(9.99E+307,'Returns (Calc)'!$A:$A)-3),"")</f>
        <v>29.7305660377359</v>
      </c>
      <c r="AG54" s="145" t="n">
        <f aca="false">IFERROR('Price History'!L3+(INDEX('Price History'!L:L,MATCH(9.99E+307,'Price History'!$A:$A))-'Price History'!L3)*(ROW()-3)/(MATCH(9.99E+307,'Returns (Calc)'!$A:$A)-3),"")</f>
        <v>75.9667924528302</v>
      </c>
      <c r="AH54" s="145" t="n">
        <f aca="false">IFERROR('Price History'!M3+(INDEX('Price History'!M:M,MATCH(9.99E+307,'Price History'!$A:$A))-'Price History'!M3)*(ROW()-3)/(MATCH(9.99E+307,'Returns (Calc)'!$A:$A)-3),"")</f>
        <v>10.4128301886792</v>
      </c>
      <c r="AI54" s="145" t="n">
        <f aca="false">IFERROR('Price History'!N3+(INDEX('Price History'!N:N,MATCH(9.99E+307,'Price History'!$A:$A))-'Price History'!N3)*(ROW()-3)/(MATCH(9.99E+307,'Returns (Calc)'!$A:$A)-3),"")</f>
        <v>14.8075471698113</v>
      </c>
      <c r="AJ54" s="145" t="n">
        <f aca="false">IFERROR('Price History'!O3+(INDEX('Price History'!O:O,MATCH(9.99E+307,'Price History'!$A:$A))-'Price History'!O3)*(ROW()-3)/(MATCH(9.99E+307,'Returns (Calc)'!$A:$A)-3),"")</f>
        <v>39.1449056603774</v>
      </c>
      <c r="AK54" s="145" t="n">
        <f aca="false">IFERROR('Price History'!Q3+(INDEX('Price History'!Q:Q,MATCH(9.99E+307,'Price History'!$A:$A))-'Price History'!Q3)*(ROW()-3)/(MATCH(9.99E+307,'Returns (Calc)'!$A:$A)-3),"")</f>
        <v>160.050566037736</v>
      </c>
      <c r="AL54" s="145" t="n">
        <f aca="false">IFERROR('Price History'!R3+(INDEX('Price History'!R:R,MATCH(9.99E+307,'Price History'!$A:$A))-'Price History'!R3)*(ROW()-3)/(MATCH(9.99E+307,'Returns (Calc)'!$A:$A)-3),"")</f>
        <v>32.4815094339623</v>
      </c>
      <c r="AM54" s="145" t="n">
        <f aca="false">IFERROR('Price History'!S3+(INDEX('Price History'!S:S,MATCH(9.99E+307,'Price History'!$A:$A))-'Price History'!S3)*(ROW()-3)/(MATCH(9.99E+307,'Returns (Calc)'!$A:$A)-3),"")</f>
        <v>39.7630188679245</v>
      </c>
      <c r="AN54" s="145" t="n">
        <f aca="false">IFERROR('Price History'!T3+(INDEX('Price History'!T:T,MATCH(9.99E+307,'Price History'!$A:$A))-'Price History'!T3)*(ROW()-3)/(MATCH(9.99E+307,'Returns (Calc)'!$A:$A)-3),"")</f>
        <v>18.2784905660377</v>
      </c>
      <c r="AO54" s="146" t="n">
        <f aca="false">IFERROR('Price History'!V3+(INDEX('Price History'!V:V,MATCH(9.99E+307,'Price History'!$A:$A))-'Price History'!V3)*(ROW()-3)/(MATCH(9.99E+307,'Returns (Calc)'!$A:$A)-3),"")</f>
        <v>0</v>
      </c>
    </row>
    <row r="55" customFormat="false" ht="15" hidden="false" customHeight="true" outlineLevel="0" collapsed="false">
      <c r="A55" s="142" t="n">
        <f aca="false">IF('Price History'!A56="","",'Price History'!A56)</f>
        <v>45555</v>
      </c>
      <c r="B55" s="143" t="n">
        <f aca="false">IFERROR(IF(OR(NOT(ISNUMBER('Price History'!B56)),NOT(ISNUMBER('Price History'!B55)),'Price History'!B55=0),"",'Price History'!B56/'Price History'!B55-1),"")</f>
        <v>-0.0271387859258294</v>
      </c>
      <c r="C55" s="143" t="n">
        <f aca="false">IFERROR(IF(OR(NOT(ISNUMBER('Price History'!C56)),NOT(ISNUMBER('Price History'!C55)),'Price History'!C55=0),"",'Price History'!C56/'Price History'!C55-1),"")</f>
        <v>0.0686012897487214</v>
      </c>
      <c r="D55" s="143" t="n">
        <f aca="false">IFERROR(IF(OR(NOT(ISNUMBER('Price History'!D56)),NOT(ISNUMBER('Price History'!D55)),'Price History'!D55=0),"",'Price History'!D56/'Price History'!D55-1),"")</f>
        <v>-0.0258189064640678</v>
      </c>
      <c r="E55" s="143" t="n">
        <f aca="false">IFERROR(IF(OR(NOT(ISNUMBER('Price History'!E56)),NOT(ISNUMBER('Price History'!E55)),'Price History'!E55=0),"",'Price History'!E56/'Price History'!E55-1),"")</f>
        <v>0.0236762020693853</v>
      </c>
      <c r="F55" s="143" t="n">
        <f aca="false">IFERROR(IF(OR(NOT(ISNUMBER('Price History'!F56)),NOT(ISNUMBER('Price History'!F55)),'Price History'!F55=0),"",'Price History'!F56/'Price History'!F55-1),"")</f>
        <v>0.0302491103202847</v>
      </c>
      <c r="G55" s="143" t="n">
        <f aca="false">IFERROR(IF(OR(NOT(ISNUMBER('Price History'!G56)),NOT(ISNUMBER('Price History'!G55)),'Price History'!G55=0),"",'Price History'!G56/'Price History'!G55-1),"")</f>
        <v>0.157147267675208</v>
      </c>
      <c r="H55" s="143" t="n">
        <f aca="false">IFERROR(IF(OR(NOT(ISNUMBER('Price History'!H56)),NOT(ISNUMBER('Price History'!H55)),'Price History'!H55=0),"",'Price History'!H56/'Price History'!H55-1),"")</f>
        <v>0.0121059473513161</v>
      </c>
      <c r="I55" s="143" t="n">
        <f aca="false">IFERROR(IF(OR(NOT(ISNUMBER('Price History'!I56)),NOT(ISNUMBER('Price History'!I55)),'Price History'!I55=0),"",'Price History'!I56/'Price History'!I55-1),"")</f>
        <v>0.00986086721599366</v>
      </c>
      <c r="J55" s="143" t="n">
        <f aca="false">IFERROR(IF(OR(NOT(ISNUMBER('Price History'!J56)),NOT(ISNUMBER('Price History'!J55)),'Price History'!J55=0),"",'Price History'!J56/'Price History'!J55-1),"")</f>
        <v>-0.00353006067291795</v>
      </c>
      <c r="K55" s="143" t="n">
        <f aca="false">IFERROR(IF(OR(NOT(ISNUMBER('Price History'!K56)),NOT(ISNUMBER('Price History'!K55)),'Price History'!K55=0),"",'Price History'!K56/'Price History'!K55-1),"")</f>
        <v>-0.0260144805522815</v>
      </c>
      <c r="L55" s="143" t="n">
        <f aca="false">IFERROR(IF(OR(NOT(ISNUMBER('Price History'!L56)),NOT(ISNUMBER('Price History'!L55)),'Price History'!L55=0),"",'Price History'!L56/'Price History'!L55-1),"")</f>
        <v>-0.0275107722903547</v>
      </c>
      <c r="M55" s="143" t="n">
        <f aca="false">IFERROR(IF(OR(NOT(ISNUMBER('Price History'!M56)),NOT(ISNUMBER('Price History'!M55)),'Price History'!M55=0),"",'Price History'!M56/'Price History'!M55-1),"")</f>
        <v>0.0452374262433268</v>
      </c>
      <c r="N55" s="143" t="n">
        <f aca="false">IFERROR(IF(OR(NOT(ISNUMBER('Price History'!N56)),NOT(ISNUMBER('Price History'!N55)),'Price History'!N55=0),"",'Price History'!N56/'Price History'!N55-1),"")</f>
        <v>0.0132657042528288</v>
      </c>
      <c r="O55" s="143" t="n">
        <f aca="false">IFERROR(IF(OR(NOT(ISNUMBER('Price History'!O56)),NOT(ISNUMBER('Price History'!O55)),'Price History'!O55=0),"",'Price History'!O56/'Price History'!O55-1),"")</f>
        <v>0.0162081954114828</v>
      </c>
      <c r="P55" s="143" t="n">
        <f aca="false">IFERROR(IF(OR(NOT(ISNUMBER('Price History'!P56)),NOT(ISNUMBER('Price History'!P55)),'Price History'!P55=0),"",'Price History'!P56/'Price History'!P55-1),"")</f>
        <v>0.00920755613639046</v>
      </c>
      <c r="Q55" s="143" t="n">
        <f aca="false">IFERROR(IF(OR(NOT(ISNUMBER('Price History'!Q56)),NOT(ISNUMBER('Price History'!Q55)),'Price History'!Q55=0),"",'Price History'!Q56/'Price History'!Q55-1),"")</f>
        <v>-0.00897272855729814</v>
      </c>
      <c r="R55" s="143" t="n">
        <f aca="false">IFERROR(IF(OR(NOT(ISNUMBER('Price History'!R56)),NOT(ISNUMBER('Price History'!R55)),'Price History'!R55=0),"",'Price History'!R56/'Price History'!R55-1),"")</f>
        <v>0.0421134724117762</v>
      </c>
      <c r="S55" s="143" t="n">
        <f aca="false">IFERROR(IF(OR(NOT(ISNUMBER('Price History'!S56)),NOT(ISNUMBER('Price History'!S55)),'Price History'!S55=0),"",'Price History'!S56/'Price History'!S55-1),"")</f>
        <v>0.0570437694331498</v>
      </c>
      <c r="T55" s="143" t="n">
        <f aca="false">IFERROR(IF(OR(NOT(ISNUMBER('Price History'!T56)),NOT(ISNUMBER('Price History'!T55)),'Price History'!T55=0),"",'Price History'!T56/'Price History'!T55-1),"")</f>
        <v>0.0161750713606088</v>
      </c>
      <c r="U55" s="143" t="str">
        <f aca="false">IFERROR(IF(OR(NOT(ISNUMBER('Price History'!U56)),NOT(ISNUMBER('Price History'!U55)),'Price History'!U55=0),"",'Price History'!U56/'Price History'!U55-1),"")</f>
        <v/>
      </c>
      <c r="V55" s="144" t="n">
        <f aca="false">IFERROR(IF(OR(NOT(ISNUMBER('Price History'!V56)),NOT(ISNUMBER('Price History'!V55)),'Price History'!V55=0),"",'Price History'!V56/'Price History'!V55-1),"")</f>
        <v>0.0293474013286441</v>
      </c>
      <c r="W55" s="145" t="str">
        <f aca="false">IFERROR('Price History'!B3+(INDEX('Price History'!B:B,MATCH(9.99E+307,'Price History'!$A:$A))-'Price History'!B3)*(ROW()-3)/(MATCH(9.99E+307,'Returns (Calc)'!$A:$A)-3),"")</f>
        <v/>
      </c>
      <c r="X55" s="145" t="n">
        <f aca="false">IFERROR('Price History'!C3+(INDEX('Price History'!C:C,MATCH(9.99E+307,'Price History'!$A:$A))-'Price History'!C3)*(ROW()-3)/(MATCH(9.99E+307,'Returns (Calc)'!$A:$A)-3),"")</f>
        <v>31.077106918239</v>
      </c>
      <c r="Y55" s="145" t="n">
        <f aca="false">IFERROR('Price History'!D3+(INDEX('Price History'!D:D,MATCH(9.99E+307,'Price History'!$A:$A))-'Price History'!D3)*(ROW()-3)/(MATCH(9.99E+307,'Returns (Calc)'!$A:$A)-3),"")</f>
        <v>391.667106918239</v>
      </c>
      <c r="Z55" s="145" t="n">
        <f aca="false">IFERROR('Price History'!E3+(INDEX('Price History'!E:E,MATCH(9.99E+307,'Price History'!$A:$A))-'Price History'!E3)*(ROW()-3)/(MATCH(9.99E+307,'Returns (Calc)'!$A:$A)-3),"")</f>
        <v>55.1823899371069</v>
      </c>
      <c r="AA55" s="145" t="n">
        <f aca="false">IFERROR('Price History'!F3+(INDEX('Price History'!F:F,MATCH(9.99E+307,'Price History'!$A:$A))-'Price History'!F3)*(ROW()-3)/(MATCH(9.99E+307,'Returns (Calc)'!$A:$A)-3),"")</f>
        <v>50.6803144654088</v>
      </c>
      <c r="AB55" s="145" t="n">
        <f aca="false">IFERROR('Price History'!G3+(INDEX('Price History'!G:G,MATCH(9.99E+307,'Price History'!$A:$A))-'Price History'!G3)*(ROW()-3)/(MATCH(9.99E+307,'Returns (Calc)'!$A:$A)-3),"")</f>
        <v>27.8334591194969</v>
      </c>
      <c r="AC55" s="145" t="n">
        <f aca="false">IFERROR('Price History'!H3+(INDEX('Price History'!H:H,MATCH(9.99E+307,'Price History'!$A:$A))-'Price History'!H3)*(ROW()-3)/(MATCH(9.99E+307,'Returns (Calc)'!$A:$A)-3),"")</f>
        <v>67.692641509434</v>
      </c>
      <c r="AD55" s="145" t="n">
        <f aca="false">IFERROR('Price History'!I3+(INDEX('Price History'!I:I,MATCH(9.99E+307,'Price History'!$A:$A))-'Price History'!I3)*(ROW()-3)/(MATCH(9.99E+307,'Returns (Calc)'!$A:$A)-3),"")</f>
        <v>29.8455974842767</v>
      </c>
      <c r="AE55" s="145" t="n">
        <f aca="false">IFERROR('Price History'!J3+(INDEX('Price History'!J:J,MATCH(9.99E+307,'Price History'!$A:$A))-'Price History'!J3)*(ROW()-3)/(MATCH(9.99E+307,'Returns (Calc)'!$A:$A)-3),"")</f>
        <v>46.5079874213836</v>
      </c>
      <c r="AF55" s="145" t="n">
        <f aca="false">IFERROR('Price History'!K3+(INDEX('Price History'!K:K,MATCH(9.99E+307,'Price History'!$A:$A))-'Price History'!K3)*(ROW()-3)/(MATCH(9.99E+307,'Returns (Calc)'!$A:$A)-3),"")</f>
        <v>29.4552830188679</v>
      </c>
      <c r="AG55" s="145" t="n">
        <f aca="false">IFERROR('Price History'!L3+(INDEX('Price History'!L:L,MATCH(9.99E+307,'Price History'!$A:$A))-'Price History'!L3)*(ROW()-3)/(MATCH(9.99E+307,'Returns (Calc)'!$A:$A)-3),"")</f>
        <v>75.2633962264151</v>
      </c>
      <c r="AH55" s="145" t="n">
        <f aca="false">IFERROR('Price History'!M3+(INDEX('Price History'!M:M,MATCH(9.99E+307,'Price History'!$A:$A))-'Price History'!M3)*(ROW()-3)/(MATCH(9.99E+307,'Returns (Calc)'!$A:$A)-3),"")</f>
        <v>10.3164150943396</v>
      </c>
      <c r="AI55" s="145" t="n">
        <f aca="false">IFERROR('Price History'!N3+(INDEX('Price History'!N:N,MATCH(9.99E+307,'Price History'!$A:$A))-'Price History'!N3)*(ROW()-3)/(MATCH(9.99E+307,'Returns (Calc)'!$A:$A)-3),"")</f>
        <v>14.6704402515723</v>
      </c>
      <c r="AJ55" s="145" t="n">
        <f aca="false">IFERROR('Price History'!O3+(INDEX('Price History'!O:O,MATCH(9.99E+307,'Price History'!$A:$A))-'Price History'!O3)*(ROW()-3)/(MATCH(9.99E+307,'Returns (Calc)'!$A:$A)-3),"")</f>
        <v>38.7824528301887</v>
      </c>
      <c r="AK55" s="145" t="n">
        <f aca="false">IFERROR('Price History'!Q3+(INDEX('Price History'!Q:Q,MATCH(9.99E+307,'Price History'!$A:$A))-'Price History'!Q3)*(ROW()-3)/(MATCH(9.99E+307,'Returns (Calc)'!$A:$A)-3),"")</f>
        <v>158.568616352201</v>
      </c>
      <c r="AL55" s="145" t="n">
        <f aca="false">IFERROR('Price History'!R3+(INDEX('Price History'!R:R,MATCH(9.99E+307,'Price History'!$A:$A))-'Price History'!R3)*(ROW()-3)/(MATCH(9.99E+307,'Returns (Calc)'!$A:$A)-3),"")</f>
        <v>32.1807547169811</v>
      </c>
      <c r="AM55" s="145" t="n">
        <f aca="false">IFERROR('Price History'!S3+(INDEX('Price History'!S:S,MATCH(9.99E+307,'Price History'!$A:$A))-'Price History'!S3)*(ROW()-3)/(MATCH(9.99E+307,'Returns (Calc)'!$A:$A)-3),"")</f>
        <v>39.3948427672956</v>
      </c>
      <c r="AN55" s="145" t="n">
        <f aca="false">IFERROR('Price History'!T3+(INDEX('Price History'!T:T,MATCH(9.99E+307,'Price History'!$A:$A))-'Price History'!T3)*(ROW()-3)/(MATCH(9.99E+307,'Returns (Calc)'!$A:$A)-3),"")</f>
        <v>18.1092452830189</v>
      </c>
      <c r="AO55" s="146" t="n">
        <f aca="false">IFERROR('Price History'!V3+(INDEX('Price History'!V:V,MATCH(9.99E+307,'Price History'!$A:$A))-'Price History'!V3)*(ROW()-3)/(MATCH(9.99E+307,'Returns (Calc)'!$A:$A)-3),"")</f>
        <v>0</v>
      </c>
    </row>
    <row r="56" customFormat="false" ht="15" hidden="false" customHeight="true" outlineLevel="0" collapsed="false">
      <c r="A56" s="142" t="n">
        <f aca="false">IF('Price History'!A57="","",'Price History'!A57)</f>
        <v>45562</v>
      </c>
      <c r="B56" s="143" t="n">
        <f aca="false">IFERROR(IF(OR(NOT(ISNUMBER('Price History'!B57)),NOT(ISNUMBER('Price History'!B56)),'Price History'!B56=0),"",'Price History'!B57/'Price History'!B56-1),"")</f>
        <v>-0.0130576297147232</v>
      </c>
      <c r="C56" s="143" t="n">
        <f aca="false">IFERROR(IF(OR(NOT(ISNUMBER('Price History'!C57)),NOT(ISNUMBER('Price History'!C56)),'Price History'!C56=0),"",'Price History'!C57/'Price History'!C56-1),"")</f>
        <v>-0.0108209343460619</v>
      </c>
      <c r="D56" s="143" t="n">
        <f aca="false">IFERROR(IF(OR(NOT(ISNUMBER('Price History'!D57)),NOT(ISNUMBER('Price History'!D56)),'Price History'!D56=0),"",'Price History'!D57/'Price History'!D56-1),"")</f>
        <v>0.0581714972448444</v>
      </c>
      <c r="E56" s="143" t="n">
        <f aca="false">IFERROR(IF(OR(NOT(ISNUMBER('Price History'!E57)),NOT(ISNUMBER('Price History'!E56)),'Price History'!E56=0),"",'Price History'!E57/'Price History'!E56-1),"")</f>
        <v>0.00927522444854034</v>
      </c>
      <c r="F56" s="143" t="n">
        <f aca="false">IFERROR(IF(OR(NOT(ISNUMBER('Price History'!F57)),NOT(ISNUMBER('Price History'!F56)),'Price History'!F56=0),"",'Price History'!F57/'Price History'!F56-1),"")</f>
        <v>0.000431778929188331</v>
      </c>
      <c r="G56" s="143" t="n">
        <f aca="false">IFERROR(IF(OR(NOT(ISNUMBER('Price History'!G57)),NOT(ISNUMBER('Price History'!G56)),'Price History'!G56=0),"",'Price History'!G57/'Price History'!G56-1),"")</f>
        <v>-0.0466915688367129</v>
      </c>
      <c r="H56" s="143" t="n">
        <f aca="false">IFERROR(IF(OR(NOT(ISNUMBER('Price History'!H57)),NOT(ISNUMBER('Price History'!H56)),'Price History'!H56=0),"",'Price History'!H57/'Price History'!H56-1),"")</f>
        <v>0.00770651039576142</v>
      </c>
      <c r="I56" s="143" t="n">
        <f aca="false">IFERROR(IF(OR(NOT(ISNUMBER('Price History'!I57)),NOT(ISNUMBER('Price History'!I56)),'Price History'!I56=0),"",'Price History'!I57/'Price History'!I56-1),"")</f>
        <v>0.0310326377742107</v>
      </c>
      <c r="J56" s="143" t="n">
        <f aca="false">IFERROR(IF(OR(NOT(ISNUMBER('Price History'!J57)),NOT(ISNUMBER('Price History'!J56)),'Price History'!J56=0),"",'Price History'!J57/'Price History'!J56-1),"")</f>
        <v>0.182663566921289</v>
      </c>
      <c r="K56" s="143" t="n">
        <f aca="false">IFERROR(IF(OR(NOT(ISNUMBER('Price History'!K57)),NOT(ISNUMBER('Price History'!K56)),'Price History'!K56=0),"",'Price History'!K57/'Price History'!K56-1),"")</f>
        <v>0.0465900250669893</v>
      </c>
      <c r="L56" s="143" t="n">
        <f aca="false">IFERROR(IF(OR(NOT(ISNUMBER('Price History'!L57)),NOT(ISNUMBER('Price History'!L56)),'Price History'!L56=0),"",'Price History'!L57/'Price History'!L56-1),"")</f>
        <v>0.000937286980231766</v>
      </c>
      <c r="M56" s="143" t="n">
        <f aca="false">IFERROR(IF(OR(NOT(ISNUMBER('Price History'!M57)),NOT(ISNUMBER('Price History'!M56)),'Price History'!M56=0),"",'Price History'!M57/'Price History'!M56-1),"")</f>
        <v>-0.00967741935483868</v>
      </c>
      <c r="N56" s="143" t="n">
        <f aca="false">IFERROR(IF(OR(NOT(ISNUMBER('Price History'!N57)),NOT(ISNUMBER('Price History'!N56)),'Price History'!N56=0),"",'Price History'!N57/'Price History'!N56-1),"")</f>
        <v>0.00616095494801705</v>
      </c>
      <c r="O56" s="143" t="n">
        <f aca="false">IFERROR(IF(OR(NOT(ISNUMBER('Price History'!O57)),NOT(ISNUMBER('Price History'!O56)),'Price History'!O56=0),"",'Price History'!O57/'Price History'!O56-1),"")</f>
        <v>-0.00134786027181855</v>
      </c>
      <c r="P56" s="143" t="n">
        <f aca="false">IFERROR(IF(OR(NOT(ISNUMBER('Price History'!P57)),NOT(ISNUMBER('Price History'!P56)),'Price History'!P56=0),"",'Price History'!P57/'Price History'!P56-1),"")</f>
        <v>0.0223085525928544</v>
      </c>
      <c r="Q56" s="143" t="n">
        <f aca="false">IFERROR(IF(OR(NOT(ISNUMBER('Price History'!Q57)),NOT(ISNUMBER('Price History'!Q56)),'Price History'!Q56=0),"",'Price History'!Q57/'Price History'!Q56-1),"")</f>
        <v>-0.0337206815427391</v>
      </c>
      <c r="R56" s="143" t="n">
        <f aca="false">IFERROR(IF(OR(NOT(ISNUMBER('Price History'!R57)),NOT(ISNUMBER('Price History'!R56)),'Price History'!R56=0),"",'Price History'!R57/'Price History'!R56-1),"")</f>
        <v>0.00841908325537877</v>
      </c>
      <c r="S56" s="143" t="n">
        <f aca="false">IFERROR(IF(OR(NOT(ISNUMBER('Price History'!S57)),NOT(ISNUMBER('Price History'!S56)),'Price History'!S56=0),"",'Price History'!S57/'Price History'!S56-1),"")</f>
        <v>0.0138024663423464</v>
      </c>
      <c r="T56" s="143" t="n">
        <f aca="false">IFERROR(IF(OR(NOT(ISNUMBER('Price History'!T57)),NOT(ISNUMBER('Price History'!T56)),'Price History'!T56=0),"",'Price History'!T57/'Price History'!T56-1),"")</f>
        <v>0.0327715355805245</v>
      </c>
      <c r="U56" s="143" t="str">
        <f aca="false">IFERROR(IF(OR(NOT(ISNUMBER('Price History'!U57)),NOT(ISNUMBER('Price History'!U56)),'Price History'!U56=0),"",'Price History'!U57/'Price History'!U56-1),"")</f>
        <v/>
      </c>
      <c r="V56" s="144" t="n">
        <f aca="false">IFERROR(IF(OR(NOT(ISNUMBER('Price History'!V57)),NOT(ISNUMBER('Price History'!V56)),'Price History'!V56=0),"",'Price History'!V57/'Price History'!V56-1),"")</f>
        <v>0.000227781785050007</v>
      </c>
      <c r="W56" s="145" t="str">
        <f aca="false">IFERROR('Price History'!B3+(INDEX('Price History'!B:B,MATCH(9.99E+307,'Price History'!$A:$A))-'Price History'!B3)*(ROW()-3)/(MATCH(9.99E+307,'Returns (Calc)'!$A:$A)-3),"")</f>
        <v/>
      </c>
      <c r="X56" s="145" t="n">
        <f aca="false">IFERROR('Price History'!C3+(INDEX('Price History'!C:C,MATCH(9.99E+307,'Price History'!$A:$A))-'Price History'!C3)*(ROW()-3)/(MATCH(9.99E+307,'Returns (Calc)'!$A:$A)-3),"")</f>
        <v>30.7866666666667</v>
      </c>
      <c r="Y56" s="145" t="n">
        <f aca="false">IFERROR('Price History'!D3+(INDEX('Price History'!D:D,MATCH(9.99E+307,'Price History'!$A:$A))-'Price History'!D3)*(ROW()-3)/(MATCH(9.99E+307,'Returns (Calc)'!$A:$A)-3),"")</f>
        <v>388.006666666667</v>
      </c>
      <c r="Z56" s="145" t="n">
        <f aca="false">IFERROR('Price History'!E3+(INDEX('Price History'!E:E,MATCH(9.99E+307,'Price History'!$A:$A))-'Price History'!E3)*(ROW()-3)/(MATCH(9.99E+307,'Returns (Calc)'!$A:$A)-3),"")</f>
        <v>54.6666666666667</v>
      </c>
      <c r="AA56" s="145" t="n">
        <f aca="false">IFERROR('Price History'!F3+(INDEX('Price History'!F:F,MATCH(9.99E+307,'Price History'!$A:$A))-'Price History'!F3)*(ROW()-3)/(MATCH(9.99E+307,'Returns (Calc)'!$A:$A)-3),"")</f>
        <v>50.2066666666667</v>
      </c>
      <c r="AB56" s="145" t="n">
        <f aca="false">IFERROR('Price History'!G3+(INDEX('Price History'!G:G,MATCH(9.99E+307,'Price History'!$A:$A))-'Price History'!G3)*(ROW()-3)/(MATCH(9.99E+307,'Returns (Calc)'!$A:$A)-3),"")</f>
        <v>27.5733333333333</v>
      </c>
      <c r="AC56" s="145" t="n">
        <f aca="false">IFERROR('Price History'!H3+(INDEX('Price History'!H:H,MATCH(9.99E+307,'Price History'!$A:$A))-'Price History'!H3)*(ROW()-3)/(MATCH(9.99E+307,'Returns (Calc)'!$A:$A)-3),"")</f>
        <v>67.06</v>
      </c>
      <c r="AD56" s="145" t="n">
        <f aca="false">IFERROR('Price History'!I3+(INDEX('Price History'!I:I,MATCH(9.99E+307,'Price History'!$A:$A))-'Price History'!I3)*(ROW()-3)/(MATCH(9.99E+307,'Returns (Calc)'!$A:$A)-3),"")</f>
        <v>29.5666666666667</v>
      </c>
      <c r="AE56" s="145" t="n">
        <f aca="false">IFERROR('Price History'!J3+(INDEX('Price History'!J:J,MATCH(9.99E+307,'Price History'!$A:$A))-'Price History'!J3)*(ROW()-3)/(MATCH(9.99E+307,'Returns (Calc)'!$A:$A)-3),"")</f>
        <v>46.0733333333333</v>
      </c>
      <c r="AF56" s="145" t="n">
        <f aca="false">IFERROR('Price History'!K3+(INDEX('Price History'!K:K,MATCH(9.99E+307,'Price History'!$A:$A))-'Price History'!K3)*(ROW()-3)/(MATCH(9.99E+307,'Returns (Calc)'!$A:$A)-3),"")</f>
        <v>29.18</v>
      </c>
      <c r="AG56" s="145" t="n">
        <f aca="false">IFERROR('Price History'!L3+(INDEX('Price History'!L:L,MATCH(9.99E+307,'Price History'!$A:$A))-'Price History'!L3)*(ROW()-3)/(MATCH(9.99E+307,'Returns (Calc)'!$A:$A)-3),"")</f>
        <v>74.56</v>
      </c>
      <c r="AH56" s="145" t="n">
        <f aca="false">IFERROR('Price History'!M3+(INDEX('Price History'!M:M,MATCH(9.99E+307,'Price History'!$A:$A))-'Price History'!M3)*(ROW()-3)/(MATCH(9.99E+307,'Returns (Calc)'!$A:$A)-3),"")</f>
        <v>10.22</v>
      </c>
      <c r="AI56" s="145" t="n">
        <f aca="false">IFERROR('Price History'!N3+(INDEX('Price History'!N:N,MATCH(9.99E+307,'Price History'!$A:$A))-'Price History'!N3)*(ROW()-3)/(MATCH(9.99E+307,'Returns (Calc)'!$A:$A)-3),"")</f>
        <v>14.5333333333333</v>
      </c>
      <c r="AJ56" s="145" t="n">
        <f aca="false">IFERROR('Price History'!O3+(INDEX('Price History'!O:O,MATCH(9.99E+307,'Price History'!$A:$A))-'Price History'!O3)*(ROW()-3)/(MATCH(9.99E+307,'Returns (Calc)'!$A:$A)-3),"")</f>
        <v>38.42</v>
      </c>
      <c r="AK56" s="145" t="n">
        <f aca="false">IFERROR('Price History'!Q3+(INDEX('Price History'!Q:Q,MATCH(9.99E+307,'Price History'!$A:$A))-'Price History'!Q3)*(ROW()-3)/(MATCH(9.99E+307,'Returns (Calc)'!$A:$A)-3),"")</f>
        <v>157.086666666667</v>
      </c>
      <c r="AL56" s="145" t="n">
        <f aca="false">IFERROR('Price History'!R3+(INDEX('Price History'!R:R,MATCH(9.99E+307,'Price History'!$A:$A))-'Price History'!R3)*(ROW()-3)/(MATCH(9.99E+307,'Returns (Calc)'!$A:$A)-3),"")</f>
        <v>31.88</v>
      </c>
      <c r="AM56" s="145" t="n">
        <f aca="false">IFERROR('Price History'!S3+(INDEX('Price History'!S:S,MATCH(9.99E+307,'Price History'!$A:$A))-'Price History'!S3)*(ROW()-3)/(MATCH(9.99E+307,'Returns (Calc)'!$A:$A)-3),"")</f>
        <v>39.0266666666667</v>
      </c>
      <c r="AN56" s="145" t="n">
        <f aca="false">IFERROR('Price History'!T3+(INDEX('Price History'!T:T,MATCH(9.99E+307,'Price History'!$A:$A))-'Price History'!T3)*(ROW()-3)/(MATCH(9.99E+307,'Returns (Calc)'!$A:$A)-3),"")</f>
        <v>17.94</v>
      </c>
      <c r="AO56" s="146" t="n">
        <f aca="false">IFERROR('Price History'!V3+(INDEX('Price History'!V:V,MATCH(9.99E+307,'Price History'!$A:$A))-'Price History'!V3)*(ROW()-3)/(MATCH(9.99E+307,'Returns (Calc)'!$A:$A)-3),"")</f>
        <v>0</v>
      </c>
    </row>
    <row r="57" customFormat="false" ht="15" hidden="false" customHeight="true" outlineLevel="0" collapsed="false">
      <c r="A57" s="142" t="n">
        <f aca="false">IF('Price History'!A58="","",'Price History'!A58)</f>
        <v>45569</v>
      </c>
      <c r="B57" s="143" t="n">
        <f aca="false">IFERROR(IF(OR(NOT(ISNUMBER('Price History'!B58)),NOT(ISNUMBER('Price History'!B57)),'Price History'!B57=0),"",'Price History'!B58/'Price History'!B57-1),"")</f>
        <v>-0.0160239000543183</v>
      </c>
      <c r="C57" s="143" t="n">
        <f aca="false">IFERROR(IF(OR(NOT(ISNUMBER('Price History'!C58)),NOT(ISNUMBER('Price History'!C57)),'Price History'!C57=0),"",'Price History'!C58/'Price History'!C57-1),"")</f>
        <v>0.0412327758493742</v>
      </c>
      <c r="D57" s="143" t="n">
        <f aca="false">IFERROR(IF(OR(NOT(ISNUMBER('Price History'!D58)),NOT(ISNUMBER('Price History'!D57)),'Price History'!D57=0),"",'Price History'!D58/'Price History'!D57-1),"")</f>
        <v>-0.0101489724165428</v>
      </c>
      <c r="E57" s="143" t="n">
        <f aca="false">IFERROR(IF(OR(NOT(ISNUMBER('Price History'!E58)),NOT(ISNUMBER('Price History'!E57)),'Price History'!E57=0),"",'Price History'!E58/'Price History'!E57-1),"")</f>
        <v>0.0228571428571429</v>
      </c>
      <c r="F57" s="143" t="n">
        <f aca="false">IFERROR(IF(OR(NOT(ISNUMBER('Price History'!F58)),NOT(ISNUMBER('Price History'!F57)),'Price History'!F57=0),"",'Price History'!F58/'Price History'!F57-1),"")</f>
        <v>0.00280535174794982</v>
      </c>
      <c r="G57" s="143" t="n">
        <f aca="false">IFERROR(IF(OR(NOT(ISNUMBER('Price History'!G58)),NOT(ISNUMBER('Price History'!G57)),'Price History'!G57=0),"",'Price History'!G58/'Price History'!G57-1),"")</f>
        <v>0.0223901483347329</v>
      </c>
      <c r="H57" s="143" t="n">
        <f aca="false">IFERROR(IF(OR(NOT(ISNUMBER('Price History'!H58)),NOT(ISNUMBER('Price History'!H57)),'Price History'!H57=0),"",'Price History'!H58/'Price History'!H57-1),"")</f>
        <v>-0.00398311160678722</v>
      </c>
      <c r="I57" s="143" t="n">
        <f aca="false">IFERROR(IF(OR(NOT(ISNUMBER('Price History'!I58)),NOT(ISNUMBER('Price History'!I57)),'Price History'!I57=0),"",'Price History'!I58/'Price History'!I57-1),"")</f>
        <v>0.0063570316554229</v>
      </c>
      <c r="J57" s="143" t="n">
        <f aca="false">IFERROR(IF(OR(NOT(ISNUMBER('Price History'!J58)),NOT(ISNUMBER('Price History'!J57)),'Price History'!J57=0),"",'Price History'!J58/'Price History'!J57-1),"")</f>
        <v>-0.0488626790227464</v>
      </c>
      <c r="K57" s="143" t="n">
        <f aca="false">IFERROR(IF(OR(NOT(ISNUMBER('Price History'!K58)),NOT(ISNUMBER('Price History'!K57)),'Price History'!K57=0),"",'Price History'!K58/'Price History'!K57-1),"")</f>
        <v>0.0289890981169476</v>
      </c>
      <c r="L57" s="143" t="n">
        <f aca="false">IFERROR(IF(OR(NOT(ISNUMBER('Price History'!L58)),NOT(ISNUMBER('Price History'!L57)),'Price History'!L57=0),"",'Price History'!L58/'Price History'!L57-1),"")</f>
        <v>-0.0251979228739252</v>
      </c>
      <c r="M57" s="143" t="n">
        <f aca="false">IFERROR(IF(OR(NOT(ISNUMBER('Price History'!M58)),NOT(ISNUMBER('Price History'!M57)),'Price History'!M57=0),"",'Price History'!M58/'Price History'!M57-1),"")</f>
        <v>0.0860477741585233</v>
      </c>
      <c r="N57" s="143" t="n">
        <f aca="false">IFERROR(IF(OR(NOT(ISNUMBER('Price History'!N58)),NOT(ISNUMBER('Price History'!N57)),'Price History'!N57=0),"",'Price History'!N58/'Price History'!N57-1),"")</f>
        <v>0.00497512437810954</v>
      </c>
      <c r="O57" s="143" t="n">
        <f aca="false">IFERROR(IF(OR(NOT(ISNUMBER('Price History'!O58)),NOT(ISNUMBER('Price History'!O57)),'Price History'!O57=0),"",'Price History'!O58/'Price History'!O57-1),"")</f>
        <v>0.014958947250028</v>
      </c>
      <c r="P57" s="143" t="n">
        <f aca="false">IFERROR(IF(OR(NOT(ISNUMBER('Price History'!P58)),NOT(ISNUMBER('Price History'!P57)),'Price History'!P57=0),"",'Price History'!P58/'Price History'!P57-1),"")</f>
        <v>0.0179640718562875</v>
      </c>
      <c r="Q57" s="143" t="n">
        <f aca="false">IFERROR(IF(OR(NOT(ISNUMBER('Price History'!Q58)),NOT(ISNUMBER('Price History'!Q57)),'Price History'!Q57=0),"",'Price History'!Q58/'Price History'!Q57-1),"")</f>
        <v>0.010033938320791</v>
      </c>
      <c r="R57" s="143" t="n">
        <f aca="false">IFERROR(IF(OR(NOT(ISNUMBER('Price History'!R58)),NOT(ISNUMBER('Price History'!R57)),'Price History'!R57=0),"",'Price History'!R58/'Price History'!R57-1),"")</f>
        <v>0.00333951762523199</v>
      </c>
      <c r="S57" s="143" t="n">
        <f aca="false">IFERROR(IF(OR(NOT(ISNUMBER('Price History'!S58)),NOT(ISNUMBER('Price History'!S57)),'Price History'!S57=0),"",'Price History'!S58/'Price History'!S57-1),"")</f>
        <v>-0.00401740877134249</v>
      </c>
      <c r="T57" s="143" t="n">
        <f aca="false">IFERROR(IF(OR(NOT(ISNUMBER('Price History'!T58)),NOT(ISNUMBER('Price History'!T57)),'Price History'!T57=0),"",'Price History'!T58/'Price History'!T57-1),"")</f>
        <v>0.00332426715019651</v>
      </c>
      <c r="U57" s="143" t="str">
        <f aca="false">IFERROR(IF(OR(NOT(ISNUMBER('Price History'!U58)),NOT(ISNUMBER('Price History'!U57)),'Price History'!U57=0),"",'Price History'!U58/'Price History'!U57-1),"")</f>
        <v/>
      </c>
      <c r="V57" s="144" t="n">
        <f aca="false">IFERROR(IF(OR(NOT(ISNUMBER('Price History'!V58)),NOT(ISNUMBER('Price History'!V57)),'Price History'!V57=0),"",'Price History'!V58/'Price History'!V57-1),"")</f>
        <v>0.0334003871408508</v>
      </c>
      <c r="W57" s="145" t="str">
        <f aca="false">IFERROR('Price History'!B3+(INDEX('Price History'!B:B,MATCH(9.99E+307,'Price History'!$A:$A))-'Price History'!B3)*(ROW()-3)/(MATCH(9.99E+307,'Returns (Calc)'!$A:$A)-3),"")</f>
        <v/>
      </c>
      <c r="X57" s="145" t="n">
        <f aca="false">IFERROR('Price History'!C3+(INDEX('Price History'!C:C,MATCH(9.99E+307,'Price History'!$A:$A))-'Price History'!C3)*(ROW()-3)/(MATCH(9.99E+307,'Returns (Calc)'!$A:$A)-3),"")</f>
        <v>30.4962264150943</v>
      </c>
      <c r="Y57" s="145" t="n">
        <f aca="false">IFERROR('Price History'!D3+(INDEX('Price History'!D:D,MATCH(9.99E+307,'Price History'!$A:$A))-'Price History'!D3)*(ROW()-3)/(MATCH(9.99E+307,'Returns (Calc)'!$A:$A)-3),"")</f>
        <v>384.346226415094</v>
      </c>
      <c r="Z57" s="145" t="n">
        <f aca="false">IFERROR('Price History'!E3+(INDEX('Price History'!E:E,MATCH(9.99E+307,'Price History'!$A:$A))-'Price History'!E3)*(ROW()-3)/(MATCH(9.99E+307,'Returns (Calc)'!$A:$A)-3),"")</f>
        <v>54.1509433962264</v>
      </c>
      <c r="AA57" s="145" t="n">
        <f aca="false">IFERROR('Price History'!F3+(INDEX('Price History'!F:F,MATCH(9.99E+307,'Price History'!$A:$A))-'Price History'!F3)*(ROW()-3)/(MATCH(9.99E+307,'Returns (Calc)'!$A:$A)-3),"")</f>
        <v>49.7330188679245</v>
      </c>
      <c r="AB57" s="145" t="n">
        <f aca="false">IFERROR('Price History'!G3+(INDEX('Price History'!G:G,MATCH(9.99E+307,'Price History'!$A:$A))-'Price History'!G3)*(ROW()-3)/(MATCH(9.99E+307,'Returns (Calc)'!$A:$A)-3),"")</f>
        <v>27.3132075471698</v>
      </c>
      <c r="AC57" s="145" t="n">
        <f aca="false">IFERROR('Price History'!H3+(INDEX('Price History'!H:H,MATCH(9.99E+307,'Price History'!$A:$A))-'Price History'!H3)*(ROW()-3)/(MATCH(9.99E+307,'Returns (Calc)'!$A:$A)-3),"")</f>
        <v>66.427358490566</v>
      </c>
      <c r="AD57" s="145" t="n">
        <f aca="false">IFERROR('Price History'!I3+(INDEX('Price History'!I:I,MATCH(9.99E+307,'Price History'!$A:$A))-'Price History'!I3)*(ROW()-3)/(MATCH(9.99E+307,'Returns (Calc)'!$A:$A)-3),"")</f>
        <v>29.2877358490566</v>
      </c>
      <c r="AE57" s="145" t="n">
        <f aca="false">IFERROR('Price History'!J3+(INDEX('Price History'!J:J,MATCH(9.99E+307,'Price History'!$A:$A))-'Price History'!J3)*(ROW()-3)/(MATCH(9.99E+307,'Returns (Calc)'!$A:$A)-3),"")</f>
        <v>45.638679245283</v>
      </c>
      <c r="AF57" s="145" t="n">
        <f aca="false">IFERROR('Price History'!K3+(INDEX('Price History'!K:K,MATCH(9.99E+307,'Price History'!$A:$A))-'Price History'!K3)*(ROW()-3)/(MATCH(9.99E+307,'Returns (Calc)'!$A:$A)-3),"")</f>
        <v>28.9047169811321</v>
      </c>
      <c r="AG57" s="145" t="n">
        <f aca="false">IFERROR('Price History'!L3+(INDEX('Price History'!L:L,MATCH(9.99E+307,'Price History'!$A:$A))-'Price History'!L3)*(ROW()-3)/(MATCH(9.99E+307,'Returns (Calc)'!$A:$A)-3),"")</f>
        <v>73.8566037735849</v>
      </c>
      <c r="AH57" s="145" t="n">
        <f aca="false">IFERROR('Price History'!M3+(INDEX('Price History'!M:M,MATCH(9.99E+307,'Price History'!$A:$A))-'Price History'!M3)*(ROW()-3)/(MATCH(9.99E+307,'Returns (Calc)'!$A:$A)-3),"")</f>
        <v>10.1235849056604</v>
      </c>
      <c r="AI57" s="145" t="n">
        <f aca="false">IFERROR('Price History'!N3+(INDEX('Price History'!N:N,MATCH(9.99E+307,'Price History'!$A:$A))-'Price History'!N3)*(ROW()-3)/(MATCH(9.99E+307,'Returns (Calc)'!$A:$A)-3),"")</f>
        <v>14.3962264150943</v>
      </c>
      <c r="AJ57" s="145" t="n">
        <f aca="false">IFERROR('Price History'!O3+(INDEX('Price History'!O:O,MATCH(9.99E+307,'Price History'!$A:$A))-'Price History'!O3)*(ROW()-3)/(MATCH(9.99E+307,'Returns (Calc)'!$A:$A)-3),"")</f>
        <v>38.0575471698113</v>
      </c>
      <c r="AK57" s="145" t="n">
        <f aca="false">IFERROR('Price History'!Q3+(INDEX('Price History'!Q:Q,MATCH(9.99E+307,'Price History'!$A:$A))-'Price History'!Q3)*(ROW()-3)/(MATCH(9.99E+307,'Returns (Calc)'!$A:$A)-3),"")</f>
        <v>155.604716981132</v>
      </c>
      <c r="AL57" s="145" t="n">
        <f aca="false">IFERROR('Price History'!R3+(INDEX('Price History'!R:R,MATCH(9.99E+307,'Price History'!$A:$A))-'Price History'!R3)*(ROW()-3)/(MATCH(9.99E+307,'Returns (Calc)'!$A:$A)-3),"")</f>
        <v>31.5792452830189</v>
      </c>
      <c r="AM57" s="145" t="n">
        <f aca="false">IFERROR('Price History'!S3+(INDEX('Price History'!S:S,MATCH(9.99E+307,'Price History'!$A:$A))-'Price History'!S3)*(ROW()-3)/(MATCH(9.99E+307,'Returns (Calc)'!$A:$A)-3),"")</f>
        <v>38.6584905660377</v>
      </c>
      <c r="AN57" s="145" t="n">
        <f aca="false">IFERROR('Price History'!T3+(INDEX('Price History'!T:T,MATCH(9.99E+307,'Price History'!$A:$A))-'Price History'!T3)*(ROW()-3)/(MATCH(9.99E+307,'Returns (Calc)'!$A:$A)-3),"")</f>
        <v>17.7707547169811</v>
      </c>
      <c r="AO57" s="146" t="n">
        <f aca="false">IFERROR('Price History'!V3+(INDEX('Price History'!V:V,MATCH(9.99E+307,'Price History'!$A:$A))-'Price History'!V3)*(ROW()-3)/(MATCH(9.99E+307,'Returns (Calc)'!$A:$A)-3),"")</f>
        <v>0</v>
      </c>
    </row>
    <row r="58" customFormat="false" ht="15" hidden="false" customHeight="true" outlineLevel="0" collapsed="false">
      <c r="A58" s="142" t="n">
        <f aca="false">IF('Price History'!A59="","",'Price History'!A59)</f>
        <v>45576</v>
      </c>
      <c r="B58" s="143" t="n">
        <f aca="false">IFERROR(IF(OR(NOT(ISNUMBER('Price History'!B59)),NOT(ISNUMBER('Price History'!B58)),'Price History'!B58=0),"",'Price History'!B59/'Price History'!B58-1),"")</f>
        <v>-0.0232640668743346</v>
      </c>
      <c r="C58" s="143" t="n">
        <f aca="false">IFERROR(IF(OR(NOT(ISNUMBER('Price History'!C59)),NOT(ISNUMBER('Price History'!C58)),'Price History'!C58=0),"",'Price History'!C59/'Price History'!C58-1),"")</f>
        <v>0.0529346398626125</v>
      </c>
      <c r="D58" s="143" t="n">
        <f aca="false">IFERROR(IF(OR(NOT(ISNUMBER('Price History'!D59)),NOT(ISNUMBER('Price History'!D58)),'Price History'!D58=0),"",'Price History'!D59/'Price History'!D58-1),"")</f>
        <v>0.00922772712292663</v>
      </c>
      <c r="E58" s="143" t="n">
        <f aca="false">IFERROR(IF(OR(NOT(ISNUMBER('Price History'!E59)),NOT(ISNUMBER('Price History'!E58)),'Price History'!E58=0),"",'Price History'!E59/'Price History'!E58-1),"")</f>
        <v>0.0274146172896388</v>
      </c>
      <c r="F58" s="143" t="n">
        <f aca="false">IFERROR(IF(OR(NOT(ISNUMBER('Price History'!F59)),NOT(ISNUMBER('Price History'!F58)),'Price History'!F58=0),"",'Price History'!F59/'Price History'!F58-1),"")</f>
        <v>0.0119431891542932</v>
      </c>
      <c r="G58" s="143" t="n">
        <f aca="false">IFERROR(IF(OR(NOT(ISNUMBER('Price History'!G59)),NOT(ISNUMBER('Price History'!G58)),'Price History'!G58=0),"",'Price History'!G59/'Price History'!G58-1),"")</f>
        <v>0.0956747878456064</v>
      </c>
      <c r="H58" s="143" t="n">
        <f aca="false">IFERROR(IF(OR(NOT(ISNUMBER('Price History'!H59)),NOT(ISNUMBER('Price History'!H58)),'Price History'!H58=0),"",'Price History'!H59/'Price History'!H58-1),"")</f>
        <v>0.000559865632248302</v>
      </c>
      <c r="I58" s="143" t="n">
        <f aca="false">IFERROR(IF(OR(NOT(ISNUMBER('Price History'!I59)),NOT(ISNUMBER('Price History'!I58)),'Price History'!I58=0),"",'Price History'!I59/'Price History'!I58-1),"")</f>
        <v>0.0207554466933095</v>
      </c>
      <c r="J58" s="143" t="n">
        <f aca="false">IFERROR(IF(OR(NOT(ISNUMBER('Price History'!J59)),NOT(ISNUMBER('Price History'!J58)),'Price History'!J58=0),"",'Price History'!J59/'Price History'!J58-1),"")</f>
        <v>0.0468457828953843</v>
      </c>
      <c r="K58" s="143" t="n">
        <f aca="false">IFERROR(IF(OR(NOT(ISNUMBER('Price History'!K59)),NOT(ISNUMBER('Price History'!K58)),'Price History'!K58=0),"",'Price History'!K59/'Price History'!K58-1),"")</f>
        <v>0.0790593145517295</v>
      </c>
      <c r="L58" s="143" t="n">
        <f aca="false">IFERROR(IF(OR(NOT(ISNUMBER('Price History'!L59)),NOT(ISNUMBER('Price History'!L58)),'Price History'!L58=0),"",'Price History'!L59/'Price History'!L58-1),"")</f>
        <v>-0.0178150379879487</v>
      </c>
      <c r="M58" s="143" t="n">
        <f aca="false">IFERROR(IF(OR(NOT(ISNUMBER('Price History'!M59)),NOT(ISNUMBER('Price History'!M58)),'Price History'!M58=0),"",'Price History'!M59/'Price History'!M58-1),"")</f>
        <v>0.0874781304673831</v>
      </c>
      <c r="N58" s="143" t="n">
        <f aca="false">IFERROR(IF(OR(NOT(ISNUMBER('Price History'!N59)),NOT(ISNUMBER('Price History'!N58)),'Price History'!N58=0),"",'Price History'!N59/'Price History'!N58-1),"")</f>
        <v>0.0114242193450114</v>
      </c>
      <c r="O58" s="143" t="n">
        <f aca="false">IFERROR(IF(OR(NOT(ISNUMBER('Price History'!O59)),NOT(ISNUMBER('Price History'!O58)),'Price History'!O58=0),"",'Price History'!O59/'Price History'!O58-1),"")</f>
        <v>0.0216090425531916</v>
      </c>
      <c r="P58" s="143" t="n">
        <f aca="false">IFERROR(IF(OR(NOT(ISNUMBER('Price History'!P59)),NOT(ISNUMBER('Price History'!P58)),'Price History'!P58=0),"",'Price History'!P59/'Price History'!P58-1),"")</f>
        <v>0.0532239819004525</v>
      </c>
      <c r="Q58" s="143" t="n">
        <f aca="false">IFERROR(IF(OR(NOT(ISNUMBER('Price History'!Q59)),NOT(ISNUMBER('Price History'!Q58)),'Price History'!Q58=0),"",'Price History'!Q59/'Price History'!Q58-1),"")</f>
        <v>-0.000328707085463953</v>
      </c>
      <c r="R58" s="143" t="n">
        <f aca="false">IFERROR(IF(OR(NOT(ISNUMBER('Price History'!R59)),NOT(ISNUMBER('Price History'!R58)),'Price History'!R58=0),"",'Price History'!R59/'Price History'!R58-1),"")</f>
        <v>-0.0502958579881657</v>
      </c>
      <c r="S58" s="143" t="n">
        <f aca="false">IFERROR(IF(OR(NOT(ISNUMBER('Price History'!S59)),NOT(ISNUMBER('Price History'!S58)),'Price History'!S58=0),"",'Price History'!S59/'Price History'!S58-1),"")</f>
        <v>-0.059719887955182</v>
      </c>
      <c r="T58" s="143" t="n">
        <f aca="false">IFERROR(IF(OR(NOT(ISNUMBER('Price History'!T59)),NOT(ISNUMBER('Price History'!T58)),'Price History'!T58=0),"",'Price History'!T59/'Price History'!T58-1),"")</f>
        <v>-0.041265060240964</v>
      </c>
      <c r="U58" s="143" t="str">
        <f aca="false">IFERROR(IF(OR(NOT(ISNUMBER('Price History'!U59)),NOT(ISNUMBER('Price History'!U58)),'Price History'!U58=0),"",'Price History'!U59/'Price History'!U58-1),"")</f>
        <v/>
      </c>
      <c r="V58" s="144" t="n">
        <f aca="false">IFERROR(IF(OR(NOT(ISNUMBER('Price History'!V59)),NOT(ISNUMBER('Price History'!V58)),'Price History'!V58=0),"",'Price History'!V59/'Price History'!V58-1),"")</f>
        <v>0.0108348330701145</v>
      </c>
      <c r="W58" s="145" t="str">
        <f aca="false">IFERROR('Price History'!B3+(INDEX('Price History'!B:B,MATCH(9.99E+307,'Price History'!$A:$A))-'Price History'!B3)*(ROW()-3)/(MATCH(9.99E+307,'Returns (Calc)'!$A:$A)-3),"")</f>
        <v/>
      </c>
      <c r="X58" s="145" t="n">
        <f aca="false">IFERROR('Price History'!C3+(INDEX('Price History'!C:C,MATCH(9.99E+307,'Price History'!$A:$A))-'Price History'!C3)*(ROW()-3)/(MATCH(9.99E+307,'Returns (Calc)'!$A:$A)-3),"")</f>
        <v>30.205786163522</v>
      </c>
      <c r="Y58" s="145" t="n">
        <f aca="false">IFERROR('Price History'!D3+(INDEX('Price History'!D:D,MATCH(9.99E+307,'Price History'!$A:$A))-'Price History'!D3)*(ROW()-3)/(MATCH(9.99E+307,'Returns (Calc)'!$A:$A)-3),"")</f>
        <v>380.685786163522</v>
      </c>
      <c r="Z58" s="145" t="n">
        <f aca="false">IFERROR('Price History'!E3+(INDEX('Price History'!E:E,MATCH(9.99E+307,'Price History'!$A:$A))-'Price History'!E3)*(ROW()-3)/(MATCH(9.99E+307,'Returns (Calc)'!$A:$A)-3),"")</f>
        <v>53.6352201257862</v>
      </c>
      <c r="AA58" s="145" t="n">
        <f aca="false">IFERROR('Price History'!F3+(INDEX('Price History'!F:F,MATCH(9.99E+307,'Price History'!$A:$A))-'Price History'!F3)*(ROW()-3)/(MATCH(9.99E+307,'Returns (Calc)'!$A:$A)-3),"")</f>
        <v>49.2593710691824</v>
      </c>
      <c r="AB58" s="145" t="n">
        <f aca="false">IFERROR('Price History'!G3+(INDEX('Price History'!G:G,MATCH(9.99E+307,'Price History'!$A:$A))-'Price History'!G3)*(ROW()-3)/(MATCH(9.99E+307,'Returns (Calc)'!$A:$A)-3),"")</f>
        <v>27.0530817610063</v>
      </c>
      <c r="AC58" s="145" t="n">
        <f aca="false">IFERROR('Price History'!H3+(INDEX('Price History'!H:H,MATCH(9.99E+307,'Price History'!$A:$A))-'Price History'!H3)*(ROW()-3)/(MATCH(9.99E+307,'Returns (Calc)'!$A:$A)-3),"")</f>
        <v>65.7947169811321</v>
      </c>
      <c r="AD58" s="145" t="n">
        <f aca="false">IFERROR('Price History'!I3+(INDEX('Price History'!I:I,MATCH(9.99E+307,'Price History'!$A:$A))-'Price History'!I3)*(ROW()-3)/(MATCH(9.99E+307,'Returns (Calc)'!$A:$A)-3),"")</f>
        <v>29.0088050314465</v>
      </c>
      <c r="AE58" s="145" t="n">
        <f aca="false">IFERROR('Price History'!J3+(INDEX('Price History'!J:J,MATCH(9.99E+307,'Price History'!$A:$A))-'Price History'!J3)*(ROW()-3)/(MATCH(9.99E+307,'Returns (Calc)'!$A:$A)-3),"")</f>
        <v>45.2040251572327</v>
      </c>
      <c r="AF58" s="145" t="n">
        <f aca="false">IFERROR('Price History'!K3+(INDEX('Price History'!K:K,MATCH(9.99E+307,'Price History'!$A:$A))-'Price History'!K3)*(ROW()-3)/(MATCH(9.99E+307,'Returns (Calc)'!$A:$A)-3),"")</f>
        <v>28.6294339622642</v>
      </c>
      <c r="AG58" s="145" t="n">
        <f aca="false">IFERROR('Price History'!L3+(INDEX('Price History'!L:L,MATCH(9.99E+307,'Price History'!$A:$A))-'Price History'!L3)*(ROW()-3)/(MATCH(9.99E+307,'Returns (Calc)'!$A:$A)-3),"")</f>
        <v>73.1532075471698</v>
      </c>
      <c r="AH58" s="145" t="n">
        <f aca="false">IFERROR('Price History'!M3+(INDEX('Price History'!M:M,MATCH(9.99E+307,'Price History'!$A:$A))-'Price History'!M3)*(ROW()-3)/(MATCH(9.99E+307,'Returns (Calc)'!$A:$A)-3),"")</f>
        <v>10.0271698113208</v>
      </c>
      <c r="AI58" s="145" t="n">
        <f aca="false">IFERROR('Price History'!N3+(INDEX('Price History'!N:N,MATCH(9.99E+307,'Price History'!$A:$A))-'Price History'!N3)*(ROW()-3)/(MATCH(9.99E+307,'Returns (Calc)'!$A:$A)-3),"")</f>
        <v>14.2591194968553</v>
      </c>
      <c r="AJ58" s="145" t="n">
        <f aca="false">IFERROR('Price History'!O3+(INDEX('Price History'!O:O,MATCH(9.99E+307,'Price History'!$A:$A))-'Price History'!O3)*(ROW()-3)/(MATCH(9.99E+307,'Returns (Calc)'!$A:$A)-3),"")</f>
        <v>37.6950943396226</v>
      </c>
      <c r="AK58" s="145" t="n">
        <f aca="false">IFERROR('Price History'!Q3+(INDEX('Price History'!Q:Q,MATCH(9.99E+307,'Price History'!$A:$A))-'Price History'!Q3)*(ROW()-3)/(MATCH(9.99E+307,'Returns (Calc)'!$A:$A)-3),"")</f>
        <v>154.122767295598</v>
      </c>
      <c r="AL58" s="145" t="n">
        <f aca="false">IFERROR('Price History'!R3+(INDEX('Price History'!R:R,MATCH(9.99E+307,'Price History'!$A:$A))-'Price History'!R3)*(ROW()-3)/(MATCH(9.99E+307,'Returns (Calc)'!$A:$A)-3),"")</f>
        <v>31.2784905660377</v>
      </c>
      <c r="AM58" s="145" t="n">
        <f aca="false">IFERROR('Price History'!S3+(INDEX('Price History'!S:S,MATCH(9.99E+307,'Price History'!$A:$A))-'Price History'!S3)*(ROW()-3)/(MATCH(9.99E+307,'Returns (Calc)'!$A:$A)-3),"")</f>
        <v>38.2903144654088</v>
      </c>
      <c r="AN58" s="145" t="n">
        <f aca="false">IFERROR('Price History'!T3+(INDEX('Price History'!T:T,MATCH(9.99E+307,'Price History'!$A:$A))-'Price History'!T3)*(ROW()-3)/(MATCH(9.99E+307,'Returns (Calc)'!$A:$A)-3),"")</f>
        <v>17.6015094339623</v>
      </c>
      <c r="AO58" s="146" t="n">
        <f aca="false">IFERROR('Price History'!V3+(INDEX('Price History'!V:V,MATCH(9.99E+307,'Price History'!$A:$A))-'Price History'!V3)*(ROW()-3)/(MATCH(9.99E+307,'Returns (Calc)'!$A:$A)-3),"")</f>
        <v>0</v>
      </c>
    </row>
    <row r="59" customFormat="false" ht="15" hidden="false" customHeight="true" outlineLevel="0" collapsed="false">
      <c r="A59" s="142" t="n">
        <f aca="false">IF('Price History'!A60="","",'Price History'!A60)</f>
        <v>45583</v>
      </c>
      <c r="B59" s="143" t="n">
        <f aca="false">IFERROR(IF(OR(NOT(ISNUMBER('Price History'!B60)),NOT(ISNUMBER('Price History'!B59)),'Price History'!B59=0),"",'Price History'!B60/'Price History'!B59-1),"")</f>
        <v>-0.0010496144685318</v>
      </c>
      <c r="C59" s="143" t="n">
        <f aca="false">IFERROR(IF(OR(NOT(ISNUMBER('Price History'!C60)),NOT(ISNUMBER('Price History'!C59)),'Price History'!C59=0),"",'Price History'!C60/'Price History'!C59-1),"")</f>
        <v>-0.0357862419648853</v>
      </c>
      <c r="D59" s="143" t="n">
        <f aca="false">IFERROR(IF(OR(NOT(ISNUMBER('Price History'!D60)),NOT(ISNUMBER('Price History'!D59)),'Price History'!D59=0),"",'Price History'!D60/'Price History'!D59-1),"")</f>
        <v>-0.139678047482554</v>
      </c>
      <c r="E59" s="143" t="n">
        <f aca="false">IFERROR(IF(OR(NOT(ISNUMBER('Price History'!E60)),NOT(ISNUMBER('Price History'!E59)),'Price History'!E59=0),"",'Price History'!E60/'Price History'!E59-1),"")</f>
        <v>-0.00874488480295965</v>
      </c>
      <c r="F59" s="143" t="n">
        <f aca="false">IFERROR(IF(OR(NOT(ISNUMBER('Price History'!F60)),NOT(ISNUMBER('Price History'!F59)),'Price History'!F59=0),"",'Price History'!F60/'Price History'!F59-1),"")</f>
        <v>0.0125465178096758</v>
      </c>
      <c r="G59" s="143" t="n">
        <f aca="false">IFERROR(IF(OR(NOT(ISNUMBER('Price History'!G60)),NOT(ISNUMBER('Price History'!G59)),'Price History'!G59=0),"",'Price History'!G60/'Price History'!G59-1),"")</f>
        <v>-0.0313554028732042</v>
      </c>
      <c r="H59" s="143" t="n">
        <f aca="false">IFERROR(IF(OR(NOT(ISNUMBER('Price History'!H60)),NOT(ISNUMBER('Price History'!H59)),'Price History'!H59=0),"",'Price History'!H60/'Price History'!H59-1),"")</f>
        <v>0.0193445243804957</v>
      </c>
      <c r="I59" s="143" t="n">
        <f aca="false">IFERROR(IF(OR(NOT(ISNUMBER('Price History'!I60)),NOT(ISNUMBER('Price History'!I59)),'Price History'!I59=0),"",'Price History'!I60/'Price History'!I59-1),"")</f>
        <v>-0.155847436221268</v>
      </c>
      <c r="J59" s="143" t="n">
        <f aca="false">IFERROR(IF(OR(NOT(ISNUMBER('Price History'!J60)),NOT(ISNUMBER('Price History'!J59)),'Price History'!J59=0),"",'Price History'!J60/'Price History'!J59-1),"")</f>
        <v>0.0395788286170913</v>
      </c>
      <c r="K59" s="143" t="n">
        <f aca="false">IFERROR(IF(OR(NOT(ISNUMBER('Price History'!K60)),NOT(ISNUMBER('Price History'!K59)),'Price History'!K59=0),"",'Price History'!K60/'Price History'!K59-1),"")</f>
        <v>0.0237280571258554</v>
      </c>
      <c r="L59" s="143" t="n">
        <f aca="false">IFERROR(IF(OR(NOT(ISNUMBER('Price History'!L60)),NOT(ISNUMBER('Price History'!L59)),'Price History'!L59=0),"",'Price History'!L60/'Price History'!L59-1),"")</f>
        <v>0.0187605583711212</v>
      </c>
      <c r="M59" s="143" t="n">
        <f aca="false">IFERROR(IF(OR(NOT(ISNUMBER('Price History'!M60)),NOT(ISNUMBER('Price History'!M59)),'Price History'!M59=0),"",'Price History'!M60/'Price History'!M59-1),"")</f>
        <v>-0.01241094001379</v>
      </c>
      <c r="N59" s="143" t="n">
        <f aca="false">IFERROR(IF(OR(NOT(ISNUMBER('Price History'!N60)),NOT(ISNUMBER('Price History'!N59)),'Price History'!N59=0),"",'Price History'!N60/'Price History'!N59-1),"")</f>
        <v>0.0094126506024097</v>
      </c>
      <c r="O59" s="143" t="n">
        <f aca="false">IFERROR(IF(OR(NOT(ISNUMBER('Price History'!O60)),NOT(ISNUMBER('Price History'!O59)),'Price History'!O59=0),"",'Price History'!O60/'Price History'!O59-1),"")</f>
        <v>0.00433886538670136</v>
      </c>
      <c r="P59" s="143" t="n">
        <f aca="false">IFERROR(IF(OR(NOT(ISNUMBER('Price History'!P60)),NOT(ISNUMBER('Price History'!P59)),'Price History'!P59=0),"",'Price History'!P60/'Price History'!P59-1),"")</f>
        <v>0.0522528328231566</v>
      </c>
      <c r="Q59" s="143" t="n">
        <f aca="false">IFERROR(IF(OR(NOT(ISNUMBER('Price History'!Q60)),NOT(ISNUMBER('Price History'!Q59)),'Price History'!Q59=0),"",'Price History'!Q60/'Price History'!Q59-1),"")</f>
        <v>0.0459975886887583</v>
      </c>
      <c r="R59" s="143" t="n">
        <f aca="false">IFERROR(IF(OR(NOT(ISNUMBER('Price History'!R60)),NOT(ISNUMBER('Price History'!R59)),'Price History'!R59=0),"",'Price History'!R60/'Price History'!R59-1),"")</f>
        <v>0.0465342679127725</v>
      </c>
      <c r="S59" s="143" t="n">
        <f aca="false">IFERROR(IF(OR(NOT(ISNUMBER('Price History'!S60)),NOT(ISNUMBER('Price History'!S59)),'Price History'!S59=0),"",'Price History'!S60/'Price History'!S59-1),"")</f>
        <v>0.061487130600572</v>
      </c>
      <c r="T59" s="143" t="n">
        <f aca="false">IFERROR(IF(OR(NOT(ISNUMBER('Price History'!T60)),NOT(ISNUMBER('Price History'!T59)),'Price History'!T59=0),"",'Price History'!T60/'Price History'!T59-1),"")</f>
        <v>0.0235626767200754</v>
      </c>
      <c r="U59" s="143" t="str">
        <f aca="false">IFERROR(IF(OR(NOT(ISNUMBER('Price History'!U60)),NOT(ISNUMBER('Price History'!U59)),'Price History'!U59=0),"",'Price History'!U60/'Price History'!U59-1),"")</f>
        <v/>
      </c>
      <c r="V59" s="144" t="n">
        <f aca="false">IFERROR(IF(OR(NOT(ISNUMBER('Price History'!V60)),NOT(ISNUMBER('Price History'!V59)),'Price History'!V59=0),"",'Price History'!V60/'Price History'!V59-1),"")</f>
        <v>0.028558971005014</v>
      </c>
      <c r="W59" s="145" t="str">
        <f aca="false">IFERROR('Price History'!B3+(INDEX('Price History'!B:B,MATCH(9.99E+307,'Price History'!$A:$A))-'Price History'!B3)*(ROW()-3)/(MATCH(9.99E+307,'Returns (Calc)'!$A:$A)-3),"")</f>
        <v/>
      </c>
      <c r="X59" s="145" t="n">
        <f aca="false">IFERROR('Price History'!C3+(INDEX('Price History'!C:C,MATCH(9.99E+307,'Price History'!$A:$A))-'Price History'!C3)*(ROW()-3)/(MATCH(9.99E+307,'Returns (Calc)'!$A:$A)-3),"")</f>
        <v>29.9153459119497</v>
      </c>
      <c r="Y59" s="145" t="n">
        <f aca="false">IFERROR('Price History'!D3+(INDEX('Price History'!D:D,MATCH(9.99E+307,'Price History'!$A:$A))-'Price History'!D3)*(ROW()-3)/(MATCH(9.99E+307,'Returns (Calc)'!$A:$A)-3),"")</f>
        <v>377.02534591195</v>
      </c>
      <c r="Z59" s="145" t="n">
        <f aca="false">IFERROR('Price History'!E3+(INDEX('Price History'!E:E,MATCH(9.99E+307,'Price History'!$A:$A))-'Price History'!E3)*(ROW()-3)/(MATCH(9.99E+307,'Returns (Calc)'!$A:$A)-3),"")</f>
        <v>53.1194968553459</v>
      </c>
      <c r="AA59" s="145" t="n">
        <f aca="false">IFERROR('Price History'!F3+(INDEX('Price History'!F:F,MATCH(9.99E+307,'Price History'!$A:$A))-'Price History'!F3)*(ROW()-3)/(MATCH(9.99E+307,'Returns (Calc)'!$A:$A)-3),"")</f>
        <v>48.7857232704403</v>
      </c>
      <c r="AB59" s="145" t="n">
        <f aca="false">IFERROR('Price History'!G3+(INDEX('Price History'!G:G,MATCH(9.99E+307,'Price History'!$A:$A))-'Price History'!G3)*(ROW()-3)/(MATCH(9.99E+307,'Returns (Calc)'!$A:$A)-3),"")</f>
        <v>26.7929559748428</v>
      </c>
      <c r="AC59" s="145" t="n">
        <f aca="false">IFERROR('Price History'!H3+(INDEX('Price History'!H:H,MATCH(9.99E+307,'Price History'!$A:$A))-'Price History'!H3)*(ROW()-3)/(MATCH(9.99E+307,'Returns (Calc)'!$A:$A)-3),"")</f>
        <v>65.1620754716981</v>
      </c>
      <c r="AD59" s="145" t="n">
        <f aca="false">IFERROR('Price History'!I3+(INDEX('Price History'!I:I,MATCH(9.99E+307,'Price History'!$A:$A))-'Price History'!I3)*(ROW()-3)/(MATCH(9.99E+307,'Returns (Calc)'!$A:$A)-3),"")</f>
        <v>28.7298742138365</v>
      </c>
      <c r="AE59" s="145" t="n">
        <f aca="false">IFERROR('Price History'!J3+(INDEX('Price History'!J:J,MATCH(9.99E+307,'Price History'!$A:$A))-'Price History'!J3)*(ROW()-3)/(MATCH(9.99E+307,'Returns (Calc)'!$A:$A)-3),"")</f>
        <v>44.7693710691824</v>
      </c>
      <c r="AF59" s="145" t="n">
        <f aca="false">IFERROR('Price History'!K3+(INDEX('Price History'!K:K,MATCH(9.99E+307,'Price History'!$A:$A))-'Price History'!K3)*(ROW()-3)/(MATCH(9.99E+307,'Returns (Calc)'!$A:$A)-3),"")</f>
        <v>28.3541509433962</v>
      </c>
      <c r="AG59" s="145" t="n">
        <f aca="false">IFERROR('Price History'!L3+(INDEX('Price History'!L:L,MATCH(9.99E+307,'Price History'!$A:$A))-'Price History'!L3)*(ROW()-3)/(MATCH(9.99E+307,'Returns (Calc)'!$A:$A)-3),"")</f>
        <v>72.4498113207547</v>
      </c>
      <c r="AH59" s="145" t="n">
        <f aca="false">IFERROR('Price History'!M3+(INDEX('Price History'!M:M,MATCH(9.99E+307,'Price History'!$A:$A))-'Price History'!M3)*(ROW()-3)/(MATCH(9.99E+307,'Returns (Calc)'!$A:$A)-3),"")</f>
        <v>9.93075471698113</v>
      </c>
      <c r="AI59" s="145" t="n">
        <f aca="false">IFERROR('Price History'!N3+(INDEX('Price History'!N:N,MATCH(9.99E+307,'Price History'!$A:$A))-'Price History'!N3)*(ROW()-3)/(MATCH(9.99E+307,'Returns (Calc)'!$A:$A)-3),"")</f>
        <v>14.1220125786164</v>
      </c>
      <c r="AJ59" s="145" t="n">
        <f aca="false">IFERROR('Price History'!O3+(INDEX('Price History'!O:O,MATCH(9.99E+307,'Price History'!$A:$A))-'Price History'!O3)*(ROW()-3)/(MATCH(9.99E+307,'Returns (Calc)'!$A:$A)-3),"")</f>
        <v>37.332641509434</v>
      </c>
      <c r="AK59" s="145" t="n">
        <f aca="false">IFERROR('Price History'!Q3+(INDEX('Price History'!Q:Q,MATCH(9.99E+307,'Price History'!$A:$A))-'Price History'!Q3)*(ROW()-3)/(MATCH(9.99E+307,'Returns (Calc)'!$A:$A)-3),"")</f>
        <v>152.640817610063</v>
      </c>
      <c r="AL59" s="145" t="n">
        <f aca="false">IFERROR('Price History'!R3+(INDEX('Price History'!R:R,MATCH(9.99E+307,'Price History'!$A:$A))-'Price History'!R3)*(ROW()-3)/(MATCH(9.99E+307,'Returns (Calc)'!$A:$A)-3),"")</f>
        <v>30.9777358490566</v>
      </c>
      <c r="AM59" s="145" t="n">
        <f aca="false">IFERROR('Price History'!S3+(INDEX('Price History'!S:S,MATCH(9.99E+307,'Price History'!$A:$A))-'Price History'!S3)*(ROW()-3)/(MATCH(9.99E+307,'Returns (Calc)'!$A:$A)-3),"")</f>
        <v>37.9221383647799</v>
      </c>
      <c r="AN59" s="145" t="n">
        <f aca="false">IFERROR('Price History'!T3+(INDEX('Price History'!T:T,MATCH(9.99E+307,'Price History'!$A:$A))-'Price History'!T3)*(ROW()-3)/(MATCH(9.99E+307,'Returns (Calc)'!$A:$A)-3),"")</f>
        <v>17.4322641509434</v>
      </c>
      <c r="AO59" s="146" t="n">
        <f aca="false">IFERROR('Price History'!V3+(INDEX('Price History'!V:V,MATCH(9.99E+307,'Price History'!$A:$A))-'Price History'!V3)*(ROW()-3)/(MATCH(9.99E+307,'Returns (Calc)'!$A:$A)-3),"")</f>
        <v>0</v>
      </c>
    </row>
    <row r="60" customFormat="false" ht="15" hidden="false" customHeight="true" outlineLevel="0" collapsed="false">
      <c r="A60" s="142" t="n">
        <f aca="false">IF('Price History'!A61="","",'Price History'!A61)</f>
        <v>45590</v>
      </c>
      <c r="B60" s="143" t="n">
        <f aca="false">IFERROR(IF(OR(NOT(ISNUMBER('Price History'!B61)),NOT(ISNUMBER('Price History'!B60)),'Price History'!B60=0),"",'Price History'!B61/'Price History'!B60-1),"")</f>
        <v>-0.0225904223075368</v>
      </c>
      <c r="C60" s="143" t="n">
        <f aca="false">IFERROR(IF(OR(NOT(ISNUMBER('Price History'!C61)),NOT(ISNUMBER('Price History'!C60)),'Price History'!C60=0),"",'Price History'!C61/'Price History'!C60-1),"")</f>
        <v>-0.0197014925373135</v>
      </c>
      <c r="D60" s="143" t="n">
        <f aca="false">IFERROR(IF(OR(NOT(ISNUMBER('Price History'!D61)),NOT(ISNUMBER('Price History'!D60)),'Price History'!D60=0),"",'Price History'!D61/'Price History'!D60-1),"")</f>
        <v>-0.0159839176764979</v>
      </c>
      <c r="E60" s="143" t="n">
        <f aca="false">IFERROR(IF(OR(NOT(ISNUMBER('Price History'!E61)),NOT(ISNUMBER('Price History'!E60)),'Price History'!E60=0),"",'Price History'!E61/'Price History'!E60-1),"")</f>
        <v>-0.0382853588192049</v>
      </c>
      <c r="F60" s="143" t="n">
        <f aca="false">IFERROR(IF(OR(NOT(ISNUMBER('Price History'!F61)),NOT(ISNUMBER('Price History'!F60)),'Price History'!F60=0),"",'Price History'!F61/'Price History'!F60-1),"")</f>
        <v>-0.0332878294655046</v>
      </c>
      <c r="G60" s="143" t="n">
        <f aca="false">IFERROR(IF(OR(NOT(ISNUMBER('Price History'!G61)),NOT(ISNUMBER('Price History'!G60)),'Price History'!G60=0),"",'Price History'!G61/'Price History'!G60-1),"")</f>
        <v>-0.0308228011348981</v>
      </c>
      <c r="H60" s="143" t="n">
        <f aca="false">IFERROR(IF(OR(NOT(ISNUMBER('Price History'!H61)),NOT(ISNUMBER('Price History'!H60)),'Price History'!H60=0),"",'Price History'!H61/'Price History'!H60-1),"")</f>
        <v>-0.0236041405269761</v>
      </c>
      <c r="I60" s="143" t="n">
        <f aca="false">IFERROR(IF(OR(NOT(ISNUMBER('Price History'!I61)),NOT(ISNUMBER('Price History'!I60)),'Price History'!I60=0),"",'Price History'!I61/'Price History'!I60-1),"")</f>
        <v>-0.00792938360263318</v>
      </c>
      <c r="J60" s="143" t="n">
        <f aca="false">IFERROR(IF(OR(NOT(ISNUMBER('Price History'!J61)),NOT(ISNUMBER('Price History'!J60)),'Price History'!J60=0),"",'Price History'!J61/'Price History'!J60-1),"")</f>
        <v>-0.0291191897268945</v>
      </c>
      <c r="K60" s="143" t="n">
        <f aca="false">IFERROR(IF(OR(NOT(ISNUMBER('Price History'!K61)),NOT(ISNUMBER('Price History'!K60)),'Price History'!K60=0),"",'Price History'!K61/'Price History'!K60-1),"")</f>
        <v>0.0256484778028045</v>
      </c>
      <c r="L60" s="143" t="n">
        <f aca="false">IFERROR(IF(OR(NOT(ISNUMBER('Price History'!L61)),NOT(ISNUMBER('Price History'!L60)),'Price History'!L60=0),"",'Price History'!L61/'Price History'!L60-1),"")</f>
        <v>-0.0404957235119567</v>
      </c>
      <c r="M60" s="143" t="n">
        <f aca="false">IFERROR(IF(OR(NOT(ISNUMBER('Price History'!M61)),NOT(ISNUMBER('Price History'!M60)),'Price History'!M60=0),"",'Price History'!M61/'Price History'!M60-1),"")</f>
        <v>0.0439841750058181</v>
      </c>
      <c r="N60" s="143" t="n">
        <f aca="false">IFERROR(IF(OR(NOT(ISNUMBER('Price History'!N61)),NOT(ISNUMBER('Price History'!N60)),'Price History'!N60=0),"",'Price History'!N61/'Price History'!N60-1),"")</f>
        <v>-0.0231256993659081</v>
      </c>
      <c r="O60" s="143" t="n">
        <f aca="false">IFERROR(IF(OR(NOT(ISNUMBER('Price History'!O61)),NOT(ISNUMBER('Price History'!O60)),'Price History'!O60=0),"",'Price History'!O61/'Price History'!O60-1),"")</f>
        <v>-0.0146884112755157</v>
      </c>
      <c r="P60" s="143" t="n">
        <f aca="false">IFERROR(IF(OR(NOT(ISNUMBER('Price History'!P61)),NOT(ISNUMBER('Price History'!P60)),'Price History'!P60=0),"",'Price History'!P61/'Price History'!P60-1),"")</f>
        <v>0.0132693681739309</v>
      </c>
      <c r="Q60" s="143" t="n">
        <f aca="false">IFERROR(IF(OR(NOT(ISNUMBER('Price History'!Q61)),NOT(ISNUMBER('Price History'!Q60)),'Price History'!Q60=0),"",'Price History'!Q61/'Price History'!Q60-1),"")</f>
        <v>-0.030562347188264</v>
      </c>
      <c r="R60" s="143" t="n">
        <f aca="false">IFERROR(IF(OR(NOT(ISNUMBER('Price History'!R61)),NOT(ISNUMBER('Price History'!R60)),'Price History'!R60=0),"",'Price History'!R61/'Price History'!R60-1),"")</f>
        <v>0.0122790697674418</v>
      </c>
      <c r="S60" s="143" t="n">
        <f aca="false">IFERROR(IF(OR(NOT(ISNUMBER('Price History'!S61)),NOT(ISNUMBER('Price History'!S60)),'Price History'!S60=0),"",'Price History'!S61/'Price History'!S60-1),"")</f>
        <v>0.0162775033677594</v>
      </c>
      <c r="T60" s="143" t="n">
        <f aca="false">IFERROR(IF(OR(NOT(ISNUMBER('Price History'!T61)),NOT(ISNUMBER('Price History'!T60)),'Price History'!T60=0),"",'Price History'!T61/'Price History'!T60-1),"")</f>
        <v>0.0171884591774096</v>
      </c>
      <c r="U60" s="143" t="str">
        <f aca="false">IFERROR(IF(OR(NOT(ISNUMBER('Price History'!U61)),NOT(ISNUMBER('Price History'!U60)),'Price History'!U60=0),"",'Price History'!U61/'Price History'!U60-1),"")</f>
        <v/>
      </c>
      <c r="V60" s="144" t="n">
        <f aca="false">IFERROR(IF(OR(NOT(ISNUMBER('Price History'!V61)),NOT(ISNUMBER('Price History'!V60)),'Price History'!V60=0),"",'Price History'!V61/'Price History'!V60-1),"")</f>
        <v>-0.00897272855729814</v>
      </c>
      <c r="W60" s="145" t="str">
        <f aca="false">IFERROR('Price History'!B3+(INDEX('Price History'!B:B,MATCH(9.99E+307,'Price History'!$A:$A))-'Price History'!B3)*(ROW()-3)/(MATCH(9.99E+307,'Returns (Calc)'!$A:$A)-3),"")</f>
        <v/>
      </c>
      <c r="X60" s="145" t="n">
        <f aca="false">IFERROR('Price History'!C3+(INDEX('Price History'!C:C,MATCH(9.99E+307,'Price History'!$A:$A))-'Price History'!C3)*(ROW()-3)/(MATCH(9.99E+307,'Returns (Calc)'!$A:$A)-3),"")</f>
        <v>29.6249056603774</v>
      </c>
      <c r="Y60" s="145" t="n">
        <f aca="false">IFERROR('Price History'!D3+(INDEX('Price History'!D:D,MATCH(9.99E+307,'Price History'!$A:$A))-'Price History'!D3)*(ROW()-3)/(MATCH(9.99E+307,'Returns (Calc)'!$A:$A)-3),"")</f>
        <v>373.364905660377</v>
      </c>
      <c r="Z60" s="145" t="n">
        <f aca="false">IFERROR('Price History'!E3+(INDEX('Price History'!E:E,MATCH(9.99E+307,'Price History'!$A:$A))-'Price History'!E3)*(ROW()-3)/(MATCH(9.99E+307,'Returns (Calc)'!$A:$A)-3),"")</f>
        <v>52.6037735849057</v>
      </c>
      <c r="AA60" s="145" t="n">
        <f aca="false">IFERROR('Price History'!F3+(INDEX('Price History'!F:F,MATCH(9.99E+307,'Price History'!$A:$A))-'Price History'!F3)*(ROW()-3)/(MATCH(9.99E+307,'Returns (Calc)'!$A:$A)-3),"")</f>
        <v>48.3120754716981</v>
      </c>
      <c r="AB60" s="145" t="n">
        <f aca="false">IFERROR('Price History'!G3+(INDEX('Price History'!G:G,MATCH(9.99E+307,'Price History'!$A:$A))-'Price History'!G3)*(ROW()-3)/(MATCH(9.99E+307,'Returns (Calc)'!$A:$A)-3),"")</f>
        <v>26.5328301886792</v>
      </c>
      <c r="AC60" s="145" t="n">
        <f aca="false">IFERROR('Price History'!H3+(INDEX('Price History'!H:H,MATCH(9.99E+307,'Price History'!$A:$A))-'Price History'!H3)*(ROW()-3)/(MATCH(9.99E+307,'Returns (Calc)'!$A:$A)-3),"")</f>
        <v>64.5294339622642</v>
      </c>
      <c r="AD60" s="145" t="n">
        <f aca="false">IFERROR('Price History'!I3+(INDEX('Price History'!I:I,MATCH(9.99E+307,'Price History'!$A:$A))-'Price History'!I3)*(ROW()-3)/(MATCH(9.99E+307,'Returns (Calc)'!$A:$A)-3),"")</f>
        <v>28.4509433962264</v>
      </c>
      <c r="AE60" s="145" t="n">
        <f aca="false">IFERROR('Price History'!J3+(INDEX('Price History'!J:J,MATCH(9.99E+307,'Price History'!$A:$A))-'Price History'!J3)*(ROW()-3)/(MATCH(9.99E+307,'Returns (Calc)'!$A:$A)-3),"")</f>
        <v>44.3347169811321</v>
      </c>
      <c r="AF60" s="145" t="n">
        <f aca="false">IFERROR('Price History'!K3+(INDEX('Price History'!K:K,MATCH(9.99E+307,'Price History'!$A:$A))-'Price History'!K3)*(ROW()-3)/(MATCH(9.99E+307,'Returns (Calc)'!$A:$A)-3),"")</f>
        <v>28.0788679245283</v>
      </c>
      <c r="AG60" s="145" t="n">
        <f aca="false">IFERROR('Price History'!L3+(INDEX('Price History'!L:L,MATCH(9.99E+307,'Price History'!$A:$A))-'Price History'!L3)*(ROW()-3)/(MATCH(9.99E+307,'Returns (Calc)'!$A:$A)-3),"")</f>
        <v>71.7464150943396</v>
      </c>
      <c r="AH60" s="145" t="n">
        <f aca="false">IFERROR('Price History'!M3+(INDEX('Price History'!M:M,MATCH(9.99E+307,'Price History'!$A:$A))-'Price History'!M3)*(ROW()-3)/(MATCH(9.99E+307,'Returns (Calc)'!$A:$A)-3),"")</f>
        <v>9.83433962264151</v>
      </c>
      <c r="AI60" s="145" t="n">
        <f aca="false">IFERROR('Price History'!N3+(INDEX('Price History'!N:N,MATCH(9.99E+307,'Price History'!$A:$A))-'Price History'!N3)*(ROW()-3)/(MATCH(9.99E+307,'Returns (Calc)'!$A:$A)-3),"")</f>
        <v>13.9849056603774</v>
      </c>
      <c r="AJ60" s="145" t="n">
        <f aca="false">IFERROR('Price History'!O3+(INDEX('Price History'!O:O,MATCH(9.99E+307,'Price History'!$A:$A))-'Price History'!O3)*(ROW()-3)/(MATCH(9.99E+307,'Returns (Calc)'!$A:$A)-3),"")</f>
        <v>36.9701886792453</v>
      </c>
      <c r="AK60" s="145" t="n">
        <f aca="false">IFERROR('Price History'!Q3+(INDEX('Price History'!Q:Q,MATCH(9.99E+307,'Price History'!$A:$A))-'Price History'!Q3)*(ROW()-3)/(MATCH(9.99E+307,'Returns (Calc)'!$A:$A)-3),"")</f>
        <v>151.158867924528</v>
      </c>
      <c r="AL60" s="145" t="n">
        <f aca="false">IFERROR('Price History'!R3+(INDEX('Price History'!R:R,MATCH(9.99E+307,'Price History'!$A:$A))-'Price History'!R3)*(ROW()-3)/(MATCH(9.99E+307,'Returns (Calc)'!$A:$A)-3),"")</f>
        <v>30.6769811320755</v>
      </c>
      <c r="AM60" s="145" t="n">
        <f aca="false">IFERROR('Price History'!S3+(INDEX('Price History'!S:S,MATCH(9.99E+307,'Price History'!$A:$A))-'Price History'!S3)*(ROW()-3)/(MATCH(9.99E+307,'Returns (Calc)'!$A:$A)-3),"")</f>
        <v>37.5539622641509</v>
      </c>
      <c r="AN60" s="145" t="n">
        <f aca="false">IFERROR('Price History'!T3+(INDEX('Price History'!T:T,MATCH(9.99E+307,'Price History'!$A:$A))-'Price History'!T3)*(ROW()-3)/(MATCH(9.99E+307,'Returns (Calc)'!$A:$A)-3),"")</f>
        <v>17.2630188679245</v>
      </c>
      <c r="AO60" s="146" t="n">
        <f aca="false">IFERROR('Price History'!V3+(INDEX('Price History'!V:V,MATCH(9.99E+307,'Price History'!$A:$A))-'Price History'!V3)*(ROW()-3)/(MATCH(9.99E+307,'Returns (Calc)'!$A:$A)-3),"")</f>
        <v>0</v>
      </c>
    </row>
    <row r="61" customFormat="false" ht="15" hidden="false" customHeight="true" outlineLevel="0" collapsed="false">
      <c r="A61" s="142" t="n">
        <f aca="false">IF('Price History'!A62="","",'Price History'!A62)</f>
        <v>45597</v>
      </c>
      <c r="B61" s="143" t="n">
        <f aca="false">IFERROR(IF(OR(NOT(ISNUMBER('Price History'!B62)),NOT(ISNUMBER('Price History'!B61)),'Price History'!B61=0),"",'Price History'!B62/'Price History'!B61-1),"")</f>
        <v>-0.00190192673447454</v>
      </c>
      <c r="C61" s="143" t="n">
        <f aca="false">IFERROR(IF(OR(NOT(ISNUMBER('Price History'!C62)),NOT(ISNUMBER('Price History'!C61)),'Price History'!C61=0),"",'Price History'!C62/'Price History'!C61-1),"")</f>
        <v>0.000203004466098333</v>
      </c>
      <c r="D61" s="143" t="n">
        <f aca="false">IFERROR(IF(OR(NOT(ISNUMBER('Price History'!D62)),NOT(ISNUMBER('Price History'!D61)),'Price History'!D61=0),"",'Price History'!D62/'Price History'!D61-1),"")</f>
        <v>-0.0497449890709603</v>
      </c>
      <c r="E61" s="143" t="n">
        <f aca="false">IFERROR(IF(OR(NOT(ISNUMBER('Price History'!E62)),NOT(ISNUMBER('Price History'!E61)),'Price History'!E61=0),"",'Price History'!E62/'Price History'!E61-1),"")</f>
        <v>-0.0236387157473833</v>
      </c>
      <c r="F61" s="143" t="n">
        <f aca="false">IFERROR(IF(OR(NOT(ISNUMBER('Price History'!F62)),NOT(ISNUMBER('Price History'!F61)),'Price History'!F61=0),"",'Price History'!F62/'Price History'!F61-1),"")</f>
        <v>-0.00238974581794482</v>
      </c>
      <c r="G61" s="143" t="n">
        <f aca="false">IFERROR(IF(OR(NOT(ISNUMBER('Price History'!G62)),NOT(ISNUMBER('Price History'!G61)),'Price History'!G61=0),"",'Price History'!G62/'Price History'!G61-1),"")</f>
        <v>0.00838323353293413</v>
      </c>
      <c r="H61" s="143" t="n">
        <f aca="false">IFERROR(IF(OR(NOT(ISNUMBER('Price History'!H62)),NOT(ISNUMBER('Price History'!H61)),'Price History'!H61=0),"",'Price History'!H62/'Price History'!H61-1),"")</f>
        <v>-0.000963778009798411</v>
      </c>
      <c r="I61" s="143" t="n">
        <f aca="false">IFERROR(IF(OR(NOT(ISNUMBER('Price History'!I62)),NOT(ISNUMBER('Price History'!I61)),'Price History'!I61=0),"",'Price History'!I62/'Price History'!I61-1),"")</f>
        <v>-0.00557985220931989</v>
      </c>
      <c r="J61" s="143" t="n">
        <f aca="false">IFERROR(IF(OR(NOT(ISNUMBER('Price History'!J62)),NOT(ISNUMBER('Price History'!J61)),'Price History'!J61=0),"",'Price History'!J62/'Price History'!J61-1),"")</f>
        <v>-0.0758196721311476</v>
      </c>
      <c r="K61" s="143" t="n">
        <f aca="false">IFERROR(IF(OR(NOT(ISNUMBER('Price History'!K62)),NOT(ISNUMBER('Price History'!K61)),'Price History'!K61=0),"",'Price History'!K62/'Price History'!K61-1),"")</f>
        <v>-0.0433550580901105</v>
      </c>
      <c r="L61" s="143" t="n">
        <f aca="false">IFERROR(IF(OR(NOT(ISNUMBER('Price History'!L62)),NOT(ISNUMBER('Price History'!L61)),'Price History'!L61=0),"",'Price History'!L62/'Price History'!L61-1),"")</f>
        <v>-0.0352010187374933</v>
      </c>
      <c r="M61" s="143" t="n">
        <f aca="false">IFERROR(IF(OR(NOT(ISNUMBER('Price History'!M62)),NOT(ISNUMBER('Price History'!M61)),'Price History'!M61=0),"",'Price History'!M62/'Price History'!M61-1),"")</f>
        <v>-0.0655372269282211</v>
      </c>
      <c r="N61" s="143" t="n">
        <f aca="false">IFERROR(IF(OR(NOT(ISNUMBER('Price History'!N62)),NOT(ISNUMBER('Price History'!N61)),'Price History'!N61=0),"",'Price History'!N62/'Price History'!N61-1),"")</f>
        <v>-0.00152730049637273</v>
      </c>
      <c r="O61" s="143" t="n">
        <f aca="false">IFERROR(IF(OR(NOT(ISNUMBER('Price History'!O62)),NOT(ISNUMBER('Price History'!O61)),'Price History'!O61=0),"",'Price History'!O62/'Price History'!O61-1),"")</f>
        <v>-0.0137016332346815</v>
      </c>
      <c r="P61" s="143" t="n">
        <f aca="false">IFERROR(IF(OR(NOT(ISNUMBER('Price History'!P62)),NOT(ISNUMBER('Price History'!P61)),'Price History'!P61=0),"",'Price History'!P62/'Price History'!P61-1),"")</f>
        <v>-0.0515765085121385</v>
      </c>
      <c r="Q61" s="143" t="n">
        <f aca="false">IFERROR(IF(OR(NOT(ISNUMBER('Price History'!Q62)),NOT(ISNUMBER('Price History'!Q61)),'Price History'!Q61=0),"",'Price History'!Q62/'Price History'!Q61-1),"")</f>
        <v>0.0319582057286976</v>
      </c>
      <c r="R61" s="143" t="n">
        <f aca="false">IFERROR(IF(OR(NOT(ISNUMBER('Price History'!R62)),NOT(ISNUMBER('Price History'!R61)),'Price History'!R61=0),"",'Price History'!R62/'Price History'!R61-1),"")</f>
        <v>0.00716780003675788</v>
      </c>
      <c r="S61" s="143" t="n">
        <f aca="false">IFERROR(IF(OR(NOT(ISNUMBER('Price History'!S62)),NOT(ISNUMBER('Price History'!S61)),'Price History'!S61=0),"",'Price History'!S62/'Price History'!S61-1),"")</f>
        <v>-0.00209875179498509</v>
      </c>
      <c r="T61" s="143" t="n">
        <f aca="false">IFERROR(IF(OR(NOT(ISNUMBER('Price History'!T62)),NOT(ISNUMBER('Price History'!T61)),'Price History'!T61=0),"",'Price History'!T62/'Price History'!T61-1),"")</f>
        <v>0.00211225105612556</v>
      </c>
      <c r="U61" s="143" t="str">
        <f aca="false">IFERROR(IF(OR(NOT(ISNUMBER('Price History'!U62)),NOT(ISNUMBER('Price History'!U61)),'Price History'!U61=0),"",'Price History'!U62/'Price History'!U61-1),"")</f>
        <v/>
      </c>
      <c r="V61" s="144" t="n">
        <f aca="false">IFERROR(IF(OR(NOT(ISNUMBER('Price History'!V62)),NOT(ISNUMBER('Price History'!V61)),'Price History'!V61=0),"",'Price History'!V62/'Price History'!V61-1),"")</f>
        <v>-0.0337206815427391</v>
      </c>
      <c r="W61" s="145" t="str">
        <f aca="false">IFERROR('Price History'!B3+(INDEX('Price History'!B:B,MATCH(9.99E+307,'Price History'!$A:$A))-'Price History'!B3)*(ROW()-3)/(MATCH(9.99E+307,'Returns (Calc)'!$A:$A)-3),"")</f>
        <v/>
      </c>
      <c r="X61" s="145" t="n">
        <f aca="false">IFERROR('Price History'!C3+(INDEX('Price History'!C:C,MATCH(9.99E+307,'Price History'!$A:$A))-'Price History'!C3)*(ROW()-3)/(MATCH(9.99E+307,'Returns (Calc)'!$A:$A)-3),"")</f>
        <v>29.334465408805</v>
      </c>
      <c r="Y61" s="145" t="n">
        <f aca="false">IFERROR('Price History'!D3+(INDEX('Price History'!D:D,MATCH(9.99E+307,'Price History'!$A:$A))-'Price History'!D3)*(ROW()-3)/(MATCH(9.99E+307,'Returns (Calc)'!$A:$A)-3),"")</f>
        <v>369.704465408805</v>
      </c>
      <c r="Z61" s="145" t="n">
        <f aca="false">IFERROR('Price History'!E3+(INDEX('Price History'!E:E,MATCH(9.99E+307,'Price History'!$A:$A))-'Price History'!E3)*(ROW()-3)/(MATCH(9.99E+307,'Returns (Calc)'!$A:$A)-3),"")</f>
        <v>52.0880503144654</v>
      </c>
      <c r="AA61" s="145" t="n">
        <f aca="false">IFERROR('Price History'!F3+(INDEX('Price History'!F:F,MATCH(9.99E+307,'Price History'!$A:$A))-'Price History'!F3)*(ROW()-3)/(MATCH(9.99E+307,'Returns (Calc)'!$A:$A)-3),"")</f>
        <v>47.838427672956</v>
      </c>
      <c r="AB61" s="145" t="n">
        <f aca="false">IFERROR('Price History'!G3+(INDEX('Price History'!G:G,MATCH(9.99E+307,'Price History'!$A:$A))-'Price History'!G3)*(ROW()-3)/(MATCH(9.99E+307,'Returns (Calc)'!$A:$A)-3),"")</f>
        <v>26.2727044025157</v>
      </c>
      <c r="AC61" s="145" t="n">
        <f aca="false">IFERROR('Price History'!H3+(INDEX('Price History'!H:H,MATCH(9.99E+307,'Price History'!$A:$A))-'Price History'!H3)*(ROW()-3)/(MATCH(9.99E+307,'Returns (Calc)'!$A:$A)-3),"")</f>
        <v>63.8967924528302</v>
      </c>
      <c r="AD61" s="145" t="n">
        <f aca="false">IFERROR('Price History'!I3+(INDEX('Price History'!I:I,MATCH(9.99E+307,'Price History'!$A:$A))-'Price History'!I3)*(ROW()-3)/(MATCH(9.99E+307,'Returns (Calc)'!$A:$A)-3),"")</f>
        <v>28.1720125786164</v>
      </c>
      <c r="AE61" s="145" t="n">
        <f aca="false">IFERROR('Price History'!J3+(INDEX('Price History'!J:J,MATCH(9.99E+307,'Price History'!$A:$A))-'Price History'!J3)*(ROW()-3)/(MATCH(9.99E+307,'Returns (Calc)'!$A:$A)-3),"")</f>
        <v>43.9000628930818</v>
      </c>
      <c r="AF61" s="145" t="n">
        <f aca="false">IFERROR('Price History'!K3+(INDEX('Price History'!K:K,MATCH(9.99E+307,'Price History'!$A:$A))-'Price History'!K3)*(ROW()-3)/(MATCH(9.99E+307,'Returns (Calc)'!$A:$A)-3),"")</f>
        <v>27.8035849056604</v>
      </c>
      <c r="AG61" s="145" t="n">
        <f aca="false">IFERROR('Price History'!L3+(INDEX('Price History'!L:L,MATCH(9.99E+307,'Price History'!$A:$A))-'Price History'!L3)*(ROW()-3)/(MATCH(9.99E+307,'Returns (Calc)'!$A:$A)-3),"")</f>
        <v>71.0430188679245</v>
      </c>
      <c r="AH61" s="145" t="n">
        <f aca="false">IFERROR('Price History'!M3+(INDEX('Price History'!M:M,MATCH(9.99E+307,'Price History'!$A:$A))-'Price History'!M3)*(ROW()-3)/(MATCH(9.99E+307,'Returns (Calc)'!$A:$A)-3),"")</f>
        <v>9.73792452830189</v>
      </c>
      <c r="AI61" s="145" t="n">
        <f aca="false">IFERROR('Price History'!N3+(INDEX('Price History'!N:N,MATCH(9.99E+307,'Price History'!$A:$A))-'Price History'!N3)*(ROW()-3)/(MATCH(9.99E+307,'Returns (Calc)'!$A:$A)-3),"")</f>
        <v>13.8477987421384</v>
      </c>
      <c r="AJ61" s="145" t="n">
        <f aca="false">IFERROR('Price History'!O3+(INDEX('Price History'!O:O,MATCH(9.99E+307,'Price History'!$A:$A))-'Price History'!O3)*(ROW()-3)/(MATCH(9.99E+307,'Returns (Calc)'!$A:$A)-3),"")</f>
        <v>36.6077358490566</v>
      </c>
      <c r="AK61" s="145" t="n">
        <f aca="false">IFERROR('Price History'!Q3+(INDEX('Price History'!Q:Q,MATCH(9.99E+307,'Price History'!$A:$A))-'Price History'!Q3)*(ROW()-3)/(MATCH(9.99E+307,'Returns (Calc)'!$A:$A)-3),"")</f>
        <v>149.676918238994</v>
      </c>
      <c r="AL61" s="145" t="n">
        <f aca="false">IFERROR('Price History'!R3+(INDEX('Price History'!R:R,MATCH(9.99E+307,'Price History'!$A:$A))-'Price History'!R3)*(ROW()-3)/(MATCH(9.99E+307,'Returns (Calc)'!$A:$A)-3),"")</f>
        <v>30.3762264150943</v>
      </c>
      <c r="AM61" s="145" t="n">
        <f aca="false">IFERROR('Price History'!S3+(INDEX('Price History'!S:S,MATCH(9.99E+307,'Price History'!$A:$A))-'Price History'!S3)*(ROW()-3)/(MATCH(9.99E+307,'Returns (Calc)'!$A:$A)-3),"")</f>
        <v>37.185786163522</v>
      </c>
      <c r="AN61" s="145" t="n">
        <f aca="false">IFERROR('Price History'!T3+(INDEX('Price History'!T:T,MATCH(9.99E+307,'Price History'!$A:$A))-'Price History'!T3)*(ROW()-3)/(MATCH(9.99E+307,'Returns (Calc)'!$A:$A)-3),"")</f>
        <v>17.0937735849057</v>
      </c>
      <c r="AO61" s="146" t="n">
        <f aca="false">IFERROR('Price History'!V3+(INDEX('Price History'!V:V,MATCH(9.99E+307,'Price History'!$A:$A))-'Price History'!V3)*(ROW()-3)/(MATCH(9.99E+307,'Returns (Calc)'!$A:$A)-3),"")</f>
        <v>0</v>
      </c>
    </row>
    <row r="62" customFormat="false" ht="15" hidden="false" customHeight="true" outlineLevel="0" collapsed="false">
      <c r="A62" s="142" t="n">
        <f aca="false">IF('Price History'!A63="","",'Price History'!A63)</f>
        <v>45604</v>
      </c>
      <c r="B62" s="143" t="n">
        <f aca="false">IFERROR(IF(OR(NOT(ISNUMBER('Price History'!B63)),NOT(ISNUMBER('Price History'!B62)),'Price History'!B62=0),"",'Price History'!B63/'Price History'!B62-1),"")</f>
        <v>0.0246064623032312</v>
      </c>
      <c r="C62" s="143" t="n">
        <f aca="false">IFERROR(IF(OR(NOT(ISNUMBER('Price History'!C63)),NOT(ISNUMBER('Price History'!C62)),'Price History'!C62=0),"",'Price History'!C63/'Price History'!C62-1),"")</f>
        <v>0.0159326161964684</v>
      </c>
      <c r="D62" s="143" t="n">
        <f aca="false">IFERROR(IF(OR(NOT(ISNUMBER('Price History'!D63)),NOT(ISNUMBER('Price History'!D62)),'Price History'!D62=0),"",'Price History'!D63/'Price History'!D62-1),"")</f>
        <v>-0.00780275125911445</v>
      </c>
      <c r="E62" s="143" t="n">
        <f aca="false">IFERROR(IF(OR(NOT(ISNUMBER('Price History'!E63)),NOT(ISNUMBER('Price History'!E62)),'Price History'!E62=0),"",'Price History'!E63/'Price History'!E62-1),"")</f>
        <v>0.0871476752589737</v>
      </c>
      <c r="F62" s="143" t="n">
        <f aca="false">IFERROR(IF(OR(NOT(ISNUMBER('Price History'!F63)),NOT(ISNUMBER('Price History'!F62)),'Price History'!F62=0),"",'Price History'!F63/'Price History'!F62-1),"")</f>
        <v>0.0886324041811846</v>
      </c>
      <c r="G62" s="143" t="n">
        <f aca="false">IFERROR(IF(OR(NOT(ISNUMBER('Price History'!G63)),NOT(ISNUMBER('Price History'!G62)),'Price History'!G62=0),"",'Price History'!G63/'Price History'!G62-1),"")</f>
        <v>0.0888097123251519</v>
      </c>
      <c r="H62" s="143" t="n">
        <f aca="false">IFERROR(IF(OR(NOT(ISNUMBER('Price History'!H63)),NOT(ISNUMBER('Price History'!H62)),'Price History'!H62=0),"",'Price History'!H63/'Price History'!H62-1),"")</f>
        <v>0.0347294798617253</v>
      </c>
      <c r="I62" s="143" t="n">
        <f aca="false">IFERROR(IF(OR(NOT(ISNUMBER('Price History'!I63)),NOT(ISNUMBER('Price History'!I62)),'Price History'!I62=0),"",'Price History'!I63/'Price History'!I62-1),"")</f>
        <v>0.02699423718532</v>
      </c>
      <c r="J62" s="143" t="n">
        <f aca="false">IFERROR(IF(OR(NOT(ISNUMBER('Price History'!J63)),NOT(ISNUMBER('Price History'!J62)),'Price History'!J62=0),"",'Price History'!J63/'Price History'!J62-1),"")</f>
        <v>0.122052005644023</v>
      </c>
      <c r="K62" s="143" t="n">
        <f aca="false">IFERROR(IF(OR(NOT(ISNUMBER('Price History'!K63)),NOT(ISNUMBER('Price History'!K62)),'Price History'!K62=0),"",'Price History'!K63/'Price History'!K62-1),"")</f>
        <v>0.0902695497630333</v>
      </c>
      <c r="L62" s="143" t="n">
        <f aca="false">IFERROR(IF(OR(NOT(ISNUMBER('Price History'!L63)),NOT(ISNUMBER('Price History'!L62)),'Price History'!L62=0),"",'Price History'!L63/'Price History'!L62-1),"")</f>
        <v>0.0214009616291129</v>
      </c>
      <c r="M62" s="143" t="n">
        <f aca="false">IFERROR(IF(OR(NOT(ISNUMBER('Price History'!M63)),NOT(ISNUMBER('Price History'!M62)),'Price History'!M62=0),"",'Price History'!M63/'Price History'!M62-1),"")</f>
        <v>0.392891221374046</v>
      </c>
      <c r="N62" s="143" t="n">
        <f aca="false">IFERROR(IF(OR(NOT(ISNUMBER('Price History'!N63)),NOT(ISNUMBER('Price History'!N62)),'Price History'!N62=0),"",'Price History'!N63/'Price History'!N62-1),"")</f>
        <v>0.0347992351816444</v>
      </c>
      <c r="O62" s="143" t="n">
        <f aca="false">IFERROR(IF(OR(NOT(ISNUMBER('Price History'!O63)),NOT(ISNUMBER('Price History'!O62)),'Price History'!O62=0),"",'Price History'!O63/'Price History'!O62-1),"")</f>
        <v>0.0597910646810402</v>
      </c>
      <c r="P62" s="143" t="n">
        <f aca="false">IFERROR(IF(OR(NOT(ISNUMBER('Price History'!P63)),NOT(ISNUMBER('Price History'!P62)),'Price History'!P62=0),"",'Price History'!P63/'Price History'!P62-1),"")</f>
        <v>0.0427509293680297</v>
      </c>
      <c r="Q62" s="143" t="n">
        <f aca="false">IFERROR(IF(OR(NOT(ISNUMBER('Price History'!Q63)),NOT(ISNUMBER('Price History'!Q62)),'Price History'!Q62=0),"",'Price History'!Q63/'Price History'!Q62-1),"")</f>
        <v>0.0589344319530758</v>
      </c>
      <c r="R62" s="143" t="n">
        <f aca="false">IFERROR(IF(OR(NOT(ISNUMBER('Price History'!R63)),NOT(ISNUMBER('Price History'!R62)),'Price History'!R62=0),"",'Price History'!R63/'Price History'!R62-1),"")</f>
        <v>-0.00784671532846715</v>
      </c>
      <c r="S62" s="143" t="n">
        <f aca="false">IFERROR(IF(OR(NOT(ISNUMBER('Price History'!S63)),NOT(ISNUMBER('Price History'!S62)),'Price History'!S62=0),"",'Price History'!S63/'Price History'!S62-1),"")</f>
        <v>0.0149435466017267</v>
      </c>
      <c r="T62" s="143" t="n">
        <f aca="false">IFERROR(IF(OR(NOT(ISNUMBER('Price History'!T63)),NOT(ISNUMBER('Price History'!T62)),'Price History'!T62=0),"",'Price History'!T63/'Price History'!T62-1),"")</f>
        <v>0.0186690755796446</v>
      </c>
      <c r="U62" s="143" t="str">
        <f aca="false">IFERROR(IF(OR(NOT(ISNUMBER('Price History'!U63)),NOT(ISNUMBER('Price History'!U62)),'Price History'!U62=0),"",'Price History'!U63/'Price History'!U62-1),"")</f>
        <v/>
      </c>
      <c r="V62" s="144" t="n">
        <f aca="false">IFERROR(IF(OR(NOT(ISNUMBER('Price History'!V63)),NOT(ISNUMBER('Price History'!V62)),'Price History'!V62=0),"",'Price History'!V63/'Price History'!V62-1),"")</f>
        <v>0.010033938320791</v>
      </c>
      <c r="W62" s="145" t="str">
        <f aca="false">IFERROR('Price History'!B3+(INDEX('Price History'!B:B,MATCH(9.99E+307,'Price History'!$A:$A))-'Price History'!B3)*(ROW()-3)/(MATCH(9.99E+307,'Returns (Calc)'!$A:$A)-3),"")</f>
        <v/>
      </c>
      <c r="X62" s="145" t="n">
        <f aca="false">IFERROR('Price History'!C3+(INDEX('Price History'!C:C,MATCH(9.99E+307,'Price History'!$A:$A))-'Price History'!C3)*(ROW()-3)/(MATCH(9.99E+307,'Returns (Calc)'!$A:$A)-3),"")</f>
        <v>29.0440251572327</v>
      </c>
      <c r="Y62" s="145" t="n">
        <f aca="false">IFERROR('Price History'!D3+(INDEX('Price History'!D:D,MATCH(9.99E+307,'Price History'!$A:$A))-'Price History'!D3)*(ROW()-3)/(MATCH(9.99E+307,'Returns (Calc)'!$A:$A)-3),"")</f>
        <v>366.044025157233</v>
      </c>
      <c r="Z62" s="145" t="n">
        <f aca="false">IFERROR('Price History'!E3+(INDEX('Price History'!E:E,MATCH(9.99E+307,'Price History'!$A:$A))-'Price History'!E3)*(ROW()-3)/(MATCH(9.99E+307,'Returns (Calc)'!$A:$A)-3),"")</f>
        <v>51.5723270440252</v>
      </c>
      <c r="AA62" s="145" t="n">
        <f aca="false">IFERROR('Price History'!F3+(INDEX('Price History'!F:F,MATCH(9.99E+307,'Price History'!$A:$A))-'Price History'!F3)*(ROW()-3)/(MATCH(9.99E+307,'Returns (Calc)'!$A:$A)-3),"")</f>
        <v>47.3647798742138</v>
      </c>
      <c r="AB62" s="145" t="n">
        <f aca="false">IFERROR('Price History'!G3+(INDEX('Price History'!G:G,MATCH(9.99E+307,'Price History'!$A:$A))-'Price History'!G3)*(ROW()-3)/(MATCH(9.99E+307,'Returns (Calc)'!$A:$A)-3),"")</f>
        <v>26.0125786163522</v>
      </c>
      <c r="AC62" s="145" t="n">
        <f aca="false">IFERROR('Price History'!H3+(INDEX('Price History'!H:H,MATCH(9.99E+307,'Price History'!$A:$A))-'Price History'!H3)*(ROW()-3)/(MATCH(9.99E+307,'Returns (Calc)'!$A:$A)-3),"")</f>
        <v>63.2641509433962</v>
      </c>
      <c r="AD62" s="145" t="n">
        <f aca="false">IFERROR('Price History'!I3+(INDEX('Price History'!I:I,MATCH(9.99E+307,'Price History'!$A:$A))-'Price History'!I3)*(ROW()-3)/(MATCH(9.99E+307,'Returns (Calc)'!$A:$A)-3),"")</f>
        <v>27.8930817610063</v>
      </c>
      <c r="AE62" s="145" t="n">
        <f aca="false">IFERROR('Price History'!J3+(INDEX('Price History'!J:J,MATCH(9.99E+307,'Price History'!$A:$A))-'Price History'!J3)*(ROW()-3)/(MATCH(9.99E+307,'Returns (Calc)'!$A:$A)-3),"")</f>
        <v>43.4654088050314</v>
      </c>
      <c r="AF62" s="145" t="n">
        <f aca="false">IFERROR('Price History'!K3+(INDEX('Price History'!K:K,MATCH(9.99E+307,'Price History'!$A:$A))-'Price History'!K3)*(ROW()-3)/(MATCH(9.99E+307,'Returns (Calc)'!$A:$A)-3),"")</f>
        <v>27.5283018867925</v>
      </c>
      <c r="AG62" s="145" t="n">
        <f aca="false">IFERROR('Price History'!L3+(INDEX('Price History'!L:L,MATCH(9.99E+307,'Price History'!$A:$A))-'Price History'!L3)*(ROW()-3)/(MATCH(9.99E+307,'Returns (Calc)'!$A:$A)-3),"")</f>
        <v>70.3396226415094</v>
      </c>
      <c r="AH62" s="145" t="n">
        <f aca="false">IFERROR('Price History'!M3+(INDEX('Price History'!M:M,MATCH(9.99E+307,'Price History'!$A:$A))-'Price History'!M3)*(ROW()-3)/(MATCH(9.99E+307,'Returns (Calc)'!$A:$A)-3),"")</f>
        <v>9.64150943396226</v>
      </c>
      <c r="AI62" s="145" t="n">
        <f aca="false">IFERROR('Price History'!N3+(INDEX('Price History'!N:N,MATCH(9.99E+307,'Price History'!$A:$A))-'Price History'!N3)*(ROW()-3)/(MATCH(9.99E+307,'Returns (Calc)'!$A:$A)-3),"")</f>
        <v>13.7106918238994</v>
      </c>
      <c r="AJ62" s="145" t="n">
        <f aca="false">IFERROR('Price History'!O3+(INDEX('Price History'!O:O,MATCH(9.99E+307,'Price History'!$A:$A))-'Price History'!O3)*(ROW()-3)/(MATCH(9.99E+307,'Returns (Calc)'!$A:$A)-3),"")</f>
        <v>36.2452830188679</v>
      </c>
      <c r="AK62" s="145" t="n">
        <f aca="false">IFERROR('Price History'!Q3+(INDEX('Price History'!Q:Q,MATCH(9.99E+307,'Price History'!$A:$A))-'Price History'!Q3)*(ROW()-3)/(MATCH(9.99E+307,'Returns (Calc)'!$A:$A)-3),"")</f>
        <v>148.194968553459</v>
      </c>
      <c r="AL62" s="145" t="n">
        <f aca="false">IFERROR('Price History'!R3+(INDEX('Price History'!R:R,MATCH(9.99E+307,'Price History'!$A:$A))-'Price History'!R3)*(ROW()-3)/(MATCH(9.99E+307,'Returns (Calc)'!$A:$A)-3),"")</f>
        <v>30.0754716981132</v>
      </c>
      <c r="AM62" s="145" t="n">
        <f aca="false">IFERROR('Price History'!S3+(INDEX('Price History'!S:S,MATCH(9.99E+307,'Price History'!$A:$A))-'Price History'!S3)*(ROW()-3)/(MATCH(9.99E+307,'Returns (Calc)'!$A:$A)-3),"")</f>
        <v>36.8176100628931</v>
      </c>
      <c r="AN62" s="145" t="n">
        <f aca="false">IFERROR('Price History'!T3+(INDEX('Price History'!T:T,MATCH(9.99E+307,'Price History'!$A:$A))-'Price History'!T3)*(ROW()-3)/(MATCH(9.99E+307,'Returns (Calc)'!$A:$A)-3),"")</f>
        <v>16.9245283018868</v>
      </c>
      <c r="AO62" s="146" t="n">
        <f aca="false">IFERROR('Price History'!V3+(INDEX('Price History'!V:V,MATCH(9.99E+307,'Price History'!$A:$A))-'Price History'!V3)*(ROW()-3)/(MATCH(9.99E+307,'Returns (Calc)'!$A:$A)-3),"")</f>
        <v>0</v>
      </c>
    </row>
    <row r="63" customFormat="false" ht="15" hidden="false" customHeight="true" outlineLevel="0" collapsed="false">
      <c r="A63" s="142" t="n">
        <f aca="false">IF('Price History'!A64="","",'Price History'!A64)</f>
        <v>45611</v>
      </c>
      <c r="B63" s="143" t="n">
        <f aca="false">IFERROR(IF(OR(NOT(ISNUMBER('Price History'!B64)),NOT(ISNUMBER('Price History'!B63)),'Price History'!B63=0),"",'Price History'!B64/'Price History'!B63-1),"")</f>
        <v>0.0175669119430744</v>
      </c>
      <c r="C63" s="143" t="n">
        <f aca="false">IFERROR(IF(OR(NOT(ISNUMBER('Price History'!C64)),NOT(ISNUMBER('Price History'!C63)),'Price History'!C63=0),"",'Price History'!C64/'Price History'!C63-1),"")</f>
        <v>-0.0650284686844471</v>
      </c>
      <c r="D63" s="143" t="n">
        <f aca="false">IFERROR(IF(OR(NOT(ISNUMBER('Price History'!D64)),NOT(ISNUMBER('Price History'!D63)),'Price History'!D63=0),"",'Price History'!D64/'Price History'!D63-1),"")</f>
        <v>-0.0161827989575126</v>
      </c>
      <c r="E63" s="143" t="n">
        <f aca="false">IFERROR(IF(OR(NOT(ISNUMBER('Price History'!E64)),NOT(ISNUMBER('Price History'!E63)),'Price History'!E63=0),"",'Price History'!E64/'Price History'!E63-1),"")</f>
        <v>-0.102376599634369</v>
      </c>
      <c r="F63" s="143" t="n">
        <f aca="false">IFERROR(IF(OR(NOT(ISNUMBER('Price History'!F64)),NOT(ISNUMBER('Price History'!F63)),'Price History'!F63=0),"",'Price History'!F64/'Price History'!F63-1),"")</f>
        <v>-0.0194038807761552</v>
      </c>
      <c r="G63" s="143" t="n">
        <f aca="false">IFERROR(IF(OR(NOT(ISNUMBER('Price History'!G64)),NOT(ISNUMBER('Price History'!G63)),'Price History'!G63=0),"",'Price History'!G64/'Price History'!G63-1),"")</f>
        <v>0.020361168343231</v>
      </c>
      <c r="H63" s="143" t="n">
        <f aca="false">IFERROR(IF(OR(NOT(ISNUMBER('Price History'!H64)),NOT(ISNUMBER('Price History'!H63)),'Price History'!H63=0),"",'Price History'!H64/'Price History'!H63-1),"")</f>
        <v>0.00124310465387301</v>
      </c>
      <c r="I63" s="143" t="n">
        <f aca="false">IFERROR(IF(OR(NOT(ISNUMBER('Price History'!I64)),NOT(ISNUMBER('Price History'!I63)),'Price History'!I63=0),"",'Price History'!I64/'Price History'!I63-1),"")</f>
        <v>-0.106172474896633</v>
      </c>
      <c r="J63" s="143" t="n">
        <f aca="false">IFERROR(IF(OR(NOT(ISNUMBER('Price History'!J64)),NOT(ISNUMBER('Price History'!J63)),'Price History'!J63=0),"",'Price History'!J64/'Price History'!J63-1),"")</f>
        <v>-0.139046079223929</v>
      </c>
      <c r="K63" s="143" t="n">
        <f aca="false">IFERROR(IF(OR(NOT(ISNUMBER('Price History'!K64)),NOT(ISNUMBER('Price History'!K63)),'Price History'!K63=0),"",'Price History'!K64/'Price History'!K63-1),"")</f>
        <v>-0.038239489234531</v>
      </c>
      <c r="L63" s="143" t="n">
        <f aca="false">IFERROR(IF(OR(NOT(ISNUMBER('Price History'!L64)),NOT(ISNUMBER('Price History'!L63)),'Price History'!L63=0),"",'Price History'!L64/'Price History'!L63-1),"")</f>
        <v>-0.0207679527413698</v>
      </c>
      <c r="M63" s="143" t="n">
        <f aca="false">IFERROR(IF(OR(NOT(ISNUMBER('Price History'!M64)),NOT(ISNUMBER('Price History'!M63)),'Price History'!M63=0),"",'Price History'!M64/'Price History'!M63-1),"")</f>
        <v>0.126391505394759</v>
      </c>
      <c r="N63" s="143" t="n">
        <f aca="false">IFERROR(IF(OR(NOT(ISNUMBER('Price History'!N64)),NOT(ISNUMBER('Price History'!N63)),'Price History'!N63=0),"",'Price History'!N64/'Price History'!N63-1),"")</f>
        <v>-0.0155210643015521</v>
      </c>
      <c r="O63" s="143" t="n">
        <f aca="false">IFERROR(IF(OR(NOT(ISNUMBER('Price History'!O64)),NOT(ISNUMBER('Price History'!O63)),'Price History'!O63=0),"",'Price History'!O64/'Price History'!O63-1),"")</f>
        <v>-0.0308305369127516</v>
      </c>
      <c r="P63" s="143" t="n">
        <f aca="false">IFERROR(IF(OR(NOT(ISNUMBER('Price History'!P64)),NOT(ISNUMBER('Price History'!P63)),'Price History'!P63=0),"",'Price History'!P64/'Price History'!P63-1),"")</f>
        <v>-0.0754774637127578</v>
      </c>
      <c r="Q63" s="143" t="n">
        <f aca="false">IFERROR(IF(OR(NOT(ISNUMBER('Price History'!Q64)),NOT(ISNUMBER('Price History'!Q63)),'Price History'!Q63=0),"",'Price History'!Q64/'Price History'!Q63-1),"")</f>
        <v>0.00764919221892524</v>
      </c>
      <c r="R63" s="143" t="n">
        <f aca="false">IFERROR(IF(OR(NOT(ISNUMBER('Price History'!R64)),NOT(ISNUMBER('Price History'!R63)),'Price History'!R63=0),"",'Price History'!R64/'Price History'!R63-1),"")</f>
        <v>0.00901232297222743</v>
      </c>
      <c r="S63" s="143" t="n">
        <f aca="false">IFERROR(IF(OR(NOT(ISNUMBER('Price History'!S64)),NOT(ISNUMBER('Price History'!S63)),'Price History'!S63=0),"",'Price History'!S64/'Price History'!S63-1),"")</f>
        <v>0.021594503217363</v>
      </c>
      <c r="T63" s="143" t="n">
        <f aca="false">IFERROR(IF(OR(NOT(ISNUMBER('Price History'!T64)),NOT(ISNUMBER('Price History'!T63)),'Price History'!T63=0),"",'Price History'!T64/'Price History'!T63-1),"")</f>
        <v>0.00354714750221707</v>
      </c>
      <c r="U63" s="143" t="str">
        <f aca="false">IFERROR(IF(OR(NOT(ISNUMBER('Price History'!U64)),NOT(ISNUMBER('Price History'!U63)),'Price History'!U63=0),"",'Price History'!U64/'Price History'!U63-1),"")</f>
        <v/>
      </c>
      <c r="V63" s="144" t="n">
        <f aca="false">IFERROR(IF(OR(NOT(ISNUMBER('Price History'!V64)),NOT(ISNUMBER('Price History'!V63)),'Price History'!V63=0),"",'Price History'!V64/'Price History'!V63-1),"")</f>
        <v>-0.000328707085463953</v>
      </c>
      <c r="W63" s="145" t="str">
        <f aca="false">IFERROR('Price History'!B3+(INDEX('Price History'!B:B,MATCH(9.99E+307,'Price History'!$A:$A))-'Price History'!B3)*(ROW()-3)/(MATCH(9.99E+307,'Returns (Calc)'!$A:$A)-3),"")</f>
        <v/>
      </c>
      <c r="X63" s="145" t="n">
        <f aca="false">IFERROR('Price History'!C3+(INDEX('Price History'!C:C,MATCH(9.99E+307,'Price History'!$A:$A))-'Price History'!C3)*(ROW()-3)/(MATCH(9.99E+307,'Returns (Calc)'!$A:$A)-3),"")</f>
        <v>28.7535849056604</v>
      </c>
      <c r="Y63" s="145" t="n">
        <f aca="false">IFERROR('Price History'!D3+(INDEX('Price History'!D:D,MATCH(9.99E+307,'Price History'!$A:$A))-'Price History'!D3)*(ROW()-3)/(MATCH(9.99E+307,'Returns (Calc)'!$A:$A)-3),"")</f>
        <v>362.38358490566</v>
      </c>
      <c r="Z63" s="145" t="n">
        <f aca="false">IFERROR('Price History'!E3+(INDEX('Price History'!E:E,MATCH(9.99E+307,'Price History'!$A:$A))-'Price History'!E3)*(ROW()-3)/(MATCH(9.99E+307,'Returns (Calc)'!$A:$A)-3),"")</f>
        <v>51.0566037735849</v>
      </c>
      <c r="AA63" s="145" t="n">
        <f aca="false">IFERROR('Price History'!F3+(INDEX('Price History'!F:F,MATCH(9.99E+307,'Price History'!$A:$A))-'Price History'!F3)*(ROW()-3)/(MATCH(9.99E+307,'Returns (Calc)'!$A:$A)-3),"")</f>
        <v>46.8911320754717</v>
      </c>
      <c r="AB63" s="145" t="n">
        <f aca="false">IFERROR('Price History'!G3+(INDEX('Price History'!G:G,MATCH(9.99E+307,'Price History'!$A:$A))-'Price History'!G3)*(ROW()-3)/(MATCH(9.99E+307,'Returns (Calc)'!$A:$A)-3),"")</f>
        <v>25.7524528301887</v>
      </c>
      <c r="AC63" s="145" t="n">
        <f aca="false">IFERROR('Price History'!H3+(INDEX('Price History'!H:H,MATCH(9.99E+307,'Price History'!$A:$A))-'Price History'!H3)*(ROW()-3)/(MATCH(9.99E+307,'Returns (Calc)'!$A:$A)-3),"")</f>
        <v>62.6315094339623</v>
      </c>
      <c r="AD63" s="145" t="n">
        <f aca="false">IFERROR('Price History'!I3+(INDEX('Price History'!I:I,MATCH(9.99E+307,'Price History'!$A:$A))-'Price History'!I3)*(ROW()-3)/(MATCH(9.99E+307,'Returns (Calc)'!$A:$A)-3),"")</f>
        <v>27.6141509433962</v>
      </c>
      <c r="AE63" s="145" t="n">
        <f aca="false">IFERROR('Price History'!J3+(INDEX('Price History'!J:J,MATCH(9.99E+307,'Price History'!$A:$A))-'Price History'!J3)*(ROW()-3)/(MATCH(9.99E+307,'Returns (Calc)'!$A:$A)-3),"")</f>
        <v>43.0307547169811</v>
      </c>
      <c r="AF63" s="145" t="n">
        <f aca="false">IFERROR('Price History'!K3+(INDEX('Price History'!K:K,MATCH(9.99E+307,'Price History'!$A:$A))-'Price History'!K3)*(ROW()-3)/(MATCH(9.99E+307,'Returns (Calc)'!$A:$A)-3),"")</f>
        <v>27.2530188679245</v>
      </c>
      <c r="AG63" s="145" t="n">
        <f aca="false">IFERROR('Price History'!L3+(INDEX('Price History'!L:L,MATCH(9.99E+307,'Price History'!$A:$A))-'Price History'!L3)*(ROW()-3)/(MATCH(9.99E+307,'Returns (Calc)'!$A:$A)-3),"")</f>
        <v>69.6362264150943</v>
      </c>
      <c r="AH63" s="145" t="n">
        <f aca="false">IFERROR('Price History'!M3+(INDEX('Price History'!M:M,MATCH(9.99E+307,'Price History'!$A:$A))-'Price History'!M3)*(ROW()-3)/(MATCH(9.99E+307,'Returns (Calc)'!$A:$A)-3),"")</f>
        <v>9.54509433962264</v>
      </c>
      <c r="AI63" s="145" t="n">
        <f aca="false">IFERROR('Price History'!N3+(INDEX('Price History'!N:N,MATCH(9.99E+307,'Price History'!$A:$A))-'Price History'!N3)*(ROW()-3)/(MATCH(9.99E+307,'Returns (Calc)'!$A:$A)-3),"")</f>
        <v>13.5735849056604</v>
      </c>
      <c r="AJ63" s="145" t="n">
        <f aca="false">IFERROR('Price History'!O3+(INDEX('Price History'!O:O,MATCH(9.99E+307,'Price History'!$A:$A))-'Price History'!O3)*(ROW()-3)/(MATCH(9.99E+307,'Returns (Calc)'!$A:$A)-3),"")</f>
        <v>35.8828301886793</v>
      </c>
      <c r="AK63" s="145" t="n">
        <f aca="false">IFERROR('Price History'!Q3+(INDEX('Price History'!Q:Q,MATCH(9.99E+307,'Price History'!$A:$A))-'Price History'!Q3)*(ROW()-3)/(MATCH(9.99E+307,'Returns (Calc)'!$A:$A)-3),"")</f>
        <v>146.713018867925</v>
      </c>
      <c r="AL63" s="145" t="n">
        <f aca="false">IFERROR('Price History'!R3+(INDEX('Price History'!R:R,MATCH(9.99E+307,'Price History'!$A:$A))-'Price History'!R3)*(ROW()-3)/(MATCH(9.99E+307,'Returns (Calc)'!$A:$A)-3),"")</f>
        <v>29.7747169811321</v>
      </c>
      <c r="AM63" s="145" t="n">
        <f aca="false">IFERROR('Price History'!S3+(INDEX('Price History'!S:S,MATCH(9.99E+307,'Price History'!$A:$A))-'Price History'!S3)*(ROW()-3)/(MATCH(9.99E+307,'Returns (Calc)'!$A:$A)-3),"")</f>
        <v>36.4494339622642</v>
      </c>
      <c r="AN63" s="145" t="n">
        <f aca="false">IFERROR('Price History'!T3+(INDEX('Price History'!T:T,MATCH(9.99E+307,'Price History'!$A:$A))-'Price History'!T3)*(ROW()-3)/(MATCH(9.99E+307,'Returns (Calc)'!$A:$A)-3),"")</f>
        <v>16.7552830188679</v>
      </c>
      <c r="AO63" s="146" t="n">
        <f aca="false">IFERROR('Price History'!V3+(INDEX('Price History'!V:V,MATCH(9.99E+307,'Price History'!$A:$A))-'Price History'!V3)*(ROW()-3)/(MATCH(9.99E+307,'Returns (Calc)'!$A:$A)-3),"")</f>
        <v>0</v>
      </c>
    </row>
    <row r="64" customFormat="false" ht="15" hidden="false" customHeight="true" outlineLevel="0" collapsed="false">
      <c r="A64" s="142" t="n">
        <f aca="false">IF('Price History'!A65="","",'Price History'!A65)</f>
        <v>45618</v>
      </c>
      <c r="B64" s="143" t="n">
        <f aca="false">IFERROR(IF(OR(NOT(ISNUMBER('Price History'!B65)),NOT(ISNUMBER('Price History'!B64)),'Price History'!B64=0),"",'Price History'!B65/'Price History'!B64-1),"")</f>
        <v>0.0174424379680951</v>
      </c>
      <c r="C64" s="143" t="n">
        <f aca="false">IFERROR(IF(OR(NOT(ISNUMBER('Price History'!C65)),NOT(ISNUMBER('Price History'!C64)),'Price History'!C64=0),"",'Price History'!C65/'Price History'!C64-1),"")</f>
        <v>0.0856837606837608</v>
      </c>
      <c r="D64" s="143" t="n">
        <f aca="false">IFERROR(IF(OR(NOT(ISNUMBER('Price History'!D65)),NOT(ISNUMBER('Price History'!D64)),'Price History'!D64=0),"",'Price History'!D65/'Price History'!D64-1),"")</f>
        <v>0.0216239526860524</v>
      </c>
      <c r="E64" s="143" t="n">
        <f aca="false">IFERROR(IF(OR(NOT(ISNUMBER('Price History'!E65)),NOT(ISNUMBER('Price History'!E64)),'Price History'!E64=0),"",'Price History'!E65/'Price History'!E64-1),"")</f>
        <v>-0.00370301795963712</v>
      </c>
      <c r="F64" s="143" t="n">
        <f aca="false">IFERROR(IF(OR(NOT(ISNUMBER('Price History'!F65)),NOT(ISNUMBER('Price History'!F64)),'Price History'!F64=0),"",'Price History'!F65/'Price History'!F64-1),"")</f>
        <v>0.036515707874337</v>
      </c>
      <c r="G64" s="143" t="n">
        <f aca="false">IFERROR(IF(OR(NOT(ISNUMBER('Price History'!G65)),NOT(ISNUMBER('Price History'!G64)),'Price History'!G64=0),"",'Price History'!G65/'Price History'!G64-1),"")</f>
        <v>0.10547570970424</v>
      </c>
      <c r="H64" s="143" t="n">
        <f aca="false">IFERROR(IF(OR(NOT(ISNUMBER('Price History'!H65)),NOT(ISNUMBER('Price History'!H64)),'Price History'!H64=0),"",'Price History'!H65/'Price History'!H64-1),"")</f>
        <v>0.0271591526344379</v>
      </c>
      <c r="I64" s="143" t="n">
        <f aca="false">IFERROR(IF(OR(NOT(ISNUMBER('Price History'!I65)),NOT(ISNUMBER('Price History'!I64)),'Price History'!I64=0),"",'Price History'!I65/'Price History'!I64-1),"")</f>
        <v>0.0437799438295059</v>
      </c>
      <c r="J64" s="143" t="n">
        <f aca="false">IFERROR(IF(OR(NOT(ISNUMBER('Price History'!J65)),NOT(ISNUMBER('Price History'!J64)),'Price History'!J64=0),"",'Price History'!J65/'Price History'!J64-1),"")</f>
        <v>0.0653103808033386</v>
      </c>
      <c r="K64" s="143" t="n">
        <f aca="false">IFERROR(IF(OR(NOT(ISNUMBER('Price History'!K65)),NOT(ISNUMBER('Price History'!K64)),'Price History'!K64=0),"",'Price History'!K65/'Price History'!K64-1),"")</f>
        <v>-0.000211864406779672</v>
      </c>
      <c r="L64" s="143" t="n">
        <f aca="false">IFERROR(IF(OR(NOT(ISNUMBER('Price History'!L65)),NOT(ISNUMBER('Price History'!L64)),'Price History'!L64=0),"",'Price History'!L65/'Price History'!L64-1),"")</f>
        <v>0.0209256291827693</v>
      </c>
      <c r="M64" s="143" t="n">
        <f aca="false">IFERROR(IF(OR(NOT(ISNUMBER('Price History'!M65)),NOT(ISNUMBER('Price History'!M64)),'Price History'!M64=0),"",'Price History'!M65/'Price History'!M64-1),"")</f>
        <v>-0.0215903907556637</v>
      </c>
      <c r="N64" s="143" t="n">
        <f aca="false">IFERROR(IF(OR(NOT(ISNUMBER('Price History'!N65)),NOT(ISNUMBER('Price History'!N64)),'Price History'!N64=0),"",'Price History'!N65/'Price History'!N64-1),"")</f>
        <v>0.0251501501501501</v>
      </c>
      <c r="O64" s="143" t="n">
        <f aca="false">IFERROR(IF(OR(NOT(ISNUMBER('Price History'!O65)),NOT(ISNUMBER('Price History'!O64)),'Price History'!O64=0),"",'Price History'!O65/'Price History'!O64-1),"")</f>
        <v>0.0178532785111447</v>
      </c>
      <c r="P64" s="143" t="n">
        <f aca="false">IFERROR(IF(OR(NOT(ISNUMBER('Price History'!P65)),NOT(ISNUMBER('Price History'!P64)),'Price History'!P64=0),"",'Price History'!P65/'Price History'!P64-1),"")</f>
        <v>0.0218696634165152</v>
      </c>
      <c r="Q64" s="143" t="n">
        <f aca="false">IFERROR(IF(OR(NOT(ISNUMBER('Price History'!Q65)),NOT(ISNUMBER('Price History'!Q64)),'Price History'!Q64=0),"",'Price History'!Q65/'Price History'!Q64-1),"")</f>
        <v>0.000916170407695649</v>
      </c>
      <c r="R64" s="143" t="n">
        <f aca="false">IFERROR(IF(OR(NOT(ISNUMBER('Price History'!R65)),NOT(ISNUMBER('Price History'!R64)),'Price History'!R64=0),"",'Price History'!R65/'Price History'!R64-1),"")</f>
        <v>0.00747356908494345</v>
      </c>
      <c r="S64" s="143" t="n">
        <f aca="false">IFERROR(IF(OR(NOT(ISNUMBER('Price History'!S65)),NOT(ISNUMBER('Price History'!S64)),'Price History'!S64=0),"",'Price History'!S65/'Price History'!S64-1),"")</f>
        <v>0.00427031066510075</v>
      </c>
      <c r="T64" s="143" t="n">
        <f aca="false">IFERROR(IF(OR(NOT(ISNUMBER('Price History'!T65)),NOT(ISNUMBER('Price History'!T64)),'Price History'!T64=0),"",'Price History'!T65/'Price History'!T64-1),"")</f>
        <v>-0.00471281296023574</v>
      </c>
      <c r="U64" s="143" t="str">
        <f aca="false">IFERROR(IF(OR(NOT(ISNUMBER('Price History'!U65)),NOT(ISNUMBER('Price History'!U64)),'Price History'!U64=0),"",'Price History'!U65/'Price History'!U64-1),"")</f>
        <v/>
      </c>
      <c r="V64" s="144" t="n">
        <f aca="false">IFERROR(IF(OR(NOT(ISNUMBER('Price History'!V65)),NOT(ISNUMBER('Price History'!V64)),'Price History'!V64=0),"",'Price History'!V65/'Price History'!V64-1),"")</f>
        <v>0.0459975886887583</v>
      </c>
      <c r="W64" s="145" t="str">
        <f aca="false">IFERROR('Price History'!B3+(INDEX('Price History'!B:B,MATCH(9.99E+307,'Price History'!$A:$A))-'Price History'!B3)*(ROW()-3)/(MATCH(9.99E+307,'Returns (Calc)'!$A:$A)-3),"")</f>
        <v/>
      </c>
      <c r="X64" s="145" t="n">
        <f aca="false">IFERROR('Price History'!C3+(INDEX('Price History'!C:C,MATCH(9.99E+307,'Price History'!$A:$A))-'Price History'!C3)*(ROW()-3)/(MATCH(9.99E+307,'Returns (Calc)'!$A:$A)-3),"")</f>
        <v>28.4631446540881</v>
      </c>
      <c r="Y64" s="145" t="n">
        <f aca="false">IFERROR('Price History'!D3+(INDEX('Price History'!D:D,MATCH(9.99E+307,'Price History'!$A:$A))-'Price History'!D3)*(ROW()-3)/(MATCH(9.99E+307,'Returns (Calc)'!$A:$A)-3),"")</f>
        <v>358.723144654088</v>
      </c>
      <c r="Z64" s="145" t="n">
        <f aca="false">IFERROR('Price History'!E3+(INDEX('Price History'!E:E,MATCH(9.99E+307,'Price History'!$A:$A))-'Price History'!E3)*(ROW()-3)/(MATCH(9.99E+307,'Returns (Calc)'!$A:$A)-3),"")</f>
        <v>50.5408805031447</v>
      </c>
      <c r="AA64" s="145" t="n">
        <f aca="false">IFERROR('Price History'!F3+(INDEX('Price History'!F:F,MATCH(9.99E+307,'Price History'!$A:$A))-'Price History'!F3)*(ROW()-3)/(MATCH(9.99E+307,'Returns (Calc)'!$A:$A)-3),"")</f>
        <v>46.4174842767296</v>
      </c>
      <c r="AB64" s="145" t="n">
        <f aca="false">IFERROR('Price History'!G3+(INDEX('Price History'!G:G,MATCH(9.99E+307,'Price History'!$A:$A))-'Price History'!G3)*(ROW()-3)/(MATCH(9.99E+307,'Returns (Calc)'!$A:$A)-3),"")</f>
        <v>25.4923270440252</v>
      </c>
      <c r="AC64" s="145" t="n">
        <f aca="false">IFERROR('Price History'!H3+(INDEX('Price History'!H:H,MATCH(9.99E+307,'Price History'!$A:$A))-'Price History'!H3)*(ROW()-3)/(MATCH(9.99E+307,'Returns (Calc)'!$A:$A)-3),"")</f>
        <v>61.9988679245283</v>
      </c>
      <c r="AD64" s="145" t="n">
        <f aca="false">IFERROR('Price History'!I3+(INDEX('Price History'!I:I,MATCH(9.99E+307,'Price History'!$A:$A))-'Price History'!I3)*(ROW()-3)/(MATCH(9.99E+307,'Returns (Calc)'!$A:$A)-3),"")</f>
        <v>27.3352201257862</v>
      </c>
      <c r="AE64" s="145" t="n">
        <f aca="false">IFERROR('Price History'!J3+(INDEX('Price History'!J:J,MATCH(9.99E+307,'Price History'!$A:$A))-'Price History'!J3)*(ROW()-3)/(MATCH(9.99E+307,'Returns (Calc)'!$A:$A)-3),"")</f>
        <v>42.5961006289308</v>
      </c>
      <c r="AF64" s="145" t="n">
        <f aca="false">IFERROR('Price History'!K3+(INDEX('Price History'!K:K,MATCH(9.99E+307,'Price History'!$A:$A))-'Price History'!K3)*(ROW()-3)/(MATCH(9.99E+307,'Returns (Calc)'!$A:$A)-3),"")</f>
        <v>26.9777358490566</v>
      </c>
      <c r="AG64" s="145" t="n">
        <f aca="false">IFERROR('Price History'!L3+(INDEX('Price History'!L:L,MATCH(9.99E+307,'Price History'!$A:$A))-'Price History'!L3)*(ROW()-3)/(MATCH(9.99E+307,'Returns (Calc)'!$A:$A)-3),"")</f>
        <v>68.9328301886793</v>
      </c>
      <c r="AH64" s="145" t="n">
        <f aca="false">IFERROR('Price History'!M3+(INDEX('Price History'!M:M,MATCH(9.99E+307,'Price History'!$A:$A))-'Price History'!M3)*(ROW()-3)/(MATCH(9.99E+307,'Returns (Calc)'!$A:$A)-3),"")</f>
        <v>9.44867924528302</v>
      </c>
      <c r="AI64" s="145" t="n">
        <f aca="false">IFERROR('Price History'!N3+(INDEX('Price History'!N:N,MATCH(9.99E+307,'Price History'!$A:$A))-'Price History'!N3)*(ROW()-3)/(MATCH(9.99E+307,'Returns (Calc)'!$A:$A)-3),"")</f>
        <v>13.4364779874214</v>
      </c>
      <c r="AJ64" s="145" t="n">
        <f aca="false">IFERROR('Price History'!O3+(INDEX('Price History'!O:O,MATCH(9.99E+307,'Price History'!$A:$A))-'Price History'!O3)*(ROW()-3)/(MATCH(9.99E+307,'Returns (Calc)'!$A:$A)-3),"")</f>
        <v>35.5203773584906</v>
      </c>
      <c r="AK64" s="145" t="n">
        <f aca="false">IFERROR('Price History'!Q3+(INDEX('Price History'!Q:Q,MATCH(9.99E+307,'Price History'!$A:$A))-'Price History'!Q3)*(ROW()-3)/(MATCH(9.99E+307,'Returns (Calc)'!$A:$A)-3),"")</f>
        <v>145.23106918239</v>
      </c>
      <c r="AL64" s="145" t="n">
        <f aca="false">IFERROR('Price History'!R3+(INDEX('Price History'!R:R,MATCH(9.99E+307,'Price History'!$A:$A))-'Price History'!R3)*(ROW()-3)/(MATCH(9.99E+307,'Returns (Calc)'!$A:$A)-3),"")</f>
        <v>29.4739622641509</v>
      </c>
      <c r="AM64" s="145" t="n">
        <f aca="false">IFERROR('Price History'!S3+(INDEX('Price History'!S:S,MATCH(9.99E+307,'Price History'!$A:$A))-'Price History'!S3)*(ROW()-3)/(MATCH(9.99E+307,'Returns (Calc)'!$A:$A)-3),"")</f>
        <v>36.0812578616352</v>
      </c>
      <c r="AN64" s="145" t="n">
        <f aca="false">IFERROR('Price History'!T3+(INDEX('Price History'!T:T,MATCH(9.99E+307,'Price History'!$A:$A))-'Price History'!T3)*(ROW()-3)/(MATCH(9.99E+307,'Returns (Calc)'!$A:$A)-3),"")</f>
        <v>16.5860377358491</v>
      </c>
      <c r="AO64" s="146" t="n">
        <f aca="false">IFERROR('Price History'!V3+(INDEX('Price History'!V:V,MATCH(9.99E+307,'Price History'!$A:$A))-'Price History'!V3)*(ROW()-3)/(MATCH(9.99E+307,'Returns (Calc)'!$A:$A)-3),"")</f>
        <v>0</v>
      </c>
    </row>
    <row r="65" customFormat="false" ht="15" hidden="false" customHeight="true" outlineLevel="0" collapsed="false">
      <c r="A65" s="142" t="n">
        <f aca="false">IF('Price History'!A66="","",'Price History'!A66)</f>
        <v>45625</v>
      </c>
      <c r="B65" s="143" t="n">
        <f aca="false">IFERROR(IF(OR(NOT(ISNUMBER('Price History'!B66)),NOT(ISNUMBER('Price History'!B65)),'Price History'!B65=0),"",'Price History'!B66/'Price History'!B65-1),"")</f>
        <v>0.00738065020013656</v>
      </c>
      <c r="C65" s="143" t="n">
        <f aca="false">IFERROR(IF(OR(NOT(ISNUMBER('Price History'!C66)),NOT(ISNUMBER('Price History'!C65)),'Price History'!C65=0),"",'Price History'!C66/'Price History'!C65-1),"")</f>
        <v>-0.00157449320999814</v>
      </c>
      <c r="D65" s="143" t="n">
        <f aca="false">IFERROR(IF(OR(NOT(ISNUMBER('Price History'!D66)),NOT(ISNUMBER('Price History'!D65)),'Price History'!D65=0),"",'Price History'!D66/'Price History'!D65-1),"")</f>
        <v>0.020412470602424</v>
      </c>
      <c r="E65" s="143" t="n">
        <f aca="false">IFERROR(IF(OR(NOT(ISNUMBER('Price History'!E66)),NOT(ISNUMBER('Price History'!E65)),'Price History'!E65=0),"",'Price History'!E66/'Price History'!E65-1),"")</f>
        <v>-0.0130706807904356</v>
      </c>
      <c r="F65" s="143" t="n">
        <f aca="false">IFERROR(IF(OR(NOT(ISNUMBER('Price History'!F66)),NOT(ISNUMBER('Price History'!F65)),'Price History'!F65=0),"",'Price History'!F66/'Price History'!F65-1),"")</f>
        <v>0.00679000196811641</v>
      </c>
      <c r="G65" s="143" t="n">
        <f aca="false">IFERROR(IF(OR(NOT(ISNUMBER('Price History'!G66)),NOT(ISNUMBER('Price History'!G65)),'Price History'!G65=0),"",'Price History'!G66/'Price History'!G65-1),"")</f>
        <v>-0.070699473514559</v>
      </c>
      <c r="H65" s="143" t="n">
        <f aca="false">IFERROR(IF(OR(NOT(ISNUMBER('Price History'!H66)),NOT(ISNUMBER('Price History'!H65)),'Price History'!H65=0),"",'Price History'!H66/'Price History'!H65-1),"")</f>
        <v>0.00936768149882905</v>
      </c>
      <c r="I65" s="143" t="n">
        <f aca="false">IFERROR(IF(OR(NOT(ISNUMBER('Price History'!I66)),NOT(ISNUMBER('Price History'!I65)),'Price History'!I65=0),"",'Price History'!I66/'Price History'!I65-1),"")</f>
        <v>0.0117125672681229</v>
      </c>
      <c r="J65" s="143" t="n">
        <f aca="false">IFERROR(IF(OR(NOT(ISNUMBER('Price History'!J66)),NOT(ISNUMBER('Price History'!J65)),'Price History'!J65=0),"",'Price History'!J66/'Price History'!J65-1),"")</f>
        <v>-0.0456370580746254</v>
      </c>
      <c r="K65" s="143" t="n">
        <f aca="false">IFERROR(IF(OR(NOT(ISNUMBER('Price History'!K66)),NOT(ISNUMBER('Price History'!K65)),'Price History'!K65=0),"",'Price History'!K66/'Price History'!K65-1),"")</f>
        <v>-0.0260648442466624</v>
      </c>
      <c r="L65" s="143" t="n">
        <f aca="false">IFERROR(IF(OR(NOT(ISNUMBER('Price History'!L66)),NOT(ISNUMBER('Price History'!L65)),'Price History'!L65=0),"",'Price History'!L66/'Price History'!L65-1),"")</f>
        <v>0.00849413719878123</v>
      </c>
      <c r="M65" s="143" t="n">
        <f aca="false">IFERROR(IF(OR(NOT(ISNUMBER('Price History'!M66)),NOT(ISNUMBER('Price History'!M65)),'Price History'!M65=0),"",'Price History'!M66/'Price History'!M65-1),"")</f>
        <v>0.0424242424242425</v>
      </c>
      <c r="N65" s="143" t="n">
        <f aca="false">IFERROR(IF(OR(NOT(ISNUMBER('Price History'!N66)),NOT(ISNUMBER('Price History'!N65)),'Price History'!N65=0),"",'Price History'!N66/'Price History'!N65-1),"")</f>
        <v>0.00622482607103625</v>
      </c>
      <c r="O65" s="143" t="n">
        <f aca="false">IFERROR(IF(OR(NOT(ISNUMBER('Price History'!O66)),NOT(ISNUMBER('Price History'!O65)),'Price History'!O65=0),"",'Price History'!O66/'Price History'!O65-1),"")</f>
        <v>0.0130753694057617</v>
      </c>
      <c r="P65" s="143" t="n">
        <f aca="false">IFERROR(IF(OR(NOT(ISNUMBER('Price History'!P66)),NOT(ISNUMBER('Price History'!P65)),'Price History'!P65=0),"",'Price History'!P66/'Price History'!P65-1),"")</f>
        <v>-0.0285175202156334</v>
      </c>
      <c r="Q65" s="143" t="n">
        <f aca="false">IFERROR(IF(OR(NOT(ISNUMBER('Price History'!Q66)),NOT(ISNUMBER('Price History'!Q65)),'Price History'!Q65=0),"",'Price History'!Q66/'Price History'!Q65-1),"")</f>
        <v>0.0166394246485782</v>
      </c>
      <c r="R65" s="143" t="n">
        <f aca="false">IFERROR(IF(OR(NOT(ISNUMBER('Price History'!R66)),NOT(ISNUMBER('Price History'!R65)),'Price History'!R65=0),"",'Price History'!R66/'Price History'!R65-1),"")</f>
        <v>0.0023520897412701</v>
      </c>
      <c r="S65" s="143" t="n">
        <f aca="false">IFERROR(IF(OR(NOT(ISNUMBER('Price History'!S66)),NOT(ISNUMBER('Price History'!S65)),'Price History'!S65=0),"",'Price History'!S66/'Price History'!S65-1),"")</f>
        <v>-0.0146699266503667</v>
      </c>
      <c r="T65" s="143" t="n">
        <f aca="false">IFERROR(IF(OR(NOT(ISNUMBER('Price History'!T66)),NOT(ISNUMBER('Price History'!T65)),'Price History'!T65=0),"",'Price History'!T66/'Price History'!T65-1),"")</f>
        <v>-0.0192364604912696</v>
      </c>
      <c r="U65" s="143" t="str">
        <f aca="false">IFERROR(IF(OR(NOT(ISNUMBER('Price History'!U66)),NOT(ISNUMBER('Price History'!U65)),'Price History'!U65=0),"",'Price History'!U66/'Price History'!U65-1),"")</f>
        <v/>
      </c>
      <c r="V65" s="144" t="n">
        <f aca="false">IFERROR(IF(OR(NOT(ISNUMBER('Price History'!V66)),NOT(ISNUMBER('Price History'!V65)),'Price History'!V65=0),"",'Price History'!V66/'Price History'!V65-1),"")</f>
        <v>-0.030562347188264</v>
      </c>
      <c r="W65" s="145" t="str">
        <f aca="false">IFERROR('Price History'!B3+(INDEX('Price History'!B:B,MATCH(9.99E+307,'Price History'!$A:$A))-'Price History'!B3)*(ROW()-3)/(MATCH(9.99E+307,'Returns (Calc)'!$A:$A)-3),"")</f>
        <v/>
      </c>
      <c r="X65" s="145" t="n">
        <f aca="false">IFERROR('Price History'!C3+(INDEX('Price History'!C:C,MATCH(9.99E+307,'Price History'!$A:$A))-'Price History'!C3)*(ROW()-3)/(MATCH(9.99E+307,'Returns (Calc)'!$A:$A)-3),"")</f>
        <v>28.1727044025157</v>
      </c>
      <c r="Y65" s="145" t="n">
        <f aca="false">IFERROR('Price History'!D3+(INDEX('Price History'!D:D,MATCH(9.99E+307,'Price History'!$A:$A))-'Price History'!D3)*(ROW()-3)/(MATCH(9.99E+307,'Returns (Calc)'!$A:$A)-3),"")</f>
        <v>355.062704402516</v>
      </c>
      <c r="Z65" s="145" t="n">
        <f aca="false">IFERROR('Price History'!E3+(INDEX('Price History'!E:E,MATCH(9.99E+307,'Price History'!$A:$A))-'Price History'!E3)*(ROW()-3)/(MATCH(9.99E+307,'Returns (Calc)'!$A:$A)-3),"")</f>
        <v>50.0251572327044</v>
      </c>
      <c r="AA65" s="145" t="n">
        <f aca="false">IFERROR('Price History'!F3+(INDEX('Price History'!F:F,MATCH(9.99E+307,'Price History'!$A:$A))-'Price History'!F3)*(ROW()-3)/(MATCH(9.99E+307,'Returns (Calc)'!$A:$A)-3),"")</f>
        <v>45.9438364779874</v>
      </c>
      <c r="AB65" s="145" t="n">
        <f aca="false">IFERROR('Price History'!G3+(INDEX('Price History'!G:G,MATCH(9.99E+307,'Price History'!$A:$A))-'Price History'!G3)*(ROW()-3)/(MATCH(9.99E+307,'Returns (Calc)'!$A:$A)-3),"")</f>
        <v>25.2322012578616</v>
      </c>
      <c r="AC65" s="145" t="n">
        <f aca="false">IFERROR('Price History'!H3+(INDEX('Price History'!H:H,MATCH(9.99E+307,'Price History'!$A:$A))-'Price History'!H3)*(ROW()-3)/(MATCH(9.99E+307,'Returns (Calc)'!$A:$A)-3),"")</f>
        <v>61.3662264150943</v>
      </c>
      <c r="AD65" s="145" t="n">
        <f aca="false">IFERROR('Price History'!I3+(INDEX('Price History'!I:I,MATCH(9.99E+307,'Price History'!$A:$A))-'Price History'!I3)*(ROW()-3)/(MATCH(9.99E+307,'Returns (Calc)'!$A:$A)-3),"")</f>
        <v>27.0562893081761</v>
      </c>
      <c r="AE65" s="145" t="n">
        <f aca="false">IFERROR('Price History'!J3+(INDEX('Price History'!J:J,MATCH(9.99E+307,'Price History'!$A:$A))-'Price History'!J3)*(ROW()-3)/(MATCH(9.99E+307,'Returns (Calc)'!$A:$A)-3),"")</f>
        <v>42.1614465408805</v>
      </c>
      <c r="AF65" s="145" t="n">
        <f aca="false">IFERROR('Price History'!K3+(INDEX('Price History'!K:K,MATCH(9.99E+307,'Price History'!$A:$A))-'Price History'!K3)*(ROW()-3)/(MATCH(9.99E+307,'Returns (Calc)'!$A:$A)-3),"")</f>
        <v>26.7024528301887</v>
      </c>
      <c r="AG65" s="145" t="n">
        <f aca="false">IFERROR('Price History'!L3+(INDEX('Price History'!L:L,MATCH(9.99E+307,'Price History'!$A:$A))-'Price History'!L3)*(ROW()-3)/(MATCH(9.99E+307,'Returns (Calc)'!$A:$A)-3),"")</f>
        <v>68.2294339622642</v>
      </c>
      <c r="AH65" s="145" t="n">
        <f aca="false">IFERROR('Price History'!M3+(INDEX('Price History'!M:M,MATCH(9.99E+307,'Price History'!$A:$A))-'Price History'!M3)*(ROW()-3)/(MATCH(9.99E+307,'Returns (Calc)'!$A:$A)-3),"")</f>
        <v>9.3522641509434</v>
      </c>
      <c r="AI65" s="145" t="n">
        <f aca="false">IFERROR('Price History'!N3+(INDEX('Price History'!N:N,MATCH(9.99E+307,'Price History'!$A:$A))-'Price History'!N3)*(ROW()-3)/(MATCH(9.99E+307,'Returns (Calc)'!$A:$A)-3),"")</f>
        <v>13.2993710691824</v>
      </c>
      <c r="AJ65" s="145" t="n">
        <f aca="false">IFERROR('Price History'!O3+(INDEX('Price History'!O:O,MATCH(9.99E+307,'Price History'!$A:$A))-'Price History'!O3)*(ROW()-3)/(MATCH(9.99E+307,'Returns (Calc)'!$A:$A)-3),"")</f>
        <v>35.1579245283019</v>
      </c>
      <c r="AK65" s="145" t="n">
        <f aca="false">IFERROR('Price History'!Q3+(INDEX('Price History'!Q:Q,MATCH(9.99E+307,'Price History'!$A:$A))-'Price History'!Q3)*(ROW()-3)/(MATCH(9.99E+307,'Returns (Calc)'!$A:$A)-3),"")</f>
        <v>143.749119496855</v>
      </c>
      <c r="AL65" s="145" t="n">
        <f aca="false">IFERROR('Price History'!R3+(INDEX('Price History'!R:R,MATCH(9.99E+307,'Price History'!$A:$A))-'Price History'!R3)*(ROW()-3)/(MATCH(9.99E+307,'Returns (Calc)'!$A:$A)-3),"")</f>
        <v>29.1732075471698</v>
      </c>
      <c r="AM65" s="145" t="n">
        <f aca="false">IFERROR('Price History'!S3+(INDEX('Price History'!S:S,MATCH(9.99E+307,'Price History'!$A:$A))-'Price History'!S3)*(ROW()-3)/(MATCH(9.99E+307,'Returns (Calc)'!$A:$A)-3),"")</f>
        <v>35.7130817610063</v>
      </c>
      <c r="AN65" s="145" t="n">
        <f aca="false">IFERROR('Price History'!T3+(INDEX('Price History'!T:T,MATCH(9.99E+307,'Price History'!$A:$A))-'Price History'!T3)*(ROW()-3)/(MATCH(9.99E+307,'Returns (Calc)'!$A:$A)-3),"")</f>
        <v>16.4167924528302</v>
      </c>
      <c r="AO65" s="146" t="n">
        <f aca="false">IFERROR('Price History'!V3+(INDEX('Price History'!V:V,MATCH(9.99E+307,'Price History'!$A:$A))-'Price History'!V3)*(ROW()-3)/(MATCH(9.99E+307,'Returns (Calc)'!$A:$A)-3),"")</f>
        <v>0</v>
      </c>
    </row>
    <row r="66" customFormat="false" ht="15" hidden="false" customHeight="true" outlineLevel="0" collapsed="false">
      <c r="A66" s="142" t="n">
        <f aca="false">IF('Price History'!A67="","",'Price History'!A67)</f>
        <v>45632</v>
      </c>
      <c r="B66" s="143" t="n">
        <f aca="false">IFERROR(IF(OR(NOT(ISNUMBER('Price History'!B67)),NOT(ISNUMBER('Price History'!B66)),'Price History'!B66=0),"",'Price History'!B67/'Price History'!B66-1),"")</f>
        <v>0.0717733025798075</v>
      </c>
      <c r="C66" s="143" t="n">
        <f aca="false">IFERROR(IF(OR(NOT(ISNUMBER('Price History'!C67)),NOT(ISNUMBER('Price History'!C66)),'Price History'!C66=0),"",'Price History'!C67/'Price History'!C66-1),"")</f>
        <v>0.0669229252907551</v>
      </c>
      <c r="D66" s="143" t="n">
        <f aca="false">IFERROR(IF(OR(NOT(ISNUMBER('Price History'!D67)),NOT(ISNUMBER('Price History'!D66)),'Price History'!D66=0),"",'Price History'!D67/'Price History'!D66-1),"")</f>
        <v>0.0325768992110629</v>
      </c>
      <c r="E66" s="143" t="n">
        <f aca="false">IFERROR(IF(OR(NOT(ISNUMBER('Price History'!E67)),NOT(ISNUMBER('Price History'!E66)),'Price History'!E66=0),"",'Price History'!E67/'Price History'!E66-1),"")</f>
        <v>0.107644991212654</v>
      </c>
      <c r="F66" s="143" t="n">
        <f aca="false">IFERROR(IF(OR(NOT(ISNUMBER('Price History'!F67)),NOT(ISNUMBER('Price History'!F66)),'Price History'!F66=0),"",'Price History'!F67/'Price History'!F66-1),"")</f>
        <v>-0.0208190792688886</v>
      </c>
      <c r="G66" s="143" t="n">
        <f aca="false">IFERROR(IF(OR(NOT(ISNUMBER('Price History'!G67)),NOT(ISNUMBER('Price History'!G66)),'Price History'!G66=0),"",'Price History'!G67/'Price History'!G66-1),"")</f>
        <v>0.0568851890391953</v>
      </c>
      <c r="H66" s="143" t="n">
        <f aca="false">IFERROR(IF(OR(NOT(ISNUMBER('Price History'!H67)),NOT(ISNUMBER('Price History'!H66)),'Price History'!H66=0),"",'Price History'!H67/'Price History'!H66-1),"")</f>
        <v>-0.0252975076715817</v>
      </c>
      <c r="I66" s="143" t="n">
        <f aca="false">IFERROR(IF(OR(NOT(ISNUMBER('Price History'!I67)),NOT(ISNUMBER('Price History'!I66)),'Price History'!I66=0),"",'Price History'!I67/'Price History'!I66-1),"")</f>
        <v>0.0020337922403002</v>
      </c>
      <c r="J66" s="143" t="n">
        <f aca="false">IFERROR(IF(OR(NOT(ISNUMBER('Price History'!J67)),NOT(ISNUMBER('Price History'!J66)),'Price History'!J66=0),"",'Price History'!J67/'Price History'!J66-1),"")</f>
        <v>0.0328373524884555</v>
      </c>
      <c r="K66" s="143" t="n">
        <f aca="false">IFERROR(IF(OR(NOT(ISNUMBER('Price History'!K67)),NOT(ISNUMBER('Price History'!K66)),'Price History'!K66=0),"",'Price History'!K67/'Price History'!K66-1),"")</f>
        <v>0.0303887438352191</v>
      </c>
      <c r="L66" s="143" t="n">
        <f aca="false">IFERROR(IF(OR(NOT(ISNUMBER('Price History'!L67)),NOT(ISNUMBER('Price History'!L66)),'Price History'!L66=0),"",'Price History'!L67/'Price History'!L66-1),"")</f>
        <v>-0.0409228234001647</v>
      </c>
      <c r="M66" s="143" t="n">
        <f aca="false">IFERROR(IF(OR(NOT(ISNUMBER('Price History'!M67)),NOT(ISNUMBER('Price History'!M66)),'Price History'!M66=0),"",'Price History'!M67/'Price History'!M66-1),"")</f>
        <v>0.13804412641622</v>
      </c>
      <c r="N66" s="143" t="n">
        <f aca="false">IFERROR(IF(OR(NOT(ISNUMBER('Price History'!N67)),NOT(ISNUMBER('Price History'!N66)),'Price History'!N66=0),"",'Price History'!N67/'Price History'!N66-1),"")</f>
        <v>-0.0240174672489083</v>
      </c>
      <c r="O66" s="143" t="n">
        <f aca="false">IFERROR(IF(OR(NOT(ISNUMBER('Price History'!O67)),NOT(ISNUMBER('Price History'!O66)),'Price History'!O66=0),"",'Price History'!O67/'Price History'!O66-1),"")</f>
        <v>0.0193074501573978</v>
      </c>
      <c r="P66" s="143" t="n">
        <f aca="false">IFERROR(IF(OR(NOT(ISNUMBER('Price History'!P67)),NOT(ISNUMBER('Price History'!P66)),'Price History'!P66=0),"",'Price History'!P67/'Price History'!P66-1),"")</f>
        <v>0.0994395427556738</v>
      </c>
      <c r="Q66" s="143" t="n">
        <f aca="false">IFERROR(IF(OR(NOT(ISNUMBER('Price History'!Q67)),NOT(ISNUMBER('Price History'!Q66)),'Price History'!Q66=0),"",'Price History'!Q67/'Price History'!Q66-1),"")</f>
        <v>-0.0129264606578989</v>
      </c>
      <c r="R66" s="143" t="n">
        <f aca="false">IFERROR(IF(OR(NOT(ISNUMBER('Price History'!R67)),NOT(ISNUMBER('Price History'!R66)),'Price History'!R66=0),"",'Price History'!R67/'Price History'!R66-1),"")</f>
        <v>-0.0173285198555957</v>
      </c>
      <c r="S66" s="143" t="n">
        <f aca="false">IFERROR(IF(OR(NOT(ISNUMBER('Price History'!S67)),NOT(ISNUMBER('Price History'!S66)),'Price History'!S66=0),"",'Price History'!S67/'Price History'!S66-1),"")</f>
        <v>-0.0137015859315999</v>
      </c>
      <c r="T66" s="143" t="n">
        <f aca="false">IFERROR(IF(OR(NOT(ISNUMBER('Price History'!T67)),NOT(ISNUMBER('Price History'!T66)),'Price History'!T66=0),"",'Price History'!T67/'Price History'!T66-1),"")</f>
        <v>0.000603500301749937</v>
      </c>
      <c r="U66" s="143" t="str">
        <f aca="false">IFERROR(IF(OR(NOT(ISNUMBER('Price History'!U67)),NOT(ISNUMBER('Price History'!U66)),'Price History'!U66=0),"",'Price History'!U67/'Price History'!U66-1),"")</f>
        <v/>
      </c>
      <c r="V66" s="144" t="n">
        <f aca="false">IFERROR(IF(OR(NOT(ISNUMBER('Price History'!V67)),NOT(ISNUMBER('Price History'!V66)),'Price History'!V66=0),"",'Price History'!V67/'Price History'!V66-1),"")</f>
        <v>0.0319582057286976</v>
      </c>
      <c r="W66" s="145" t="str">
        <f aca="false">IFERROR('Price History'!B3+(INDEX('Price History'!B:B,MATCH(9.99E+307,'Price History'!$A:$A))-'Price History'!B3)*(ROW()-3)/(MATCH(9.99E+307,'Returns (Calc)'!$A:$A)-3),"")</f>
        <v/>
      </c>
      <c r="X66" s="145" t="n">
        <f aca="false">IFERROR('Price History'!C3+(INDEX('Price History'!C:C,MATCH(9.99E+307,'Price History'!$A:$A))-'Price History'!C3)*(ROW()-3)/(MATCH(9.99E+307,'Returns (Calc)'!$A:$A)-3),"")</f>
        <v>27.8822641509434</v>
      </c>
      <c r="Y66" s="145" t="n">
        <f aca="false">IFERROR('Price History'!D3+(INDEX('Price History'!D:D,MATCH(9.99E+307,'Price History'!$A:$A))-'Price History'!D3)*(ROW()-3)/(MATCH(9.99E+307,'Returns (Calc)'!$A:$A)-3),"")</f>
        <v>351.402264150943</v>
      </c>
      <c r="Z66" s="145" t="n">
        <f aca="false">IFERROR('Price History'!E3+(INDEX('Price History'!E:E,MATCH(9.99E+307,'Price History'!$A:$A))-'Price History'!E3)*(ROW()-3)/(MATCH(9.99E+307,'Returns (Calc)'!$A:$A)-3),"")</f>
        <v>49.5094339622642</v>
      </c>
      <c r="AA66" s="145" t="n">
        <f aca="false">IFERROR('Price History'!F3+(INDEX('Price History'!F:F,MATCH(9.99E+307,'Price History'!$A:$A))-'Price History'!F3)*(ROW()-3)/(MATCH(9.99E+307,'Returns (Calc)'!$A:$A)-3),"")</f>
        <v>45.4701886792453</v>
      </c>
      <c r="AB66" s="145" t="n">
        <f aca="false">IFERROR('Price History'!G3+(INDEX('Price History'!G:G,MATCH(9.99E+307,'Price History'!$A:$A))-'Price History'!G3)*(ROW()-3)/(MATCH(9.99E+307,'Returns (Calc)'!$A:$A)-3),"")</f>
        <v>24.9720754716981</v>
      </c>
      <c r="AC66" s="145" t="n">
        <f aca="false">IFERROR('Price History'!H3+(INDEX('Price History'!H:H,MATCH(9.99E+307,'Price History'!$A:$A))-'Price History'!H3)*(ROW()-3)/(MATCH(9.99E+307,'Returns (Calc)'!$A:$A)-3),"")</f>
        <v>60.7335849056604</v>
      </c>
      <c r="AD66" s="145" t="n">
        <f aca="false">IFERROR('Price History'!I3+(INDEX('Price History'!I:I,MATCH(9.99E+307,'Price History'!$A:$A))-'Price History'!I3)*(ROW()-3)/(MATCH(9.99E+307,'Returns (Calc)'!$A:$A)-3),"")</f>
        <v>26.777358490566</v>
      </c>
      <c r="AE66" s="145" t="n">
        <f aca="false">IFERROR('Price History'!J3+(INDEX('Price History'!J:J,MATCH(9.99E+307,'Price History'!$A:$A))-'Price History'!J3)*(ROW()-3)/(MATCH(9.99E+307,'Returns (Calc)'!$A:$A)-3),"")</f>
        <v>41.7267924528302</v>
      </c>
      <c r="AF66" s="145" t="n">
        <f aca="false">IFERROR('Price History'!K3+(INDEX('Price History'!K:K,MATCH(9.99E+307,'Price History'!$A:$A))-'Price History'!K3)*(ROW()-3)/(MATCH(9.99E+307,'Returns (Calc)'!$A:$A)-3),"")</f>
        <v>26.4271698113208</v>
      </c>
      <c r="AG66" s="145" t="n">
        <f aca="false">IFERROR('Price History'!L3+(INDEX('Price History'!L:L,MATCH(9.99E+307,'Price History'!$A:$A))-'Price History'!L3)*(ROW()-3)/(MATCH(9.99E+307,'Returns (Calc)'!$A:$A)-3),"")</f>
        <v>67.5260377358491</v>
      </c>
      <c r="AH66" s="145" t="n">
        <f aca="false">IFERROR('Price History'!M3+(INDEX('Price History'!M:M,MATCH(9.99E+307,'Price History'!$A:$A))-'Price History'!M3)*(ROW()-3)/(MATCH(9.99E+307,'Returns (Calc)'!$A:$A)-3),"")</f>
        <v>9.25584905660377</v>
      </c>
      <c r="AI66" s="145" t="n">
        <f aca="false">IFERROR('Price History'!N3+(INDEX('Price History'!N:N,MATCH(9.99E+307,'Price History'!$A:$A))-'Price History'!N3)*(ROW()-3)/(MATCH(9.99E+307,'Returns (Calc)'!$A:$A)-3),"")</f>
        <v>13.1622641509434</v>
      </c>
      <c r="AJ66" s="145" t="n">
        <f aca="false">IFERROR('Price History'!O3+(INDEX('Price History'!O:O,MATCH(9.99E+307,'Price History'!$A:$A))-'Price History'!O3)*(ROW()-3)/(MATCH(9.99E+307,'Returns (Calc)'!$A:$A)-3),"")</f>
        <v>34.7954716981132</v>
      </c>
      <c r="AK66" s="145" t="n">
        <f aca="false">IFERROR('Price History'!Q3+(INDEX('Price History'!Q:Q,MATCH(9.99E+307,'Price History'!$A:$A))-'Price History'!Q3)*(ROW()-3)/(MATCH(9.99E+307,'Returns (Calc)'!$A:$A)-3),"")</f>
        <v>142.267169811321</v>
      </c>
      <c r="AL66" s="145" t="n">
        <f aca="false">IFERROR('Price History'!R3+(INDEX('Price History'!R:R,MATCH(9.99E+307,'Price History'!$A:$A))-'Price History'!R3)*(ROW()-3)/(MATCH(9.99E+307,'Returns (Calc)'!$A:$A)-3),"")</f>
        <v>28.8724528301887</v>
      </c>
      <c r="AM66" s="145" t="n">
        <f aca="false">IFERROR('Price History'!S3+(INDEX('Price History'!S:S,MATCH(9.99E+307,'Price History'!$A:$A))-'Price History'!S3)*(ROW()-3)/(MATCH(9.99E+307,'Returns (Calc)'!$A:$A)-3),"")</f>
        <v>35.3449056603774</v>
      </c>
      <c r="AN66" s="145" t="n">
        <f aca="false">IFERROR('Price History'!T3+(INDEX('Price History'!T:T,MATCH(9.99E+307,'Price History'!$A:$A))-'Price History'!T3)*(ROW()-3)/(MATCH(9.99E+307,'Returns (Calc)'!$A:$A)-3),"")</f>
        <v>16.2475471698113</v>
      </c>
      <c r="AO66" s="146" t="n">
        <f aca="false">IFERROR('Price History'!V3+(INDEX('Price History'!V:V,MATCH(9.99E+307,'Price History'!$A:$A))-'Price History'!V3)*(ROW()-3)/(MATCH(9.99E+307,'Returns (Calc)'!$A:$A)-3),"")</f>
        <v>0</v>
      </c>
    </row>
    <row r="67" customFormat="false" ht="15" hidden="false" customHeight="true" outlineLevel="0" collapsed="false">
      <c r="A67" s="142" t="n">
        <f aca="false">IF('Price History'!A68="","",'Price History'!A68)</f>
        <v>45639</v>
      </c>
      <c r="B67" s="143" t="n">
        <f aca="false">IFERROR(IF(OR(NOT(ISNUMBER('Price History'!B68)),NOT(ISNUMBER('Price History'!B67)),'Price History'!B67=0),"",'Price History'!B68/'Price History'!B67-1),"")</f>
        <v>-0.157823350694445</v>
      </c>
      <c r="C67" s="143" t="n">
        <f aca="false">IFERROR(IF(OR(NOT(ISNUMBER('Price History'!C68)),NOT(ISNUMBER('Price History'!C67)),'Price History'!C67=0),"",'Price History'!C68/'Price History'!C67-1),"")</f>
        <v>0.0380600461893765</v>
      </c>
      <c r="D67" s="143" t="n">
        <f aca="false">IFERROR(IF(OR(NOT(ISNUMBER('Price History'!D68)),NOT(ISNUMBER('Price History'!D67)),'Price History'!D67=0),"",'Price History'!D68/'Price History'!D67-1),"")</f>
        <v>0.0135496702007412</v>
      </c>
      <c r="E67" s="143" t="n">
        <f aca="false">IFERROR(IF(OR(NOT(ISNUMBER('Price History'!E68)),NOT(ISNUMBER('Price History'!E67)),'Price History'!E67=0),"",'Price History'!E68/'Price History'!E67-1),"")</f>
        <v>0.252167507225024</v>
      </c>
      <c r="F67" s="143" t="n">
        <f aca="false">IFERROR(IF(OR(NOT(ISNUMBER('Price History'!F68)),NOT(ISNUMBER('Price History'!F67)),'Price History'!F67=0),"",'Price History'!F68/'Price History'!F67-1),"")</f>
        <v>-0.0123777201038132</v>
      </c>
      <c r="G67" s="143" t="n">
        <f aca="false">IFERROR(IF(OR(NOT(ISNUMBER('Price History'!G68)),NOT(ISNUMBER('Price History'!G67)),'Price History'!G67=0),"",'Price History'!G68/'Price History'!G67-1),"")</f>
        <v>0.00645443605732421</v>
      </c>
      <c r="H67" s="143" t="n">
        <f aca="false">IFERROR(IF(OR(NOT(ISNUMBER('Price History'!H68)),NOT(ISNUMBER('Price History'!H67)),'Price History'!H67=0),"",'Price History'!H68/'Price History'!H67-1),"")</f>
        <v>-0.0201950395454196</v>
      </c>
      <c r="I67" s="143" t="n">
        <f aca="false">IFERROR(IF(OR(NOT(ISNUMBER('Price History'!I68)),NOT(ISNUMBER('Price History'!I67)),'Price History'!I67=0),"",'Price History'!I68/'Price History'!I67-1),"")</f>
        <v>0.00827478532396575</v>
      </c>
      <c r="J67" s="143" t="n">
        <f aca="false">IFERROR(IF(OR(NOT(ISNUMBER('Price History'!J68)),NOT(ISNUMBER('Price History'!J67)),'Price History'!J67=0),"",'Price History'!J68/'Price History'!J67-1),"")</f>
        <v>0.0131147540983605</v>
      </c>
      <c r="K67" s="143" t="n">
        <f aca="false">IFERROR(IF(OR(NOT(ISNUMBER('Price History'!K68)),NOT(ISNUMBER('Price History'!K67)),'Price History'!K67=0),"",'Price History'!K68/'Price History'!K67-1),"")</f>
        <v>-0.0575068628141057</v>
      </c>
      <c r="L67" s="143" t="n">
        <f aca="false">IFERROR(IF(OR(NOT(ISNUMBER('Price History'!L68)),NOT(ISNUMBER('Price History'!L67)),'Price History'!L67=0),"",'Price History'!L68/'Price History'!L67-1),"")</f>
        <v>-0.00773195876288657</v>
      </c>
      <c r="M67" s="143" t="n">
        <f aca="false">IFERROR(IF(OR(NOT(ISNUMBER('Price History'!M68)),NOT(ISNUMBER('Price History'!M67)),'Price History'!M67=0),"",'Price History'!M68/'Price History'!M67-1),"")</f>
        <v>-0.00353680901231346</v>
      </c>
      <c r="N67" s="143" t="n">
        <f aca="false">IFERROR(IF(OR(NOT(ISNUMBER('Price History'!N68)),NOT(ISNUMBER('Price History'!N67)),'Price History'!N67=0),"",'Price History'!N68/'Price History'!N67-1),"")</f>
        <v>-0.0149142431021625</v>
      </c>
      <c r="O67" s="143" t="n">
        <f aca="false">IFERROR(IF(OR(NOT(ISNUMBER('Price History'!O68)),NOT(ISNUMBER('Price History'!O67)),'Price History'!O67=0),"",'Price History'!O68/'Price History'!O67-1),"")</f>
        <v>-0.00936792258595842</v>
      </c>
      <c r="P67" s="143" t="n">
        <f aca="false">IFERROR(IF(OR(NOT(ISNUMBER('Price History'!P68)),NOT(ISNUMBER('Price History'!P67)),'Price History'!P67=0),"",'Price History'!P68/'Price History'!P67-1),"")</f>
        <v>-0.00686418008378331</v>
      </c>
      <c r="Q67" s="143" t="n">
        <f aca="false">IFERROR(IF(OR(NOT(ISNUMBER('Price History'!Q68)),NOT(ISNUMBER('Price History'!Q67)),'Price History'!Q67=0),"",'Price History'!Q68/'Price History'!Q67-1),"")</f>
        <v>0.0119881421637291</v>
      </c>
      <c r="R67" s="143" t="n">
        <f aca="false">IFERROR(IF(OR(NOT(ISNUMBER('Price History'!R68)),NOT(ISNUMBER('Price History'!R67)),'Price History'!R67=0),"",'Price History'!R68/'Price History'!R67-1),"")</f>
        <v>0.038574577516532</v>
      </c>
      <c r="S67" s="143" t="n">
        <f aca="false">IFERROR(IF(OR(NOT(ISNUMBER('Price History'!S68)),NOT(ISNUMBER('Price History'!S67)),'Price History'!S67=0),"",'Price History'!S68/'Price History'!S67-1),"")</f>
        <v>0.0598337344126012</v>
      </c>
      <c r="T67" s="143" t="n">
        <f aca="false">IFERROR(IF(OR(NOT(ISNUMBER('Price History'!T68)),NOT(ISNUMBER('Price History'!T67)),'Price History'!T67=0),"",'Price History'!T68/'Price History'!T67-1),"")</f>
        <v>0.0775030156815439</v>
      </c>
      <c r="U67" s="143" t="str">
        <f aca="false">IFERROR(IF(OR(NOT(ISNUMBER('Price History'!U68)),NOT(ISNUMBER('Price History'!U67)),'Price History'!U67=0),"",'Price History'!U68/'Price History'!U67-1),"")</f>
        <v/>
      </c>
      <c r="V67" s="144" t="n">
        <f aca="false">IFERROR(IF(OR(NOT(ISNUMBER('Price History'!V68)),NOT(ISNUMBER('Price History'!V67)),'Price History'!V67=0),"",'Price History'!V68/'Price History'!V67-1),"")</f>
        <v>0.0589344319530758</v>
      </c>
      <c r="W67" s="145" t="str">
        <f aca="false">IFERROR('Price History'!B3+(INDEX('Price History'!B:B,MATCH(9.99E+307,'Price History'!$A:$A))-'Price History'!B3)*(ROW()-3)/(MATCH(9.99E+307,'Returns (Calc)'!$A:$A)-3),"")</f>
        <v/>
      </c>
      <c r="X67" s="145" t="n">
        <f aca="false">IFERROR('Price History'!C3+(INDEX('Price History'!C:C,MATCH(9.99E+307,'Price History'!$A:$A))-'Price History'!C3)*(ROW()-3)/(MATCH(9.99E+307,'Returns (Calc)'!$A:$A)-3),"")</f>
        <v>27.5918238993711</v>
      </c>
      <c r="Y67" s="145" t="n">
        <f aca="false">IFERROR('Price History'!D3+(INDEX('Price History'!D:D,MATCH(9.99E+307,'Price History'!$A:$A))-'Price History'!D3)*(ROW()-3)/(MATCH(9.99E+307,'Returns (Calc)'!$A:$A)-3),"")</f>
        <v>347.741823899371</v>
      </c>
      <c r="Z67" s="145" t="n">
        <f aca="false">IFERROR('Price History'!E3+(INDEX('Price History'!E:E,MATCH(9.99E+307,'Price History'!$A:$A))-'Price History'!E3)*(ROW()-3)/(MATCH(9.99E+307,'Returns (Calc)'!$A:$A)-3),"")</f>
        <v>48.9937106918239</v>
      </c>
      <c r="AA67" s="145" t="n">
        <f aca="false">IFERROR('Price History'!F3+(INDEX('Price History'!F:F,MATCH(9.99E+307,'Price History'!$A:$A))-'Price History'!F3)*(ROW()-3)/(MATCH(9.99E+307,'Returns (Calc)'!$A:$A)-3),"")</f>
        <v>44.9965408805032</v>
      </c>
      <c r="AB67" s="145" t="n">
        <f aca="false">IFERROR('Price History'!G3+(INDEX('Price History'!G:G,MATCH(9.99E+307,'Price History'!$A:$A))-'Price History'!G3)*(ROW()-3)/(MATCH(9.99E+307,'Returns (Calc)'!$A:$A)-3),"")</f>
        <v>24.7119496855346</v>
      </c>
      <c r="AC67" s="145" t="n">
        <f aca="false">IFERROR('Price History'!H3+(INDEX('Price History'!H:H,MATCH(9.99E+307,'Price History'!$A:$A))-'Price History'!H3)*(ROW()-3)/(MATCH(9.99E+307,'Returns (Calc)'!$A:$A)-3),"")</f>
        <v>60.1009433962264</v>
      </c>
      <c r="AD67" s="145" t="n">
        <f aca="false">IFERROR('Price History'!I3+(INDEX('Price History'!I:I,MATCH(9.99E+307,'Price History'!$A:$A))-'Price History'!I3)*(ROW()-3)/(MATCH(9.99E+307,'Returns (Calc)'!$A:$A)-3),"")</f>
        <v>26.498427672956</v>
      </c>
      <c r="AE67" s="145" t="n">
        <f aca="false">IFERROR('Price History'!J3+(INDEX('Price History'!J:J,MATCH(9.99E+307,'Price History'!$A:$A))-'Price History'!J3)*(ROW()-3)/(MATCH(9.99E+307,'Returns (Calc)'!$A:$A)-3),"")</f>
        <v>41.2921383647799</v>
      </c>
      <c r="AF67" s="145" t="n">
        <f aca="false">IFERROR('Price History'!K3+(INDEX('Price History'!K:K,MATCH(9.99E+307,'Price History'!$A:$A))-'Price History'!K3)*(ROW()-3)/(MATCH(9.99E+307,'Returns (Calc)'!$A:$A)-3),"")</f>
        <v>26.1518867924528</v>
      </c>
      <c r="AG67" s="145" t="n">
        <f aca="false">IFERROR('Price History'!L3+(INDEX('Price History'!L:L,MATCH(9.99E+307,'Price History'!$A:$A))-'Price History'!L3)*(ROW()-3)/(MATCH(9.99E+307,'Returns (Calc)'!$A:$A)-3),"")</f>
        <v>66.822641509434</v>
      </c>
      <c r="AH67" s="145" t="n">
        <f aca="false">IFERROR('Price History'!M3+(INDEX('Price History'!M:M,MATCH(9.99E+307,'Price History'!$A:$A))-'Price History'!M3)*(ROW()-3)/(MATCH(9.99E+307,'Returns (Calc)'!$A:$A)-3),"")</f>
        <v>9.15943396226415</v>
      </c>
      <c r="AI67" s="145" t="n">
        <f aca="false">IFERROR('Price History'!N3+(INDEX('Price History'!N:N,MATCH(9.99E+307,'Price History'!$A:$A))-'Price History'!N3)*(ROW()-3)/(MATCH(9.99E+307,'Returns (Calc)'!$A:$A)-3),"")</f>
        <v>13.0251572327044</v>
      </c>
      <c r="AJ67" s="145" t="n">
        <f aca="false">IFERROR('Price History'!O3+(INDEX('Price History'!O:O,MATCH(9.99E+307,'Price History'!$A:$A))-'Price History'!O3)*(ROW()-3)/(MATCH(9.99E+307,'Returns (Calc)'!$A:$A)-3),"")</f>
        <v>34.4330188679245</v>
      </c>
      <c r="AK67" s="145" t="n">
        <f aca="false">IFERROR('Price History'!Q3+(INDEX('Price History'!Q:Q,MATCH(9.99E+307,'Price History'!$A:$A))-'Price History'!Q3)*(ROW()-3)/(MATCH(9.99E+307,'Returns (Calc)'!$A:$A)-3),"")</f>
        <v>140.785220125786</v>
      </c>
      <c r="AL67" s="145" t="n">
        <f aca="false">IFERROR('Price History'!R3+(INDEX('Price History'!R:R,MATCH(9.99E+307,'Price History'!$A:$A))-'Price History'!R3)*(ROW()-3)/(MATCH(9.99E+307,'Returns (Calc)'!$A:$A)-3),"")</f>
        <v>28.5716981132075</v>
      </c>
      <c r="AM67" s="145" t="n">
        <f aca="false">IFERROR('Price History'!S3+(INDEX('Price History'!S:S,MATCH(9.99E+307,'Price History'!$A:$A))-'Price History'!S3)*(ROW()-3)/(MATCH(9.99E+307,'Returns (Calc)'!$A:$A)-3),"")</f>
        <v>34.9767295597484</v>
      </c>
      <c r="AN67" s="145" t="n">
        <f aca="false">IFERROR('Price History'!T3+(INDEX('Price History'!T:T,MATCH(9.99E+307,'Price History'!$A:$A))-'Price History'!T3)*(ROW()-3)/(MATCH(9.99E+307,'Returns (Calc)'!$A:$A)-3),"")</f>
        <v>16.0783018867925</v>
      </c>
      <c r="AO67" s="146" t="n">
        <f aca="false">IFERROR('Price History'!V3+(INDEX('Price History'!V:V,MATCH(9.99E+307,'Price History'!$A:$A))-'Price History'!V3)*(ROW()-3)/(MATCH(9.99E+307,'Returns (Calc)'!$A:$A)-3),"")</f>
        <v>0</v>
      </c>
    </row>
    <row r="68" customFormat="false" ht="15" hidden="false" customHeight="true" outlineLevel="0" collapsed="false">
      <c r="A68" s="142" t="n">
        <f aca="false">IF('Price History'!A69="","",'Price History'!A69)</f>
        <v>45646</v>
      </c>
      <c r="B68" s="143" t="n">
        <f aca="false">IFERROR(IF(OR(NOT(ISNUMBER('Price History'!B69)),NOT(ISNUMBER('Price History'!B68)),'Price History'!B68=0),"",'Price History'!B69/'Price History'!B68-1),"")</f>
        <v>-0.0397689450063347</v>
      </c>
      <c r="C68" s="143" t="n">
        <f aca="false">IFERROR(IF(OR(NOT(ISNUMBER('Price History'!C69)),NOT(ISNUMBER('Price History'!C68)),'Price History'!C68=0),"",'Price History'!C69/'Price History'!C68-1),"")</f>
        <v>0.00391563584586629</v>
      </c>
      <c r="D68" s="143" t="n">
        <f aca="false">IFERROR(IF(OR(NOT(ISNUMBER('Price History'!D69)),NOT(ISNUMBER('Price History'!D68)),'Price History'!D68=0),"",'Price History'!D69/'Price History'!D68-1),"")</f>
        <v>-0.0179564640447218</v>
      </c>
      <c r="E68" s="143" t="n">
        <f aca="false">IFERROR(IF(OR(NOT(ISNUMBER('Price History'!E69)),NOT(ISNUMBER('Price History'!E68)),'Price History'!E68=0),"",'Price History'!E69/'Price History'!E68-1),"")</f>
        <v>-0.0178304747250758</v>
      </c>
      <c r="F68" s="143" t="n">
        <f aca="false">IFERROR(IF(OR(NOT(ISNUMBER('Price History'!F69)),NOT(ISNUMBER('Price History'!F68)),'Price History'!F68=0),"",'Price History'!F69/'Price History'!F68-1),"")</f>
        <v>-0.0538710329492622</v>
      </c>
      <c r="G68" s="143" t="n">
        <f aca="false">IFERROR(IF(OR(NOT(ISNUMBER('Price History'!G69)),NOT(ISNUMBER('Price History'!G68)),'Price History'!G68=0),"",'Price History'!G69/'Price History'!G68-1),"")</f>
        <v>-0.0155434782608697</v>
      </c>
      <c r="H68" s="143" t="n">
        <f aca="false">IFERROR(IF(OR(NOT(ISNUMBER('Price History'!H69)),NOT(ISNUMBER('Price History'!H68)),'Price History'!H68=0),"",'Price History'!H69/'Price History'!H68-1),"")</f>
        <v>-0.0315830721003135</v>
      </c>
      <c r="I68" s="143" t="n">
        <f aca="false">IFERROR(IF(OR(NOT(ISNUMBER('Price History'!I69)),NOT(ISNUMBER('Price History'!I68)),'Price History'!I68=0),"",'Price History'!I69/'Price History'!I68-1),"")</f>
        <v>-0.0373180551254257</v>
      </c>
      <c r="J68" s="143" t="n">
        <f aca="false">IFERROR(IF(OR(NOT(ISNUMBER('Price History'!J69)),NOT(ISNUMBER('Price History'!J68)),'Price History'!J68=0),"",'Price History'!J69/'Price History'!J68-1),"")</f>
        <v>-0.120721780915956</v>
      </c>
      <c r="K68" s="143" t="n">
        <f aca="false">IFERROR(IF(OR(NOT(ISNUMBER('Price History'!K69)),NOT(ISNUMBER('Price History'!K68)),'Price History'!K68=0),"",'Price History'!K69/'Price History'!K68-1),"")</f>
        <v>0.00336071695294993</v>
      </c>
      <c r="L68" s="143" t="n">
        <f aca="false">IFERROR(IF(OR(NOT(ISNUMBER('Price History'!L69)),NOT(ISNUMBER('Price History'!L68)),'Price History'!L68=0),"",'Price History'!L69/'Price History'!L68-1),"")</f>
        <v>-0.0622414622414622</v>
      </c>
      <c r="M68" s="143" t="n">
        <f aca="false">IFERROR(IF(OR(NOT(ISNUMBER('Price History'!M69)),NOT(ISNUMBER('Price History'!M68)),'Price History'!M68=0),"",'Price History'!M69/'Price History'!M68-1),"")</f>
        <v>0.0588931247535165</v>
      </c>
      <c r="N68" s="143" t="n">
        <f aca="false">IFERROR(IF(OR(NOT(ISNUMBER('Price History'!N69)),NOT(ISNUMBER('Price History'!N68)),'Price History'!N68=0),"",'Price History'!N69/'Price History'!N68-1),"")</f>
        <v>-0.0299015897047692</v>
      </c>
      <c r="O68" s="143" t="n">
        <f aca="false">IFERROR(IF(OR(NOT(ISNUMBER('Price History'!O69)),NOT(ISNUMBER('Price History'!O68)),'Price History'!O68=0),"",'Price History'!O69/'Price History'!O68-1),"")</f>
        <v>-0.0224462225917075</v>
      </c>
      <c r="P68" s="143" t="n">
        <f aca="false">IFERROR(IF(OR(NOT(ISNUMBER('Price History'!P69)),NOT(ISNUMBER('Price History'!P68)),'Price History'!P68=0),"",'Price History'!P69/'Price History'!P68-1),"")</f>
        <v>-0.0188036794226764</v>
      </c>
      <c r="Q68" s="143" t="n">
        <f aca="false">IFERROR(IF(OR(NOT(ISNUMBER('Price History'!Q69)),NOT(ISNUMBER('Price History'!Q68)),'Price History'!Q68=0),"",'Price History'!Q69/'Price History'!Q68-1),"")</f>
        <v>0.00946402704007721</v>
      </c>
      <c r="R68" s="143" t="n">
        <f aca="false">IFERROR(IF(OR(NOT(ISNUMBER('Price History'!R69)),NOT(ISNUMBER('Price History'!R68)),'Price History'!R68=0),"",'Price History'!R69/'Price History'!R68-1),"")</f>
        <v>-0.0164485320127343</v>
      </c>
      <c r="S68" s="143" t="n">
        <f aca="false">IFERROR(IF(OR(NOT(ISNUMBER('Price History'!S69)),NOT(ISNUMBER('Price History'!S68)),'Price History'!S68=0),"",'Price History'!S69/'Price History'!S68-1),"")</f>
        <v>-0.030859737847043</v>
      </c>
      <c r="T68" s="143" t="n">
        <f aca="false">IFERROR(IF(OR(NOT(ISNUMBER('Price History'!T69)),NOT(ISNUMBER('Price History'!T68)),'Price History'!T68=0),"",'Price History'!T69/'Price History'!T68-1),"")</f>
        <v>-0.0153932269801287</v>
      </c>
      <c r="U68" s="143" t="str">
        <f aca="false">IFERROR(IF(OR(NOT(ISNUMBER('Price History'!U69)),NOT(ISNUMBER('Price History'!U68)),'Price History'!U68=0),"",'Price History'!U69/'Price History'!U68-1),"")</f>
        <v/>
      </c>
      <c r="V68" s="144" t="n">
        <f aca="false">IFERROR(IF(OR(NOT(ISNUMBER('Price History'!V69)),NOT(ISNUMBER('Price History'!V68)),'Price History'!V68=0),"",'Price History'!V69/'Price History'!V68-1),"")</f>
        <v>0.00764919221892524</v>
      </c>
      <c r="W68" s="145" t="str">
        <f aca="false">IFERROR('Price History'!B3+(INDEX('Price History'!B:B,MATCH(9.99E+307,'Price History'!$A:$A))-'Price History'!B3)*(ROW()-3)/(MATCH(9.99E+307,'Returns (Calc)'!$A:$A)-3),"")</f>
        <v/>
      </c>
      <c r="X68" s="145" t="n">
        <f aca="false">IFERROR('Price History'!C3+(INDEX('Price History'!C:C,MATCH(9.99E+307,'Price History'!$A:$A))-'Price History'!C3)*(ROW()-3)/(MATCH(9.99E+307,'Returns (Calc)'!$A:$A)-3),"")</f>
        <v>27.3013836477987</v>
      </c>
      <c r="Y68" s="145" t="n">
        <f aca="false">IFERROR('Price History'!D3+(INDEX('Price History'!D:D,MATCH(9.99E+307,'Price History'!$A:$A))-'Price History'!D3)*(ROW()-3)/(MATCH(9.99E+307,'Returns (Calc)'!$A:$A)-3),"")</f>
        <v>344.081383647799</v>
      </c>
      <c r="Z68" s="145" t="n">
        <f aca="false">IFERROR('Price History'!E3+(INDEX('Price History'!E:E,MATCH(9.99E+307,'Price History'!$A:$A))-'Price History'!E3)*(ROW()-3)/(MATCH(9.99E+307,'Returns (Calc)'!$A:$A)-3),"")</f>
        <v>48.4779874213836</v>
      </c>
      <c r="AA68" s="145" t="n">
        <f aca="false">IFERROR('Price History'!F3+(INDEX('Price History'!F:F,MATCH(9.99E+307,'Price History'!$A:$A))-'Price History'!F3)*(ROW()-3)/(MATCH(9.99E+307,'Returns (Calc)'!$A:$A)-3),"")</f>
        <v>44.522893081761</v>
      </c>
      <c r="AB68" s="145" t="n">
        <f aca="false">IFERROR('Price History'!G3+(INDEX('Price History'!G:G,MATCH(9.99E+307,'Price History'!$A:$A))-'Price History'!G3)*(ROW()-3)/(MATCH(9.99E+307,'Returns (Calc)'!$A:$A)-3),"")</f>
        <v>24.4518238993711</v>
      </c>
      <c r="AC68" s="145" t="n">
        <f aca="false">IFERROR('Price History'!H3+(INDEX('Price History'!H:H,MATCH(9.99E+307,'Price History'!$A:$A))-'Price History'!H3)*(ROW()-3)/(MATCH(9.99E+307,'Returns (Calc)'!$A:$A)-3),"")</f>
        <v>59.4683018867925</v>
      </c>
      <c r="AD68" s="145" t="n">
        <f aca="false">IFERROR('Price History'!I3+(INDEX('Price History'!I:I,MATCH(9.99E+307,'Price History'!$A:$A))-'Price History'!I3)*(ROW()-3)/(MATCH(9.99E+307,'Returns (Calc)'!$A:$A)-3),"")</f>
        <v>26.2194968553459</v>
      </c>
      <c r="AE68" s="145" t="n">
        <f aca="false">IFERROR('Price History'!J3+(INDEX('Price History'!J:J,MATCH(9.99E+307,'Price History'!$A:$A))-'Price History'!J3)*(ROW()-3)/(MATCH(9.99E+307,'Returns (Calc)'!$A:$A)-3),"")</f>
        <v>40.8574842767296</v>
      </c>
      <c r="AF68" s="145" t="n">
        <f aca="false">IFERROR('Price History'!K3+(INDEX('Price History'!K:K,MATCH(9.99E+307,'Price History'!$A:$A))-'Price History'!K3)*(ROW()-3)/(MATCH(9.99E+307,'Returns (Calc)'!$A:$A)-3),"")</f>
        <v>25.8766037735849</v>
      </c>
      <c r="AG68" s="145" t="n">
        <f aca="false">IFERROR('Price History'!L3+(INDEX('Price History'!L:L,MATCH(9.99E+307,'Price History'!$A:$A))-'Price History'!L3)*(ROW()-3)/(MATCH(9.99E+307,'Returns (Calc)'!$A:$A)-3),"")</f>
        <v>66.1192452830189</v>
      </c>
      <c r="AH68" s="145" t="n">
        <f aca="false">IFERROR('Price History'!M3+(INDEX('Price History'!M:M,MATCH(9.99E+307,'Price History'!$A:$A))-'Price History'!M3)*(ROW()-3)/(MATCH(9.99E+307,'Returns (Calc)'!$A:$A)-3),"")</f>
        <v>9.06301886792453</v>
      </c>
      <c r="AI68" s="145" t="n">
        <f aca="false">IFERROR('Price History'!N3+(INDEX('Price History'!N:N,MATCH(9.99E+307,'Price History'!$A:$A))-'Price History'!N3)*(ROW()-3)/(MATCH(9.99E+307,'Returns (Calc)'!$A:$A)-3),"")</f>
        <v>12.8880503144654</v>
      </c>
      <c r="AJ68" s="145" t="n">
        <f aca="false">IFERROR('Price History'!O3+(INDEX('Price History'!O:O,MATCH(9.99E+307,'Price History'!$A:$A))-'Price History'!O3)*(ROW()-3)/(MATCH(9.99E+307,'Returns (Calc)'!$A:$A)-3),"")</f>
        <v>34.0705660377359</v>
      </c>
      <c r="AK68" s="145" t="n">
        <f aca="false">IFERROR('Price History'!Q3+(INDEX('Price History'!Q:Q,MATCH(9.99E+307,'Price History'!$A:$A))-'Price History'!Q3)*(ROW()-3)/(MATCH(9.99E+307,'Returns (Calc)'!$A:$A)-3),"")</f>
        <v>139.303270440252</v>
      </c>
      <c r="AL68" s="145" t="n">
        <f aca="false">IFERROR('Price History'!R3+(INDEX('Price History'!R:R,MATCH(9.99E+307,'Price History'!$A:$A))-'Price History'!R3)*(ROW()-3)/(MATCH(9.99E+307,'Returns (Calc)'!$A:$A)-3),"")</f>
        <v>28.2709433962264</v>
      </c>
      <c r="AM68" s="145" t="n">
        <f aca="false">IFERROR('Price History'!S3+(INDEX('Price History'!S:S,MATCH(9.99E+307,'Price History'!$A:$A))-'Price History'!S3)*(ROW()-3)/(MATCH(9.99E+307,'Returns (Calc)'!$A:$A)-3),"")</f>
        <v>34.6085534591195</v>
      </c>
      <c r="AN68" s="145" t="n">
        <f aca="false">IFERROR('Price History'!T3+(INDEX('Price History'!T:T,MATCH(9.99E+307,'Price History'!$A:$A))-'Price History'!T3)*(ROW()-3)/(MATCH(9.99E+307,'Returns (Calc)'!$A:$A)-3),"")</f>
        <v>15.9090566037736</v>
      </c>
      <c r="AO68" s="146" t="n">
        <f aca="false">IFERROR('Price History'!V3+(INDEX('Price History'!V:V,MATCH(9.99E+307,'Price History'!$A:$A))-'Price History'!V3)*(ROW()-3)/(MATCH(9.99E+307,'Returns (Calc)'!$A:$A)-3),"")</f>
        <v>0</v>
      </c>
    </row>
    <row r="69" customFormat="false" ht="15" hidden="false" customHeight="true" outlineLevel="0" collapsed="false">
      <c r="A69" s="142" t="n">
        <f aca="false">IF('Price History'!A70="","",'Price History'!A70)</f>
        <v>45653</v>
      </c>
      <c r="B69" s="143" t="n">
        <f aca="false">IFERROR(IF(OR(NOT(ISNUMBER('Price History'!B70)),NOT(ISNUMBER('Price History'!B69)),'Price History'!B69=0),"",'Price History'!B70/'Price History'!B69-1),"")</f>
        <v>-0.00154303732361294</v>
      </c>
      <c r="C69" s="143" t="n">
        <f aca="false">IFERROR(IF(OR(NOT(ISNUMBER('Price History'!C70)),NOT(ISNUMBER('Price History'!C69)),'Price History'!C69=0),"",'Price History'!C70/'Price History'!C69-1),"")</f>
        <v>0.00195018172147865</v>
      </c>
      <c r="D69" s="143" t="n">
        <f aca="false">IFERROR(IF(OR(NOT(ISNUMBER('Price History'!D70)),NOT(ISNUMBER('Price History'!D69)),'Price History'!D69=0),"",'Price History'!D70/'Price History'!D69-1),"")</f>
        <v>0.0112123738607941</v>
      </c>
      <c r="E69" s="143" t="n">
        <f aca="false">IFERROR(IF(OR(NOT(ISNUMBER('Price History'!E70)),NOT(ISNUMBER('Price History'!E69)),'Price History'!E69=0),"",'Price History'!E70/'Price History'!E69-1),"")</f>
        <v>0.097866654379579</v>
      </c>
      <c r="F69" s="143" t="n">
        <f aca="false">IFERROR(IF(OR(NOT(ISNUMBER('Price History'!F70)),NOT(ISNUMBER('Price History'!F69)),'Price History'!F69=0),"",'Price History'!F70/'Price History'!F69-1),"")</f>
        <v>0.00395256916996045</v>
      </c>
      <c r="G69" s="143" t="n">
        <f aca="false">IFERROR(IF(OR(NOT(ISNUMBER('Price History'!G70)),NOT(ISNUMBER('Price History'!G69)),'Price History'!G69=0),"",'Price History'!G70/'Price History'!G69-1),"")</f>
        <v>-0.0200949541790879</v>
      </c>
      <c r="H69" s="143" t="n">
        <f aca="false">IFERROR(IF(OR(NOT(ISNUMBER('Price History'!H70)),NOT(ISNUMBER('Price History'!H69)),'Price History'!H69=0),"",'Price History'!H70/'Price History'!H69-1),"")</f>
        <v>0.00453184429877807</v>
      </c>
      <c r="I69" s="143" t="n">
        <f aca="false">IFERROR(IF(OR(NOT(ISNUMBER('Price History'!I70)),NOT(ISNUMBER('Price History'!I69)),'Price History'!I69=0),"",'Price History'!I70/'Price History'!I69-1),"")</f>
        <v>0.0246099404857649</v>
      </c>
      <c r="J69" s="143" t="n">
        <f aca="false">IFERROR(IF(OR(NOT(ISNUMBER('Price History'!J70)),NOT(ISNUMBER('Price History'!J69)),'Price History'!J69=0),"",'Price History'!J70/'Price History'!J69-1),"")</f>
        <v>-0.0165068034798125</v>
      </c>
      <c r="K69" s="143" t="n">
        <f aca="false">IFERROR(IF(OR(NOT(ISNUMBER('Price History'!K70)),NOT(ISNUMBER('Price History'!K69)),'Price History'!K69=0),"",'Price History'!K70/'Price History'!K69-1),"")</f>
        <v>0.0171194640863417</v>
      </c>
      <c r="L69" s="143" t="n">
        <f aca="false">IFERROR(IF(OR(NOT(ISNUMBER('Price History'!L70)),NOT(ISNUMBER('Price History'!L69)),'Price History'!L69=0),"",'Price History'!L70/'Price History'!L69-1),"")</f>
        <v>0.0185679113664341</v>
      </c>
      <c r="M69" s="143" t="n">
        <f aca="false">IFERROR(IF(OR(NOT(ISNUMBER('Price History'!M70)),NOT(ISNUMBER('Price History'!M69)),'Price History'!M69=0),"",'Price History'!M70/'Price History'!M69-1),"")</f>
        <v>-0.0182495344506518</v>
      </c>
      <c r="N69" s="143" t="n">
        <f aca="false">IFERROR(IF(OR(NOT(ISNUMBER('Price History'!N70)),NOT(ISNUMBER('Price History'!N69)),'Price History'!N69=0),"",'Price History'!N70/'Price History'!N69-1),"")</f>
        <v>0.00663285212641451</v>
      </c>
      <c r="O69" s="143" t="n">
        <f aca="false">IFERROR(IF(OR(NOT(ISNUMBER('Price History'!O70)),NOT(ISNUMBER('Price History'!O69)),'Price History'!O69=0),"",'Price History'!O70/'Price History'!O69-1),"")</f>
        <v>0.0126501541405337</v>
      </c>
      <c r="P69" s="143" t="n">
        <f aca="false">IFERROR(IF(OR(NOT(ISNUMBER('Price History'!P70)),NOT(ISNUMBER('Price History'!P69)),'Price History'!P69=0),"",'Price History'!P70/'Price History'!P69-1),"")</f>
        <v>0.0224270989796447</v>
      </c>
      <c r="Q69" s="143" t="n">
        <f aca="false">IFERROR(IF(OR(NOT(ISNUMBER('Price History'!Q70)),NOT(ISNUMBER('Price History'!Q69)),'Price History'!Q69=0),"",'Price History'!Q70/'Price History'!Q69-1),"")</f>
        <v>0.00296565579259545</v>
      </c>
      <c r="R69" s="143" t="n">
        <f aca="false">IFERROR(IF(OR(NOT(ISNUMBER('Price History'!R70)),NOT(ISNUMBER('Price History'!R69)),'Price History'!R69=0),"",'Price History'!R70/'Price History'!R69-1),"")</f>
        <v>0.0172630821794642</v>
      </c>
      <c r="S69" s="143" t="n">
        <f aca="false">IFERROR(IF(OR(NOT(ISNUMBER('Price History'!S70)),NOT(ISNUMBER('Price History'!S69)),'Price History'!S69=0),"",'Price History'!S70/'Price History'!S69-1),"")</f>
        <v>0.0178913738019169</v>
      </c>
      <c r="T69" s="143" t="n">
        <f aca="false">IFERROR(IF(OR(NOT(ISNUMBER('Price History'!T70)),NOT(ISNUMBER('Price History'!T69)),'Price History'!T69=0),"",'Price History'!T70/'Price History'!T69-1),"")</f>
        <v>0.0386583285957931</v>
      </c>
      <c r="U69" s="143" t="str">
        <f aca="false">IFERROR(IF(OR(NOT(ISNUMBER('Price History'!U70)),NOT(ISNUMBER('Price History'!U69)),'Price History'!U69=0),"",'Price History'!U70/'Price History'!U69-1),"")</f>
        <v/>
      </c>
      <c r="V69" s="144" t="n">
        <f aca="false">IFERROR(IF(OR(NOT(ISNUMBER('Price History'!V70)),NOT(ISNUMBER('Price History'!V69)),'Price History'!V69=0),"",'Price History'!V70/'Price History'!V69-1),"")</f>
        <v>0.000916170407695649</v>
      </c>
      <c r="W69" s="145" t="str">
        <f aca="false">IFERROR('Price History'!B3+(INDEX('Price History'!B:B,MATCH(9.99E+307,'Price History'!$A:$A))-'Price History'!B3)*(ROW()-3)/(MATCH(9.99E+307,'Returns (Calc)'!$A:$A)-3),"")</f>
        <v/>
      </c>
      <c r="X69" s="145" t="n">
        <f aca="false">IFERROR('Price History'!C3+(INDEX('Price History'!C:C,MATCH(9.99E+307,'Price History'!$A:$A))-'Price History'!C3)*(ROW()-3)/(MATCH(9.99E+307,'Returns (Calc)'!$A:$A)-3),"")</f>
        <v>27.0109433962264</v>
      </c>
      <c r="Y69" s="145" t="n">
        <f aca="false">IFERROR('Price History'!D3+(INDEX('Price History'!D:D,MATCH(9.99E+307,'Price History'!$A:$A))-'Price History'!D3)*(ROW()-3)/(MATCH(9.99E+307,'Returns (Calc)'!$A:$A)-3),"")</f>
        <v>340.420943396226</v>
      </c>
      <c r="Z69" s="145" t="n">
        <f aca="false">IFERROR('Price History'!E3+(INDEX('Price History'!E:E,MATCH(9.99E+307,'Price History'!$A:$A))-'Price History'!E3)*(ROW()-3)/(MATCH(9.99E+307,'Returns (Calc)'!$A:$A)-3),"")</f>
        <v>47.9622641509434</v>
      </c>
      <c r="AA69" s="145" t="n">
        <f aca="false">IFERROR('Price History'!F3+(INDEX('Price History'!F:F,MATCH(9.99E+307,'Price History'!$A:$A))-'Price History'!F3)*(ROW()-3)/(MATCH(9.99E+307,'Returns (Calc)'!$A:$A)-3),"")</f>
        <v>44.0492452830189</v>
      </c>
      <c r="AB69" s="145" t="n">
        <f aca="false">IFERROR('Price History'!G3+(INDEX('Price History'!G:G,MATCH(9.99E+307,'Price History'!$A:$A))-'Price History'!G3)*(ROW()-3)/(MATCH(9.99E+307,'Returns (Calc)'!$A:$A)-3),"")</f>
        <v>24.1916981132075</v>
      </c>
      <c r="AC69" s="145" t="n">
        <f aca="false">IFERROR('Price History'!H3+(INDEX('Price History'!H:H,MATCH(9.99E+307,'Price History'!$A:$A))-'Price History'!H3)*(ROW()-3)/(MATCH(9.99E+307,'Returns (Calc)'!$A:$A)-3),"")</f>
        <v>58.8356603773585</v>
      </c>
      <c r="AD69" s="145" t="n">
        <f aca="false">IFERROR('Price History'!I3+(INDEX('Price History'!I:I,MATCH(9.99E+307,'Price History'!$A:$A))-'Price History'!I3)*(ROW()-3)/(MATCH(9.99E+307,'Returns (Calc)'!$A:$A)-3),"")</f>
        <v>25.9405660377359</v>
      </c>
      <c r="AE69" s="145" t="n">
        <f aca="false">IFERROR('Price History'!J3+(INDEX('Price History'!J:J,MATCH(9.99E+307,'Price History'!$A:$A))-'Price History'!J3)*(ROW()-3)/(MATCH(9.99E+307,'Returns (Calc)'!$A:$A)-3),"")</f>
        <v>40.4228301886792</v>
      </c>
      <c r="AF69" s="145" t="n">
        <f aca="false">IFERROR('Price History'!K3+(INDEX('Price History'!K:K,MATCH(9.99E+307,'Price History'!$A:$A))-'Price History'!K3)*(ROW()-3)/(MATCH(9.99E+307,'Returns (Calc)'!$A:$A)-3),"")</f>
        <v>25.601320754717</v>
      </c>
      <c r="AG69" s="145" t="n">
        <f aca="false">IFERROR('Price History'!L3+(INDEX('Price History'!L:L,MATCH(9.99E+307,'Price History'!$A:$A))-'Price History'!L3)*(ROW()-3)/(MATCH(9.99E+307,'Returns (Calc)'!$A:$A)-3),"")</f>
        <v>65.4158490566038</v>
      </c>
      <c r="AH69" s="145" t="n">
        <f aca="false">IFERROR('Price History'!M3+(INDEX('Price History'!M:M,MATCH(9.99E+307,'Price History'!$A:$A))-'Price History'!M3)*(ROW()-3)/(MATCH(9.99E+307,'Returns (Calc)'!$A:$A)-3),"")</f>
        <v>8.96660377358491</v>
      </c>
      <c r="AI69" s="145" t="n">
        <f aca="false">IFERROR('Price History'!N3+(INDEX('Price History'!N:N,MATCH(9.99E+307,'Price History'!$A:$A))-'Price History'!N3)*(ROW()-3)/(MATCH(9.99E+307,'Returns (Calc)'!$A:$A)-3),"")</f>
        <v>12.7509433962264</v>
      </c>
      <c r="AJ69" s="145" t="n">
        <f aca="false">IFERROR('Price History'!O3+(INDEX('Price History'!O:O,MATCH(9.99E+307,'Price History'!$A:$A))-'Price History'!O3)*(ROW()-3)/(MATCH(9.99E+307,'Returns (Calc)'!$A:$A)-3),"")</f>
        <v>33.7081132075472</v>
      </c>
      <c r="AK69" s="145" t="n">
        <f aca="false">IFERROR('Price History'!Q3+(INDEX('Price History'!Q:Q,MATCH(9.99E+307,'Price History'!$A:$A))-'Price History'!Q3)*(ROW()-3)/(MATCH(9.99E+307,'Returns (Calc)'!$A:$A)-3),"")</f>
        <v>137.821320754717</v>
      </c>
      <c r="AL69" s="145" t="n">
        <f aca="false">IFERROR('Price History'!R3+(INDEX('Price History'!R:R,MATCH(9.99E+307,'Price History'!$A:$A))-'Price History'!R3)*(ROW()-3)/(MATCH(9.99E+307,'Returns (Calc)'!$A:$A)-3),"")</f>
        <v>27.9701886792453</v>
      </c>
      <c r="AM69" s="145" t="n">
        <f aca="false">IFERROR('Price History'!S3+(INDEX('Price History'!S:S,MATCH(9.99E+307,'Price History'!$A:$A))-'Price History'!S3)*(ROW()-3)/(MATCH(9.99E+307,'Returns (Calc)'!$A:$A)-3),"")</f>
        <v>34.2403773584906</v>
      </c>
      <c r="AN69" s="145" t="n">
        <f aca="false">IFERROR('Price History'!T3+(INDEX('Price History'!T:T,MATCH(9.99E+307,'Price History'!$A:$A))-'Price History'!T3)*(ROW()-3)/(MATCH(9.99E+307,'Returns (Calc)'!$A:$A)-3),"")</f>
        <v>15.7398113207547</v>
      </c>
      <c r="AO69" s="146" t="n">
        <f aca="false">IFERROR('Price History'!V3+(INDEX('Price History'!V:V,MATCH(9.99E+307,'Price History'!$A:$A))-'Price History'!V3)*(ROW()-3)/(MATCH(9.99E+307,'Returns (Calc)'!$A:$A)-3),"")</f>
        <v>0</v>
      </c>
    </row>
    <row r="70" customFormat="false" ht="15" hidden="false" customHeight="true" outlineLevel="0" collapsed="false">
      <c r="A70" s="142" t="n">
        <f aca="false">IF('Price History'!A71="","",'Price History'!A71)</f>
        <v>45660</v>
      </c>
      <c r="B70" s="143" t="n">
        <f aca="false">IFERROR(IF(OR(NOT(ISNUMBER('Price History'!B71)),NOT(ISNUMBER('Price History'!B70)),'Price History'!B70=0),"",'Price History'!B71/'Price History'!B70-1),"")</f>
        <v>-0.0356342949292242</v>
      </c>
      <c r="C70" s="143" t="n">
        <f aca="false">IFERROR(IF(OR(NOT(ISNUMBER('Price History'!C71)),NOT(ISNUMBER('Price History'!C70)),'Price History'!C70=0),"",'Price History'!C71/'Price History'!C70-1),"")</f>
        <v>0.0191984428912679</v>
      </c>
      <c r="D70" s="143" t="n">
        <f aca="false">IFERROR(IF(OR(NOT(ISNUMBER('Price History'!D71)),NOT(ISNUMBER('Price History'!D70)),'Price History'!D70=0),"",'Price History'!D71/'Price History'!D70-1),"")</f>
        <v>0.0010803741506269</v>
      </c>
      <c r="E70" s="143" t="n">
        <f aca="false">IFERROR(IF(OR(NOT(ISNUMBER('Price History'!E71)),NOT(ISNUMBER('Price History'!E70)),'Price History'!E70=0),"",'Price History'!E71/'Price History'!E70-1),"")</f>
        <v>-0.038066059512318</v>
      </c>
      <c r="F70" s="143" t="n">
        <f aca="false">IFERROR(IF(OR(NOT(ISNUMBER('Price History'!F71)),NOT(ISNUMBER('Price History'!F70)),'Price History'!F70=0),"",'Price History'!F71/'Price History'!F70-1),"")</f>
        <v>0.00787401574803148</v>
      </c>
      <c r="G70" s="143" t="n">
        <f aca="false">IFERROR(IF(OR(NOT(ISNUMBER('Price History'!G71)),NOT(ISNUMBER('Price History'!G70)),'Price History'!G70=0),"",'Price History'!G71/'Price History'!G70-1),"")</f>
        <v>0.0112676056338028</v>
      </c>
      <c r="H70" s="143" t="n">
        <f aca="false">IFERROR(IF(OR(NOT(ISNUMBER('Price History'!H71)),NOT(ISNUMBER('Price History'!H70)),'Price History'!H70=0),"",'Price History'!H71/'Price History'!H70-1),"")</f>
        <v>-0.000563924917425185</v>
      </c>
      <c r="I70" s="143" t="n">
        <f aca="false">IFERROR(IF(OR(NOT(ISNUMBER('Price History'!I71)),NOT(ISNUMBER('Price History'!I70)),'Price History'!I70=0),"",'Price History'!I71/'Price History'!I70-1),"")</f>
        <v>0.0188383045525904</v>
      </c>
      <c r="J70" s="143" t="n">
        <f aca="false">IFERROR(IF(OR(NOT(ISNUMBER('Price History'!J71)),NOT(ISNUMBER('Price History'!J70)),'Price History'!J70=0),"",'Price History'!J71/'Price History'!J70-1),"")</f>
        <v>0.0153095940122476</v>
      </c>
      <c r="K70" s="143" t="n">
        <f aca="false">IFERROR(IF(OR(NOT(ISNUMBER('Price History'!K71)),NOT(ISNUMBER('Price History'!K70)),'Price History'!K70=0),"",'Price History'!K71/'Price History'!K70-1),"")</f>
        <v>0.0544456641053788</v>
      </c>
      <c r="L70" s="143" t="n">
        <f aca="false">IFERROR(IF(OR(NOT(ISNUMBER('Price History'!L71)),NOT(ISNUMBER('Price History'!L70)),'Price History'!L70=0),"",'Price History'!L71/'Price History'!L70-1),"")</f>
        <v>0.00372645785074011</v>
      </c>
      <c r="M70" s="143" t="n">
        <f aca="false">IFERROR(IF(OR(NOT(ISNUMBER('Price History'!M71)),NOT(ISNUMBER('Price History'!M70)),'Price History'!M70=0),"",'Price History'!M71/'Price History'!M70-1),"")</f>
        <v>0.0102427921092565</v>
      </c>
      <c r="N70" s="143" t="n">
        <f aca="false">IFERROR(IF(OR(NOT(ISNUMBER('Price History'!N71)),NOT(ISNUMBER('Price History'!N70)),'Price History'!N70=0),"",'Price History'!N71/'Price History'!N70-1),"")</f>
        <v>-0.00116279069767444</v>
      </c>
      <c r="O70" s="143" t="n">
        <f aca="false">IFERROR(IF(OR(NOT(ISNUMBER('Price History'!O71)),NOT(ISNUMBER('Price History'!O70)),'Price History'!O70=0),"",'Price History'!O71/'Price History'!O70-1),"")</f>
        <v>0.00304429981104337</v>
      </c>
      <c r="P70" s="143" t="n">
        <f aca="false">IFERROR(IF(OR(NOT(ISNUMBER('Price History'!P71)),NOT(ISNUMBER('Price History'!P70)),'Price History'!P70=0),"",'Price History'!P71/'Price History'!P70-1),"")</f>
        <v>0.0345997973657548</v>
      </c>
      <c r="Q70" s="143" t="n">
        <f aca="false">IFERROR(IF(OR(NOT(ISNUMBER('Price History'!Q71)),NOT(ISNUMBER('Price History'!Q70)),'Price History'!Q70=0),"",'Price History'!Q71/'Price History'!Q70-1),"")</f>
        <v>-0.0117639577769298</v>
      </c>
      <c r="R70" s="143" t="n">
        <f aca="false">IFERROR(IF(OR(NOT(ISNUMBER('Price History'!R71)),NOT(ISNUMBER('Price History'!R70)),'Price History'!R70=0),"",'Price History'!R71/'Price History'!R70-1),"")</f>
        <v>0.00919215131695261</v>
      </c>
      <c r="S70" s="143" t="n">
        <f aca="false">IFERROR(IF(OR(NOT(ISNUMBER('Price History'!S71)),NOT(ISNUMBER('Price History'!S70)),'Price History'!S70=0),"",'Price History'!S71/'Price History'!S70-1),"")</f>
        <v>0.0130780498012137</v>
      </c>
      <c r="T70" s="143" t="n">
        <f aca="false">IFERROR(IF(OR(NOT(ISNUMBER('Price History'!T71)),NOT(ISNUMBER('Price History'!T70)),'Price History'!T70=0),"",'Price History'!T71/'Price History'!T70-1),"")</f>
        <v>0.00191570881226055</v>
      </c>
      <c r="U70" s="143" t="str">
        <f aca="false">IFERROR(IF(OR(NOT(ISNUMBER('Price History'!U71)),NOT(ISNUMBER('Price History'!U70)),'Price History'!U70=0),"",'Price History'!U71/'Price History'!U70-1),"")</f>
        <v/>
      </c>
      <c r="V70" s="144" t="n">
        <f aca="false">IFERROR(IF(OR(NOT(ISNUMBER('Price History'!V71)),NOT(ISNUMBER('Price History'!V70)),'Price History'!V70=0),"",'Price History'!V71/'Price History'!V70-1),"")</f>
        <v>0.0166394246485782</v>
      </c>
      <c r="W70" s="145" t="str">
        <f aca="false">IFERROR('Price History'!B3+(INDEX('Price History'!B:B,MATCH(9.99E+307,'Price History'!$A:$A))-'Price History'!B3)*(ROW()-3)/(MATCH(9.99E+307,'Returns (Calc)'!$A:$A)-3),"")</f>
        <v/>
      </c>
      <c r="X70" s="145" t="n">
        <f aca="false">IFERROR('Price History'!C3+(INDEX('Price History'!C:C,MATCH(9.99E+307,'Price History'!$A:$A))-'Price History'!C3)*(ROW()-3)/(MATCH(9.99E+307,'Returns (Calc)'!$A:$A)-3),"")</f>
        <v>26.7205031446541</v>
      </c>
      <c r="Y70" s="145" t="n">
        <f aca="false">IFERROR('Price History'!D3+(INDEX('Price History'!D:D,MATCH(9.99E+307,'Price History'!$A:$A))-'Price History'!D3)*(ROW()-3)/(MATCH(9.99E+307,'Returns (Calc)'!$A:$A)-3),"")</f>
        <v>336.760503144654</v>
      </c>
      <c r="Z70" s="145" t="n">
        <f aca="false">IFERROR('Price History'!E3+(INDEX('Price History'!E:E,MATCH(9.99E+307,'Price History'!$A:$A))-'Price History'!E3)*(ROW()-3)/(MATCH(9.99E+307,'Returns (Calc)'!$A:$A)-3),"")</f>
        <v>47.4465408805031</v>
      </c>
      <c r="AA70" s="145" t="n">
        <f aca="false">IFERROR('Price History'!F3+(INDEX('Price History'!F:F,MATCH(9.99E+307,'Price History'!$A:$A))-'Price History'!F3)*(ROW()-3)/(MATCH(9.99E+307,'Returns (Calc)'!$A:$A)-3),"")</f>
        <v>43.5755974842767</v>
      </c>
      <c r="AB70" s="145" t="n">
        <f aca="false">IFERROR('Price History'!G3+(INDEX('Price History'!G:G,MATCH(9.99E+307,'Price History'!$A:$A))-'Price History'!G3)*(ROW()-3)/(MATCH(9.99E+307,'Returns (Calc)'!$A:$A)-3),"")</f>
        <v>23.931572327044</v>
      </c>
      <c r="AC70" s="145" t="n">
        <f aca="false">IFERROR('Price History'!H3+(INDEX('Price History'!H:H,MATCH(9.99E+307,'Price History'!$A:$A))-'Price History'!H3)*(ROW()-3)/(MATCH(9.99E+307,'Returns (Calc)'!$A:$A)-3),"")</f>
        <v>58.2030188679245</v>
      </c>
      <c r="AD70" s="145" t="n">
        <f aca="false">IFERROR('Price History'!I3+(INDEX('Price History'!I:I,MATCH(9.99E+307,'Price History'!$A:$A))-'Price History'!I3)*(ROW()-3)/(MATCH(9.99E+307,'Returns (Calc)'!$A:$A)-3),"")</f>
        <v>25.6616352201258</v>
      </c>
      <c r="AE70" s="145" t="n">
        <f aca="false">IFERROR('Price History'!J3+(INDEX('Price History'!J:J,MATCH(9.99E+307,'Price History'!$A:$A))-'Price History'!J3)*(ROW()-3)/(MATCH(9.99E+307,'Returns (Calc)'!$A:$A)-3),"")</f>
        <v>39.9881761006289</v>
      </c>
      <c r="AF70" s="145" t="n">
        <f aca="false">IFERROR('Price History'!K3+(INDEX('Price History'!K:K,MATCH(9.99E+307,'Price History'!$A:$A))-'Price History'!K3)*(ROW()-3)/(MATCH(9.99E+307,'Returns (Calc)'!$A:$A)-3),"")</f>
        <v>25.3260377358491</v>
      </c>
      <c r="AG70" s="145" t="n">
        <f aca="false">IFERROR('Price History'!L3+(INDEX('Price History'!L:L,MATCH(9.99E+307,'Price History'!$A:$A))-'Price History'!L3)*(ROW()-3)/(MATCH(9.99E+307,'Returns (Calc)'!$A:$A)-3),"")</f>
        <v>64.7124528301887</v>
      </c>
      <c r="AH70" s="145" t="n">
        <f aca="false">IFERROR('Price History'!M3+(INDEX('Price History'!M:M,MATCH(9.99E+307,'Price History'!$A:$A))-'Price History'!M3)*(ROW()-3)/(MATCH(9.99E+307,'Returns (Calc)'!$A:$A)-3),"")</f>
        <v>8.87018867924529</v>
      </c>
      <c r="AI70" s="145" t="n">
        <f aca="false">IFERROR('Price History'!N3+(INDEX('Price History'!N:N,MATCH(9.99E+307,'Price History'!$A:$A))-'Price History'!N3)*(ROW()-3)/(MATCH(9.99E+307,'Returns (Calc)'!$A:$A)-3),"")</f>
        <v>12.6138364779874</v>
      </c>
      <c r="AJ70" s="145" t="n">
        <f aca="false">IFERROR('Price History'!O3+(INDEX('Price History'!O:O,MATCH(9.99E+307,'Price History'!$A:$A))-'Price History'!O3)*(ROW()-3)/(MATCH(9.99E+307,'Returns (Calc)'!$A:$A)-3),"")</f>
        <v>33.3456603773585</v>
      </c>
      <c r="AK70" s="145" t="n">
        <f aca="false">IFERROR('Price History'!Q3+(INDEX('Price History'!Q:Q,MATCH(9.99E+307,'Price History'!$A:$A))-'Price History'!Q3)*(ROW()-3)/(MATCH(9.99E+307,'Returns (Calc)'!$A:$A)-3),"")</f>
        <v>136.339371069182</v>
      </c>
      <c r="AL70" s="145" t="n">
        <f aca="false">IFERROR('Price History'!R3+(INDEX('Price History'!R:R,MATCH(9.99E+307,'Price History'!$A:$A))-'Price History'!R3)*(ROW()-3)/(MATCH(9.99E+307,'Returns (Calc)'!$A:$A)-3),"")</f>
        <v>27.6694339622642</v>
      </c>
      <c r="AM70" s="145" t="n">
        <f aca="false">IFERROR('Price History'!S3+(INDEX('Price History'!S:S,MATCH(9.99E+307,'Price History'!$A:$A))-'Price History'!S3)*(ROW()-3)/(MATCH(9.99E+307,'Returns (Calc)'!$A:$A)-3),"")</f>
        <v>33.8722012578616</v>
      </c>
      <c r="AN70" s="145" t="n">
        <f aca="false">IFERROR('Price History'!T3+(INDEX('Price History'!T:T,MATCH(9.99E+307,'Price History'!$A:$A))-'Price History'!T3)*(ROW()-3)/(MATCH(9.99E+307,'Returns (Calc)'!$A:$A)-3),"")</f>
        <v>15.5705660377359</v>
      </c>
      <c r="AO70" s="146" t="n">
        <f aca="false">IFERROR('Price History'!V3+(INDEX('Price History'!V:V,MATCH(9.99E+307,'Price History'!$A:$A))-'Price History'!V3)*(ROW()-3)/(MATCH(9.99E+307,'Returns (Calc)'!$A:$A)-3),"")</f>
        <v>0</v>
      </c>
    </row>
    <row r="71" customFormat="false" ht="15" hidden="false" customHeight="true" outlineLevel="0" collapsed="false">
      <c r="A71" s="142" t="n">
        <f aca="false">IF('Price History'!A72="","",'Price History'!A72)</f>
        <v>45667</v>
      </c>
      <c r="B71" s="143" t="n">
        <f aca="false">IFERROR(IF(OR(NOT(ISNUMBER('Price History'!B72)),NOT(ISNUMBER('Price History'!B71)),'Price History'!B71=0),"",'Price History'!B72/'Price History'!B71-1),"")</f>
        <v>-0.0572496922683884</v>
      </c>
      <c r="C71" s="143" t="n">
        <f aca="false">IFERROR(IF(OR(NOT(ISNUMBER('Price History'!C72)),NOT(ISNUMBER('Price History'!C71)),'Price History'!C71=0),"",'Price History'!C72/'Price History'!C71-1),"")</f>
        <v>-0.00746527777777772</v>
      </c>
      <c r="D71" s="143" t="n">
        <f aca="false">IFERROR(IF(OR(NOT(ISNUMBER('Price History'!D72)),NOT(ISNUMBER('Price History'!D71)),'Price History'!D71=0),"",'Price History'!D72/'Price History'!D71-1),"")</f>
        <v>0.0345062622475931</v>
      </c>
      <c r="E71" s="143" t="n">
        <f aca="false">IFERROR(IF(OR(NOT(ISNUMBER('Price History'!E72)),NOT(ISNUMBER('Price History'!E71)),'Price History'!E71=0),"",'Price History'!E72/'Price History'!E71-1),"")</f>
        <v>-0.0354275741710296</v>
      </c>
      <c r="F71" s="143" t="n">
        <f aca="false">IFERROR(IF(OR(NOT(ISNUMBER('Price History'!F72)),NOT(ISNUMBER('Price History'!F71)),'Price History'!F71=0),"",'Price History'!F72/'Price History'!F71-1),"")</f>
        <v>-0.0262880067567567</v>
      </c>
      <c r="G71" s="143" t="n">
        <f aca="false">IFERROR(IF(OR(NOT(ISNUMBER('Price History'!G72)),NOT(ISNUMBER('Price History'!G71)),'Price History'!G71=0),"",'Price History'!G72/'Price History'!G71-1),"")</f>
        <v>-0.0283008356545962</v>
      </c>
      <c r="H71" s="143" t="n">
        <f aca="false">IFERROR(IF(OR(NOT(ISNUMBER('Price History'!H72)),NOT(ISNUMBER('Price History'!H71)),'Price History'!H71=0),"",'Price History'!H72/'Price History'!H71-1),"")</f>
        <v>-0.0249879090762535</v>
      </c>
      <c r="I71" s="143" t="n">
        <f aca="false">IFERROR(IF(OR(NOT(ISNUMBER('Price History'!I72)),NOT(ISNUMBER('Price History'!I71)),'Price History'!I71=0),"",'Price History'!I72/'Price History'!I71-1),"")</f>
        <v>0.0397534668721109</v>
      </c>
      <c r="J71" s="143" t="n">
        <f aca="false">IFERROR(IF(OR(NOT(ISNUMBER('Price History'!J72)),NOT(ISNUMBER('Price History'!J71)),'Price History'!J71=0),"",'Price History'!J72/'Price History'!J71-1),"")</f>
        <v>0.105327823076064</v>
      </c>
      <c r="K71" s="143" t="n">
        <f aca="false">IFERROR(IF(OR(NOT(ISNUMBER('Price History'!K72)),NOT(ISNUMBER('Price History'!K71)),'Price History'!K71=0),"",'Price History'!K72/'Price History'!K71-1),"")</f>
        <v>-0.0591991116663196</v>
      </c>
      <c r="L71" s="143" t="n">
        <f aca="false">IFERROR(IF(OR(NOT(ISNUMBER('Price History'!L72)),NOT(ISNUMBER('Price History'!L71)),'Price History'!L71=0),"",'Price History'!L72/'Price History'!L71-1),"")</f>
        <v>-0.0192655027092113</v>
      </c>
      <c r="M71" s="143" t="n">
        <f aca="false">IFERROR(IF(OR(NOT(ISNUMBER('Price History'!M72)),NOT(ISNUMBER('Price History'!M71)),'Price History'!M71=0),"",'Price History'!M72/'Price History'!M71-1),"")</f>
        <v>-0.1580923770184</v>
      </c>
      <c r="N71" s="143" t="n">
        <f aca="false">IFERROR(IF(OR(NOT(ISNUMBER('Price History'!N72)),NOT(ISNUMBER('Price History'!N71)),'Price History'!N71=0),"",'Price History'!N72/'Price History'!N71-1),"")</f>
        <v>-0.0155219247186651</v>
      </c>
      <c r="O71" s="143" t="n">
        <f aca="false">IFERROR(IF(OR(NOT(ISNUMBER('Price History'!O72)),NOT(ISNUMBER('Price History'!O71)),'Price History'!O71=0),"",'Price History'!O72/'Price History'!O71-1),"")</f>
        <v>-0.0135007849293562</v>
      </c>
      <c r="P71" s="143" t="n">
        <f aca="false">IFERROR(IF(OR(NOT(ISNUMBER('Price History'!P72)),NOT(ISNUMBER('Price History'!P71)),'Price History'!P71=0),"",'Price History'!P72/'Price History'!P71-1),"")</f>
        <v>-0.00112618126621944</v>
      </c>
      <c r="Q71" s="143" t="n">
        <f aca="false">IFERROR(IF(OR(NOT(ISNUMBER('Price History'!Q72)),NOT(ISNUMBER('Price History'!Q71)),'Price History'!Q71=0),"",'Price History'!Q72/'Price History'!Q71-1),"")</f>
        <v>-0.0228428029084357</v>
      </c>
      <c r="R71" s="143" t="n">
        <f aca="false">IFERROR(IF(OR(NOT(ISNUMBER('Price History'!R72)),NOT(ISNUMBER('Price History'!R71)),'Price History'!R71=0),"",'Price History'!R72/'Price History'!R71-1),"")</f>
        <v>0.00928358731826928</v>
      </c>
      <c r="S71" s="143" t="n">
        <f aca="false">IFERROR(IF(OR(NOT(ISNUMBER('Price History'!S72)),NOT(ISNUMBER('Price History'!S71)),'Price History'!S71=0),"",'Price History'!S72/'Price History'!S71-1),"")</f>
        <v>0.0193121966332748</v>
      </c>
      <c r="T71" s="143" t="n">
        <f aca="false">IFERROR(IF(OR(NOT(ISNUMBER('Price History'!T72)),NOT(ISNUMBER('Price History'!T71)),'Price History'!T71=0),"",'Price History'!T72/'Price History'!T71-1),"")</f>
        <v>-0.00081944823818636</v>
      </c>
      <c r="U71" s="143" t="str">
        <f aca="false">IFERROR(IF(OR(NOT(ISNUMBER('Price History'!U72)),NOT(ISNUMBER('Price History'!U71)),'Price History'!U71=0),"",'Price History'!U72/'Price History'!U71-1),"")</f>
        <v/>
      </c>
      <c r="V71" s="144" t="n">
        <f aca="false">IFERROR(IF(OR(NOT(ISNUMBER('Price History'!V72)),NOT(ISNUMBER('Price History'!V71)),'Price History'!V71=0),"",'Price History'!V72/'Price History'!V71-1),"")</f>
        <v>-0.0129264606578989</v>
      </c>
      <c r="W71" s="145" t="str">
        <f aca="false">IFERROR('Price History'!B3+(INDEX('Price History'!B:B,MATCH(9.99E+307,'Price History'!$A:$A))-'Price History'!B3)*(ROW()-3)/(MATCH(9.99E+307,'Returns (Calc)'!$A:$A)-3),"")</f>
        <v/>
      </c>
      <c r="X71" s="145" t="n">
        <f aca="false">IFERROR('Price History'!C3+(INDEX('Price History'!C:C,MATCH(9.99E+307,'Price History'!$A:$A))-'Price History'!C3)*(ROW()-3)/(MATCH(9.99E+307,'Returns (Calc)'!$A:$A)-3),"")</f>
        <v>26.4300628930818</v>
      </c>
      <c r="Y71" s="145" t="n">
        <f aca="false">IFERROR('Price History'!D3+(INDEX('Price History'!D:D,MATCH(9.99E+307,'Price History'!$A:$A))-'Price History'!D3)*(ROW()-3)/(MATCH(9.99E+307,'Returns (Calc)'!$A:$A)-3),"")</f>
        <v>333.100062893082</v>
      </c>
      <c r="Z71" s="145" t="n">
        <f aca="false">IFERROR('Price History'!E3+(INDEX('Price History'!E:E,MATCH(9.99E+307,'Price History'!$A:$A))-'Price History'!E3)*(ROW()-3)/(MATCH(9.99E+307,'Returns (Calc)'!$A:$A)-3),"")</f>
        <v>46.9308176100629</v>
      </c>
      <c r="AA71" s="145" t="n">
        <f aca="false">IFERROR('Price History'!F3+(INDEX('Price History'!F:F,MATCH(9.99E+307,'Price History'!$A:$A))-'Price History'!F3)*(ROW()-3)/(MATCH(9.99E+307,'Returns (Calc)'!$A:$A)-3),"")</f>
        <v>43.1019496855346</v>
      </c>
      <c r="AB71" s="145" t="n">
        <f aca="false">IFERROR('Price History'!G3+(INDEX('Price History'!G:G,MATCH(9.99E+307,'Price History'!$A:$A))-'Price History'!G3)*(ROW()-3)/(MATCH(9.99E+307,'Returns (Calc)'!$A:$A)-3),"")</f>
        <v>23.6714465408805</v>
      </c>
      <c r="AC71" s="145" t="n">
        <f aca="false">IFERROR('Price History'!H3+(INDEX('Price History'!H:H,MATCH(9.99E+307,'Price History'!$A:$A))-'Price History'!H3)*(ROW()-3)/(MATCH(9.99E+307,'Returns (Calc)'!$A:$A)-3),"")</f>
        <v>57.5703773584906</v>
      </c>
      <c r="AD71" s="145" t="n">
        <f aca="false">IFERROR('Price History'!I3+(INDEX('Price History'!I:I,MATCH(9.99E+307,'Price History'!$A:$A))-'Price History'!I3)*(ROW()-3)/(MATCH(9.99E+307,'Returns (Calc)'!$A:$A)-3),"")</f>
        <v>25.3827044025157</v>
      </c>
      <c r="AE71" s="145" t="n">
        <f aca="false">IFERROR('Price History'!J3+(INDEX('Price History'!J:J,MATCH(9.99E+307,'Price History'!$A:$A))-'Price History'!J3)*(ROW()-3)/(MATCH(9.99E+307,'Returns (Calc)'!$A:$A)-3),"")</f>
        <v>39.5535220125786</v>
      </c>
      <c r="AF71" s="145" t="n">
        <f aca="false">IFERROR('Price History'!K3+(INDEX('Price History'!K:K,MATCH(9.99E+307,'Price History'!$A:$A))-'Price History'!K3)*(ROW()-3)/(MATCH(9.99E+307,'Returns (Calc)'!$A:$A)-3),"")</f>
        <v>25.0507547169811</v>
      </c>
      <c r="AG71" s="145" t="n">
        <f aca="false">IFERROR('Price History'!L3+(INDEX('Price History'!L:L,MATCH(9.99E+307,'Price History'!$A:$A))-'Price History'!L3)*(ROW()-3)/(MATCH(9.99E+307,'Returns (Calc)'!$A:$A)-3),"")</f>
        <v>64.0090566037736</v>
      </c>
      <c r="AH71" s="145" t="n">
        <f aca="false">IFERROR('Price History'!M3+(INDEX('Price History'!M:M,MATCH(9.99E+307,'Price History'!$A:$A))-'Price History'!M3)*(ROW()-3)/(MATCH(9.99E+307,'Returns (Calc)'!$A:$A)-3),"")</f>
        <v>8.77377358490566</v>
      </c>
      <c r="AI71" s="145" t="n">
        <f aca="false">IFERROR('Price History'!N3+(INDEX('Price History'!N:N,MATCH(9.99E+307,'Price History'!$A:$A))-'Price History'!N3)*(ROW()-3)/(MATCH(9.99E+307,'Returns (Calc)'!$A:$A)-3),"")</f>
        <v>12.4767295597484</v>
      </c>
      <c r="AJ71" s="145" t="n">
        <f aca="false">IFERROR('Price History'!O3+(INDEX('Price History'!O:O,MATCH(9.99E+307,'Price History'!$A:$A))-'Price History'!O3)*(ROW()-3)/(MATCH(9.99E+307,'Returns (Calc)'!$A:$A)-3),"")</f>
        <v>32.9832075471698</v>
      </c>
      <c r="AK71" s="145" t="n">
        <f aca="false">IFERROR('Price History'!Q3+(INDEX('Price History'!Q:Q,MATCH(9.99E+307,'Price History'!$A:$A))-'Price History'!Q3)*(ROW()-3)/(MATCH(9.99E+307,'Returns (Calc)'!$A:$A)-3),"")</f>
        <v>134.857421383648</v>
      </c>
      <c r="AL71" s="145" t="n">
        <f aca="false">IFERROR('Price History'!R3+(INDEX('Price History'!R:R,MATCH(9.99E+307,'Price History'!$A:$A))-'Price History'!R3)*(ROW()-3)/(MATCH(9.99E+307,'Returns (Calc)'!$A:$A)-3),"")</f>
        <v>27.368679245283</v>
      </c>
      <c r="AM71" s="145" t="n">
        <f aca="false">IFERROR('Price History'!S3+(INDEX('Price History'!S:S,MATCH(9.99E+307,'Price History'!$A:$A))-'Price History'!S3)*(ROW()-3)/(MATCH(9.99E+307,'Returns (Calc)'!$A:$A)-3),"")</f>
        <v>33.5040251572327</v>
      </c>
      <c r="AN71" s="145" t="n">
        <f aca="false">IFERROR('Price History'!T3+(INDEX('Price History'!T:T,MATCH(9.99E+307,'Price History'!$A:$A))-'Price History'!T3)*(ROW()-3)/(MATCH(9.99E+307,'Returns (Calc)'!$A:$A)-3),"")</f>
        <v>15.401320754717</v>
      </c>
      <c r="AO71" s="146" t="n">
        <f aca="false">IFERROR('Price History'!V3+(INDEX('Price History'!V:V,MATCH(9.99E+307,'Price History'!$A:$A))-'Price History'!V3)*(ROW()-3)/(MATCH(9.99E+307,'Returns (Calc)'!$A:$A)-3),"")</f>
        <v>0</v>
      </c>
    </row>
    <row r="72" customFormat="false" ht="15" hidden="false" customHeight="true" outlineLevel="0" collapsed="false">
      <c r="A72" s="142" t="n">
        <f aca="false">IF('Price History'!A73="","",'Price History'!A73)</f>
        <v>45674</v>
      </c>
      <c r="B72" s="143" t="n">
        <f aca="false">IFERROR(IF(OR(NOT(ISNUMBER('Price History'!B73)),NOT(ISNUMBER('Price History'!B72)),'Price History'!B72=0),"",'Price History'!B73/'Price History'!B72-1),"")</f>
        <v>0.0592973985021679</v>
      </c>
      <c r="C72" s="143" t="n">
        <f aca="false">IFERROR(IF(OR(NOT(ISNUMBER('Price History'!C73)),NOT(ISNUMBER('Price History'!C72)),'Price History'!C72=0),"",'Price History'!C73/'Price History'!C72-1),"")</f>
        <v>0.0490641945076089</v>
      </c>
      <c r="D72" s="143" t="n">
        <f aca="false">IFERROR(IF(OR(NOT(ISNUMBER('Price History'!D73)),NOT(ISNUMBER('Price History'!D72)),'Price History'!D72=0),"",'Price History'!D73/'Price History'!D72-1),"")</f>
        <v>0.0234310657222863</v>
      </c>
      <c r="E72" s="143" t="n">
        <f aca="false">IFERROR(IF(OR(NOT(ISNUMBER('Price History'!E73)),NOT(ISNUMBER('Price History'!E72)),'Price History'!E72=0),"",'Price History'!E73/'Price History'!E72-1),"")</f>
        <v>0.0585308485616067</v>
      </c>
      <c r="F72" s="143" t="n">
        <f aca="false">IFERROR(IF(OR(NOT(ISNUMBER('Price History'!F73)),NOT(ISNUMBER('Price History'!F72)),'Price History'!F72=0),"",'Price History'!F73/'Price History'!F72-1),"")</f>
        <v>0.0488994904044235</v>
      </c>
      <c r="G72" s="143" t="n">
        <f aca="false">IFERROR(IF(OR(NOT(ISNUMBER('Price History'!G73)),NOT(ISNUMBER('Price History'!G72)),'Price History'!G72=0),"",'Price History'!G73/'Price History'!G72-1),"")</f>
        <v>0.0233918128654971</v>
      </c>
      <c r="H72" s="143" t="n">
        <f aca="false">IFERROR(IF(OR(NOT(ISNUMBER('Price History'!H73)),NOT(ISNUMBER('Price History'!H72)),'Price History'!H72=0),"",'Price History'!H73/'Price History'!H72-1),"")</f>
        <v>0.0483630952380953</v>
      </c>
      <c r="I72" s="143" t="n">
        <f aca="false">IFERROR(IF(OR(NOT(ISNUMBER('Price History'!I73)),NOT(ISNUMBER('Price History'!I72)),'Price History'!I72=0),"",'Price History'!I73/'Price History'!I72-1),"")</f>
        <v>0.108921161825726</v>
      </c>
      <c r="J72" s="143" t="n">
        <f aca="false">IFERROR(IF(OR(NOT(ISNUMBER('Price History'!J73)),NOT(ISNUMBER('Price History'!J72)),'Price History'!J72=0),"",'Price History'!J73/'Price History'!J72-1),"")</f>
        <v>0.0644704931285369</v>
      </c>
      <c r="K72" s="143" t="n">
        <f aca="false">IFERROR(IF(OR(NOT(ISNUMBER('Price History'!K73)),NOT(ISNUMBER('Price History'!K72)),'Price History'!K72=0),"",'Price History'!K73/'Price History'!K72-1),"")</f>
        <v>0.0132044850988491</v>
      </c>
      <c r="L72" s="143" t="n">
        <f aca="false">IFERROR(IF(OR(NOT(ISNUMBER('Price History'!L73)),NOT(ISNUMBER('Price History'!L72)),'Price History'!L72=0),"",'Price History'!L73/'Price History'!L72-1),"")</f>
        <v>0.0567833026396563</v>
      </c>
      <c r="M72" s="143" t="n">
        <f aca="false">IFERROR(IF(OR(NOT(ISNUMBER('Price History'!M73)),NOT(ISNUMBER('Price History'!M72)),'Price History'!M72=0),"",'Price History'!M73/'Price History'!M72-1),"")</f>
        <v>0.0670532262860539</v>
      </c>
      <c r="N72" s="143" t="n">
        <f aca="false">IFERROR(IF(OR(NOT(ISNUMBER('Price History'!N73)),NOT(ISNUMBER('Price History'!N72)),'Price History'!N72=0),"",'Price History'!N73/'Price History'!N72-1),"")</f>
        <v>0.0362633031139139</v>
      </c>
      <c r="O72" s="143" t="n">
        <f aca="false">IFERROR(IF(OR(NOT(ISNUMBER('Price History'!O73)),NOT(ISNUMBER('Price History'!O72)),'Price History'!O72=0),"",'Price History'!O73/'Price History'!O72-1),"")</f>
        <v>0.0321451304901337</v>
      </c>
      <c r="P72" s="143" t="n">
        <f aca="false">IFERROR(IF(OR(NOT(ISNUMBER('Price History'!P73)),NOT(ISNUMBER('Price History'!P72)),'Price History'!P72=0),"",'Price History'!P73/'Price History'!P72-1),"")</f>
        <v>0.0149999999999999</v>
      </c>
      <c r="Q72" s="143" t="n">
        <f aca="false">IFERROR(IF(OR(NOT(ISNUMBER('Price History'!Q73)),NOT(ISNUMBER('Price History'!Q72)),'Price History'!Q72=0),"",'Price History'!Q73/'Price History'!Q72-1),"")</f>
        <v>0.0386869485052022</v>
      </c>
      <c r="R72" s="143" t="n">
        <f aca="false">IFERROR(IF(OR(NOT(ISNUMBER('Price History'!R73)),NOT(ISNUMBER('Price History'!R72)),'Price History'!R72=0),"",'Price History'!R73/'Price History'!R72-1),"")</f>
        <v>0.00399166955918084</v>
      </c>
      <c r="S72" s="143" t="n">
        <f aca="false">IFERROR(IF(OR(NOT(ISNUMBER('Price History'!S73)),NOT(ISNUMBER('Price History'!S72)),'Price History'!S72=0),"",'Price History'!S73/'Price History'!S72-1),"")</f>
        <v>-0.00942249240121584</v>
      </c>
      <c r="T72" s="143" t="n">
        <f aca="false">IFERROR(IF(OR(NOT(ISNUMBER('Price History'!T73)),NOT(ISNUMBER('Price History'!T72)),'Price History'!T72=0),"",'Price History'!T73/'Price History'!T72-1),"")</f>
        <v>-0.0440131219245489</v>
      </c>
      <c r="U72" s="143" t="str">
        <f aca="false">IFERROR(IF(OR(NOT(ISNUMBER('Price History'!U73)),NOT(ISNUMBER('Price History'!U72)),'Price History'!U72=0),"",'Price History'!U73/'Price History'!U72-1),"")</f>
        <v/>
      </c>
      <c r="V72" s="144" t="n">
        <f aca="false">IFERROR(IF(OR(NOT(ISNUMBER('Price History'!V73)),NOT(ISNUMBER('Price History'!V72)),'Price History'!V72=0),"",'Price History'!V73/'Price History'!V72-1),"")</f>
        <v>0.0119881421637291</v>
      </c>
      <c r="W72" s="145" t="str">
        <f aca="false">IFERROR('Price History'!B3+(INDEX('Price History'!B:B,MATCH(9.99E+307,'Price History'!$A:$A))-'Price History'!B3)*(ROW()-3)/(MATCH(9.99E+307,'Returns (Calc)'!$A:$A)-3),"")</f>
        <v/>
      </c>
      <c r="X72" s="145" t="n">
        <f aca="false">IFERROR('Price History'!C3+(INDEX('Price History'!C:C,MATCH(9.99E+307,'Price History'!$A:$A))-'Price History'!C3)*(ROW()-3)/(MATCH(9.99E+307,'Returns (Calc)'!$A:$A)-3),"")</f>
        <v>26.1396226415094</v>
      </c>
      <c r="Y72" s="145" t="n">
        <f aca="false">IFERROR('Price History'!D3+(INDEX('Price History'!D:D,MATCH(9.99E+307,'Price History'!$A:$A))-'Price History'!D3)*(ROW()-3)/(MATCH(9.99E+307,'Returns (Calc)'!$A:$A)-3),"")</f>
        <v>329.439622641509</v>
      </c>
      <c r="Z72" s="145" t="n">
        <f aca="false">IFERROR('Price History'!E3+(INDEX('Price History'!E:E,MATCH(9.99E+307,'Price History'!$A:$A))-'Price History'!E3)*(ROW()-3)/(MATCH(9.99E+307,'Returns (Calc)'!$A:$A)-3),"")</f>
        <v>46.4150943396226</v>
      </c>
      <c r="AA72" s="145" t="n">
        <f aca="false">IFERROR('Price History'!F3+(INDEX('Price History'!F:F,MATCH(9.99E+307,'Price History'!$A:$A))-'Price History'!F3)*(ROW()-3)/(MATCH(9.99E+307,'Returns (Calc)'!$A:$A)-3),"")</f>
        <v>42.6283018867925</v>
      </c>
      <c r="AB72" s="145" t="n">
        <f aca="false">IFERROR('Price History'!G3+(INDEX('Price History'!G:G,MATCH(9.99E+307,'Price History'!$A:$A))-'Price History'!G3)*(ROW()-3)/(MATCH(9.99E+307,'Returns (Calc)'!$A:$A)-3),"")</f>
        <v>23.411320754717</v>
      </c>
      <c r="AC72" s="145" t="n">
        <f aca="false">IFERROR('Price History'!H3+(INDEX('Price History'!H:H,MATCH(9.99E+307,'Price History'!$A:$A))-'Price History'!H3)*(ROW()-3)/(MATCH(9.99E+307,'Returns (Calc)'!$A:$A)-3),"")</f>
        <v>56.9377358490566</v>
      </c>
      <c r="AD72" s="145" t="n">
        <f aca="false">IFERROR('Price History'!I3+(INDEX('Price History'!I:I,MATCH(9.99E+307,'Price History'!$A:$A))-'Price History'!I3)*(ROW()-3)/(MATCH(9.99E+307,'Returns (Calc)'!$A:$A)-3),"")</f>
        <v>25.1037735849057</v>
      </c>
      <c r="AE72" s="145" t="n">
        <f aca="false">IFERROR('Price History'!J3+(INDEX('Price History'!J:J,MATCH(9.99E+307,'Price History'!$A:$A))-'Price History'!J3)*(ROW()-3)/(MATCH(9.99E+307,'Returns (Calc)'!$A:$A)-3),"")</f>
        <v>39.1188679245283</v>
      </c>
      <c r="AF72" s="145" t="n">
        <f aca="false">IFERROR('Price History'!K3+(INDEX('Price History'!K:K,MATCH(9.99E+307,'Price History'!$A:$A))-'Price History'!K3)*(ROW()-3)/(MATCH(9.99E+307,'Returns (Calc)'!$A:$A)-3),"")</f>
        <v>24.7754716981132</v>
      </c>
      <c r="AG72" s="145" t="n">
        <f aca="false">IFERROR('Price History'!L3+(INDEX('Price History'!L:L,MATCH(9.99E+307,'Price History'!$A:$A))-'Price History'!L3)*(ROW()-3)/(MATCH(9.99E+307,'Returns (Calc)'!$A:$A)-3),"")</f>
        <v>63.3056603773585</v>
      </c>
      <c r="AH72" s="145" t="n">
        <f aca="false">IFERROR('Price History'!M3+(INDEX('Price History'!M:M,MATCH(9.99E+307,'Price History'!$A:$A))-'Price History'!M3)*(ROW()-3)/(MATCH(9.99E+307,'Returns (Calc)'!$A:$A)-3),"")</f>
        <v>8.67735849056604</v>
      </c>
      <c r="AI72" s="145" t="n">
        <f aca="false">IFERROR('Price History'!N3+(INDEX('Price History'!N:N,MATCH(9.99E+307,'Price History'!$A:$A))-'Price History'!N3)*(ROW()-3)/(MATCH(9.99E+307,'Returns (Calc)'!$A:$A)-3),"")</f>
        <v>12.3396226415094</v>
      </c>
      <c r="AJ72" s="145" t="n">
        <f aca="false">IFERROR('Price History'!O3+(INDEX('Price History'!O:O,MATCH(9.99E+307,'Price History'!$A:$A))-'Price History'!O3)*(ROW()-3)/(MATCH(9.99E+307,'Returns (Calc)'!$A:$A)-3),"")</f>
        <v>32.6207547169811</v>
      </c>
      <c r="AK72" s="145" t="n">
        <f aca="false">IFERROR('Price History'!Q3+(INDEX('Price History'!Q:Q,MATCH(9.99E+307,'Price History'!$A:$A))-'Price History'!Q3)*(ROW()-3)/(MATCH(9.99E+307,'Returns (Calc)'!$A:$A)-3),"")</f>
        <v>133.375471698113</v>
      </c>
      <c r="AL72" s="145" t="n">
        <f aca="false">IFERROR('Price History'!R3+(INDEX('Price History'!R:R,MATCH(9.99E+307,'Price History'!$A:$A))-'Price History'!R3)*(ROW()-3)/(MATCH(9.99E+307,'Returns (Calc)'!$A:$A)-3),"")</f>
        <v>27.0679245283019</v>
      </c>
      <c r="AM72" s="145" t="n">
        <f aca="false">IFERROR('Price History'!S3+(INDEX('Price History'!S:S,MATCH(9.99E+307,'Price History'!$A:$A))-'Price History'!S3)*(ROW()-3)/(MATCH(9.99E+307,'Returns (Calc)'!$A:$A)-3),"")</f>
        <v>33.1358490566038</v>
      </c>
      <c r="AN72" s="145" t="n">
        <f aca="false">IFERROR('Price History'!T3+(INDEX('Price History'!T:T,MATCH(9.99E+307,'Price History'!$A:$A))-'Price History'!T3)*(ROW()-3)/(MATCH(9.99E+307,'Returns (Calc)'!$A:$A)-3),"")</f>
        <v>15.2320754716981</v>
      </c>
      <c r="AO72" s="146" t="n">
        <f aca="false">IFERROR('Price History'!V3+(INDEX('Price History'!V:V,MATCH(9.99E+307,'Price History'!$A:$A))-'Price History'!V3)*(ROW()-3)/(MATCH(9.99E+307,'Returns (Calc)'!$A:$A)-3),"")</f>
        <v>0</v>
      </c>
    </row>
    <row r="73" customFormat="false" ht="15" hidden="false" customHeight="true" outlineLevel="0" collapsed="false">
      <c r="A73" s="142" t="n">
        <f aca="false">IF('Price History'!A74="","",'Price History'!A74)</f>
        <v>45681</v>
      </c>
      <c r="B73" s="143" t="n">
        <f aca="false">IFERROR(IF(OR(NOT(ISNUMBER('Price History'!B74)),NOT(ISNUMBER('Price History'!B73)),'Price History'!B73=0),"",'Price History'!B74/'Price History'!B73-1),"")</f>
        <v>0.0125351752366334</v>
      </c>
      <c r="C73" s="143" t="n">
        <f aca="false">IFERROR(IF(OR(NOT(ISNUMBER('Price History'!C74)),NOT(ISNUMBER('Price History'!C73)),'Price History'!C73=0),"",'Price History'!C74/'Price History'!C73-1),"")</f>
        <v>0.0768653605669027</v>
      </c>
      <c r="D73" s="143" t="n">
        <f aca="false">IFERROR(IF(OR(NOT(ISNUMBER('Price History'!D74)),NOT(ISNUMBER('Price History'!D73)),'Price History'!D73=0),"",'Price History'!D74/'Price History'!D73-1),"")</f>
        <v>-0.0318405558014459</v>
      </c>
      <c r="E73" s="143" t="n">
        <f aca="false">IFERROR(IF(OR(NOT(ISNUMBER('Price History'!E74)),NOT(ISNUMBER('Price History'!E73)),'Price History'!E73=0),"",'Price History'!E74/'Price History'!E73-1),"")</f>
        <v>0.0305956755832835</v>
      </c>
      <c r="F73" s="143" t="n">
        <f aca="false">IFERROR(IF(OR(NOT(ISNUMBER('Price History'!F74)),NOT(ISNUMBER('Price History'!F73)),'Price History'!F73=0),"",'Price History'!F74/'Price History'!F73-1),"")</f>
        <v>0.0050651230101304</v>
      </c>
      <c r="G73" s="143" t="n">
        <f aca="false">IFERROR(IF(OR(NOT(ISNUMBER('Price History'!G74)),NOT(ISNUMBER('Price History'!G73)),'Price History'!G73=0),"",'Price History'!G74/'Price History'!G73-1),"")</f>
        <v>0.0501960784313726</v>
      </c>
      <c r="H73" s="143" t="n">
        <f aca="false">IFERROR(IF(OR(NOT(ISNUMBER('Price History'!H74)),NOT(ISNUMBER('Price History'!H73)),'Price History'!H73=0),"",'Price History'!H74/'Price History'!H73-1),"")</f>
        <v>0.00220802775806317</v>
      </c>
      <c r="I73" s="143" t="n">
        <f aca="false">IFERROR(IF(OR(NOT(ISNUMBER('Price History'!I74)),NOT(ISNUMBER('Price History'!I73)),'Price History'!I73=0),"",'Price History'!I74/'Price History'!I73-1),"")</f>
        <v>-0.0101563544033142</v>
      </c>
      <c r="J73" s="143" t="n">
        <f aca="false">IFERROR(IF(OR(NOT(ISNUMBER('Price History'!J74)),NOT(ISNUMBER('Price History'!J73)),'Price History'!J73=0),"",'Price History'!J74/'Price History'!J73-1),"")</f>
        <v>-0.0242073286500855</v>
      </c>
      <c r="K73" s="143" t="n">
        <f aca="false">IFERROR(IF(OR(NOT(ISNUMBER('Price History'!K74)),NOT(ISNUMBER('Price History'!K73)),'Price History'!K73=0),"",'Price History'!K74/'Price History'!K73-1),"")</f>
        <v>0.0356752821259556</v>
      </c>
      <c r="L73" s="143" t="n">
        <f aca="false">IFERROR(IF(OR(NOT(ISNUMBER('Price History'!L74)),NOT(ISNUMBER('Price History'!L73)),'Price History'!L73=0),"",'Price History'!L74/'Price History'!L73-1),"")</f>
        <v>0.0863587956239713</v>
      </c>
      <c r="M73" s="143" t="n">
        <f aca="false">IFERROR(IF(OR(NOT(ISNUMBER('Price History'!M74)),NOT(ISNUMBER('Price History'!M73)),'Price History'!M73=0),"",'Price History'!M74/'Price History'!M73-1),"")</f>
        <v>0.100459802145743</v>
      </c>
      <c r="N73" s="143" t="n">
        <f aca="false">IFERROR(IF(OR(NOT(ISNUMBER('Price History'!N74)),NOT(ISNUMBER('Price History'!N73)),'Price History'!N73=0),"",'Price History'!N74/'Price History'!N73-1),"")</f>
        <v>0.00266260935717</v>
      </c>
      <c r="O73" s="143" t="n">
        <f aca="false">IFERROR(IF(OR(NOT(ISNUMBER('Price History'!O74)),NOT(ISNUMBER('Price History'!O73)),'Price History'!O73=0),"",'Price History'!O74/'Price History'!O73-1),"")</f>
        <v>0.0271353684859699</v>
      </c>
      <c r="P73" s="143" t="n">
        <f aca="false">IFERROR(IF(OR(NOT(ISNUMBER('Price History'!P74)),NOT(ISNUMBER('Price History'!P73)),'Price History'!P73=0),"",'Price History'!P74/'Price History'!P73-1),"")</f>
        <v>0.0490679030232784</v>
      </c>
      <c r="Q73" s="143" t="n">
        <f aca="false">IFERROR(IF(OR(NOT(ISNUMBER('Price History'!Q74)),NOT(ISNUMBER('Price History'!Q73)),'Price History'!Q73=0),"",'Price History'!Q74/'Price History'!Q73-1),"")</f>
        <v>0.0330934795701652</v>
      </c>
      <c r="R73" s="143" t="n">
        <f aca="false">IFERROR(IF(OR(NOT(ISNUMBER('Price History'!R74)),NOT(ISNUMBER('Price History'!R73)),'Price History'!R73=0),"",'Price History'!R74/'Price History'!R73-1),"")</f>
        <v>-0.0112359550561798</v>
      </c>
      <c r="S73" s="143" t="n">
        <f aca="false">IFERROR(IF(OR(NOT(ISNUMBER('Price History'!S74)),NOT(ISNUMBER('Price History'!S73)),'Price History'!S73=0),"",'Price History'!S74/'Price History'!S73-1),"")</f>
        <v>-0.0223995090518564</v>
      </c>
      <c r="T73" s="143" t="n">
        <f aca="false">IFERROR(IF(OR(NOT(ISNUMBER('Price History'!T74)),NOT(ISNUMBER('Price History'!T73)),'Price History'!T73=0),"",'Price History'!T74/'Price History'!T73-1),"")</f>
        <v>-0.0305976551329711</v>
      </c>
      <c r="U73" s="143" t="str">
        <f aca="false">IFERROR(IF(OR(NOT(ISNUMBER('Price History'!U74)),NOT(ISNUMBER('Price History'!U73)),'Price History'!U73=0),"",'Price History'!U74/'Price History'!U73-1),"")</f>
        <v/>
      </c>
      <c r="V73" s="144" t="n">
        <f aca="false">IFERROR(IF(OR(NOT(ISNUMBER('Price History'!V74)),NOT(ISNUMBER('Price History'!V73)),'Price History'!V73=0),"",'Price History'!V74/'Price History'!V73-1),"")</f>
        <v>0.00946402704007721</v>
      </c>
      <c r="W73" s="145" t="str">
        <f aca="false">IFERROR('Price History'!B3+(INDEX('Price History'!B:B,MATCH(9.99E+307,'Price History'!$A:$A))-'Price History'!B3)*(ROW()-3)/(MATCH(9.99E+307,'Returns (Calc)'!$A:$A)-3),"")</f>
        <v/>
      </c>
      <c r="X73" s="145" t="n">
        <f aca="false">IFERROR('Price History'!C3+(INDEX('Price History'!C:C,MATCH(9.99E+307,'Price History'!$A:$A))-'Price History'!C3)*(ROW()-3)/(MATCH(9.99E+307,'Returns (Calc)'!$A:$A)-3),"")</f>
        <v>25.8491823899371</v>
      </c>
      <c r="Y73" s="145" t="n">
        <f aca="false">IFERROR('Price History'!D3+(INDEX('Price History'!D:D,MATCH(9.99E+307,'Price History'!$A:$A))-'Price History'!D3)*(ROW()-3)/(MATCH(9.99E+307,'Returns (Calc)'!$A:$A)-3),"")</f>
        <v>325.779182389937</v>
      </c>
      <c r="Z73" s="145" t="n">
        <f aca="false">IFERROR('Price History'!E3+(INDEX('Price History'!E:E,MATCH(9.99E+307,'Price History'!$A:$A))-'Price History'!E3)*(ROW()-3)/(MATCH(9.99E+307,'Returns (Calc)'!$A:$A)-3),"")</f>
        <v>45.8993710691824</v>
      </c>
      <c r="AA73" s="145" t="n">
        <f aca="false">IFERROR('Price History'!F3+(INDEX('Price History'!F:F,MATCH(9.99E+307,'Price History'!$A:$A))-'Price History'!F3)*(ROW()-3)/(MATCH(9.99E+307,'Returns (Calc)'!$A:$A)-3),"")</f>
        <v>42.1546540880503</v>
      </c>
      <c r="AB73" s="145" t="n">
        <f aca="false">IFERROR('Price History'!G3+(INDEX('Price History'!G:G,MATCH(9.99E+307,'Price History'!$A:$A))-'Price History'!G3)*(ROW()-3)/(MATCH(9.99E+307,'Returns (Calc)'!$A:$A)-3),"")</f>
        <v>23.1511949685535</v>
      </c>
      <c r="AC73" s="145" t="n">
        <f aca="false">IFERROR('Price History'!H3+(INDEX('Price History'!H:H,MATCH(9.99E+307,'Price History'!$A:$A))-'Price History'!H3)*(ROW()-3)/(MATCH(9.99E+307,'Returns (Calc)'!$A:$A)-3),"")</f>
        <v>56.3050943396226</v>
      </c>
      <c r="AD73" s="145" t="n">
        <f aca="false">IFERROR('Price History'!I3+(INDEX('Price History'!I:I,MATCH(9.99E+307,'Price History'!$A:$A))-'Price History'!I3)*(ROW()-3)/(MATCH(9.99E+307,'Returns (Calc)'!$A:$A)-3),"")</f>
        <v>24.8248427672956</v>
      </c>
      <c r="AE73" s="145" t="n">
        <f aca="false">IFERROR('Price History'!J3+(INDEX('Price History'!J:J,MATCH(9.99E+307,'Price History'!$A:$A))-'Price History'!J3)*(ROW()-3)/(MATCH(9.99E+307,'Returns (Calc)'!$A:$A)-3),"")</f>
        <v>38.684213836478</v>
      </c>
      <c r="AF73" s="145" t="n">
        <f aca="false">IFERROR('Price History'!K3+(INDEX('Price History'!K:K,MATCH(9.99E+307,'Price History'!$A:$A))-'Price History'!K3)*(ROW()-3)/(MATCH(9.99E+307,'Returns (Calc)'!$A:$A)-3),"")</f>
        <v>24.5001886792453</v>
      </c>
      <c r="AG73" s="145" t="n">
        <f aca="false">IFERROR('Price History'!L3+(INDEX('Price History'!L:L,MATCH(9.99E+307,'Price History'!$A:$A))-'Price History'!L3)*(ROW()-3)/(MATCH(9.99E+307,'Returns (Calc)'!$A:$A)-3),"")</f>
        <v>62.6022641509434</v>
      </c>
      <c r="AH73" s="145" t="n">
        <f aca="false">IFERROR('Price History'!M3+(INDEX('Price History'!M:M,MATCH(9.99E+307,'Price History'!$A:$A))-'Price History'!M3)*(ROW()-3)/(MATCH(9.99E+307,'Returns (Calc)'!$A:$A)-3),"")</f>
        <v>8.58094339622642</v>
      </c>
      <c r="AI73" s="145" t="n">
        <f aca="false">IFERROR('Price History'!N3+(INDEX('Price History'!N:N,MATCH(9.99E+307,'Price History'!$A:$A))-'Price History'!N3)*(ROW()-3)/(MATCH(9.99E+307,'Returns (Calc)'!$A:$A)-3),"")</f>
        <v>12.2025157232704</v>
      </c>
      <c r="AJ73" s="145" t="n">
        <f aca="false">IFERROR('Price History'!O3+(INDEX('Price History'!O:O,MATCH(9.99E+307,'Price History'!$A:$A))-'Price History'!O3)*(ROW()-3)/(MATCH(9.99E+307,'Returns (Calc)'!$A:$A)-3),"")</f>
        <v>32.2583018867925</v>
      </c>
      <c r="AK73" s="145" t="n">
        <f aca="false">IFERROR('Price History'!Q3+(INDEX('Price History'!Q:Q,MATCH(9.99E+307,'Price History'!$A:$A))-'Price History'!Q3)*(ROW()-3)/(MATCH(9.99E+307,'Returns (Calc)'!$A:$A)-3),"")</f>
        <v>131.893522012579</v>
      </c>
      <c r="AL73" s="145" t="n">
        <f aca="false">IFERROR('Price History'!R3+(INDEX('Price History'!R:R,MATCH(9.99E+307,'Price History'!$A:$A))-'Price History'!R3)*(ROW()-3)/(MATCH(9.99E+307,'Returns (Calc)'!$A:$A)-3),"")</f>
        <v>26.7671698113208</v>
      </c>
      <c r="AM73" s="145" t="n">
        <f aca="false">IFERROR('Price History'!S3+(INDEX('Price History'!S:S,MATCH(9.99E+307,'Price History'!$A:$A))-'Price History'!S3)*(ROW()-3)/(MATCH(9.99E+307,'Returns (Calc)'!$A:$A)-3),"")</f>
        <v>32.7676729559748</v>
      </c>
      <c r="AN73" s="145" t="n">
        <f aca="false">IFERROR('Price History'!T3+(INDEX('Price History'!T:T,MATCH(9.99E+307,'Price History'!$A:$A))-'Price History'!T3)*(ROW()-3)/(MATCH(9.99E+307,'Returns (Calc)'!$A:$A)-3),"")</f>
        <v>15.0628301886792</v>
      </c>
      <c r="AO73" s="146" t="n">
        <f aca="false">IFERROR('Price History'!V3+(INDEX('Price History'!V:V,MATCH(9.99E+307,'Price History'!$A:$A))-'Price History'!V3)*(ROW()-3)/(MATCH(9.99E+307,'Returns (Calc)'!$A:$A)-3),"")</f>
        <v>0</v>
      </c>
    </row>
    <row r="74" customFormat="false" ht="15" hidden="false" customHeight="true" outlineLevel="0" collapsed="false">
      <c r="A74" s="142" t="n">
        <f aca="false">IF('Price History'!A75="","",'Price History'!A75)</f>
        <v>45688</v>
      </c>
      <c r="B74" s="143" t="n">
        <f aca="false">IFERROR(IF(OR(NOT(ISNUMBER('Price History'!B75)),NOT(ISNUMBER('Price History'!B74)),'Price History'!B74=0),"",'Price History'!B75/'Price History'!B74-1),"")</f>
        <v>0.00475446736184471</v>
      </c>
      <c r="C74" s="143" t="n">
        <f aca="false">IFERROR(IF(OR(NOT(ISNUMBER('Price History'!C75)),NOT(ISNUMBER('Price History'!C74)),'Price History'!C74=0),"",'Price History'!C75/'Price History'!C74-1),"")</f>
        <v>-0.107919795618177</v>
      </c>
      <c r="D74" s="143" t="n">
        <f aca="false">IFERROR(IF(OR(NOT(ISNUMBER('Price History'!D75)),NOT(ISNUMBER('Price History'!D74)),'Price History'!D74=0),"",'Price History'!D75/'Price History'!D74-1),"")</f>
        <v>0.00964189235990842</v>
      </c>
      <c r="E74" s="143" t="n">
        <f aca="false">IFERROR(IF(OR(NOT(ISNUMBER('Price History'!E75)),NOT(ISNUMBER('Price History'!E74)),'Price History'!E74=0),"",'Price History'!E75/'Price History'!E74-1),"")</f>
        <v>-0.0957376233518534</v>
      </c>
      <c r="F74" s="143" t="n">
        <f aca="false">IFERROR(IF(OR(NOT(ISNUMBER('Price History'!F75)),NOT(ISNUMBER('Price History'!F74)),'Price History'!F74=0),"",'Price History'!F75/'Price History'!F74-1),"")</f>
        <v>-0.0151187904967602</v>
      </c>
      <c r="G74" s="143" t="n">
        <f aca="false">IFERROR(IF(OR(NOT(ISNUMBER('Price History'!G75)),NOT(ISNUMBER('Price History'!G74)),'Price History'!G74=0),"",'Price History'!G75/'Price History'!G74-1),"")</f>
        <v>0.0617731782780326</v>
      </c>
      <c r="H74" s="143" t="n">
        <f aca="false">IFERROR(IF(OR(NOT(ISNUMBER('Price History'!H75)),NOT(ISNUMBER('Price History'!H74)),'Price History'!H74=0),"",'Price History'!H75/'Price History'!H74-1),"")</f>
        <v>-0.0025965850971752</v>
      </c>
      <c r="I74" s="143" t="n">
        <f aca="false">IFERROR(IF(OR(NOT(ISNUMBER('Price History'!I75)),NOT(ISNUMBER('Price History'!I74)),'Price History'!I74=0),"",'Price History'!I75/'Price History'!I74-1),"")</f>
        <v>-0.0153908464965571</v>
      </c>
      <c r="J74" s="143" t="n">
        <f aca="false">IFERROR(IF(OR(NOT(ISNUMBER('Price History'!J75)),NOT(ISNUMBER('Price History'!J74)),'Price History'!J74=0),"",'Price History'!J75/'Price History'!J74-1),"")</f>
        <v>-0.115770016538574</v>
      </c>
      <c r="K74" s="143" t="n">
        <f aca="false">IFERROR(IF(OR(NOT(ISNUMBER('Price History'!K75)),NOT(ISNUMBER('Price History'!K74)),'Price History'!K74=0),"",'Price History'!K75/'Price History'!K74-1),"")</f>
        <v>-0.158101933216169</v>
      </c>
      <c r="L74" s="143" t="n">
        <f aca="false">IFERROR(IF(OR(NOT(ISNUMBER('Price History'!L75)),NOT(ISNUMBER('Price History'!L74)),'Price History'!L74=0),"",'Price History'!L75/'Price History'!L74-1),"")</f>
        <v>0.00267355850637219</v>
      </c>
      <c r="M74" s="143" t="n">
        <f aca="false">IFERROR(IF(OR(NOT(ISNUMBER('Price History'!M75)),NOT(ISNUMBER('Price History'!M74)),'Price History'!M74=0),"",'Price History'!M75/'Price History'!M74-1),"")</f>
        <v>0.0444416307926057</v>
      </c>
      <c r="N74" s="143" t="n">
        <f aca="false">IFERROR(IF(OR(NOT(ISNUMBER('Price History'!N75)),NOT(ISNUMBER('Price History'!N74)),'Price History'!N74=0),"",'Price History'!N75/'Price History'!N74-1),"")</f>
        <v>-0.00834597875569043</v>
      </c>
      <c r="O74" s="143" t="n">
        <f aca="false">IFERROR(IF(OR(NOT(ISNUMBER('Price History'!O75)),NOT(ISNUMBER('Price History'!O74)),'Price History'!O74=0),"",'Price History'!O75/'Price History'!O74-1),"")</f>
        <v>-0.0127088962273593</v>
      </c>
      <c r="P74" s="143" t="n">
        <f aca="false">IFERROR(IF(OR(NOT(ISNUMBER('Price History'!P75)),NOT(ISNUMBER('Price History'!P74)),'Price History'!P74=0),"",'Price History'!P75/'Price History'!P74-1),"")</f>
        <v>-0.0565785839241322</v>
      </c>
      <c r="Q74" s="143" t="n">
        <f aca="false">IFERROR(IF(OR(NOT(ISNUMBER('Price History'!Q75)),NOT(ISNUMBER('Price History'!Q74)),'Price History'!Q74=0),"",'Price History'!Q75/'Price History'!Q74-1),"")</f>
        <v>0.0351323985149274</v>
      </c>
      <c r="R74" s="143" t="n">
        <f aca="false">IFERROR(IF(OR(NOT(ISNUMBER('Price History'!R75)),NOT(ISNUMBER('Price History'!R74)),'Price History'!R74=0),"",'Price History'!R75/'Price History'!R74-1),"")</f>
        <v>0.00944055944055933</v>
      </c>
      <c r="S74" s="143" t="n">
        <f aca="false">IFERROR(IF(OR(NOT(ISNUMBER('Price History'!S75)),NOT(ISNUMBER('Price History'!S74)),'Price History'!S74=0),"",'Price History'!S75/'Price History'!S74-1),"")</f>
        <v>0.0105670642393807</v>
      </c>
      <c r="T74" s="143" t="n">
        <f aca="false">IFERROR(IF(OR(NOT(ISNUMBER('Price History'!T75)),NOT(ISNUMBER('Price History'!T74)),'Price History'!T74=0),"",'Price History'!T75/'Price History'!T74-1),"")</f>
        <v>0.00914454277286136</v>
      </c>
      <c r="U74" s="143" t="str">
        <f aca="false">IFERROR(IF(OR(NOT(ISNUMBER('Price History'!U75)),NOT(ISNUMBER('Price History'!U74)),'Price History'!U74=0),"",'Price History'!U75/'Price History'!U74-1),"")</f>
        <v/>
      </c>
      <c r="V74" s="144" t="n">
        <f aca="false">IFERROR(IF(OR(NOT(ISNUMBER('Price History'!V75)),NOT(ISNUMBER('Price History'!V74)),'Price History'!V74=0),"",'Price History'!V75/'Price History'!V74-1),"")</f>
        <v>0.00296565579259545</v>
      </c>
      <c r="W74" s="145" t="str">
        <f aca="false">IFERROR('Price History'!B3+(INDEX('Price History'!B:B,MATCH(9.99E+307,'Price History'!$A:$A))-'Price History'!B3)*(ROW()-3)/(MATCH(9.99E+307,'Returns (Calc)'!$A:$A)-3),"")</f>
        <v/>
      </c>
      <c r="X74" s="145" t="n">
        <f aca="false">IFERROR('Price History'!C3+(INDEX('Price History'!C:C,MATCH(9.99E+307,'Price History'!$A:$A))-'Price History'!C3)*(ROW()-3)/(MATCH(9.99E+307,'Returns (Calc)'!$A:$A)-3),"")</f>
        <v>25.5587421383648</v>
      </c>
      <c r="Y74" s="145" t="n">
        <f aca="false">IFERROR('Price History'!D3+(INDEX('Price History'!D:D,MATCH(9.99E+307,'Price History'!$A:$A))-'Price History'!D3)*(ROW()-3)/(MATCH(9.99E+307,'Returns (Calc)'!$A:$A)-3),"")</f>
        <v>322.118742138365</v>
      </c>
      <c r="Z74" s="145" t="n">
        <f aca="false">IFERROR('Price History'!E3+(INDEX('Price History'!E:E,MATCH(9.99E+307,'Price History'!$A:$A))-'Price History'!E3)*(ROW()-3)/(MATCH(9.99E+307,'Returns (Calc)'!$A:$A)-3),"")</f>
        <v>45.3836477987421</v>
      </c>
      <c r="AA74" s="145" t="n">
        <f aca="false">IFERROR('Price History'!F3+(INDEX('Price History'!F:F,MATCH(9.99E+307,'Price History'!$A:$A))-'Price History'!F3)*(ROW()-3)/(MATCH(9.99E+307,'Returns (Calc)'!$A:$A)-3),"")</f>
        <v>41.6810062893082</v>
      </c>
      <c r="AB74" s="145" t="n">
        <f aca="false">IFERROR('Price History'!G3+(INDEX('Price History'!G:G,MATCH(9.99E+307,'Price History'!$A:$A))-'Price History'!G3)*(ROW()-3)/(MATCH(9.99E+307,'Returns (Calc)'!$A:$A)-3),"")</f>
        <v>22.8910691823899</v>
      </c>
      <c r="AC74" s="145" t="n">
        <f aca="false">IFERROR('Price History'!H3+(INDEX('Price History'!H:H,MATCH(9.99E+307,'Price History'!$A:$A))-'Price History'!H3)*(ROW()-3)/(MATCH(9.99E+307,'Returns (Calc)'!$A:$A)-3),"")</f>
        <v>55.6724528301887</v>
      </c>
      <c r="AD74" s="145" t="n">
        <f aca="false">IFERROR('Price History'!I3+(INDEX('Price History'!I:I,MATCH(9.99E+307,'Price History'!$A:$A))-'Price History'!I3)*(ROW()-3)/(MATCH(9.99E+307,'Returns (Calc)'!$A:$A)-3),"")</f>
        <v>24.5459119496855</v>
      </c>
      <c r="AE74" s="145" t="n">
        <f aca="false">IFERROR('Price History'!J3+(INDEX('Price History'!J:J,MATCH(9.99E+307,'Price History'!$A:$A))-'Price History'!J3)*(ROW()-3)/(MATCH(9.99E+307,'Returns (Calc)'!$A:$A)-3),"")</f>
        <v>38.2495597484277</v>
      </c>
      <c r="AF74" s="145" t="n">
        <f aca="false">IFERROR('Price History'!K3+(INDEX('Price History'!K:K,MATCH(9.99E+307,'Price History'!$A:$A))-'Price History'!K3)*(ROW()-3)/(MATCH(9.99E+307,'Returns (Calc)'!$A:$A)-3),"")</f>
        <v>24.2249056603774</v>
      </c>
      <c r="AG74" s="145" t="n">
        <f aca="false">IFERROR('Price History'!L3+(INDEX('Price History'!L:L,MATCH(9.99E+307,'Price History'!$A:$A))-'Price History'!L3)*(ROW()-3)/(MATCH(9.99E+307,'Returns (Calc)'!$A:$A)-3),"")</f>
        <v>61.8988679245283</v>
      </c>
      <c r="AH74" s="145" t="n">
        <f aca="false">IFERROR('Price History'!M3+(INDEX('Price History'!M:M,MATCH(9.99E+307,'Price History'!$A:$A))-'Price History'!M3)*(ROW()-3)/(MATCH(9.99E+307,'Returns (Calc)'!$A:$A)-3),"")</f>
        <v>8.48452830188679</v>
      </c>
      <c r="AI74" s="145" t="n">
        <f aca="false">IFERROR('Price History'!N3+(INDEX('Price History'!N:N,MATCH(9.99E+307,'Price History'!$A:$A))-'Price History'!N3)*(ROW()-3)/(MATCH(9.99E+307,'Returns (Calc)'!$A:$A)-3),"")</f>
        <v>12.0654088050314</v>
      </c>
      <c r="AJ74" s="145" t="n">
        <f aca="false">IFERROR('Price History'!O3+(INDEX('Price History'!O:O,MATCH(9.99E+307,'Price History'!$A:$A))-'Price History'!O3)*(ROW()-3)/(MATCH(9.99E+307,'Returns (Calc)'!$A:$A)-3),"")</f>
        <v>31.8958490566038</v>
      </c>
      <c r="AK74" s="145" t="n">
        <f aca="false">IFERROR('Price History'!Q3+(INDEX('Price History'!Q:Q,MATCH(9.99E+307,'Price History'!$A:$A))-'Price History'!Q3)*(ROW()-3)/(MATCH(9.99E+307,'Returns (Calc)'!$A:$A)-3),"")</f>
        <v>130.411572327044</v>
      </c>
      <c r="AL74" s="145" t="n">
        <f aca="false">IFERROR('Price History'!R3+(INDEX('Price History'!R:R,MATCH(9.99E+307,'Price History'!$A:$A))-'Price History'!R3)*(ROW()-3)/(MATCH(9.99E+307,'Returns (Calc)'!$A:$A)-3),"")</f>
        <v>26.4664150943396</v>
      </c>
      <c r="AM74" s="145" t="n">
        <f aca="false">IFERROR('Price History'!S3+(INDEX('Price History'!S:S,MATCH(9.99E+307,'Price History'!$A:$A))-'Price History'!S3)*(ROW()-3)/(MATCH(9.99E+307,'Returns (Calc)'!$A:$A)-3),"")</f>
        <v>32.3994968553459</v>
      </c>
      <c r="AN74" s="145" t="n">
        <f aca="false">IFERROR('Price History'!T3+(INDEX('Price History'!T:T,MATCH(9.99E+307,'Price History'!$A:$A))-'Price History'!T3)*(ROW()-3)/(MATCH(9.99E+307,'Returns (Calc)'!$A:$A)-3),"")</f>
        <v>14.8935849056604</v>
      </c>
      <c r="AO74" s="146" t="n">
        <f aca="false">IFERROR('Price History'!V3+(INDEX('Price History'!V:V,MATCH(9.99E+307,'Price History'!$A:$A))-'Price History'!V3)*(ROW()-3)/(MATCH(9.99E+307,'Returns (Calc)'!$A:$A)-3),"")</f>
        <v>0</v>
      </c>
    </row>
    <row r="75" customFormat="false" ht="15" hidden="false" customHeight="true" outlineLevel="0" collapsed="false">
      <c r="A75" s="142" t="n">
        <f aca="false">IF('Price History'!A76="","",'Price History'!A76)</f>
        <v>45695</v>
      </c>
      <c r="B75" s="143" t="n">
        <f aca="false">IFERROR(IF(OR(NOT(ISNUMBER('Price History'!B76)),NOT(ISNUMBER('Price History'!B75)),'Price History'!B75=0),"",'Price History'!B76/'Price History'!B75-1),"")</f>
        <v>-0.0100125728654703</v>
      </c>
      <c r="C75" s="143" t="n">
        <f aca="false">IFERROR(IF(OR(NOT(ISNUMBER('Price History'!C76)),NOT(ISNUMBER('Price History'!C75)),'Price History'!C75=0),"",'Price History'!C76/'Price History'!C75-1),"")</f>
        <v>0.028117677688102</v>
      </c>
      <c r="D75" s="143" t="n">
        <f aca="false">IFERROR(IF(OR(NOT(ISNUMBER('Price History'!D76)),NOT(ISNUMBER('Price History'!D75)),'Price History'!D75=0),"",'Price History'!D76/'Price History'!D75-1),"")</f>
        <v>-0.015696820844939</v>
      </c>
      <c r="E75" s="143" t="n">
        <f aca="false">IFERROR(IF(OR(NOT(ISNUMBER('Price History'!E76)),NOT(ISNUMBER('Price History'!E75)),'Price History'!E75=0),"",'Price History'!E76/'Price History'!E75-1),"")</f>
        <v>0.0162318308955018</v>
      </c>
      <c r="F75" s="143" t="n">
        <f aca="false">IFERROR(IF(OR(NOT(ISNUMBER('Price History'!F76)),NOT(ISNUMBER('Price History'!F75)),'Price History'!F75=0),"",'Price History'!F76/'Price History'!F75-1),"")</f>
        <v>-0.0115914786967418</v>
      </c>
      <c r="G75" s="143" t="n">
        <f aca="false">IFERROR(IF(OR(NOT(ISNUMBER('Price History'!G76)),NOT(ISNUMBER('Price History'!G75)),'Price History'!G75=0),"",'Price History'!G76/'Price History'!G75-1),"")</f>
        <v>0.0590836012861737</v>
      </c>
      <c r="H75" s="143" t="n">
        <f aca="false">IFERROR(IF(OR(NOT(ISNUMBER('Price History'!H76)),NOT(ISNUMBER('Price History'!H75)),'Price History'!H75=0),"",'Price History'!H76/'Price History'!H75-1),"")</f>
        <v>-0.00481224360997157</v>
      </c>
      <c r="I75" s="143" t="n">
        <f aca="false">IFERROR(IF(OR(NOT(ISNUMBER('Price History'!I76)),NOT(ISNUMBER('Price History'!I75)),'Price History'!I75=0),"",'Price History'!I76/'Price History'!I75-1),"")</f>
        <v>0.0127519539284244</v>
      </c>
      <c r="J75" s="143" t="n">
        <f aca="false">IFERROR(IF(OR(NOT(ISNUMBER('Price History'!J76)),NOT(ISNUMBER('Price History'!J75)),'Price History'!J75=0),"",'Price History'!J76/'Price History'!J75-1),"")</f>
        <v>0.011662449114314</v>
      </c>
      <c r="K75" s="143" t="n">
        <f aca="false">IFERROR(IF(OR(NOT(ISNUMBER('Price History'!K76)),NOT(ISNUMBER('Price History'!K75)),'Price History'!K75=0),"",'Price History'!K76/'Price History'!K75-1),"")</f>
        <v>0.0813293253173013</v>
      </c>
      <c r="L75" s="143" t="n">
        <f aca="false">IFERROR(IF(OR(NOT(ISNUMBER('Price History'!L76)),NOT(ISNUMBER('Price History'!L75)),'Price History'!L75=0),"",'Price History'!L76/'Price History'!L75-1),"")</f>
        <v>-0.0159096969158298</v>
      </c>
      <c r="M75" s="143" t="n">
        <f aca="false">IFERROR(IF(OR(NOT(ISNUMBER('Price History'!M76)),NOT(ISNUMBER('Price History'!M75)),'Price History'!M75=0),"",'Price History'!M76/'Price History'!M75-1),"")</f>
        <v>0.343799248393745</v>
      </c>
      <c r="N75" s="143" t="n">
        <f aca="false">IFERROR(IF(OR(NOT(ISNUMBER('Price History'!N76)),NOT(ISNUMBER('Price History'!N75)),'Price History'!N75=0),"",'Price History'!N76/'Price History'!N75-1),"")</f>
        <v>-0.009946442234124</v>
      </c>
      <c r="O75" s="143" t="n">
        <f aca="false">IFERROR(IF(OR(NOT(ISNUMBER('Price History'!O76)),NOT(ISNUMBER('Price History'!O75)),'Price History'!O75=0),"",'Price History'!O76/'Price History'!O75-1),"")</f>
        <v>0.0198662071761606</v>
      </c>
      <c r="P75" s="143" t="n">
        <f aca="false">IFERROR(IF(OR(NOT(ISNUMBER('Price History'!P76)),NOT(ISNUMBER('Price History'!P75)),'Price History'!P75=0),"",'Price History'!P76/'Price History'!P75-1),"")</f>
        <v>-0.0153223051773778</v>
      </c>
      <c r="Q75" s="143" t="n">
        <f aca="false">IFERROR(IF(OR(NOT(ISNUMBER('Price History'!Q76)),NOT(ISNUMBER('Price History'!Q75)),'Price History'!Q75=0),"",'Price History'!Q76/'Price History'!Q75-1),"")</f>
        <v>0.0182001422812426</v>
      </c>
      <c r="R75" s="143" t="n">
        <f aca="false">IFERROR(IF(OR(NOT(ISNUMBER('Price History'!R76)),NOT(ISNUMBER('Price History'!R75)),'Price History'!R75=0),"",'Price History'!R76/'Price History'!R75-1),"")</f>
        <v>-0.0114305507447178</v>
      </c>
      <c r="S75" s="143" t="n">
        <f aca="false">IFERROR(IF(OR(NOT(ISNUMBER('Price History'!S76)),NOT(ISNUMBER('Price History'!S75)),'Price History'!S75=0),"",'Price History'!S76/'Price History'!S75-1),"")</f>
        <v>0.00310591158505025</v>
      </c>
      <c r="T75" s="143" t="n">
        <f aca="false">IFERROR(IF(OR(NOT(ISNUMBER('Price History'!T76)),NOT(ISNUMBER('Price History'!T75)),'Price History'!T75=0),"",'Price History'!T76/'Price History'!T75-1),"")</f>
        <v>0.00760011692487561</v>
      </c>
      <c r="U75" s="143" t="str">
        <f aca="false">IFERROR(IF(OR(NOT(ISNUMBER('Price History'!U76)),NOT(ISNUMBER('Price History'!U75)),'Price History'!U75=0),"",'Price History'!U76/'Price History'!U75-1),"")</f>
        <v/>
      </c>
      <c r="V75" s="144" t="n">
        <f aca="false">IFERROR(IF(OR(NOT(ISNUMBER('Price History'!V76)),NOT(ISNUMBER('Price History'!V75)),'Price History'!V75=0),"",'Price History'!V76/'Price History'!V75-1),"")</f>
        <v>-0.0117639577769298</v>
      </c>
      <c r="W75" s="145" t="str">
        <f aca="false">IFERROR('Price History'!B3+(INDEX('Price History'!B:B,MATCH(9.99E+307,'Price History'!$A:$A))-'Price History'!B3)*(ROW()-3)/(MATCH(9.99E+307,'Returns (Calc)'!$A:$A)-3),"")</f>
        <v/>
      </c>
      <c r="X75" s="145" t="n">
        <f aca="false">IFERROR('Price History'!C3+(INDEX('Price History'!C:C,MATCH(9.99E+307,'Price History'!$A:$A))-'Price History'!C3)*(ROW()-3)/(MATCH(9.99E+307,'Returns (Calc)'!$A:$A)-3),"")</f>
        <v>25.2683018867925</v>
      </c>
      <c r="Y75" s="145" t="n">
        <f aca="false">IFERROR('Price History'!D3+(INDEX('Price History'!D:D,MATCH(9.99E+307,'Price History'!$A:$A))-'Price History'!D3)*(ROW()-3)/(MATCH(9.99E+307,'Returns (Calc)'!$A:$A)-3),"")</f>
        <v>318.458301886792</v>
      </c>
      <c r="Z75" s="145" t="n">
        <f aca="false">IFERROR('Price History'!E3+(INDEX('Price History'!E:E,MATCH(9.99E+307,'Price History'!$A:$A))-'Price History'!E3)*(ROW()-3)/(MATCH(9.99E+307,'Returns (Calc)'!$A:$A)-3),"")</f>
        <v>44.8679245283019</v>
      </c>
      <c r="AA75" s="145" t="n">
        <f aca="false">IFERROR('Price History'!F3+(INDEX('Price History'!F:F,MATCH(9.99E+307,'Price History'!$A:$A))-'Price History'!F3)*(ROW()-3)/(MATCH(9.99E+307,'Returns (Calc)'!$A:$A)-3),"")</f>
        <v>41.207358490566</v>
      </c>
      <c r="AB75" s="145" t="n">
        <f aca="false">IFERROR('Price History'!G3+(INDEX('Price History'!G:G,MATCH(9.99E+307,'Price History'!$A:$A))-'Price History'!G3)*(ROW()-3)/(MATCH(9.99E+307,'Returns (Calc)'!$A:$A)-3),"")</f>
        <v>22.6309433962264</v>
      </c>
      <c r="AC75" s="145" t="n">
        <f aca="false">IFERROR('Price History'!H3+(INDEX('Price History'!H:H,MATCH(9.99E+307,'Price History'!$A:$A))-'Price History'!H3)*(ROW()-3)/(MATCH(9.99E+307,'Returns (Calc)'!$A:$A)-3),"")</f>
        <v>55.0398113207547</v>
      </c>
      <c r="AD75" s="145" t="n">
        <f aca="false">IFERROR('Price History'!I3+(INDEX('Price History'!I:I,MATCH(9.99E+307,'Price History'!$A:$A))-'Price History'!I3)*(ROW()-3)/(MATCH(9.99E+307,'Returns (Calc)'!$A:$A)-3),"")</f>
        <v>24.2669811320755</v>
      </c>
      <c r="AE75" s="145" t="n">
        <f aca="false">IFERROR('Price History'!J3+(INDEX('Price History'!J:J,MATCH(9.99E+307,'Price History'!$A:$A))-'Price History'!J3)*(ROW()-3)/(MATCH(9.99E+307,'Returns (Calc)'!$A:$A)-3),"")</f>
        <v>37.8149056603774</v>
      </c>
      <c r="AF75" s="145" t="n">
        <f aca="false">IFERROR('Price History'!K3+(INDEX('Price History'!K:K,MATCH(9.99E+307,'Price History'!$A:$A))-'Price History'!K3)*(ROW()-3)/(MATCH(9.99E+307,'Returns (Calc)'!$A:$A)-3),"")</f>
        <v>23.9496226415094</v>
      </c>
      <c r="AG75" s="145" t="n">
        <f aca="false">IFERROR('Price History'!L3+(INDEX('Price History'!L:L,MATCH(9.99E+307,'Price History'!$A:$A))-'Price History'!L3)*(ROW()-3)/(MATCH(9.99E+307,'Returns (Calc)'!$A:$A)-3),"")</f>
        <v>61.1954716981132</v>
      </c>
      <c r="AH75" s="145" t="n">
        <f aca="false">IFERROR('Price History'!M3+(INDEX('Price History'!M:M,MATCH(9.99E+307,'Price History'!$A:$A))-'Price History'!M3)*(ROW()-3)/(MATCH(9.99E+307,'Returns (Calc)'!$A:$A)-3),"")</f>
        <v>8.38811320754717</v>
      </c>
      <c r="AI75" s="145" t="n">
        <f aca="false">IFERROR('Price History'!N3+(INDEX('Price History'!N:N,MATCH(9.99E+307,'Price History'!$A:$A))-'Price History'!N3)*(ROW()-3)/(MATCH(9.99E+307,'Returns (Calc)'!$A:$A)-3),"")</f>
        <v>11.9283018867925</v>
      </c>
      <c r="AJ75" s="145" t="n">
        <f aca="false">IFERROR('Price History'!O3+(INDEX('Price History'!O:O,MATCH(9.99E+307,'Price History'!$A:$A))-'Price History'!O3)*(ROW()-3)/(MATCH(9.99E+307,'Returns (Calc)'!$A:$A)-3),"")</f>
        <v>31.5333962264151</v>
      </c>
      <c r="AK75" s="145" t="n">
        <f aca="false">IFERROR('Price History'!Q3+(INDEX('Price History'!Q:Q,MATCH(9.99E+307,'Price History'!$A:$A))-'Price History'!Q3)*(ROW()-3)/(MATCH(9.99E+307,'Returns (Calc)'!$A:$A)-3),"")</f>
        <v>128.929622641509</v>
      </c>
      <c r="AL75" s="145" t="n">
        <f aca="false">IFERROR('Price History'!R3+(INDEX('Price History'!R:R,MATCH(9.99E+307,'Price History'!$A:$A))-'Price History'!R3)*(ROW()-3)/(MATCH(9.99E+307,'Returns (Calc)'!$A:$A)-3),"")</f>
        <v>26.1656603773585</v>
      </c>
      <c r="AM75" s="145" t="n">
        <f aca="false">IFERROR('Price History'!S3+(INDEX('Price History'!S:S,MATCH(9.99E+307,'Price History'!$A:$A))-'Price History'!S3)*(ROW()-3)/(MATCH(9.99E+307,'Returns (Calc)'!$A:$A)-3),"")</f>
        <v>32.031320754717</v>
      </c>
      <c r="AN75" s="145" t="n">
        <f aca="false">IFERROR('Price History'!T3+(INDEX('Price History'!T:T,MATCH(9.99E+307,'Price History'!$A:$A))-'Price History'!T3)*(ROW()-3)/(MATCH(9.99E+307,'Returns (Calc)'!$A:$A)-3),"")</f>
        <v>14.7243396226415</v>
      </c>
      <c r="AO75" s="146" t="n">
        <f aca="false">IFERROR('Price History'!V3+(INDEX('Price History'!V:V,MATCH(9.99E+307,'Price History'!$A:$A))-'Price History'!V3)*(ROW()-3)/(MATCH(9.99E+307,'Returns (Calc)'!$A:$A)-3),"")</f>
        <v>0</v>
      </c>
    </row>
    <row r="76" customFormat="false" ht="15" hidden="false" customHeight="true" outlineLevel="0" collapsed="false">
      <c r="A76" s="142" t="n">
        <f aca="false">IF('Price History'!A77="","",'Price History'!A77)</f>
        <v>45702</v>
      </c>
      <c r="B76" s="143" t="n">
        <f aca="false">IFERROR(IF(OR(NOT(ISNUMBER('Price History'!B77)),NOT(ISNUMBER('Price History'!B76)),'Price History'!B76=0),"",'Price History'!B77/'Price History'!B76-1),"")</f>
        <v>0.0625533978340684</v>
      </c>
      <c r="C76" s="143" t="n">
        <f aca="false">IFERROR(IF(OR(NOT(ISNUMBER('Price History'!C77)),NOT(ISNUMBER('Price History'!C76)),'Price History'!C76=0),"",'Price History'!C77/'Price History'!C76-1),"")</f>
        <v>-0.0979150839875074</v>
      </c>
      <c r="D76" s="143" t="n">
        <f aca="false">IFERROR(IF(OR(NOT(ISNUMBER('Price History'!D77)),NOT(ISNUMBER('Price History'!D76)),'Price History'!D76=0),"",'Price History'!D77/'Price History'!D76-1),"")</f>
        <v>0.0349470984289837</v>
      </c>
      <c r="E76" s="143" t="n">
        <f aca="false">IFERROR(IF(OR(NOT(ISNUMBER('Price History'!E77)),NOT(ISNUMBER('Price History'!E76)),'Price History'!E76=0),"",'Price History'!E77/'Price History'!E76-1),"")</f>
        <v>0.0363669178360331</v>
      </c>
      <c r="F76" s="143" t="n">
        <f aca="false">IFERROR(IF(OR(NOT(ISNUMBER('Price History'!F77)),NOT(ISNUMBER('Price History'!F76)),'Price History'!F76=0),"",'Price History'!F77/'Price History'!F76-1),"")</f>
        <v>0.00306391970417308</v>
      </c>
      <c r="G76" s="143" t="n">
        <f aca="false">IFERROR(IF(OR(NOT(ISNUMBER('Price History'!G77)),NOT(ISNUMBER('Price History'!G76)),'Price History'!G76=0),"",'Price History'!G77/'Price History'!G76-1),"")</f>
        <v>0.0714421252371917</v>
      </c>
      <c r="H76" s="143" t="n">
        <f aca="false">IFERROR(IF(OR(NOT(ISNUMBER('Price History'!H77)),NOT(ISNUMBER('Price History'!H76)),'Price History'!H76=0),"",'Price History'!H77/'Price History'!H76-1),"")</f>
        <v>0.0119698771304002</v>
      </c>
      <c r="I76" s="143" t="n">
        <f aca="false">IFERROR(IF(OR(NOT(ISNUMBER('Price History'!I77)),NOT(ISNUMBER('Price History'!I76)),'Price History'!I76=0),"",'Price History'!I77/'Price History'!I76-1),"")</f>
        <v>0.00406173842404556</v>
      </c>
      <c r="J76" s="143" t="n">
        <f aca="false">IFERROR(IF(OR(NOT(ISNUMBER('Price History'!J77)),NOT(ISNUMBER('Price History'!J76)),'Price History'!J76=0),"",'Price History'!J77/'Price History'!J76-1),"")</f>
        <v>0.0781946710168571</v>
      </c>
      <c r="K76" s="143" t="n">
        <f aca="false">IFERROR(IF(OR(NOT(ISNUMBER('Price History'!K77)),NOT(ISNUMBER('Price History'!K76)),'Price History'!K76=0),"",'Price History'!K77/'Price History'!K76-1),"")</f>
        <v>0.0694208494208495</v>
      </c>
      <c r="L76" s="143" t="n">
        <f aca="false">IFERROR(IF(OR(NOT(ISNUMBER('Price History'!L77)),NOT(ISNUMBER('Price History'!L76)),'Price History'!L76=0),"",'Price History'!L77/'Price History'!L76-1),"")</f>
        <v>0.0298049132947977</v>
      </c>
      <c r="M76" s="143" t="n">
        <f aca="false">IFERROR(IF(OR(NOT(ISNUMBER('Price History'!M77)),NOT(ISNUMBER('Price History'!M76)),'Price History'!M76=0),"",'Price History'!M77/'Price History'!M76-1),"")</f>
        <v>0.0749661705006766</v>
      </c>
      <c r="N76" s="143" t="n">
        <f aca="false">IFERROR(IF(OR(NOT(ISNUMBER('Price History'!N77)),NOT(ISNUMBER('Price History'!N76)),'Price History'!N76=0),"",'Price History'!N77/'Price History'!N76-1),"")</f>
        <v>0.00850077279752703</v>
      </c>
      <c r="O76" s="143" t="n">
        <f aca="false">IFERROR(IF(OR(NOT(ISNUMBER('Price History'!O77)),NOT(ISNUMBER('Price History'!O76)),'Price History'!O76=0),"",'Price History'!O77/'Price History'!O76-1),"")</f>
        <v>0.0101371496720333</v>
      </c>
      <c r="P76" s="143" t="n">
        <f aca="false">IFERROR(IF(OR(NOT(ISNUMBER('Price History'!P77)),NOT(ISNUMBER('Price History'!P76)),'Price History'!P76=0),"",'Price History'!P77/'Price History'!P76-1),"")</f>
        <v>-0.0107537539025719</v>
      </c>
      <c r="Q76" s="143" t="n">
        <f aca="false">IFERROR(IF(OR(NOT(ISNUMBER('Price History'!Q77)),NOT(ISNUMBER('Price History'!Q76)),'Price History'!Q76=0),"",'Price History'!Q77/'Price History'!Q76-1),"")</f>
        <v>0.0183697234352256</v>
      </c>
      <c r="R76" s="143" t="n">
        <f aca="false">IFERROR(IF(OR(NOT(ISNUMBER('Price History'!R77)),NOT(ISNUMBER('Price History'!R76)),'Price History'!R76=0),"",'Price History'!R77/'Price History'!R76-1),"")</f>
        <v>-0.0192711983181499</v>
      </c>
      <c r="S76" s="143" t="n">
        <f aca="false">IFERROR(IF(OR(NOT(ISNUMBER('Price History'!S77)),NOT(ISNUMBER('Price History'!S76)),'Price History'!S76=0),"",'Price History'!S77/'Price History'!S76-1),"")</f>
        <v>-0.0135204871503768</v>
      </c>
      <c r="T76" s="143" t="n">
        <f aca="false">IFERROR(IF(OR(NOT(ISNUMBER('Price History'!T77)),NOT(ISNUMBER('Price History'!T76)),'Price History'!T76=0),"",'Price History'!T77/'Price History'!T76-1),"")</f>
        <v>-0.000290107339715684</v>
      </c>
      <c r="U76" s="143" t="str">
        <f aca="false">IFERROR(IF(OR(NOT(ISNUMBER('Price History'!U77)),NOT(ISNUMBER('Price History'!U76)),'Price History'!U76=0),"",'Price History'!U77/'Price History'!U76-1),"")</f>
        <v/>
      </c>
      <c r="V76" s="144" t="n">
        <f aca="false">IFERROR(IF(OR(NOT(ISNUMBER('Price History'!V77)),NOT(ISNUMBER('Price History'!V76)),'Price History'!V76=0),"",'Price History'!V77/'Price History'!V76-1),"")</f>
        <v>-0.0228428029084357</v>
      </c>
      <c r="W76" s="145" t="str">
        <f aca="false">IFERROR('Price History'!B3+(INDEX('Price History'!B:B,MATCH(9.99E+307,'Price History'!$A:$A))-'Price History'!B3)*(ROW()-3)/(MATCH(9.99E+307,'Returns (Calc)'!$A:$A)-3),"")</f>
        <v/>
      </c>
      <c r="X76" s="145" t="n">
        <f aca="false">IFERROR('Price History'!C3+(INDEX('Price History'!C:C,MATCH(9.99E+307,'Price History'!$A:$A))-'Price History'!C3)*(ROW()-3)/(MATCH(9.99E+307,'Returns (Calc)'!$A:$A)-3),"")</f>
        <v>24.9778616352201</v>
      </c>
      <c r="Y76" s="145" t="n">
        <f aca="false">IFERROR('Price History'!D3+(INDEX('Price History'!D:D,MATCH(9.99E+307,'Price History'!$A:$A))-'Price History'!D3)*(ROW()-3)/(MATCH(9.99E+307,'Returns (Calc)'!$A:$A)-3),"")</f>
        <v>314.79786163522</v>
      </c>
      <c r="Z76" s="145" t="n">
        <f aca="false">IFERROR('Price History'!E3+(INDEX('Price History'!E:E,MATCH(9.99E+307,'Price History'!$A:$A))-'Price History'!E3)*(ROW()-3)/(MATCH(9.99E+307,'Returns (Calc)'!$A:$A)-3),"")</f>
        <v>44.3522012578616</v>
      </c>
      <c r="AA76" s="145" t="n">
        <f aca="false">IFERROR('Price History'!F3+(INDEX('Price History'!F:F,MATCH(9.99E+307,'Price History'!$A:$A))-'Price History'!F3)*(ROW()-3)/(MATCH(9.99E+307,'Returns (Calc)'!$A:$A)-3),"")</f>
        <v>40.7337106918239</v>
      </c>
      <c r="AB76" s="145" t="n">
        <f aca="false">IFERROR('Price History'!G3+(INDEX('Price History'!G:G,MATCH(9.99E+307,'Price History'!$A:$A))-'Price History'!G3)*(ROW()-3)/(MATCH(9.99E+307,'Returns (Calc)'!$A:$A)-3),"")</f>
        <v>22.3708176100629</v>
      </c>
      <c r="AC76" s="145" t="n">
        <f aca="false">IFERROR('Price History'!H3+(INDEX('Price History'!H:H,MATCH(9.99E+307,'Price History'!$A:$A))-'Price History'!H3)*(ROW()-3)/(MATCH(9.99E+307,'Returns (Calc)'!$A:$A)-3),"")</f>
        <v>54.4071698113208</v>
      </c>
      <c r="AD76" s="145" t="n">
        <f aca="false">IFERROR('Price History'!I3+(INDEX('Price History'!I:I,MATCH(9.99E+307,'Price History'!$A:$A))-'Price History'!I3)*(ROW()-3)/(MATCH(9.99E+307,'Returns (Calc)'!$A:$A)-3),"")</f>
        <v>23.9880503144654</v>
      </c>
      <c r="AE76" s="145" t="n">
        <f aca="false">IFERROR('Price History'!J3+(INDEX('Price History'!J:J,MATCH(9.99E+307,'Price History'!$A:$A))-'Price History'!J3)*(ROW()-3)/(MATCH(9.99E+307,'Returns (Calc)'!$A:$A)-3),"")</f>
        <v>37.380251572327</v>
      </c>
      <c r="AF76" s="145" t="n">
        <f aca="false">IFERROR('Price History'!K3+(INDEX('Price History'!K:K,MATCH(9.99E+307,'Price History'!$A:$A))-'Price History'!K3)*(ROW()-3)/(MATCH(9.99E+307,'Returns (Calc)'!$A:$A)-3),"")</f>
        <v>23.6743396226415</v>
      </c>
      <c r="AG76" s="145" t="n">
        <f aca="false">IFERROR('Price History'!L3+(INDEX('Price History'!L:L,MATCH(9.99E+307,'Price History'!$A:$A))-'Price History'!L3)*(ROW()-3)/(MATCH(9.99E+307,'Returns (Calc)'!$A:$A)-3),"")</f>
        <v>60.4920754716981</v>
      </c>
      <c r="AH76" s="145" t="n">
        <f aca="false">IFERROR('Price History'!M3+(INDEX('Price History'!M:M,MATCH(9.99E+307,'Price History'!$A:$A))-'Price History'!M3)*(ROW()-3)/(MATCH(9.99E+307,'Returns (Calc)'!$A:$A)-3),"")</f>
        <v>8.29169811320755</v>
      </c>
      <c r="AI76" s="145" t="n">
        <f aca="false">IFERROR('Price History'!N3+(INDEX('Price History'!N:N,MATCH(9.99E+307,'Price History'!$A:$A))-'Price History'!N3)*(ROW()-3)/(MATCH(9.99E+307,'Returns (Calc)'!$A:$A)-3),"")</f>
        <v>11.7911949685535</v>
      </c>
      <c r="AJ76" s="145" t="n">
        <f aca="false">IFERROR('Price History'!O3+(INDEX('Price History'!O:O,MATCH(9.99E+307,'Price History'!$A:$A))-'Price History'!O3)*(ROW()-3)/(MATCH(9.99E+307,'Returns (Calc)'!$A:$A)-3),"")</f>
        <v>31.1709433962264</v>
      </c>
      <c r="AK76" s="145" t="n">
        <f aca="false">IFERROR('Price History'!Q3+(INDEX('Price History'!Q:Q,MATCH(9.99E+307,'Price History'!$A:$A))-'Price History'!Q3)*(ROW()-3)/(MATCH(9.99E+307,'Returns (Calc)'!$A:$A)-3),"")</f>
        <v>127.447672955975</v>
      </c>
      <c r="AL76" s="145" t="n">
        <f aca="false">IFERROR('Price History'!R3+(INDEX('Price History'!R:R,MATCH(9.99E+307,'Price History'!$A:$A))-'Price History'!R3)*(ROW()-3)/(MATCH(9.99E+307,'Returns (Calc)'!$A:$A)-3),"")</f>
        <v>25.8649056603774</v>
      </c>
      <c r="AM76" s="145" t="n">
        <f aca="false">IFERROR('Price History'!S3+(INDEX('Price History'!S:S,MATCH(9.99E+307,'Price History'!$A:$A))-'Price History'!S3)*(ROW()-3)/(MATCH(9.99E+307,'Returns (Calc)'!$A:$A)-3),"")</f>
        <v>31.6631446540881</v>
      </c>
      <c r="AN76" s="145" t="n">
        <f aca="false">IFERROR('Price History'!T3+(INDEX('Price History'!T:T,MATCH(9.99E+307,'Price History'!$A:$A))-'Price History'!T3)*(ROW()-3)/(MATCH(9.99E+307,'Returns (Calc)'!$A:$A)-3),"")</f>
        <v>14.5550943396226</v>
      </c>
      <c r="AO76" s="146" t="n">
        <f aca="false">IFERROR('Price History'!V3+(INDEX('Price History'!V:V,MATCH(9.99E+307,'Price History'!$A:$A))-'Price History'!V3)*(ROW()-3)/(MATCH(9.99E+307,'Returns (Calc)'!$A:$A)-3),"")</f>
        <v>0</v>
      </c>
    </row>
    <row r="77" customFormat="false" ht="15" hidden="false" customHeight="true" outlineLevel="0" collapsed="false">
      <c r="A77" s="142" t="n">
        <f aca="false">IF('Price History'!A78="","",'Price History'!A78)</f>
        <v>45709</v>
      </c>
      <c r="B77" s="143" t="n">
        <f aca="false">IFERROR(IF(OR(NOT(ISNUMBER('Price History'!B78)),NOT(ISNUMBER('Price History'!B77)),'Price History'!B77=0),"",'Price History'!B78/'Price History'!B77-1),"")</f>
        <v>-0.03442280945758</v>
      </c>
      <c r="C77" s="143" t="n">
        <f aca="false">IFERROR(IF(OR(NOT(ISNUMBER('Price History'!C78)),NOT(ISNUMBER('Price History'!C77)),'Price History'!C77=0),"",'Price History'!C78/'Price History'!C77-1),"")</f>
        <v>-0.0801908861233275</v>
      </c>
      <c r="D77" s="143" t="n">
        <f aca="false">IFERROR(IF(OR(NOT(ISNUMBER('Price History'!D78)),NOT(ISNUMBER('Price History'!D77)),'Price History'!D77=0),"",'Price History'!D78/'Price History'!D77-1),"")</f>
        <v>-0.019072248262486</v>
      </c>
      <c r="E77" s="143" t="n">
        <f aca="false">IFERROR(IF(OR(NOT(ISNUMBER('Price History'!E78)),NOT(ISNUMBER('Price History'!E77)),'Price History'!E77=0),"",'Price History'!E78/'Price History'!E77-1),"")</f>
        <v>-0.0617353824720276</v>
      </c>
      <c r="F77" s="143" t="n">
        <f aca="false">IFERROR(IF(OR(NOT(ISNUMBER('Price History'!F78)),NOT(ISNUMBER('Price History'!F77)),'Price History'!F77=0),"",'Price History'!F78/'Price History'!F77-1),"")</f>
        <v>-0.0365493996208132</v>
      </c>
      <c r="G77" s="143" t="n">
        <f aca="false">IFERROR(IF(OR(NOT(ISNUMBER('Price History'!G78)),NOT(ISNUMBER('Price History'!G77)),'Price History'!G77=0),"",'Price History'!G78/'Price History'!G77-1),"")</f>
        <v>-0.0997077835827505</v>
      </c>
      <c r="H77" s="143" t="n">
        <f aca="false">IFERROR(IF(OR(NOT(ISNUMBER('Price History'!H78)),NOT(ISNUMBER('Price History'!H77)),'Price History'!H77=0),"",'Price History'!H78/'Price History'!H77-1),"")</f>
        <v>0.00728497571674769</v>
      </c>
      <c r="I77" s="143" t="n">
        <f aca="false">IFERROR(IF(OR(NOT(ISNUMBER('Price History'!I78)),NOT(ISNUMBER('Price History'!I77)),'Price History'!I77=0),"",'Price History'!I78/'Price History'!I77-1),"")</f>
        <v>0.00471952535059339</v>
      </c>
      <c r="J77" s="143" t="n">
        <f aca="false">IFERROR(IF(OR(NOT(ISNUMBER('Price History'!J78)),NOT(ISNUMBER('Price History'!J77)),'Price History'!J77=0),"",'Price History'!J78/'Price History'!J77-1),"")</f>
        <v>-0.00685898729070011</v>
      </c>
      <c r="K77" s="143" t="n">
        <f aca="false">IFERROR(IF(OR(NOT(ISNUMBER('Price History'!K78)),NOT(ISNUMBER('Price History'!K77)),'Price History'!K77=0),"",'Price History'!K78/'Price History'!K77-1),"")</f>
        <v>-0.0318434544010398</v>
      </c>
      <c r="L77" s="143" t="n">
        <f aca="false">IFERROR(IF(OR(NOT(ISNUMBER('Price History'!L78)),NOT(ISNUMBER('Price History'!L77)),'Price History'!L77=0),"",'Price History'!L78/'Price History'!L77-1),"")</f>
        <v>0.00105244693913353</v>
      </c>
      <c r="M77" s="143" t="n">
        <f aca="false">IFERROR(IF(OR(NOT(ISNUMBER('Price History'!M78)),NOT(ISNUMBER('Price History'!M77)),'Price History'!M77=0),"",'Price History'!M78/'Price History'!M77-1),"")</f>
        <v>-0.149462907015777</v>
      </c>
      <c r="N77" s="143" t="n">
        <f aca="false">IFERROR(IF(OR(NOT(ISNUMBER('Price History'!N78)),NOT(ISNUMBER('Price History'!N77)),'Price History'!N77=0),"",'Price History'!N78/'Price History'!N77-1),"")</f>
        <v>0.0149425287356322</v>
      </c>
      <c r="O77" s="143" t="n">
        <f aca="false">IFERROR(IF(OR(NOT(ISNUMBER('Price History'!O78)),NOT(ISNUMBER('Price History'!O77)),'Price History'!O77=0),"",'Price History'!O78/'Price History'!O77-1),"")</f>
        <v>-0.0305981896890988</v>
      </c>
      <c r="P77" s="143" t="n">
        <f aca="false">IFERROR(IF(OR(NOT(ISNUMBER('Price History'!P78)),NOT(ISNUMBER('Price History'!P77)),'Price History'!P77=0),"",'Price History'!P78/'Price History'!P77-1),"")</f>
        <v>-0.0277527301873559</v>
      </c>
      <c r="Q77" s="143" t="n">
        <f aca="false">IFERROR(IF(OR(NOT(ISNUMBER('Price History'!Q78)),NOT(ISNUMBER('Price History'!Q77)),'Price History'!Q77=0),"",'Price History'!Q78/'Price History'!Q77-1),"")</f>
        <v>-0.0149223864383523</v>
      </c>
      <c r="R77" s="143" t="n">
        <f aca="false">IFERROR(IF(OR(NOT(ISNUMBER('Price History'!R78)),NOT(ISNUMBER('Price History'!R77)),'Price History'!R77=0),"",'Price History'!R78/'Price History'!R77-1),"")</f>
        <v>0.0230439442658092</v>
      </c>
      <c r="S77" s="143" t="n">
        <f aca="false">IFERROR(IF(OR(NOT(ISNUMBER('Price History'!S78)),NOT(ISNUMBER('Price History'!S77)),'Price History'!S77=0),"",'Price History'!S78/'Price History'!S77-1),"")</f>
        <v>0.0321196903117809</v>
      </c>
      <c r="T77" s="143" t="n">
        <f aca="false">IFERROR(IF(OR(NOT(ISNUMBER('Price History'!T78)),NOT(ISNUMBER('Price History'!T77)),'Price History'!T77=0),"",'Price History'!T78/'Price History'!T77-1),"")</f>
        <v>0.038595473012188</v>
      </c>
      <c r="U77" s="143" t="str">
        <f aca="false">IFERROR(IF(OR(NOT(ISNUMBER('Price History'!U78)),NOT(ISNUMBER('Price History'!U77)),'Price History'!U77=0),"",'Price History'!U78/'Price History'!U77-1),"")</f>
        <v/>
      </c>
      <c r="V77" s="144" t="n">
        <f aca="false">IFERROR(IF(OR(NOT(ISNUMBER('Price History'!V78)),NOT(ISNUMBER('Price History'!V77)),'Price History'!V77=0),"",'Price History'!V78/'Price History'!V77-1),"")</f>
        <v>0.0386869485052022</v>
      </c>
      <c r="W77" s="145" t="str">
        <f aca="false">IFERROR('Price History'!B3+(INDEX('Price History'!B:B,MATCH(9.99E+307,'Price History'!$A:$A))-'Price History'!B3)*(ROW()-3)/(MATCH(9.99E+307,'Returns (Calc)'!$A:$A)-3),"")</f>
        <v/>
      </c>
      <c r="X77" s="145" t="n">
        <f aca="false">IFERROR('Price History'!C3+(INDEX('Price History'!C:C,MATCH(9.99E+307,'Price History'!$A:$A))-'Price History'!C3)*(ROW()-3)/(MATCH(9.99E+307,'Returns (Calc)'!$A:$A)-3),"")</f>
        <v>24.6874213836478</v>
      </c>
      <c r="Y77" s="145" t="n">
        <f aca="false">IFERROR('Price History'!D3+(INDEX('Price History'!D:D,MATCH(9.99E+307,'Price History'!$A:$A))-'Price History'!D3)*(ROW()-3)/(MATCH(9.99E+307,'Returns (Calc)'!$A:$A)-3),"")</f>
        <v>311.137421383648</v>
      </c>
      <c r="Z77" s="145" t="n">
        <f aca="false">IFERROR('Price History'!E3+(INDEX('Price History'!E:E,MATCH(9.99E+307,'Price History'!$A:$A))-'Price History'!E3)*(ROW()-3)/(MATCH(9.99E+307,'Returns (Calc)'!$A:$A)-3),"")</f>
        <v>43.8364779874214</v>
      </c>
      <c r="AA77" s="145" t="n">
        <f aca="false">IFERROR('Price History'!F3+(INDEX('Price History'!F:F,MATCH(9.99E+307,'Price History'!$A:$A))-'Price History'!F3)*(ROW()-3)/(MATCH(9.99E+307,'Returns (Calc)'!$A:$A)-3),"")</f>
        <v>40.2600628930818</v>
      </c>
      <c r="AB77" s="145" t="n">
        <f aca="false">IFERROR('Price History'!G3+(INDEX('Price History'!G:G,MATCH(9.99E+307,'Price History'!$A:$A))-'Price History'!G3)*(ROW()-3)/(MATCH(9.99E+307,'Returns (Calc)'!$A:$A)-3),"")</f>
        <v>22.1106918238994</v>
      </c>
      <c r="AC77" s="145" t="n">
        <f aca="false">IFERROR('Price History'!H3+(INDEX('Price History'!H:H,MATCH(9.99E+307,'Price History'!$A:$A))-'Price History'!H3)*(ROW()-3)/(MATCH(9.99E+307,'Returns (Calc)'!$A:$A)-3),"")</f>
        <v>53.7745283018868</v>
      </c>
      <c r="AD77" s="145" t="n">
        <f aca="false">IFERROR('Price History'!I3+(INDEX('Price History'!I:I,MATCH(9.99E+307,'Price History'!$A:$A))-'Price History'!I3)*(ROW()-3)/(MATCH(9.99E+307,'Returns (Calc)'!$A:$A)-3),"")</f>
        <v>23.7091194968553</v>
      </c>
      <c r="AE77" s="145" t="n">
        <f aca="false">IFERROR('Price History'!J3+(INDEX('Price History'!J:J,MATCH(9.99E+307,'Price History'!$A:$A))-'Price History'!J3)*(ROW()-3)/(MATCH(9.99E+307,'Returns (Calc)'!$A:$A)-3),"")</f>
        <v>36.9455974842767</v>
      </c>
      <c r="AF77" s="145" t="n">
        <f aca="false">IFERROR('Price History'!K3+(INDEX('Price History'!K:K,MATCH(9.99E+307,'Price History'!$A:$A))-'Price History'!K3)*(ROW()-3)/(MATCH(9.99E+307,'Returns (Calc)'!$A:$A)-3),"")</f>
        <v>23.3990566037736</v>
      </c>
      <c r="AG77" s="145" t="n">
        <f aca="false">IFERROR('Price History'!L3+(INDEX('Price History'!L:L,MATCH(9.99E+307,'Price History'!$A:$A))-'Price History'!L3)*(ROW()-3)/(MATCH(9.99E+307,'Returns (Calc)'!$A:$A)-3),"")</f>
        <v>59.788679245283</v>
      </c>
      <c r="AH77" s="145" t="n">
        <f aca="false">IFERROR('Price History'!M3+(INDEX('Price History'!M:M,MATCH(9.99E+307,'Price History'!$A:$A))-'Price History'!M3)*(ROW()-3)/(MATCH(9.99E+307,'Returns (Calc)'!$A:$A)-3),"")</f>
        <v>8.19528301886792</v>
      </c>
      <c r="AI77" s="145" t="n">
        <f aca="false">IFERROR('Price History'!N3+(INDEX('Price History'!N:N,MATCH(9.99E+307,'Price History'!$A:$A))-'Price History'!N3)*(ROW()-3)/(MATCH(9.99E+307,'Returns (Calc)'!$A:$A)-3),"")</f>
        <v>11.6540880503145</v>
      </c>
      <c r="AJ77" s="145" t="n">
        <f aca="false">IFERROR('Price History'!O3+(INDEX('Price History'!O:O,MATCH(9.99E+307,'Price History'!$A:$A))-'Price History'!O3)*(ROW()-3)/(MATCH(9.99E+307,'Returns (Calc)'!$A:$A)-3),"")</f>
        <v>30.8084905660377</v>
      </c>
      <c r="AK77" s="145" t="n">
        <f aca="false">IFERROR('Price History'!Q3+(INDEX('Price History'!Q:Q,MATCH(9.99E+307,'Price History'!$A:$A))-'Price History'!Q3)*(ROW()-3)/(MATCH(9.99E+307,'Returns (Calc)'!$A:$A)-3),"")</f>
        <v>125.96572327044</v>
      </c>
      <c r="AL77" s="145" t="n">
        <f aca="false">IFERROR('Price History'!R3+(INDEX('Price History'!R:R,MATCH(9.99E+307,'Price History'!$A:$A))-'Price History'!R3)*(ROW()-3)/(MATCH(9.99E+307,'Returns (Calc)'!$A:$A)-3),"")</f>
        <v>25.5641509433962</v>
      </c>
      <c r="AM77" s="145" t="n">
        <f aca="false">IFERROR('Price History'!S3+(INDEX('Price History'!S:S,MATCH(9.99E+307,'Price History'!$A:$A))-'Price History'!S3)*(ROW()-3)/(MATCH(9.99E+307,'Returns (Calc)'!$A:$A)-3),"")</f>
        <v>31.2949685534591</v>
      </c>
      <c r="AN77" s="145" t="n">
        <f aca="false">IFERROR('Price History'!T3+(INDEX('Price History'!T:T,MATCH(9.99E+307,'Price History'!$A:$A))-'Price History'!T3)*(ROW()-3)/(MATCH(9.99E+307,'Returns (Calc)'!$A:$A)-3),"")</f>
        <v>14.3858490566038</v>
      </c>
      <c r="AO77" s="146" t="n">
        <f aca="false">IFERROR('Price History'!V3+(INDEX('Price History'!V:V,MATCH(9.99E+307,'Price History'!$A:$A))-'Price History'!V3)*(ROW()-3)/(MATCH(9.99E+307,'Returns (Calc)'!$A:$A)-3),"")</f>
        <v>0</v>
      </c>
    </row>
    <row r="78" customFormat="false" ht="15" hidden="false" customHeight="true" outlineLevel="0" collapsed="false">
      <c r="A78" s="142" t="n">
        <f aca="false">IF('Price History'!A79="","",'Price History'!A79)</f>
        <v>45716</v>
      </c>
      <c r="B78" s="143" t="n">
        <f aca="false">IFERROR(IF(OR(NOT(ISNUMBER('Price History'!B79)),NOT(ISNUMBER('Price History'!B78)),'Price History'!B78=0),"",'Price History'!B79/'Price History'!B78-1),"")</f>
        <v>-0.0129636298163486</v>
      </c>
      <c r="C78" s="143" t="n">
        <f aca="false">IFERROR(IF(OR(NOT(ISNUMBER('Price History'!C79)),NOT(ISNUMBER('Price History'!C78)),'Price History'!C78=0),"",'Price History'!C79/'Price History'!C78-1),"")</f>
        <v>-0.0534079348931842</v>
      </c>
      <c r="D78" s="143" t="n">
        <f aca="false">IFERROR(IF(OR(NOT(ISNUMBER('Price History'!D79)),NOT(ISNUMBER('Price History'!D78)),'Price History'!D78=0),"",'Price History'!D79/'Price History'!D78-1),"")</f>
        <v>-0.038158400615148</v>
      </c>
      <c r="E78" s="143" t="n">
        <f aca="false">IFERROR(IF(OR(NOT(ISNUMBER('Price History'!E79)),NOT(ISNUMBER('Price History'!E78)),'Price History'!E78=0),"",'Price History'!E79/'Price History'!E78-1),"")</f>
        <v>-0.0879309544800705</v>
      </c>
      <c r="F78" s="143" t="n">
        <f aca="false">IFERROR(IF(OR(NOT(ISNUMBER('Price History'!F79)),NOT(ISNUMBER('Price History'!F78)),'Price History'!F78=0),"",'Price History'!F79/'Price History'!F78-1),"")</f>
        <v>-0.0112605225757079</v>
      </c>
      <c r="G78" s="143" t="n">
        <f aca="false">IFERROR(IF(OR(NOT(ISNUMBER('Price History'!G79)),NOT(ISNUMBER('Price History'!G78)),'Price History'!G78=0),"",'Price History'!G79/'Price History'!G78-1),"")</f>
        <v>-0.0418019081341595</v>
      </c>
      <c r="H78" s="143" t="n">
        <f aca="false">IFERROR(IF(OR(NOT(ISNUMBER('Price History'!H79)),NOT(ISNUMBER('Price History'!H78)),'Price History'!H78=0),"",'Price History'!H79/'Price History'!H78-1),"")</f>
        <v>0.0102651839178785</v>
      </c>
      <c r="I78" s="143" t="n">
        <f aca="false">IFERROR(IF(OR(NOT(ISNUMBER('Price History'!I79)),NOT(ISNUMBER('Price History'!I78)),'Price History'!I78=0),"",'Price History'!I79/'Price History'!I78-1),"")</f>
        <v>-0.0581130049657764</v>
      </c>
      <c r="J78" s="143" t="n">
        <f aca="false">IFERROR(IF(OR(NOT(ISNUMBER('Price History'!J79)),NOT(ISNUMBER('Price History'!J78)),'Price History'!J78=0),"",'Price History'!J79/'Price History'!J78-1),"")</f>
        <v>-0.0527117611212675</v>
      </c>
      <c r="K78" s="143" t="n">
        <f aca="false">IFERROR(IF(OR(NOT(ISNUMBER('Price History'!K79)),NOT(ISNUMBER('Price History'!K78)),'Price History'!K78=0),"",'Price History'!K79/'Price History'!K78-1),"")</f>
        <v>-0.0707786396181385</v>
      </c>
      <c r="L78" s="143" t="n">
        <f aca="false">IFERROR(IF(OR(NOT(ISNUMBER('Price History'!L79)),NOT(ISNUMBER('Price History'!L78)),'Price History'!L78=0),"",'Price History'!L79/'Price History'!L78-1),"")</f>
        <v>0.0243560539688104</v>
      </c>
      <c r="M78" s="143" t="n">
        <f aca="false">IFERROR(IF(OR(NOT(ISNUMBER('Price History'!M79)),NOT(ISNUMBER('Price History'!M78)),'Price History'!M78=0),"",'Price History'!M79/'Price History'!M78-1),"")</f>
        <v>-0.162111494819931</v>
      </c>
      <c r="N78" s="143" t="n">
        <f aca="false">IFERROR(IF(OR(NOT(ISNUMBER('Price History'!N79)),NOT(ISNUMBER('Price History'!N78)),'Price History'!N78=0),"",'Price History'!N79/'Price History'!N78-1),"")</f>
        <v>0.0117025292563233</v>
      </c>
      <c r="O78" s="143" t="n">
        <f aca="false">IFERROR(IF(OR(NOT(ISNUMBER('Price History'!O79)),NOT(ISNUMBER('Price History'!O78)),'Price History'!O78=0),"",'Price History'!O79/'Price History'!O78-1),"")</f>
        <v>-0.00111641124530604</v>
      </c>
      <c r="P78" s="143" t="n">
        <f aca="false">IFERROR(IF(OR(NOT(ISNUMBER('Price History'!P79)),NOT(ISNUMBER('Price History'!P78)),'Price History'!P78=0),"",'Price History'!P79/'Price History'!P78-1),"")</f>
        <v>-0.0893446001648804</v>
      </c>
      <c r="Q78" s="143" t="n">
        <f aca="false">IFERROR(IF(OR(NOT(ISNUMBER('Price History'!Q79)),NOT(ISNUMBER('Price History'!Q78)),'Price History'!Q78=0),"",'Price History'!Q79/'Price History'!Q78-1),"")</f>
        <v>0.0406570126817378</v>
      </c>
      <c r="R78" s="143" t="n">
        <f aca="false">IFERROR(IF(OR(NOT(ISNUMBER('Price History'!R79)),NOT(ISNUMBER('Price History'!R78)),'Price History'!R78=0),"",'Price History'!R79/'Price History'!R78-1),"")</f>
        <v>0.0139689191548804</v>
      </c>
      <c r="S78" s="143" t="n">
        <f aca="false">IFERROR(IF(OR(NOT(ISNUMBER('Price History'!S79)),NOT(ISNUMBER('Price History'!S78)),'Price History'!S78=0),"",'Price History'!S79/'Price History'!S78-1),"")</f>
        <v>0.0271667511403952</v>
      </c>
      <c r="T78" s="143" t="n">
        <f aca="false">IFERROR(IF(OR(NOT(ISNUMBER('Price History'!T79)),NOT(ISNUMBER('Price History'!T78)),'Price History'!T78=0),"",'Price History'!T79/'Price History'!T78-1),"")</f>
        <v>0.00251466890192797</v>
      </c>
      <c r="U78" s="143" t="str">
        <f aca="false">IFERROR(IF(OR(NOT(ISNUMBER('Price History'!U79)),NOT(ISNUMBER('Price History'!U78)),'Price History'!U78=0),"",'Price History'!U79/'Price History'!U78-1),"")</f>
        <v/>
      </c>
      <c r="V78" s="144" t="n">
        <f aca="false">IFERROR(IF(OR(NOT(ISNUMBER('Price History'!V79)),NOT(ISNUMBER('Price History'!V78)),'Price History'!V78=0),"",'Price History'!V79/'Price History'!V78-1),"")</f>
        <v>0.0330934795701652</v>
      </c>
      <c r="W78" s="145" t="str">
        <f aca="false">IFERROR('Price History'!B3+(INDEX('Price History'!B:B,MATCH(9.99E+307,'Price History'!$A:$A))-'Price History'!B3)*(ROW()-3)/(MATCH(9.99E+307,'Returns (Calc)'!$A:$A)-3),"")</f>
        <v/>
      </c>
      <c r="X78" s="145" t="n">
        <f aca="false">IFERROR('Price History'!C3+(INDEX('Price History'!C:C,MATCH(9.99E+307,'Price History'!$A:$A))-'Price History'!C3)*(ROW()-3)/(MATCH(9.99E+307,'Returns (Calc)'!$A:$A)-3),"")</f>
        <v>24.3969811320755</v>
      </c>
      <c r="Y78" s="145" t="n">
        <f aca="false">IFERROR('Price History'!D3+(INDEX('Price History'!D:D,MATCH(9.99E+307,'Price History'!$A:$A))-'Price History'!D3)*(ROW()-3)/(MATCH(9.99E+307,'Returns (Calc)'!$A:$A)-3),"")</f>
        <v>307.476981132076</v>
      </c>
      <c r="Z78" s="145" t="n">
        <f aca="false">IFERROR('Price History'!E3+(INDEX('Price History'!E:E,MATCH(9.99E+307,'Price History'!$A:$A))-'Price History'!E3)*(ROW()-3)/(MATCH(9.99E+307,'Returns (Calc)'!$A:$A)-3),"")</f>
        <v>43.3207547169811</v>
      </c>
      <c r="AA78" s="145" t="n">
        <f aca="false">IFERROR('Price History'!F3+(INDEX('Price History'!F:F,MATCH(9.99E+307,'Price History'!$A:$A))-'Price History'!F3)*(ROW()-3)/(MATCH(9.99E+307,'Returns (Calc)'!$A:$A)-3),"")</f>
        <v>39.7864150943396</v>
      </c>
      <c r="AB78" s="145" t="n">
        <f aca="false">IFERROR('Price History'!G3+(INDEX('Price History'!G:G,MATCH(9.99E+307,'Price History'!$A:$A))-'Price History'!G3)*(ROW()-3)/(MATCH(9.99E+307,'Returns (Calc)'!$A:$A)-3),"")</f>
        <v>21.8505660377359</v>
      </c>
      <c r="AC78" s="145" t="n">
        <f aca="false">IFERROR('Price History'!H3+(INDEX('Price History'!H:H,MATCH(9.99E+307,'Price History'!$A:$A))-'Price History'!H3)*(ROW()-3)/(MATCH(9.99E+307,'Returns (Calc)'!$A:$A)-3),"")</f>
        <v>53.1418867924528</v>
      </c>
      <c r="AD78" s="145" t="n">
        <f aca="false">IFERROR('Price History'!I3+(INDEX('Price History'!I:I,MATCH(9.99E+307,'Price History'!$A:$A))-'Price History'!I3)*(ROW()-3)/(MATCH(9.99E+307,'Returns (Calc)'!$A:$A)-3),"")</f>
        <v>23.4301886792453</v>
      </c>
      <c r="AE78" s="145" t="n">
        <f aca="false">IFERROR('Price History'!J3+(INDEX('Price History'!J:J,MATCH(9.99E+307,'Price History'!$A:$A))-'Price History'!J3)*(ROW()-3)/(MATCH(9.99E+307,'Returns (Calc)'!$A:$A)-3),"")</f>
        <v>36.5109433962264</v>
      </c>
      <c r="AF78" s="145" t="n">
        <f aca="false">IFERROR('Price History'!K3+(INDEX('Price History'!K:K,MATCH(9.99E+307,'Price History'!$A:$A))-'Price History'!K3)*(ROW()-3)/(MATCH(9.99E+307,'Returns (Calc)'!$A:$A)-3),"")</f>
        <v>23.1237735849057</v>
      </c>
      <c r="AG78" s="145" t="n">
        <f aca="false">IFERROR('Price History'!L3+(INDEX('Price History'!L:L,MATCH(9.99E+307,'Price History'!$A:$A))-'Price History'!L3)*(ROW()-3)/(MATCH(9.99E+307,'Returns (Calc)'!$A:$A)-3),"")</f>
        <v>59.0852830188679</v>
      </c>
      <c r="AH78" s="145" t="n">
        <f aca="false">IFERROR('Price History'!M3+(INDEX('Price History'!M:M,MATCH(9.99E+307,'Price History'!$A:$A))-'Price History'!M3)*(ROW()-3)/(MATCH(9.99E+307,'Returns (Calc)'!$A:$A)-3),"")</f>
        <v>8.0988679245283</v>
      </c>
      <c r="AI78" s="145" t="n">
        <f aca="false">IFERROR('Price History'!N3+(INDEX('Price History'!N:N,MATCH(9.99E+307,'Price History'!$A:$A))-'Price History'!N3)*(ROW()-3)/(MATCH(9.99E+307,'Returns (Calc)'!$A:$A)-3),"")</f>
        <v>11.5169811320755</v>
      </c>
      <c r="AJ78" s="145" t="n">
        <f aca="false">IFERROR('Price History'!O3+(INDEX('Price History'!O:O,MATCH(9.99E+307,'Price History'!$A:$A))-'Price History'!O3)*(ROW()-3)/(MATCH(9.99E+307,'Returns (Calc)'!$A:$A)-3),"")</f>
        <v>30.4460377358491</v>
      </c>
      <c r="AK78" s="145" t="n">
        <f aca="false">IFERROR('Price History'!Q3+(INDEX('Price History'!Q:Q,MATCH(9.99E+307,'Price History'!$A:$A))-'Price History'!Q3)*(ROW()-3)/(MATCH(9.99E+307,'Returns (Calc)'!$A:$A)-3),"")</f>
        <v>124.483773584906</v>
      </c>
      <c r="AL78" s="145" t="n">
        <f aca="false">IFERROR('Price History'!R3+(INDEX('Price History'!R:R,MATCH(9.99E+307,'Price History'!$A:$A))-'Price History'!R3)*(ROW()-3)/(MATCH(9.99E+307,'Returns (Calc)'!$A:$A)-3),"")</f>
        <v>25.2633962264151</v>
      </c>
      <c r="AM78" s="145" t="n">
        <f aca="false">IFERROR('Price History'!S3+(INDEX('Price History'!S:S,MATCH(9.99E+307,'Price History'!$A:$A))-'Price History'!S3)*(ROW()-3)/(MATCH(9.99E+307,'Returns (Calc)'!$A:$A)-3),"")</f>
        <v>30.9267924528302</v>
      </c>
      <c r="AN78" s="145" t="n">
        <f aca="false">IFERROR('Price History'!T3+(INDEX('Price History'!T:T,MATCH(9.99E+307,'Price History'!$A:$A))-'Price History'!T3)*(ROW()-3)/(MATCH(9.99E+307,'Returns (Calc)'!$A:$A)-3),"")</f>
        <v>14.2166037735849</v>
      </c>
      <c r="AO78" s="146" t="n">
        <f aca="false">IFERROR('Price History'!V3+(INDEX('Price History'!V:V,MATCH(9.99E+307,'Price History'!$A:$A))-'Price History'!V3)*(ROW()-3)/(MATCH(9.99E+307,'Returns (Calc)'!$A:$A)-3),"")</f>
        <v>0</v>
      </c>
    </row>
    <row r="79" customFormat="false" ht="15" hidden="false" customHeight="true" outlineLevel="0" collapsed="false">
      <c r="A79" s="142" t="n">
        <f aca="false">IF('Price History'!A80="","",'Price History'!A80)</f>
        <v>45723</v>
      </c>
      <c r="B79" s="143" t="n">
        <f aca="false">IFERROR(IF(OR(NOT(ISNUMBER('Price History'!B80)),NOT(ISNUMBER('Price History'!B79)),'Price History'!B79=0),"",'Price History'!B80/'Price History'!B79-1),"")</f>
        <v>0.0247172564757387</v>
      </c>
      <c r="C79" s="143" t="n">
        <f aca="false">IFERROR(IF(OR(NOT(ISNUMBER('Price History'!C80)),NOT(ISNUMBER('Price History'!C79)),'Price History'!C79=0),"",'Price History'!C80/'Price History'!C79-1),"")</f>
        <v>-0.10413756045137</v>
      </c>
      <c r="D79" s="143" t="n">
        <f aca="false">IFERROR(IF(OR(NOT(ISNUMBER('Price History'!D80)),NOT(ISNUMBER('Price History'!D79)),'Price History'!D79=0),"",'Price History'!D80/'Price History'!D79-1),"")</f>
        <v>0.0326342988479493</v>
      </c>
      <c r="E79" s="143" t="n">
        <f aca="false">IFERROR(IF(OR(NOT(ISNUMBER('Price History'!E80)),NOT(ISNUMBER('Price History'!E79)),'Price History'!E79=0),"",'Price History'!E80/'Price History'!E79-1),"")</f>
        <v>-0.0223850223850224</v>
      </c>
      <c r="F79" s="143" t="n">
        <f aca="false">IFERROR(IF(OR(NOT(ISNUMBER('Price History'!F80)),NOT(ISNUMBER('Price History'!F79)),'Price History'!F79=0),"",'Price History'!F80/'Price History'!F79-1),"")</f>
        <v>-0.0448916408668731</v>
      </c>
      <c r="G79" s="143" t="n">
        <f aca="false">IFERROR(IF(OR(NOT(ISNUMBER('Price History'!G80)),NOT(ISNUMBER('Price History'!G79)),'Price History'!G79=0),"",'Price History'!G80/'Price History'!G79-1),"")</f>
        <v>-0.144118250872511</v>
      </c>
      <c r="H79" s="143" t="n">
        <f aca="false">IFERROR(IF(OR(NOT(ISNUMBER('Price History'!H80)),NOT(ISNUMBER('Price History'!H79)),'Price History'!H79=0),"",'Price History'!H80/'Price History'!H79-1),"")</f>
        <v>-0.0274805634670156</v>
      </c>
      <c r="I79" s="143" t="n">
        <f aca="false">IFERROR(IF(OR(NOT(ISNUMBER('Price History'!I80)),NOT(ISNUMBER('Price History'!I79)),'Price History'!I79=0),"",'Price History'!I80/'Price History'!I79-1),"")</f>
        <v>0.00341977771444846</v>
      </c>
      <c r="J79" s="143" t="n">
        <f aca="false">IFERROR(IF(OR(NOT(ISNUMBER('Price History'!J80)),NOT(ISNUMBER('Price History'!J79)),'Price History'!J79=0),"",'Price History'!J80/'Price History'!J79-1),"")</f>
        <v>-0.00718344590972453</v>
      </c>
      <c r="K79" s="143" t="n">
        <f aca="false">IFERROR(IF(OR(NOT(ISNUMBER('Price History'!K80)),NOT(ISNUMBER('Price History'!K79)),'Price History'!K79=0),"",'Price History'!K80/'Price History'!K79-1),"")</f>
        <v>-0.0978409182117345</v>
      </c>
      <c r="L79" s="143" t="n">
        <f aca="false">IFERROR(IF(OR(NOT(ISNUMBER('Price History'!L80)),NOT(ISNUMBER('Price History'!L79)),'Price History'!L79=0),"",'Price History'!L80/'Price History'!L79-1),"")</f>
        <v>-0.032329798152583</v>
      </c>
      <c r="M79" s="143" t="n">
        <f aca="false">IFERROR(IF(OR(NOT(ISNUMBER('Price History'!M80)),NOT(ISNUMBER('Price History'!M79)),'Price History'!M79=0),"",'Price History'!M80/'Price History'!M79-1),"")</f>
        <v>-0.000117757889778636</v>
      </c>
      <c r="N79" s="143" t="n">
        <f aca="false">IFERROR(IF(OR(NOT(ISNUMBER('Price History'!N80)),NOT(ISNUMBER('Price History'!N79)),'Price History'!N79=0),"",'Price History'!N80/'Price History'!N79-1),"")</f>
        <v>-0.00261194029850742</v>
      </c>
      <c r="O79" s="143" t="n">
        <f aca="false">IFERROR(IF(OR(NOT(ISNUMBER('Price History'!O80)),NOT(ISNUMBER('Price History'!O79)),'Price History'!O79=0),"",'Price History'!O80/'Price History'!O79-1),"")</f>
        <v>-0.0526315789473685</v>
      </c>
      <c r="P79" s="143" t="n">
        <f aca="false">IFERROR(IF(OR(NOT(ISNUMBER('Price History'!P80)),NOT(ISNUMBER('Price History'!P79)),'Price History'!P79=0),"",'Price History'!P80/'Price History'!P79-1),"")</f>
        <v>-0.0190109765757611</v>
      </c>
      <c r="Q79" s="143" t="n">
        <f aca="false">IFERROR(IF(OR(NOT(ISNUMBER('Price History'!Q80)),NOT(ISNUMBER('Price History'!Q79)),'Price History'!Q79=0),"",'Price History'!Q80/'Price History'!Q79-1),"")</f>
        <v>-0.047936419408812</v>
      </c>
      <c r="R79" s="143" t="n">
        <f aca="false">IFERROR(IF(OR(NOT(ISNUMBER('Price History'!R80)),NOT(ISNUMBER('Price History'!R79)),'Price History'!R79=0),"",'Price History'!R80/'Price History'!R79-1),"")</f>
        <v>-0.0103323574995695</v>
      </c>
      <c r="S79" s="143" t="n">
        <f aca="false">IFERROR(IF(OR(NOT(ISNUMBER('Price History'!S80)),NOT(ISNUMBER('Price History'!S79)),'Price History'!S79=0),"",'Price History'!S80/'Price History'!S79-1),"")</f>
        <v>-0.0127306819303266</v>
      </c>
      <c r="T79" s="143" t="n">
        <f aca="false">IFERROR(IF(OR(NOT(ISNUMBER('Price History'!T80)),NOT(ISNUMBER('Price History'!T79)),'Price History'!T79=0),"",'Price History'!T80/'Price History'!T79-1),"")</f>
        <v>-0.0103121516164996</v>
      </c>
      <c r="U79" s="143" t="str">
        <f aca="false">IFERROR(IF(OR(NOT(ISNUMBER('Price History'!U80)),NOT(ISNUMBER('Price History'!U79)),'Price History'!U79=0),"",'Price History'!U80/'Price History'!U79-1),"")</f>
        <v/>
      </c>
      <c r="V79" s="144" t="n">
        <f aca="false">IFERROR(IF(OR(NOT(ISNUMBER('Price History'!V80)),NOT(ISNUMBER('Price History'!V79)),'Price History'!V79=0),"",'Price History'!V80/'Price History'!V79-1),"")</f>
        <v>0.0351323985149274</v>
      </c>
      <c r="W79" s="145" t="str">
        <f aca="false">IFERROR('Price History'!B3+(INDEX('Price History'!B:B,MATCH(9.99E+307,'Price History'!$A:$A))-'Price History'!B3)*(ROW()-3)/(MATCH(9.99E+307,'Returns (Calc)'!$A:$A)-3),"")</f>
        <v/>
      </c>
      <c r="X79" s="145" t="n">
        <f aca="false">IFERROR('Price History'!C3+(INDEX('Price History'!C:C,MATCH(9.99E+307,'Price History'!$A:$A))-'Price History'!C3)*(ROW()-3)/(MATCH(9.99E+307,'Returns (Calc)'!$A:$A)-3),"")</f>
        <v>24.1065408805031</v>
      </c>
      <c r="Y79" s="145" t="n">
        <f aca="false">IFERROR('Price History'!D3+(INDEX('Price History'!D:D,MATCH(9.99E+307,'Price History'!$A:$A))-'Price History'!D3)*(ROW()-3)/(MATCH(9.99E+307,'Returns (Calc)'!$A:$A)-3),"")</f>
        <v>303.816540880503</v>
      </c>
      <c r="Z79" s="145" t="n">
        <f aca="false">IFERROR('Price History'!E3+(INDEX('Price History'!E:E,MATCH(9.99E+307,'Price History'!$A:$A))-'Price History'!E3)*(ROW()-3)/(MATCH(9.99E+307,'Returns (Calc)'!$A:$A)-3),"")</f>
        <v>42.8050314465409</v>
      </c>
      <c r="AA79" s="145" t="n">
        <f aca="false">IFERROR('Price History'!F3+(INDEX('Price History'!F:F,MATCH(9.99E+307,'Price History'!$A:$A))-'Price History'!F3)*(ROW()-3)/(MATCH(9.99E+307,'Returns (Calc)'!$A:$A)-3),"")</f>
        <v>39.3127672955975</v>
      </c>
      <c r="AB79" s="145" t="n">
        <f aca="false">IFERROR('Price History'!G3+(INDEX('Price History'!G:G,MATCH(9.99E+307,'Price History'!$A:$A))-'Price History'!G3)*(ROW()-3)/(MATCH(9.99E+307,'Returns (Calc)'!$A:$A)-3),"")</f>
        <v>21.5904402515723</v>
      </c>
      <c r="AC79" s="145" t="n">
        <f aca="false">IFERROR('Price History'!H3+(INDEX('Price History'!H:H,MATCH(9.99E+307,'Price History'!$A:$A))-'Price History'!H3)*(ROW()-3)/(MATCH(9.99E+307,'Returns (Calc)'!$A:$A)-3),"")</f>
        <v>52.5092452830189</v>
      </c>
      <c r="AD79" s="145" t="n">
        <f aca="false">IFERROR('Price History'!I3+(INDEX('Price History'!I:I,MATCH(9.99E+307,'Price History'!$A:$A))-'Price History'!I3)*(ROW()-3)/(MATCH(9.99E+307,'Returns (Calc)'!$A:$A)-3),"")</f>
        <v>23.1512578616352</v>
      </c>
      <c r="AE79" s="145" t="n">
        <f aca="false">IFERROR('Price History'!J3+(INDEX('Price History'!J:J,MATCH(9.99E+307,'Price History'!$A:$A))-'Price History'!J3)*(ROW()-3)/(MATCH(9.99E+307,'Returns (Calc)'!$A:$A)-3),"")</f>
        <v>36.0762893081761</v>
      </c>
      <c r="AF79" s="145" t="n">
        <f aca="false">IFERROR('Price History'!K3+(INDEX('Price History'!K:K,MATCH(9.99E+307,'Price History'!$A:$A))-'Price History'!K3)*(ROW()-3)/(MATCH(9.99E+307,'Returns (Calc)'!$A:$A)-3),"")</f>
        <v>22.8484905660377</v>
      </c>
      <c r="AG79" s="145" t="n">
        <f aca="false">IFERROR('Price History'!L3+(INDEX('Price History'!L:L,MATCH(9.99E+307,'Price History'!$A:$A))-'Price History'!L3)*(ROW()-3)/(MATCH(9.99E+307,'Returns (Calc)'!$A:$A)-3),"")</f>
        <v>58.3818867924528</v>
      </c>
      <c r="AH79" s="145" t="n">
        <f aca="false">IFERROR('Price History'!M3+(INDEX('Price History'!M:M,MATCH(9.99E+307,'Price History'!$A:$A))-'Price History'!M3)*(ROW()-3)/(MATCH(9.99E+307,'Returns (Calc)'!$A:$A)-3),"")</f>
        <v>8.00245283018868</v>
      </c>
      <c r="AI79" s="145" t="n">
        <f aca="false">IFERROR('Price History'!N3+(INDEX('Price History'!N:N,MATCH(9.99E+307,'Price History'!$A:$A))-'Price History'!N3)*(ROW()-3)/(MATCH(9.99E+307,'Returns (Calc)'!$A:$A)-3),"")</f>
        <v>11.3798742138365</v>
      </c>
      <c r="AJ79" s="145" t="n">
        <f aca="false">IFERROR('Price History'!O3+(INDEX('Price History'!O:O,MATCH(9.99E+307,'Price History'!$A:$A))-'Price History'!O3)*(ROW()-3)/(MATCH(9.99E+307,'Returns (Calc)'!$A:$A)-3),"")</f>
        <v>30.0835849056604</v>
      </c>
      <c r="AK79" s="145" t="n">
        <f aca="false">IFERROR('Price History'!Q3+(INDEX('Price History'!Q:Q,MATCH(9.99E+307,'Price History'!$A:$A))-'Price History'!Q3)*(ROW()-3)/(MATCH(9.99E+307,'Returns (Calc)'!$A:$A)-3),"")</f>
        <v>123.001823899371</v>
      </c>
      <c r="AL79" s="145" t="n">
        <f aca="false">IFERROR('Price History'!R3+(INDEX('Price History'!R:R,MATCH(9.99E+307,'Price History'!$A:$A))-'Price History'!R3)*(ROW()-3)/(MATCH(9.99E+307,'Returns (Calc)'!$A:$A)-3),"")</f>
        <v>24.962641509434</v>
      </c>
      <c r="AM79" s="145" t="n">
        <f aca="false">IFERROR('Price History'!S3+(INDEX('Price History'!S:S,MATCH(9.99E+307,'Price History'!$A:$A))-'Price History'!S3)*(ROW()-3)/(MATCH(9.99E+307,'Returns (Calc)'!$A:$A)-3),"")</f>
        <v>30.5586163522013</v>
      </c>
      <c r="AN79" s="145" t="n">
        <f aca="false">IFERROR('Price History'!T3+(INDEX('Price History'!T:T,MATCH(9.99E+307,'Price History'!$A:$A))-'Price History'!T3)*(ROW()-3)/(MATCH(9.99E+307,'Returns (Calc)'!$A:$A)-3),"")</f>
        <v>14.047358490566</v>
      </c>
      <c r="AO79" s="146" t="n">
        <f aca="false">IFERROR('Price History'!V3+(INDEX('Price History'!V:V,MATCH(9.99E+307,'Price History'!$A:$A))-'Price History'!V3)*(ROW()-3)/(MATCH(9.99E+307,'Returns (Calc)'!$A:$A)-3),"")</f>
        <v>0</v>
      </c>
    </row>
    <row r="80" customFormat="false" ht="15" hidden="false" customHeight="true" outlineLevel="0" collapsed="false">
      <c r="A80" s="142" t="n">
        <f aca="false">IF('Price History'!A81="","",'Price History'!A81)</f>
        <v>45730</v>
      </c>
      <c r="B80" s="143" t="n">
        <f aca="false">IFERROR(IF(OR(NOT(ISNUMBER('Price History'!B81)),NOT(ISNUMBER('Price History'!B80)),'Price History'!B80=0),"",'Price History'!B81/'Price History'!B80-1),"")</f>
        <v>-0.121628838451268</v>
      </c>
      <c r="C80" s="143" t="n">
        <f aca="false">IFERROR(IF(OR(NOT(ISNUMBER('Price History'!C81)),NOT(ISNUMBER('Price History'!C80)),'Price History'!C80=0),"",'Price History'!C81/'Price History'!C80-1),"")</f>
        <v>0.00179942418426116</v>
      </c>
      <c r="D80" s="143" t="n">
        <f aca="false">IFERROR(IF(OR(NOT(ISNUMBER('Price History'!D81)),NOT(ISNUMBER('Price History'!D80)),'Price History'!D80=0),"",'Price History'!D81/'Price History'!D80-1),"")</f>
        <v>-0.0248842192576207</v>
      </c>
      <c r="E80" s="143" t="n">
        <f aca="false">IFERROR(IF(OR(NOT(ISNUMBER('Price History'!E81)),NOT(ISNUMBER('Price History'!E80)),'Price History'!E80=0),"",'Price History'!E81/'Price History'!E80-1),"")</f>
        <v>0.00296627810158201</v>
      </c>
      <c r="F80" s="143" t="n">
        <f aca="false">IFERROR(IF(OR(NOT(ISNUMBER('Price History'!F81)),NOT(ISNUMBER('Price History'!F80)),'Price History'!F80=0),"",'Price History'!F81/'Price History'!F80-1),"")</f>
        <v>-0.0187543412827043</v>
      </c>
      <c r="G80" s="143" t="n">
        <f aca="false">IFERROR(IF(OR(NOT(ISNUMBER('Price History'!G81)),NOT(ISNUMBER('Price History'!G80)),'Price History'!G80=0),"",'Price History'!G81/'Price History'!G80-1),"")</f>
        <v>0.0605660829935237</v>
      </c>
      <c r="H80" s="143" t="n">
        <f aca="false">IFERROR(IF(OR(NOT(ISNUMBER('Price History'!H81)),NOT(ISNUMBER('Price History'!H80)),'Price History'!H80=0),"",'Price History'!H81/'Price History'!H80-1),"")</f>
        <v>-0.00839005857210706</v>
      </c>
      <c r="I80" s="143" t="n">
        <f aca="false">IFERROR(IF(OR(NOT(ISNUMBER('Price History'!I81)),NOT(ISNUMBER('Price History'!I80)),'Price History'!I80=0),"",'Price History'!I81/'Price History'!I80-1),"")</f>
        <v>0.00241408690712874</v>
      </c>
      <c r="J80" s="143" t="n">
        <f aca="false">IFERROR(IF(OR(NOT(ISNUMBER('Price History'!J81)),NOT(ISNUMBER('Price History'!J80)),'Price History'!J80=0),"",'Price History'!J81/'Price History'!J80-1),"")</f>
        <v>0.084233261339093</v>
      </c>
      <c r="K80" s="143" t="n">
        <f aca="false">IFERROR(IF(OR(NOT(ISNUMBER('Price History'!K81)),NOT(ISNUMBER('Price History'!K80)),'Price History'!K80=0),"",'Price History'!K81/'Price History'!K80-1),"")</f>
        <v>0.079715302491103</v>
      </c>
      <c r="L80" s="143" t="n">
        <f aca="false">IFERROR(IF(OR(NOT(ISNUMBER('Price History'!L81)),NOT(ISNUMBER('Price History'!L80)),'Price History'!L80=0),"",'Price History'!L81/'Price History'!L80-1),"")</f>
        <v>-0.0669082552589713</v>
      </c>
      <c r="M80" s="143" t="n">
        <f aca="false">IFERROR(IF(OR(NOT(ISNUMBER('Price History'!M81)),NOT(ISNUMBER('Price History'!M80)),'Price History'!M80=0),"",'Price History'!M81/'Price History'!M80-1),"")</f>
        <v>0.0156636438582027</v>
      </c>
      <c r="N80" s="143" t="n">
        <f aca="false">IFERROR(IF(OR(NOT(ISNUMBER('Price History'!N81)),NOT(ISNUMBER('Price History'!N80)),'Price History'!N80=0),"",'Price History'!N81/'Price History'!N80-1),"")</f>
        <v>-0.0288065843621399</v>
      </c>
      <c r="O80" s="143" t="n">
        <f aca="false">IFERROR(IF(OR(NOT(ISNUMBER('Price History'!O81)),NOT(ISNUMBER('Price History'!O80)),'Price History'!O80=0),"",'Price History'!O81/'Price History'!O80-1),"")</f>
        <v>-0.0071857571857572</v>
      </c>
      <c r="P80" s="143" t="n">
        <f aca="false">IFERROR(IF(OR(NOT(ISNUMBER('Price History'!P81)),NOT(ISNUMBER('Price History'!P80)),'Price History'!P80=0),"",'Price History'!P81/'Price History'!P80-1),"")</f>
        <v>-0.0169569731226208</v>
      </c>
      <c r="Q80" s="143" t="n">
        <f aca="false">IFERROR(IF(OR(NOT(ISNUMBER('Price History'!Q81)),NOT(ISNUMBER('Price History'!Q80)),'Price History'!Q80=0),"",'Price History'!Q81/'Price History'!Q80-1),"")</f>
        <v>-0.039161125918983</v>
      </c>
      <c r="R80" s="143" t="n">
        <f aca="false">IFERROR(IF(OR(NOT(ISNUMBER('Price History'!R81)),NOT(ISNUMBER('Price History'!R80)),'Price History'!R80=0),"",'Price History'!R81/'Price History'!R80-1),"")</f>
        <v>-0.00522011484252649</v>
      </c>
      <c r="S80" s="143" t="n">
        <f aca="false">IFERROR(IF(OR(NOT(ISNUMBER('Price History'!S81)),NOT(ISNUMBER('Price History'!S80)),'Price History'!S80=0),"",'Price History'!S81/'Price History'!S80-1),"")</f>
        <v>0.0198920431827268</v>
      </c>
      <c r="T80" s="143" t="n">
        <f aca="false">IFERROR(IF(OR(NOT(ISNUMBER('Price History'!T81)),NOT(ISNUMBER('Price History'!T80)),'Price History'!T80=0),"",'Price History'!T81/'Price History'!T80-1),"")</f>
        <v>-0.00872993522951271</v>
      </c>
      <c r="U80" s="143" t="str">
        <f aca="false">IFERROR(IF(OR(NOT(ISNUMBER('Price History'!U81)),NOT(ISNUMBER('Price History'!U80)),'Price History'!U80=0),"",'Price History'!U81/'Price History'!U80-1),"")</f>
        <v/>
      </c>
      <c r="V80" s="144" t="n">
        <f aca="false">IFERROR(IF(OR(NOT(ISNUMBER('Price History'!V81)),NOT(ISNUMBER('Price History'!V80)),'Price History'!V80=0),"",'Price History'!V81/'Price History'!V80-1),"")</f>
        <v>0.0182001422812426</v>
      </c>
      <c r="W80" s="145" t="str">
        <f aca="false">IFERROR('Price History'!B3+(INDEX('Price History'!B:B,MATCH(9.99E+307,'Price History'!$A:$A))-'Price History'!B3)*(ROW()-3)/(MATCH(9.99E+307,'Returns (Calc)'!$A:$A)-3),"")</f>
        <v/>
      </c>
      <c r="X80" s="145" t="n">
        <f aca="false">IFERROR('Price History'!C3+(INDEX('Price History'!C:C,MATCH(9.99E+307,'Price History'!$A:$A))-'Price History'!C3)*(ROW()-3)/(MATCH(9.99E+307,'Returns (Calc)'!$A:$A)-3),"")</f>
        <v>23.8161006289308</v>
      </c>
      <c r="Y80" s="145" t="n">
        <f aca="false">IFERROR('Price History'!D3+(INDEX('Price History'!D:D,MATCH(9.99E+307,'Price History'!$A:$A))-'Price History'!D3)*(ROW()-3)/(MATCH(9.99E+307,'Returns (Calc)'!$A:$A)-3),"")</f>
        <v>300.156100628931</v>
      </c>
      <c r="Z80" s="145" t="n">
        <f aca="false">IFERROR('Price History'!E3+(INDEX('Price History'!E:E,MATCH(9.99E+307,'Price History'!$A:$A))-'Price History'!E3)*(ROW()-3)/(MATCH(9.99E+307,'Returns (Calc)'!$A:$A)-3),"")</f>
        <v>42.2893081761006</v>
      </c>
      <c r="AA80" s="145" t="n">
        <f aca="false">IFERROR('Price History'!F3+(INDEX('Price History'!F:F,MATCH(9.99E+307,'Price History'!$A:$A))-'Price History'!F3)*(ROW()-3)/(MATCH(9.99E+307,'Returns (Calc)'!$A:$A)-3),"")</f>
        <v>38.8391194968553</v>
      </c>
      <c r="AB80" s="145" t="n">
        <f aca="false">IFERROR('Price History'!G3+(INDEX('Price History'!G:G,MATCH(9.99E+307,'Price History'!$A:$A))-'Price History'!G3)*(ROW()-3)/(MATCH(9.99E+307,'Returns (Calc)'!$A:$A)-3),"")</f>
        <v>21.3303144654088</v>
      </c>
      <c r="AC80" s="145" t="n">
        <f aca="false">IFERROR('Price History'!H3+(INDEX('Price History'!H:H,MATCH(9.99E+307,'Price History'!$A:$A))-'Price History'!H3)*(ROW()-3)/(MATCH(9.99E+307,'Returns (Calc)'!$A:$A)-3),"")</f>
        <v>51.8766037735849</v>
      </c>
      <c r="AD80" s="145" t="n">
        <f aca="false">IFERROR('Price History'!I3+(INDEX('Price History'!I:I,MATCH(9.99E+307,'Price History'!$A:$A))-'Price History'!I3)*(ROW()-3)/(MATCH(9.99E+307,'Returns (Calc)'!$A:$A)-3),"")</f>
        <v>22.8723270440252</v>
      </c>
      <c r="AE80" s="145" t="n">
        <f aca="false">IFERROR('Price History'!J3+(INDEX('Price History'!J:J,MATCH(9.99E+307,'Price History'!$A:$A))-'Price History'!J3)*(ROW()-3)/(MATCH(9.99E+307,'Returns (Calc)'!$A:$A)-3),"")</f>
        <v>35.6416352201258</v>
      </c>
      <c r="AF80" s="145" t="n">
        <f aca="false">IFERROR('Price History'!K3+(INDEX('Price History'!K:K,MATCH(9.99E+307,'Price History'!$A:$A))-'Price History'!K3)*(ROW()-3)/(MATCH(9.99E+307,'Returns (Calc)'!$A:$A)-3),"")</f>
        <v>22.5732075471698</v>
      </c>
      <c r="AG80" s="145" t="n">
        <f aca="false">IFERROR('Price History'!L3+(INDEX('Price History'!L:L,MATCH(9.99E+307,'Price History'!$A:$A))-'Price History'!L3)*(ROW()-3)/(MATCH(9.99E+307,'Returns (Calc)'!$A:$A)-3),"")</f>
        <v>57.6784905660377</v>
      </c>
      <c r="AH80" s="145" t="n">
        <f aca="false">IFERROR('Price History'!M3+(INDEX('Price History'!M:M,MATCH(9.99E+307,'Price History'!$A:$A))-'Price History'!M3)*(ROW()-3)/(MATCH(9.99E+307,'Returns (Calc)'!$A:$A)-3),"")</f>
        <v>7.90603773584906</v>
      </c>
      <c r="AI80" s="145" t="n">
        <f aca="false">IFERROR('Price History'!N3+(INDEX('Price History'!N:N,MATCH(9.99E+307,'Price History'!$A:$A))-'Price History'!N3)*(ROW()-3)/(MATCH(9.99E+307,'Returns (Calc)'!$A:$A)-3),"")</f>
        <v>11.2427672955975</v>
      </c>
      <c r="AJ80" s="145" t="n">
        <f aca="false">IFERROR('Price History'!O3+(INDEX('Price History'!O:O,MATCH(9.99E+307,'Price History'!$A:$A))-'Price History'!O3)*(ROW()-3)/(MATCH(9.99E+307,'Returns (Calc)'!$A:$A)-3),"")</f>
        <v>29.7211320754717</v>
      </c>
      <c r="AK80" s="145" t="n">
        <f aca="false">IFERROR('Price History'!Q3+(INDEX('Price History'!Q:Q,MATCH(9.99E+307,'Price History'!$A:$A))-'Price History'!Q3)*(ROW()-3)/(MATCH(9.99E+307,'Returns (Calc)'!$A:$A)-3),"")</f>
        <v>121.519874213836</v>
      </c>
      <c r="AL80" s="145" t="n">
        <f aca="false">IFERROR('Price History'!R3+(INDEX('Price History'!R:R,MATCH(9.99E+307,'Price History'!$A:$A))-'Price History'!R3)*(ROW()-3)/(MATCH(9.99E+307,'Returns (Calc)'!$A:$A)-3),"")</f>
        <v>24.6618867924528</v>
      </c>
      <c r="AM80" s="145" t="n">
        <f aca="false">IFERROR('Price History'!S3+(INDEX('Price History'!S:S,MATCH(9.99E+307,'Price History'!$A:$A))-'Price History'!S3)*(ROW()-3)/(MATCH(9.99E+307,'Returns (Calc)'!$A:$A)-3),"")</f>
        <v>30.1904402515723</v>
      </c>
      <c r="AN80" s="145" t="n">
        <f aca="false">IFERROR('Price History'!T3+(INDEX('Price History'!T:T,MATCH(9.99E+307,'Price History'!$A:$A))-'Price History'!T3)*(ROW()-3)/(MATCH(9.99E+307,'Returns (Calc)'!$A:$A)-3),"")</f>
        <v>13.8781132075472</v>
      </c>
      <c r="AO80" s="146" t="n">
        <f aca="false">IFERROR('Price History'!V3+(INDEX('Price History'!V:V,MATCH(9.99E+307,'Price History'!$A:$A))-'Price History'!V3)*(ROW()-3)/(MATCH(9.99E+307,'Returns (Calc)'!$A:$A)-3),"")</f>
        <v>0</v>
      </c>
    </row>
    <row r="81" customFormat="false" ht="15" hidden="false" customHeight="true" outlineLevel="0" collapsed="false">
      <c r="A81" s="142" t="n">
        <f aca="false">IF('Price History'!A82="","",'Price History'!A82)</f>
        <v>45737</v>
      </c>
      <c r="B81" s="143" t="n">
        <f aca="false">IFERROR(IF(OR(NOT(ISNUMBER('Price History'!B82)),NOT(ISNUMBER('Price History'!B81)),'Price History'!B81=0),"",'Price History'!B82/'Price History'!B81-1),"")</f>
        <v>-0.0189491817398795</v>
      </c>
      <c r="C81" s="143" t="n">
        <f aca="false">IFERROR(IF(OR(NOT(ISNUMBER('Price History'!C82)),NOT(ISNUMBER('Price History'!C81)),'Price History'!C81=0),"",'Price History'!C82/'Price History'!C81-1),"")</f>
        <v>-0.00455035325110775</v>
      </c>
      <c r="D81" s="143" t="n">
        <f aca="false">IFERROR(IF(OR(NOT(ISNUMBER('Price History'!D82)),NOT(ISNUMBER('Price History'!D81)),'Price History'!D81=0),"",'Price History'!D82/'Price History'!D81-1),"")</f>
        <v>0.00310484156801572</v>
      </c>
      <c r="E81" s="143" t="n">
        <f aca="false">IFERROR(IF(OR(NOT(ISNUMBER('Price History'!E82)),NOT(ISNUMBER('Price History'!E81)),'Price History'!E81=0),"",'Price History'!E82/'Price History'!E81-1),"")</f>
        <v>-0.0169148549784672</v>
      </c>
      <c r="F81" s="143" t="n">
        <f aca="false">IFERROR(IF(OR(NOT(ISNUMBER('Price History'!F82)),NOT(ISNUMBER('Price History'!F81)),'Price History'!F81=0),"",'Price History'!F82/'Price History'!F81-1),"")</f>
        <v>0.00967437470504939</v>
      </c>
      <c r="G81" s="143" t="n">
        <f aca="false">IFERROR(IF(OR(NOT(ISNUMBER('Price History'!G82)),NOT(ISNUMBER('Price History'!G81)),'Price History'!G81=0),"",'Price History'!G82/'Price History'!G81-1),"")</f>
        <v>0.0240868483546308</v>
      </c>
      <c r="H81" s="143" t="n">
        <f aca="false">IFERROR(IF(OR(NOT(ISNUMBER('Price History'!H82)),NOT(ISNUMBER('Price History'!H81)),'Price History'!H81=0),"",'Price History'!H82/'Price History'!H81-1),"")</f>
        <v>0.00478927203065127</v>
      </c>
      <c r="I81" s="143" t="n">
        <f aca="false">IFERROR(IF(OR(NOT(ISNUMBER('Price History'!I82)),NOT(ISNUMBER('Price History'!I81)),'Price History'!I81=0),"",'Price History'!I82/'Price History'!I81-1),"")</f>
        <v>-0.00906644000566659</v>
      </c>
      <c r="J81" s="143" t="n">
        <f aca="false">IFERROR(IF(OR(NOT(ISNUMBER('Price History'!J82)),NOT(ISNUMBER('Price History'!J81)),'Price History'!J81=0),"",'Price History'!J82/'Price History'!J81-1),"")</f>
        <v>-0.0601593625498008</v>
      </c>
      <c r="K81" s="143" t="n">
        <f aca="false">IFERROR(IF(OR(NOT(ISNUMBER('Price History'!K82)),NOT(ISNUMBER('Price History'!K81)),'Price History'!K81=0),"",'Price History'!K82/'Price History'!K81-1),"")</f>
        <v>-0.0326301911667765</v>
      </c>
      <c r="L81" s="143" t="n">
        <f aca="false">IFERROR(IF(OR(NOT(ISNUMBER('Price History'!L82)),NOT(ISNUMBER('Price History'!L81)),'Price History'!L81=0),"",'Price History'!L82/'Price History'!L81-1),"")</f>
        <v>-0.0223548356540684</v>
      </c>
      <c r="M81" s="143" t="n">
        <f aca="false">IFERROR(IF(OR(NOT(ISNUMBER('Price History'!M82)),NOT(ISNUMBER('Price History'!M81)),'Price History'!M81=0),"",'Price History'!M82/'Price History'!M81-1),"")</f>
        <v>0.0547309833024119</v>
      </c>
      <c r="N81" s="143" t="n">
        <f aca="false">IFERROR(IF(OR(NOT(ISNUMBER('Price History'!N82)),NOT(ISNUMBER('Price History'!N81)),'Price History'!N81=0),"",'Price History'!N82/'Price History'!N81-1),"")</f>
        <v>0.00423728813559321</v>
      </c>
      <c r="O81" s="143" t="n">
        <f aca="false">IFERROR(IF(OR(NOT(ISNUMBER('Price History'!O82)),NOT(ISNUMBER('Price History'!O81)),'Price History'!O81=0),"",'Price History'!O82/'Price History'!O81-1),"")</f>
        <v>0.0037809225451011</v>
      </c>
      <c r="P81" s="143" t="n">
        <f aca="false">IFERROR(IF(OR(NOT(ISNUMBER('Price History'!P82)),NOT(ISNUMBER('Price History'!P81)),'Price History'!P81=0),"",'Price History'!P82/'Price History'!P81-1),"")</f>
        <v>0.01906829382774</v>
      </c>
      <c r="Q81" s="143" t="n">
        <f aca="false">IFERROR(IF(OR(NOT(ISNUMBER('Price History'!Q82)),NOT(ISNUMBER('Price History'!Q81)),'Price History'!Q81=0),"",'Price History'!Q82/'Price History'!Q81-1),"")</f>
        <v>0.0116449213510548</v>
      </c>
      <c r="R81" s="143" t="n">
        <f aca="false">IFERROR(IF(OR(NOT(ISNUMBER('Price History'!R82)),NOT(ISNUMBER('Price History'!R81)),'Price History'!R81=0),"",'Price History'!R82/'Price History'!R81-1),"")</f>
        <v>0.0192408605912191</v>
      </c>
      <c r="S81" s="143" t="n">
        <f aca="false">IFERROR(IF(OR(NOT(ISNUMBER('Price History'!S82)),NOT(ISNUMBER('Price History'!S81)),'Price History'!S81=0),"",'Price History'!S82/'Price History'!S81-1),"")</f>
        <v>0.0100950700774283</v>
      </c>
      <c r="T81" s="143" t="n">
        <f aca="false">IFERROR(IF(OR(NOT(ISNUMBER('Price History'!T82)),NOT(ISNUMBER('Price History'!T81)),'Price History'!T81=0),"",'Price History'!T82/'Price History'!T81-1),"")</f>
        <v>0.0116477272727271</v>
      </c>
      <c r="U81" s="143" t="str">
        <f aca="false">IFERROR(IF(OR(NOT(ISNUMBER('Price History'!U82)),NOT(ISNUMBER('Price History'!U81)),'Price History'!U81=0),"",'Price History'!U82/'Price History'!U81-1),"")</f>
        <v/>
      </c>
      <c r="V81" s="144" t="n">
        <f aca="false">IFERROR(IF(OR(NOT(ISNUMBER('Price History'!V82)),NOT(ISNUMBER('Price History'!V81)),'Price History'!V81=0),"",'Price History'!V82/'Price History'!V81-1),"")</f>
        <v>0.0183697234352256</v>
      </c>
      <c r="W81" s="145" t="str">
        <f aca="false">IFERROR('Price History'!B3+(INDEX('Price History'!B:B,MATCH(9.99E+307,'Price History'!$A:$A))-'Price History'!B3)*(ROW()-3)/(MATCH(9.99E+307,'Returns (Calc)'!$A:$A)-3),"")</f>
        <v/>
      </c>
      <c r="X81" s="145" t="n">
        <f aca="false">IFERROR('Price History'!C3+(INDEX('Price History'!C:C,MATCH(9.99E+307,'Price History'!$A:$A))-'Price History'!C3)*(ROW()-3)/(MATCH(9.99E+307,'Returns (Calc)'!$A:$A)-3),"")</f>
        <v>23.5256603773585</v>
      </c>
      <c r="Y81" s="145" t="n">
        <f aca="false">IFERROR('Price History'!D3+(INDEX('Price History'!D:D,MATCH(9.99E+307,'Price History'!$A:$A))-'Price History'!D3)*(ROW()-3)/(MATCH(9.99E+307,'Returns (Calc)'!$A:$A)-3),"")</f>
        <v>296.495660377359</v>
      </c>
      <c r="Z81" s="145" t="n">
        <f aca="false">IFERROR('Price History'!E3+(INDEX('Price History'!E:E,MATCH(9.99E+307,'Price History'!$A:$A))-'Price History'!E3)*(ROW()-3)/(MATCH(9.99E+307,'Returns (Calc)'!$A:$A)-3),"")</f>
        <v>41.7735849056604</v>
      </c>
      <c r="AA81" s="145" t="n">
        <f aca="false">IFERROR('Price History'!F3+(INDEX('Price History'!F:F,MATCH(9.99E+307,'Price History'!$A:$A))-'Price History'!F3)*(ROW()-3)/(MATCH(9.99E+307,'Returns (Calc)'!$A:$A)-3),"")</f>
        <v>38.3654716981132</v>
      </c>
      <c r="AB81" s="145" t="n">
        <f aca="false">IFERROR('Price History'!G3+(INDEX('Price History'!G:G,MATCH(9.99E+307,'Price History'!$A:$A))-'Price History'!G3)*(ROW()-3)/(MATCH(9.99E+307,'Returns (Calc)'!$A:$A)-3),"")</f>
        <v>21.0701886792453</v>
      </c>
      <c r="AC81" s="145" t="n">
        <f aca="false">IFERROR('Price History'!H3+(INDEX('Price History'!H:H,MATCH(9.99E+307,'Price History'!$A:$A))-'Price History'!H3)*(ROW()-3)/(MATCH(9.99E+307,'Returns (Calc)'!$A:$A)-3),"")</f>
        <v>51.2439622641509</v>
      </c>
      <c r="AD81" s="145" t="n">
        <f aca="false">IFERROR('Price History'!I3+(INDEX('Price History'!I:I,MATCH(9.99E+307,'Price History'!$A:$A))-'Price History'!I3)*(ROW()-3)/(MATCH(9.99E+307,'Returns (Calc)'!$A:$A)-3),"")</f>
        <v>22.5933962264151</v>
      </c>
      <c r="AE81" s="145" t="n">
        <f aca="false">IFERROR('Price History'!J3+(INDEX('Price History'!J:J,MATCH(9.99E+307,'Price History'!$A:$A))-'Price History'!J3)*(ROW()-3)/(MATCH(9.99E+307,'Returns (Calc)'!$A:$A)-3),"")</f>
        <v>35.2069811320755</v>
      </c>
      <c r="AF81" s="145" t="n">
        <f aca="false">IFERROR('Price History'!K3+(INDEX('Price History'!K:K,MATCH(9.99E+307,'Price History'!$A:$A))-'Price History'!K3)*(ROW()-3)/(MATCH(9.99E+307,'Returns (Calc)'!$A:$A)-3),"")</f>
        <v>22.2979245283019</v>
      </c>
      <c r="AG81" s="145" t="n">
        <f aca="false">IFERROR('Price History'!L3+(INDEX('Price History'!L:L,MATCH(9.99E+307,'Price History'!$A:$A))-'Price History'!L3)*(ROW()-3)/(MATCH(9.99E+307,'Returns (Calc)'!$A:$A)-3),"")</f>
        <v>56.9750943396226</v>
      </c>
      <c r="AH81" s="145" t="n">
        <f aca="false">IFERROR('Price History'!M3+(INDEX('Price History'!M:M,MATCH(9.99E+307,'Price History'!$A:$A))-'Price History'!M3)*(ROW()-3)/(MATCH(9.99E+307,'Returns (Calc)'!$A:$A)-3),"")</f>
        <v>7.80962264150943</v>
      </c>
      <c r="AI81" s="145" t="n">
        <f aca="false">IFERROR('Price History'!N3+(INDEX('Price History'!N:N,MATCH(9.99E+307,'Price History'!$A:$A))-'Price History'!N3)*(ROW()-3)/(MATCH(9.99E+307,'Returns (Calc)'!$A:$A)-3),"")</f>
        <v>11.1056603773585</v>
      </c>
      <c r="AJ81" s="145" t="n">
        <f aca="false">IFERROR('Price History'!O3+(INDEX('Price History'!O:O,MATCH(9.99E+307,'Price History'!$A:$A))-'Price History'!O3)*(ROW()-3)/(MATCH(9.99E+307,'Returns (Calc)'!$A:$A)-3),"")</f>
        <v>29.358679245283</v>
      </c>
      <c r="AK81" s="145" t="n">
        <f aca="false">IFERROR('Price History'!Q3+(INDEX('Price History'!Q:Q,MATCH(9.99E+307,'Price History'!$A:$A))-'Price History'!Q3)*(ROW()-3)/(MATCH(9.99E+307,'Returns (Calc)'!$A:$A)-3),"")</f>
        <v>120.037924528302</v>
      </c>
      <c r="AL81" s="145" t="n">
        <f aca="false">IFERROR('Price History'!R3+(INDEX('Price History'!R:R,MATCH(9.99E+307,'Price History'!$A:$A))-'Price History'!R3)*(ROW()-3)/(MATCH(9.99E+307,'Returns (Calc)'!$A:$A)-3),"")</f>
        <v>24.3611320754717</v>
      </c>
      <c r="AM81" s="145" t="n">
        <f aca="false">IFERROR('Price History'!S3+(INDEX('Price History'!S:S,MATCH(9.99E+307,'Price History'!$A:$A))-'Price History'!S3)*(ROW()-3)/(MATCH(9.99E+307,'Returns (Calc)'!$A:$A)-3),"")</f>
        <v>29.8222641509434</v>
      </c>
      <c r="AN81" s="145" t="n">
        <f aca="false">IFERROR('Price History'!T3+(INDEX('Price History'!T:T,MATCH(9.99E+307,'Price History'!$A:$A))-'Price History'!T3)*(ROW()-3)/(MATCH(9.99E+307,'Returns (Calc)'!$A:$A)-3),"")</f>
        <v>13.7088679245283</v>
      </c>
      <c r="AO81" s="146" t="n">
        <f aca="false">IFERROR('Price History'!V3+(INDEX('Price History'!V:V,MATCH(9.99E+307,'Price History'!$A:$A))-'Price History'!V3)*(ROW()-3)/(MATCH(9.99E+307,'Returns (Calc)'!$A:$A)-3),"")</f>
        <v>0</v>
      </c>
    </row>
    <row r="82" customFormat="false" ht="15" hidden="false" customHeight="true" outlineLevel="0" collapsed="false">
      <c r="A82" s="142" t="n">
        <f aca="false">IF('Price History'!A83="","",'Price History'!A83)</f>
        <v>45744</v>
      </c>
      <c r="B82" s="143" t="n">
        <f aca="false">IFERROR(IF(OR(NOT(ISNUMBER('Price History'!B83)),NOT(ISNUMBER('Price History'!B82)),'Price History'!B82=0),"",'Price History'!B83/'Price History'!B82-1),"")</f>
        <v>-0.00400247895470751</v>
      </c>
      <c r="C82" s="143" t="n">
        <f aca="false">IFERROR(IF(OR(NOT(ISNUMBER('Price History'!C83)),NOT(ISNUMBER('Price History'!C82)),'Price History'!C82=0),"",'Price History'!C83/'Price History'!C82-1),"")</f>
        <v>-0.0624323348971491</v>
      </c>
      <c r="D82" s="143" t="n">
        <f aca="false">IFERROR(IF(OR(NOT(ISNUMBER('Price History'!D83)),NOT(ISNUMBER('Price History'!D82)),'Price History'!D82=0),"",'Price History'!D83/'Price History'!D82-1),"")</f>
        <v>-0.0581309890606891</v>
      </c>
      <c r="E82" s="143" t="n">
        <f aca="false">IFERROR(IF(OR(NOT(ISNUMBER('Price History'!E83)),NOT(ISNUMBER('Price History'!E82)),'Price History'!E82=0),"",'Price History'!E83/'Price History'!E82-1),"")</f>
        <v>-0.117591175383966</v>
      </c>
      <c r="F82" s="143" t="n">
        <f aca="false">IFERROR(IF(OR(NOT(ISNUMBER('Price History'!F83)),NOT(ISNUMBER('Price History'!F82)),'Price History'!F82=0),"",'Price History'!F83/'Price History'!F82-1),"")</f>
        <v>-0.00467398924982465</v>
      </c>
      <c r="G82" s="143" t="n">
        <f aca="false">IFERROR(IF(OR(NOT(ISNUMBER('Price History'!G83)),NOT(ISNUMBER('Price History'!G82)),'Price History'!G82=0),"",'Price History'!G83/'Price History'!G82-1),"")</f>
        <v>-0.0141342756183745</v>
      </c>
      <c r="H82" s="143" t="n">
        <f aca="false">IFERROR(IF(OR(NOT(ISNUMBER('Price History'!H83)),NOT(ISNUMBER('Price History'!H82)),'Price History'!H82=0),"",'Price History'!H83/'Price History'!H82-1),"")</f>
        <v>-0.000238322211630115</v>
      </c>
      <c r="I82" s="143" t="n">
        <f aca="false">IFERROR(IF(OR(NOT(ISNUMBER('Price History'!I83)),NOT(ISNUMBER('Price History'!I82)),'Price History'!I82=0),"",'Price History'!I83/'Price History'!I82-1),"")</f>
        <v>-0.0466047176554683</v>
      </c>
      <c r="J82" s="143" t="n">
        <f aca="false">IFERROR(IF(OR(NOT(ISNUMBER('Price History'!J83)),NOT(ISNUMBER('Price History'!J82)),'Price History'!J82=0),"",'Price History'!J83/'Price History'!J82-1),"")</f>
        <v>-0.066341670199237</v>
      </c>
      <c r="K82" s="143" t="n">
        <f aca="false">IFERROR(IF(OR(NOT(ISNUMBER('Price History'!K83)),NOT(ISNUMBER('Price History'!K82)),'Price History'!K82=0),"",'Price History'!K83/'Price History'!K82-1),"")</f>
        <v>-0.0682282793867122</v>
      </c>
      <c r="L82" s="143" t="n">
        <f aca="false">IFERROR(IF(OR(NOT(ISNUMBER('Price History'!L83)),NOT(ISNUMBER('Price History'!L82)),'Price History'!L82=0),"",'Price History'!L83/'Price History'!L82-1),"")</f>
        <v>0.0186997383974421</v>
      </c>
      <c r="M82" s="143" t="n">
        <f aca="false">IFERROR(IF(OR(NOT(ISNUMBER('Price History'!M83)),NOT(ISNUMBER('Price History'!M82)),'Price History'!M82=0),"",'Price History'!M83/'Price History'!M82-1),"")</f>
        <v>-0.0561785400175902</v>
      </c>
      <c r="N82" s="143" t="n">
        <f aca="false">IFERROR(IF(OR(NOT(ISNUMBER('Price History'!N83)),NOT(ISNUMBER('Price History'!N82)),'Price History'!N82=0),"",'Price History'!N83/'Price History'!N82-1),"")</f>
        <v>0.00268507863444567</v>
      </c>
      <c r="O82" s="143" t="n">
        <f aca="false">IFERROR(IF(OR(NOT(ISNUMBER('Price History'!O83)),NOT(ISNUMBER('Price History'!O82)),'Price History'!O82=0),"",'Price History'!O83/'Price History'!O82-1),"")</f>
        <v>-0.0196943607404219</v>
      </c>
      <c r="P82" s="143" t="n">
        <f aca="false">IFERROR(IF(OR(NOT(ISNUMBER('Price History'!P83)),NOT(ISNUMBER('Price History'!P82)),'Price History'!P82=0),"",'Price History'!P83/'Price History'!P82-1),"")</f>
        <v>-0.0649432897691289</v>
      </c>
      <c r="Q82" s="143" t="n">
        <f aca="false">IFERROR(IF(OR(NOT(ISNUMBER('Price History'!Q83)),NOT(ISNUMBER('Price History'!Q82)),'Price History'!Q82=0),"",'Price History'!Q83/'Price History'!Q82-1),"")</f>
        <v>0.0214246971614536</v>
      </c>
      <c r="R82" s="143" t="n">
        <f aca="false">IFERROR(IF(OR(NOT(ISNUMBER('Price History'!R83)),NOT(ISNUMBER('Price History'!R82)),'Price History'!R82=0),"",'Price History'!R83/'Price History'!R82-1),"")</f>
        <v>-0.0120130427321092</v>
      </c>
      <c r="S82" s="143" t="n">
        <f aca="false">IFERROR(IF(OR(NOT(ISNUMBER('Price History'!S83)),NOT(ISNUMBER('Price History'!S82)),'Price History'!S82=0),"",'Price History'!S83/'Price History'!S82-1),"")</f>
        <v>-0.0305647195808267</v>
      </c>
      <c r="T82" s="143" t="n">
        <f aca="false">IFERROR(IF(OR(NOT(ISNUMBER('Price History'!T83)),NOT(ISNUMBER('Price History'!T82)),'Price History'!T82=0),"",'Price History'!T83/'Price History'!T82-1),"")</f>
        <v>-0.00336983993260309</v>
      </c>
      <c r="U82" s="143" t="str">
        <f aca="false">IFERROR(IF(OR(NOT(ISNUMBER('Price History'!U83)),NOT(ISNUMBER('Price History'!U82)),'Price History'!U82=0),"",'Price History'!U83/'Price History'!U82-1),"")</f>
        <v/>
      </c>
      <c r="V82" s="144" t="n">
        <f aca="false">IFERROR(IF(OR(NOT(ISNUMBER('Price History'!V83)),NOT(ISNUMBER('Price History'!V82)),'Price History'!V82=0),"",'Price History'!V83/'Price History'!V82-1),"")</f>
        <v>-0.0149223864383523</v>
      </c>
      <c r="W82" s="145" t="str">
        <f aca="false">IFERROR('Price History'!B3+(INDEX('Price History'!B:B,MATCH(9.99E+307,'Price History'!$A:$A))-'Price History'!B3)*(ROW()-3)/(MATCH(9.99E+307,'Returns (Calc)'!$A:$A)-3),"")</f>
        <v/>
      </c>
      <c r="X82" s="145" t="n">
        <f aca="false">IFERROR('Price History'!C3+(INDEX('Price History'!C:C,MATCH(9.99E+307,'Price History'!$A:$A))-'Price History'!C3)*(ROW()-3)/(MATCH(9.99E+307,'Returns (Calc)'!$A:$A)-3),"")</f>
        <v>23.2352201257862</v>
      </c>
      <c r="Y82" s="145" t="n">
        <f aca="false">IFERROR('Price History'!D3+(INDEX('Price History'!D:D,MATCH(9.99E+307,'Price History'!$A:$A))-'Price History'!D3)*(ROW()-3)/(MATCH(9.99E+307,'Returns (Calc)'!$A:$A)-3),"")</f>
        <v>292.835220125786</v>
      </c>
      <c r="Z82" s="145" t="n">
        <f aca="false">IFERROR('Price History'!E3+(INDEX('Price History'!E:E,MATCH(9.99E+307,'Price History'!$A:$A))-'Price History'!E3)*(ROW()-3)/(MATCH(9.99E+307,'Returns (Calc)'!$A:$A)-3),"")</f>
        <v>41.2578616352201</v>
      </c>
      <c r="AA82" s="145" t="n">
        <f aca="false">IFERROR('Price History'!F3+(INDEX('Price History'!F:F,MATCH(9.99E+307,'Price History'!$A:$A))-'Price History'!F3)*(ROW()-3)/(MATCH(9.99E+307,'Returns (Calc)'!$A:$A)-3),"")</f>
        <v>37.8918238993711</v>
      </c>
      <c r="AB82" s="145" t="n">
        <f aca="false">IFERROR('Price History'!G3+(INDEX('Price History'!G:G,MATCH(9.99E+307,'Price History'!$A:$A))-'Price History'!G3)*(ROW()-3)/(MATCH(9.99E+307,'Returns (Calc)'!$A:$A)-3),"")</f>
        <v>20.8100628930818</v>
      </c>
      <c r="AC82" s="145" t="n">
        <f aca="false">IFERROR('Price History'!H3+(INDEX('Price History'!H:H,MATCH(9.99E+307,'Price History'!$A:$A))-'Price History'!H3)*(ROW()-3)/(MATCH(9.99E+307,'Returns (Calc)'!$A:$A)-3),"")</f>
        <v>50.611320754717</v>
      </c>
      <c r="AD82" s="145" t="n">
        <f aca="false">IFERROR('Price History'!I3+(INDEX('Price History'!I:I,MATCH(9.99E+307,'Price History'!$A:$A))-'Price History'!I3)*(ROW()-3)/(MATCH(9.99E+307,'Returns (Calc)'!$A:$A)-3),"")</f>
        <v>22.314465408805</v>
      </c>
      <c r="AE82" s="145" t="n">
        <f aca="false">IFERROR('Price History'!J3+(INDEX('Price History'!J:J,MATCH(9.99E+307,'Price History'!$A:$A))-'Price History'!J3)*(ROW()-3)/(MATCH(9.99E+307,'Returns (Calc)'!$A:$A)-3),"")</f>
        <v>34.7723270440252</v>
      </c>
      <c r="AF82" s="145" t="n">
        <f aca="false">IFERROR('Price History'!K3+(INDEX('Price History'!K:K,MATCH(9.99E+307,'Price History'!$A:$A))-'Price History'!K3)*(ROW()-3)/(MATCH(9.99E+307,'Returns (Calc)'!$A:$A)-3),"")</f>
        <v>22.022641509434</v>
      </c>
      <c r="AG82" s="145" t="n">
        <f aca="false">IFERROR('Price History'!L3+(INDEX('Price History'!L:L,MATCH(9.99E+307,'Price History'!$A:$A))-'Price History'!L3)*(ROW()-3)/(MATCH(9.99E+307,'Returns (Calc)'!$A:$A)-3),"")</f>
        <v>56.2716981132076</v>
      </c>
      <c r="AH82" s="145" t="n">
        <f aca="false">IFERROR('Price History'!M3+(INDEX('Price History'!M:M,MATCH(9.99E+307,'Price History'!$A:$A))-'Price History'!M3)*(ROW()-3)/(MATCH(9.99E+307,'Returns (Calc)'!$A:$A)-3),"")</f>
        <v>7.71320754716981</v>
      </c>
      <c r="AI82" s="145" t="n">
        <f aca="false">IFERROR('Price History'!N3+(INDEX('Price History'!N:N,MATCH(9.99E+307,'Price History'!$A:$A))-'Price History'!N3)*(ROW()-3)/(MATCH(9.99E+307,'Returns (Calc)'!$A:$A)-3),"")</f>
        <v>10.9685534591195</v>
      </c>
      <c r="AJ82" s="145" t="n">
        <f aca="false">IFERROR('Price History'!O3+(INDEX('Price History'!O:O,MATCH(9.99E+307,'Price History'!$A:$A))-'Price History'!O3)*(ROW()-3)/(MATCH(9.99E+307,'Returns (Calc)'!$A:$A)-3),"")</f>
        <v>28.9962264150943</v>
      </c>
      <c r="AK82" s="145" t="n">
        <f aca="false">IFERROR('Price History'!Q3+(INDEX('Price History'!Q:Q,MATCH(9.99E+307,'Price History'!$A:$A))-'Price History'!Q3)*(ROW()-3)/(MATCH(9.99E+307,'Returns (Calc)'!$A:$A)-3),"")</f>
        <v>118.555974842767</v>
      </c>
      <c r="AL82" s="145" t="n">
        <f aca="false">IFERROR('Price History'!R3+(INDEX('Price History'!R:R,MATCH(9.99E+307,'Price History'!$A:$A))-'Price History'!R3)*(ROW()-3)/(MATCH(9.99E+307,'Returns (Calc)'!$A:$A)-3),"")</f>
        <v>24.0603773584906</v>
      </c>
      <c r="AM82" s="145" t="n">
        <f aca="false">IFERROR('Price History'!S3+(INDEX('Price History'!S:S,MATCH(9.99E+307,'Price History'!$A:$A))-'Price History'!S3)*(ROW()-3)/(MATCH(9.99E+307,'Returns (Calc)'!$A:$A)-3),"")</f>
        <v>29.4540880503145</v>
      </c>
      <c r="AN82" s="145" t="n">
        <f aca="false">IFERROR('Price History'!T3+(INDEX('Price History'!T:T,MATCH(9.99E+307,'Price History'!$A:$A))-'Price History'!T3)*(ROW()-3)/(MATCH(9.99E+307,'Returns (Calc)'!$A:$A)-3),"")</f>
        <v>13.5396226415094</v>
      </c>
      <c r="AO82" s="146" t="n">
        <f aca="false">IFERROR('Price History'!V3+(INDEX('Price History'!V:V,MATCH(9.99E+307,'Price History'!$A:$A))-'Price History'!V3)*(ROW()-3)/(MATCH(9.99E+307,'Returns (Calc)'!$A:$A)-3),"")</f>
        <v>0</v>
      </c>
    </row>
    <row r="83" customFormat="false" ht="15" hidden="false" customHeight="true" outlineLevel="0" collapsed="false">
      <c r="A83" s="142" t="n">
        <f aca="false">IF('Price History'!A84="","",'Price History'!A84)</f>
        <v>45751</v>
      </c>
      <c r="B83" s="143" t="n">
        <f aca="false">IFERROR(IF(OR(NOT(ISNUMBER('Price History'!B84)),NOT(ISNUMBER('Price History'!B83)),'Price History'!B83=0),"",'Price History'!B84/'Price History'!B83-1),"")</f>
        <v>-0.0949936480775712</v>
      </c>
      <c r="C83" s="143" t="n">
        <f aca="false">IFERROR(IF(OR(NOT(ISNUMBER('Price History'!C84)),NOT(ISNUMBER('Price History'!C83)),'Price History'!C83=0),"",'Price History'!C84/'Price History'!C83-1),"")</f>
        <v>-0.174108288426995</v>
      </c>
      <c r="D83" s="143" t="n">
        <f aca="false">IFERROR(IF(OR(NOT(ISNUMBER('Price History'!D84)),NOT(ISNUMBER('Price History'!D83)),'Price History'!D83=0),"",'Price History'!D84/'Price History'!D83-1),"")</f>
        <v>-0.102339400669258</v>
      </c>
      <c r="E83" s="143" t="n">
        <f aca="false">IFERROR(IF(OR(NOT(ISNUMBER('Price History'!E84)),NOT(ISNUMBER('Price History'!E83)),'Price History'!E83=0),"",'Price History'!E84/'Price History'!E83-1),"")</f>
        <v>-0.134996112207668</v>
      </c>
      <c r="F83" s="143" t="n">
        <f aca="false">IFERROR(IF(OR(NOT(ISNUMBER('Price History'!F84)),NOT(ISNUMBER('Price History'!F83)),'Price History'!F83=0),"",'Price History'!F84/'Price History'!F83-1),"")</f>
        <v>-0.104719417703686</v>
      </c>
      <c r="G83" s="143" t="n">
        <f aca="false">IFERROR(IF(OR(NOT(ISNUMBER('Price History'!G84)),NOT(ISNUMBER('Price History'!G83)),'Price History'!G83=0),"",'Price History'!G84/'Price History'!G83-1),"")</f>
        <v>-0.0993503584229392</v>
      </c>
      <c r="H83" s="143" t="n">
        <f aca="false">IFERROR(IF(OR(NOT(ISNUMBER('Price History'!H84)),NOT(ISNUMBER('Price History'!H83)),'Price History'!H83=0),"",'Price History'!H84/'Price History'!H83-1),"")</f>
        <v>-0.0803337306317045</v>
      </c>
      <c r="I83" s="143" t="n">
        <f aca="false">IFERROR(IF(OR(NOT(ISNUMBER('Price History'!I84)),NOT(ISNUMBER('Price History'!I83)),'Price History'!I83=0),"",'Price History'!I84/'Price History'!I83-1),"")</f>
        <v>-0.144099565152197</v>
      </c>
      <c r="J83" s="143" t="n">
        <f aca="false">IFERROR(IF(OR(NOT(ISNUMBER('Price History'!J84)),NOT(ISNUMBER('Price History'!J83)),'Price History'!J83=0),"",'Price History'!J84/'Price History'!J83-1),"")</f>
        <v>-0.267196367763905</v>
      </c>
      <c r="K83" s="143" t="n">
        <f aca="false">IFERROR(IF(OR(NOT(ISNUMBER('Price History'!K84)),NOT(ISNUMBER('Price History'!K83)),'Price History'!K83=0),"",'Price History'!K84/'Price History'!K83-1),"")</f>
        <v>-0.140049364658561</v>
      </c>
      <c r="L83" s="143" t="n">
        <f aca="false">IFERROR(IF(OR(NOT(ISNUMBER('Price History'!L84)),NOT(ISNUMBER('Price History'!L83)),'Price History'!L83=0),"",'Price History'!L84/'Price History'!L83-1),"")</f>
        <v>-0.110614418870078</v>
      </c>
      <c r="M83" s="143" t="n">
        <f aca="false">IFERROR(IF(OR(NOT(ISNUMBER('Price History'!M84)),NOT(ISNUMBER('Price History'!M83)),'Price History'!M83=0),"",'Price History'!M84/'Price History'!M83-1),"")</f>
        <v>-0.137914967967385</v>
      </c>
      <c r="N83" s="143" t="n">
        <f aca="false">IFERROR(IF(OR(NOT(ISNUMBER('Price History'!N84)),NOT(ISNUMBER('Price History'!N83)),'Price History'!N83=0),"",'Price History'!N84/'Price History'!N83-1),"")</f>
        <v>-0.0833970925784239</v>
      </c>
      <c r="O83" s="143" t="n">
        <f aca="false">IFERROR(IF(OR(NOT(ISNUMBER('Price History'!O84)),NOT(ISNUMBER('Price History'!O83)),'Price History'!O83=0),"",'Price History'!O84/'Price History'!O83-1),"")</f>
        <v>-0.107036996377209</v>
      </c>
      <c r="P83" s="143" t="n">
        <f aca="false">IFERROR(IF(OR(NOT(ISNUMBER('Price History'!P84)),NOT(ISNUMBER('Price History'!P83)),'Price History'!P83=0),"",'Price History'!P84/'Price History'!P83-1),"")</f>
        <v>-0.111631057200911</v>
      </c>
      <c r="Q83" s="143" t="n">
        <f aca="false">IFERROR(IF(OR(NOT(ISNUMBER('Price History'!Q84)),NOT(ISNUMBER('Price History'!Q83)),'Price History'!Q83=0),"",'Price History'!Q84/'Price History'!Q83-1),"")</f>
        <v>-0.0866743369619731</v>
      </c>
      <c r="R83" s="143" t="n">
        <f aca="false">IFERROR(IF(OR(NOT(ISNUMBER('Price History'!R84)),NOT(ISNUMBER('Price History'!R83)),'Price History'!R83=0),"",'Price History'!R84/'Price History'!R83-1),"")</f>
        <v>-0.0276185513288172</v>
      </c>
      <c r="S83" s="143" t="n">
        <f aca="false">IFERROR(IF(OR(NOT(ISNUMBER('Price History'!S84)),NOT(ISNUMBER('Price History'!S83)),'Price History'!S83=0),"",'Price History'!S84/'Price History'!S83-1),"")</f>
        <v>-0.0011009908918026</v>
      </c>
      <c r="T83" s="143" t="n">
        <f aca="false">IFERROR(IF(OR(NOT(ISNUMBER('Price History'!T84)),NOT(ISNUMBER('Price History'!T83)),'Price History'!T83=0),"",'Price History'!T84/'Price History'!T83-1),"")</f>
        <v>-0.00479008171315865</v>
      </c>
      <c r="U83" s="143" t="str">
        <f aca="false">IFERROR(IF(OR(NOT(ISNUMBER('Price History'!U84)),NOT(ISNUMBER('Price History'!U83)),'Price History'!U83=0),"",'Price History'!U84/'Price History'!U83-1),"")</f>
        <v/>
      </c>
      <c r="V83" s="144" t="n">
        <f aca="false">IFERROR(IF(OR(NOT(ISNUMBER('Price History'!V84)),NOT(ISNUMBER('Price History'!V83)),'Price History'!V83=0),"",'Price History'!V84/'Price History'!V83-1),"")</f>
        <v>0.0406570126817378</v>
      </c>
      <c r="W83" s="145" t="str">
        <f aca="false">IFERROR('Price History'!B3+(INDEX('Price History'!B:B,MATCH(9.99E+307,'Price History'!$A:$A))-'Price History'!B3)*(ROW()-3)/(MATCH(9.99E+307,'Returns (Calc)'!$A:$A)-3),"")</f>
        <v/>
      </c>
      <c r="X83" s="145" t="n">
        <f aca="false">IFERROR('Price History'!C3+(INDEX('Price History'!C:C,MATCH(9.99E+307,'Price History'!$A:$A))-'Price History'!C3)*(ROW()-3)/(MATCH(9.99E+307,'Returns (Calc)'!$A:$A)-3),"")</f>
        <v>22.9447798742138</v>
      </c>
      <c r="Y83" s="145" t="n">
        <f aca="false">IFERROR('Price History'!D3+(INDEX('Price History'!D:D,MATCH(9.99E+307,'Price History'!$A:$A))-'Price History'!D3)*(ROW()-3)/(MATCH(9.99E+307,'Returns (Calc)'!$A:$A)-3),"")</f>
        <v>289.174779874214</v>
      </c>
      <c r="Z83" s="145" t="n">
        <f aca="false">IFERROR('Price History'!E3+(INDEX('Price History'!E:E,MATCH(9.99E+307,'Price History'!$A:$A))-'Price History'!E3)*(ROW()-3)/(MATCH(9.99E+307,'Returns (Calc)'!$A:$A)-3),"")</f>
        <v>40.7421383647799</v>
      </c>
      <c r="AA83" s="145" t="n">
        <f aca="false">IFERROR('Price History'!F3+(INDEX('Price History'!F:F,MATCH(9.99E+307,'Price History'!$A:$A))-'Price History'!F3)*(ROW()-3)/(MATCH(9.99E+307,'Returns (Calc)'!$A:$A)-3),"")</f>
        <v>37.4181761006289</v>
      </c>
      <c r="AB83" s="145" t="n">
        <f aca="false">IFERROR('Price History'!G3+(INDEX('Price History'!G:G,MATCH(9.99E+307,'Price History'!$A:$A))-'Price History'!G3)*(ROW()-3)/(MATCH(9.99E+307,'Returns (Calc)'!$A:$A)-3),"")</f>
        <v>20.5499371069182</v>
      </c>
      <c r="AC83" s="145" t="n">
        <f aca="false">IFERROR('Price History'!H3+(INDEX('Price History'!H:H,MATCH(9.99E+307,'Price History'!$A:$A))-'Price History'!H3)*(ROW()-3)/(MATCH(9.99E+307,'Returns (Calc)'!$A:$A)-3),"")</f>
        <v>49.978679245283</v>
      </c>
      <c r="AD83" s="145" t="n">
        <f aca="false">IFERROR('Price History'!I3+(INDEX('Price History'!I:I,MATCH(9.99E+307,'Price History'!$A:$A))-'Price History'!I3)*(ROW()-3)/(MATCH(9.99E+307,'Returns (Calc)'!$A:$A)-3),"")</f>
        <v>22.035534591195</v>
      </c>
      <c r="AE83" s="145" t="n">
        <f aca="false">IFERROR('Price History'!J3+(INDEX('Price History'!J:J,MATCH(9.99E+307,'Price History'!$A:$A))-'Price History'!J3)*(ROW()-3)/(MATCH(9.99E+307,'Returns (Calc)'!$A:$A)-3),"")</f>
        <v>34.3376729559748</v>
      </c>
      <c r="AF83" s="145" t="n">
        <f aca="false">IFERROR('Price History'!K3+(INDEX('Price History'!K:K,MATCH(9.99E+307,'Price History'!$A:$A))-'Price History'!K3)*(ROW()-3)/(MATCH(9.99E+307,'Returns (Calc)'!$A:$A)-3),"")</f>
        <v>21.747358490566</v>
      </c>
      <c r="AG83" s="145" t="n">
        <f aca="false">IFERROR('Price History'!L3+(INDEX('Price History'!L:L,MATCH(9.99E+307,'Price History'!$A:$A))-'Price History'!L3)*(ROW()-3)/(MATCH(9.99E+307,'Returns (Calc)'!$A:$A)-3),"")</f>
        <v>55.5683018867925</v>
      </c>
      <c r="AH83" s="145" t="n">
        <f aca="false">IFERROR('Price History'!M3+(INDEX('Price History'!M:M,MATCH(9.99E+307,'Price History'!$A:$A))-'Price History'!M3)*(ROW()-3)/(MATCH(9.99E+307,'Returns (Calc)'!$A:$A)-3),"")</f>
        <v>7.61679245283019</v>
      </c>
      <c r="AI83" s="145" t="n">
        <f aca="false">IFERROR('Price History'!N3+(INDEX('Price History'!N:N,MATCH(9.99E+307,'Price History'!$A:$A))-'Price History'!N3)*(ROW()-3)/(MATCH(9.99E+307,'Returns (Calc)'!$A:$A)-3),"")</f>
        <v>10.8314465408805</v>
      </c>
      <c r="AJ83" s="145" t="n">
        <f aca="false">IFERROR('Price History'!O3+(INDEX('Price History'!O:O,MATCH(9.99E+307,'Price History'!$A:$A))-'Price History'!O3)*(ROW()-3)/(MATCH(9.99E+307,'Returns (Calc)'!$A:$A)-3),"")</f>
        <v>28.6337735849057</v>
      </c>
      <c r="AK83" s="145" t="n">
        <f aca="false">IFERROR('Price History'!Q3+(INDEX('Price History'!Q:Q,MATCH(9.99E+307,'Price History'!$A:$A))-'Price History'!Q3)*(ROW()-3)/(MATCH(9.99E+307,'Returns (Calc)'!$A:$A)-3),"")</f>
        <v>117.074025157233</v>
      </c>
      <c r="AL83" s="145" t="n">
        <f aca="false">IFERROR('Price History'!R3+(INDEX('Price History'!R:R,MATCH(9.99E+307,'Price History'!$A:$A))-'Price History'!R3)*(ROW()-3)/(MATCH(9.99E+307,'Returns (Calc)'!$A:$A)-3),"")</f>
        <v>23.7596226415094</v>
      </c>
      <c r="AM83" s="145" t="n">
        <f aca="false">IFERROR('Price History'!S3+(INDEX('Price History'!S:S,MATCH(9.99E+307,'Price History'!$A:$A))-'Price History'!S3)*(ROW()-3)/(MATCH(9.99E+307,'Returns (Calc)'!$A:$A)-3),"")</f>
        <v>29.0859119496855</v>
      </c>
      <c r="AN83" s="145" t="n">
        <f aca="false">IFERROR('Price History'!T3+(INDEX('Price History'!T:T,MATCH(9.99E+307,'Price History'!$A:$A))-'Price History'!T3)*(ROW()-3)/(MATCH(9.99E+307,'Returns (Calc)'!$A:$A)-3),"")</f>
        <v>13.3703773584906</v>
      </c>
      <c r="AO83" s="146" t="n">
        <f aca="false">IFERROR('Price History'!V3+(INDEX('Price History'!V:V,MATCH(9.99E+307,'Price History'!$A:$A))-'Price History'!V3)*(ROW()-3)/(MATCH(9.99E+307,'Returns (Calc)'!$A:$A)-3),"")</f>
        <v>0</v>
      </c>
    </row>
    <row r="84" customFormat="false" ht="15" hidden="false" customHeight="true" outlineLevel="0" collapsed="false">
      <c r="A84" s="142" t="n">
        <f aca="false">IF('Price History'!A85="","",'Price History'!A85)</f>
        <v>45758</v>
      </c>
      <c r="B84" s="143" t="n">
        <f aca="false">IFERROR(IF(OR(NOT(ISNUMBER('Price History'!B85)),NOT(ISNUMBER('Price History'!B84)),'Price History'!B84=0),"",'Price History'!B85/'Price History'!B84-1),"")</f>
        <v>0.00974016672873646</v>
      </c>
      <c r="C84" s="143" t="n">
        <f aca="false">IFERROR(IF(OR(NOT(ISNUMBER('Price History'!C85)),NOT(ISNUMBER('Price History'!C84)),'Price History'!C84=0),"",'Price History'!C85/'Price History'!C84-1),"")</f>
        <v>0.128942053751748</v>
      </c>
      <c r="D84" s="143" t="n">
        <f aca="false">IFERROR(IF(OR(NOT(ISNUMBER('Price History'!D85)),NOT(ISNUMBER('Price History'!D84)),'Price History'!D84=0),"",'Price History'!D85/'Price History'!D84-1),"")</f>
        <v>0.104478360441985</v>
      </c>
      <c r="E84" s="143" t="n">
        <f aca="false">IFERROR(IF(OR(NOT(ISNUMBER('Price History'!E85)),NOT(ISNUMBER('Price History'!E84)),'Price History'!E84=0),"",'Price History'!E85/'Price History'!E84-1),"")</f>
        <v>0.243673074263587</v>
      </c>
      <c r="F84" s="143" t="n">
        <f aca="false">IFERROR(IF(OR(NOT(ISNUMBER('Price History'!F85)),NOT(ISNUMBER('Price History'!F84)),'Price History'!F84=0),"",'Price History'!F85/'Price History'!F84-1),"")</f>
        <v>0.0125885129819039</v>
      </c>
      <c r="G84" s="143" t="n">
        <f aca="false">IFERROR(IF(OR(NOT(ISNUMBER('Price History'!G85)),NOT(ISNUMBER('Price History'!G84)),'Price History'!G84=0),"",'Price History'!G85/'Price History'!G84-1),"")</f>
        <v>0.174853873896282</v>
      </c>
      <c r="H84" s="143" t="n">
        <f aca="false">IFERROR(IF(OR(NOT(ISNUMBER('Price History'!H85)),NOT(ISNUMBER('Price History'!H84)),'Price History'!H84=0),"",'Price History'!H85/'Price History'!H84-1),"")</f>
        <v>0.0160705028512183</v>
      </c>
      <c r="I84" s="143" t="n">
        <f aca="false">IFERROR(IF(OR(NOT(ISNUMBER('Price History'!I85)),NOT(ISNUMBER('Price History'!I84)),'Price History'!I84=0),"",'Price History'!I85/'Price History'!I84-1),"")</f>
        <v>0.162578836720392</v>
      </c>
      <c r="J84" s="143" t="n">
        <f aca="false">IFERROR(IF(OR(NOT(ISNUMBER('Price History'!J85)),NOT(ISNUMBER('Price History'!J84)),'Price History'!J84=0),"",'Price History'!J85/'Price History'!J84-1),"")</f>
        <v>0.0745043370508054</v>
      </c>
      <c r="K84" s="143" t="n">
        <f aca="false">IFERROR(IF(OR(NOT(ISNUMBER('Price History'!K85)),NOT(ISNUMBER('Price History'!K84)),'Price History'!K84=0),"",'Price History'!K85/'Price History'!K84-1),"")</f>
        <v>0.176251727437015</v>
      </c>
      <c r="L84" s="143" t="n">
        <f aca="false">IFERROR(IF(OR(NOT(ISNUMBER('Price History'!L85)),NOT(ISNUMBER('Price History'!L84)),'Price History'!L84=0),"",'Price History'!L85/'Price History'!L84-1),"")</f>
        <v>-0.0204256229280292</v>
      </c>
      <c r="M84" s="143" t="n">
        <f aca="false">IFERROR(IF(OR(NOT(ISNUMBER('Price History'!M85)),NOT(ISNUMBER('Price History'!M84)),'Price History'!M84=0),"",'Price History'!M85/'Price History'!M84-1),"")</f>
        <v>0.196459937846237</v>
      </c>
      <c r="N84" s="143" t="n">
        <f aca="false">IFERROR(IF(OR(NOT(ISNUMBER('Price History'!N85)),NOT(ISNUMBER('Price History'!N84)),'Price History'!N84=0),"",'Price History'!N85/'Price History'!N84-1),"")</f>
        <v>0.000834724540901499</v>
      </c>
      <c r="O84" s="143" t="n">
        <f aca="false">IFERROR(IF(OR(NOT(ISNUMBER('Price History'!O85)),NOT(ISNUMBER('Price History'!O84)),'Price History'!O84=0),"",'Price History'!O85/'Price History'!O84-1),"")</f>
        <v>0.0910990902385049</v>
      </c>
      <c r="P84" s="143" t="n">
        <f aca="false">IFERROR(IF(OR(NOT(ISNUMBER('Price History'!P85)),NOT(ISNUMBER('Price History'!P84)),'Price History'!P84=0),"",'Price History'!P85/'Price History'!P84-1),"")</f>
        <v>0.0700027723870251</v>
      </c>
      <c r="Q84" s="143" t="n">
        <f aca="false">IFERROR(IF(OR(NOT(ISNUMBER('Price History'!Q85)),NOT(ISNUMBER('Price History'!Q84)),'Price History'!Q84=0),"",'Price History'!Q85/'Price History'!Q84-1),"")</f>
        <v>0.0647307729577829</v>
      </c>
      <c r="R84" s="143" t="n">
        <f aca="false">IFERROR(IF(OR(NOT(ISNUMBER('Price History'!R85)),NOT(ISNUMBER('Price History'!R84)),'Price History'!R84=0),"",'Price History'!R85/'Price History'!R84-1),"")</f>
        <v>-0.0396570203644159</v>
      </c>
      <c r="S84" s="143" t="n">
        <f aca="false">IFERROR(IF(OR(NOT(ISNUMBER('Price History'!S85)),NOT(ISNUMBER('Price History'!S84)),'Price History'!S84=0),"",'Price History'!S85/'Price History'!S84-1),"")</f>
        <v>-0.0527054108216432</v>
      </c>
      <c r="T84" s="143" t="n">
        <f aca="false">IFERROR(IF(OR(NOT(ISNUMBER('Price History'!T85)),NOT(ISNUMBER('Price History'!T84)),'Price History'!T84=0),"",'Price History'!T85/'Price History'!T84-1),"")</f>
        <v>-0.0144394110985276</v>
      </c>
      <c r="U84" s="143" t="str">
        <f aca="false">IFERROR(IF(OR(NOT(ISNUMBER('Price History'!U85)),NOT(ISNUMBER('Price History'!U84)),'Price History'!U84=0),"",'Price History'!U85/'Price History'!U84-1),"")</f>
        <v/>
      </c>
      <c r="V84" s="144" t="n">
        <f aca="false">IFERROR(IF(OR(NOT(ISNUMBER('Price History'!V85)),NOT(ISNUMBER('Price History'!V84)),'Price History'!V84=0),"",'Price History'!V85/'Price History'!V84-1),"")</f>
        <v>-0.047936419408812</v>
      </c>
      <c r="W84" s="145" t="str">
        <f aca="false">IFERROR('Price History'!B3+(INDEX('Price History'!B:B,MATCH(9.99E+307,'Price History'!$A:$A))-'Price History'!B3)*(ROW()-3)/(MATCH(9.99E+307,'Returns (Calc)'!$A:$A)-3),"")</f>
        <v/>
      </c>
      <c r="X84" s="145" t="n">
        <f aca="false">IFERROR('Price History'!C3+(INDEX('Price History'!C:C,MATCH(9.99E+307,'Price History'!$A:$A))-'Price History'!C3)*(ROW()-3)/(MATCH(9.99E+307,'Returns (Calc)'!$A:$A)-3),"")</f>
        <v>22.6543396226415</v>
      </c>
      <c r="Y84" s="145" t="n">
        <f aca="false">IFERROR('Price History'!D3+(INDEX('Price History'!D:D,MATCH(9.99E+307,'Price History'!$A:$A))-'Price History'!D3)*(ROW()-3)/(MATCH(9.99E+307,'Returns (Calc)'!$A:$A)-3),"")</f>
        <v>285.514339622642</v>
      </c>
      <c r="Z84" s="145" t="n">
        <f aca="false">IFERROR('Price History'!E3+(INDEX('Price History'!E:E,MATCH(9.99E+307,'Price History'!$A:$A))-'Price History'!E3)*(ROW()-3)/(MATCH(9.99E+307,'Returns (Calc)'!$A:$A)-3),"")</f>
        <v>40.2264150943396</v>
      </c>
      <c r="AA84" s="145" t="n">
        <f aca="false">IFERROR('Price History'!F3+(INDEX('Price History'!F:F,MATCH(9.99E+307,'Price History'!$A:$A))-'Price History'!F3)*(ROW()-3)/(MATCH(9.99E+307,'Returns (Calc)'!$A:$A)-3),"")</f>
        <v>36.9445283018868</v>
      </c>
      <c r="AB84" s="145" t="n">
        <f aca="false">IFERROR('Price History'!G3+(INDEX('Price History'!G:G,MATCH(9.99E+307,'Price History'!$A:$A))-'Price History'!G3)*(ROW()-3)/(MATCH(9.99E+307,'Returns (Calc)'!$A:$A)-3),"")</f>
        <v>20.2898113207547</v>
      </c>
      <c r="AC84" s="145" t="n">
        <f aca="false">IFERROR('Price History'!H3+(INDEX('Price History'!H:H,MATCH(9.99E+307,'Price History'!$A:$A))-'Price History'!H3)*(ROW()-3)/(MATCH(9.99E+307,'Returns (Calc)'!$A:$A)-3),"")</f>
        <v>49.3460377358491</v>
      </c>
      <c r="AD84" s="145" t="n">
        <f aca="false">IFERROR('Price History'!I3+(INDEX('Price History'!I:I,MATCH(9.99E+307,'Price History'!$A:$A))-'Price History'!I3)*(ROW()-3)/(MATCH(9.99E+307,'Returns (Calc)'!$A:$A)-3),"")</f>
        <v>21.7566037735849</v>
      </c>
      <c r="AE84" s="145" t="n">
        <f aca="false">IFERROR('Price History'!J3+(INDEX('Price History'!J:J,MATCH(9.99E+307,'Price History'!$A:$A))-'Price History'!J3)*(ROW()-3)/(MATCH(9.99E+307,'Returns (Calc)'!$A:$A)-3),"")</f>
        <v>33.9030188679245</v>
      </c>
      <c r="AF84" s="145" t="n">
        <f aca="false">IFERROR('Price History'!K3+(INDEX('Price History'!K:K,MATCH(9.99E+307,'Price History'!$A:$A))-'Price History'!K3)*(ROW()-3)/(MATCH(9.99E+307,'Returns (Calc)'!$A:$A)-3),"")</f>
        <v>21.4720754716981</v>
      </c>
      <c r="AG84" s="145" t="n">
        <f aca="false">IFERROR('Price History'!L3+(INDEX('Price History'!L:L,MATCH(9.99E+307,'Price History'!$A:$A))-'Price History'!L3)*(ROW()-3)/(MATCH(9.99E+307,'Returns (Calc)'!$A:$A)-3),"")</f>
        <v>54.8649056603774</v>
      </c>
      <c r="AH84" s="145" t="n">
        <f aca="false">IFERROR('Price History'!M3+(INDEX('Price History'!M:M,MATCH(9.99E+307,'Price History'!$A:$A))-'Price History'!M3)*(ROW()-3)/(MATCH(9.99E+307,'Returns (Calc)'!$A:$A)-3),"")</f>
        <v>7.52037735849057</v>
      </c>
      <c r="AI84" s="145" t="n">
        <f aca="false">IFERROR('Price History'!N3+(INDEX('Price History'!N:N,MATCH(9.99E+307,'Price History'!$A:$A))-'Price History'!N3)*(ROW()-3)/(MATCH(9.99E+307,'Returns (Calc)'!$A:$A)-3),"")</f>
        <v>10.6943396226415</v>
      </c>
      <c r="AJ84" s="145" t="n">
        <f aca="false">IFERROR('Price History'!O3+(INDEX('Price History'!O:O,MATCH(9.99E+307,'Price History'!$A:$A))-'Price History'!O3)*(ROW()-3)/(MATCH(9.99E+307,'Returns (Calc)'!$A:$A)-3),"")</f>
        <v>28.271320754717</v>
      </c>
      <c r="AK84" s="145" t="n">
        <f aca="false">IFERROR('Price History'!Q3+(INDEX('Price History'!Q:Q,MATCH(9.99E+307,'Price History'!$A:$A))-'Price History'!Q3)*(ROW()-3)/(MATCH(9.99E+307,'Returns (Calc)'!$A:$A)-3),"")</f>
        <v>115.592075471698</v>
      </c>
      <c r="AL84" s="145" t="n">
        <f aca="false">IFERROR('Price History'!R3+(INDEX('Price History'!R:R,MATCH(9.99E+307,'Price History'!$A:$A))-'Price History'!R3)*(ROW()-3)/(MATCH(9.99E+307,'Returns (Calc)'!$A:$A)-3),"")</f>
        <v>23.4588679245283</v>
      </c>
      <c r="AM84" s="145" t="n">
        <f aca="false">IFERROR('Price History'!S3+(INDEX('Price History'!S:S,MATCH(9.99E+307,'Price History'!$A:$A))-'Price History'!S3)*(ROW()-3)/(MATCH(9.99E+307,'Returns (Calc)'!$A:$A)-3),"")</f>
        <v>28.7177358490566</v>
      </c>
      <c r="AN84" s="145" t="n">
        <f aca="false">IFERROR('Price History'!T3+(INDEX('Price History'!T:T,MATCH(9.99E+307,'Price History'!$A:$A))-'Price History'!T3)*(ROW()-3)/(MATCH(9.99E+307,'Returns (Calc)'!$A:$A)-3),"")</f>
        <v>13.2011320754717</v>
      </c>
      <c r="AO84" s="146" t="n">
        <f aca="false">IFERROR('Price History'!V3+(INDEX('Price History'!V:V,MATCH(9.99E+307,'Price History'!$A:$A))-'Price History'!V3)*(ROW()-3)/(MATCH(9.99E+307,'Returns (Calc)'!$A:$A)-3),"")</f>
        <v>0</v>
      </c>
    </row>
    <row r="85" customFormat="false" ht="15" hidden="false" customHeight="true" outlineLevel="0" collapsed="false">
      <c r="A85" s="142" t="n">
        <f aca="false">IF('Price History'!A86="","",'Price History'!A86)</f>
        <v>45765</v>
      </c>
      <c r="B85" s="143" t="n">
        <f aca="false">IFERROR(IF(OR(NOT(ISNUMBER('Price History'!B86)),NOT(ISNUMBER('Price History'!B85)),'Price History'!B85=0),"",'Price History'!B86/'Price History'!B85-1),"")</f>
        <v>-0.0104122336652765</v>
      </c>
      <c r="C85" s="143" t="n">
        <f aca="false">IFERROR(IF(OR(NOT(ISNUMBER('Price History'!C86)),NOT(ISNUMBER('Price History'!C85)),'Price History'!C85=0),"",'Price History'!C86/'Price History'!C85-1),"")</f>
        <v>-0.0202284298885372</v>
      </c>
      <c r="D85" s="143" t="n">
        <f aca="false">IFERROR(IF(OR(NOT(ISNUMBER('Price History'!D86)),NOT(ISNUMBER('Price History'!D85)),'Price History'!D85=0),"",'Price History'!D86/'Price History'!D85-1),"")</f>
        <v>-0.0428478454995385</v>
      </c>
      <c r="E85" s="143" t="n">
        <f aca="false">IFERROR(IF(OR(NOT(ISNUMBER('Price History'!E86)),NOT(ISNUMBER('Price History'!E85)),'Price History'!E85=0),"",'Price History'!E86/'Price History'!E85-1),"")</f>
        <v>-0.0601579005893473</v>
      </c>
      <c r="F85" s="143" t="n">
        <f aca="false">IFERROR(IF(OR(NOT(ISNUMBER('Price History'!F86)),NOT(ISNUMBER('Price History'!F85)),'Price History'!F85=0),"",'Price History'!F86/'Price History'!F85-1),"")</f>
        <v>0.0186480186480187</v>
      </c>
      <c r="G85" s="143" t="n">
        <f aca="false">IFERROR(IF(OR(NOT(ISNUMBER('Price History'!G86)),NOT(ISNUMBER('Price History'!G85)),'Price History'!G85=0),"",'Price History'!G86/'Price History'!G85-1),"")</f>
        <v>-0.00603366147983475</v>
      </c>
      <c r="H85" s="143" t="n">
        <f aca="false">IFERROR(IF(OR(NOT(ISNUMBER('Price History'!H86)),NOT(ISNUMBER('Price History'!H85)),'Price History'!H85=0),"",'Price History'!H86/'Price History'!H85-1),"")</f>
        <v>0.0147108843537416</v>
      </c>
      <c r="I85" s="143" t="n">
        <f aca="false">IFERROR(IF(OR(NOT(ISNUMBER('Price History'!I86)),NOT(ISNUMBER('Price History'!I85)),'Price History'!I85=0),"",'Price History'!I86/'Price History'!I85-1),"")</f>
        <v>-0.0534960819770945</v>
      </c>
      <c r="J85" s="143" t="n">
        <f aca="false">IFERROR(IF(OR(NOT(ISNUMBER('Price History'!J86)),NOT(ISNUMBER('Price History'!J85)),'Price History'!J85=0),"",'Price History'!J86/'Price History'!J85-1),"")</f>
        <v>-0.0106674354908464</v>
      </c>
      <c r="K85" s="143" t="n">
        <f aca="false">IFERROR(IF(OR(NOT(ISNUMBER('Price History'!K86)),NOT(ISNUMBER('Price History'!K85)),'Price History'!K85=0),"",'Price History'!K86/'Price History'!K85-1),"")</f>
        <v>-0.0851333032083145</v>
      </c>
      <c r="L85" s="143" t="n">
        <f aca="false">IFERROR(IF(OR(NOT(ISNUMBER('Price History'!L86)),NOT(ISNUMBER('Price History'!L85)),'Price History'!L85=0),"",'Price History'!L86/'Price History'!L85-1),"")</f>
        <v>0.0610262008733624</v>
      </c>
      <c r="M85" s="143" t="n">
        <f aca="false">IFERROR(IF(OR(NOT(ISNUMBER('Price History'!M86)),NOT(ISNUMBER('Price History'!M85)),'Price History'!M85=0),"",'Price History'!M86/'Price History'!M85-1),"")</f>
        <v>0.0590626764539808</v>
      </c>
      <c r="N85" s="143" t="n">
        <f aca="false">IFERROR(IF(OR(NOT(ISNUMBER('Price History'!N86)),NOT(ISNUMBER('Price History'!N85)),'Price History'!N85=0),"",'Price History'!N86/'Price History'!N85-1),"")</f>
        <v>0.00458715596330284</v>
      </c>
      <c r="O85" s="143" t="n">
        <f aca="false">IFERROR(IF(OR(NOT(ISNUMBER('Price History'!O86)),NOT(ISNUMBER('Price History'!O85)),'Price History'!O85=0),"",'Price History'!O86/'Price History'!O85-1),"")</f>
        <v>-0.0173521126760564</v>
      </c>
      <c r="P85" s="143" t="n">
        <f aca="false">IFERROR(IF(OR(NOT(ISNUMBER('Price History'!P86)),NOT(ISNUMBER('Price History'!P85)),'Price History'!P85=0),"",'Price History'!P86/'Price History'!P85-1),"")</f>
        <v>-0.0340069957248348</v>
      </c>
      <c r="Q85" s="143" t="n">
        <f aca="false">IFERROR(IF(OR(NOT(ISNUMBER('Price History'!Q86)),NOT(ISNUMBER('Price History'!Q85)),'Price History'!Q85=0),"",'Price History'!Q86/'Price History'!Q85-1),"")</f>
        <v>-0.0113763917119194</v>
      </c>
      <c r="R85" s="143" t="n">
        <f aca="false">IFERROR(IF(OR(NOT(ISNUMBER('Price History'!R86)),NOT(ISNUMBER('Price History'!R85)),'Price History'!R85=0),"",'Price History'!R86/'Price History'!R85-1),"")</f>
        <v>-0.0213913690476191</v>
      </c>
      <c r="S85" s="143" t="n">
        <f aca="false">IFERROR(IF(OR(NOT(ISNUMBER('Price History'!S86)),NOT(ISNUMBER('Price History'!S85)),'Price History'!S85=0),"",'Price History'!S86/'Price History'!S85-1),"")</f>
        <v>-0.00719272265707649</v>
      </c>
      <c r="T85" s="143" t="n">
        <f aca="false">IFERROR(IF(OR(NOT(ISNUMBER('Price History'!T86)),NOT(ISNUMBER('Price History'!T85)),'Price History'!T85=0),"",'Price History'!T86/'Price History'!T85-1),"")</f>
        <v>-0.020683711577133</v>
      </c>
      <c r="U85" s="143" t="str">
        <f aca="false">IFERROR(IF(OR(NOT(ISNUMBER('Price History'!U86)),NOT(ISNUMBER('Price History'!U85)),'Price History'!U85=0),"",'Price History'!U86/'Price History'!U85-1),"")</f>
        <v/>
      </c>
      <c r="V85" s="144" t="n">
        <f aca="false">IFERROR(IF(OR(NOT(ISNUMBER('Price History'!V86)),NOT(ISNUMBER('Price History'!V85)),'Price History'!V85=0),"",'Price History'!V86/'Price History'!V85-1),"")</f>
        <v>-0.039161125918983</v>
      </c>
      <c r="W85" s="145" t="str">
        <f aca="false">IFERROR('Price History'!B3+(INDEX('Price History'!B:B,MATCH(9.99E+307,'Price History'!$A:$A))-'Price History'!B3)*(ROW()-3)/(MATCH(9.99E+307,'Returns (Calc)'!$A:$A)-3),"")</f>
        <v/>
      </c>
      <c r="X85" s="145" t="n">
        <f aca="false">IFERROR('Price History'!C3+(INDEX('Price History'!C:C,MATCH(9.99E+307,'Price History'!$A:$A))-'Price History'!C3)*(ROW()-3)/(MATCH(9.99E+307,'Returns (Calc)'!$A:$A)-3),"")</f>
        <v>22.3638993710692</v>
      </c>
      <c r="Y85" s="145" t="n">
        <f aca="false">IFERROR('Price History'!D3+(INDEX('Price History'!D:D,MATCH(9.99E+307,'Price History'!$A:$A))-'Price History'!D3)*(ROW()-3)/(MATCH(9.99E+307,'Returns (Calc)'!$A:$A)-3),"")</f>
        <v>281.853899371069</v>
      </c>
      <c r="Z85" s="145" t="n">
        <f aca="false">IFERROR('Price History'!E3+(INDEX('Price History'!E:E,MATCH(9.99E+307,'Price History'!$A:$A))-'Price History'!E3)*(ROW()-3)/(MATCH(9.99E+307,'Returns (Calc)'!$A:$A)-3),"")</f>
        <v>39.7106918238994</v>
      </c>
      <c r="AA85" s="145" t="n">
        <f aca="false">IFERROR('Price History'!F3+(INDEX('Price History'!F:F,MATCH(9.99E+307,'Price History'!$A:$A))-'Price History'!F3)*(ROW()-3)/(MATCH(9.99E+307,'Returns (Calc)'!$A:$A)-3),"")</f>
        <v>36.4708805031447</v>
      </c>
      <c r="AB85" s="145" t="n">
        <f aca="false">IFERROR('Price History'!G3+(INDEX('Price History'!G:G,MATCH(9.99E+307,'Price History'!$A:$A))-'Price History'!G3)*(ROW()-3)/(MATCH(9.99E+307,'Returns (Calc)'!$A:$A)-3),"")</f>
        <v>20.0296855345912</v>
      </c>
      <c r="AC85" s="145" t="n">
        <f aca="false">IFERROR('Price History'!H3+(INDEX('Price History'!H:H,MATCH(9.99E+307,'Price History'!$A:$A))-'Price History'!H3)*(ROW()-3)/(MATCH(9.99E+307,'Returns (Calc)'!$A:$A)-3),"")</f>
        <v>48.7133962264151</v>
      </c>
      <c r="AD85" s="145" t="n">
        <f aca="false">IFERROR('Price History'!I3+(INDEX('Price History'!I:I,MATCH(9.99E+307,'Price History'!$A:$A))-'Price History'!I3)*(ROW()-3)/(MATCH(9.99E+307,'Returns (Calc)'!$A:$A)-3),"")</f>
        <v>21.4776729559748</v>
      </c>
      <c r="AE85" s="145" t="n">
        <f aca="false">IFERROR('Price History'!J3+(INDEX('Price History'!J:J,MATCH(9.99E+307,'Price History'!$A:$A))-'Price History'!J3)*(ROW()-3)/(MATCH(9.99E+307,'Returns (Calc)'!$A:$A)-3),"")</f>
        <v>33.4683647798742</v>
      </c>
      <c r="AF85" s="145" t="n">
        <f aca="false">IFERROR('Price History'!K3+(INDEX('Price History'!K:K,MATCH(9.99E+307,'Price History'!$A:$A))-'Price History'!K3)*(ROW()-3)/(MATCH(9.99E+307,'Returns (Calc)'!$A:$A)-3),"")</f>
        <v>21.1967924528302</v>
      </c>
      <c r="AG85" s="145" t="n">
        <f aca="false">IFERROR('Price History'!L3+(INDEX('Price History'!L:L,MATCH(9.99E+307,'Price History'!$A:$A))-'Price History'!L3)*(ROW()-3)/(MATCH(9.99E+307,'Returns (Calc)'!$A:$A)-3),"")</f>
        <v>54.1615094339623</v>
      </c>
      <c r="AH85" s="145" t="n">
        <f aca="false">IFERROR('Price History'!M3+(INDEX('Price History'!M:M,MATCH(9.99E+307,'Price History'!$A:$A))-'Price History'!M3)*(ROW()-3)/(MATCH(9.99E+307,'Returns (Calc)'!$A:$A)-3),"")</f>
        <v>7.42396226415094</v>
      </c>
      <c r="AI85" s="145" t="n">
        <f aca="false">IFERROR('Price History'!N3+(INDEX('Price History'!N:N,MATCH(9.99E+307,'Price History'!$A:$A))-'Price History'!N3)*(ROW()-3)/(MATCH(9.99E+307,'Returns (Calc)'!$A:$A)-3),"")</f>
        <v>10.5572327044025</v>
      </c>
      <c r="AJ85" s="145" t="n">
        <f aca="false">IFERROR('Price History'!O3+(INDEX('Price History'!O:O,MATCH(9.99E+307,'Price History'!$A:$A))-'Price History'!O3)*(ROW()-3)/(MATCH(9.99E+307,'Returns (Calc)'!$A:$A)-3),"")</f>
        <v>27.9088679245283</v>
      </c>
      <c r="AK85" s="145" t="n">
        <f aca="false">IFERROR('Price History'!Q3+(INDEX('Price History'!Q:Q,MATCH(9.99E+307,'Price History'!$A:$A))-'Price History'!Q3)*(ROW()-3)/(MATCH(9.99E+307,'Returns (Calc)'!$A:$A)-3),"")</f>
        <v>114.110125786164</v>
      </c>
      <c r="AL85" s="145" t="n">
        <f aca="false">IFERROR('Price History'!R3+(INDEX('Price History'!R:R,MATCH(9.99E+307,'Price History'!$A:$A))-'Price History'!R3)*(ROW()-3)/(MATCH(9.99E+307,'Returns (Calc)'!$A:$A)-3),"")</f>
        <v>23.1581132075472</v>
      </c>
      <c r="AM85" s="145" t="n">
        <f aca="false">IFERROR('Price History'!S3+(INDEX('Price History'!S:S,MATCH(9.99E+307,'Price History'!$A:$A))-'Price History'!S3)*(ROW()-3)/(MATCH(9.99E+307,'Returns (Calc)'!$A:$A)-3),"")</f>
        <v>28.3495597484277</v>
      </c>
      <c r="AN85" s="145" t="n">
        <f aca="false">IFERROR('Price History'!T3+(INDEX('Price History'!T:T,MATCH(9.99E+307,'Price History'!$A:$A))-'Price History'!T3)*(ROW()-3)/(MATCH(9.99E+307,'Returns (Calc)'!$A:$A)-3),"")</f>
        <v>13.0318867924528</v>
      </c>
      <c r="AO85" s="146" t="n">
        <f aca="false">IFERROR('Price History'!V3+(INDEX('Price History'!V:V,MATCH(9.99E+307,'Price History'!$A:$A))-'Price History'!V3)*(ROW()-3)/(MATCH(9.99E+307,'Returns (Calc)'!$A:$A)-3),"")</f>
        <v>0</v>
      </c>
    </row>
    <row r="86" customFormat="false" ht="15" hidden="false" customHeight="true" outlineLevel="0" collapsed="false">
      <c r="A86" s="142" t="n">
        <f aca="false">IF('Price History'!A87="","",'Price History'!A87)</f>
        <v>45772</v>
      </c>
      <c r="B86" s="143" t="n">
        <f aca="false">IFERROR(IF(OR(NOT(ISNUMBER('Price History'!B87)),NOT(ISNUMBER('Price History'!B86)),'Price History'!B86=0),"",'Price History'!B87/'Price History'!B86-1),"")</f>
        <v>0.0542431192660551</v>
      </c>
      <c r="C86" s="143" t="n">
        <f aca="false">IFERROR(IF(OR(NOT(ISNUMBER('Price History'!C87)),NOT(ISNUMBER('Price History'!C86)),'Price History'!C86=0),"",'Price History'!C87/'Price History'!C86-1),"")</f>
        <v>0.0942415730337078</v>
      </c>
      <c r="D86" s="143" t="n">
        <f aca="false">IFERROR(IF(OR(NOT(ISNUMBER('Price History'!D87)),NOT(ISNUMBER('Price History'!D86)),'Price History'!D86=0),"",'Price History'!D87/'Price History'!D86-1),"")</f>
        <v>0.0579696394686906</v>
      </c>
      <c r="E86" s="143" t="n">
        <f aca="false">IFERROR(IF(OR(NOT(ISNUMBER('Price History'!E87)),NOT(ISNUMBER('Price History'!E86)),'Price History'!E86=0),"",'Price History'!E87/'Price History'!E86-1),"")</f>
        <v>0.124704212020823</v>
      </c>
      <c r="F86" s="143" t="n">
        <f aca="false">IFERROR(IF(OR(NOT(ISNUMBER('Price History'!F87)),NOT(ISNUMBER('Price History'!F86)),'Price History'!F86=0),"",'Price History'!F87/'Price History'!F86-1),"")</f>
        <v>0.0280956013221461</v>
      </c>
      <c r="G86" s="143" t="n">
        <f aca="false">IFERROR(IF(OR(NOT(ISNUMBER('Price History'!G87)),NOT(ISNUMBER('Price History'!G86)),'Price History'!G86=0),"",'Price History'!G87/'Price History'!G86-1),"")</f>
        <v>0.131203407880724</v>
      </c>
      <c r="H86" s="143" t="n">
        <f aca="false">IFERROR(IF(OR(NOT(ISNUMBER('Price History'!H87)),NOT(ISNUMBER('Price History'!H86)),'Price History'!H86=0),"",'Price History'!H87/'Price History'!H86-1),"")</f>
        <v>0.0143300092181347</v>
      </c>
      <c r="I86" s="143" t="n">
        <f aca="false">IFERROR(IF(OR(NOT(ISNUMBER('Price History'!I87)),NOT(ISNUMBER('Price History'!I86)),'Price History'!I86=0),"",'Price History'!I87/'Price History'!I86-1),"")</f>
        <v>0.0948893488298042</v>
      </c>
      <c r="J86" s="143" t="n">
        <f aca="false">IFERROR(IF(OR(NOT(ISNUMBER('Price History'!J87)),NOT(ISNUMBER('Price History'!J86)),'Price History'!J86=0),"",'Price History'!J87/'Price History'!J86-1),"")</f>
        <v>0.159551216669095</v>
      </c>
      <c r="K86" s="143" t="n">
        <f aca="false">IFERROR(IF(OR(NOT(ISNUMBER('Price History'!K87)),NOT(ISNUMBER('Price History'!K86)),'Price History'!K86=0),"",'Price History'!K87/'Price History'!K86-1),"")</f>
        <v>0.0938456979156377</v>
      </c>
      <c r="L86" s="143" t="n">
        <f aca="false">IFERROR(IF(OR(NOT(ISNUMBER('Price History'!L87)),NOT(ISNUMBER('Price History'!L86)),'Price History'!L86=0),"",'Price History'!L87/'Price History'!L86-1),"")</f>
        <v>0.00133758617141666</v>
      </c>
      <c r="M86" s="143" t="n">
        <f aca="false">IFERROR(IF(OR(NOT(ISNUMBER('Price History'!M87)),NOT(ISNUMBER('Price History'!M86)),'Price History'!M86=0),"",'Price History'!M87/'Price History'!M86-1),"")</f>
        <v>0.202601834079761</v>
      </c>
      <c r="N86" s="143" t="n">
        <f aca="false">IFERROR(IF(OR(NOT(ISNUMBER('Price History'!N87)),NOT(ISNUMBER('Price History'!N86)),'Price History'!N86=0),"",'Price History'!N87/'Price History'!N86-1),"")</f>
        <v>0.00996264009962644</v>
      </c>
      <c r="O86" s="143" t="n">
        <f aca="false">IFERROR(IF(OR(NOT(ISNUMBER('Price History'!O87)),NOT(ISNUMBER('Price History'!O86)),'Price History'!O86=0),"",'Price History'!O87/'Price History'!O86-1),"")</f>
        <v>0.0652448113748425</v>
      </c>
      <c r="P86" s="143" t="n">
        <f aca="false">IFERROR(IF(OR(NOT(ISNUMBER('Price History'!P87)),NOT(ISNUMBER('Price History'!P86)),'Price History'!P86=0),"",'Price History'!P87/'Price History'!P86-1),"")</f>
        <v>0.0880439884664386</v>
      </c>
      <c r="Q86" s="143" t="n">
        <f aca="false">IFERROR(IF(OR(NOT(ISNUMBER('Price History'!Q87)),NOT(ISNUMBER('Price History'!Q86)),'Price History'!Q86=0),"",'Price History'!Q87/'Price History'!Q86-1),"")</f>
        <v>0.0168773781760156</v>
      </c>
      <c r="R86" s="143" t="n">
        <f aca="false">IFERROR(IF(OR(NOT(ISNUMBER('Price History'!R87)),NOT(ISNUMBER('Price History'!R86)),'Price History'!R86=0),"",'Price History'!R87/'Price History'!R86-1),"")</f>
        <v>0.00361148070708994</v>
      </c>
      <c r="S86" s="143" t="n">
        <f aca="false">IFERROR(IF(OR(NOT(ISNUMBER('Price History'!S87)),NOT(ISNUMBER('Price History'!S86)),'Price History'!S86=0),"",'Price History'!S87/'Price History'!S86-1),"")</f>
        <v>0.00383549968037511</v>
      </c>
      <c r="T86" s="143" t="n">
        <f aca="false">IFERROR(IF(OR(NOT(ISNUMBER('Price History'!T87)),NOT(ISNUMBER('Price History'!T86)),'Price History'!T86=0),"",'Price History'!T87/'Price History'!T86-1),"")</f>
        <v>0.0170137870343208</v>
      </c>
      <c r="U86" s="143" t="str">
        <f aca="false">IFERROR(IF(OR(NOT(ISNUMBER('Price History'!U87)),NOT(ISNUMBER('Price History'!U86)),'Price History'!U86=0),"",'Price History'!U87/'Price History'!U86-1),"")</f>
        <v/>
      </c>
      <c r="V86" s="144" t="n">
        <f aca="false">IFERROR(IF(OR(NOT(ISNUMBER('Price History'!V87)),NOT(ISNUMBER('Price History'!V86)),'Price History'!V86=0),"",'Price History'!V87/'Price History'!V86-1),"")</f>
        <v>0.0116449213510548</v>
      </c>
      <c r="W86" s="145" t="str">
        <f aca="false">IFERROR('Price History'!B3+(INDEX('Price History'!B:B,MATCH(9.99E+307,'Price History'!$A:$A))-'Price History'!B3)*(ROW()-3)/(MATCH(9.99E+307,'Returns (Calc)'!$A:$A)-3),"")</f>
        <v/>
      </c>
      <c r="X86" s="145" t="n">
        <f aca="false">IFERROR('Price History'!C3+(INDEX('Price History'!C:C,MATCH(9.99E+307,'Price History'!$A:$A))-'Price History'!C3)*(ROW()-3)/(MATCH(9.99E+307,'Returns (Calc)'!$A:$A)-3),"")</f>
        <v>22.0734591194969</v>
      </c>
      <c r="Y86" s="145" t="n">
        <f aca="false">IFERROR('Price History'!D3+(INDEX('Price History'!D:D,MATCH(9.99E+307,'Price History'!$A:$A))-'Price History'!D3)*(ROW()-3)/(MATCH(9.99E+307,'Returns (Calc)'!$A:$A)-3),"")</f>
        <v>278.193459119497</v>
      </c>
      <c r="Z86" s="145" t="n">
        <f aca="false">IFERROR('Price History'!E3+(INDEX('Price History'!E:E,MATCH(9.99E+307,'Price History'!$A:$A))-'Price History'!E3)*(ROW()-3)/(MATCH(9.99E+307,'Returns (Calc)'!$A:$A)-3),"")</f>
        <v>39.1949685534591</v>
      </c>
      <c r="AA86" s="145" t="n">
        <f aca="false">IFERROR('Price History'!F3+(INDEX('Price History'!F:F,MATCH(9.99E+307,'Price History'!$A:$A))-'Price History'!F3)*(ROW()-3)/(MATCH(9.99E+307,'Returns (Calc)'!$A:$A)-3),"")</f>
        <v>35.9972327044025</v>
      </c>
      <c r="AB86" s="145" t="n">
        <f aca="false">IFERROR('Price History'!G3+(INDEX('Price History'!G:G,MATCH(9.99E+307,'Price History'!$A:$A))-'Price History'!G3)*(ROW()-3)/(MATCH(9.99E+307,'Returns (Calc)'!$A:$A)-3),"")</f>
        <v>19.7695597484277</v>
      </c>
      <c r="AC86" s="145" t="n">
        <f aca="false">IFERROR('Price History'!H3+(INDEX('Price History'!H:H,MATCH(9.99E+307,'Price History'!$A:$A))-'Price History'!H3)*(ROW()-3)/(MATCH(9.99E+307,'Returns (Calc)'!$A:$A)-3),"")</f>
        <v>48.0807547169811</v>
      </c>
      <c r="AD86" s="145" t="n">
        <f aca="false">IFERROR('Price History'!I3+(INDEX('Price History'!I:I,MATCH(9.99E+307,'Price History'!$A:$A))-'Price History'!I3)*(ROW()-3)/(MATCH(9.99E+307,'Returns (Calc)'!$A:$A)-3),"")</f>
        <v>21.1987421383648</v>
      </c>
      <c r="AE86" s="145" t="n">
        <f aca="false">IFERROR('Price History'!J3+(INDEX('Price History'!J:J,MATCH(9.99E+307,'Price History'!$A:$A))-'Price History'!J3)*(ROW()-3)/(MATCH(9.99E+307,'Returns (Calc)'!$A:$A)-3),"")</f>
        <v>33.0337106918239</v>
      </c>
      <c r="AF86" s="145" t="n">
        <f aca="false">IFERROR('Price History'!K3+(INDEX('Price History'!K:K,MATCH(9.99E+307,'Price History'!$A:$A))-'Price History'!K3)*(ROW()-3)/(MATCH(9.99E+307,'Returns (Calc)'!$A:$A)-3),"")</f>
        <v>20.9215094339623</v>
      </c>
      <c r="AG86" s="145" t="n">
        <f aca="false">IFERROR('Price History'!L3+(INDEX('Price History'!L:L,MATCH(9.99E+307,'Price History'!$A:$A))-'Price History'!L3)*(ROW()-3)/(MATCH(9.99E+307,'Returns (Calc)'!$A:$A)-3),"")</f>
        <v>53.4581132075472</v>
      </c>
      <c r="AH86" s="145" t="n">
        <f aca="false">IFERROR('Price History'!M3+(INDEX('Price History'!M:M,MATCH(9.99E+307,'Price History'!$A:$A))-'Price History'!M3)*(ROW()-3)/(MATCH(9.99E+307,'Returns (Calc)'!$A:$A)-3),"")</f>
        <v>7.32754716981132</v>
      </c>
      <c r="AI86" s="145" t="n">
        <f aca="false">IFERROR('Price History'!N3+(INDEX('Price History'!N:N,MATCH(9.99E+307,'Price History'!$A:$A))-'Price History'!N3)*(ROW()-3)/(MATCH(9.99E+307,'Returns (Calc)'!$A:$A)-3),"")</f>
        <v>10.4201257861635</v>
      </c>
      <c r="AJ86" s="145" t="n">
        <f aca="false">IFERROR('Price History'!O3+(INDEX('Price History'!O:O,MATCH(9.99E+307,'Price History'!$A:$A))-'Price History'!O3)*(ROW()-3)/(MATCH(9.99E+307,'Returns (Calc)'!$A:$A)-3),"")</f>
        <v>27.5464150943396</v>
      </c>
      <c r="AK86" s="145" t="n">
        <f aca="false">IFERROR('Price History'!Q3+(INDEX('Price History'!Q:Q,MATCH(9.99E+307,'Price History'!$A:$A))-'Price History'!Q3)*(ROW()-3)/(MATCH(9.99E+307,'Returns (Calc)'!$A:$A)-3),"")</f>
        <v>112.628176100629</v>
      </c>
      <c r="AL86" s="145" t="n">
        <f aca="false">IFERROR('Price History'!R3+(INDEX('Price History'!R:R,MATCH(9.99E+307,'Price History'!$A:$A))-'Price History'!R3)*(ROW()-3)/(MATCH(9.99E+307,'Returns (Calc)'!$A:$A)-3),"")</f>
        <v>22.857358490566</v>
      </c>
      <c r="AM86" s="145" t="n">
        <f aca="false">IFERROR('Price History'!S3+(INDEX('Price History'!S:S,MATCH(9.99E+307,'Price History'!$A:$A))-'Price History'!S3)*(ROW()-3)/(MATCH(9.99E+307,'Returns (Calc)'!$A:$A)-3),"")</f>
        <v>27.9813836477987</v>
      </c>
      <c r="AN86" s="145" t="n">
        <f aca="false">IFERROR('Price History'!T3+(INDEX('Price History'!T:T,MATCH(9.99E+307,'Price History'!$A:$A))-'Price History'!T3)*(ROW()-3)/(MATCH(9.99E+307,'Returns (Calc)'!$A:$A)-3),"")</f>
        <v>12.862641509434</v>
      </c>
      <c r="AO86" s="146" t="n">
        <f aca="false">IFERROR('Price History'!V3+(INDEX('Price History'!V:V,MATCH(9.99E+307,'Price History'!$A:$A))-'Price History'!V3)*(ROW()-3)/(MATCH(9.99E+307,'Returns (Calc)'!$A:$A)-3),"")</f>
        <v>0</v>
      </c>
    </row>
    <row r="87" customFormat="false" ht="15" hidden="false" customHeight="true" outlineLevel="0" collapsed="false">
      <c r="A87" s="142" t="n">
        <f aca="false">IF('Price History'!A88="","",'Price History'!A88)</f>
        <v>45779</v>
      </c>
      <c r="B87" s="143" t="n">
        <f aca="false">IFERROR(IF(OR(NOT(ISNUMBER('Price History'!B88)),NOT(ISNUMBER('Price History'!B87)),'Price History'!B87=0),"",'Price History'!B88/'Price History'!B87-1),"")</f>
        <v>0.0357609050364407</v>
      </c>
      <c r="C87" s="143" t="n">
        <f aca="false">IFERROR(IF(OR(NOT(ISNUMBER('Price History'!C88)),NOT(ISNUMBER('Price History'!C87)),'Price History'!C87=0),"",'Price History'!C88/'Price History'!C87-1),"")</f>
        <v>0.168271082017713</v>
      </c>
      <c r="D87" s="143" t="n">
        <f aca="false">IFERROR(IF(OR(NOT(ISNUMBER('Price History'!D88)),NOT(ISNUMBER('Price History'!D87)),'Price History'!D87=0),"",'Price History'!D88/'Price History'!D87-1),"")</f>
        <v>0.0224494066301977</v>
      </c>
      <c r="E87" s="143" t="n">
        <f aca="false">IFERROR(IF(OR(NOT(ISNUMBER('Price History'!E88)),NOT(ISNUMBER('Price History'!E87)),'Price History'!E87=0),"",'Price History'!E88/'Price History'!E87-1),"")</f>
        <v>0.0589101620029455</v>
      </c>
      <c r="F87" s="143" t="n">
        <f aca="false">IFERROR(IF(OR(NOT(ISNUMBER('Price History'!F88)),NOT(ISNUMBER('Price History'!F87)),'Price History'!F87=0),"",'Price History'!F88/'Price History'!F87-1),"")</f>
        <v>0.0338815382712996</v>
      </c>
      <c r="G87" s="143" t="n">
        <f aca="false">IFERROR(IF(OR(NOT(ISNUMBER('Price History'!G88)),NOT(ISNUMBER('Price History'!G87)),'Price History'!G87=0),"",'Price History'!G88/'Price History'!G87-1),"")</f>
        <v>0.0369045377518358</v>
      </c>
      <c r="H87" s="143" t="n">
        <f aca="false">IFERROR(IF(OR(NOT(ISNUMBER('Price History'!H88)),NOT(ISNUMBER('Price History'!H87)),'Price History'!H87=0),"",'Price History'!H88/'Price History'!H87-1),"")</f>
        <v>0.016606080634501</v>
      </c>
      <c r="I87" s="143" t="n">
        <f aca="false">IFERROR(IF(OR(NOT(ISNUMBER('Price History'!I88)),NOT(ISNUMBER('Price History'!I87)),'Price History'!I87=0),"",'Price History'!I88/'Price History'!I87-1),"")</f>
        <v>0.00508942852988237</v>
      </c>
      <c r="J87" s="143" t="n">
        <f aca="false">IFERROR(IF(OR(NOT(ISNUMBER('Price History'!J88)),NOT(ISNUMBER('Price History'!J87)),'Price History'!J87=0),"",'Price History'!J88/'Price History'!J87-1),"")</f>
        <v>0.0116863533551144</v>
      </c>
      <c r="K87" s="143" t="n">
        <f aca="false">IFERROR(IF(OR(NOT(ISNUMBER('Price History'!K88)),NOT(ISNUMBER('Price History'!K87)),'Price History'!K87=0),"",'Price History'!K88/'Price History'!K87-1),"")</f>
        <v>0.0314277973448929</v>
      </c>
      <c r="L87" s="143" t="n">
        <f aca="false">IFERROR(IF(OR(NOT(ISNUMBER('Price History'!L88)),NOT(ISNUMBER('Price History'!L87)),'Price History'!L87=0),"",'Price History'!L88/'Price History'!L87-1),"")</f>
        <v>0.0310316481709825</v>
      </c>
      <c r="M87" s="143" t="n">
        <f aca="false">IFERROR(IF(OR(NOT(ISNUMBER('Price History'!M88)),NOT(ISNUMBER('Price History'!M87)),'Price History'!M87=0),"",'Price History'!M88/'Price History'!M87-1),"")</f>
        <v>0.101968434119525</v>
      </c>
      <c r="N87" s="143" t="n">
        <f aca="false">IFERROR(IF(OR(NOT(ISNUMBER('Price History'!N88)),NOT(ISNUMBER('Price History'!N87)),'Price History'!N87=0),"",'Price History'!N88/'Price History'!N87-1),"")</f>
        <v>0.0152075626798192</v>
      </c>
      <c r="O87" s="143" t="n">
        <f aca="false">IFERROR(IF(OR(NOT(ISNUMBER('Price History'!O88)),NOT(ISNUMBER('Price History'!O87)),'Price History'!O87=0),"",'Price History'!O88/'Price History'!O87-1),"")</f>
        <v>0.0402583423035521</v>
      </c>
      <c r="P87" s="143" t="n">
        <f aca="false">IFERROR(IF(OR(NOT(ISNUMBER('Price History'!P88)),NOT(ISNUMBER('Price History'!P87)),'Price History'!P87=0),"",'Price History'!P88/'Price History'!P87-1),"")</f>
        <v>0.0859115000616295</v>
      </c>
      <c r="Q87" s="143" t="n">
        <f aca="false">IFERROR(IF(OR(NOT(ISNUMBER('Price History'!Q88)),NOT(ISNUMBER('Price History'!Q87)),'Price History'!Q87=0),"",'Price History'!Q88/'Price History'!Q87-1),"")</f>
        <v>0.0370873317641378</v>
      </c>
      <c r="R87" s="143" t="n">
        <f aca="false">IFERROR(IF(OR(NOT(ISNUMBER('Price History'!R88)),NOT(ISNUMBER('Price History'!R87)),'Price History'!R87=0),"",'Price History'!R88/'Price History'!R87-1),"")</f>
        <v>-0.0187499999999999</v>
      </c>
      <c r="S87" s="143" t="n">
        <f aca="false">IFERROR(IF(OR(NOT(ISNUMBER('Price History'!S88)),NOT(ISNUMBER('Price History'!S87)),'Price History'!S87=0),"",'Price History'!S88/'Price History'!S87-1),"")</f>
        <v>-0.0215453194650818</v>
      </c>
      <c r="T87" s="143" t="n">
        <f aca="false">IFERROR(IF(OR(NOT(ISNUMBER('Price History'!T88)),NOT(ISNUMBER('Price History'!T87)),'Price History'!T87=0),"",'Price History'!T88/'Price History'!T87-1),"")</f>
        <v>-0.0164407268531872</v>
      </c>
      <c r="U87" s="143" t="str">
        <f aca="false">IFERROR(IF(OR(NOT(ISNUMBER('Price History'!U88)),NOT(ISNUMBER('Price History'!U87)),'Price History'!U87=0),"",'Price History'!U88/'Price History'!U87-1),"")</f>
        <v/>
      </c>
      <c r="V87" s="144" t="n">
        <f aca="false">IFERROR(IF(OR(NOT(ISNUMBER('Price History'!V88)),NOT(ISNUMBER('Price History'!V87)),'Price History'!V87=0),"",'Price History'!V88/'Price History'!V87-1),"")</f>
        <v>0.0214246971614536</v>
      </c>
      <c r="W87" s="145" t="str">
        <f aca="false">IFERROR('Price History'!B3+(INDEX('Price History'!B:B,MATCH(9.99E+307,'Price History'!$A:$A))-'Price History'!B3)*(ROW()-3)/(MATCH(9.99E+307,'Returns (Calc)'!$A:$A)-3),"")</f>
        <v/>
      </c>
      <c r="X87" s="145" t="n">
        <f aca="false">IFERROR('Price History'!C3+(INDEX('Price History'!C:C,MATCH(9.99E+307,'Price History'!$A:$A))-'Price History'!C3)*(ROW()-3)/(MATCH(9.99E+307,'Returns (Calc)'!$A:$A)-3),"")</f>
        <v>21.7830188679245</v>
      </c>
      <c r="Y87" s="145" t="n">
        <f aca="false">IFERROR('Price History'!D3+(INDEX('Price History'!D:D,MATCH(9.99E+307,'Price History'!$A:$A))-'Price History'!D3)*(ROW()-3)/(MATCH(9.99E+307,'Returns (Calc)'!$A:$A)-3),"")</f>
        <v>274.533018867925</v>
      </c>
      <c r="Z87" s="145" t="n">
        <f aca="false">IFERROR('Price History'!E3+(INDEX('Price History'!E:E,MATCH(9.99E+307,'Price History'!$A:$A))-'Price History'!E3)*(ROW()-3)/(MATCH(9.99E+307,'Returns (Calc)'!$A:$A)-3),"")</f>
        <v>38.6792452830189</v>
      </c>
      <c r="AA87" s="145" t="n">
        <f aca="false">IFERROR('Price History'!F3+(INDEX('Price History'!F:F,MATCH(9.99E+307,'Price History'!$A:$A))-'Price History'!F3)*(ROW()-3)/(MATCH(9.99E+307,'Returns (Calc)'!$A:$A)-3),"")</f>
        <v>35.5235849056604</v>
      </c>
      <c r="AB87" s="145" t="n">
        <f aca="false">IFERROR('Price History'!G3+(INDEX('Price History'!G:G,MATCH(9.99E+307,'Price History'!$A:$A))-'Price History'!G3)*(ROW()-3)/(MATCH(9.99E+307,'Returns (Calc)'!$A:$A)-3),"")</f>
        <v>19.5094339622642</v>
      </c>
      <c r="AC87" s="145" t="n">
        <f aca="false">IFERROR('Price History'!H3+(INDEX('Price History'!H:H,MATCH(9.99E+307,'Price History'!$A:$A))-'Price History'!H3)*(ROW()-3)/(MATCH(9.99E+307,'Returns (Calc)'!$A:$A)-3),"")</f>
        <v>47.4481132075472</v>
      </c>
      <c r="AD87" s="145" t="n">
        <f aca="false">IFERROR('Price History'!I3+(INDEX('Price History'!I:I,MATCH(9.99E+307,'Price History'!$A:$A))-'Price History'!I3)*(ROW()-3)/(MATCH(9.99E+307,'Returns (Calc)'!$A:$A)-3),"")</f>
        <v>20.9198113207547</v>
      </c>
      <c r="AE87" s="145" t="n">
        <f aca="false">IFERROR('Price History'!J3+(INDEX('Price History'!J:J,MATCH(9.99E+307,'Price History'!$A:$A))-'Price History'!J3)*(ROW()-3)/(MATCH(9.99E+307,'Returns (Calc)'!$A:$A)-3),"")</f>
        <v>32.5990566037736</v>
      </c>
      <c r="AF87" s="145" t="n">
        <f aca="false">IFERROR('Price History'!K3+(INDEX('Price History'!K:K,MATCH(9.99E+307,'Price History'!$A:$A))-'Price History'!K3)*(ROW()-3)/(MATCH(9.99E+307,'Returns (Calc)'!$A:$A)-3),"")</f>
        <v>20.6462264150943</v>
      </c>
      <c r="AG87" s="145" t="n">
        <f aca="false">IFERROR('Price History'!L3+(INDEX('Price History'!L:L,MATCH(9.99E+307,'Price History'!$A:$A))-'Price History'!L3)*(ROW()-3)/(MATCH(9.99E+307,'Returns (Calc)'!$A:$A)-3),"")</f>
        <v>52.7547169811321</v>
      </c>
      <c r="AH87" s="145" t="n">
        <f aca="false">IFERROR('Price History'!M3+(INDEX('Price History'!M:M,MATCH(9.99E+307,'Price History'!$A:$A))-'Price History'!M3)*(ROW()-3)/(MATCH(9.99E+307,'Returns (Calc)'!$A:$A)-3),"")</f>
        <v>7.2311320754717</v>
      </c>
      <c r="AI87" s="145" t="n">
        <f aca="false">IFERROR('Price History'!N3+(INDEX('Price History'!N:N,MATCH(9.99E+307,'Price History'!$A:$A))-'Price History'!N3)*(ROW()-3)/(MATCH(9.99E+307,'Returns (Calc)'!$A:$A)-3),"")</f>
        <v>10.2830188679245</v>
      </c>
      <c r="AJ87" s="145" t="n">
        <f aca="false">IFERROR('Price History'!O3+(INDEX('Price History'!O:O,MATCH(9.99E+307,'Price History'!$A:$A))-'Price History'!O3)*(ROW()-3)/(MATCH(9.99E+307,'Returns (Calc)'!$A:$A)-3),"")</f>
        <v>27.1839622641509</v>
      </c>
      <c r="AK87" s="145" t="n">
        <f aca="false">IFERROR('Price History'!Q3+(INDEX('Price History'!Q:Q,MATCH(9.99E+307,'Price History'!$A:$A))-'Price History'!Q3)*(ROW()-3)/(MATCH(9.99E+307,'Returns (Calc)'!$A:$A)-3),"")</f>
        <v>111.146226415094</v>
      </c>
      <c r="AL87" s="145" t="n">
        <f aca="false">IFERROR('Price History'!R3+(INDEX('Price History'!R:R,MATCH(9.99E+307,'Price History'!$A:$A))-'Price History'!R3)*(ROW()-3)/(MATCH(9.99E+307,'Returns (Calc)'!$A:$A)-3),"")</f>
        <v>22.5566037735849</v>
      </c>
      <c r="AM87" s="145" t="n">
        <f aca="false">IFERROR('Price History'!S3+(INDEX('Price History'!S:S,MATCH(9.99E+307,'Price History'!$A:$A))-'Price History'!S3)*(ROW()-3)/(MATCH(9.99E+307,'Returns (Calc)'!$A:$A)-3),"")</f>
        <v>27.6132075471698</v>
      </c>
      <c r="AN87" s="145" t="n">
        <f aca="false">IFERROR('Price History'!T3+(INDEX('Price History'!T:T,MATCH(9.99E+307,'Price History'!$A:$A))-'Price History'!T3)*(ROW()-3)/(MATCH(9.99E+307,'Returns (Calc)'!$A:$A)-3),"")</f>
        <v>12.6933962264151</v>
      </c>
      <c r="AO87" s="146" t="n">
        <f aca="false">IFERROR('Price History'!V3+(INDEX('Price History'!V:V,MATCH(9.99E+307,'Price History'!$A:$A))-'Price History'!V3)*(ROW()-3)/(MATCH(9.99E+307,'Returns (Calc)'!$A:$A)-3),"")</f>
        <v>0</v>
      </c>
    </row>
    <row r="88" customFormat="false" ht="15" hidden="false" customHeight="true" outlineLevel="0" collapsed="false">
      <c r="A88" s="142" t="n">
        <f aca="false">IF('Price History'!A89="","",'Price History'!A89)</f>
        <v>45786</v>
      </c>
      <c r="B88" s="143" t="n">
        <f aca="false">IFERROR(IF(OR(NOT(ISNUMBER('Price History'!B89)),NOT(ISNUMBER('Price History'!B88)),'Price History'!B88=0),"",'Price History'!B89/'Price History'!B88-1),"")</f>
        <v>0.00632761834746765</v>
      </c>
      <c r="C88" s="143" t="n">
        <f aca="false">IFERROR(IF(OR(NOT(ISNUMBER('Price History'!C89)),NOT(ISNUMBER('Price History'!C88)),'Price History'!C88=0),"",'Price History'!C89/'Price History'!C88-1),"")</f>
        <v>-0.049439683586025</v>
      </c>
      <c r="D88" s="143" t="n">
        <f aca="false">IFERROR(IF(OR(NOT(ISNUMBER('Price History'!D89)),NOT(ISNUMBER('Price History'!D88)),'Price History'!D88=0),"",'Price History'!D89/'Price History'!D88-1),"")</f>
        <v>0.0229943866214477</v>
      </c>
      <c r="E88" s="143" t="n">
        <f aca="false">IFERROR(IF(OR(NOT(ISNUMBER('Price History'!E89)),NOT(ISNUMBER('Price History'!E88)),'Price History'!E88=0),"",'Price History'!E89/'Price History'!E88-1),"")</f>
        <v>0.0224021458374728</v>
      </c>
      <c r="F88" s="143" t="n">
        <f aca="false">IFERROR(IF(OR(NOT(ISNUMBER('Price History'!F89)),NOT(ISNUMBER('Price History'!F88)),'Price History'!F88=0),"",'Price History'!F89/'Price History'!F88-1),"")</f>
        <v>0.011601483076187</v>
      </c>
      <c r="G88" s="143" t="n">
        <f aca="false">IFERROR(IF(OR(NOT(ISNUMBER('Price History'!G89)),NOT(ISNUMBER('Price History'!G88)),'Price History'!G88=0),"",'Price History'!G89/'Price History'!G88-1),"")</f>
        <v>-0.0680951516252043</v>
      </c>
      <c r="H88" s="143" t="n">
        <f aca="false">IFERROR(IF(OR(NOT(ISNUMBER('Price History'!H89)),NOT(ISNUMBER('Price History'!H88)),'Price History'!H88=0),"",'Price History'!H89/'Price History'!H88-1),"")</f>
        <v>-0.00121901665989432</v>
      </c>
      <c r="I88" s="143" t="n">
        <f aca="false">IFERROR(IF(OR(NOT(ISNUMBER('Price History'!I89)),NOT(ISNUMBER('Price History'!I88)),'Price History'!I88=0),"",'Price History'!I89/'Price History'!I88-1),"")</f>
        <v>0.00448495370370372</v>
      </c>
      <c r="J88" s="143" t="n">
        <f aca="false">IFERROR(IF(OR(NOT(ISNUMBER('Price History'!J89)),NOT(ISNUMBER('Price History'!J88)),'Price History'!J88=0),"",'Price History'!J89/'Price History'!J88-1),"")</f>
        <v>0.0637187926965595</v>
      </c>
      <c r="K88" s="143" t="n">
        <f aca="false">IFERROR(IF(OR(NOT(ISNUMBER('Price History'!K89)),NOT(ISNUMBER('Price History'!K88)),'Price History'!K88=0),"",'Price History'!K89/'Price History'!K88-1),"")</f>
        <v>0.0188249715436477</v>
      </c>
      <c r="L88" s="143" t="n">
        <f aca="false">IFERROR(IF(OR(NOT(ISNUMBER('Price History'!L89)),NOT(ISNUMBER('Price History'!L88)),'Price History'!L88=0),"",'Price History'!L89/'Price History'!L88-1),"")</f>
        <v>0.0142515447478573</v>
      </c>
      <c r="M88" s="143" t="n">
        <f aca="false">IFERROR(IF(OR(NOT(ISNUMBER('Price History'!M89)),NOT(ISNUMBER('Price History'!M88)),'Price History'!M88=0),"",'Price History'!M89/'Price History'!M88-1),"")</f>
        <v>-0.0561635017701964</v>
      </c>
      <c r="N88" s="143" t="n">
        <f aca="false">IFERROR(IF(OR(NOT(ISNUMBER('Price History'!N89)),NOT(ISNUMBER('Price History'!N88)),'Price History'!N88=0),"",'Price History'!N89/'Price History'!N88-1),"")</f>
        <v>-0.0129554655870445</v>
      </c>
      <c r="O88" s="143" t="n">
        <f aca="false">IFERROR(IF(OR(NOT(ISNUMBER('Price History'!O89)),NOT(ISNUMBER('Price History'!O88)),'Price History'!O88=0),"",'Price History'!O89/'Price History'!O88-1),"")</f>
        <v>0.00693294701986758</v>
      </c>
      <c r="P88" s="143" t="n">
        <f aca="false">IFERROR(IF(OR(NOT(ISNUMBER('Price History'!P89)),NOT(ISNUMBER('Price History'!P88)),'Price History'!P88=0),"",'Price History'!P89/'Price History'!P88-1),"")</f>
        <v>-0.0153802497162314</v>
      </c>
      <c r="Q88" s="143" t="n">
        <f aca="false">IFERROR(IF(OR(NOT(ISNUMBER('Price History'!Q89)),NOT(ISNUMBER('Price History'!Q88)),'Price History'!Q88=0),"",'Price History'!Q89/'Price History'!Q88-1),"")</f>
        <v>0.0141996682864376</v>
      </c>
      <c r="R88" s="143" t="n">
        <f aca="false">IFERROR(IF(OR(NOT(ISNUMBER('Price History'!R89)),NOT(ISNUMBER('Price History'!R88)),'Price History'!R88=0),"",'Price History'!R89/'Price History'!R88-1),"")</f>
        <v>-0.100559737502413</v>
      </c>
      <c r="S88" s="143" t="n">
        <f aca="false">IFERROR(IF(OR(NOT(ISNUMBER('Price History'!S89)),NOT(ISNUMBER('Price History'!S88)),'Price History'!S88=0),"",'Price History'!S89/'Price History'!S88-1),"")</f>
        <v>-0.107061503416857</v>
      </c>
      <c r="T88" s="143" t="n">
        <f aca="false">IFERROR(IF(OR(NOT(ISNUMBER('Price History'!T89)),NOT(ISNUMBER('Price History'!T88)),'Price History'!T88=0),"",'Price History'!T89/'Price History'!T88-1),"")</f>
        <v>-0.092375366568915</v>
      </c>
      <c r="U88" s="143" t="str">
        <f aca="false">IFERROR(IF(OR(NOT(ISNUMBER('Price History'!U89)),NOT(ISNUMBER('Price History'!U88)),'Price History'!U88=0),"",'Price History'!U89/'Price History'!U88-1),"")</f>
        <v/>
      </c>
      <c r="V88" s="144" t="n">
        <f aca="false">IFERROR(IF(OR(NOT(ISNUMBER('Price History'!V89)),NOT(ISNUMBER('Price History'!V88)),'Price History'!V88=0),"",'Price History'!V89/'Price History'!V88-1),"")</f>
        <v>-0.0866743369619731</v>
      </c>
      <c r="W88" s="145" t="str">
        <f aca="false">IFERROR('Price History'!B3+(INDEX('Price History'!B:B,MATCH(9.99E+307,'Price History'!$A:$A))-'Price History'!B3)*(ROW()-3)/(MATCH(9.99E+307,'Returns (Calc)'!$A:$A)-3),"")</f>
        <v/>
      </c>
      <c r="X88" s="145" t="n">
        <f aca="false">IFERROR('Price History'!C3+(INDEX('Price History'!C:C,MATCH(9.99E+307,'Price History'!$A:$A))-'Price History'!C3)*(ROW()-3)/(MATCH(9.99E+307,'Returns (Calc)'!$A:$A)-3),"")</f>
        <v>21.4925786163522</v>
      </c>
      <c r="Y88" s="145" t="n">
        <f aca="false">IFERROR('Price History'!D3+(INDEX('Price History'!D:D,MATCH(9.99E+307,'Price History'!$A:$A))-'Price History'!D3)*(ROW()-3)/(MATCH(9.99E+307,'Returns (Calc)'!$A:$A)-3),"")</f>
        <v>270.872578616352</v>
      </c>
      <c r="Z88" s="145" t="n">
        <f aca="false">IFERROR('Price History'!E3+(INDEX('Price History'!E:E,MATCH(9.99E+307,'Price History'!$A:$A))-'Price History'!E3)*(ROW()-3)/(MATCH(9.99E+307,'Returns (Calc)'!$A:$A)-3),"")</f>
        <v>38.1635220125786</v>
      </c>
      <c r="AA88" s="145" t="n">
        <f aca="false">IFERROR('Price History'!F3+(INDEX('Price History'!F:F,MATCH(9.99E+307,'Price History'!$A:$A))-'Price History'!F3)*(ROW()-3)/(MATCH(9.99E+307,'Returns (Calc)'!$A:$A)-3),"")</f>
        <v>35.0499371069182</v>
      </c>
      <c r="AB88" s="145" t="n">
        <f aca="false">IFERROR('Price History'!G3+(INDEX('Price History'!G:G,MATCH(9.99E+307,'Price History'!$A:$A))-'Price History'!G3)*(ROW()-3)/(MATCH(9.99E+307,'Returns (Calc)'!$A:$A)-3),"")</f>
        <v>19.2493081761006</v>
      </c>
      <c r="AC88" s="145" t="n">
        <f aca="false">IFERROR('Price History'!H3+(INDEX('Price History'!H:H,MATCH(9.99E+307,'Price History'!$A:$A))-'Price History'!H3)*(ROW()-3)/(MATCH(9.99E+307,'Returns (Calc)'!$A:$A)-3),"")</f>
        <v>46.8154716981132</v>
      </c>
      <c r="AD88" s="145" t="n">
        <f aca="false">IFERROR('Price History'!I3+(INDEX('Price History'!I:I,MATCH(9.99E+307,'Price History'!$A:$A))-'Price History'!I3)*(ROW()-3)/(MATCH(9.99E+307,'Returns (Calc)'!$A:$A)-3),"")</f>
        <v>20.6408805031447</v>
      </c>
      <c r="AE88" s="145" t="n">
        <f aca="false">IFERROR('Price History'!J3+(INDEX('Price History'!J:J,MATCH(9.99E+307,'Price History'!$A:$A))-'Price History'!J3)*(ROW()-3)/(MATCH(9.99E+307,'Returns (Calc)'!$A:$A)-3),"")</f>
        <v>32.1644025157233</v>
      </c>
      <c r="AF88" s="145" t="n">
        <f aca="false">IFERROR('Price History'!K3+(INDEX('Price History'!K:K,MATCH(9.99E+307,'Price History'!$A:$A))-'Price History'!K3)*(ROW()-3)/(MATCH(9.99E+307,'Returns (Calc)'!$A:$A)-3),"")</f>
        <v>20.3709433962264</v>
      </c>
      <c r="AG88" s="145" t="n">
        <f aca="false">IFERROR('Price History'!L3+(INDEX('Price History'!L:L,MATCH(9.99E+307,'Price History'!$A:$A))-'Price History'!L3)*(ROW()-3)/(MATCH(9.99E+307,'Returns (Calc)'!$A:$A)-3),"")</f>
        <v>52.051320754717</v>
      </c>
      <c r="AH88" s="145" t="n">
        <f aca="false">IFERROR('Price History'!M3+(INDEX('Price History'!M:M,MATCH(9.99E+307,'Price History'!$A:$A))-'Price History'!M3)*(ROW()-3)/(MATCH(9.99E+307,'Returns (Calc)'!$A:$A)-3),"")</f>
        <v>7.13471698113208</v>
      </c>
      <c r="AI88" s="145" t="n">
        <f aca="false">IFERROR('Price History'!N3+(INDEX('Price History'!N:N,MATCH(9.99E+307,'Price History'!$A:$A))-'Price History'!N3)*(ROW()-3)/(MATCH(9.99E+307,'Returns (Calc)'!$A:$A)-3),"")</f>
        <v>10.1459119496855</v>
      </c>
      <c r="AJ88" s="145" t="n">
        <f aca="false">IFERROR('Price History'!O3+(INDEX('Price History'!O:O,MATCH(9.99E+307,'Price History'!$A:$A))-'Price History'!O3)*(ROW()-3)/(MATCH(9.99E+307,'Returns (Calc)'!$A:$A)-3),"")</f>
        <v>26.8215094339623</v>
      </c>
      <c r="AK88" s="145" t="n">
        <f aca="false">IFERROR('Price History'!Q3+(INDEX('Price History'!Q:Q,MATCH(9.99E+307,'Price History'!$A:$A))-'Price History'!Q3)*(ROW()-3)/(MATCH(9.99E+307,'Returns (Calc)'!$A:$A)-3),"")</f>
        <v>109.66427672956</v>
      </c>
      <c r="AL88" s="145" t="n">
        <f aca="false">IFERROR('Price History'!R3+(INDEX('Price History'!R:R,MATCH(9.99E+307,'Price History'!$A:$A))-'Price History'!R3)*(ROW()-3)/(MATCH(9.99E+307,'Returns (Calc)'!$A:$A)-3),"")</f>
        <v>22.2558490566038</v>
      </c>
      <c r="AM88" s="145" t="n">
        <f aca="false">IFERROR('Price History'!S3+(INDEX('Price History'!S:S,MATCH(9.99E+307,'Price History'!$A:$A))-'Price History'!S3)*(ROW()-3)/(MATCH(9.99E+307,'Returns (Calc)'!$A:$A)-3),"")</f>
        <v>27.2450314465409</v>
      </c>
      <c r="AN88" s="145" t="n">
        <f aca="false">IFERROR('Price History'!T3+(INDEX('Price History'!T:T,MATCH(9.99E+307,'Price History'!$A:$A))-'Price History'!T3)*(ROW()-3)/(MATCH(9.99E+307,'Returns (Calc)'!$A:$A)-3),"")</f>
        <v>12.5241509433962</v>
      </c>
      <c r="AO88" s="146" t="n">
        <f aca="false">IFERROR('Price History'!V3+(INDEX('Price History'!V:V,MATCH(9.99E+307,'Price History'!$A:$A))-'Price History'!V3)*(ROW()-3)/(MATCH(9.99E+307,'Returns (Calc)'!$A:$A)-3),"")</f>
        <v>0</v>
      </c>
    </row>
    <row r="89" customFormat="false" ht="15" hidden="false" customHeight="true" outlineLevel="0" collapsed="false">
      <c r="A89" s="142" t="n">
        <f aca="false">IF('Price History'!A90="","",'Price History'!A90)</f>
        <v>45793</v>
      </c>
      <c r="B89" s="143" t="n">
        <f aca="false">IFERROR(IF(OR(NOT(ISNUMBER('Price History'!B90)),NOT(ISNUMBER('Price History'!B89)),'Price History'!B89=0),"",'Price History'!B90/'Price History'!B89-1),"")</f>
        <v>0.088316635357963</v>
      </c>
      <c r="C89" s="143" t="n">
        <f aca="false">IFERROR(IF(OR(NOT(ISNUMBER('Price History'!C90)),NOT(ISNUMBER('Price History'!C89)),'Price History'!C89=0),"",'Price History'!C90/'Price History'!C89-1),"")</f>
        <v>0.114424410540916</v>
      </c>
      <c r="D89" s="143" t="n">
        <f aca="false">IFERROR(IF(OR(NOT(ISNUMBER('Price History'!D90)),NOT(ISNUMBER('Price History'!D89)),'Price History'!D89=0),"",'Price History'!D90/'Price History'!D89-1),"")</f>
        <v>0.0593161000843088</v>
      </c>
      <c r="E89" s="143" t="n">
        <f aca="false">IFERROR(IF(OR(NOT(ISNUMBER('Price History'!E90)),NOT(ISNUMBER('Price History'!E89)),'Price History'!E89=0),"",'Price History'!E90/'Price History'!E89-1),"")</f>
        <v>0.0979934897731136</v>
      </c>
      <c r="F89" s="143" t="n">
        <f aca="false">IFERROR(IF(OR(NOT(ISNUMBER('Price History'!F90)),NOT(ISNUMBER('Price History'!F89)),'Price History'!F89=0),"",'Price History'!F90/'Price History'!F89-1),"")</f>
        <v>0.0489477417829274</v>
      </c>
      <c r="G89" s="143" t="n">
        <f aca="false">IFERROR(IF(OR(NOT(ISNUMBER('Price History'!G90)),NOT(ISNUMBER('Price History'!G89)),'Price History'!G89=0),"",'Price History'!G90/'Price History'!G89-1),"")</f>
        <v>0.0699532346063911</v>
      </c>
      <c r="H89" s="143" t="n">
        <f aca="false">IFERROR(IF(OR(NOT(ISNUMBER('Price History'!H90)),NOT(ISNUMBER('Price History'!H89)),'Price History'!H89=0),"",'Price History'!H90/'Price History'!H89-1),"")</f>
        <v>0.0320585842148087</v>
      </c>
      <c r="I89" s="143" t="n">
        <f aca="false">IFERROR(IF(OR(NOT(ISNUMBER('Price History'!I90)),NOT(ISNUMBER('Price History'!I89)),'Price History'!I89=0),"",'Price History'!I90/'Price History'!I89-1),"")</f>
        <v>0.128186662825868</v>
      </c>
      <c r="J89" s="143" t="n">
        <f aca="false">IFERROR(IF(OR(NOT(ISNUMBER('Price History'!J90)),NOT(ISNUMBER('Price History'!J89)),'Price History'!J89=0),"",'Price History'!J90/'Price History'!J89-1),"")</f>
        <v>0.14140588510042</v>
      </c>
      <c r="K89" s="143" t="n">
        <f aca="false">IFERROR(IF(OR(NOT(ISNUMBER('Price History'!K90)),NOT(ISNUMBER('Price History'!K89)),'Price History'!K89=0),"",'Price History'!K90/'Price History'!K89-1),"")</f>
        <v>0.160708147129598</v>
      </c>
      <c r="L89" s="143" t="n">
        <f aca="false">IFERROR(IF(OR(NOT(ISNUMBER('Price History'!L90)),NOT(ISNUMBER('Price History'!L89)),'Price History'!L89=0),"",'Price History'!L90/'Price History'!L89-1),"")</f>
        <v>0.033998231305886</v>
      </c>
      <c r="M89" s="143" t="n">
        <f aca="false">IFERROR(IF(OR(NOT(ISNUMBER('Price History'!M90)),NOT(ISNUMBER('Price History'!M89)),'Price History'!M89=0),"",'Price History'!M90/'Price History'!M89-1),"")</f>
        <v>0.104177323103154</v>
      </c>
      <c r="N89" s="143" t="n">
        <f aca="false">IFERROR(IF(OR(NOT(ISNUMBER('Price History'!N90)),NOT(ISNUMBER('Price History'!N89)),'Price History'!N89=0),"",'Price History'!N90/'Price History'!N89-1),"")</f>
        <v>0.0340442986054144</v>
      </c>
      <c r="O89" s="143" t="n">
        <f aca="false">IFERROR(IF(OR(NOT(ISNUMBER('Price History'!O90)),NOT(ISNUMBER('Price History'!O89)),'Price History'!O89=0),"",'Price History'!O90/'Price History'!O89-1),"")</f>
        <v>0.0682355359161444</v>
      </c>
      <c r="P89" s="143" t="n">
        <f aca="false">IFERROR(IF(OR(NOT(ISNUMBER('Price History'!P90)),NOT(ISNUMBER('Price History'!P89)),'Price History'!P89=0),"",'Price History'!P90/'Price History'!P89-1),"")</f>
        <v>0.100236324860222</v>
      </c>
      <c r="Q89" s="143" t="n">
        <f aca="false">IFERROR(IF(OR(NOT(ISNUMBER('Price History'!Q90)),NOT(ISNUMBER('Price History'!Q89)),'Price History'!Q89=0),"",'Price History'!Q90/'Price History'!Q89-1),"")</f>
        <v>0.0374121359919666</v>
      </c>
      <c r="R89" s="143" t="n">
        <f aca="false">IFERROR(IF(OR(NOT(ISNUMBER('Price History'!R90)),NOT(ISNUMBER('Price History'!R89)),'Price History'!R89=0),"",'Price History'!R90/'Price History'!R89-1),"")</f>
        <v>0.0630901287553647</v>
      </c>
      <c r="S89" s="143" t="n">
        <f aca="false">IFERROR(IF(OR(NOT(ISNUMBER('Price History'!S90)),NOT(ISNUMBER('Price History'!S89)),'Price History'!S89=0),"",'Price History'!S90/'Price History'!S89-1),"")</f>
        <v>0.0911078717201166</v>
      </c>
      <c r="T89" s="143" t="n">
        <f aca="false">IFERROR(IF(OR(NOT(ISNUMBER('Price History'!T90)),NOT(ISNUMBER('Price History'!T89)),'Price History'!T89=0),"",'Price History'!T90/'Price History'!T89-1),"")</f>
        <v>0.0197092084006463</v>
      </c>
      <c r="U89" s="143" t="str">
        <f aca="false">IFERROR(IF(OR(NOT(ISNUMBER('Price History'!U90)),NOT(ISNUMBER('Price History'!U89)),'Price History'!U89=0),"",'Price History'!U90/'Price History'!U89-1),"")</f>
        <v/>
      </c>
      <c r="V89" s="144" t="n">
        <f aca="false">IFERROR(IF(OR(NOT(ISNUMBER('Price History'!V90)),NOT(ISNUMBER('Price History'!V89)),'Price History'!V89=0),"",'Price History'!V90/'Price History'!V89-1),"")</f>
        <v>0.0647307729577829</v>
      </c>
      <c r="W89" s="145" t="str">
        <f aca="false">IFERROR('Price History'!B3+(INDEX('Price History'!B:B,MATCH(9.99E+307,'Price History'!$A:$A))-'Price History'!B3)*(ROW()-3)/(MATCH(9.99E+307,'Returns (Calc)'!$A:$A)-3),"")</f>
        <v/>
      </c>
      <c r="X89" s="145" t="n">
        <f aca="false">IFERROR('Price History'!C3+(INDEX('Price History'!C:C,MATCH(9.99E+307,'Price History'!$A:$A))-'Price History'!C3)*(ROW()-3)/(MATCH(9.99E+307,'Returns (Calc)'!$A:$A)-3),"")</f>
        <v>21.2021383647799</v>
      </c>
      <c r="Y89" s="145" t="n">
        <f aca="false">IFERROR('Price History'!D3+(INDEX('Price History'!D:D,MATCH(9.99E+307,'Price History'!$A:$A))-'Price History'!D3)*(ROW()-3)/(MATCH(9.99E+307,'Returns (Calc)'!$A:$A)-3),"")</f>
        <v>267.21213836478</v>
      </c>
      <c r="Z89" s="145" t="n">
        <f aca="false">IFERROR('Price History'!E3+(INDEX('Price History'!E:E,MATCH(9.99E+307,'Price History'!$A:$A))-'Price History'!E3)*(ROW()-3)/(MATCH(9.99E+307,'Returns (Calc)'!$A:$A)-3),"")</f>
        <v>37.6477987421384</v>
      </c>
      <c r="AA89" s="145" t="n">
        <f aca="false">IFERROR('Price History'!F3+(INDEX('Price History'!F:F,MATCH(9.99E+307,'Price History'!$A:$A))-'Price History'!F3)*(ROW()-3)/(MATCH(9.99E+307,'Returns (Calc)'!$A:$A)-3),"")</f>
        <v>34.5762893081761</v>
      </c>
      <c r="AB89" s="145" t="n">
        <f aca="false">IFERROR('Price History'!G3+(INDEX('Price History'!G:G,MATCH(9.99E+307,'Price History'!$A:$A))-'Price History'!G3)*(ROW()-3)/(MATCH(9.99E+307,'Returns (Calc)'!$A:$A)-3),"")</f>
        <v>18.9891823899371</v>
      </c>
      <c r="AC89" s="145" t="n">
        <f aca="false">IFERROR('Price History'!H3+(INDEX('Price History'!H:H,MATCH(9.99E+307,'Price History'!$A:$A))-'Price History'!H3)*(ROW()-3)/(MATCH(9.99E+307,'Returns (Calc)'!$A:$A)-3),"")</f>
        <v>46.1828301886793</v>
      </c>
      <c r="AD89" s="145" t="n">
        <f aca="false">IFERROR('Price History'!I3+(INDEX('Price History'!I:I,MATCH(9.99E+307,'Price History'!$A:$A))-'Price History'!I3)*(ROW()-3)/(MATCH(9.99E+307,'Returns (Calc)'!$A:$A)-3),"")</f>
        <v>20.3619496855346</v>
      </c>
      <c r="AE89" s="145" t="n">
        <f aca="false">IFERROR('Price History'!J3+(INDEX('Price History'!J:J,MATCH(9.99E+307,'Price History'!$A:$A))-'Price History'!J3)*(ROW()-3)/(MATCH(9.99E+307,'Returns (Calc)'!$A:$A)-3),"")</f>
        <v>31.729748427673</v>
      </c>
      <c r="AF89" s="145" t="n">
        <f aca="false">IFERROR('Price History'!K3+(INDEX('Price History'!K:K,MATCH(9.99E+307,'Price History'!$A:$A))-'Price History'!K3)*(ROW()-3)/(MATCH(9.99E+307,'Returns (Calc)'!$A:$A)-3),"")</f>
        <v>20.0956603773585</v>
      </c>
      <c r="AG89" s="145" t="n">
        <f aca="false">IFERROR('Price History'!L3+(INDEX('Price History'!L:L,MATCH(9.99E+307,'Price History'!$A:$A))-'Price History'!L3)*(ROW()-3)/(MATCH(9.99E+307,'Returns (Calc)'!$A:$A)-3),"")</f>
        <v>51.3479245283019</v>
      </c>
      <c r="AH89" s="145" t="n">
        <f aca="false">IFERROR('Price History'!M3+(INDEX('Price History'!M:M,MATCH(9.99E+307,'Price History'!$A:$A))-'Price History'!M3)*(ROW()-3)/(MATCH(9.99E+307,'Returns (Calc)'!$A:$A)-3),"")</f>
        <v>7.03830188679245</v>
      </c>
      <c r="AI89" s="145" t="n">
        <f aca="false">IFERROR('Price History'!N3+(INDEX('Price History'!N:N,MATCH(9.99E+307,'Price History'!$A:$A))-'Price History'!N3)*(ROW()-3)/(MATCH(9.99E+307,'Returns (Calc)'!$A:$A)-3),"")</f>
        <v>10.0088050314465</v>
      </c>
      <c r="AJ89" s="145" t="n">
        <f aca="false">IFERROR('Price History'!O3+(INDEX('Price History'!O:O,MATCH(9.99E+307,'Price History'!$A:$A))-'Price History'!O3)*(ROW()-3)/(MATCH(9.99E+307,'Returns (Calc)'!$A:$A)-3),"")</f>
        <v>26.4590566037736</v>
      </c>
      <c r="AK89" s="145" t="n">
        <f aca="false">IFERROR('Price History'!Q3+(INDEX('Price History'!Q:Q,MATCH(9.99E+307,'Price History'!$A:$A))-'Price History'!Q3)*(ROW()-3)/(MATCH(9.99E+307,'Returns (Calc)'!$A:$A)-3),"")</f>
        <v>108.182327044025</v>
      </c>
      <c r="AL89" s="145" t="n">
        <f aca="false">IFERROR('Price History'!R3+(INDEX('Price History'!R:R,MATCH(9.99E+307,'Price History'!$A:$A))-'Price History'!R3)*(ROW()-3)/(MATCH(9.99E+307,'Returns (Calc)'!$A:$A)-3),"")</f>
        <v>21.9550943396226</v>
      </c>
      <c r="AM89" s="145" t="n">
        <f aca="false">IFERROR('Price History'!S3+(INDEX('Price History'!S:S,MATCH(9.99E+307,'Price History'!$A:$A))-'Price History'!S3)*(ROW()-3)/(MATCH(9.99E+307,'Returns (Calc)'!$A:$A)-3),"")</f>
        <v>26.876855345912</v>
      </c>
      <c r="AN89" s="145" t="n">
        <f aca="false">IFERROR('Price History'!T3+(INDEX('Price History'!T:T,MATCH(9.99E+307,'Price History'!$A:$A))-'Price History'!T3)*(ROW()-3)/(MATCH(9.99E+307,'Returns (Calc)'!$A:$A)-3),"")</f>
        <v>12.3549056603774</v>
      </c>
      <c r="AO89" s="146" t="n">
        <f aca="false">IFERROR('Price History'!V3+(INDEX('Price History'!V:V,MATCH(9.99E+307,'Price History'!$A:$A))-'Price History'!V3)*(ROW()-3)/(MATCH(9.99E+307,'Returns (Calc)'!$A:$A)-3),"")</f>
        <v>0</v>
      </c>
    </row>
    <row r="90" customFormat="false" ht="15" hidden="false" customHeight="true" outlineLevel="0" collapsed="false">
      <c r="A90" s="142" t="n">
        <f aca="false">IF('Price History'!A91="","",'Price History'!A91)</f>
        <v>45800</v>
      </c>
      <c r="B90" s="143" t="n">
        <f aca="false">IFERROR(IF(OR(NOT(ISNUMBER('Price History'!B91)),NOT(ISNUMBER('Price History'!B90)),'Price History'!B90=0),"",'Price History'!B91/'Price History'!B90-1),"")</f>
        <v>-0.0226308345120226</v>
      </c>
      <c r="C90" s="143" t="n">
        <f aca="false">IFERROR(IF(OR(NOT(ISNUMBER('Price History'!C91)),NOT(ISNUMBER('Price History'!C90)),'Price History'!C90=0),"",'Price History'!C91/'Price History'!C90-1),"")</f>
        <v>-0.0541381456129434</v>
      </c>
      <c r="D90" s="143" t="n">
        <f aca="false">IFERROR(IF(OR(NOT(ISNUMBER('Price History'!D91)),NOT(ISNUMBER('Price History'!D90)),'Price History'!D90=0),"",'Price History'!D91/'Price History'!D90-1),"")</f>
        <v>-0.0208546916311445</v>
      </c>
      <c r="E90" s="143" t="n">
        <f aca="false">IFERROR(IF(OR(NOT(ISNUMBER('Price History'!E91)),NOT(ISNUMBER('Price History'!E90)),'Price History'!E90=0),"",'Price History'!E91/'Price History'!E90-1),"")</f>
        <v>0.00048672566371688</v>
      </c>
      <c r="F90" s="143" t="n">
        <f aca="false">IFERROR(IF(OR(NOT(ISNUMBER('Price History'!F91)),NOT(ISNUMBER('Price History'!F90)),'Price History'!F90=0),"",'Price History'!F91/'Price History'!F90-1),"")</f>
        <v>-0.0400135256988278</v>
      </c>
      <c r="G90" s="143" t="n">
        <f aca="false">IFERROR(IF(OR(NOT(ISNUMBER('Price History'!G91)),NOT(ISNUMBER('Price History'!G90)),'Price History'!G90=0),"",'Price History'!G91/'Price History'!G90-1),"")</f>
        <v>0.0371517027863779</v>
      </c>
      <c r="H90" s="143" t="n">
        <f aca="false">IFERROR(IF(OR(NOT(ISNUMBER('Price History'!H91)),NOT(ISNUMBER('Price History'!H90)),'Price History'!H90=0),"",'Price History'!H91/'Price History'!H90-1),"")</f>
        <v>-0.0258593503626616</v>
      </c>
      <c r="I90" s="143" t="n">
        <f aca="false">IFERROR(IF(OR(NOT(ISNUMBER('Price History'!I91)),NOT(ISNUMBER('Price History'!I90)),'Price History'!I90=0),"",'Price History'!I91/'Price History'!I90-1),"")</f>
        <v>-0.0405974722328609</v>
      </c>
      <c r="J90" s="143" t="n">
        <f aca="false">IFERROR(IF(OR(NOT(ISNUMBER('Price History'!J91)),NOT(ISNUMBER('Price History'!J90)),'Price History'!J90=0),"",'Price History'!J91/'Price History'!J90-1),"")</f>
        <v>-0.0472634271099744</v>
      </c>
      <c r="K90" s="143" t="n">
        <f aca="false">IFERROR(IF(OR(NOT(ISNUMBER('Price History'!K91)),NOT(ISNUMBER('Price History'!K90)),'Price History'!K90=0),"",'Price History'!K91/'Price History'!K90-1),"")</f>
        <v>-0.0303568784244039</v>
      </c>
      <c r="L90" s="143" t="n">
        <f aca="false">IFERROR(IF(OR(NOT(ISNUMBER('Price History'!L91)),NOT(ISNUMBER('Price History'!L90)),'Price History'!L90=0),"",'Price History'!L91/'Price History'!L90-1),"")</f>
        <v>-0.0588235294117647</v>
      </c>
      <c r="M90" s="143" t="n">
        <f aca="false">IFERROR(IF(OR(NOT(ISNUMBER('Price History'!M91)),NOT(ISNUMBER('Price History'!M90)),'Price History'!M90=0),"",'Price History'!M91/'Price History'!M90-1),"")</f>
        <v>-0.0479462631253861</v>
      </c>
      <c r="N90" s="143" t="n">
        <f aca="false">IFERROR(IF(OR(NOT(ISNUMBER('Price History'!N91)),NOT(ISNUMBER('Price History'!N90)),'Price History'!N90=0),"",'Price History'!N91/'Price History'!N90-1),"")</f>
        <v>-0.0269734232447442</v>
      </c>
      <c r="O90" s="143" t="n">
        <f aca="false">IFERROR(IF(OR(NOT(ISNUMBER('Price History'!O91)),NOT(ISNUMBER('Price History'!O90)),'Price History'!O90=0),"",'Price History'!O91/'Price History'!O90-1),"")</f>
        <v>-0.0223184223184224</v>
      </c>
      <c r="P90" s="143" t="n">
        <f aca="false">IFERROR(IF(OR(NOT(ISNUMBER('Price History'!P91)),NOT(ISNUMBER('Price History'!P90)),'Price History'!P90=0),"",'Price History'!P91/'Price History'!P90-1),"")</f>
        <v>-0.0115255658005029</v>
      </c>
      <c r="Q90" s="143" t="n">
        <f aca="false">IFERROR(IF(OR(NOT(ISNUMBER('Price History'!Q91)),NOT(ISNUMBER('Price History'!Q90)),'Price History'!Q90=0),"",'Price History'!Q91/'Price History'!Q90-1),"")</f>
        <v>-0.0317210099836831</v>
      </c>
      <c r="R90" s="143" t="n">
        <f aca="false">IFERROR(IF(OR(NOT(ISNUMBER('Price History'!R91)),NOT(ISNUMBER('Price History'!R90)),'Price History'!R90=0),"",'Price History'!R91/'Price History'!R90-1),"")</f>
        <v>-0.0161485668146951</v>
      </c>
      <c r="S90" s="143" t="n">
        <f aca="false">IFERROR(IF(OR(NOT(ISNUMBER('Price History'!S91)),NOT(ISNUMBER('Price History'!S90)),'Price History'!S90=0),"",'Price History'!S91/'Price History'!S90-1),"")</f>
        <v>-0.0173680694722778</v>
      </c>
      <c r="T90" s="143" t="n">
        <f aca="false">IFERROR(IF(OR(NOT(ISNUMBER('Price History'!T91)),NOT(ISNUMBER('Price History'!T90)),'Price History'!T90=0),"",'Price History'!T91/'Price History'!T90-1),"")</f>
        <v>0.00697084917617241</v>
      </c>
      <c r="U90" s="143" t="str">
        <f aca="false">IFERROR(IF(OR(NOT(ISNUMBER('Price History'!U91)),NOT(ISNUMBER('Price History'!U90)),'Price History'!U90=0),"",'Price History'!U91/'Price History'!U90-1),"")</f>
        <v/>
      </c>
      <c r="V90" s="144" t="str">
        <f aca="false">IFERROR(IF(OR(NOT(ISNUMBER('Price History'!V91)),NOT(ISNUMBER('Price History'!V90)),'Price History'!V90=0),"",'Price History'!V91/'Price History'!V90-1),"")</f>
        <v/>
      </c>
      <c r="W90" s="145" t="str">
        <f aca="false">IFERROR('Price History'!B3+(INDEX('Price History'!B:B,MATCH(9.99E+307,'Price History'!$A:$A))-'Price History'!B3)*(ROW()-3)/(MATCH(9.99E+307,'Returns (Calc)'!$A:$A)-3),"")</f>
        <v/>
      </c>
      <c r="X90" s="145" t="n">
        <f aca="false">IFERROR('Price History'!C3+(INDEX('Price History'!C:C,MATCH(9.99E+307,'Price History'!$A:$A))-'Price History'!C3)*(ROW()-3)/(MATCH(9.99E+307,'Returns (Calc)'!$A:$A)-3),"")</f>
        <v>20.9116981132076</v>
      </c>
      <c r="Y90" s="145" t="n">
        <f aca="false">IFERROR('Price History'!D3+(INDEX('Price History'!D:D,MATCH(9.99E+307,'Price History'!$A:$A))-'Price History'!D3)*(ROW()-3)/(MATCH(9.99E+307,'Returns (Calc)'!$A:$A)-3),"")</f>
        <v>263.551698113208</v>
      </c>
      <c r="Z90" s="145" t="n">
        <f aca="false">IFERROR('Price History'!E3+(INDEX('Price History'!E:E,MATCH(9.99E+307,'Price History'!$A:$A))-'Price History'!E3)*(ROW()-3)/(MATCH(9.99E+307,'Returns (Calc)'!$A:$A)-3),"")</f>
        <v>37.1320754716981</v>
      </c>
      <c r="AA90" s="145" t="n">
        <f aca="false">IFERROR('Price History'!F3+(INDEX('Price History'!F:F,MATCH(9.99E+307,'Price History'!$A:$A))-'Price History'!F3)*(ROW()-3)/(MATCH(9.99E+307,'Returns (Calc)'!$A:$A)-3),"")</f>
        <v>34.102641509434</v>
      </c>
      <c r="AB90" s="145" t="n">
        <f aca="false">IFERROR('Price History'!G3+(INDEX('Price History'!G:G,MATCH(9.99E+307,'Price History'!$A:$A))-'Price History'!G3)*(ROW()-3)/(MATCH(9.99E+307,'Returns (Calc)'!$A:$A)-3),"")</f>
        <v>18.7290566037736</v>
      </c>
      <c r="AC90" s="145" t="n">
        <f aca="false">IFERROR('Price History'!H3+(INDEX('Price History'!H:H,MATCH(9.99E+307,'Price History'!$A:$A))-'Price History'!H3)*(ROW()-3)/(MATCH(9.99E+307,'Returns (Calc)'!$A:$A)-3),"")</f>
        <v>45.5501886792453</v>
      </c>
      <c r="AD90" s="145" t="n">
        <f aca="false">IFERROR('Price History'!I3+(INDEX('Price History'!I:I,MATCH(9.99E+307,'Price History'!$A:$A))-'Price History'!I3)*(ROW()-3)/(MATCH(9.99E+307,'Returns (Calc)'!$A:$A)-3),"")</f>
        <v>20.0830188679245</v>
      </c>
      <c r="AE90" s="145" t="n">
        <f aca="false">IFERROR('Price History'!J3+(INDEX('Price History'!J:J,MATCH(9.99E+307,'Price History'!$A:$A))-'Price History'!J3)*(ROW()-3)/(MATCH(9.99E+307,'Returns (Calc)'!$A:$A)-3),"")</f>
        <v>31.2950943396226</v>
      </c>
      <c r="AF90" s="145" t="n">
        <f aca="false">IFERROR('Price History'!K3+(INDEX('Price History'!K:K,MATCH(9.99E+307,'Price History'!$A:$A))-'Price History'!K3)*(ROW()-3)/(MATCH(9.99E+307,'Returns (Calc)'!$A:$A)-3),"")</f>
        <v>19.8203773584906</v>
      </c>
      <c r="AG90" s="145" t="n">
        <f aca="false">IFERROR('Price History'!L3+(INDEX('Price History'!L:L,MATCH(9.99E+307,'Price History'!$A:$A))-'Price History'!L3)*(ROW()-3)/(MATCH(9.99E+307,'Returns (Calc)'!$A:$A)-3),"")</f>
        <v>50.6445283018868</v>
      </c>
      <c r="AH90" s="145" t="n">
        <f aca="false">IFERROR('Price History'!M3+(INDEX('Price History'!M:M,MATCH(9.99E+307,'Price History'!$A:$A))-'Price History'!M3)*(ROW()-3)/(MATCH(9.99E+307,'Returns (Calc)'!$A:$A)-3),"")</f>
        <v>6.94188679245283</v>
      </c>
      <c r="AI90" s="145" t="n">
        <f aca="false">IFERROR('Price History'!N3+(INDEX('Price History'!N:N,MATCH(9.99E+307,'Price History'!$A:$A))-'Price History'!N3)*(ROW()-3)/(MATCH(9.99E+307,'Returns (Calc)'!$A:$A)-3),"")</f>
        <v>9.87169811320755</v>
      </c>
      <c r="AJ90" s="145" t="n">
        <f aca="false">IFERROR('Price History'!O3+(INDEX('Price History'!O:O,MATCH(9.99E+307,'Price History'!$A:$A))-'Price History'!O3)*(ROW()-3)/(MATCH(9.99E+307,'Returns (Calc)'!$A:$A)-3),"")</f>
        <v>26.0966037735849</v>
      </c>
      <c r="AK90" s="145" t="n">
        <f aca="false">IFERROR('Price History'!Q3+(INDEX('Price History'!Q:Q,MATCH(9.99E+307,'Price History'!$A:$A))-'Price History'!Q3)*(ROW()-3)/(MATCH(9.99E+307,'Returns (Calc)'!$A:$A)-3),"")</f>
        <v>106.700377358491</v>
      </c>
      <c r="AL90" s="145" t="n">
        <f aca="false">IFERROR('Price History'!R3+(INDEX('Price History'!R:R,MATCH(9.99E+307,'Price History'!$A:$A))-'Price History'!R3)*(ROW()-3)/(MATCH(9.99E+307,'Returns (Calc)'!$A:$A)-3),"")</f>
        <v>21.6543396226415</v>
      </c>
      <c r="AM90" s="145" t="n">
        <f aca="false">IFERROR('Price History'!S3+(INDEX('Price History'!S:S,MATCH(9.99E+307,'Price History'!$A:$A))-'Price History'!S3)*(ROW()-3)/(MATCH(9.99E+307,'Returns (Calc)'!$A:$A)-3),"")</f>
        <v>26.508679245283</v>
      </c>
      <c r="AN90" s="145" t="n">
        <f aca="false">IFERROR('Price History'!T3+(INDEX('Price History'!T:T,MATCH(9.99E+307,'Price History'!$A:$A))-'Price History'!T3)*(ROW()-3)/(MATCH(9.99E+307,'Returns (Calc)'!$A:$A)-3),"")</f>
        <v>12.1856603773585</v>
      </c>
      <c r="AO90" s="146" t="n">
        <f aca="false">IFERROR('Price History'!V3+(INDEX('Price History'!V:V,MATCH(9.99E+307,'Price History'!$A:$A))-'Price History'!V3)*(ROW()-3)/(MATCH(9.99E+307,'Returns (Calc)'!$A:$A)-3),"")</f>
        <v>0</v>
      </c>
    </row>
    <row r="91" customFormat="false" ht="15" hidden="false" customHeight="true" outlineLevel="0" collapsed="false">
      <c r="A91" s="142" t="n">
        <f aca="false">IF('Price History'!A92="","",'Price History'!A92)</f>
        <v>45807</v>
      </c>
      <c r="B91" s="143" t="n">
        <f aca="false">IFERROR(IF(OR(NOT(ISNUMBER('Price History'!B92)),NOT(ISNUMBER('Price History'!B91)),'Price History'!B91=0),"",'Price History'!B92/'Price History'!B91-1),"")</f>
        <v>0.018151046137997</v>
      </c>
      <c r="C91" s="143" t="n">
        <f aca="false">IFERROR(IF(OR(NOT(ISNUMBER('Price History'!C92)),NOT(ISNUMBER('Price History'!C91)),'Price History'!C91=0),"",'Price History'!C92/'Price History'!C91-1),"")</f>
        <v>-0.05</v>
      </c>
      <c r="D91" s="143" t="n">
        <f aca="false">IFERROR(IF(OR(NOT(ISNUMBER('Price History'!D92)),NOT(ISNUMBER('Price History'!D91)),'Price History'!D91=0),"",'Price History'!D92/'Price History'!D91-1),"")</f>
        <v>0.00584134681619042</v>
      </c>
      <c r="E91" s="143" t="n">
        <f aca="false">IFERROR(IF(OR(NOT(ISNUMBER('Price History'!E92)),NOT(ISNUMBER('Price History'!E91)),'Price History'!E91=0),"",'Price History'!E92/'Price History'!E91-1),"")</f>
        <v>0.0583786652514262</v>
      </c>
      <c r="F91" s="143" t="n">
        <f aca="false">IFERROR(IF(OR(NOT(ISNUMBER('Price History'!F92)),NOT(ISNUMBER('Price History'!F91)),'Price History'!F91=0),"",'Price History'!F92/'Price History'!F91-1),"")</f>
        <v>0.0117412234354819</v>
      </c>
      <c r="G91" s="143" t="n">
        <f aca="false">IFERROR(IF(OR(NOT(ISNUMBER('Price History'!G92)),NOT(ISNUMBER('Price History'!G91)),'Price History'!G91=0),"",'Price History'!G92/'Price History'!G91-1),"")</f>
        <v>0.0345917471466197</v>
      </c>
      <c r="H91" s="143" t="n">
        <f aca="false">IFERROR(IF(OR(NOT(ISNUMBER('Price History'!H92)),NOT(ISNUMBER('Price History'!H91)),'Price History'!H91=0),"",'Price History'!H92/'Price History'!H91-1),"")</f>
        <v>0.00647458724506311</v>
      </c>
      <c r="I91" s="143" t="n">
        <f aca="false">IFERROR(IF(OR(NOT(ISNUMBER('Price History'!I92)),NOT(ISNUMBER('Price History'!I91)),'Price History'!I91=0),"",'Price History'!I92/'Price History'!I91-1),"")</f>
        <v>-0.000399201596806398</v>
      </c>
      <c r="J91" s="143" t="n">
        <f aca="false">IFERROR(IF(OR(NOT(ISNUMBER('Price History'!J92)),NOT(ISNUMBER('Price History'!J91)),'Price History'!J91=0),"",'Price History'!J92/'Price History'!J91-1),"")</f>
        <v>0.0117040695801569</v>
      </c>
      <c r="K91" s="143" t="n">
        <f aca="false">IFERROR(IF(OR(NOT(ISNUMBER('Price History'!K92)),NOT(ISNUMBER('Price History'!K91)),'Price History'!K91=0),"",'Price History'!K92/'Price History'!K91-1),"")</f>
        <v>0.0292455711667683</v>
      </c>
      <c r="L91" s="143" t="n">
        <f aca="false">IFERROR(IF(OR(NOT(ISNUMBER('Price History'!L92)),NOT(ISNUMBER('Price History'!L91)),'Price History'!L91=0),"",'Price History'!L92/'Price History'!L91-1),"")</f>
        <v>0.0438206785137316</v>
      </c>
      <c r="M91" s="143" t="n">
        <f aca="false">IFERROR(IF(OR(NOT(ISNUMBER('Price History'!M92)),NOT(ISNUMBER('Price History'!M91)),'Price History'!M91=0),"",'Price History'!M92/'Price History'!M91-1),"")</f>
        <v>0.0686886708296164</v>
      </c>
      <c r="N91" s="143" t="n">
        <f aca="false">IFERROR(IF(OR(NOT(ISNUMBER('Price History'!N92)),NOT(ISNUMBER('Price History'!N91)),'Price History'!N91=0),"",'Price History'!N92/'Price History'!N91-1),"")</f>
        <v>0.0110069302894416</v>
      </c>
      <c r="O91" s="143" t="n">
        <f aca="false">IFERROR(IF(OR(NOT(ISNUMBER('Price History'!O92)),NOT(ISNUMBER('Price History'!O91)),'Price History'!O91=0),"",'Price History'!O92/'Price History'!O91-1),"")</f>
        <v>0.0243038472891863</v>
      </c>
      <c r="P91" s="143" t="n">
        <f aca="false">IFERROR(IF(OR(NOT(ISNUMBER('Price History'!P92)),NOT(ISNUMBER('Price History'!P91)),'Price History'!P91=0),"",'Price History'!P92/'Price History'!P91-1),"")</f>
        <v>0.00699597201611191</v>
      </c>
      <c r="Q91" s="143" t="n">
        <f aca="false">IFERROR(IF(OR(NOT(ISNUMBER('Price History'!Q92)),NOT(ISNUMBER('Price History'!Q91)),'Price History'!Q91=0),"",'Price History'!Q92/'Price History'!Q91-1),"")</f>
        <v>0.0329601279561294</v>
      </c>
      <c r="R91" s="143" t="n">
        <f aca="false">IFERROR(IF(OR(NOT(ISNUMBER('Price History'!R92)),NOT(ISNUMBER('Price History'!R91)),'Price History'!R91=0),"",'Price History'!R92/'Price History'!R91-1),"")</f>
        <v>0.0482150184653263</v>
      </c>
      <c r="S91" s="143" t="n">
        <f aca="false">IFERROR(IF(OR(NOT(ISNUMBER('Price History'!S92)),NOT(ISNUMBER('Price History'!S91)),'Price History'!S91=0),"",'Price History'!S92/'Price History'!S91-1),"")</f>
        <v>0.0652617267165192</v>
      </c>
      <c r="T91" s="143" t="n">
        <f aca="false">IFERROR(IF(OR(NOT(ISNUMBER('Price History'!T92)),NOT(ISNUMBER('Price History'!T91)),'Price History'!T91=0),"",'Price History'!T92/'Price History'!T91-1),"")</f>
        <v>0.0330396475770924</v>
      </c>
      <c r="U91" s="143" t="str">
        <f aca="false">IFERROR(IF(OR(NOT(ISNUMBER('Price History'!U92)),NOT(ISNUMBER('Price History'!U91)),'Price History'!U91=0),"",'Price History'!U92/'Price History'!U91-1),"")</f>
        <v/>
      </c>
      <c r="V91" s="144" t="str">
        <f aca="false">IFERROR(IF(OR(NOT(ISNUMBER('Price History'!V92)),NOT(ISNUMBER('Price History'!V91)),'Price History'!V91=0),"",'Price History'!V92/'Price History'!V91-1),"")</f>
        <v/>
      </c>
      <c r="W91" s="145" t="str">
        <f aca="false">IFERROR('Price History'!B3+(INDEX('Price History'!B:B,MATCH(9.99E+307,'Price History'!$A:$A))-'Price History'!B3)*(ROW()-3)/(MATCH(9.99E+307,'Returns (Calc)'!$A:$A)-3),"")</f>
        <v/>
      </c>
      <c r="X91" s="145" t="n">
        <f aca="false">IFERROR('Price History'!C3+(INDEX('Price History'!C:C,MATCH(9.99E+307,'Price History'!$A:$A))-'Price History'!C3)*(ROW()-3)/(MATCH(9.99E+307,'Returns (Calc)'!$A:$A)-3),"")</f>
        <v>20.6212578616352</v>
      </c>
      <c r="Y91" s="145" t="n">
        <f aca="false">IFERROR('Price History'!D3+(INDEX('Price History'!D:D,MATCH(9.99E+307,'Price History'!$A:$A))-'Price History'!D3)*(ROW()-3)/(MATCH(9.99E+307,'Returns (Calc)'!$A:$A)-3),"")</f>
        <v>259.891257861635</v>
      </c>
      <c r="Z91" s="145" t="n">
        <f aca="false">IFERROR('Price History'!E3+(INDEX('Price History'!E:E,MATCH(9.99E+307,'Price History'!$A:$A))-'Price History'!E3)*(ROW()-3)/(MATCH(9.99E+307,'Returns (Calc)'!$A:$A)-3),"")</f>
        <v>36.6163522012579</v>
      </c>
      <c r="AA91" s="145" t="n">
        <f aca="false">IFERROR('Price History'!F3+(INDEX('Price History'!F:F,MATCH(9.99E+307,'Price History'!$A:$A))-'Price History'!F3)*(ROW()-3)/(MATCH(9.99E+307,'Returns (Calc)'!$A:$A)-3),"")</f>
        <v>33.6289937106918</v>
      </c>
      <c r="AB91" s="145" t="n">
        <f aca="false">IFERROR('Price History'!G3+(INDEX('Price History'!G:G,MATCH(9.99E+307,'Price History'!$A:$A))-'Price History'!G3)*(ROW()-3)/(MATCH(9.99E+307,'Returns (Calc)'!$A:$A)-3),"")</f>
        <v>18.4689308176101</v>
      </c>
      <c r="AC91" s="145" t="n">
        <f aca="false">IFERROR('Price History'!H3+(INDEX('Price History'!H:H,MATCH(9.99E+307,'Price History'!$A:$A))-'Price History'!H3)*(ROW()-3)/(MATCH(9.99E+307,'Returns (Calc)'!$A:$A)-3),"")</f>
        <v>44.9175471698113</v>
      </c>
      <c r="AD91" s="145" t="n">
        <f aca="false">IFERROR('Price History'!I3+(INDEX('Price History'!I:I,MATCH(9.99E+307,'Price History'!$A:$A))-'Price History'!I3)*(ROW()-3)/(MATCH(9.99E+307,'Returns (Calc)'!$A:$A)-3),"")</f>
        <v>19.8040880503145</v>
      </c>
      <c r="AE91" s="145" t="n">
        <f aca="false">IFERROR('Price History'!J3+(INDEX('Price History'!J:J,MATCH(9.99E+307,'Price History'!$A:$A))-'Price History'!J3)*(ROW()-3)/(MATCH(9.99E+307,'Returns (Calc)'!$A:$A)-3),"")</f>
        <v>30.8604402515723</v>
      </c>
      <c r="AF91" s="145" t="n">
        <f aca="false">IFERROR('Price History'!K3+(INDEX('Price History'!K:K,MATCH(9.99E+307,'Price History'!$A:$A))-'Price History'!K3)*(ROW()-3)/(MATCH(9.99E+307,'Returns (Calc)'!$A:$A)-3),"")</f>
        <v>19.5450943396226</v>
      </c>
      <c r="AG91" s="145" t="n">
        <f aca="false">IFERROR('Price History'!L3+(INDEX('Price History'!L:L,MATCH(9.99E+307,'Price History'!$A:$A))-'Price History'!L3)*(ROW()-3)/(MATCH(9.99E+307,'Returns (Calc)'!$A:$A)-3),"")</f>
        <v>49.9411320754717</v>
      </c>
      <c r="AH91" s="145" t="n">
        <f aca="false">IFERROR('Price History'!M3+(INDEX('Price History'!M:M,MATCH(9.99E+307,'Price History'!$A:$A))-'Price History'!M3)*(ROW()-3)/(MATCH(9.99E+307,'Returns (Calc)'!$A:$A)-3),"")</f>
        <v>6.84547169811321</v>
      </c>
      <c r="AI91" s="145" t="n">
        <f aca="false">IFERROR('Price History'!N3+(INDEX('Price History'!N:N,MATCH(9.99E+307,'Price History'!$A:$A))-'Price History'!N3)*(ROW()-3)/(MATCH(9.99E+307,'Returns (Calc)'!$A:$A)-3),"")</f>
        <v>9.73459119496855</v>
      </c>
      <c r="AJ91" s="145" t="n">
        <f aca="false">IFERROR('Price History'!O3+(INDEX('Price History'!O:O,MATCH(9.99E+307,'Price History'!$A:$A))-'Price History'!O3)*(ROW()-3)/(MATCH(9.99E+307,'Returns (Calc)'!$A:$A)-3),"")</f>
        <v>25.7341509433962</v>
      </c>
      <c r="AK91" s="145" t="n">
        <f aca="false">IFERROR('Price History'!Q3+(INDEX('Price History'!Q:Q,MATCH(9.99E+307,'Price History'!$A:$A))-'Price History'!Q3)*(ROW()-3)/(MATCH(9.99E+307,'Returns (Calc)'!$A:$A)-3),"")</f>
        <v>105.218427672956</v>
      </c>
      <c r="AL91" s="145" t="n">
        <f aca="false">IFERROR('Price History'!R3+(INDEX('Price History'!R:R,MATCH(9.99E+307,'Price History'!$A:$A))-'Price History'!R3)*(ROW()-3)/(MATCH(9.99E+307,'Returns (Calc)'!$A:$A)-3),"")</f>
        <v>21.3535849056604</v>
      </c>
      <c r="AM91" s="145" t="n">
        <f aca="false">IFERROR('Price History'!S3+(INDEX('Price History'!S:S,MATCH(9.99E+307,'Price History'!$A:$A))-'Price History'!S3)*(ROW()-3)/(MATCH(9.99E+307,'Returns (Calc)'!$A:$A)-3),"")</f>
        <v>26.1405031446541</v>
      </c>
      <c r="AN91" s="145" t="n">
        <f aca="false">IFERROR('Price History'!T3+(INDEX('Price History'!T:T,MATCH(9.99E+307,'Price History'!$A:$A))-'Price History'!T3)*(ROW()-3)/(MATCH(9.99E+307,'Returns (Calc)'!$A:$A)-3),"")</f>
        <v>12.0164150943396</v>
      </c>
      <c r="AO91" s="146" t="n">
        <f aca="false">IFERROR('Price History'!V3+(INDEX('Price History'!V:V,MATCH(9.99E+307,'Price History'!$A:$A))-'Price History'!V3)*(ROW()-3)/(MATCH(9.99E+307,'Returns (Calc)'!$A:$A)-3),"")</f>
        <v>0</v>
      </c>
    </row>
    <row r="92" customFormat="false" ht="15" hidden="false" customHeight="true" outlineLevel="0" collapsed="false">
      <c r="A92" s="142" t="n">
        <f aca="false">IF('Price History'!A93="","",'Price History'!A93)</f>
        <v>45814</v>
      </c>
      <c r="B92" s="143" t="n">
        <f aca="false">IFERROR(IF(OR(NOT(ISNUMBER('Price History'!B93)),NOT(ISNUMBER('Price History'!B92)),'Price History'!B92=0),"",'Price History'!B93/'Price History'!B92-1),"")</f>
        <v>0.00440868245440762</v>
      </c>
      <c r="C92" s="143" t="n">
        <f aca="false">IFERROR(IF(OR(NOT(ISNUMBER('Price History'!C93)),NOT(ISNUMBER('Price History'!C92)),'Price History'!C92=0),"",'Price History'!C93/'Price History'!C92-1),"")</f>
        <v>0.122460757156048</v>
      </c>
      <c r="D92" s="143" t="n">
        <f aca="false">IFERROR(IF(OR(NOT(ISNUMBER('Price History'!D93)),NOT(ISNUMBER('Price History'!D92)),'Price History'!D92=0),"",'Price History'!D93/'Price History'!D92-1),"")</f>
        <v>0.0220517737296262</v>
      </c>
      <c r="E92" s="143" t="n">
        <f aca="false">IFERROR(IF(OR(NOT(ISNUMBER('Price History'!E93)),NOT(ISNUMBER('Price History'!E92)),'Price History'!E92=0),"",'Price History'!E93/'Price History'!E92-1),"")</f>
        <v>0.0200576657891438</v>
      </c>
      <c r="F92" s="143" t="n">
        <f aca="false">IFERROR(IF(OR(NOT(ISNUMBER('Price History'!F93)),NOT(ISNUMBER('Price History'!F92)),'Price History'!F92=0),"",'Price History'!F93/'Price History'!F92-1),"")</f>
        <v>0.0184518974120924</v>
      </c>
      <c r="G92" s="143" t="n">
        <f aca="false">IFERROR(IF(OR(NOT(ISNUMBER('Price History'!G93)),NOT(ISNUMBER('Price History'!G92)),'Price History'!G92=0),"",'Price History'!G93/'Price History'!G92-1),"")</f>
        <v>-0.00627970128988464</v>
      </c>
      <c r="H92" s="143" t="n">
        <f aca="false">IFERROR(IF(OR(NOT(ISNUMBER('Price History'!H93)),NOT(ISNUMBER('Price History'!H92)),'Price History'!H92=0),"",'Price History'!H93/'Price History'!H92-1),"")</f>
        <v>0.00369893856545511</v>
      </c>
      <c r="I92" s="143" t="n">
        <f aca="false">IFERROR(IF(OR(NOT(ISNUMBER('Price History'!I93)),NOT(ISNUMBER('Price History'!I92)),'Price History'!I92=0),"",'Price History'!I93/'Price History'!I92-1),"")</f>
        <v>0.0674920127795526</v>
      </c>
      <c r="J92" s="143" t="n">
        <f aca="false">IFERROR(IF(OR(NOT(ISNUMBER('Price History'!J93)),NOT(ISNUMBER('Price History'!J92)),'Price History'!J92=0),"",'Price History'!J93/'Price History'!J92-1),"")</f>
        <v>0.149225217575886</v>
      </c>
      <c r="K92" s="143" t="n">
        <f aca="false">IFERROR(IF(OR(NOT(ISNUMBER('Price History'!K93)),NOT(ISNUMBER('Price History'!K92)),'Price History'!K92=0),"",'Price History'!K93/'Price History'!K92-1),"")</f>
        <v>0.048742488315157</v>
      </c>
      <c r="L92" s="143" t="n">
        <f aca="false">IFERROR(IF(OR(NOT(ISNUMBER('Price History'!L93)),NOT(ISNUMBER('Price History'!L92)),'Price History'!L92=0),"",'Price History'!L93/'Price History'!L92-1),"")</f>
        <v>0.0017411491584447</v>
      </c>
      <c r="M92" s="143" t="n">
        <f aca="false">IFERROR(IF(OR(NOT(ISNUMBER('Price History'!M93)),NOT(ISNUMBER('Price History'!M92)),'Price History'!M92=0),"",'Price History'!M93/'Price History'!M92-1),"")</f>
        <v>-0.0308089239641828</v>
      </c>
      <c r="N92" s="143" t="n">
        <f aca="false">IFERROR(IF(OR(NOT(ISNUMBER('Price History'!N93)),NOT(ISNUMBER('Price History'!N92)),'Price History'!N92=0),"",'Price History'!N93/'Price History'!N92-1),"")</f>
        <v>0.0141129032258063</v>
      </c>
      <c r="O92" s="143" t="n">
        <f aca="false">IFERROR(IF(OR(NOT(ISNUMBER('Price History'!O93)),NOT(ISNUMBER('Price History'!O92)),'Price History'!O92=0),"",'Price History'!O93/'Price History'!O92-1),"")</f>
        <v>0.0148895292987512</v>
      </c>
      <c r="P92" s="143" t="n">
        <f aca="false">IFERROR(IF(OR(NOT(ISNUMBER('Price History'!P93)),NOT(ISNUMBER('Price History'!P92)),'Price History'!P92=0),"",'Price History'!P93/'Price History'!P92-1),"")</f>
        <v>0.0613684210526315</v>
      </c>
      <c r="Q92" s="143" t="n">
        <f aca="false">IFERROR(IF(OR(NOT(ISNUMBER('Price History'!Q93)),NOT(ISNUMBER('Price History'!Q92)),'Price History'!Q92=0),"",'Price History'!Q93/'Price History'!Q92-1),"")</f>
        <v>0.0137698390753747</v>
      </c>
      <c r="R92" s="143" t="n">
        <f aca="false">IFERROR(IF(OR(NOT(ISNUMBER('Price History'!R93)),NOT(ISNUMBER('Price History'!R92)),'Price History'!R92=0),"",'Price History'!R93/'Price History'!R92-1),"")</f>
        <v>0.00782932080641996</v>
      </c>
      <c r="S92" s="143" t="n">
        <f aca="false">IFERROR(IF(OR(NOT(ISNUMBER('Price History'!S93)),NOT(ISNUMBER('Price History'!S92)),'Price History'!S92=0),"",'Price History'!S93/'Price History'!S92-1),"")</f>
        <v>0.0402042118698149</v>
      </c>
      <c r="T92" s="143" t="n">
        <f aca="false">IFERROR(IF(OR(NOT(ISNUMBER('Price History'!T93)),NOT(ISNUMBER('Price History'!T92)),'Price History'!T92=0),"",'Price History'!T93/'Price History'!T92-1),"")</f>
        <v>0.0191897654584223</v>
      </c>
      <c r="U92" s="143" t="str">
        <f aca="false">IFERROR(IF(OR(NOT(ISNUMBER('Price History'!U93)),NOT(ISNUMBER('Price History'!U92)),'Price History'!U92=0),"",'Price History'!U93/'Price History'!U92-1),"")</f>
        <v/>
      </c>
      <c r="V92" s="144" t="n">
        <f aca="false">IFERROR(IF(OR(NOT(ISNUMBER('Price History'!V93)),NOT(ISNUMBER('Price History'!V92)),'Price History'!V92=0),"",'Price History'!V93/'Price History'!V92-1),"")</f>
        <v>0.0370873317641378</v>
      </c>
      <c r="W92" s="145" t="str">
        <f aca="false">IFERROR('Price History'!B3+(INDEX('Price History'!B:B,MATCH(9.99E+307,'Price History'!$A:$A))-'Price History'!B3)*(ROW()-3)/(MATCH(9.99E+307,'Returns (Calc)'!$A:$A)-3),"")</f>
        <v/>
      </c>
      <c r="X92" s="145" t="n">
        <f aca="false">IFERROR('Price History'!C3+(INDEX('Price History'!C:C,MATCH(9.99E+307,'Price History'!$A:$A))-'Price History'!C3)*(ROW()-3)/(MATCH(9.99E+307,'Returns (Calc)'!$A:$A)-3),"")</f>
        <v>20.3308176100629</v>
      </c>
      <c r="Y92" s="145" t="n">
        <f aca="false">IFERROR('Price History'!D3+(INDEX('Price History'!D:D,MATCH(9.99E+307,'Price History'!$A:$A))-'Price History'!D3)*(ROW()-3)/(MATCH(9.99E+307,'Returns (Calc)'!$A:$A)-3),"")</f>
        <v>256.230817610063</v>
      </c>
      <c r="Z92" s="145" t="n">
        <f aca="false">IFERROR('Price History'!E3+(INDEX('Price History'!E:E,MATCH(9.99E+307,'Price History'!$A:$A))-'Price History'!E3)*(ROW()-3)/(MATCH(9.99E+307,'Returns (Calc)'!$A:$A)-3),"")</f>
        <v>36.1006289308176</v>
      </c>
      <c r="AA92" s="145" t="n">
        <f aca="false">IFERROR('Price History'!F3+(INDEX('Price History'!F:F,MATCH(9.99E+307,'Price History'!$A:$A))-'Price History'!F3)*(ROW()-3)/(MATCH(9.99E+307,'Returns (Calc)'!$A:$A)-3),"")</f>
        <v>33.1553459119497</v>
      </c>
      <c r="AB92" s="145" t="n">
        <f aca="false">IFERROR('Price History'!G3+(INDEX('Price History'!G:G,MATCH(9.99E+307,'Price History'!$A:$A))-'Price History'!G3)*(ROW()-3)/(MATCH(9.99E+307,'Returns (Calc)'!$A:$A)-3),"")</f>
        <v>18.2088050314465</v>
      </c>
      <c r="AC92" s="145" t="n">
        <f aca="false">IFERROR('Price History'!H3+(INDEX('Price History'!H:H,MATCH(9.99E+307,'Price History'!$A:$A))-'Price History'!H3)*(ROW()-3)/(MATCH(9.99E+307,'Returns (Calc)'!$A:$A)-3),"")</f>
        <v>44.2849056603774</v>
      </c>
      <c r="AD92" s="145" t="n">
        <f aca="false">IFERROR('Price History'!I3+(INDEX('Price History'!I:I,MATCH(9.99E+307,'Price History'!$A:$A))-'Price History'!I3)*(ROW()-3)/(MATCH(9.99E+307,'Returns (Calc)'!$A:$A)-3),"")</f>
        <v>19.5251572327044</v>
      </c>
      <c r="AE92" s="145" t="n">
        <f aca="false">IFERROR('Price History'!J3+(INDEX('Price History'!J:J,MATCH(9.99E+307,'Price History'!$A:$A))-'Price History'!J3)*(ROW()-3)/(MATCH(9.99E+307,'Returns (Calc)'!$A:$A)-3),"")</f>
        <v>30.425786163522</v>
      </c>
      <c r="AF92" s="145" t="n">
        <f aca="false">IFERROR('Price History'!K3+(INDEX('Price History'!K:K,MATCH(9.99E+307,'Price History'!$A:$A))-'Price History'!K3)*(ROW()-3)/(MATCH(9.99E+307,'Returns (Calc)'!$A:$A)-3),"")</f>
        <v>19.2698113207547</v>
      </c>
      <c r="AG92" s="145" t="n">
        <f aca="false">IFERROR('Price History'!L3+(INDEX('Price History'!L:L,MATCH(9.99E+307,'Price History'!$A:$A))-'Price History'!L3)*(ROW()-3)/(MATCH(9.99E+307,'Returns (Calc)'!$A:$A)-3),"")</f>
        <v>49.2377358490566</v>
      </c>
      <c r="AH92" s="145" t="n">
        <f aca="false">IFERROR('Price History'!M3+(INDEX('Price History'!M:M,MATCH(9.99E+307,'Price History'!$A:$A))-'Price History'!M3)*(ROW()-3)/(MATCH(9.99E+307,'Returns (Calc)'!$A:$A)-3),"")</f>
        <v>6.74905660377358</v>
      </c>
      <c r="AI92" s="145" t="n">
        <f aca="false">IFERROR('Price History'!N3+(INDEX('Price History'!N:N,MATCH(9.99E+307,'Price History'!$A:$A))-'Price History'!N3)*(ROW()-3)/(MATCH(9.99E+307,'Returns (Calc)'!$A:$A)-3),"")</f>
        <v>9.59748427672956</v>
      </c>
      <c r="AJ92" s="145" t="n">
        <f aca="false">IFERROR('Price History'!O3+(INDEX('Price History'!O:O,MATCH(9.99E+307,'Price History'!$A:$A))-'Price History'!O3)*(ROW()-3)/(MATCH(9.99E+307,'Returns (Calc)'!$A:$A)-3),"")</f>
        <v>25.3716981132075</v>
      </c>
      <c r="AK92" s="145" t="n">
        <f aca="false">IFERROR('Price History'!Q3+(INDEX('Price History'!Q:Q,MATCH(9.99E+307,'Price History'!$A:$A))-'Price History'!Q3)*(ROW()-3)/(MATCH(9.99E+307,'Returns (Calc)'!$A:$A)-3),"")</f>
        <v>103.736477987421</v>
      </c>
      <c r="AL92" s="145" t="n">
        <f aca="false">IFERROR('Price History'!R3+(INDEX('Price History'!R:R,MATCH(9.99E+307,'Price History'!$A:$A))-'Price History'!R3)*(ROW()-3)/(MATCH(9.99E+307,'Returns (Calc)'!$A:$A)-3),"")</f>
        <v>21.0528301886792</v>
      </c>
      <c r="AM92" s="145" t="n">
        <f aca="false">IFERROR('Price History'!S3+(INDEX('Price History'!S:S,MATCH(9.99E+307,'Price History'!$A:$A))-'Price History'!S3)*(ROW()-3)/(MATCH(9.99E+307,'Returns (Calc)'!$A:$A)-3),"")</f>
        <v>25.7723270440252</v>
      </c>
      <c r="AN92" s="145" t="n">
        <f aca="false">IFERROR('Price History'!T3+(INDEX('Price History'!T:T,MATCH(9.99E+307,'Price History'!$A:$A))-'Price History'!T3)*(ROW()-3)/(MATCH(9.99E+307,'Returns (Calc)'!$A:$A)-3),"")</f>
        <v>11.8471698113208</v>
      </c>
      <c r="AO92" s="146" t="n">
        <f aca="false">IFERROR('Price History'!V3+(INDEX('Price History'!V:V,MATCH(9.99E+307,'Price History'!$A:$A))-'Price History'!V3)*(ROW()-3)/(MATCH(9.99E+307,'Returns (Calc)'!$A:$A)-3),"")</f>
        <v>0</v>
      </c>
    </row>
    <row r="93" customFormat="false" ht="15" hidden="false" customHeight="true" outlineLevel="0" collapsed="false">
      <c r="A93" s="142" t="n">
        <f aca="false">IF('Price History'!A94="","",'Price History'!A94)</f>
        <v>45821</v>
      </c>
      <c r="B93" s="143" t="n">
        <f aca="false">IFERROR(IF(OR(NOT(ISNUMBER('Price History'!B94)),NOT(ISNUMBER('Price History'!B93)),'Price History'!B93=0),"",'Price History'!B94/'Price History'!B93-1),"")</f>
        <v>-0.06053919217116</v>
      </c>
      <c r="C93" s="143" t="n">
        <f aca="false">IFERROR(IF(OR(NOT(ISNUMBER('Price History'!C94)),NOT(ISNUMBER('Price History'!C93)),'Price History'!C93=0),"",'Price History'!C94/'Price History'!C93-1),"")</f>
        <v>-0.0503856041131106</v>
      </c>
      <c r="D93" s="143" t="n">
        <f aca="false">IFERROR(IF(OR(NOT(ISNUMBER('Price History'!D94)),NOT(ISNUMBER('Price History'!D93)),'Price History'!D93=0),"",'Price History'!D94/'Price History'!D93-1),"")</f>
        <v>0.0106003752345216</v>
      </c>
      <c r="E93" s="143" t="n">
        <f aca="false">IFERROR(IF(OR(NOT(ISNUMBER('Price History'!E94)),NOT(ISNUMBER('Price History'!E93)),'Price History'!E93=0),"",'Price History'!E94/'Price History'!E93-1),"")</f>
        <v>0.00716889926672404</v>
      </c>
      <c r="F93" s="143" t="n">
        <f aca="false">IFERROR(IF(OR(NOT(ISNUMBER('Price History'!F94)),NOT(ISNUMBER('Price History'!F93)),'Price History'!F93=0),"",'Price History'!F94/'Price History'!F93-1),"")</f>
        <v>-0.00603919781221518</v>
      </c>
      <c r="G93" s="143" t="n">
        <f aca="false">IFERROR(IF(OR(NOT(ISNUMBER('Price History'!G94)),NOT(ISNUMBER('Price History'!G93)),'Price History'!G93=0),"",'Price History'!G94/'Price History'!G93-1),"")</f>
        <v>0.0260461144321094</v>
      </c>
      <c r="H93" s="143" t="n">
        <f aca="false">IFERROR(IF(OR(NOT(ISNUMBER('Price History'!H94)),NOT(ISNUMBER('Price History'!H93)),'Price History'!H93=0),"",'Price History'!H94/'Price History'!H93-1),"")</f>
        <v>-0.00352507610959785</v>
      </c>
      <c r="I93" s="143" t="n">
        <f aca="false">IFERROR(IF(OR(NOT(ISNUMBER('Price History'!I94)),NOT(ISNUMBER('Price History'!I93)),'Price History'!I93=0),"",'Price History'!I94/'Price History'!I93-1),"")</f>
        <v>0.073824666417259</v>
      </c>
      <c r="J93" s="143" t="n">
        <f aca="false">IFERROR(IF(OR(NOT(ISNUMBER('Price History'!J94)),NOT(ISNUMBER('Price History'!J93)),'Price History'!J93=0),"",'Price History'!J94/'Price History'!J93-1),"")</f>
        <v>0.0649242704100481</v>
      </c>
      <c r="K93" s="143" t="n">
        <f aca="false">IFERROR(IF(OR(NOT(ISNUMBER('Price History'!K94)),NOT(ISNUMBER('Price History'!K93)),'Price History'!K93=0),"",'Price History'!K94/'Price History'!K93-1),"")</f>
        <v>0.00183927560837582</v>
      </c>
      <c r="L93" s="143" t="n">
        <f aca="false">IFERROR(IF(OR(NOT(ISNUMBER('Price History'!L94)),NOT(ISNUMBER('Price History'!L93)),'Price History'!L93=0),"",'Price History'!L94/'Price History'!L93-1),"")</f>
        <v>-0.0139049826187717</v>
      </c>
      <c r="M93" s="143" t="n">
        <f aca="false">IFERROR(IF(OR(NOT(ISNUMBER('Price History'!M94)),NOT(ISNUMBER('Price History'!M93)),'Price History'!M93=0),"",'Price History'!M94/'Price History'!M93-1),"")</f>
        <v>0.0757907923582839</v>
      </c>
      <c r="N93" s="143" t="n">
        <f aca="false">IFERROR(IF(OR(NOT(ISNUMBER('Price History'!N94)),NOT(ISNUMBER('Price History'!N93)),'Price History'!N93=0),"",'Price History'!N94/'Price History'!N93-1),"")</f>
        <v>0.0135188866799205</v>
      </c>
      <c r="O93" s="143" t="n">
        <f aca="false">IFERROR(IF(OR(NOT(ISNUMBER('Price History'!O94)),NOT(ISNUMBER('Price History'!O93)),'Price History'!O93=0),"",'Price History'!O94/'Price History'!O93-1),"")</f>
        <v>-0.00709891150023667</v>
      </c>
      <c r="P93" s="143" t="n">
        <f aca="false">IFERROR(IF(OR(NOT(ISNUMBER('Price History'!P94)),NOT(ISNUMBER('Price History'!P93)),'Price History'!P93=0),"",'Price History'!P94/'Price History'!P93-1),"")</f>
        <v>0.0325795894079144</v>
      </c>
      <c r="Q93" s="143" t="n">
        <f aca="false">IFERROR(IF(OR(NOT(ISNUMBER('Price History'!Q94)),NOT(ISNUMBER('Price History'!Q93)),'Price History'!Q93=0),"",'Price History'!Q94/'Price History'!Q93-1),"")</f>
        <v>-0.0469125027274711</v>
      </c>
      <c r="R93" s="143" t="n">
        <f aca="false">IFERROR(IF(OR(NOT(ISNUMBER('Price History'!R94)),NOT(ISNUMBER('Price History'!R93)),'Price History'!R93=0),"",'Price History'!R94/'Price History'!R93-1),"")</f>
        <v>0.00271897455816661</v>
      </c>
      <c r="S93" s="143" t="n">
        <f aca="false">IFERROR(IF(OR(NOT(ISNUMBER('Price History'!S94)),NOT(ISNUMBER('Price History'!S93)),'Price History'!S93=0),"",'Price History'!S94/'Price History'!S93-1),"")</f>
        <v>0.00695296523517386</v>
      </c>
      <c r="T93" s="143" t="n">
        <f aca="false">IFERROR(IF(OR(NOT(ISNUMBER('Price History'!T94)),NOT(ISNUMBER('Price History'!T93)),'Price History'!T93=0),"",'Price History'!T94/'Price History'!T93-1),"")</f>
        <v>-0.00179318589360433</v>
      </c>
      <c r="U93" s="143" t="str">
        <f aca="false">IFERROR(IF(OR(NOT(ISNUMBER('Price History'!U94)),NOT(ISNUMBER('Price History'!U93)),'Price History'!U93=0),"",'Price History'!U94/'Price History'!U93-1),"")</f>
        <v/>
      </c>
      <c r="V93" s="144" t="n">
        <f aca="false">IFERROR(IF(OR(NOT(ISNUMBER('Price History'!V94)),NOT(ISNUMBER('Price History'!V93)),'Price History'!V93=0),"",'Price History'!V94/'Price History'!V93-1),"")</f>
        <v>0.0141996682864376</v>
      </c>
      <c r="W93" s="145" t="str">
        <f aca="false">IFERROR('Price History'!B3+(INDEX('Price History'!B:B,MATCH(9.99E+307,'Price History'!$A:$A))-'Price History'!B3)*(ROW()-3)/(MATCH(9.99E+307,'Returns (Calc)'!$A:$A)-3),"")</f>
        <v/>
      </c>
      <c r="X93" s="145" t="n">
        <f aca="false">IFERROR('Price History'!C3+(INDEX('Price History'!C:C,MATCH(9.99E+307,'Price History'!$A:$A))-'Price History'!C3)*(ROW()-3)/(MATCH(9.99E+307,'Returns (Calc)'!$A:$A)-3),"")</f>
        <v>20.0403773584906</v>
      </c>
      <c r="Y93" s="145" t="n">
        <f aca="false">IFERROR('Price History'!D3+(INDEX('Price History'!D:D,MATCH(9.99E+307,'Price History'!$A:$A))-'Price History'!D3)*(ROW()-3)/(MATCH(9.99E+307,'Returns (Calc)'!$A:$A)-3),"")</f>
        <v>252.570377358491</v>
      </c>
      <c r="Z93" s="145" t="n">
        <f aca="false">IFERROR('Price History'!E3+(INDEX('Price History'!E:E,MATCH(9.99E+307,'Price History'!$A:$A))-'Price History'!E3)*(ROW()-3)/(MATCH(9.99E+307,'Returns (Calc)'!$A:$A)-3),"")</f>
        <v>35.5849056603774</v>
      </c>
      <c r="AA93" s="145" t="n">
        <f aca="false">IFERROR('Price History'!F3+(INDEX('Price History'!F:F,MATCH(9.99E+307,'Price History'!$A:$A))-'Price History'!F3)*(ROW()-3)/(MATCH(9.99E+307,'Returns (Calc)'!$A:$A)-3),"")</f>
        <v>32.6816981132075</v>
      </c>
      <c r="AB93" s="145" t="n">
        <f aca="false">IFERROR('Price History'!G3+(INDEX('Price History'!G:G,MATCH(9.99E+307,'Price History'!$A:$A))-'Price History'!G3)*(ROW()-3)/(MATCH(9.99E+307,'Returns (Calc)'!$A:$A)-3),"")</f>
        <v>17.948679245283</v>
      </c>
      <c r="AC93" s="145" t="n">
        <f aca="false">IFERROR('Price History'!H3+(INDEX('Price History'!H:H,MATCH(9.99E+307,'Price History'!$A:$A))-'Price History'!H3)*(ROW()-3)/(MATCH(9.99E+307,'Returns (Calc)'!$A:$A)-3),"")</f>
        <v>43.6522641509434</v>
      </c>
      <c r="AD93" s="145" t="n">
        <f aca="false">IFERROR('Price History'!I3+(INDEX('Price History'!I:I,MATCH(9.99E+307,'Price History'!$A:$A))-'Price History'!I3)*(ROW()-3)/(MATCH(9.99E+307,'Returns (Calc)'!$A:$A)-3),"")</f>
        <v>19.2462264150943</v>
      </c>
      <c r="AE93" s="145" t="n">
        <f aca="false">IFERROR('Price History'!J3+(INDEX('Price History'!J:J,MATCH(9.99E+307,'Price History'!$A:$A))-'Price History'!J3)*(ROW()-3)/(MATCH(9.99E+307,'Returns (Calc)'!$A:$A)-3),"")</f>
        <v>29.9911320754717</v>
      </c>
      <c r="AF93" s="145" t="n">
        <f aca="false">IFERROR('Price History'!K3+(INDEX('Price History'!K:K,MATCH(9.99E+307,'Price History'!$A:$A))-'Price History'!K3)*(ROW()-3)/(MATCH(9.99E+307,'Returns (Calc)'!$A:$A)-3),"")</f>
        <v>18.9945283018868</v>
      </c>
      <c r="AG93" s="145" t="n">
        <f aca="false">IFERROR('Price History'!L3+(INDEX('Price History'!L:L,MATCH(9.99E+307,'Price History'!$A:$A))-'Price History'!L3)*(ROW()-3)/(MATCH(9.99E+307,'Returns (Calc)'!$A:$A)-3),"")</f>
        <v>48.5343396226415</v>
      </c>
      <c r="AH93" s="145" t="n">
        <f aca="false">IFERROR('Price History'!M3+(INDEX('Price History'!M:M,MATCH(9.99E+307,'Price History'!$A:$A))-'Price History'!M3)*(ROW()-3)/(MATCH(9.99E+307,'Returns (Calc)'!$A:$A)-3),"")</f>
        <v>6.65264150943396</v>
      </c>
      <c r="AI93" s="145" t="n">
        <f aca="false">IFERROR('Price History'!N3+(INDEX('Price History'!N:N,MATCH(9.99E+307,'Price History'!$A:$A))-'Price History'!N3)*(ROW()-3)/(MATCH(9.99E+307,'Returns (Calc)'!$A:$A)-3),"")</f>
        <v>9.46037735849057</v>
      </c>
      <c r="AJ93" s="145" t="n">
        <f aca="false">IFERROR('Price History'!O3+(INDEX('Price History'!O:O,MATCH(9.99E+307,'Price History'!$A:$A))-'Price History'!O3)*(ROW()-3)/(MATCH(9.99E+307,'Returns (Calc)'!$A:$A)-3),"")</f>
        <v>25.0092452830189</v>
      </c>
      <c r="AK93" s="145" t="n">
        <f aca="false">IFERROR('Price History'!Q3+(INDEX('Price History'!Q:Q,MATCH(9.99E+307,'Price History'!$A:$A))-'Price History'!Q3)*(ROW()-3)/(MATCH(9.99E+307,'Returns (Calc)'!$A:$A)-3),"")</f>
        <v>102.254528301887</v>
      </c>
      <c r="AL93" s="145" t="n">
        <f aca="false">IFERROR('Price History'!R3+(INDEX('Price History'!R:R,MATCH(9.99E+307,'Price History'!$A:$A))-'Price History'!R3)*(ROW()-3)/(MATCH(9.99E+307,'Returns (Calc)'!$A:$A)-3),"")</f>
        <v>20.7520754716981</v>
      </c>
      <c r="AM93" s="145" t="n">
        <f aca="false">IFERROR('Price History'!S3+(INDEX('Price History'!S:S,MATCH(9.99E+307,'Price History'!$A:$A))-'Price History'!S3)*(ROW()-3)/(MATCH(9.99E+307,'Returns (Calc)'!$A:$A)-3),"")</f>
        <v>25.4041509433962</v>
      </c>
      <c r="AN93" s="145" t="n">
        <f aca="false">IFERROR('Price History'!T3+(INDEX('Price History'!T:T,MATCH(9.99E+307,'Price History'!$A:$A))-'Price History'!T3)*(ROW()-3)/(MATCH(9.99E+307,'Returns (Calc)'!$A:$A)-3),"")</f>
        <v>11.6779245283019</v>
      </c>
      <c r="AO93" s="146" t="n">
        <f aca="false">IFERROR('Price History'!V3+(INDEX('Price History'!V:V,MATCH(9.99E+307,'Price History'!$A:$A))-'Price History'!V3)*(ROW()-3)/(MATCH(9.99E+307,'Returns (Calc)'!$A:$A)-3),"")</f>
        <v>0</v>
      </c>
    </row>
    <row r="94" customFormat="false" ht="15" hidden="false" customHeight="true" outlineLevel="0" collapsed="false">
      <c r="A94" s="142" t="n">
        <f aca="false">IF('Price History'!A95="","",'Price History'!A95)</f>
        <v>45828</v>
      </c>
      <c r="B94" s="143" t="n">
        <f aca="false">IFERROR(IF(OR(NOT(ISNUMBER('Price History'!B95)),NOT(ISNUMBER('Price History'!B94)),'Price History'!B94=0),"",'Price History'!B95/'Price History'!B94-1),"")</f>
        <v>-0.0376838235294117</v>
      </c>
      <c r="C94" s="143" t="n">
        <f aca="false">IFERROR(IF(OR(NOT(ISNUMBER('Price History'!C95)),NOT(ISNUMBER('Price History'!C94)),'Price History'!C94=0),"",'Price History'!C95/'Price History'!C94-1),"")</f>
        <v>-0.0660530590146182</v>
      </c>
      <c r="D94" s="143" t="n">
        <f aca="false">IFERROR(IF(OR(NOT(ISNUMBER('Price History'!D95)),NOT(ISNUMBER('Price History'!D94)),'Price History'!D94=0),"",'Price History'!D95/'Price History'!D94-1),"")</f>
        <v>-0.00587447454615386</v>
      </c>
      <c r="E94" s="143" t="n">
        <f aca="false">IFERROR(IF(OR(NOT(ISNUMBER('Price History'!E95)),NOT(ISNUMBER('Price History'!E94)),'Price History'!E94=0),"",'Price History'!E95/'Price History'!E94-1),"")</f>
        <v>0.00756528105425836</v>
      </c>
      <c r="F94" s="143" t="n">
        <f aca="false">IFERROR(IF(OR(NOT(ISNUMBER('Price History'!F95)),NOT(ISNUMBER('Price History'!F94)),'Price History'!F94=0),"",'Price History'!F95/'Price History'!F94-1),"")</f>
        <v>0.00171959188352622</v>
      </c>
      <c r="G94" s="143" t="n">
        <f aca="false">IFERROR(IF(OR(NOT(ISNUMBER('Price History'!G95)),NOT(ISNUMBER('Price History'!G94)),'Price History'!G94=0),"",'Price History'!G95/'Price History'!G94-1),"")</f>
        <v>-0.00898876404494398</v>
      </c>
      <c r="H94" s="143" t="n">
        <f aca="false">IFERROR(IF(OR(NOT(ISNUMBER('Price History'!H95)),NOT(ISNUMBER('Price History'!H94)),'Price History'!H94=0),"",'Price History'!H95/'Price History'!H94-1),"")</f>
        <v>0.00297475478372733</v>
      </c>
      <c r="I94" s="143" t="n">
        <f aca="false">IFERROR(IF(OR(NOT(ISNUMBER('Price History'!I95)),NOT(ISNUMBER('Price History'!I94)),'Price History'!I94=0),"",'Price History'!I95/'Price History'!I94-1),"")</f>
        <v>-0.020322842875392</v>
      </c>
      <c r="J94" s="143" t="n">
        <f aca="false">IFERROR(IF(OR(NOT(ISNUMBER('Price History'!J95)),NOT(ISNUMBER('Price History'!J94)),'Price History'!J94=0),"",'Price History'!J95/'Price History'!J94-1),"")</f>
        <v>0.0692047524065562</v>
      </c>
      <c r="K94" s="143" t="n">
        <f aca="false">IFERROR(IF(OR(NOT(ISNUMBER('Price History'!K95)),NOT(ISNUMBER('Price History'!K94)),'Price History'!K94=0),"",'Price History'!K95/'Price History'!K94-1),"")</f>
        <v>0.0132749611636773</v>
      </c>
      <c r="L94" s="143" t="n">
        <f aca="false">IFERROR(IF(OR(NOT(ISNUMBER('Price History'!L95)),NOT(ISNUMBER('Price History'!L94)),'Price History'!L94=0),"",'Price History'!L95/'Price History'!L94-1),"")</f>
        <v>-0.00538582060321202</v>
      </c>
      <c r="M94" s="143" t="n">
        <f aca="false">IFERROR(IF(OR(NOT(ISNUMBER('Price History'!M95)),NOT(ISNUMBER('Price History'!M94)),'Price History'!M94=0),"",'Price History'!M95/'Price History'!M94-1),"")</f>
        <v>-0.000727802037845615</v>
      </c>
      <c r="N94" s="143" t="n">
        <f aca="false">IFERROR(IF(OR(NOT(ISNUMBER('Price History'!N95)),NOT(ISNUMBER('Price History'!N94)),'Price History'!N94=0),"",'Price History'!N95/'Price History'!N94-1),"")</f>
        <v>-0.00745390349156527</v>
      </c>
      <c r="O94" s="143" t="n">
        <f aca="false">IFERROR(IF(OR(NOT(ISNUMBER('Price History'!O95)),NOT(ISNUMBER('Price History'!O94)),'Price History'!O94=0),"",'Price History'!O95/'Price History'!O94-1),"")</f>
        <v>0.00705433746425155</v>
      </c>
      <c r="P94" s="143" t="n">
        <f aca="false">IFERROR(IF(OR(NOT(ISNUMBER('Price History'!P95)),NOT(ISNUMBER('Price History'!P94)),'Price History'!P94=0),"",'Price History'!P95/'Price History'!P94-1),"")</f>
        <v>-0.00753973971089661</v>
      </c>
      <c r="Q94" s="143" t="n">
        <f aca="false">IFERROR(IF(OR(NOT(ISNUMBER('Price History'!Q95)),NOT(ISNUMBER('Price History'!Q94)),'Price History'!Q94=0),"",'Price History'!Q95/'Price History'!Q94-1),"")</f>
        <v>-0.0404933608058607</v>
      </c>
      <c r="R94" s="143" t="n">
        <f aca="false">IFERROR(IF(OR(NOT(ISNUMBER('Price History'!R95)),NOT(ISNUMBER('Price History'!R94)),'Price History'!R94=0),"",'Price History'!R95/'Price History'!R94-1),"")</f>
        <v>0.0172380398992833</v>
      </c>
      <c r="S94" s="143" t="n">
        <f aca="false">IFERROR(IF(OR(NOT(ISNUMBER('Price History'!S95)),NOT(ISNUMBER('Price History'!S94)),'Price History'!S94=0),"",'Price History'!S95/'Price History'!S94-1),"")</f>
        <v>0.0682372055239642</v>
      </c>
      <c r="T94" s="143" t="n">
        <f aca="false">IFERROR(IF(OR(NOT(ISNUMBER('Price History'!T95)),NOT(ISNUMBER('Price History'!T94)),'Price History'!T94=0),"",'Price History'!T95/'Price History'!T94-1),"")</f>
        <v>0.0431137724550901</v>
      </c>
      <c r="U94" s="143" t="str">
        <f aca="false">IFERROR(IF(OR(NOT(ISNUMBER('Price History'!U95)),NOT(ISNUMBER('Price History'!U94)),'Price History'!U94=0),"",'Price History'!U95/'Price History'!U94-1),"")</f>
        <v/>
      </c>
      <c r="V94" s="144" t="n">
        <f aca="false">IFERROR(IF(OR(NOT(ISNUMBER('Price History'!V95)),NOT(ISNUMBER('Price History'!V94)),'Price History'!V94=0),"",'Price History'!V95/'Price History'!V94-1),"")</f>
        <v>0.0374121359919666</v>
      </c>
      <c r="W94" s="145" t="str">
        <f aca="false">IFERROR('Price History'!B3+(INDEX('Price History'!B:B,MATCH(9.99E+307,'Price History'!$A:$A))-'Price History'!B3)*(ROW()-3)/(MATCH(9.99E+307,'Returns (Calc)'!$A:$A)-3),"")</f>
        <v/>
      </c>
      <c r="X94" s="145" t="n">
        <f aca="false">IFERROR('Price History'!C3+(INDEX('Price History'!C:C,MATCH(9.99E+307,'Price History'!$A:$A))-'Price History'!C3)*(ROW()-3)/(MATCH(9.99E+307,'Returns (Calc)'!$A:$A)-3),"")</f>
        <v>19.7499371069182</v>
      </c>
      <c r="Y94" s="145" t="n">
        <f aca="false">IFERROR('Price History'!D3+(INDEX('Price History'!D:D,MATCH(9.99E+307,'Price History'!$A:$A))-'Price History'!D3)*(ROW()-3)/(MATCH(9.99E+307,'Returns (Calc)'!$A:$A)-3),"")</f>
        <v>248.909937106918</v>
      </c>
      <c r="Z94" s="145" t="n">
        <f aca="false">IFERROR('Price History'!E3+(INDEX('Price History'!E:E,MATCH(9.99E+307,'Price History'!$A:$A))-'Price History'!E3)*(ROW()-3)/(MATCH(9.99E+307,'Returns (Calc)'!$A:$A)-3),"")</f>
        <v>35.0691823899371</v>
      </c>
      <c r="AA94" s="145" t="n">
        <f aca="false">IFERROR('Price History'!F3+(INDEX('Price History'!F:F,MATCH(9.99E+307,'Price History'!$A:$A))-'Price History'!F3)*(ROW()-3)/(MATCH(9.99E+307,'Returns (Calc)'!$A:$A)-3),"")</f>
        <v>32.2080503144654</v>
      </c>
      <c r="AB94" s="145" t="n">
        <f aca="false">IFERROR('Price History'!G3+(INDEX('Price History'!G:G,MATCH(9.99E+307,'Price History'!$A:$A))-'Price History'!G3)*(ROW()-3)/(MATCH(9.99E+307,'Returns (Calc)'!$A:$A)-3),"")</f>
        <v>17.6885534591195</v>
      </c>
      <c r="AC94" s="145" t="n">
        <f aca="false">IFERROR('Price History'!H3+(INDEX('Price History'!H:H,MATCH(9.99E+307,'Price History'!$A:$A))-'Price History'!H3)*(ROW()-3)/(MATCH(9.99E+307,'Returns (Calc)'!$A:$A)-3),"")</f>
        <v>43.0196226415094</v>
      </c>
      <c r="AD94" s="145" t="n">
        <f aca="false">IFERROR('Price History'!I3+(INDEX('Price History'!I:I,MATCH(9.99E+307,'Price History'!$A:$A))-'Price History'!I3)*(ROW()-3)/(MATCH(9.99E+307,'Returns (Calc)'!$A:$A)-3),"")</f>
        <v>18.9672955974843</v>
      </c>
      <c r="AE94" s="145" t="n">
        <f aca="false">IFERROR('Price History'!J3+(INDEX('Price History'!J:J,MATCH(9.99E+307,'Price History'!$A:$A))-'Price History'!J3)*(ROW()-3)/(MATCH(9.99E+307,'Returns (Calc)'!$A:$A)-3),"")</f>
        <v>29.5564779874214</v>
      </c>
      <c r="AF94" s="145" t="n">
        <f aca="false">IFERROR('Price History'!K3+(INDEX('Price History'!K:K,MATCH(9.99E+307,'Price History'!$A:$A))-'Price History'!K3)*(ROW()-3)/(MATCH(9.99E+307,'Returns (Calc)'!$A:$A)-3),"")</f>
        <v>18.7192452830189</v>
      </c>
      <c r="AG94" s="145" t="n">
        <f aca="false">IFERROR('Price History'!L3+(INDEX('Price History'!L:L,MATCH(9.99E+307,'Price History'!$A:$A))-'Price History'!L3)*(ROW()-3)/(MATCH(9.99E+307,'Returns (Calc)'!$A:$A)-3),"")</f>
        <v>47.8309433962264</v>
      </c>
      <c r="AH94" s="145" t="n">
        <f aca="false">IFERROR('Price History'!M3+(INDEX('Price History'!M:M,MATCH(9.99E+307,'Price History'!$A:$A))-'Price History'!M3)*(ROW()-3)/(MATCH(9.99E+307,'Returns (Calc)'!$A:$A)-3),"")</f>
        <v>6.55622641509434</v>
      </c>
      <c r="AI94" s="145" t="n">
        <f aca="false">IFERROR('Price History'!N3+(INDEX('Price History'!N:N,MATCH(9.99E+307,'Price History'!$A:$A))-'Price History'!N3)*(ROW()-3)/(MATCH(9.99E+307,'Returns (Calc)'!$A:$A)-3),"")</f>
        <v>9.32327044025157</v>
      </c>
      <c r="AJ94" s="145" t="n">
        <f aca="false">IFERROR('Price History'!O3+(INDEX('Price History'!O:O,MATCH(9.99E+307,'Price History'!$A:$A))-'Price History'!O3)*(ROW()-3)/(MATCH(9.99E+307,'Returns (Calc)'!$A:$A)-3),"")</f>
        <v>24.6467924528302</v>
      </c>
      <c r="AK94" s="145" t="n">
        <f aca="false">IFERROR('Price History'!Q3+(INDEX('Price History'!Q:Q,MATCH(9.99E+307,'Price History'!$A:$A))-'Price History'!Q3)*(ROW()-3)/(MATCH(9.99E+307,'Returns (Calc)'!$A:$A)-3),"")</f>
        <v>100.772578616352</v>
      </c>
      <c r="AL94" s="145" t="n">
        <f aca="false">IFERROR('Price History'!R3+(INDEX('Price History'!R:R,MATCH(9.99E+307,'Price History'!$A:$A))-'Price History'!R3)*(ROW()-3)/(MATCH(9.99E+307,'Returns (Calc)'!$A:$A)-3),"")</f>
        <v>20.451320754717</v>
      </c>
      <c r="AM94" s="145" t="n">
        <f aca="false">IFERROR('Price History'!S3+(INDEX('Price History'!S:S,MATCH(9.99E+307,'Price History'!$A:$A))-'Price History'!S3)*(ROW()-3)/(MATCH(9.99E+307,'Returns (Calc)'!$A:$A)-3),"")</f>
        <v>25.0359748427673</v>
      </c>
      <c r="AN94" s="145" t="n">
        <f aca="false">IFERROR('Price History'!T3+(INDEX('Price History'!T:T,MATCH(9.99E+307,'Price History'!$A:$A))-'Price History'!T3)*(ROW()-3)/(MATCH(9.99E+307,'Returns (Calc)'!$A:$A)-3),"")</f>
        <v>11.508679245283</v>
      </c>
      <c r="AO94" s="146" t="n">
        <f aca="false">IFERROR('Price History'!V3+(INDEX('Price History'!V:V,MATCH(9.99E+307,'Price History'!$A:$A))-'Price History'!V3)*(ROW()-3)/(MATCH(9.99E+307,'Returns (Calc)'!$A:$A)-3),"")</f>
        <v>0</v>
      </c>
    </row>
    <row r="95" customFormat="false" ht="15" hidden="false" customHeight="true" outlineLevel="0" collapsed="false">
      <c r="A95" s="142" t="n">
        <f aca="false">IF('Price History'!A96="","",'Price History'!A96)</f>
        <v>45835</v>
      </c>
      <c r="B95" s="143" t="n">
        <f aca="false">IFERROR(IF(OR(NOT(ISNUMBER('Price History'!B96)),NOT(ISNUMBER('Price History'!B95)),'Price History'!B95=0),"",'Price History'!B96/'Price History'!B95-1),"")</f>
        <v>0.0236389684813754</v>
      </c>
      <c r="C95" s="143" t="n">
        <f aca="false">IFERROR(IF(OR(NOT(ISNUMBER('Price History'!C96)),NOT(ISNUMBER('Price History'!C95)),'Price History'!C95=0),"",'Price History'!C96/'Price History'!C95-1),"")</f>
        <v>0.152347826086957</v>
      </c>
      <c r="D95" s="143" t="n">
        <f aca="false">IFERROR(IF(OR(NOT(ISNUMBER('Price History'!D96)),NOT(ISNUMBER('Price History'!D95)),'Price History'!D95=0),"",'Price History'!D96/'Price History'!D95-1),"")</f>
        <v>0.0521022302849217</v>
      </c>
      <c r="E95" s="143" t="n">
        <f aca="false">IFERROR(IF(OR(NOT(ISNUMBER('Price History'!E96)),NOT(ISNUMBER('Price History'!E95)),'Price History'!E95=0),"",'Price History'!E96/'Price History'!E95-1),"")</f>
        <v>0.077426126271597</v>
      </c>
      <c r="F95" s="143" t="n">
        <f aca="false">IFERROR(IF(OR(NOT(ISNUMBER('Price History'!F96)),NOT(ISNUMBER('Price History'!F95)),'Price History'!F95=0),"",'Price History'!F96/'Price History'!F95-1),"")</f>
        <v>0.0255207141222249</v>
      </c>
      <c r="G95" s="143" t="n">
        <f aca="false">IFERROR(IF(OR(NOT(ISNUMBER('Price History'!G96)),NOT(ISNUMBER('Price History'!G95)),'Price History'!G95=0),"",'Price History'!G96/'Price History'!G95-1),"")</f>
        <v>0.0483749055177627</v>
      </c>
      <c r="H95" s="143" t="n">
        <f aca="false">IFERROR(IF(OR(NOT(ISNUMBER('Price History'!H96)),NOT(ISNUMBER('Price History'!H95)),'Price History'!H95=0),"",'Price History'!H96/'Price History'!H95-1),"")</f>
        <v>0.0137875751503005</v>
      </c>
      <c r="I95" s="143" t="n">
        <f aca="false">IFERROR(IF(OR(NOT(ISNUMBER('Price History'!I96)),NOT(ISNUMBER('Price History'!I95)),'Price History'!I95=0),"",'Price History'!I96/'Price History'!I95-1),"")</f>
        <v>0.0469416785206258</v>
      </c>
      <c r="J95" s="143" t="n">
        <f aca="false">IFERROR(IF(OR(NOT(ISNUMBER('Price History'!J96)),NOT(ISNUMBER('Price History'!J95)),'Price History'!J95=0),"",'Price History'!J96/'Price History'!J95-1),"")</f>
        <v>0.00932760158974766</v>
      </c>
      <c r="K95" s="143" t="n">
        <f aca="false">IFERROR(IF(OR(NOT(ISNUMBER('Price History'!K96)),NOT(ISNUMBER('Price History'!K95)),'Price History'!K95=0),"",'Price History'!K96/'Price History'!K95-1),"")</f>
        <v>0.0965853658536586</v>
      </c>
      <c r="L95" s="143" t="n">
        <f aca="false">IFERROR(IF(OR(NOT(ISNUMBER('Price History'!L96)),NOT(ISNUMBER('Price History'!L95)),'Price History'!L95=0),"",'Price History'!L96/'Price History'!L95-1),"")</f>
        <v>-0.000689179875947521</v>
      </c>
      <c r="M95" s="143" t="n">
        <f aca="false">IFERROR(IF(OR(NOT(ISNUMBER('Price History'!M96)),NOT(ISNUMBER('Price History'!M95)),'Price History'!M95=0),"",'Price History'!M96/'Price History'!M95-1),"")</f>
        <v>-0.0477785870356883</v>
      </c>
      <c r="N95" s="143" t="n">
        <f aca="false">IFERROR(IF(OR(NOT(ISNUMBER('Price History'!N96)),NOT(ISNUMBER('Price History'!N95)),'Price History'!N95=0),"",'Price History'!N96/'Price History'!N95-1),"")</f>
        <v>-0.00197628458498023</v>
      </c>
      <c r="O95" s="143" t="n">
        <f aca="false">IFERROR(IF(OR(NOT(ISNUMBER('Price History'!O96)),NOT(ISNUMBER('Price History'!O95)),'Price History'!O95=0),"",'Price History'!O96/'Price History'!O95-1),"")</f>
        <v>0.048182506626278</v>
      </c>
      <c r="P95" s="143" t="n">
        <f aca="false">IFERROR(IF(OR(NOT(ISNUMBER('Price History'!P96)),NOT(ISNUMBER('Price History'!P95)),'Price History'!P95=0),"",'Price History'!P96/'Price History'!P95-1),"")</f>
        <v>0.0909706764734346</v>
      </c>
      <c r="Q95" s="143" t="n">
        <f aca="false">IFERROR(IF(OR(NOT(ISNUMBER('Price History'!Q96)),NOT(ISNUMBER('Price History'!Q95)),'Price History'!Q95=0),"",'Price History'!Q96/'Price History'!Q95-1),"")</f>
        <v>0.0296758030361777</v>
      </c>
      <c r="R95" s="143" t="n">
        <f aca="false">IFERROR(IF(OR(NOT(ISNUMBER('Price History'!R96)),NOT(ISNUMBER('Price History'!R95)),'Price History'!R95=0),"",'Price History'!R96/'Price History'!R95-1),"")</f>
        <v>-0.00913937547600918</v>
      </c>
      <c r="S95" s="143" t="n">
        <f aca="false">IFERROR(IF(OR(NOT(ISNUMBER('Price History'!S96)),NOT(ISNUMBER('Price History'!S95)),'Price History'!S95=0),"",'Price History'!S96/'Price History'!S95-1),"")</f>
        <v>-0.0223384030418252</v>
      </c>
      <c r="T95" s="143" t="n">
        <f aca="false">IFERROR(IF(OR(NOT(ISNUMBER('Price History'!T96)),NOT(ISNUMBER('Price History'!T95)),'Price History'!T95=0),"",'Price History'!T96/'Price History'!T95-1),"")</f>
        <v>-0.0347301951779564</v>
      </c>
      <c r="U95" s="143" t="str">
        <f aca="false">IFERROR(IF(OR(NOT(ISNUMBER('Price History'!U96)),NOT(ISNUMBER('Price History'!U95)),'Price History'!U95=0),"",'Price History'!U96/'Price History'!U95-1),"")</f>
        <v/>
      </c>
      <c r="V95" s="144" t="n">
        <f aca="false">IFERROR(IF(OR(NOT(ISNUMBER('Price History'!V96)),NOT(ISNUMBER('Price History'!V95)),'Price History'!V95=0),"",'Price History'!V96/'Price History'!V95-1),"")</f>
        <v>-0.0317210099836831</v>
      </c>
      <c r="W95" s="145" t="str">
        <f aca="false">IFERROR('Price History'!B3+(INDEX('Price History'!B:B,MATCH(9.99E+307,'Price History'!$A:$A))-'Price History'!B3)*(ROW()-3)/(MATCH(9.99E+307,'Returns (Calc)'!$A:$A)-3),"")</f>
        <v/>
      </c>
      <c r="X95" s="145" t="n">
        <f aca="false">IFERROR('Price History'!C3+(INDEX('Price History'!C:C,MATCH(9.99E+307,'Price History'!$A:$A))-'Price History'!C3)*(ROW()-3)/(MATCH(9.99E+307,'Returns (Calc)'!$A:$A)-3),"")</f>
        <v>19.4594968553459</v>
      </c>
      <c r="Y95" s="145" t="n">
        <f aca="false">IFERROR('Price History'!D3+(INDEX('Price History'!D:D,MATCH(9.99E+307,'Price History'!$A:$A))-'Price History'!D3)*(ROW()-3)/(MATCH(9.99E+307,'Returns (Calc)'!$A:$A)-3),"")</f>
        <v>245.249496855346</v>
      </c>
      <c r="Z95" s="145" t="n">
        <f aca="false">IFERROR('Price History'!E3+(INDEX('Price History'!E:E,MATCH(9.99E+307,'Price History'!$A:$A))-'Price History'!E3)*(ROW()-3)/(MATCH(9.99E+307,'Returns (Calc)'!$A:$A)-3),"")</f>
        <v>34.5534591194969</v>
      </c>
      <c r="AA95" s="145" t="n">
        <f aca="false">IFERROR('Price History'!F3+(INDEX('Price History'!F:F,MATCH(9.99E+307,'Price History'!$A:$A))-'Price History'!F3)*(ROW()-3)/(MATCH(9.99E+307,'Returns (Calc)'!$A:$A)-3),"")</f>
        <v>31.7344025157233</v>
      </c>
      <c r="AB95" s="145" t="n">
        <f aca="false">IFERROR('Price History'!G3+(INDEX('Price History'!G:G,MATCH(9.99E+307,'Price History'!$A:$A))-'Price History'!G3)*(ROW()-3)/(MATCH(9.99E+307,'Returns (Calc)'!$A:$A)-3),"")</f>
        <v>17.428427672956</v>
      </c>
      <c r="AC95" s="145" t="n">
        <f aca="false">IFERROR('Price History'!H3+(INDEX('Price History'!H:H,MATCH(9.99E+307,'Price History'!$A:$A))-'Price History'!H3)*(ROW()-3)/(MATCH(9.99E+307,'Returns (Calc)'!$A:$A)-3),"")</f>
        <v>42.3869811320755</v>
      </c>
      <c r="AD95" s="145" t="n">
        <f aca="false">IFERROR('Price History'!I3+(INDEX('Price History'!I:I,MATCH(9.99E+307,'Price History'!$A:$A))-'Price History'!I3)*(ROW()-3)/(MATCH(9.99E+307,'Returns (Calc)'!$A:$A)-3),"")</f>
        <v>18.6883647798742</v>
      </c>
      <c r="AE95" s="145" t="n">
        <f aca="false">IFERROR('Price History'!J3+(INDEX('Price History'!J:J,MATCH(9.99E+307,'Price History'!$A:$A))-'Price History'!J3)*(ROW()-3)/(MATCH(9.99E+307,'Returns (Calc)'!$A:$A)-3),"")</f>
        <v>29.1218238993711</v>
      </c>
      <c r="AF95" s="145" t="n">
        <f aca="false">IFERROR('Price History'!K3+(INDEX('Price History'!K:K,MATCH(9.99E+307,'Price History'!$A:$A))-'Price History'!K3)*(ROW()-3)/(MATCH(9.99E+307,'Returns (Calc)'!$A:$A)-3),"")</f>
        <v>18.4439622641509</v>
      </c>
      <c r="AG95" s="145" t="n">
        <f aca="false">IFERROR('Price History'!L3+(INDEX('Price History'!L:L,MATCH(9.99E+307,'Price History'!$A:$A))-'Price History'!L3)*(ROW()-3)/(MATCH(9.99E+307,'Returns (Calc)'!$A:$A)-3),"")</f>
        <v>47.1275471698113</v>
      </c>
      <c r="AH95" s="145" t="n">
        <f aca="false">IFERROR('Price History'!M3+(INDEX('Price History'!M:M,MATCH(9.99E+307,'Price History'!$A:$A))-'Price History'!M3)*(ROW()-3)/(MATCH(9.99E+307,'Returns (Calc)'!$A:$A)-3),"")</f>
        <v>6.45981132075472</v>
      </c>
      <c r="AI95" s="145" t="n">
        <f aca="false">IFERROR('Price History'!N3+(INDEX('Price History'!N:N,MATCH(9.99E+307,'Price History'!$A:$A))-'Price History'!N3)*(ROW()-3)/(MATCH(9.99E+307,'Returns (Calc)'!$A:$A)-3),"")</f>
        <v>9.18616352201258</v>
      </c>
      <c r="AJ95" s="145" t="n">
        <f aca="false">IFERROR('Price History'!O3+(INDEX('Price History'!O:O,MATCH(9.99E+307,'Price History'!$A:$A))-'Price History'!O3)*(ROW()-3)/(MATCH(9.99E+307,'Returns (Calc)'!$A:$A)-3),"")</f>
        <v>24.2843396226415</v>
      </c>
      <c r="AK95" s="145" t="n">
        <f aca="false">IFERROR('Price History'!Q3+(INDEX('Price History'!Q:Q,MATCH(9.99E+307,'Price History'!$A:$A))-'Price History'!Q3)*(ROW()-3)/(MATCH(9.99E+307,'Returns (Calc)'!$A:$A)-3),"")</f>
        <v>99.2906289308176</v>
      </c>
      <c r="AL95" s="145" t="n">
        <f aca="false">IFERROR('Price History'!R3+(INDEX('Price History'!R:R,MATCH(9.99E+307,'Price History'!$A:$A))-'Price History'!R3)*(ROW()-3)/(MATCH(9.99E+307,'Returns (Calc)'!$A:$A)-3),"")</f>
        <v>20.1505660377359</v>
      </c>
      <c r="AM95" s="145" t="n">
        <f aca="false">IFERROR('Price History'!S3+(INDEX('Price History'!S:S,MATCH(9.99E+307,'Price History'!$A:$A))-'Price History'!S3)*(ROW()-3)/(MATCH(9.99E+307,'Returns (Calc)'!$A:$A)-3),"")</f>
        <v>24.6677987421384</v>
      </c>
      <c r="AN95" s="145" t="n">
        <f aca="false">IFERROR('Price History'!T3+(INDEX('Price History'!T:T,MATCH(9.99E+307,'Price History'!$A:$A))-'Price History'!T3)*(ROW()-3)/(MATCH(9.99E+307,'Returns (Calc)'!$A:$A)-3),"")</f>
        <v>11.3394339622642</v>
      </c>
      <c r="AO95" s="146" t="n">
        <f aca="false">IFERROR('Price History'!V3+(INDEX('Price History'!V:V,MATCH(9.99E+307,'Price History'!$A:$A))-'Price History'!V3)*(ROW()-3)/(MATCH(9.99E+307,'Returns (Calc)'!$A:$A)-3),"")</f>
        <v>0</v>
      </c>
    </row>
    <row r="96" customFormat="false" ht="15" hidden="false" customHeight="true" outlineLevel="0" collapsed="false">
      <c r="A96" s="142" t="n">
        <f aca="false">IF('Price History'!A97="","",'Price History'!A97)</f>
        <v>45842</v>
      </c>
      <c r="B96" s="143" t="n">
        <f aca="false">IFERROR(IF(OR(NOT(ISNUMBER('Price History'!B97)),NOT(ISNUMBER('Price History'!B96)),'Price History'!B96=0),"",'Price History'!B97/'Price History'!B96-1),"")</f>
        <v>-0.0168986341134696</v>
      </c>
      <c r="C96" s="143" t="n">
        <f aca="false">IFERROR(IF(OR(NOT(ISNUMBER('Price History'!C97)),NOT(ISNUMBER('Price History'!C96)),'Price History'!C96=0),"",'Price History'!C97/'Price History'!C96-1),"")</f>
        <v>0.0314921018211087</v>
      </c>
      <c r="D96" s="143" t="n">
        <f aca="false">IFERROR(IF(OR(NOT(ISNUMBER('Price History'!D97)),NOT(ISNUMBER('Price History'!D96)),'Price History'!D96=0),"",'Price History'!D97/'Price History'!D96-1),"")</f>
        <v>-0.00182569668078203</v>
      </c>
      <c r="E96" s="143" t="n">
        <f aca="false">IFERROR(IF(OR(NOT(ISNUMBER('Price History'!E97)),NOT(ISNUMBER('Price History'!E96)),'Price History'!E96=0),"",'Price History'!E97/'Price History'!E96-1),"")</f>
        <v>0.0216560509554142</v>
      </c>
      <c r="F96" s="143" t="n">
        <f aca="false">IFERROR(IF(OR(NOT(ISNUMBER('Price History'!F97)),NOT(ISNUMBER('Price History'!F96)),'Price History'!F96=0),"",'Price History'!F97/'Price History'!F96-1),"")</f>
        <v>0.0416248186586319</v>
      </c>
      <c r="G96" s="143" t="n">
        <f aca="false">IFERROR(IF(OR(NOT(ISNUMBER('Price History'!G97)),NOT(ISNUMBER('Price History'!G96)),'Price History'!G96=0),"",'Price History'!G97/'Price History'!G96-1),"")</f>
        <v>0.0295602018745496</v>
      </c>
      <c r="H96" s="143" t="n">
        <f aca="false">IFERROR(IF(OR(NOT(ISNUMBER('Price History'!H97)),NOT(ISNUMBER('Price History'!H96)),'Price History'!H96=0),"",'Price History'!H97/'Price History'!H96-1),"")</f>
        <v>0.0341582984106903</v>
      </c>
      <c r="I96" s="143" t="n">
        <f aca="false">IFERROR(IF(OR(NOT(ISNUMBER('Price History'!I97)),NOT(ISNUMBER('Price History'!I96)),'Price History'!I96=0),"",'Price History'!I97/'Price History'!I96-1),"")</f>
        <v>0.0389492753623191</v>
      </c>
      <c r="J96" s="143" t="n">
        <f aca="false">IFERROR(IF(OR(NOT(ISNUMBER('Price History'!J97)),NOT(ISNUMBER('Price History'!J96)),'Price History'!J96=0),"",'Price History'!J97/'Price History'!J96-1),"")</f>
        <v>-0.01976856316297</v>
      </c>
      <c r="K96" s="143" t="n">
        <f aca="false">IFERROR(IF(OR(NOT(ISNUMBER('Price History'!K97)),NOT(ISNUMBER('Price History'!K96)),'Price History'!K96=0),"",'Price History'!K97/'Price History'!K96-1),"")</f>
        <v>0.0101042196237924</v>
      </c>
      <c r="L96" s="143" t="n">
        <f aca="false">IFERROR(IF(OR(NOT(ISNUMBER('Price History'!L97)),NOT(ISNUMBER('Price History'!L96)),'Price History'!L96=0),"",'Price History'!L97/'Price History'!L96-1),"")</f>
        <v>0.0227586206896553</v>
      </c>
      <c r="M96" s="143" t="n">
        <f aca="false">IFERROR(IF(OR(NOT(ISNUMBER('Price History'!M97)),NOT(ISNUMBER('Price History'!M96)),'Price History'!M96=0),"",'Price History'!M97/'Price History'!M96-1),"")</f>
        <v>0.0276885421447148</v>
      </c>
      <c r="N96" s="143" t="n">
        <f aca="false">IFERROR(IF(OR(NOT(ISNUMBER('Price History'!N97)),NOT(ISNUMBER('Price History'!N96)),'Price History'!N96=0),"",'Price History'!N97/'Price History'!N96-1),"")</f>
        <v>0.0364356435643565</v>
      </c>
      <c r="O96" s="143" t="n">
        <f aca="false">IFERROR(IF(OR(NOT(ISNUMBER('Price History'!O97)),NOT(ISNUMBER('Price History'!O96)),'Price History'!O96=0),"",'Price History'!O97/'Price History'!O96-1),"")</f>
        <v>0.00596044432403131</v>
      </c>
      <c r="P96" s="143" t="n">
        <f aca="false">IFERROR(IF(OR(NOT(ISNUMBER('Price History'!P97)),NOT(ISNUMBER('Price History'!P96)),'Price History'!P96=0),"",'Price History'!P97/'Price History'!P96-1),"")</f>
        <v>0.0272775658653419</v>
      </c>
      <c r="Q96" s="143" t="n">
        <f aca="false">IFERROR(IF(OR(NOT(ISNUMBER('Price History'!Q97)),NOT(ISNUMBER('Price History'!Q96)),'Price History'!Q96=0),"",'Price History'!Q97/'Price History'!Q96-1),"")</f>
        <v>0.0293998377939984</v>
      </c>
      <c r="R96" s="143" t="n">
        <f aca="false">IFERROR(IF(OR(NOT(ISNUMBER('Price History'!R97)),NOT(ISNUMBER('Price History'!R96)),'Price History'!R96=0),"",'Price History'!R97/'Price History'!R96-1),"")</f>
        <v>0.0113374327440432</v>
      </c>
      <c r="S96" s="143" t="n">
        <f aca="false">IFERROR(IF(OR(NOT(ISNUMBER('Price History'!S97)),NOT(ISNUMBER('Price History'!S96)),'Price History'!S96=0),"",'Price History'!S97/'Price History'!S96-1),"")</f>
        <v>0.0243072435585805</v>
      </c>
      <c r="T96" s="143" t="n">
        <f aca="false">IFERROR(IF(OR(NOT(ISNUMBER('Price History'!T97)),NOT(ISNUMBER('Price History'!T96)),'Price History'!T96=0),"",'Price History'!T97/'Price History'!T96-1),"")</f>
        <v>0.007731192387749</v>
      </c>
      <c r="U96" s="143" t="str">
        <f aca="false">IFERROR(IF(OR(NOT(ISNUMBER('Price History'!U97)),NOT(ISNUMBER('Price History'!U96)),'Price History'!U96=0),"",'Price History'!U97/'Price History'!U96-1),"")</f>
        <v/>
      </c>
      <c r="V96" s="144" t="n">
        <f aca="false">IFERROR(IF(OR(NOT(ISNUMBER('Price History'!V97)),NOT(ISNUMBER('Price History'!V96)),'Price History'!V96=0),"",'Price History'!V97/'Price History'!V96-1),"")</f>
        <v>0.0329601279561294</v>
      </c>
      <c r="W96" s="145" t="str">
        <f aca="false">IFERROR('Price History'!B3+(INDEX('Price History'!B:B,MATCH(9.99E+307,'Price History'!$A:$A))-'Price History'!B3)*(ROW()-3)/(MATCH(9.99E+307,'Returns (Calc)'!$A:$A)-3),"")</f>
        <v/>
      </c>
      <c r="X96" s="145" t="n">
        <f aca="false">IFERROR('Price History'!C3+(INDEX('Price History'!C:C,MATCH(9.99E+307,'Price History'!$A:$A))-'Price History'!C3)*(ROW()-3)/(MATCH(9.99E+307,'Returns (Calc)'!$A:$A)-3),"")</f>
        <v>19.1690566037736</v>
      </c>
      <c r="Y96" s="145" t="n">
        <f aca="false">IFERROR('Price History'!D3+(INDEX('Price History'!D:D,MATCH(9.99E+307,'Price History'!$A:$A))-'Price History'!D3)*(ROW()-3)/(MATCH(9.99E+307,'Returns (Calc)'!$A:$A)-3),"")</f>
        <v>241.589056603774</v>
      </c>
      <c r="Z96" s="145" t="n">
        <f aca="false">IFERROR('Price History'!E3+(INDEX('Price History'!E:E,MATCH(9.99E+307,'Price History'!$A:$A))-'Price History'!E3)*(ROW()-3)/(MATCH(9.99E+307,'Returns (Calc)'!$A:$A)-3),"")</f>
        <v>34.0377358490566</v>
      </c>
      <c r="AA96" s="145" t="n">
        <f aca="false">IFERROR('Price History'!F3+(INDEX('Price History'!F:F,MATCH(9.99E+307,'Price History'!$A:$A))-'Price History'!F3)*(ROW()-3)/(MATCH(9.99E+307,'Returns (Calc)'!$A:$A)-3),"")</f>
        <v>31.2607547169811</v>
      </c>
      <c r="AB96" s="145" t="n">
        <f aca="false">IFERROR('Price History'!G3+(INDEX('Price History'!G:G,MATCH(9.99E+307,'Price History'!$A:$A))-'Price History'!G3)*(ROW()-3)/(MATCH(9.99E+307,'Returns (Calc)'!$A:$A)-3),"")</f>
        <v>17.1683018867925</v>
      </c>
      <c r="AC96" s="145" t="n">
        <f aca="false">IFERROR('Price History'!H3+(INDEX('Price History'!H:H,MATCH(9.99E+307,'Price History'!$A:$A))-'Price History'!H3)*(ROW()-3)/(MATCH(9.99E+307,'Returns (Calc)'!$A:$A)-3),"")</f>
        <v>41.7543396226415</v>
      </c>
      <c r="AD96" s="145" t="n">
        <f aca="false">IFERROR('Price History'!I3+(INDEX('Price History'!I:I,MATCH(9.99E+307,'Price History'!$A:$A))-'Price History'!I3)*(ROW()-3)/(MATCH(9.99E+307,'Returns (Calc)'!$A:$A)-3),"")</f>
        <v>18.4094339622642</v>
      </c>
      <c r="AE96" s="145" t="n">
        <f aca="false">IFERROR('Price History'!J3+(INDEX('Price History'!J:J,MATCH(9.99E+307,'Price History'!$A:$A))-'Price History'!J3)*(ROW()-3)/(MATCH(9.99E+307,'Returns (Calc)'!$A:$A)-3),"")</f>
        <v>28.6871698113208</v>
      </c>
      <c r="AF96" s="145" t="n">
        <f aca="false">IFERROR('Price History'!K3+(INDEX('Price History'!K:K,MATCH(9.99E+307,'Price History'!$A:$A))-'Price History'!K3)*(ROW()-3)/(MATCH(9.99E+307,'Returns (Calc)'!$A:$A)-3),"")</f>
        <v>18.168679245283</v>
      </c>
      <c r="AG96" s="145" t="n">
        <f aca="false">IFERROR('Price History'!L3+(INDEX('Price History'!L:L,MATCH(9.99E+307,'Price History'!$A:$A))-'Price History'!L3)*(ROW()-3)/(MATCH(9.99E+307,'Returns (Calc)'!$A:$A)-3),"")</f>
        <v>46.4241509433962</v>
      </c>
      <c r="AH96" s="145" t="n">
        <f aca="false">IFERROR('Price History'!M3+(INDEX('Price History'!M:M,MATCH(9.99E+307,'Price History'!$A:$A))-'Price History'!M3)*(ROW()-3)/(MATCH(9.99E+307,'Returns (Calc)'!$A:$A)-3),"")</f>
        <v>6.36339622641509</v>
      </c>
      <c r="AI96" s="145" t="n">
        <f aca="false">IFERROR('Price History'!N3+(INDEX('Price History'!N:N,MATCH(9.99E+307,'Price History'!$A:$A))-'Price History'!N3)*(ROW()-3)/(MATCH(9.99E+307,'Returns (Calc)'!$A:$A)-3),"")</f>
        <v>9.04905660377358</v>
      </c>
      <c r="AJ96" s="145" t="n">
        <f aca="false">IFERROR('Price History'!O3+(INDEX('Price History'!O:O,MATCH(9.99E+307,'Price History'!$A:$A))-'Price History'!O3)*(ROW()-3)/(MATCH(9.99E+307,'Returns (Calc)'!$A:$A)-3),"")</f>
        <v>23.9218867924528</v>
      </c>
      <c r="AK96" s="145" t="n">
        <f aca="false">IFERROR('Price History'!Q3+(INDEX('Price History'!Q:Q,MATCH(9.99E+307,'Price History'!$A:$A))-'Price History'!Q3)*(ROW()-3)/(MATCH(9.99E+307,'Returns (Calc)'!$A:$A)-3),"")</f>
        <v>97.808679245283</v>
      </c>
      <c r="AL96" s="145" t="n">
        <f aca="false">IFERROR('Price History'!R3+(INDEX('Price History'!R:R,MATCH(9.99E+307,'Price History'!$A:$A))-'Price History'!R3)*(ROW()-3)/(MATCH(9.99E+307,'Returns (Calc)'!$A:$A)-3),"")</f>
        <v>19.8498113207547</v>
      </c>
      <c r="AM96" s="145" t="n">
        <f aca="false">IFERROR('Price History'!S3+(INDEX('Price History'!S:S,MATCH(9.99E+307,'Price History'!$A:$A))-'Price History'!S3)*(ROW()-3)/(MATCH(9.99E+307,'Returns (Calc)'!$A:$A)-3),"")</f>
        <v>24.2996226415094</v>
      </c>
      <c r="AN96" s="145" t="n">
        <f aca="false">IFERROR('Price History'!T3+(INDEX('Price History'!T:T,MATCH(9.99E+307,'Price History'!$A:$A))-'Price History'!T3)*(ROW()-3)/(MATCH(9.99E+307,'Returns (Calc)'!$A:$A)-3),"")</f>
        <v>11.1701886792453</v>
      </c>
      <c r="AO96" s="146" t="n">
        <f aca="false">IFERROR('Price History'!V3+(INDEX('Price History'!V:V,MATCH(9.99E+307,'Price History'!$A:$A))-'Price History'!V3)*(ROW()-3)/(MATCH(9.99E+307,'Returns (Calc)'!$A:$A)-3),"")</f>
        <v>0</v>
      </c>
    </row>
    <row r="97" customFormat="false" ht="15" hidden="false" customHeight="true" outlineLevel="0" collapsed="false">
      <c r="A97" s="142" t="n">
        <f aca="false">IF('Price History'!A98="","",'Price History'!A98)</f>
        <v>45849</v>
      </c>
      <c r="B97" s="143" t="n">
        <f aca="false">IFERROR(IF(OR(NOT(ISNUMBER('Price History'!B98)),NOT(ISNUMBER('Price History'!B97)),'Price History'!B97=0),"",'Price History'!B98/'Price History'!B97-1),"")</f>
        <v>-0.0420764018876381</v>
      </c>
      <c r="C97" s="143" t="n">
        <f aca="false">IFERROR(IF(OR(NOT(ISNUMBER('Price History'!C98)),NOT(ISNUMBER('Price History'!C97)),'Price History'!C97=0),"",'Price History'!C98/'Price History'!C97-1),"")</f>
        <v>0.0590128755364807</v>
      </c>
      <c r="D97" s="143" t="n">
        <f aca="false">IFERROR(IF(OR(NOT(ISNUMBER('Price History'!D98)),NOT(ISNUMBER('Price History'!D97)),'Price History'!D97=0),"",'Price History'!D98/'Price History'!D97-1),"")</f>
        <v>0.00936110758287811</v>
      </c>
      <c r="E97" s="143" t="n">
        <f aca="false">IFERROR(IF(OR(NOT(ISNUMBER('Price History'!E98)),NOT(ISNUMBER('Price History'!E97)),'Price History'!E97=0),"",'Price History'!E98/'Price History'!E97-1),"")</f>
        <v>-0.0028971688425995</v>
      </c>
      <c r="F97" s="143" t="n">
        <f aca="false">IFERROR(IF(OR(NOT(ISNUMBER('Price History'!F98)),NOT(ISNUMBER('Price History'!F97)),'Price History'!F97=0),"",'Price History'!F98/'Price History'!F97-1),"")</f>
        <v>-0.00128562245553898</v>
      </c>
      <c r="G97" s="143" t="n">
        <f aca="false">IFERROR(IF(OR(NOT(ISNUMBER('Price History'!G98)),NOT(ISNUMBER('Price History'!G97)),'Price History'!G97=0),"",'Price History'!G98/'Price History'!G97-1),"")</f>
        <v>-0.0693277310924371</v>
      </c>
      <c r="H97" s="143" t="n">
        <f aca="false">IFERROR(IF(OR(NOT(ISNUMBER('Price History'!H98)),NOT(ISNUMBER('Price History'!H97)),'Price History'!H97=0),"",'Price History'!H98/'Price History'!H97-1),"")</f>
        <v>-0.00336417157275015</v>
      </c>
      <c r="I97" s="143" t="n">
        <f aca="false">IFERROR(IF(OR(NOT(ISNUMBER('Price History'!I98)),NOT(ISNUMBER('Price History'!I97)),'Price History'!I97=0),"",'Price History'!I98/'Price History'!I97-1),"")</f>
        <v>0</v>
      </c>
      <c r="J97" s="143" t="n">
        <f aca="false">IFERROR(IF(OR(NOT(ISNUMBER('Price History'!J98)),NOT(ISNUMBER('Price History'!J97)),'Price History'!J97=0),"",'Price History'!J98/'Price History'!J97-1),"")</f>
        <v>0.0192654533530086</v>
      </c>
      <c r="K97" s="143" t="n">
        <f aca="false">IFERROR(IF(OR(NOT(ISNUMBER('Price History'!K98)),NOT(ISNUMBER('Price History'!K97)),'Price History'!K97=0),"",'Price History'!K98/'Price History'!K97-1),"")</f>
        <v>0.0350424661843349</v>
      </c>
      <c r="L97" s="143" t="n">
        <f aca="false">IFERROR(IF(OR(NOT(ISNUMBER('Price History'!L98)),NOT(ISNUMBER('Price History'!L97)),'Price History'!L97=0),"",'Price History'!L98/'Price History'!L97-1),"")</f>
        <v>0.0105962816684326</v>
      </c>
      <c r="M97" s="143" t="n">
        <f aca="false">IFERROR(IF(OR(NOT(ISNUMBER('Price History'!M98)),NOT(ISNUMBER('Price History'!M97)),'Price History'!M97=0),"",'Price History'!M98/'Price History'!M97-1),"")</f>
        <v>0.0576064304852633</v>
      </c>
      <c r="N97" s="143" t="n">
        <f aca="false">IFERROR(IF(OR(NOT(ISNUMBER('Price History'!N98)),NOT(ISNUMBER('Price History'!N97)),'Price History'!N97=0),"",'Price History'!N98/'Price History'!N97-1),"")</f>
        <v>-0.000764233855559904</v>
      </c>
      <c r="O97" s="143" t="n">
        <f aca="false">IFERROR(IF(OR(NOT(ISNUMBER('Price History'!O98)),NOT(ISNUMBER('Price History'!O97)),'Price History'!O97=0),"",'Price History'!O98/'Price History'!O97-1),"")</f>
        <v>-0.00305233863003862</v>
      </c>
      <c r="P97" s="143" t="n">
        <f aca="false">IFERROR(IF(OR(NOT(ISNUMBER('Price History'!P98)),NOT(ISNUMBER('Price History'!P97)),'Price History'!P97=0),"",'Price History'!P98/'Price History'!P97-1),"")</f>
        <v>-0.0187383964422952</v>
      </c>
      <c r="Q97" s="143" t="n">
        <f aca="false">IFERROR(IF(OR(NOT(ISNUMBER('Price History'!Q98)),NOT(ISNUMBER('Price History'!Q97)),'Price History'!Q97=0),"",'Price History'!Q98/'Price History'!Q97-1),"")</f>
        <v>-0.0304735642533555</v>
      </c>
      <c r="R97" s="143" t="n">
        <f aca="false">IFERROR(IF(OR(NOT(ISNUMBER('Price History'!R98)),NOT(ISNUMBER('Price History'!R97)),'Price History'!R97=0),"",'Price History'!R98/'Price History'!R97-1),"")</f>
        <v>0.00133003990119707</v>
      </c>
      <c r="S97" s="143" t="n">
        <f aca="false">IFERROR(IF(OR(NOT(ISNUMBER('Price History'!S98)),NOT(ISNUMBER('Price History'!S97)),'Price History'!S97=0),"",'Price History'!S98/'Price History'!S97-1),"")</f>
        <v>0.0149027052681538</v>
      </c>
      <c r="T97" s="143" t="n">
        <f aca="false">IFERROR(IF(OR(NOT(ISNUMBER('Price History'!T98)),NOT(ISNUMBER('Price History'!T97)),'Price History'!T97=0),"",'Price History'!T98/'Price History'!T97-1),"")</f>
        <v>0.023605783416937</v>
      </c>
      <c r="U97" s="143" t="str">
        <f aca="false">IFERROR(IF(OR(NOT(ISNUMBER('Price History'!U98)),NOT(ISNUMBER('Price History'!U97)),'Price History'!U97=0),"",'Price History'!U98/'Price History'!U97-1),"")</f>
        <v/>
      </c>
      <c r="V97" s="144" t="n">
        <f aca="false">IFERROR(IF(OR(NOT(ISNUMBER('Price History'!V98)),NOT(ISNUMBER('Price History'!V97)),'Price History'!V97=0),"",'Price History'!V98/'Price History'!V97-1),"")</f>
        <v>0.0137698390753747</v>
      </c>
      <c r="W97" s="145" t="str">
        <f aca="false">IFERROR('Price History'!B3+(INDEX('Price History'!B:B,MATCH(9.99E+307,'Price History'!$A:$A))-'Price History'!B3)*(ROW()-3)/(MATCH(9.99E+307,'Returns (Calc)'!$A:$A)-3),"")</f>
        <v/>
      </c>
      <c r="X97" s="145" t="n">
        <f aca="false">IFERROR('Price History'!C3+(INDEX('Price History'!C:C,MATCH(9.99E+307,'Price History'!$A:$A))-'Price History'!C3)*(ROW()-3)/(MATCH(9.99E+307,'Returns (Calc)'!$A:$A)-3),"")</f>
        <v>18.8786163522013</v>
      </c>
      <c r="Y97" s="145" t="n">
        <f aca="false">IFERROR('Price History'!D3+(INDEX('Price History'!D:D,MATCH(9.99E+307,'Price History'!$A:$A))-'Price History'!D3)*(ROW()-3)/(MATCH(9.99E+307,'Returns (Calc)'!$A:$A)-3),"")</f>
        <v>237.928616352201</v>
      </c>
      <c r="Z97" s="145" t="n">
        <f aca="false">IFERROR('Price History'!E3+(INDEX('Price History'!E:E,MATCH(9.99E+307,'Price History'!$A:$A))-'Price History'!E3)*(ROW()-3)/(MATCH(9.99E+307,'Returns (Calc)'!$A:$A)-3),"")</f>
        <v>33.5220125786164</v>
      </c>
      <c r="AA97" s="145" t="n">
        <f aca="false">IFERROR('Price History'!F3+(INDEX('Price History'!F:F,MATCH(9.99E+307,'Price History'!$A:$A))-'Price History'!F3)*(ROW()-3)/(MATCH(9.99E+307,'Returns (Calc)'!$A:$A)-3),"")</f>
        <v>30.787106918239</v>
      </c>
      <c r="AB97" s="145" t="n">
        <f aca="false">IFERROR('Price History'!G3+(INDEX('Price History'!G:G,MATCH(9.99E+307,'Price History'!$A:$A))-'Price History'!G3)*(ROW()-3)/(MATCH(9.99E+307,'Returns (Calc)'!$A:$A)-3),"")</f>
        <v>16.9081761006289</v>
      </c>
      <c r="AC97" s="145" t="n">
        <f aca="false">IFERROR('Price History'!H3+(INDEX('Price History'!H:H,MATCH(9.99E+307,'Price History'!$A:$A))-'Price History'!H3)*(ROW()-3)/(MATCH(9.99E+307,'Returns (Calc)'!$A:$A)-3),"")</f>
        <v>41.1216981132075</v>
      </c>
      <c r="AD97" s="145" t="n">
        <f aca="false">IFERROR('Price History'!I3+(INDEX('Price History'!I:I,MATCH(9.99E+307,'Price History'!$A:$A))-'Price History'!I3)*(ROW()-3)/(MATCH(9.99E+307,'Returns (Calc)'!$A:$A)-3),"")</f>
        <v>18.1305031446541</v>
      </c>
      <c r="AE97" s="145" t="n">
        <f aca="false">IFERROR('Price History'!J3+(INDEX('Price History'!J:J,MATCH(9.99E+307,'Price History'!$A:$A))-'Price History'!J3)*(ROW()-3)/(MATCH(9.99E+307,'Returns (Calc)'!$A:$A)-3),"")</f>
        <v>28.2525157232704</v>
      </c>
      <c r="AF97" s="145" t="n">
        <f aca="false">IFERROR('Price History'!K3+(INDEX('Price History'!K:K,MATCH(9.99E+307,'Price History'!$A:$A))-'Price History'!K3)*(ROW()-3)/(MATCH(9.99E+307,'Returns (Calc)'!$A:$A)-3),"")</f>
        <v>17.8933962264151</v>
      </c>
      <c r="AG97" s="145" t="n">
        <f aca="false">IFERROR('Price History'!L3+(INDEX('Price History'!L:L,MATCH(9.99E+307,'Price History'!$A:$A))-'Price History'!L3)*(ROW()-3)/(MATCH(9.99E+307,'Returns (Calc)'!$A:$A)-3),"")</f>
        <v>45.7207547169811</v>
      </c>
      <c r="AH97" s="145" t="n">
        <f aca="false">IFERROR('Price History'!M3+(INDEX('Price History'!M:M,MATCH(9.99E+307,'Price History'!$A:$A))-'Price History'!M3)*(ROW()-3)/(MATCH(9.99E+307,'Returns (Calc)'!$A:$A)-3),"")</f>
        <v>6.26698113207547</v>
      </c>
      <c r="AI97" s="145" t="n">
        <f aca="false">IFERROR('Price History'!N3+(INDEX('Price History'!N:N,MATCH(9.99E+307,'Price History'!$A:$A))-'Price History'!N3)*(ROW()-3)/(MATCH(9.99E+307,'Returns (Calc)'!$A:$A)-3),"")</f>
        <v>8.91194968553459</v>
      </c>
      <c r="AJ97" s="145" t="n">
        <f aca="false">IFERROR('Price History'!O3+(INDEX('Price History'!O:O,MATCH(9.99E+307,'Price History'!$A:$A))-'Price History'!O3)*(ROW()-3)/(MATCH(9.99E+307,'Returns (Calc)'!$A:$A)-3),"")</f>
        <v>23.5594339622642</v>
      </c>
      <c r="AK97" s="145" t="n">
        <f aca="false">IFERROR('Price History'!Q3+(INDEX('Price History'!Q:Q,MATCH(9.99E+307,'Price History'!$A:$A))-'Price History'!Q3)*(ROW()-3)/(MATCH(9.99E+307,'Returns (Calc)'!$A:$A)-3),"")</f>
        <v>96.3267295597484</v>
      </c>
      <c r="AL97" s="145" t="n">
        <f aca="false">IFERROR('Price History'!R3+(INDEX('Price History'!R:R,MATCH(9.99E+307,'Price History'!$A:$A))-'Price History'!R3)*(ROW()-3)/(MATCH(9.99E+307,'Returns (Calc)'!$A:$A)-3),"")</f>
        <v>19.5490566037736</v>
      </c>
      <c r="AM97" s="145" t="n">
        <f aca="false">IFERROR('Price History'!S3+(INDEX('Price History'!S:S,MATCH(9.99E+307,'Price History'!$A:$A))-'Price History'!S3)*(ROW()-3)/(MATCH(9.99E+307,'Returns (Calc)'!$A:$A)-3),"")</f>
        <v>23.9314465408805</v>
      </c>
      <c r="AN97" s="145" t="n">
        <f aca="false">IFERROR('Price History'!T3+(INDEX('Price History'!T:T,MATCH(9.99E+307,'Price History'!$A:$A))-'Price History'!T3)*(ROW()-3)/(MATCH(9.99E+307,'Returns (Calc)'!$A:$A)-3),"")</f>
        <v>11.0009433962264</v>
      </c>
      <c r="AO97" s="146" t="n">
        <f aca="false">IFERROR('Price History'!V3+(INDEX('Price History'!V:V,MATCH(9.99E+307,'Price History'!$A:$A))-'Price History'!V3)*(ROW()-3)/(MATCH(9.99E+307,'Returns (Calc)'!$A:$A)-3),"")</f>
        <v>0</v>
      </c>
    </row>
    <row r="98" customFormat="false" ht="15" hidden="false" customHeight="true" outlineLevel="0" collapsed="false">
      <c r="A98" s="142" t="n">
        <f aca="false">IF('Price History'!A99="","",'Price History'!A99)</f>
        <v>45856</v>
      </c>
      <c r="B98" s="143" t="n">
        <f aca="false">IFERROR(IF(OR(NOT(ISNUMBER('Price History'!B99)),NOT(ISNUMBER('Price History'!B98)),'Price History'!B98=0),"",'Price History'!B99/'Price History'!B98-1),"")</f>
        <v>0.00671528828952805</v>
      </c>
      <c r="C98" s="143" t="n">
        <f aca="false">IFERROR(IF(OR(NOT(ISNUMBER('Price History'!C99)),NOT(ISNUMBER('Price History'!C98)),'Price History'!C98=0),"",'Price History'!C99/'Price History'!C98-1),"")</f>
        <v>0.0295661785023489</v>
      </c>
      <c r="D98" s="143" t="n">
        <f aca="false">IFERROR(IF(OR(NOT(ISNUMBER('Price History'!D99)),NOT(ISNUMBER('Price History'!D98)),'Price History'!D98=0),"",'Price History'!D99/'Price History'!D98-1),"")</f>
        <v>-0.0839845470446853</v>
      </c>
      <c r="E98" s="143" t="n">
        <f aca="false">IFERROR(IF(OR(NOT(ISNUMBER('Price History'!E99)),NOT(ISNUMBER('Price History'!E98)),'Price History'!E98=0),"",'Price History'!E99/'Price History'!E98-1),"")</f>
        <v>0.0326602670197507</v>
      </c>
      <c r="F98" s="143" t="n">
        <f aca="false">IFERROR(IF(OR(NOT(ISNUMBER('Price History'!F99)),NOT(ISNUMBER('Price History'!F98)),'Price History'!F98=0),"",'Price History'!F99/'Price History'!F98-1),"")</f>
        <v>-0.0118000429092469</v>
      </c>
      <c r="G98" s="143" t="n">
        <f aca="false">IFERROR(IF(OR(NOT(ISNUMBER('Price History'!G99)),NOT(ISNUMBER('Price History'!G98)),'Price History'!G98=0),"",'Price History'!G99/'Price History'!G98-1),"")</f>
        <v>-0.00518351308419029</v>
      </c>
      <c r="H98" s="143" t="n">
        <f aca="false">IFERROR(IF(OR(NOT(ISNUMBER('Price History'!H99)),NOT(ISNUMBER('Price History'!H98)),'Price History'!H98=0),"",'Price History'!H99/'Price History'!H98-1),"")</f>
        <v>-0.00421940928270026</v>
      </c>
      <c r="I98" s="143" t="n">
        <f aca="false">IFERROR(IF(OR(NOT(ISNUMBER('Price History'!I99)),NOT(ISNUMBER('Price History'!I98)),'Price History'!I98=0),"",'Price History'!I99/'Price History'!I98-1),"")</f>
        <v>0.00708369659982555</v>
      </c>
      <c r="J98" s="143" t="n">
        <f aca="false">IFERROR(IF(OR(NOT(ISNUMBER('Price History'!J99)),NOT(ISNUMBER('Price History'!J98)),'Price History'!J98=0),"",'Price History'!J99/'Price History'!J98-1),"")</f>
        <v>-0.0813962840826832</v>
      </c>
      <c r="K98" s="143" t="n">
        <f aca="false">IFERROR(IF(OR(NOT(ISNUMBER('Price History'!K99)),NOT(ISNUMBER('Price History'!K98)),'Price History'!K98=0),"",'Price History'!K99/'Price History'!K98-1),"")</f>
        <v>0.0454048140043764</v>
      </c>
      <c r="L98" s="143" t="n">
        <f aca="false">IFERROR(IF(OR(NOT(ISNUMBER('Price History'!L99)),NOT(ISNUMBER('Price History'!L98)),'Price History'!L98=0),"",'Price History'!L99/'Price History'!L98-1),"")</f>
        <v>-0.0219235535220665</v>
      </c>
      <c r="M98" s="143" t="n">
        <f aca="false">IFERROR(IF(OR(NOT(ISNUMBER('Price History'!M99)),NOT(ISNUMBER('Price History'!M98)),'Price History'!M98=0),"",'Price History'!M99/'Price History'!M98-1),"")</f>
        <v>0.08036593947924</v>
      </c>
      <c r="N98" s="143" t="n">
        <f aca="false">IFERROR(IF(OR(NOT(ISNUMBER('Price History'!N99)),NOT(ISNUMBER('Price History'!N98)),'Price History'!N98=0),"",'Price History'!N99/'Price History'!N98-1),"")</f>
        <v>-0.0110898661567878</v>
      </c>
      <c r="O98" s="143" t="n">
        <f aca="false">IFERROR(IF(OR(NOT(ISNUMBER('Price History'!O99)),NOT(ISNUMBER('Price History'!O98)),'Price History'!O98=0),"",'Price History'!O99/'Price History'!O98-1),"")</f>
        <v>0.014858171994597</v>
      </c>
      <c r="P98" s="143" t="n">
        <f aca="false">IFERROR(IF(OR(NOT(ISNUMBER('Price History'!P99)),NOT(ISNUMBER('Price History'!P98)),'Price History'!P98=0),"",'Price History'!P99/'Price History'!P98-1),"")</f>
        <v>0.0433845206142474</v>
      </c>
      <c r="Q98" s="143" t="n">
        <f aca="false">IFERROR(IF(OR(NOT(ISNUMBER('Price History'!Q99)),NOT(ISNUMBER('Price History'!Q98)),'Price History'!Q98=0),"",'Price History'!Q99/'Price History'!Q98-1),"")</f>
        <v>0.00322149988390996</v>
      </c>
      <c r="R98" s="143" t="n">
        <f aca="false">IFERROR(IF(OR(NOT(ISNUMBER('Price History'!R99)),NOT(ISNUMBER('Price History'!R98)),'Price History'!R98=0),"",'Price History'!R99/'Price History'!R98-1),"")</f>
        <v>-0.00208728652751422</v>
      </c>
      <c r="S98" s="143" t="n">
        <f aca="false">IFERROR(IF(OR(NOT(ISNUMBER('Price History'!S99)),NOT(ISNUMBER('Price History'!S98)),'Price History'!S98=0),"",'Price History'!S99/'Price History'!S98-1),"")</f>
        <v>-0.00710811821922941</v>
      </c>
      <c r="T98" s="143" t="n">
        <f aca="false">IFERROR(IF(OR(NOT(ISNUMBER('Price History'!T99)),NOT(ISNUMBER('Price History'!T98)),'Price History'!T98=0),"",'Price History'!T99/'Price History'!T98-1),"")</f>
        <v>0.0109541654655521</v>
      </c>
      <c r="U98" s="143" t="str">
        <f aca="false">IFERROR(IF(OR(NOT(ISNUMBER('Price History'!U99)),NOT(ISNUMBER('Price History'!U98)),'Price History'!U98=0),"",'Price History'!U99/'Price History'!U98-1),"")</f>
        <v/>
      </c>
      <c r="V98" s="144" t="n">
        <f aca="false">IFERROR(IF(OR(NOT(ISNUMBER('Price History'!V99)),NOT(ISNUMBER('Price History'!V98)),'Price History'!V98=0),"",'Price History'!V99/'Price History'!V98-1),"")</f>
        <v>-0.0469125027274711</v>
      </c>
      <c r="W98" s="145" t="str">
        <f aca="false">IFERROR('Price History'!B3+(INDEX('Price History'!B:B,MATCH(9.99E+307,'Price History'!$A:$A))-'Price History'!B3)*(ROW()-3)/(MATCH(9.99E+307,'Returns (Calc)'!$A:$A)-3),"")</f>
        <v/>
      </c>
      <c r="X98" s="145" t="n">
        <f aca="false">IFERROR('Price History'!C3+(INDEX('Price History'!C:C,MATCH(9.99E+307,'Price History'!$A:$A))-'Price History'!C3)*(ROW()-3)/(MATCH(9.99E+307,'Returns (Calc)'!$A:$A)-3),"")</f>
        <v>18.5881761006289</v>
      </c>
      <c r="Y98" s="145" t="n">
        <f aca="false">IFERROR('Price History'!D3+(INDEX('Price History'!D:D,MATCH(9.99E+307,'Price History'!$A:$A))-'Price History'!D3)*(ROW()-3)/(MATCH(9.99E+307,'Returns (Calc)'!$A:$A)-3),"")</f>
        <v>234.268176100629</v>
      </c>
      <c r="Z98" s="145" t="n">
        <f aca="false">IFERROR('Price History'!E3+(INDEX('Price History'!E:E,MATCH(9.99E+307,'Price History'!$A:$A))-'Price History'!E3)*(ROW()-3)/(MATCH(9.99E+307,'Returns (Calc)'!$A:$A)-3),"")</f>
        <v>33.0062893081761</v>
      </c>
      <c r="AA98" s="145" t="n">
        <f aca="false">IFERROR('Price History'!F3+(INDEX('Price History'!F:F,MATCH(9.99E+307,'Price History'!$A:$A))-'Price History'!F3)*(ROW()-3)/(MATCH(9.99E+307,'Returns (Calc)'!$A:$A)-3),"")</f>
        <v>30.3134591194969</v>
      </c>
      <c r="AB98" s="145" t="n">
        <f aca="false">IFERROR('Price History'!G3+(INDEX('Price History'!G:G,MATCH(9.99E+307,'Price History'!$A:$A))-'Price History'!G3)*(ROW()-3)/(MATCH(9.99E+307,'Returns (Calc)'!$A:$A)-3),"")</f>
        <v>16.6480503144654</v>
      </c>
      <c r="AC98" s="145" t="n">
        <f aca="false">IFERROR('Price History'!H3+(INDEX('Price History'!H:H,MATCH(9.99E+307,'Price History'!$A:$A))-'Price History'!H3)*(ROW()-3)/(MATCH(9.99E+307,'Returns (Calc)'!$A:$A)-3),"")</f>
        <v>40.4890566037736</v>
      </c>
      <c r="AD98" s="145" t="n">
        <f aca="false">IFERROR('Price History'!I3+(INDEX('Price History'!I:I,MATCH(9.99E+307,'Price History'!$A:$A))-'Price History'!I3)*(ROW()-3)/(MATCH(9.99E+307,'Returns (Calc)'!$A:$A)-3),"")</f>
        <v>17.851572327044</v>
      </c>
      <c r="AE98" s="145" t="n">
        <f aca="false">IFERROR('Price History'!J3+(INDEX('Price History'!J:J,MATCH(9.99E+307,'Price History'!$A:$A))-'Price History'!J3)*(ROW()-3)/(MATCH(9.99E+307,'Returns (Calc)'!$A:$A)-3),"")</f>
        <v>27.8178616352201</v>
      </c>
      <c r="AF98" s="145" t="n">
        <f aca="false">IFERROR('Price History'!K3+(INDEX('Price History'!K:K,MATCH(9.99E+307,'Price History'!$A:$A))-'Price History'!K3)*(ROW()-3)/(MATCH(9.99E+307,'Returns (Calc)'!$A:$A)-3),"")</f>
        <v>17.6181132075472</v>
      </c>
      <c r="AG98" s="145" t="n">
        <f aca="false">IFERROR('Price History'!L3+(INDEX('Price History'!L:L,MATCH(9.99E+307,'Price History'!$A:$A))-'Price History'!L3)*(ROW()-3)/(MATCH(9.99E+307,'Returns (Calc)'!$A:$A)-3),"")</f>
        <v>45.017358490566</v>
      </c>
      <c r="AH98" s="145" t="n">
        <f aca="false">IFERROR('Price History'!M3+(INDEX('Price History'!M:M,MATCH(9.99E+307,'Price History'!$A:$A))-'Price History'!M3)*(ROW()-3)/(MATCH(9.99E+307,'Returns (Calc)'!$A:$A)-3),"")</f>
        <v>6.17056603773585</v>
      </c>
      <c r="AI98" s="145" t="n">
        <f aca="false">IFERROR('Price History'!N3+(INDEX('Price History'!N:N,MATCH(9.99E+307,'Price History'!$A:$A))-'Price History'!N3)*(ROW()-3)/(MATCH(9.99E+307,'Returns (Calc)'!$A:$A)-3),"")</f>
        <v>8.7748427672956</v>
      </c>
      <c r="AJ98" s="145" t="n">
        <f aca="false">IFERROR('Price History'!O3+(INDEX('Price History'!O:O,MATCH(9.99E+307,'Price History'!$A:$A))-'Price History'!O3)*(ROW()-3)/(MATCH(9.99E+307,'Returns (Calc)'!$A:$A)-3),"")</f>
        <v>23.1969811320755</v>
      </c>
      <c r="AK98" s="145" t="n">
        <f aca="false">IFERROR('Price History'!Q3+(INDEX('Price History'!Q:Q,MATCH(9.99E+307,'Price History'!$A:$A))-'Price History'!Q3)*(ROW()-3)/(MATCH(9.99E+307,'Returns (Calc)'!$A:$A)-3),"")</f>
        <v>94.8447798742138</v>
      </c>
      <c r="AL98" s="145" t="n">
        <f aca="false">IFERROR('Price History'!R3+(INDEX('Price History'!R:R,MATCH(9.99E+307,'Price History'!$A:$A))-'Price History'!R3)*(ROW()-3)/(MATCH(9.99E+307,'Returns (Calc)'!$A:$A)-3),"")</f>
        <v>19.2483018867925</v>
      </c>
      <c r="AM98" s="145" t="n">
        <f aca="false">IFERROR('Price History'!S3+(INDEX('Price History'!S:S,MATCH(9.99E+307,'Price History'!$A:$A))-'Price History'!S3)*(ROW()-3)/(MATCH(9.99E+307,'Returns (Calc)'!$A:$A)-3),"")</f>
        <v>23.5632704402516</v>
      </c>
      <c r="AN98" s="145" t="n">
        <f aca="false">IFERROR('Price History'!T3+(INDEX('Price History'!T:T,MATCH(9.99E+307,'Price History'!$A:$A))-'Price History'!T3)*(ROW()-3)/(MATCH(9.99E+307,'Returns (Calc)'!$A:$A)-3),"")</f>
        <v>10.8316981132075</v>
      </c>
      <c r="AO98" s="146" t="n">
        <f aca="false">IFERROR('Price History'!V3+(INDEX('Price History'!V:V,MATCH(9.99E+307,'Price History'!$A:$A))-'Price History'!V3)*(ROW()-3)/(MATCH(9.99E+307,'Returns (Calc)'!$A:$A)-3),"")</f>
        <v>0</v>
      </c>
    </row>
    <row r="99" customFormat="false" ht="15" hidden="false" customHeight="true" outlineLevel="0" collapsed="false">
      <c r="A99" s="142" t="n">
        <f aca="false">IF('Price History'!A100="","",'Price History'!A100)</f>
        <v>45863</v>
      </c>
      <c r="B99" s="143" t="n">
        <f aca="false">IFERROR(IF(OR(NOT(ISNUMBER('Price History'!B100)),NOT(ISNUMBER('Price History'!B99)),'Price History'!B99=0),"",'Price History'!B100/'Price History'!B99-1),"")</f>
        <v>0.0135323546297055</v>
      </c>
      <c r="C99" s="143" t="n">
        <f aca="false">IFERROR(IF(OR(NOT(ISNUMBER('Price History'!C100)),NOT(ISNUMBER('Price History'!C99)),'Price History'!C99=0),"",'Price History'!C100/'Price History'!C99-1),"")</f>
        <v>0.0223653605296117</v>
      </c>
      <c r="D99" s="143" t="n">
        <f aca="false">IFERROR(IF(OR(NOT(ISNUMBER('Price History'!D100)),NOT(ISNUMBER('Price History'!D99)),'Price History'!D99=0),"",'Price History'!D100/'Price History'!D99-1),"")</f>
        <v>-0.0317612957289849</v>
      </c>
      <c r="E99" s="143" t="n">
        <f aca="false">IFERROR(IF(OR(NOT(ISNUMBER('Price History'!E100)),NOT(ISNUMBER('Price History'!E99)),'Price History'!E99=0),"",'Price History'!E100/'Price History'!E99-1),"")</f>
        <v>0.0241478790469067</v>
      </c>
      <c r="F99" s="143" t="n">
        <f aca="false">IFERROR(IF(OR(NOT(ISNUMBER('Price History'!F100)),NOT(ISNUMBER('Price History'!F99)),'Price History'!F99=0),"",'Price History'!F100/'Price History'!F99-1),"")</f>
        <v>0.0147633521493704</v>
      </c>
      <c r="G99" s="143" t="n">
        <f aca="false">IFERROR(IF(OR(NOT(ISNUMBER('Price History'!G100)),NOT(ISNUMBER('Price History'!G99)),'Price History'!G99=0),"",'Price History'!G100/'Price History'!G99-1),"")</f>
        <v>-0.0168921758130934</v>
      </c>
      <c r="H99" s="143" t="n">
        <f aca="false">IFERROR(IF(OR(NOT(ISNUMBER('Price History'!H100)),NOT(ISNUMBER('Price History'!H99)),'Price History'!H99=0),"",'Price History'!H100/'Price History'!H99-1),"")</f>
        <v>0.0181818181818181</v>
      </c>
      <c r="I99" s="143" t="n">
        <f aca="false">IFERROR(IF(OR(NOT(ISNUMBER('Price History'!I100)),NOT(ISNUMBER('Price History'!I99)),'Price History'!I99=0),"",'Price History'!I100/'Price History'!I99-1),"")</f>
        <v>-0.0311654582837355</v>
      </c>
      <c r="J99" s="143" t="n">
        <f aca="false">IFERROR(IF(OR(NOT(ISNUMBER('Price History'!J100)),NOT(ISNUMBER('Price History'!J99)),'Price History'!J99=0),"",'Price History'!J100/'Price History'!J99-1),"")</f>
        <v>-0.0274056562472638</v>
      </c>
      <c r="K99" s="143" t="n">
        <f aca="false">IFERROR(IF(OR(NOT(ISNUMBER('Price History'!K100)),NOT(ISNUMBER('Price History'!K99)),'Price History'!K99=0),"",'Price History'!K100/'Price History'!K99-1),"")</f>
        <v>0.00633757776614918</v>
      </c>
      <c r="L99" s="143" t="n">
        <f aca="false">IFERROR(IF(OR(NOT(ISNUMBER('Price History'!L100)),NOT(ISNUMBER('Price History'!L99)),'Price History'!L99=0),"",'Price History'!L100/'Price History'!L99-1),"")</f>
        <v>0.0329402592339927</v>
      </c>
      <c r="M99" s="143" t="n">
        <f aca="false">IFERROR(IF(OR(NOT(ISNUMBER('Price History'!M100)),NOT(ISNUMBER('Price History'!M99)),'Price History'!M99=0),"",'Price History'!M100/'Price History'!M99-1),"")</f>
        <v>0.0343929129755081</v>
      </c>
      <c r="N99" s="143" t="n">
        <f aca="false">IFERROR(IF(OR(NOT(ISNUMBER('Price History'!N100)),NOT(ISNUMBER('Price History'!N99)),'Price History'!N99=0),"",'Price History'!N100/'Price History'!N99-1),"")</f>
        <v>0.0108275328692962</v>
      </c>
      <c r="O99" s="143" t="n">
        <f aca="false">IFERROR(IF(OR(NOT(ISNUMBER('Price History'!O100)),NOT(ISNUMBER('Price History'!O99)),'Price History'!O99=0),"",'Price History'!O100/'Price History'!O99-1),"")</f>
        <v>0.01055900621118</v>
      </c>
      <c r="P99" s="143" t="n">
        <f aca="false">IFERROR(IF(OR(NOT(ISNUMBER('Price History'!P100)),NOT(ISNUMBER('Price History'!P99)),'Price History'!P99=0),"",'Price History'!P100/'Price History'!P99-1),"")</f>
        <v>0.0216337030320921</v>
      </c>
      <c r="Q99" s="143" t="n">
        <f aca="false">IFERROR(IF(OR(NOT(ISNUMBER('Price History'!Q100)),NOT(ISNUMBER('Price History'!Q99)),'Price History'!Q99=0),"",'Price History'!Q100/'Price History'!Q99-1),"")</f>
        <v>0.0229120259206757</v>
      </c>
      <c r="R99" s="143" t="n">
        <f aca="false">IFERROR(IF(OR(NOT(ISNUMBER('Price History'!R100)),NOT(ISNUMBER('Price History'!R99)),'Price History'!R99=0),"",'Price History'!R100/'Price History'!R99-1),"")</f>
        <v>0.00304240349876395</v>
      </c>
      <c r="S99" s="143" t="n">
        <f aca="false">IFERROR(IF(OR(NOT(ISNUMBER('Price History'!S100)),NOT(ISNUMBER('Price History'!S99)),'Price History'!S99=0),"",'Price History'!S100/'Price History'!S99-1),"")</f>
        <v>0.00706480783722685</v>
      </c>
      <c r="T99" s="143" t="n">
        <f aca="false">IFERROR(IF(OR(NOT(ISNUMBER('Price History'!T100)),NOT(ISNUMBER('Price History'!T99)),'Price History'!T99=0),"",'Price History'!T100/'Price History'!T99-1),"")</f>
        <v>-0.00114057599087536</v>
      </c>
      <c r="U99" s="143" t="str">
        <f aca="false">IFERROR(IF(OR(NOT(ISNUMBER('Price History'!U100)),NOT(ISNUMBER('Price History'!U99)),'Price History'!U99=0),"",'Price History'!U100/'Price History'!U99-1),"")</f>
        <v/>
      </c>
      <c r="V99" s="144" t="n">
        <f aca="false">IFERROR(IF(OR(NOT(ISNUMBER('Price History'!V100)),NOT(ISNUMBER('Price History'!V99)),'Price History'!V99=0),"",'Price History'!V100/'Price History'!V99-1),"")</f>
        <v>-0.0404933608058607</v>
      </c>
      <c r="W99" s="145" t="str">
        <f aca="false">IFERROR('Price History'!B3+(INDEX('Price History'!B:B,MATCH(9.99E+307,'Price History'!$A:$A))-'Price History'!B3)*(ROW()-3)/(MATCH(9.99E+307,'Returns (Calc)'!$A:$A)-3),"")</f>
        <v/>
      </c>
      <c r="X99" s="145" t="n">
        <f aca="false">IFERROR('Price History'!C3+(INDEX('Price History'!C:C,MATCH(9.99E+307,'Price History'!$A:$A))-'Price History'!C3)*(ROW()-3)/(MATCH(9.99E+307,'Returns (Calc)'!$A:$A)-3),"")</f>
        <v>18.2977358490566</v>
      </c>
      <c r="Y99" s="145" t="n">
        <f aca="false">IFERROR('Price History'!D3+(INDEX('Price History'!D:D,MATCH(9.99E+307,'Price History'!$A:$A))-'Price History'!D3)*(ROW()-3)/(MATCH(9.99E+307,'Returns (Calc)'!$A:$A)-3),"")</f>
        <v>230.607735849057</v>
      </c>
      <c r="Z99" s="145" t="n">
        <f aca="false">IFERROR('Price History'!E3+(INDEX('Price History'!E:E,MATCH(9.99E+307,'Price History'!$A:$A))-'Price History'!E3)*(ROW()-3)/(MATCH(9.99E+307,'Returns (Calc)'!$A:$A)-3),"")</f>
        <v>32.4905660377358</v>
      </c>
      <c r="AA99" s="145" t="n">
        <f aca="false">IFERROR('Price History'!F3+(INDEX('Price History'!F:F,MATCH(9.99E+307,'Price History'!$A:$A))-'Price History'!F3)*(ROW()-3)/(MATCH(9.99E+307,'Returns (Calc)'!$A:$A)-3),"")</f>
        <v>29.8398113207547</v>
      </c>
      <c r="AB99" s="145" t="n">
        <f aca="false">IFERROR('Price History'!G3+(INDEX('Price History'!G:G,MATCH(9.99E+307,'Price History'!$A:$A))-'Price History'!G3)*(ROW()-3)/(MATCH(9.99E+307,'Returns (Calc)'!$A:$A)-3),"")</f>
        <v>16.3879245283019</v>
      </c>
      <c r="AC99" s="145" t="n">
        <f aca="false">IFERROR('Price History'!H3+(INDEX('Price History'!H:H,MATCH(9.99E+307,'Price History'!$A:$A))-'Price History'!H3)*(ROW()-3)/(MATCH(9.99E+307,'Returns (Calc)'!$A:$A)-3),"")</f>
        <v>39.8564150943396</v>
      </c>
      <c r="AD99" s="145" t="n">
        <f aca="false">IFERROR('Price History'!I3+(INDEX('Price History'!I:I,MATCH(9.99E+307,'Price History'!$A:$A))-'Price History'!I3)*(ROW()-3)/(MATCH(9.99E+307,'Returns (Calc)'!$A:$A)-3),"")</f>
        <v>17.572641509434</v>
      </c>
      <c r="AE99" s="145" t="n">
        <f aca="false">IFERROR('Price History'!J3+(INDEX('Price History'!J:J,MATCH(9.99E+307,'Price History'!$A:$A))-'Price History'!J3)*(ROW()-3)/(MATCH(9.99E+307,'Returns (Calc)'!$A:$A)-3),"")</f>
        <v>27.3832075471698</v>
      </c>
      <c r="AF99" s="145" t="n">
        <f aca="false">IFERROR('Price History'!K3+(INDEX('Price History'!K:K,MATCH(9.99E+307,'Price History'!$A:$A))-'Price History'!K3)*(ROW()-3)/(MATCH(9.99E+307,'Returns (Calc)'!$A:$A)-3),"")</f>
        <v>17.3428301886792</v>
      </c>
      <c r="AG99" s="145" t="n">
        <f aca="false">IFERROR('Price History'!L3+(INDEX('Price History'!L:L,MATCH(9.99E+307,'Price History'!$A:$A))-'Price History'!L3)*(ROW()-3)/(MATCH(9.99E+307,'Returns (Calc)'!$A:$A)-3),"")</f>
        <v>44.3139622641509</v>
      </c>
      <c r="AH99" s="145" t="n">
        <f aca="false">IFERROR('Price History'!M3+(INDEX('Price History'!M:M,MATCH(9.99E+307,'Price History'!$A:$A))-'Price History'!M3)*(ROW()-3)/(MATCH(9.99E+307,'Returns (Calc)'!$A:$A)-3),"")</f>
        <v>6.07415094339623</v>
      </c>
      <c r="AI99" s="145" t="n">
        <f aca="false">IFERROR('Price History'!N3+(INDEX('Price History'!N:N,MATCH(9.99E+307,'Price History'!$A:$A))-'Price History'!N3)*(ROW()-3)/(MATCH(9.99E+307,'Returns (Calc)'!$A:$A)-3),"")</f>
        <v>8.6377358490566</v>
      </c>
      <c r="AJ99" s="145" t="n">
        <f aca="false">IFERROR('Price History'!O3+(INDEX('Price History'!O:O,MATCH(9.99E+307,'Price History'!$A:$A))-'Price History'!O3)*(ROW()-3)/(MATCH(9.99E+307,'Returns (Calc)'!$A:$A)-3),"")</f>
        <v>22.8345283018868</v>
      </c>
      <c r="AK99" s="145" t="n">
        <f aca="false">IFERROR('Price History'!Q3+(INDEX('Price History'!Q:Q,MATCH(9.99E+307,'Price History'!$A:$A))-'Price History'!Q3)*(ROW()-3)/(MATCH(9.99E+307,'Returns (Calc)'!$A:$A)-3),"")</f>
        <v>93.3628301886793</v>
      </c>
      <c r="AL99" s="145" t="n">
        <f aca="false">IFERROR('Price History'!R3+(INDEX('Price History'!R:R,MATCH(9.99E+307,'Price History'!$A:$A))-'Price History'!R3)*(ROW()-3)/(MATCH(9.99E+307,'Returns (Calc)'!$A:$A)-3),"")</f>
        <v>18.9475471698113</v>
      </c>
      <c r="AM99" s="145" t="n">
        <f aca="false">IFERROR('Price History'!S3+(INDEX('Price History'!S:S,MATCH(9.99E+307,'Price History'!$A:$A))-'Price History'!S3)*(ROW()-3)/(MATCH(9.99E+307,'Returns (Calc)'!$A:$A)-3),"")</f>
        <v>23.1950943396226</v>
      </c>
      <c r="AN99" s="145" t="n">
        <f aca="false">IFERROR('Price History'!T3+(INDEX('Price History'!T:T,MATCH(9.99E+307,'Price History'!$A:$A))-'Price History'!T3)*(ROW()-3)/(MATCH(9.99E+307,'Returns (Calc)'!$A:$A)-3),"")</f>
        <v>10.6624528301887</v>
      </c>
      <c r="AO99" s="146" t="n">
        <f aca="false">IFERROR('Price History'!V3+(INDEX('Price History'!V:V,MATCH(9.99E+307,'Price History'!$A:$A))-'Price History'!V3)*(ROW()-3)/(MATCH(9.99E+307,'Returns (Calc)'!$A:$A)-3),"")</f>
        <v>0</v>
      </c>
    </row>
    <row r="100" customFormat="false" ht="15" hidden="false" customHeight="true" outlineLevel="0" collapsed="false">
      <c r="A100" s="142" t="n">
        <f aca="false">IF('Price History'!A101="","",'Price History'!A101)</f>
        <v>45870</v>
      </c>
      <c r="B100" s="143" t="n">
        <f aca="false">IFERROR(IF(OR(NOT(ISNUMBER('Price History'!B101)),NOT(ISNUMBER('Price History'!B100)),'Price History'!B100=0),"",'Price History'!B101/'Price History'!B100-1),"")</f>
        <v>-0.06187624750499</v>
      </c>
      <c r="C100" s="143" t="n">
        <f aca="false">IFERROR(IF(OR(NOT(ISNUMBER('Price History'!C101)),NOT(ISNUMBER('Price History'!C100)),'Price History'!C100=0),"",'Price History'!C101/'Price History'!C100-1),"")</f>
        <v>0.0287889394469723</v>
      </c>
      <c r="D100" s="143" t="n">
        <f aca="false">IFERROR(IF(OR(NOT(ISNUMBER('Price History'!D101)),NOT(ISNUMBER('Price History'!D100)),'Price History'!D100=0),"",'Price History'!D101/'Price History'!D100-1),"")</f>
        <v>-0.0276670308310041</v>
      </c>
      <c r="E100" s="143" t="n">
        <f aca="false">IFERROR(IF(OR(NOT(ISNUMBER('Price History'!E101)),NOT(ISNUMBER('Price History'!E100)),'Price History'!E100=0),"",'Price History'!E101/'Price History'!E100-1),"")</f>
        <v>-0.00532081377151805</v>
      </c>
      <c r="F100" s="143" t="n">
        <f aca="false">IFERROR(IF(OR(NOT(ISNUMBER('Price History'!F101)),NOT(ISNUMBER('Price History'!F100)),'Price History'!F100=0),"",'Price History'!F101/'Price History'!F100-1),"")</f>
        <v>-0.0502781343602911</v>
      </c>
      <c r="G100" s="143" t="n">
        <f aca="false">IFERROR(IF(OR(NOT(ISNUMBER('Price History'!G101)),NOT(ISNUMBER('Price History'!G100)),'Price History'!G100=0),"",'Price History'!G101/'Price History'!G100-1),"")</f>
        <v>-0.0453923747649171</v>
      </c>
      <c r="H100" s="143" t="n">
        <f aca="false">IFERROR(IF(OR(NOT(ISNUMBER('Price History'!H101)),NOT(ISNUMBER('Price History'!H100)),'Price History'!H100=0),"",'Price History'!H101/'Price History'!H100-1),"")</f>
        <v>-0.0300393462469734</v>
      </c>
      <c r="I100" s="143" t="n">
        <f aca="false">IFERROR(IF(OR(NOT(ISNUMBER('Price History'!I101)),NOT(ISNUMBER('Price History'!I100)),'Price History'!I100=0),"",'Price History'!I101/'Price History'!I100-1),"")</f>
        <v>-0.0170892438288842</v>
      </c>
      <c r="J100" s="143" t="n">
        <f aca="false">IFERROR(IF(OR(NOT(ISNUMBER('Price History'!J101)),NOT(ISNUMBER('Price History'!J100)),'Price History'!J100=0),"",'Price History'!J101/'Price History'!J100-1),"")</f>
        <v>-0.0573460568959309</v>
      </c>
      <c r="K100" s="143" t="n">
        <f aca="false">IFERROR(IF(OR(NOT(ISNUMBER('Price History'!K101)),NOT(ISNUMBER('Price History'!K100)),'Price History'!K100=0),"",'Price History'!K101/'Price History'!K100-1),"")</f>
        <v>0.00127108851398194</v>
      </c>
      <c r="L100" s="143" t="n">
        <f aca="false">IFERROR(IF(OR(NOT(ISNUMBER('Price History'!L101)),NOT(ISNUMBER('Price History'!L100)),'Price History'!L100=0),"",'Price History'!L101/'Price History'!L100-1),"")</f>
        <v>-0.0487781866213795</v>
      </c>
      <c r="M100" s="143" t="n">
        <f aca="false">IFERROR(IF(OR(NOT(ISNUMBER('Price History'!M101)),NOT(ISNUMBER('Price History'!M100)),'Price History'!M100=0),"",'Price History'!M101/'Price History'!M100-1),"")</f>
        <v>-0.0285264483627204</v>
      </c>
      <c r="N100" s="143" t="n">
        <f aca="false">IFERROR(IF(OR(NOT(ISNUMBER('Price History'!N101)),NOT(ISNUMBER('Price History'!N100)),'Price History'!N100=0),"",'Price History'!N101/'Price History'!N100-1),"")</f>
        <v>-0.0344299923488907</v>
      </c>
      <c r="O100" s="143" t="n">
        <f aca="false">IFERROR(IF(OR(NOT(ISNUMBER('Price History'!O101)),NOT(ISNUMBER('Price History'!O100)),'Price History'!O100=0),"",'Price History'!O101/'Price History'!O100-1),"")</f>
        <v>-0.0157169198349285</v>
      </c>
      <c r="P100" s="143" t="n">
        <f aca="false">IFERROR(IF(OR(NOT(ISNUMBER('Price History'!P101)),NOT(ISNUMBER('Price History'!P100)),'Price History'!P100=0),"",'Price History'!P101/'Price History'!P100-1),"")</f>
        <v>-0.0423099149673905</v>
      </c>
      <c r="Q100" s="143" t="n">
        <f aca="false">IFERROR(IF(OR(NOT(ISNUMBER('Price History'!Q101)),NOT(ISNUMBER('Price History'!Q100)),'Price History'!Q100=0),"",'Price History'!Q101/'Price History'!Q100-1),"")</f>
        <v>-0.0495489125823694</v>
      </c>
      <c r="R100" s="143" t="n">
        <f aca="false">IFERROR(IF(OR(NOT(ISNUMBER('Price History'!R101)),NOT(ISNUMBER('Price History'!R100)),'Price History'!R100=0),"",'Price History'!R101/'Price History'!R100-1),"")</f>
        <v>0.0288151658767772</v>
      </c>
      <c r="S100" s="143" t="n">
        <f aca="false">IFERROR(IF(OR(NOT(ISNUMBER('Price History'!S101)),NOT(ISNUMBER('Price History'!S100)),'Price History'!S100=0),"",'Price History'!S101/'Price History'!S100-1),"")</f>
        <v>0.0461135534561781</v>
      </c>
      <c r="T100" s="143" t="n">
        <f aca="false">IFERROR(IF(OR(NOT(ISNUMBER('Price History'!T101)),NOT(ISNUMBER('Price History'!T100)),'Price History'!T100=0),"",'Price History'!T101/'Price History'!T100-1),"")</f>
        <v>0.00856408792463603</v>
      </c>
      <c r="U100" s="143" t="str">
        <f aca="false">IFERROR(IF(OR(NOT(ISNUMBER('Price History'!U101)),NOT(ISNUMBER('Price History'!U100)),'Price History'!U100=0),"",'Price History'!U101/'Price History'!U100-1),"")</f>
        <v/>
      </c>
      <c r="V100" s="144" t="n">
        <f aca="false">IFERROR(IF(OR(NOT(ISNUMBER('Price History'!V101)),NOT(ISNUMBER('Price History'!V100)),'Price History'!V100=0),"",'Price History'!V101/'Price History'!V100-1),"")</f>
        <v>0.0296758030361777</v>
      </c>
      <c r="W100" s="145" t="str">
        <f aca="false">IFERROR('Price History'!B3+(INDEX('Price History'!B:B,MATCH(9.99E+307,'Price History'!$A:$A))-'Price History'!B3)*(ROW()-3)/(MATCH(9.99E+307,'Returns (Calc)'!$A:$A)-3),"")</f>
        <v/>
      </c>
      <c r="X100" s="145" t="n">
        <f aca="false">IFERROR('Price History'!C3+(INDEX('Price History'!C:C,MATCH(9.99E+307,'Price History'!$A:$A))-'Price History'!C3)*(ROW()-3)/(MATCH(9.99E+307,'Returns (Calc)'!$A:$A)-3),"")</f>
        <v>18.0072955974843</v>
      </c>
      <c r="Y100" s="145" t="n">
        <f aca="false">IFERROR('Price History'!D3+(INDEX('Price History'!D:D,MATCH(9.99E+307,'Price History'!$A:$A))-'Price History'!D3)*(ROW()-3)/(MATCH(9.99E+307,'Returns (Calc)'!$A:$A)-3),"")</f>
        <v>226.947295597484</v>
      </c>
      <c r="Z100" s="145" t="n">
        <f aca="false">IFERROR('Price History'!E3+(INDEX('Price History'!E:E,MATCH(9.99E+307,'Price History'!$A:$A))-'Price History'!E3)*(ROW()-3)/(MATCH(9.99E+307,'Returns (Calc)'!$A:$A)-3),"")</f>
        <v>31.9748427672956</v>
      </c>
      <c r="AA100" s="145" t="n">
        <f aca="false">IFERROR('Price History'!F3+(INDEX('Price History'!F:F,MATCH(9.99E+307,'Price History'!$A:$A))-'Price History'!F3)*(ROW()-3)/(MATCH(9.99E+307,'Returns (Calc)'!$A:$A)-3),"")</f>
        <v>29.3661635220126</v>
      </c>
      <c r="AB100" s="145" t="n">
        <f aca="false">IFERROR('Price History'!G3+(INDEX('Price History'!G:G,MATCH(9.99E+307,'Price History'!$A:$A))-'Price History'!G3)*(ROW()-3)/(MATCH(9.99E+307,'Returns (Calc)'!$A:$A)-3),"")</f>
        <v>16.1277987421384</v>
      </c>
      <c r="AC100" s="145" t="n">
        <f aca="false">IFERROR('Price History'!H3+(INDEX('Price History'!H:H,MATCH(9.99E+307,'Price History'!$A:$A))-'Price History'!H3)*(ROW()-3)/(MATCH(9.99E+307,'Returns (Calc)'!$A:$A)-3),"")</f>
        <v>39.2237735849057</v>
      </c>
      <c r="AD100" s="145" t="n">
        <f aca="false">IFERROR('Price History'!I3+(INDEX('Price History'!I:I,MATCH(9.99E+307,'Price History'!$A:$A))-'Price History'!I3)*(ROW()-3)/(MATCH(9.99E+307,'Returns (Calc)'!$A:$A)-3),"")</f>
        <v>17.2937106918239</v>
      </c>
      <c r="AE100" s="145" t="n">
        <f aca="false">IFERROR('Price History'!J3+(INDEX('Price History'!J:J,MATCH(9.99E+307,'Price History'!$A:$A))-'Price History'!J3)*(ROW()-3)/(MATCH(9.99E+307,'Returns (Calc)'!$A:$A)-3),"")</f>
        <v>26.9485534591195</v>
      </c>
      <c r="AF100" s="145" t="n">
        <f aca="false">IFERROR('Price History'!K3+(INDEX('Price History'!K:K,MATCH(9.99E+307,'Price History'!$A:$A))-'Price History'!K3)*(ROW()-3)/(MATCH(9.99E+307,'Returns (Calc)'!$A:$A)-3),"")</f>
        <v>17.0675471698113</v>
      </c>
      <c r="AG100" s="145" t="n">
        <f aca="false">IFERROR('Price History'!L3+(INDEX('Price History'!L:L,MATCH(9.99E+307,'Price History'!$A:$A))-'Price History'!L3)*(ROW()-3)/(MATCH(9.99E+307,'Returns (Calc)'!$A:$A)-3),"")</f>
        <v>43.6105660377359</v>
      </c>
      <c r="AH100" s="145" t="n">
        <f aca="false">IFERROR('Price History'!M3+(INDEX('Price History'!M:M,MATCH(9.99E+307,'Price History'!$A:$A))-'Price History'!M3)*(ROW()-3)/(MATCH(9.99E+307,'Returns (Calc)'!$A:$A)-3),"")</f>
        <v>5.9777358490566</v>
      </c>
      <c r="AI100" s="145" t="n">
        <f aca="false">IFERROR('Price History'!N3+(INDEX('Price History'!N:N,MATCH(9.99E+307,'Price History'!$A:$A))-'Price History'!N3)*(ROW()-3)/(MATCH(9.99E+307,'Returns (Calc)'!$A:$A)-3),"")</f>
        <v>8.50062893081761</v>
      </c>
      <c r="AJ100" s="145" t="n">
        <f aca="false">IFERROR('Price History'!O3+(INDEX('Price History'!O:O,MATCH(9.99E+307,'Price History'!$A:$A))-'Price History'!O3)*(ROW()-3)/(MATCH(9.99E+307,'Returns (Calc)'!$A:$A)-3),"")</f>
        <v>22.4720754716981</v>
      </c>
      <c r="AK100" s="145" t="n">
        <f aca="false">IFERROR('Price History'!Q3+(INDEX('Price History'!Q:Q,MATCH(9.99E+307,'Price History'!$A:$A))-'Price History'!Q3)*(ROW()-3)/(MATCH(9.99E+307,'Returns (Calc)'!$A:$A)-3),"")</f>
        <v>91.8808805031447</v>
      </c>
      <c r="AL100" s="145" t="n">
        <f aca="false">IFERROR('Price History'!R3+(INDEX('Price History'!R:R,MATCH(9.99E+307,'Price History'!$A:$A))-'Price History'!R3)*(ROW()-3)/(MATCH(9.99E+307,'Returns (Calc)'!$A:$A)-3),"")</f>
        <v>18.6467924528302</v>
      </c>
      <c r="AM100" s="145" t="n">
        <f aca="false">IFERROR('Price History'!S3+(INDEX('Price History'!S:S,MATCH(9.99E+307,'Price History'!$A:$A))-'Price History'!S3)*(ROW()-3)/(MATCH(9.99E+307,'Returns (Calc)'!$A:$A)-3),"")</f>
        <v>22.8269182389937</v>
      </c>
      <c r="AN100" s="145" t="n">
        <f aca="false">IFERROR('Price History'!T3+(INDEX('Price History'!T:T,MATCH(9.99E+307,'Price History'!$A:$A))-'Price History'!T3)*(ROW()-3)/(MATCH(9.99E+307,'Returns (Calc)'!$A:$A)-3),"")</f>
        <v>10.4932075471698</v>
      </c>
      <c r="AO100" s="146" t="n">
        <f aca="false">IFERROR('Price History'!V3+(INDEX('Price History'!V:V,MATCH(9.99E+307,'Price History'!$A:$A))-'Price History'!V3)*(ROW()-3)/(MATCH(9.99E+307,'Returns (Calc)'!$A:$A)-3),"")</f>
        <v>0</v>
      </c>
    </row>
    <row r="101" customFormat="false" ht="15" hidden="false" customHeight="true" outlineLevel="0" collapsed="false">
      <c r="A101" s="142" t="n">
        <f aca="false">IF('Price History'!A102="","",'Price History'!A102)</f>
        <v>45877</v>
      </c>
      <c r="B101" s="143" t="n">
        <f aca="false">IFERROR(IF(OR(NOT(ISNUMBER('Price History'!B102)),NOT(ISNUMBER('Price History'!B101)),'Price History'!B101=0),"",'Price History'!B102/'Price History'!B101-1),"")</f>
        <v>-0.0194077055779184</v>
      </c>
      <c r="C101" s="143" t="n">
        <f aca="false">IFERROR(IF(OR(NOT(ISNUMBER('Price History'!C102)),NOT(ISNUMBER('Price History'!C101)),'Price History'!C101=0),"",'Price History'!C102/'Price History'!C101-1),"")</f>
        <v>0.183805392532109</v>
      </c>
      <c r="D101" s="143" t="n">
        <f aca="false">IFERROR(IF(OR(NOT(ISNUMBER('Price History'!D102)),NOT(ISNUMBER('Price History'!D101)),'Price History'!D101=0),"",'Price History'!D102/'Price History'!D101-1),"")</f>
        <v>0.0471027710087406</v>
      </c>
      <c r="E101" s="143" t="n">
        <f aca="false">IFERROR(IF(OR(NOT(ISNUMBER('Price History'!E102)),NOT(ISNUMBER('Price History'!E101)),'Price History'!E101=0),"",'Price History'!E102/'Price History'!E101-1),"")</f>
        <v>0.0565694706663871</v>
      </c>
      <c r="F101" s="143" t="n">
        <f aca="false">IFERROR(IF(OR(NOT(ISNUMBER('Price History'!F102)),NOT(ISNUMBER('Price History'!F101)),'Price History'!F101=0),"",'Price History'!F102/'Price History'!F101-1),"")</f>
        <v>0.0233160621761657</v>
      </c>
      <c r="G101" s="143" t="n">
        <f aca="false">IFERROR(IF(OR(NOT(ISNUMBER('Price History'!G102)),NOT(ISNUMBER('Price History'!G101)),'Price History'!G101=0),"",'Price History'!G102/'Price History'!G101-1),"")</f>
        <v>-0.0497000089549565</v>
      </c>
      <c r="H101" s="143" t="n">
        <f aca="false">IFERROR(IF(OR(NOT(ISNUMBER('Price History'!H102)),NOT(ISNUMBER('Price History'!H101)),'Price History'!H101=0),"",'Price History'!H102/'Price History'!H101-1),"")</f>
        <v>0.0161479054528433</v>
      </c>
      <c r="I101" s="143" t="n">
        <f aca="false">IFERROR(IF(OR(NOT(ISNUMBER('Price History'!I102)),NOT(ISNUMBER('Price History'!I101)),'Price History'!I101=0),"",'Price History'!I102/'Price History'!I101-1),"")</f>
        <v>0.0317045454545455</v>
      </c>
      <c r="J101" s="143" t="n">
        <f aca="false">IFERROR(IF(OR(NOT(ISNUMBER('Price History'!J102)),NOT(ISNUMBER('Price History'!J101)),'Price History'!J101=0),"",'Price History'!J102/'Price History'!J101-1),"")</f>
        <v>0.133607105338554</v>
      </c>
      <c r="K101" s="143" t="n">
        <f aca="false">IFERROR(IF(OR(NOT(ISNUMBER('Price History'!K102)),NOT(ISNUMBER('Price History'!K101)),'Price History'!K101=0),"",'Price History'!K102/'Price History'!K101-1),"")</f>
        <v>0.0516445470282747</v>
      </c>
      <c r="L101" s="143" t="n">
        <f aca="false">IFERROR(IF(OR(NOT(ISNUMBER('Price History'!L102)),NOT(ISNUMBER('Price History'!L101)),'Price History'!L101=0),"",'Price History'!L102/'Price History'!L101-1),"")</f>
        <v>0.00733981352906188</v>
      </c>
      <c r="M101" s="143" t="n">
        <f aca="false">IFERROR(IF(OR(NOT(ISNUMBER('Price History'!M102)),NOT(ISNUMBER('Price History'!M101)),'Price History'!M101=0),"",'Price History'!M102/'Price History'!M101-1),"")</f>
        <v>0.211901212160498</v>
      </c>
      <c r="N101" s="143" t="n">
        <f aca="false">IFERROR(IF(OR(NOT(ISNUMBER('Price History'!N102)),NOT(ISNUMBER('Price History'!N101)),'Price History'!N101=0),"",'Price History'!N102/'Price History'!N101-1),"")</f>
        <v>0.0190174326465928</v>
      </c>
      <c r="O101" s="143" t="n">
        <f aca="false">IFERROR(IF(OR(NOT(ISNUMBER('Price History'!O102)),NOT(ISNUMBER('Price History'!O101)),'Price History'!O101=0),"",'Price History'!O102/'Price History'!O101-1),"")</f>
        <v>0.0349687778768957</v>
      </c>
      <c r="P101" s="143" t="n">
        <f aca="false">IFERROR(IF(OR(NOT(ISNUMBER('Price History'!P102)),NOT(ISNUMBER('Price History'!P101)),'Price History'!P101=0),"",'Price History'!P102/'Price History'!P101-1),"")</f>
        <v>0.0281453385629931</v>
      </c>
      <c r="Q101" s="143" t="n">
        <f aca="false">IFERROR(IF(OR(NOT(ISNUMBER('Price History'!Q102)),NOT(ISNUMBER('Price History'!Q101)),'Price History'!Q101=0),"",'Price History'!Q102/'Price History'!Q101-1),"")</f>
        <v>-0.00758770494242278</v>
      </c>
      <c r="R101" s="143" t="n">
        <f aca="false">IFERROR(IF(OR(NOT(ISNUMBER('Price History'!R102)),NOT(ISNUMBER('Price History'!R101)),'Price History'!R101=0),"",'Price History'!R102/'Price History'!R101-1),"")</f>
        <v>-0.00202690252441506</v>
      </c>
      <c r="S101" s="143" t="n">
        <f aca="false">IFERROR(IF(OR(NOT(ISNUMBER('Price History'!S102)),NOT(ISNUMBER('Price History'!S101)),'Price History'!S101=0),"",'Price History'!S102/'Price History'!S101-1),"")</f>
        <v>0.00599070100143062</v>
      </c>
      <c r="T101" s="143" t="n">
        <f aca="false">IFERROR(IF(OR(NOT(ISNUMBER('Price History'!T102)),NOT(ISNUMBER('Price History'!T101)),'Price History'!T101=0),"",'Price History'!T102/'Price History'!T101-1),"")</f>
        <v>0.0124540050948203</v>
      </c>
      <c r="U101" s="143" t="str">
        <f aca="false">IFERROR(IF(OR(NOT(ISNUMBER('Price History'!U102)),NOT(ISNUMBER('Price History'!U101)),'Price History'!U101=0),"",'Price History'!U102/'Price History'!U101-1),"")</f>
        <v/>
      </c>
      <c r="V101" s="144" t="str">
        <f aca="false">IFERROR(IF(OR(NOT(ISNUMBER('Price History'!V102)),NOT(ISNUMBER('Price History'!V101)),'Price History'!V101=0),"",'Price History'!V102/'Price History'!V101-1),"")</f>
        <v/>
      </c>
      <c r="W101" s="145" t="str">
        <f aca="false">IFERROR('Price History'!B3+(INDEX('Price History'!B:B,MATCH(9.99E+307,'Price History'!$A:$A))-'Price History'!B3)*(ROW()-3)/(MATCH(9.99E+307,'Returns (Calc)'!$A:$A)-3),"")</f>
        <v/>
      </c>
      <c r="X101" s="145" t="n">
        <f aca="false">IFERROR('Price History'!C3+(INDEX('Price History'!C:C,MATCH(9.99E+307,'Price History'!$A:$A))-'Price History'!C3)*(ROW()-3)/(MATCH(9.99E+307,'Returns (Calc)'!$A:$A)-3),"")</f>
        <v>17.716855345912</v>
      </c>
      <c r="Y101" s="145" t="n">
        <f aca="false">IFERROR('Price History'!D3+(INDEX('Price History'!D:D,MATCH(9.99E+307,'Price History'!$A:$A))-'Price History'!D3)*(ROW()-3)/(MATCH(9.99E+307,'Returns (Calc)'!$A:$A)-3),"")</f>
        <v>223.286855345912</v>
      </c>
      <c r="Z101" s="145" t="n">
        <f aca="false">IFERROR('Price History'!E3+(INDEX('Price History'!E:E,MATCH(9.99E+307,'Price History'!$A:$A))-'Price History'!E3)*(ROW()-3)/(MATCH(9.99E+307,'Returns (Calc)'!$A:$A)-3),"")</f>
        <v>31.4591194968553</v>
      </c>
      <c r="AA101" s="145" t="n">
        <f aca="false">IFERROR('Price History'!F3+(INDEX('Price History'!F:F,MATCH(9.99E+307,'Price History'!$A:$A))-'Price History'!F3)*(ROW()-3)/(MATCH(9.99E+307,'Returns (Calc)'!$A:$A)-3),"")</f>
        <v>28.8925157232704</v>
      </c>
      <c r="AB101" s="145" t="n">
        <f aca="false">IFERROR('Price History'!G3+(INDEX('Price History'!G:G,MATCH(9.99E+307,'Price History'!$A:$A))-'Price History'!G3)*(ROW()-3)/(MATCH(9.99E+307,'Returns (Calc)'!$A:$A)-3),"")</f>
        <v>15.8676729559748</v>
      </c>
      <c r="AC101" s="145" t="n">
        <f aca="false">IFERROR('Price History'!H3+(INDEX('Price History'!H:H,MATCH(9.99E+307,'Price History'!$A:$A))-'Price History'!H3)*(ROW()-3)/(MATCH(9.99E+307,'Returns (Calc)'!$A:$A)-3),"")</f>
        <v>38.5911320754717</v>
      </c>
      <c r="AD101" s="145" t="n">
        <f aca="false">IFERROR('Price History'!I3+(INDEX('Price History'!I:I,MATCH(9.99E+307,'Price History'!$A:$A))-'Price History'!I3)*(ROW()-3)/(MATCH(9.99E+307,'Returns (Calc)'!$A:$A)-3),"")</f>
        <v>17.0147798742138</v>
      </c>
      <c r="AE101" s="145" t="n">
        <f aca="false">IFERROR('Price History'!J3+(INDEX('Price History'!J:J,MATCH(9.99E+307,'Price History'!$A:$A))-'Price History'!J3)*(ROW()-3)/(MATCH(9.99E+307,'Returns (Calc)'!$A:$A)-3),"")</f>
        <v>26.5138993710692</v>
      </c>
      <c r="AF101" s="145" t="n">
        <f aca="false">IFERROR('Price History'!K3+(INDEX('Price History'!K:K,MATCH(9.99E+307,'Price History'!$A:$A))-'Price History'!K3)*(ROW()-3)/(MATCH(9.99E+307,'Returns (Calc)'!$A:$A)-3),"")</f>
        <v>16.7922641509434</v>
      </c>
      <c r="AG101" s="145" t="n">
        <f aca="false">IFERROR('Price History'!L3+(INDEX('Price History'!L:L,MATCH(9.99E+307,'Price History'!$A:$A))-'Price History'!L3)*(ROW()-3)/(MATCH(9.99E+307,'Returns (Calc)'!$A:$A)-3),"")</f>
        <v>42.9071698113208</v>
      </c>
      <c r="AH101" s="145" t="n">
        <f aca="false">IFERROR('Price History'!M3+(INDEX('Price History'!M:M,MATCH(9.99E+307,'Price History'!$A:$A))-'Price History'!M3)*(ROW()-3)/(MATCH(9.99E+307,'Returns (Calc)'!$A:$A)-3),"")</f>
        <v>5.88132075471698</v>
      </c>
      <c r="AI101" s="145" t="n">
        <f aca="false">IFERROR('Price History'!N3+(INDEX('Price History'!N:N,MATCH(9.99E+307,'Price History'!$A:$A))-'Price History'!N3)*(ROW()-3)/(MATCH(9.99E+307,'Returns (Calc)'!$A:$A)-3),"")</f>
        <v>8.36352201257862</v>
      </c>
      <c r="AJ101" s="145" t="n">
        <f aca="false">IFERROR('Price History'!O3+(INDEX('Price History'!O:O,MATCH(9.99E+307,'Price History'!$A:$A))-'Price History'!O3)*(ROW()-3)/(MATCH(9.99E+307,'Returns (Calc)'!$A:$A)-3),"")</f>
        <v>22.1096226415094</v>
      </c>
      <c r="AK101" s="145" t="n">
        <f aca="false">IFERROR('Price History'!Q3+(INDEX('Price History'!Q:Q,MATCH(9.99E+307,'Price History'!$A:$A))-'Price History'!Q3)*(ROW()-3)/(MATCH(9.99E+307,'Returns (Calc)'!$A:$A)-3),"")</f>
        <v>90.3989308176101</v>
      </c>
      <c r="AL101" s="145" t="n">
        <f aca="false">IFERROR('Price History'!R3+(INDEX('Price History'!R:R,MATCH(9.99E+307,'Price History'!$A:$A))-'Price History'!R3)*(ROW()-3)/(MATCH(9.99E+307,'Returns (Calc)'!$A:$A)-3),"")</f>
        <v>18.3460377358491</v>
      </c>
      <c r="AM101" s="145" t="n">
        <f aca="false">IFERROR('Price History'!S3+(INDEX('Price History'!S:S,MATCH(9.99E+307,'Price History'!$A:$A))-'Price History'!S3)*(ROW()-3)/(MATCH(9.99E+307,'Returns (Calc)'!$A:$A)-3),"")</f>
        <v>22.4587421383648</v>
      </c>
      <c r="AN101" s="145" t="n">
        <f aca="false">IFERROR('Price History'!T3+(INDEX('Price History'!T:T,MATCH(9.99E+307,'Price History'!$A:$A))-'Price History'!T3)*(ROW()-3)/(MATCH(9.99E+307,'Returns (Calc)'!$A:$A)-3),"")</f>
        <v>10.3239622641509</v>
      </c>
      <c r="AO101" s="146" t="n">
        <f aca="false">IFERROR('Price History'!V3+(INDEX('Price History'!V:V,MATCH(9.99E+307,'Price History'!$A:$A))-'Price History'!V3)*(ROW()-3)/(MATCH(9.99E+307,'Returns (Calc)'!$A:$A)-3),"")</f>
        <v>0</v>
      </c>
    </row>
    <row r="102" customFormat="false" ht="15" hidden="false" customHeight="true" outlineLevel="0" collapsed="false">
      <c r="A102" s="142" t="n">
        <f aca="false">IF('Price History'!A103="","",'Price History'!A103)</f>
        <v>45884</v>
      </c>
      <c r="B102" s="143" t="n">
        <f aca="false">IFERROR(IF(OR(NOT(ISNUMBER('Price History'!B103)),NOT(ISNUMBER('Price History'!B102)),'Price History'!B102=0),"",'Price History'!B103/'Price History'!B102-1),"")</f>
        <v>0.0404632751795924</v>
      </c>
      <c r="C102" s="143" t="n">
        <f aca="false">IFERROR(IF(OR(NOT(ISNUMBER('Price History'!C103)),NOT(ISNUMBER('Price History'!C102)),'Price History'!C102=0),"",'Price History'!C103/'Price History'!C102-1),"")</f>
        <v>-0.0135076878861905</v>
      </c>
      <c r="D102" s="143" t="n">
        <f aca="false">IFERROR(IF(OR(NOT(ISNUMBER('Price History'!D103)),NOT(ISNUMBER('Price History'!D102)),'Price History'!D102=0),"",'Price History'!D103/'Price History'!D102-1),"")</f>
        <v>0.0274669379450661</v>
      </c>
      <c r="E102" s="143" t="n">
        <f aca="false">IFERROR(IF(OR(NOT(ISNUMBER('Price History'!E103)),NOT(ISNUMBER('Price History'!E102)),'Price History'!E102=0),"",'Price History'!E103/'Price History'!E102-1),"")</f>
        <v>0.00450033090668445</v>
      </c>
      <c r="F102" s="143" t="n">
        <f aca="false">IFERROR(IF(OR(NOT(ISNUMBER('Price History'!F103)),NOT(ISNUMBER('Price History'!F102)),'Price History'!F102=0),"",'Price History'!F103/'Price History'!F102-1),"")</f>
        <v>0.0298293891029169</v>
      </c>
      <c r="G102" s="143" t="n">
        <f aca="false">IFERROR(IF(OR(NOT(ISNUMBER('Price History'!G103)),NOT(ISNUMBER('Price History'!G102)),'Price History'!G102=0),"",'Price History'!G103/'Price History'!G102-1),"")</f>
        <v>0.00800980022615905</v>
      </c>
      <c r="H102" s="143" t="n">
        <f aca="false">IFERROR(IF(OR(NOT(ISNUMBER('Price History'!H103)),NOT(ISNUMBER('Price History'!H102)),'Price History'!H102=0),"",'Price History'!H103/'Price History'!H102-1),"")</f>
        <v>0.0153539075694764</v>
      </c>
      <c r="I102" s="143" t="n">
        <f aca="false">IFERROR(IF(OR(NOT(ISNUMBER('Price History'!I103)),NOT(ISNUMBER('Price History'!I102)),'Price History'!I102=0),"",'Price History'!I103/'Price History'!I102-1),"")</f>
        <v>-0.0435069941623527</v>
      </c>
      <c r="J102" s="143" t="n">
        <f aca="false">IFERROR(IF(OR(NOT(ISNUMBER('Price History'!J103)),NOT(ISNUMBER('Price History'!J102)),'Price History'!J102=0),"",'Price History'!J103/'Price History'!J102-1),"")</f>
        <v>0.016680707666386</v>
      </c>
      <c r="K102" s="143" t="n">
        <f aca="false">IFERROR(IF(OR(NOT(ISNUMBER('Price History'!K103)),NOT(ISNUMBER('Price History'!K102)),'Price History'!K102=0),"",'Price History'!K103/'Price History'!K102-1),"")</f>
        <v>-0.0122908093278464</v>
      </c>
      <c r="L102" s="143" t="n">
        <f aca="false">IFERROR(IF(OR(NOT(ISNUMBER('Price History'!L103)),NOT(ISNUMBER('Price History'!L102)),'Price History'!L102=0),"",'Price History'!L103/'Price History'!L102-1),"")</f>
        <v>0.00856636471051608</v>
      </c>
      <c r="M102" s="143" t="n">
        <f aca="false">IFERROR(IF(OR(NOT(ISNUMBER('Price History'!M103)),NOT(ISNUMBER('Price History'!M102)),'Price History'!M102=0),"",'Price History'!M103/'Price History'!M102-1),"")</f>
        <v>-0.0523641420624734</v>
      </c>
      <c r="N102" s="143" t="n">
        <f aca="false">IFERROR(IF(OR(NOT(ISNUMBER('Price History'!N103)),NOT(ISNUMBER('Price History'!N102)),'Price History'!N102=0),"",'Price History'!N103/'Price History'!N102-1),"")</f>
        <v>0.0167185069984448</v>
      </c>
      <c r="O102" s="143" t="n">
        <f aca="false">IFERROR(IF(OR(NOT(ISNUMBER('Price History'!O103)),NOT(ISNUMBER('Price History'!O102)),'Price History'!O102=0),"",'Price History'!O103/'Price History'!O102-1),"")</f>
        <v>0.00103430443027075</v>
      </c>
      <c r="P102" s="143" t="n">
        <f aca="false">IFERROR(IF(OR(NOT(ISNUMBER('Price History'!P103)),NOT(ISNUMBER('Price History'!P102)),'Price History'!P102=0),"",'Price History'!P103/'Price History'!P102-1),"")</f>
        <v>-0.0121992118722227</v>
      </c>
      <c r="Q102" s="143" t="n">
        <f aca="false">IFERROR(IF(OR(NOT(ISNUMBER('Price History'!Q103)),NOT(ISNUMBER('Price History'!Q102)),'Price History'!Q102=0),"",'Price History'!Q103/'Price History'!Q102-1),"")</f>
        <v>0.0246461981290478</v>
      </c>
      <c r="R102" s="143" t="n">
        <f aca="false">IFERROR(IF(OR(NOT(ISNUMBER('Price History'!R103)),NOT(ISNUMBER('Price History'!R102)),'Price History'!R102=0),"",'Price History'!R103/'Price History'!R102-1),"")</f>
        <v>0.00369276218611536</v>
      </c>
      <c r="S102" s="143" t="n">
        <f aca="false">IFERROR(IF(OR(NOT(ISNUMBER('Price History'!S103)),NOT(ISNUMBER('Price History'!S102)),'Price History'!S102=0),"",'Price History'!S103/'Price History'!S102-1),"")</f>
        <v>-0.00302195360412416</v>
      </c>
      <c r="T102" s="143" t="n">
        <f aca="false">IFERROR(IF(OR(NOT(ISNUMBER('Price History'!T103)),NOT(ISNUMBER('Price History'!T102)),'Price History'!T102=0),"",'Price History'!T103/'Price History'!T102-1),"")</f>
        <v>0.00195694716242656</v>
      </c>
      <c r="U102" s="143" t="str">
        <f aca="false">IFERROR(IF(OR(NOT(ISNUMBER('Price History'!U103)),NOT(ISNUMBER('Price History'!U102)),'Price History'!U102=0),"",'Price History'!U103/'Price History'!U102-1),"")</f>
        <v/>
      </c>
      <c r="V102" s="144" t="str">
        <f aca="false">IFERROR(IF(OR(NOT(ISNUMBER('Price History'!V103)),NOT(ISNUMBER('Price History'!V102)),'Price History'!V102=0),"",'Price History'!V103/'Price History'!V102-1),"")</f>
        <v/>
      </c>
      <c r="W102" s="145" t="str">
        <f aca="false">IFERROR('Price History'!B3+(INDEX('Price History'!B:B,MATCH(9.99E+307,'Price History'!$A:$A))-'Price History'!B3)*(ROW()-3)/(MATCH(9.99E+307,'Returns (Calc)'!$A:$A)-3),"")</f>
        <v/>
      </c>
      <c r="X102" s="145" t="n">
        <f aca="false">IFERROR('Price History'!C3+(INDEX('Price History'!C:C,MATCH(9.99E+307,'Price History'!$A:$A))-'Price History'!C3)*(ROW()-3)/(MATCH(9.99E+307,'Returns (Calc)'!$A:$A)-3),"")</f>
        <v>17.4264150943396</v>
      </c>
      <c r="Y102" s="145" t="n">
        <f aca="false">IFERROR('Price History'!D3+(INDEX('Price History'!D:D,MATCH(9.99E+307,'Price History'!$A:$A))-'Price History'!D3)*(ROW()-3)/(MATCH(9.99E+307,'Returns (Calc)'!$A:$A)-3),"")</f>
        <v>219.62641509434</v>
      </c>
      <c r="Z102" s="145" t="n">
        <f aca="false">IFERROR('Price History'!E3+(INDEX('Price History'!E:E,MATCH(9.99E+307,'Price History'!$A:$A))-'Price History'!E3)*(ROW()-3)/(MATCH(9.99E+307,'Returns (Calc)'!$A:$A)-3),"")</f>
        <v>30.9433962264151</v>
      </c>
      <c r="AA102" s="145" t="n">
        <f aca="false">IFERROR('Price History'!F3+(INDEX('Price History'!F:F,MATCH(9.99E+307,'Price History'!$A:$A))-'Price History'!F3)*(ROW()-3)/(MATCH(9.99E+307,'Returns (Calc)'!$A:$A)-3),"")</f>
        <v>28.4188679245283</v>
      </c>
      <c r="AB102" s="145" t="n">
        <f aca="false">IFERROR('Price History'!G3+(INDEX('Price History'!G:G,MATCH(9.99E+307,'Price History'!$A:$A))-'Price History'!G3)*(ROW()-3)/(MATCH(9.99E+307,'Returns (Calc)'!$A:$A)-3),"")</f>
        <v>15.6075471698113</v>
      </c>
      <c r="AC102" s="145" t="n">
        <f aca="false">IFERROR('Price History'!H3+(INDEX('Price History'!H:H,MATCH(9.99E+307,'Price History'!$A:$A))-'Price History'!H3)*(ROW()-3)/(MATCH(9.99E+307,'Returns (Calc)'!$A:$A)-3),"")</f>
        <v>37.9584905660377</v>
      </c>
      <c r="AD102" s="145" t="n">
        <f aca="false">IFERROR('Price History'!I3+(INDEX('Price History'!I:I,MATCH(9.99E+307,'Price History'!$A:$A))-'Price History'!I3)*(ROW()-3)/(MATCH(9.99E+307,'Returns (Calc)'!$A:$A)-3),"")</f>
        <v>16.7358490566038</v>
      </c>
      <c r="AE102" s="145" t="n">
        <f aca="false">IFERROR('Price History'!J3+(INDEX('Price History'!J:J,MATCH(9.99E+307,'Price History'!$A:$A))-'Price History'!J3)*(ROW()-3)/(MATCH(9.99E+307,'Returns (Calc)'!$A:$A)-3),"")</f>
        <v>26.0792452830189</v>
      </c>
      <c r="AF102" s="145" t="n">
        <f aca="false">IFERROR('Price History'!K3+(INDEX('Price History'!K:K,MATCH(9.99E+307,'Price History'!$A:$A))-'Price History'!K3)*(ROW()-3)/(MATCH(9.99E+307,'Returns (Calc)'!$A:$A)-3),"")</f>
        <v>16.5169811320755</v>
      </c>
      <c r="AG102" s="145" t="n">
        <f aca="false">IFERROR('Price History'!L3+(INDEX('Price History'!L:L,MATCH(9.99E+307,'Price History'!$A:$A))-'Price History'!L3)*(ROW()-3)/(MATCH(9.99E+307,'Returns (Calc)'!$A:$A)-3),"")</f>
        <v>42.2037735849057</v>
      </c>
      <c r="AH102" s="145" t="n">
        <f aca="false">IFERROR('Price History'!M3+(INDEX('Price History'!M:M,MATCH(9.99E+307,'Price History'!$A:$A))-'Price History'!M3)*(ROW()-3)/(MATCH(9.99E+307,'Returns (Calc)'!$A:$A)-3),"")</f>
        <v>5.78490566037736</v>
      </c>
      <c r="AI102" s="145" t="n">
        <f aca="false">IFERROR('Price History'!N3+(INDEX('Price History'!N:N,MATCH(9.99E+307,'Price History'!$A:$A))-'Price History'!N3)*(ROW()-3)/(MATCH(9.99E+307,'Returns (Calc)'!$A:$A)-3),"")</f>
        <v>8.22641509433962</v>
      </c>
      <c r="AJ102" s="145" t="n">
        <f aca="false">IFERROR('Price History'!O3+(INDEX('Price History'!O:O,MATCH(9.99E+307,'Price History'!$A:$A))-'Price History'!O3)*(ROW()-3)/(MATCH(9.99E+307,'Returns (Calc)'!$A:$A)-3),"")</f>
        <v>21.7471698113208</v>
      </c>
      <c r="AK102" s="145" t="n">
        <f aca="false">IFERROR('Price History'!Q3+(INDEX('Price History'!Q:Q,MATCH(9.99E+307,'Price History'!$A:$A))-'Price History'!Q3)*(ROW()-3)/(MATCH(9.99E+307,'Returns (Calc)'!$A:$A)-3),"")</f>
        <v>88.9169811320755</v>
      </c>
      <c r="AL102" s="145" t="n">
        <f aca="false">IFERROR('Price History'!R3+(INDEX('Price History'!R:R,MATCH(9.99E+307,'Price History'!$A:$A))-'Price History'!R3)*(ROW()-3)/(MATCH(9.99E+307,'Returns (Calc)'!$A:$A)-3),"")</f>
        <v>18.0452830188679</v>
      </c>
      <c r="AM102" s="145" t="n">
        <f aca="false">IFERROR('Price History'!S3+(INDEX('Price History'!S:S,MATCH(9.99E+307,'Price History'!$A:$A))-'Price History'!S3)*(ROW()-3)/(MATCH(9.99E+307,'Returns (Calc)'!$A:$A)-3),"")</f>
        <v>22.0905660377358</v>
      </c>
      <c r="AN102" s="145" t="n">
        <f aca="false">IFERROR('Price History'!T3+(INDEX('Price History'!T:T,MATCH(9.99E+307,'Price History'!$A:$A))-'Price History'!T3)*(ROW()-3)/(MATCH(9.99E+307,'Returns (Calc)'!$A:$A)-3),"")</f>
        <v>10.1547169811321</v>
      </c>
      <c r="AO102" s="146" t="n">
        <f aca="false">IFERROR('Price History'!V3+(INDEX('Price History'!V:V,MATCH(9.99E+307,'Price History'!$A:$A))-'Price History'!V3)*(ROW()-3)/(MATCH(9.99E+307,'Returns (Calc)'!$A:$A)-3),"")</f>
        <v>0</v>
      </c>
    </row>
    <row r="103" customFormat="false" ht="15" hidden="false" customHeight="true" outlineLevel="0" collapsed="false">
      <c r="A103" s="142" t="n">
        <f aca="false">IF('Price History'!A104="","",'Price History'!A104)</f>
        <v>45891</v>
      </c>
      <c r="B103" s="143" t="n">
        <f aca="false">IFERROR(IF(OR(NOT(ISNUMBER('Price History'!B104)),NOT(ISNUMBER('Price History'!B103)),'Price History'!B103=0),"",'Price History'!B104/'Price History'!B103-1),"")</f>
        <v>0.0204029871776805</v>
      </c>
      <c r="C103" s="143" t="n">
        <f aca="false">IFERROR(IF(OR(NOT(ISNUMBER('Price History'!C104)),NOT(ISNUMBER('Price History'!C103)),'Price History'!C103=0),"",'Price History'!C104/'Price History'!C103-1),"")</f>
        <v>-0.029497450837582</v>
      </c>
      <c r="D103" s="143" t="n">
        <f aca="false">IFERROR(IF(OR(NOT(ISNUMBER('Price History'!D104)),NOT(ISNUMBER('Price History'!D103)),'Price History'!D103=0),"",'Price History'!D104/'Price History'!D103-1),"")</f>
        <v>0.0171571951715721</v>
      </c>
      <c r="E103" s="143" t="n">
        <f aca="false">IFERROR(IF(OR(NOT(ISNUMBER('Price History'!E104)),NOT(ISNUMBER('Price History'!E103)),'Price History'!E103=0),"",'Price History'!E104/'Price History'!E103-1),"")</f>
        <v>-0.0402885755699038</v>
      </c>
      <c r="F103" s="143" t="n">
        <f aca="false">IFERROR(IF(OR(NOT(ISNUMBER('Price History'!F104)),NOT(ISNUMBER('Price History'!F103)),'Price History'!F103=0),"",'Price History'!F104/'Price History'!F103-1),"")</f>
        <v>0.0397605814450619</v>
      </c>
      <c r="G103" s="143" t="n">
        <f aca="false">IFERROR(IF(OR(NOT(ISNUMBER('Price History'!G104)),NOT(ISNUMBER('Price History'!G103)),'Price History'!G103=0),"",'Price History'!G104/'Price History'!G103-1),"")</f>
        <v>-0.0171076002617556</v>
      </c>
      <c r="H103" s="143" t="n">
        <f aca="false">IFERROR(IF(OR(NOT(ISNUMBER('Price History'!H104)),NOT(ISNUMBER('Price History'!H103)),'Price History'!H103=0),"",'Price History'!H104/'Price History'!H103-1),"")</f>
        <v>0.0288825041584759</v>
      </c>
      <c r="I103" s="143" t="n">
        <f aca="false">IFERROR(IF(OR(NOT(ISNUMBER('Price History'!I104)),NOT(ISNUMBER('Price History'!I103)),'Price History'!I103=0),"",'Price History'!I104/'Price History'!I103-1),"")</f>
        <v>-0.0032243205895901</v>
      </c>
      <c r="J103" s="143" t="n">
        <f aca="false">IFERROR(IF(OR(NOT(ISNUMBER('Price History'!J104)),NOT(ISNUMBER('Price History'!J103)),'Price History'!J103=0),"",'Price History'!J104/'Price History'!J103-1),"")</f>
        <v>-0.0264335432548891</v>
      </c>
      <c r="K103" s="143" t="n">
        <f aca="false">IFERROR(IF(OR(NOT(ISNUMBER('Price History'!K104)),NOT(ISNUMBER('Price History'!K103)),'Price History'!K103=0),"",'Price History'!K104/'Price History'!K103-1),"")</f>
        <v>-0.0136659074495861</v>
      </c>
      <c r="L103" s="143" t="n">
        <f aca="false">IFERROR(IF(OR(NOT(ISNUMBER('Price History'!L104)),NOT(ISNUMBER('Price History'!L103)),'Price History'!L103=0),"",'Price History'!L104/'Price History'!L103-1),"")</f>
        <v>0.0534023235380259</v>
      </c>
      <c r="M103" s="143" t="n">
        <f aca="false">IFERROR(IF(OR(NOT(ISNUMBER('Price History'!M104)),NOT(ISNUMBER('Price History'!M103)),'Price History'!M103=0),"",'Price History'!M104/'Price History'!M103-1),"")</f>
        <v>-0.104024383360614</v>
      </c>
      <c r="N103" s="143" t="n">
        <f aca="false">IFERROR(IF(OR(NOT(ISNUMBER('Price History'!N104)),NOT(ISNUMBER('Price History'!N103)),'Price History'!N103=0),"",'Price History'!N104/'Price History'!N103-1),"")</f>
        <v>0.0229445506692161</v>
      </c>
      <c r="O103" s="143" t="n">
        <f aca="false">IFERROR(IF(OR(NOT(ISNUMBER('Price History'!O104)),NOT(ISNUMBER('Price History'!O103)),'Price History'!O103=0),"",'Price History'!O104/'Price History'!O103-1),"")</f>
        <v>-0.0068021353538833</v>
      </c>
      <c r="P103" s="143" t="n">
        <f aca="false">IFERROR(IF(OR(NOT(ISNUMBER('Price History'!P104)),NOT(ISNUMBER('Price History'!P103)),'Price History'!P103=0),"",'Price History'!P104/'Price History'!P103-1),"")</f>
        <v>-0.0246573017018207</v>
      </c>
      <c r="Q103" s="143" t="n">
        <f aca="false">IFERROR(IF(OR(NOT(ISNUMBER('Price History'!Q104)),NOT(ISNUMBER('Price History'!Q103)),'Price History'!Q103=0),"",'Price History'!Q104/'Price History'!Q103-1),"")</f>
        <v>0.0161526306548838</v>
      </c>
      <c r="R103" s="143" t="n">
        <f aca="false">IFERROR(IF(OR(NOT(ISNUMBER('Price History'!R104)),NOT(ISNUMBER('Price History'!R103)),'Price History'!R103=0),"",'Price History'!R104/'Price History'!R103-1),"")</f>
        <v>0.00607064017660042</v>
      </c>
      <c r="S103" s="143" t="n">
        <f aca="false">IFERROR(IF(OR(NOT(ISNUMBER('Price History'!S104)),NOT(ISNUMBER('Price History'!S103)),'Price History'!S103=0),"",'Price History'!S104/'Price History'!S103-1),"")</f>
        <v>0.014798965855398</v>
      </c>
      <c r="T103" s="143" t="n">
        <f aca="false">IFERROR(IF(OR(NOT(ISNUMBER('Price History'!T104)),NOT(ISNUMBER('Price History'!T103)),'Price History'!T103=0),"",'Price History'!T104/'Price History'!T103-1),"")</f>
        <v>-0.0212053571428573</v>
      </c>
      <c r="U103" s="143" t="str">
        <f aca="false">IFERROR(IF(OR(NOT(ISNUMBER('Price History'!U104)),NOT(ISNUMBER('Price History'!U103)),'Price History'!U103=0),"",'Price History'!U104/'Price History'!U103-1),"")</f>
        <v/>
      </c>
      <c r="V103" s="144" t="n">
        <f aca="false">IFERROR(IF(OR(NOT(ISNUMBER('Price History'!V104)),NOT(ISNUMBER('Price History'!V103)),'Price History'!V103=0),"",'Price History'!V104/'Price History'!V103-1),"")</f>
        <v>0.00322149988390996</v>
      </c>
      <c r="W103" s="145" t="str">
        <f aca="false">IFERROR('Price History'!B3+(INDEX('Price History'!B:B,MATCH(9.99E+307,'Price History'!$A:$A))-'Price History'!B3)*(ROW()-3)/(MATCH(9.99E+307,'Returns (Calc)'!$A:$A)-3),"")</f>
        <v/>
      </c>
      <c r="X103" s="145" t="n">
        <f aca="false">IFERROR('Price History'!C3+(INDEX('Price History'!C:C,MATCH(9.99E+307,'Price History'!$A:$A))-'Price History'!C3)*(ROW()-3)/(MATCH(9.99E+307,'Returns (Calc)'!$A:$A)-3),"")</f>
        <v>17.1359748427673</v>
      </c>
      <c r="Y103" s="145" t="n">
        <f aca="false">IFERROR('Price History'!D3+(INDEX('Price History'!D:D,MATCH(9.99E+307,'Price History'!$A:$A))-'Price History'!D3)*(ROW()-3)/(MATCH(9.99E+307,'Returns (Calc)'!$A:$A)-3),"")</f>
        <v>215.965974842767</v>
      </c>
      <c r="Z103" s="145" t="n">
        <f aca="false">IFERROR('Price History'!E3+(INDEX('Price History'!E:E,MATCH(9.99E+307,'Price History'!$A:$A))-'Price History'!E3)*(ROW()-3)/(MATCH(9.99E+307,'Returns (Calc)'!$A:$A)-3),"")</f>
        <v>30.4276729559748</v>
      </c>
      <c r="AA103" s="145" t="n">
        <f aca="false">IFERROR('Price History'!F3+(INDEX('Price History'!F:F,MATCH(9.99E+307,'Price History'!$A:$A))-'Price History'!F3)*(ROW()-3)/(MATCH(9.99E+307,'Returns (Calc)'!$A:$A)-3),"")</f>
        <v>27.9452201257862</v>
      </c>
      <c r="AB103" s="145" t="n">
        <f aca="false">IFERROR('Price History'!G3+(INDEX('Price History'!G:G,MATCH(9.99E+307,'Price History'!$A:$A))-'Price History'!G3)*(ROW()-3)/(MATCH(9.99E+307,'Returns (Calc)'!$A:$A)-3),"")</f>
        <v>15.3474213836478</v>
      </c>
      <c r="AC103" s="145" t="n">
        <f aca="false">IFERROR('Price History'!H3+(INDEX('Price History'!H:H,MATCH(9.99E+307,'Price History'!$A:$A))-'Price History'!H3)*(ROW()-3)/(MATCH(9.99E+307,'Returns (Calc)'!$A:$A)-3),"")</f>
        <v>37.3258490566038</v>
      </c>
      <c r="AD103" s="145" t="n">
        <f aca="false">IFERROR('Price History'!I3+(INDEX('Price History'!I:I,MATCH(9.99E+307,'Price History'!$A:$A))-'Price History'!I3)*(ROW()-3)/(MATCH(9.99E+307,'Returns (Calc)'!$A:$A)-3),"")</f>
        <v>16.4569182389937</v>
      </c>
      <c r="AE103" s="145" t="n">
        <f aca="false">IFERROR('Price History'!J3+(INDEX('Price History'!J:J,MATCH(9.99E+307,'Price History'!$A:$A))-'Price History'!J3)*(ROW()-3)/(MATCH(9.99E+307,'Returns (Calc)'!$A:$A)-3),"")</f>
        <v>25.6445911949686</v>
      </c>
      <c r="AF103" s="145" t="n">
        <f aca="false">IFERROR('Price History'!K3+(INDEX('Price History'!K:K,MATCH(9.99E+307,'Price History'!$A:$A))-'Price History'!K3)*(ROW()-3)/(MATCH(9.99E+307,'Returns (Calc)'!$A:$A)-3),"")</f>
        <v>16.2416981132076</v>
      </c>
      <c r="AG103" s="145" t="n">
        <f aca="false">IFERROR('Price History'!L3+(INDEX('Price History'!L:L,MATCH(9.99E+307,'Price History'!$A:$A))-'Price History'!L3)*(ROW()-3)/(MATCH(9.99E+307,'Returns (Calc)'!$A:$A)-3),"")</f>
        <v>41.5003773584906</v>
      </c>
      <c r="AH103" s="145" t="n">
        <f aca="false">IFERROR('Price History'!M3+(INDEX('Price History'!M:M,MATCH(9.99E+307,'Price History'!$A:$A))-'Price History'!M3)*(ROW()-3)/(MATCH(9.99E+307,'Returns (Calc)'!$A:$A)-3),"")</f>
        <v>5.68849056603774</v>
      </c>
      <c r="AI103" s="145" t="n">
        <f aca="false">IFERROR('Price History'!N3+(INDEX('Price History'!N:N,MATCH(9.99E+307,'Price History'!$A:$A))-'Price History'!N3)*(ROW()-3)/(MATCH(9.99E+307,'Returns (Calc)'!$A:$A)-3),"")</f>
        <v>8.08930817610063</v>
      </c>
      <c r="AJ103" s="145" t="n">
        <f aca="false">IFERROR('Price History'!O3+(INDEX('Price History'!O:O,MATCH(9.99E+307,'Price History'!$A:$A))-'Price History'!O3)*(ROW()-3)/(MATCH(9.99E+307,'Returns (Calc)'!$A:$A)-3),"")</f>
        <v>21.3847169811321</v>
      </c>
      <c r="AK103" s="145" t="n">
        <f aca="false">IFERROR('Price History'!Q3+(INDEX('Price History'!Q:Q,MATCH(9.99E+307,'Price History'!$A:$A))-'Price History'!Q3)*(ROW()-3)/(MATCH(9.99E+307,'Returns (Calc)'!$A:$A)-3),"")</f>
        <v>87.4350314465409</v>
      </c>
      <c r="AL103" s="145" t="n">
        <f aca="false">IFERROR('Price History'!R3+(INDEX('Price History'!R:R,MATCH(9.99E+307,'Price History'!$A:$A))-'Price History'!R3)*(ROW()-3)/(MATCH(9.99E+307,'Returns (Calc)'!$A:$A)-3),"")</f>
        <v>17.7445283018868</v>
      </c>
      <c r="AM103" s="145" t="n">
        <f aca="false">IFERROR('Price History'!S3+(INDEX('Price History'!S:S,MATCH(9.99E+307,'Price History'!$A:$A))-'Price History'!S3)*(ROW()-3)/(MATCH(9.99E+307,'Returns (Calc)'!$A:$A)-3),"")</f>
        <v>21.7223899371069</v>
      </c>
      <c r="AN103" s="145" t="n">
        <f aca="false">IFERROR('Price History'!T3+(INDEX('Price History'!T:T,MATCH(9.99E+307,'Price History'!$A:$A))-'Price History'!T3)*(ROW()-3)/(MATCH(9.99E+307,'Returns (Calc)'!$A:$A)-3),"")</f>
        <v>9.98547169811321</v>
      </c>
      <c r="AO103" s="146" t="n">
        <f aca="false">IFERROR('Price History'!V3+(INDEX('Price History'!V:V,MATCH(9.99E+307,'Price History'!$A:$A))-'Price History'!V3)*(ROW()-3)/(MATCH(9.99E+307,'Returns (Calc)'!$A:$A)-3),"")</f>
        <v>0</v>
      </c>
    </row>
    <row r="104" customFormat="false" ht="15" hidden="false" customHeight="true" outlineLevel="0" collapsed="false">
      <c r="A104" s="142" t="n">
        <f aca="false">IF('Price History'!A105="","",'Price History'!A105)</f>
        <v>45898</v>
      </c>
      <c r="B104" s="143" t="n">
        <f aca="false">IFERROR(IF(OR(NOT(ISNUMBER('Price History'!B105)),NOT(ISNUMBER('Price History'!B104)),'Price History'!B104=0),"",'Price History'!B105/'Price History'!B104-1),"")</f>
        <v>-0.0148858018724626</v>
      </c>
      <c r="C104" s="143" t="n">
        <f aca="false">IFERROR(IF(OR(NOT(ISNUMBER('Price History'!C105)),NOT(ISNUMBER('Price History'!C104)),'Price History'!C104=0),"",'Price History'!C105/'Price History'!C104-1),"")</f>
        <v>0.024765478424015</v>
      </c>
      <c r="D104" s="143" t="n">
        <f aca="false">IFERROR(IF(OR(NOT(ISNUMBER('Price History'!D105)),NOT(ISNUMBER('Price History'!D104)),'Price History'!D104=0),"",'Price History'!D105/'Price History'!D104-1),"")</f>
        <v>-0.0162544169611308</v>
      </c>
      <c r="E104" s="143" t="n">
        <f aca="false">IFERROR(IF(OR(NOT(ISNUMBER('Price History'!E105)),NOT(ISNUMBER('Price History'!E104)),'Price History'!E104=0),"",'Price History'!E105/'Price History'!E104-1),"")</f>
        <v>0.0115333127381321</v>
      </c>
      <c r="F104" s="143" t="n">
        <f aca="false">IFERROR(IF(OR(NOT(ISNUMBER('Price History'!F105)),NOT(ISNUMBER('Price History'!F104)),'Price History'!F104=0),"",'Price History'!F105/'Price History'!F104-1),"")</f>
        <v>0.00842927631578938</v>
      </c>
      <c r="G104" s="143" t="n">
        <f aca="false">IFERROR(IF(OR(NOT(ISNUMBER('Price History'!G105)),NOT(ISNUMBER('Price History'!G104)),'Price History'!G104=0),"",'Price History'!G105/'Price History'!G104-1),"")</f>
        <v>0.00751379113562867</v>
      </c>
      <c r="H104" s="143" t="n">
        <f aca="false">IFERROR(IF(OR(NOT(ISNUMBER('Price History'!H105)),NOT(ISNUMBER('Price History'!H104)),'Price History'!H104=0),"",'Price History'!H105/'Price History'!H104-1),"")</f>
        <v>-0.00220458553791891</v>
      </c>
      <c r="I104" s="143" t="n">
        <f aca="false">IFERROR(IF(OR(NOT(ISNUMBER('Price History'!I105)),NOT(ISNUMBER('Price History'!I104)),'Price History'!I104=0),"",'Price History'!I105/'Price History'!I104-1),"")</f>
        <v>0.00196395563770801</v>
      </c>
      <c r="J104" s="143" t="n">
        <f aca="false">IFERROR(IF(OR(NOT(ISNUMBER('Price History'!J105)),NOT(ISNUMBER('Price History'!J104)),'Price History'!J104=0),"",'Price History'!J105/'Price History'!J104-1),"")</f>
        <v>0.0113201123499873</v>
      </c>
      <c r="K104" s="143" t="n">
        <f aca="false">IFERROR(IF(OR(NOT(ISNUMBER('Price History'!K105)),NOT(ISNUMBER('Price History'!K104)),'Price History'!K104=0),"",'Price History'!K105/'Price History'!K104-1),"")</f>
        <v>-0.0214024218529992</v>
      </c>
      <c r="L104" s="143" t="n">
        <f aca="false">IFERROR(IF(OR(NOT(ISNUMBER('Price History'!L105)),NOT(ISNUMBER('Price History'!L104)),'Price History'!L104=0),"",'Price History'!L105/'Price History'!L104-1),"")</f>
        <v>0.0133456904541243</v>
      </c>
      <c r="M104" s="143" t="n">
        <f aca="false">IFERROR(IF(OR(NOT(ISNUMBER('Price History'!M105)),NOT(ISNUMBER('Price History'!M104)),'Price History'!M104=0),"",'Price History'!M105/'Price History'!M104-1),"")</f>
        <v>-0.0127882071311579</v>
      </c>
      <c r="N104" s="143" t="n">
        <f aca="false">IFERROR(IF(OR(NOT(ISNUMBER('Price History'!N105)),NOT(ISNUMBER('Price History'!N104)),'Price History'!N104=0),"",'Price History'!N105/'Price History'!N104-1),"")</f>
        <v>-0.00112149532710282</v>
      </c>
      <c r="O104" s="143" t="n">
        <f aca="false">IFERROR(IF(OR(NOT(ISNUMBER('Price History'!O105)),NOT(ISNUMBER('Price History'!O104)),'Price History'!O104=0),"",'Price History'!O105/'Price History'!O104-1),"")</f>
        <v>-0.000260078023406996</v>
      </c>
      <c r="P104" s="143" t="n">
        <f aca="false">IFERROR(IF(OR(NOT(ISNUMBER('Price History'!P105)),NOT(ISNUMBER('Price History'!P104)),'Price History'!P104=0),"",'Price History'!P105/'Price History'!P104-1),"")</f>
        <v>-0.00909407362283532</v>
      </c>
      <c r="Q104" s="143" t="n">
        <f aca="false">IFERROR(IF(OR(NOT(ISNUMBER('Price History'!Q105)),NOT(ISNUMBER('Price History'!Q104)),'Price History'!Q104=0),"",'Price History'!Q105/'Price History'!Q104-1),"")</f>
        <v>0.00498185797385253</v>
      </c>
      <c r="R104" s="143" t="n">
        <f aca="false">IFERROR(IF(OR(NOT(ISNUMBER('Price History'!R105)),NOT(ISNUMBER('Price History'!R104)),'Price History'!R104=0),"",'Price History'!R105/'Price History'!R104-1),"")</f>
        <v>0.00713110257816796</v>
      </c>
      <c r="S104" s="143" t="n">
        <f aca="false">IFERROR(IF(OR(NOT(ISNUMBER('Price History'!S105)),NOT(ISNUMBER('Price History'!S104)),'Price History'!S104=0),"",'Price History'!S105/'Price History'!S104-1),"")</f>
        <v>0.0105420363700255</v>
      </c>
      <c r="T104" s="143" t="n">
        <f aca="false">IFERROR(IF(OR(NOT(ISNUMBER('Price History'!T105)),NOT(ISNUMBER('Price History'!T104)),'Price History'!T104=0),"",'Price History'!T105/'Price History'!T104-1),"")</f>
        <v>0.0219498289623719</v>
      </c>
      <c r="U104" s="143" t="str">
        <f aca="false">IFERROR(IF(OR(NOT(ISNUMBER('Price History'!U105)),NOT(ISNUMBER('Price History'!U104)),'Price History'!U104=0),"",'Price History'!U105/'Price History'!U104-1),"")</f>
        <v/>
      </c>
      <c r="V104" s="144" t="n">
        <f aca="false">IFERROR(IF(OR(NOT(ISNUMBER('Price History'!V105)),NOT(ISNUMBER('Price History'!V104)),'Price History'!V104=0),"",'Price History'!V105/'Price History'!V104-1),"")</f>
        <v>0.0229120259206757</v>
      </c>
      <c r="W104" s="145" t="str">
        <f aca="false">IFERROR('Price History'!B3+(INDEX('Price History'!B:B,MATCH(9.99E+307,'Price History'!$A:$A))-'Price History'!B3)*(ROW()-3)/(MATCH(9.99E+307,'Returns (Calc)'!$A:$A)-3),"")</f>
        <v/>
      </c>
      <c r="X104" s="145" t="n">
        <f aca="false">IFERROR('Price History'!C3+(INDEX('Price History'!C:C,MATCH(9.99E+307,'Price History'!$A:$A))-'Price History'!C3)*(ROW()-3)/(MATCH(9.99E+307,'Returns (Calc)'!$A:$A)-3),"")</f>
        <v>16.845534591195</v>
      </c>
      <c r="Y104" s="145" t="n">
        <f aca="false">IFERROR('Price History'!D3+(INDEX('Price History'!D:D,MATCH(9.99E+307,'Price History'!$A:$A))-'Price History'!D3)*(ROW()-3)/(MATCH(9.99E+307,'Returns (Calc)'!$A:$A)-3),"")</f>
        <v>212.305534591195</v>
      </c>
      <c r="Z104" s="145" t="n">
        <f aca="false">IFERROR('Price History'!E3+(INDEX('Price History'!E:E,MATCH(9.99E+307,'Price History'!$A:$A))-'Price History'!E3)*(ROW()-3)/(MATCH(9.99E+307,'Returns (Calc)'!$A:$A)-3),"")</f>
        <v>29.9119496855346</v>
      </c>
      <c r="AA104" s="145" t="n">
        <f aca="false">IFERROR('Price History'!F3+(INDEX('Price History'!F:F,MATCH(9.99E+307,'Price History'!$A:$A))-'Price History'!F3)*(ROW()-3)/(MATCH(9.99E+307,'Returns (Calc)'!$A:$A)-3),"")</f>
        <v>27.471572327044</v>
      </c>
      <c r="AB104" s="145" t="n">
        <f aca="false">IFERROR('Price History'!G3+(INDEX('Price History'!G:G,MATCH(9.99E+307,'Price History'!$A:$A))-'Price History'!G3)*(ROW()-3)/(MATCH(9.99E+307,'Returns (Calc)'!$A:$A)-3),"")</f>
        <v>15.0872955974843</v>
      </c>
      <c r="AC104" s="145" t="n">
        <f aca="false">IFERROR('Price History'!H3+(INDEX('Price History'!H:H,MATCH(9.99E+307,'Price History'!$A:$A))-'Price History'!H3)*(ROW()-3)/(MATCH(9.99E+307,'Returns (Calc)'!$A:$A)-3),"")</f>
        <v>36.6932075471698</v>
      </c>
      <c r="AD104" s="145" t="n">
        <f aca="false">IFERROR('Price History'!I3+(INDEX('Price History'!I:I,MATCH(9.99E+307,'Price History'!$A:$A))-'Price History'!I3)*(ROW()-3)/(MATCH(9.99E+307,'Returns (Calc)'!$A:$A)-3),"")</f>
        <v>16.1779874213836</v>
      </c>
      <c r="AE104" s="145" t="n">
        <f aca="false">IFERROR('Price History'!J3+(INDEX('Price History'!J:J,MATCH(9.99E+307,'Price History'!$A:$A))-'Price History'!J3)*(ROW()-3)/(MATCH(9.99E+307,'Returns (Calc)'!$A:$A)-3),"")</f>
        <v>25.2099371069182</v>
      </c>
      <c r="AF104" s="145" t="n">
        <f aca="false">IFERROR('Price History'!K3+(INDEX('Price History'!K:K,MATCH(9.99E+307,'Price History'!$A:$A))-'Price History'!K3)*(ROW()-3)/(MATCH(9.99E+307,'Returns (Calc)'!$A:$A)-3),"")</f>
        <v>15.9664150943396</v>
      </c>
      <c r="AG104" s="145" t="n">
        <f aca="false">IFERROR('Price History'!L3+(INDEX('Price History'!L:L,MATCH(9.99E+307,'Price History'!$A:$A))-'Price History'!L3)*(ROW()-3)/(MATCH(9.99E+307,'Returns (Calc)'!$A:$A)-3),"")</f>
        <v>40.7969811320755</v>
      </c>
      <c r="AH104" s="145" t="n">
        <f aca="false">IFERROR('Price History'!M3+(INDEX('Price History'!M:M,MATCH(9.99E+307,'Price History'!$A:$A))-'Price History'!M3)*(ROW()-3)/(MATCH(9.99E+307,'Returns (Calc)'!$A:$A)-3),"")</f>
        <v>5.59207547169811</v>
      </c>
      <c r="AI104" s="145" t="n">
        <f aca="false">IFERROR('Price History'!N3+(INDEX('Price History'!N:N,MATCH(9.99E+307,'Price History'!$A:$A))-'Price History'!N3)*(ROW()-3)/(MATCH(9.99E+307,'Returns (Calc)'!$A:$A)-3),"")</f>
        <v>7.95220125786164</v>
      </c>
      <c r="AJ104" s="145" t="n">
        <f aca="false">IFERROR('Price History'!O3+(INDEX('Price History'!O:O,MATCH(9.99E+307,'Price History'!$A:$A))-'Price History'!O3)*(ROW()-3)/(MATCH(9.99E+307,'Returns (Calc)'!$A:$A)-3),"")</f>
        <v>21.0222641509434</v>
      </c>
      <c r="AK104" s="145" t="n">
        <f aca="false">IFERROR('Price History'!Q3+(INDEX('Price History'!Q:Q,MATCH(9.99E+307,'Price History'!$A:$A))-'Price History'!Q3)*(ROW()-3)/(MATCH(9.99E+307,'Returns (Calc)'!$A:$A)-3),"")</f>
        <v>85.9530817610063</v>
      </c>
      <c r="AL104" s="145" t="n">
        <f aca="false">IFERROR('Price History'!R3+(INDEX('Price History'!R:R,MATCH(9.99E+307,'Price History'!$A:$A))-'Price History'!R3)*(ROW()-3)/(MATCH(9.99E+307,'Returns (Calc)'!$A:$A)-3),"")</f>
        <v>17.4437735849057</v>
      </c>
      <c r="AM104" s="145" t="n">
        <f aca="false">IFERROR('Price History'!S3+(INDEX('Price History'!S:S,MATCH(9.99E+307,'Price History'!$A:$A))-'Price History'!S3)*(ROW()-3)/(MATCH(9.99E+307,'Returns (Calc)'!$A:$A)-3),"")</f>
        <v>21.354213836478</v>
      </c>
      <c r="AN104" s="145" t="n">
        <f aca="false">IFERROR('Price History'!T3+(INDEX('Price History'!T:T,MATCH(9.99E+307,'Price History'!$A:$A))-'Price History'!T3)*(ROW()-3)/(MATCH(9.99E+307,'Returns (Calc)'!$A:$A)-3),"")</f>
        <v>9.81622641509434</v>
      </c>
      <c r="AO104" s="146" t="n">
        <f aca="false">IFERROR('Price History'!V3+(INDEX('Price History'!V:V,MATCH(9.99E+307,'Price History'!$A:$A))-'Price History'!V3)*(ROW()-3)/(MATCH(9.99E+307,'Returns (Calc)'!$A:$A)-3),"")</f>
        <v>0</v>
      </c>
    </row>
    <row r="105" customFormat="false" ht="15" hidden="false" customHeight="true" outlineLevel="0" collapsed="false">
      <c r="A105" s="142" t="n">
        <f aca="false">IF('Price History'!A106="","",'Price History'!A106)</f>
        <v>45905</v>
      </c>
      <c r="B105" s="143" t="n">
        <f aca="false">IFERROR(IF(OR(NOT(ISNUMBER('Price History'!B106)),NOT(ISNUMBER('Price History'!B105)),'Price History'!B105=0),"",'Price History'!B106/'Price History'!B105-1),"")</f>
        <v>-0.0216708718811325</v>
      </c>
      <c r="C105" s="143" t="n">
        <f aca="false">IFERROR(IF(OR(NOT(ISNUMBER('Price History'!C106)),NOT(ISNUMBER('Price History'!C105)),'Price History'!C105=0),"",'Price History'!C106/'Price History'!C105-1),"")</f>
        <v>0.0461369461735626</v>
      </c>
      <c r="D105" s="143" t="n">
        <f aca="false">IFERROR(IF(OR(NOT(ISNUMBER('Price History'!D106)),NOT(ISNUMBER('Price History'!D105)),'Price History'!D105=0),"",'Price History'!D106/'Price History'!D105-1),"")</f>
        <v>0.0526187378009109</v>
      </c>
      <c r="E105" s="143" t="n">
        <f aca="false">IFERROR(IF(OR(NOT(ISNUMBER('Price History'!E106)),NOT(ISNUMBER('Price History'!E105)),'Price History'!E105=0),"",'Price History'!E106/'Price History'!E105-1),"")</f>
        <v>0.126098612100852</v>
      </c>
      <c r="F105" s="143" t="n">
        <f aca="false">IFERROR(IF(OR(NOT(ISNUMBER('Price History'!F106)),NOT(ISNUMBER('Price History'!F105)),'Price History'!F105=0),"",'Price History'!F106/'Price History'!F105-1),"")</f>
        <v>0.0109072375127421</v>
      </c>
      <c r="G105" s="143" t="n">
        <f aca="false">IFERROR(IF(OR(NOT(ISNUMBER('Price History'!G106)),NOT(ISNUMBER('Price History'!G105)),'Price History'!G105=0),"",'Price History'!G106/'Price History'!G105-1),"")</f>
        <v>-0.0143490984612481</v>
      </c>
      <c r="H105" s="143" t="n">
        <f aca="false">IFERROR(IF(OR(NOT(ISNUMBER('Price History'!H106)),NOT(ISNUMBER('Price History'!H105)),'Price History'!H105=0),"",'Price History'!H106/'Price History'!H105-1),"")</f>
        <v>-0.000883782589483073</v>
      </c>
      <c r="I105" s="143" t="n">
        <f aca="false">IFERROR(IF(OR(NOT(ISNUMBER('Price History'!I106)),NOT(ISNUMBER('Price History'!I105)),'Price History'!I105=0),"",'Price History'!I106/'Price History'!I105-1),"")</f>
        <v>0.0379338175948345</v>
      </c>
      <c r="J105" s="143" t="n">
        <f aca="false">IFERROR(IF(OR(NOT(ISNUMBER('Price History'!J106)),NOT(ISNUMBER('Price History'!J105)),'Price History'!J105=0),"",'Price History'!J106/'Price History'!J105-1),"")</f>
        <v>0.103854569937721</v>
      </c>
      <c r="K105" s="143" t="n">
        <f aca="false">IFERROR(IF(OR(NOT(ISNUMBER('Price History'!K106)),NOT(ISNUMBER('Price History'!K105)),'Price History'!K105=0),"",'Price History'!K106/'Price History'!K105-1),"")</f>
        <v>-0.041093525179856</v>
      </c>
      <c r="L105" s="143" t="n">
        <f aca="false">IFERROR(IF(OR(NOT(ISNUMBER('Price History'!L106)),NOT(ISNUMBER('Price History'!L105)),'Price History'!L105=0),"",'Price History'!L106/'Price History'!L105-1),"")</f>
        <v>-0.00109749405524062</v>
      </c>
      <c r="M105" s="143" t="n">
        <f aca="false">IFERROR(IF(OR(NOT(ISNUMBER('Price History'!M106)),NOT(ISNUMBER('Price History'!M105)),'Price History'!M105=0),"",'Price History'!M106/'Price History'!M105-1),"")</f>
        <v>-0.0229723693446493</v>
      </c>
      <c r="N105" s="143" t="n">
        <f aca="false">IFERROR(IF(OR(NOT(ISNUMBER('Price History'!N106)),NOT(ISNUMBER('Price History'!N105)),'Price History'!N105=0),"",'Price History'!N106/'Price History'!N105-1),"")</f>
        <v>-0.0101047904191617</v>
      </c>
      <c r="O105" s="143" t="n">
        <f aca="false">IFERROR(IF(OR(NOT(ISNUMBER('Price History'!O106)),NOT(ISNUMBER('Price History'!O105)),'Price History'!O105=0),"",'Price History'!O106/'Price History'!O105-1),"")</f>
        <v>0.004942767950052</v>
      </c>
      <c r="P105" s="143" t="n">
        <f aca="false">IFERROR(IF(OR(NOT(ISNUMBER('Price History'!P106)),NOT(ISNUMBER('Price History'!P105)),'Price History'!P105=0),"",'Price History'!P106/'Price History'!P105-1),"")</f>
        <v>0.0543187107539631</v>
      </c>
      <c r="Q105" s="143" t="n">
        <f aca="false">IFERROR(IF(OR(NOT(ISNUMBER('Price History'!Q106)),NOT(ISNUMBER('Price History'!Q105)),'Price History'!Q105=0),"",'Price History'!Q106/'Price History'!Q105-1),"")</f>
        <v>-0.0243273446230551</v>
      </c>
      <c r="R105" s="143" t="n">
        <f aca="false">IFERROR(IF(OR(NOT(ISNUMBER('Price History'!R106)),NOT(ISNUMBER('Price History'!R105)),'Price History'!R105=0),"",'Price History'!R106/'Price History'!R105-1),"")</f>
        <v>-0.0230573710965867</v>
      </c>
      <c r="S105" s="143" t="n">
        <f aca="false">IFERROR(IF(OR(NOT(ISNUMBER('Price History'!S106)),NOT(ISNUMBER('Price History'!S105)),'Price History'!S105=0),"",'Price History'!S106/'Price History'!S105-1),"")</f>
        <v>-0.0156480918021386</v>
      </c>
      <c r="T105" s="143" t="n">
        <f aca="false">IFERROR(IF(OR(NOT(ISNUMBER('Price History'!T106)),NOT(ISNUMBER('Price History'!T105)),'Price History'!T105=0),"",'Price History'!T106/'Price History'!T105-1),"")</f>
        <v>-0.0418410041841004</v>
      </c>
      <c r="U105" s="143" t="str">
        <f aca="false">IFERROR(IF(OR(NOT(ISNUMBER('Price History'!U106)),NOT(ISNUMBER('Price History'!U105)),'Price History'!U105=0),"",'Price History'!U106/'Price History'!U105-1),"")</f>
        <v/>
      </c>
      <c r="V105" s="144" t="n">
        <f aca="false">IFERROR(IF(OR(NOT(ISNUMBER('Price History'!V106)),NOT(ISNUMBER('Price History'!V105)),'Price History'!V105=0),"",'Price History'!V106/'Price History'!V105-1),"")</f>
        <v>-0.0495489125823694</v>
      </c>
      <c r="W105" s="145" t="str">
        <f aca="false">IFERROR('Price History'!B3+(INDEX('Price History'!B:B,MATCH(9.99E+307,'Price History'!$A:$A))-'Price History'!B3)*(ROW()-3)/(MATCH(9.99E+307,'Returns (Calc)'!$A:$A)-3),"")</f>
        <v/>
      </c>
      <c r="X105" s="145" t="n">
        <f aca="false">IFERROR('Price History'!C3+(INDEX('Price History'!C:C,MATCH(9.99E+307,'Price History'!$A:$A))-'Price History'!C3)*(ROW()-3)/(MATCH(9.99E+307,'Returns (Calc)'!$A:$A)-3),"")</f>
        <v>16.5550943396226</v>
      </c>
      <c r="Y105" s="145" t="n">
        <f aca="false">IFERROR('Price History'!D3+(INDEX('Price History'!D:D,MATCH(9.99E+307,'Price History'!$A:$A))-'Price History'!D3)*(ROW()-3)/(MATCH(9.99E+307,'Returns (Calc)'!$A:$A)-3),"")</f>
        <v>208.645094339623</v>
      </c>
      <c r="Z105" s="145" t="n">
        <f aca="false">IFERROR('Price History'!E3+(INDEX('Price History'!E:E,MATCH(9.99E+307,'Price History'!$A:$A))-'Price History'!E3)*(ROW()-3)/(MATCH(9.99E+307,'Returns (Calc)'!$A:$A)-3),"")</f>
        <v>29.3962264150943</v>
      </c>
      <c r="AA105" s="145" t="n">
        <f aca="false">IFERROR('Price History'!F3+(INDEX('Price History'!F:F,MATCH(9.99E+307,'Price History'!$A:$A))-'Price History'!F3)*(ROW()-3)/(MATCH(9.99E+307,'Returns (Calc)'!$A:$A)-3),"")</f>
        <v>26.9979245283019</v>
      </c>
      <c r="AB105" s="145" t="n">
        <f aca="false">IFERROR('Price History'!G3+(INDEX('Price History'!G:G,MATCH(9.99E+307,'Price History'!$A:$A))-'Price History'!G3)*(ROW()-3)/(MATCH(9.99E+307,'Returns (Calc)'!$A:$A)-3),"")</f>
        <v>14.8271698113208</v>
      </c>
      <c r="AC105" s="145" t="n">
        <f aca="false">IFERROR('Price History'!H3+(INDEX('Price History'!H:H,MATCH(9.99E+307,'Price History'!$A:$A))-'Price History'!H3)*(ROW()-3)/(MATCH(9.99E+307,'Returns (Calc)'!$A:$A)-3),"")</f>
        <v>36.0605660377359</v>
      </c>
      <c r="AD105" s="145" t="n">
        <f aca="false">IFERROR('Price History'!I3+(INDEX('Price History'!I:I,MATCH(9.99E+307,'Price History'!$A:$A))-'Price History'!I3)*(ROW()-3)/(MATCH(9.99E+307,'Returns (Calc)'!$A:$A)-3),"")</f>
        <v>15.8990566037736</v>
      </c>
      <c r="AE105" s="145" t="n">
        <f aca="false">IFERROR('Price History'!J3+(INDEX('Price History'!J:J,MATCH(9.99E+307,'Price History'!$A:$A))-'Price History'!J3)*(ROW()-3)/(MATCH(9.99E+307,'Returns (Calc)'!$A:$A)-3),"")</f>
        <v>24.7752830188679</v>
      </c>
      <c r="AF105" s="145" t="n">
        <f aca="false">IFERROR('Price History'!K3+(INDEX('Price History'!K:K,MATCH(9.99E+307,'Price History'!$A:$A))-'Price History'!K3)*(ROW()-3)/(MATCH(9.99E+307,'Returns (Calc)'!$A:$A)-3),"")</f>
        <v>15.6911320754717</v>
      </c>
      <c r="AG105" s="145" t="n">
        <f aca="false">IFERROR('Price History'!L3+(INDEX('Price History'!L:L,MATCH(9.99E+307,'Price History'!$A:$A))-'Price History'!L3)*(ROW()-3)/(MATCH(9.99E+307,'Returns (Calc)'!$A:$A)-3),"")</f>
        <v>40.0935849056604</v>
      </c>
      <c r="AH105" s="145" t="n">
        <f aca="false">IFERROR('Price History'!M3+(INDEX('Price History'!M:M,MATCH(9.99E+307,'Price History'!$A:$A))-'Price History'!M3)*(ROW()-3)/(MATCH(9.99E+307,'Returns (Calc)'!$A:$A)-3),"")</f>
        <v>5.49566037735849</v>
      </c>
      <c r="AI105" s="145" t="n">
        <f aca="false">IFERROR('Price History'!N3+(INDEX('Price History'!N:N,MATCH(9.99E+307,'Price History'!$A:$A))-'Price History'!N3)*(ROW()-3)/(MATCH(9.99E+307,'Returns (Calc)'!$A:$A)-3),"")</f>
        <v>7.81509433962264</v>
      </c>
      <c r="AJ105" s="145" t="n">
        <f aca="false">IFERROR('Price History'!O3+(INDEX('Price History'!O:O,MATCH(9.99E+307,'Price History'!$A:$A))-'Price History'!O3)*(ROW()-3)/(MATCH(9.99E+307,'Returns (Calc)'!$A:$A)-3),"")</f>
        <v>20.6598113207547</v>
      </c>
      <c r="AK105" s="145" t="n">
        <f aca="false">IFERROR('Price History'!Q3+(INDEX('Price History'!Q:Q,MATCH(9.99E+307,'Price History'!$A:$A))-'Price History'!Q3)*(ROW()-3)/(MATCH(9.99E+307,'Returns (Calc)'!$A:$A)-3),"")</f>
        <v>84.4711320754717</v>
      </c>
      <c r="AL105" s="145" t="n">
        <f aca="false">IFERROR('Price History'!R3+(INDEX('Price History'!R:R,MATCH(9.99E+307,'Price History'!$A:$A))-'Price History'!R3)*(ROW()-3)/(MATCH(9.99E+307,'Returns (Calc)'!$A:$A)-3),"")</f>
        <v>17.1430188679245</v>
      </c>
      <c r="AM105" s="145" t="n">
        <f aca="false">IFERROR('Price History'!S3+(INDEX('Price History'!S:S,MATCH(9.99E+307,'Price History'!$A:$A))-'Price History'!S3)*(ROW()-3)/(MATCH(9.99E+307,'Returns (Calc)'!$A:$A)-3),"")</f>
        <v>20.9860377358491</v>
      </c>
      <c r="AN105" s="145" t="n">
        <f aca="false">IFERROR('Price History'!T3+(INDEX('Price History'!T:T,MATCH(9.99E+307,'Price History'!$A:$A))-'Price History'!T3)*(ROW()-3)/(MATCH(9.99E+307,'Returns (Calc)'!$A:$A)-3),"")</f>
        <v>9.64698113207547</v>
      </c>
      <c r="AO105" s="146" t="n">
        <f aca="false">IFERROR('Price History'!V3+(INDEX('Price History'!V:V,MATCH(9.99E+307,'Price History'!$A:$A))-'Price History'!V3)*(ROW()-3)/(MATCH(9.99E+307,'Returns (Calc)'!$A:$A)-3),"")</f>
        <v>0</v>
      </c>
    </row>
    <row r="106" customFormat="false" ht="15" hidden="false" customHeight="true" outlineLevel="0" collapsed="false">
      <c r="A106" s="142" t="n">
        <f aca="false">IF('Price History'!A107="","",'Price History'!A107)</f>
        <v>45912</v>
      </c>
      <c r="B106" s="143" t="n">
        <f aca="false">IFERROR(IF(OR(NOT(ISNUMBER('Price History'!B107)),NOT(ISNUMBER('Price History'!B106)),'Price History'!B106=0),"",'Price History'!B107/'Price History'!B106-1),"")</f>
        <v>0.00111757457661121</v>
      </c>
      <c r="C106" s="143" t="n">
        <f aca="false">IFERROR(IF(OR(NOT(ISNUMBER('Price History'!C107)),NOT(ISNUMBER('Price History'!C106)),'Price History'!C106=0),"",'Price History'!C107/'Price History'!C106-1),"")</f>
        <v>-0.0242212110605531</v>
      </c>
      <c r="D106" s="143" t="n">
        <f aca="false">IFERROR(IF(OR(NOT(ISNUMBER('Price History'!D107)),NOT(ISNUMBER('Price History'!D106)),'Price History'!D106=0),"",'Price History'!D107/'Price History'!D106-1),"")</f>
        <v>0.0411548069741687</v>
      </c>
      <c r="E106" s="143" t="n">
        <f aca="false">IFERROR(IF(OR(NOT(ISNUMBER('Price History'!E107)),NOT(ISNUMBER('Price History'!E106)),'Price History'!E106=0),"",'Price History'!E107/'Price History'!E106-1),"")</f>
        <v>0.0745818894078649</v>
      </c>
      <c r="F106" s="143" t="n">
        <f aca="false">IFERROR(IF(OR(NOT(ISNUMBER('Price History'!F107)),NOT(ISNUMBER('Price History'!F106)),'Price History'!F106=0),"",'Price History'!F107/'Price History'!F106-1),"")</f>
        <v>-0.00796611878592324</v>
      </c>
      <c r="G106" s="143" t="n">
        <f aca="false">IFERROR(IF(OR(NOT(ISNUMBER('Price History'!G107)),NOT(ISNUMBER('Price History'!G106)),'Price History'!G106=0),"",'Price History'!G107/'Price History'!G106-1),"")</f>
        <v>0.0442486351882003</v>
      </c>
      <c r="H106" s="143" t="n">
        <f aca="false">IFERROR(IF(OR(NOT(ISNUMBER('Price History'!H107)),NOT(ISNUMBER('Price History'!H106)),'Price History'!H106=0),"",'Price History'!H107/'Price History'!H106-1),"")</f>
        <v>0.0013268465280849</v>
      </c>
      <c r="I106" s="143" t="n">
        <f aca="false">IFERROR(IF(OR(NOT(ISNUMBER('Price History'!I107)),NOT(ISNUMBER('Price History'!I106)),'Price History'!I106=0),"",'Price History'!I107/'Price History'!I106-1),"")</f>
        <v>0.0650966451899577</v>
      </c>
      <c r="J106" s="143" t="n">
        <f aca="false">IFERROR(IF(OR(NOT(ISNUMBER('Price History'!J107)),NOT(ISNUMBER('Price History'!J106)),'Price History'!J106=0),"",'Price History'!J107/'Price History'!J106-1),"")</f>
        <v>0.196858798414151</v>
      </c>
      <c r="K106" s="143" t="n">
        <f aca="false">IFERROR(IF(OR(NOT(ISNUMBER('Price History'!K107)),NOT(ISNUMBER('Price History'!K106)),'Price History'!K106=0),"",'Price History'!K107/'Price History'!K106-1),"")</f>
        <v>0.0647620190864893</v>
      </c>
      <c r="L106" s="143" t="n">
        <f aca="false">IFERROR(IF(OR(NOT(ISNUMBER('Price History'!L107)),NOT(ISNUMBER('Price History'!L106)),'Price History'!L106=0),"",'Price History'!L107/'Price History'!L106-1),"")</f>
        <v>0.0149240065921992</v>
      </c>
      <c r="M106" s="143" t="n">
        <f aca="false">IFERROR(IF(OR(NOT(ISNUMBER('Price History'!M107)),NOT(ISNUMBER('Price History'!M106)),'Price History'!M106=0),"",'Price History'!M107/'Price History'!M106-1),"")</f>
        <v>0.119652537391418</v>
      </c>
      <c r="N106" s="143" t="n">
        <f aca="false">IFERROR(IF(OR(NOT(ISNUMBER('Price History'!N107)),NOT(ISNUMBER('Price History'!N106)),'Price History'!N106=0),"",'Price History'!N107/'Price History'!N106-1),"")</f>
        <v>-0.00567107750472584</v>
      </c>
      <c r="O106" s="143" t="n">
        <f aca="false">IFERROR(IF(OR(NOT(ISNUMBER('Price History'!O107)),NOT(ISNUMBER('Price History'!O106)),'Price History'!O106=0),"",'Price History'!O107/'Price History'!O106-1),"")</f>
        <v>0.029251876779705</v>
      </c>
      <c r="P106" s="143" t="n">
        <f aca="false">IFERROR(IF(OR(NOT(ISNUMBER('Price History'!P107)),NOT(ISNUMBER('Price History'!P106)),'Price History'!P106=0),"",'Price History'!P107/'Price History'!P106-1),"")</f>
        <v>0.0654310703873386</v>
      </c>
      <c r="Q106" s="143" t="n">
        <f aca="false">IFERROR(IF(OR(NOT(ISNUMBER('Price History'!Q107)),NOT(ISNUMBER('Price History'!Q106)),'Price History'!Q106=0),"",'Price History'!Q107/'Price History'!Q106-1),"")</f>
        <v>-0.0110425844346549</v>
      </c>
      <c r="R106" s="143" t="n">
        <f aca="false">IFERROR(IF(OR(NOT(ISNUMBER('Price History'!R107)),NOT(ISNUMBER('Price History'!R106)),'Price History'!R106=0),"",'Price History'!R107/'Price History'!R106-1),"")</f>
        <v>0.0280616985690392</v>
      </c>
      <c r="S106" s="143" t="n">
        <f aca="false">IFERROR(IF(OR(NOT(ISNUMBER('Price History'!S107)),NOT(ISNUMBER('Price History'!S106)),'Price History'!S106=0),"",'Price History'!S107/'Price History'!S106-1),"")</f>
        <v>0.0349730636757042</v>
      </c>
      <c r="T106" s="143" t="n">
        <f aca="false">IFERROR(IF(OR(NOT(ISNUMBER('Price History'!T107)),NOT(ISNUMBER('Price History'!T106)),'Price History'!T106=0),"",'Price History'!T107/'Price History'!T106-1),"")</f>
        <v>0.00989810771470157</v>
      </c>
      <c r="U106" s="143" t="str">
        <f aca="false">IFERROR(IF(OR(NOT(ISNUMBER('Price History'!U107)),NOT(ISNUMBER('Price History'!U106)),'Price History'!U106=0),"",'Price History'!U107/'Price History'!U106-1),"")</f>
        <v/>
      </c>
      <c r="V106" s="144" t="n">
        <f aca="false">IFERROR(IF(OR(NOT(ISNUMBER('Price History'!V107)),NOT(ISNUMBER('Price History'!V106)),'Price History'!V106=0),"",'Price History'!V107/'Price History'!V106-1),"")</f>
        <v>-0.00758770494242278</v>
      </c>
      <c r="W106" s="145" t="str">
        <f aca="false">IFERROR('Price History'!B3+(INDEX('Price History'!B:B,MATCH(9.99E+307,'Price History'!$A:$A))-'Price History'!B3)*(ROW()-3)/(MATCH(9.99E+307,'Returns (Calc)'!$A:$A)-3),"")</f>
        <v/>
      </c>
      <c r="X106" s="145" t="n">
        <f aca="false">IFERROR('Price History'!C3+(INDEX('Price History'!C:C,MATCH(9.99E+307,'Price History'!$A:$A))-'Price History'!C3)*(ROW()-3)/(MATCH(9.99E+307,'Returns (Calc)'!$A:$A)-3),"")</f>
        <v>16.2646540880503</v>
      </c>
      <c r="Y106" s="145" t="n">
        <f aca="false">IFERROR('Price History'!D3+(INDEX('Price History'!D:D,MATCH(9.99E+307,'Price History'!$A:$A))-'Price History'!D3)*(ROW()-3)/(MATCH(9.99E+307,'Returns (Calc)'!$A:$A)-3),"")</f>
        <v>204.98465408805</v>
      </c>
      <c r="Z106" s="145" t="n">
        <f aca="false">IFERROR('Price History'!E3+(INDEX('Price History'!E:E,MATCH(9.99E+307,'Price History'!$A:$A))-'Price History'!E3)*(ROW()-3)/(MATCH(9.99E+307,'Returns (Calc)'!$A:$A)-3),"")</f>
        <v>28.8805031446541</v>
      </c>
      <c r="AA106" s="145" t="n">
        <f aca="false">IFERROR('Price History'!F3+(INDEX('Price History'!F:F,MATCH(9.99E+307,'Price History'!$A:$A))-'Price History'!F3)*(ROW()-3)/(MATCH(9.99E+307,'Returns (Calc)'!$A:$A)-3),"")</f>
        <v>26.5242767295598</v>
      </c>
      <c r="AB106" s="145" t="n">
        <f aca="false">IFERROR('Price History'!G3+(INDEX('Price History'!G:G,MATCH(9.99E+307,'Price History'!$A:$A))-'Price History'!G3)*(ROW()-3)/(MATCH(9.99E+307,'Returns (Calc)'!$A:$A)-3),"")</f>
        <v>14.5670440251572</v>
      </c>
      <c r="AC106" s="145" t="n">
        <f aca="false">IFERROR('Price History'!H3+(INDEX('Price History'!H:H,MATCH(9.99E+307,'Price History'!$A:$A))-'Price History'!H3)*(ROW()-3)/(MATCH(9.99E+307,'Returns (Calc)'!$A:$A)-3),"")</f>
        <v>35.4279245283019</v>
      </c>
      <c r="AD106" s="145" t="n">
        <f aca="false">IFERROR('Price History'!I3+(INDEX('Price History'!I:I,MATCH(9.99E+307,'Price History'!$A:$A))-'Price History'!I3)*(ROW()-3)/(MATCH(9.99E+307,'Returns (Calc)'!$A:$A)-3),"")</f>
        <v>15.6201257861635</v>
      </c>
      <c r="AE106" s="145" t="n">
        <f aca="false">IFERROR('Price History'!J3+(INDEX('Price History'!J:J,MATCH(9.99E+307,'Price History'!$A:$A))-'Price History'!J3)*(ROW()-3)/(MATCH(9.99E+307,'Returns (Calc)'!$A:$A)-3),"")</f>
        <v>24.3406289308176</v>
      </c>
      <c r="AF106" s="145" t="n">
        <f aca="false">IFERROR('Price History'!K3+(INDEX('Price History'!K:K,MATCH(9.99E+307,'Price History'!$A:$A))-'Price History'!K3)*(ROW()-3)/(MATCH(9.99E+307,'Returns (Calc)'!$A:$A)-3),"")</f>
        <v>15.4158490566038</v>
      </c>
      <c r="AG106" s="145" t="n">
        <f aca="false">IFERROR('Price History'!L3+(INDEX('Price History'!L:L,MATCH(9.99E+307,'Price History'!$A:$A))-'Price History'!L3)*(ROW()-3)/(MATCH(9.99E+307,'Returns (Calc)'!$A:$A)-3),"")</f>
        <v>39.3901886792453</v>
      </c>
      <c r="AH106" s="145" t="n">
        <f aca="false">IFERROR('Price History'!M3+(INDEX('Price History'!M:M,MATCH(9.99E+307,'Price History'!$A:$A))-'Price History'!M3)*(ROW()-3)/(MATCH(9.99E+307,'Returns (Calc)'!$A:$A)-3),"")</f>
        <v>5.39924528301887</v>
      </c>
      <c r="AI106" s="145" t="n">
        <f aca="false">IFERROR('Price History'!N3+(INDEX('Price History'!N:N,MATCH(9.99E+307,'Price History'!$A:$A))-'Price History'!N3)*(ROW()-3)/(MATCH(9.99E+307,'Returns (Calc)'!$A:$A)-3),"")</f>
        <v>7.67798742138365</v>
      </c>
      <c r="AJ106" s="145" t="n">
        <f aca="false">IFERROR('Price History'!O3+(INDEX('Price History'!O:O,MATCH(9.99E+307,'Price History'!$A:$A))-'Price History'!O3)*(ROW()-3)/(MATCH(9.99E+307,'Returns (Calc)'!$A:$A)-3),"")</f>
        <v>20.297358490566</v>
      </c>
      <c r="AK106" s="145" t="n">
        <f aca="false">IFERROR('Price History'!Q3+(INDEX('Price History'!Q:Q,MATCH(9.99E+307,'Price History'!$A:$A))-'Price History'!Q3)*(ROW()-3)/(MATCH(9.99E+307,'Returns (Calc)'!$A:$A)-3),"")</f>
        <v>82.9891823899371</v>
      </c>
      <c r="AL106" s="145" t="n">
        <f aca="false">IFERROR('Price History'!R3+(INDEX('Price History'!R:R,MATCH(9.99E+307,'Price History'!$A:$A))-'Price History'!R3)*(ROW()-3)/(MATCH(9.99E+307,'Returns (Calc)'!$A:$A)-3),"")</f>
        <v>16.8422641509434</v>
      </c>
      <c r="AM106" s="145" t="n">
        <f aca="false">IFERROR('Price History'!S3+(INDEX('Price History'!S:S,MATCH(9.99E+307,'Price History'!$A:$A))-'Price History'!S3)*(ROW()-3)/(MATCH(9.99E+307,'Returns (Calc)'!$A:$A)-3),"")</f>
        <v>20.6178616352201</v>
      </c>
      <c r="AN106" s="145" t="n">
        <f aca="false">IFERROR('Price History'!T3+(INDEX('Price History'!T:T,MATCH(9.99E+307,'Price History'!$A:$A))-'Price History'!T3)*(ROW()-3)/(MATCH(9.99E+307,'Returns (Calc)'!$A:$A)-3),"")</f>
        <v>9.4777358490566</v>
      </c>
      <c r="AO106" s="146" t="n">
        <f aca="false">IFERROR('Price History'!V3+(INDEX('Price History'!V:V,MATCH(9.99E+307,'Price History'!$A:$A))-'Price History'!V3)*(ROW()-3)/(MATCH(9.99E+307,'Returns (Calc)'!$A:$A)-3),"")</f>
        <v>0</v>
      </c>
    </row>
    <row r="107" customFormat="false" ht="15" hidden="false" customHeight="true" outlineLevel="0" collapsed="false">
      <c r="A107" s="142" t="n">
        <f aca="false">IF('Price History'!A108="","",'Price History'!A108)</f>
        <v>45919</v>
      </c>
      <c r="B107" s="143" t="n">
        <f aca="false">IFERROR(IF(OR(NOT(ISNUMBER('Price History'!B108)),NOT(ISNUMBER('Price History'!B107)),'Price History'!B107=0),"",'Price History'!B108/'Price History'!B107-1),"")</f>
        <v>0.0473437142202884</v>
      </c>
      <c r="C107" s="143" t="n">
        <f aca="false">IFERROR(IF(OR(NOT(ISNUMBER('Price History'!C108)),NOT(ISNUMBER('Price History'!C107)),'Price History'!C107=0),"",'Price History'!C108/'Price History'!C107-1),"")</f>
        <v>0.0733194633761392</v>
      </c>
      <c r="D107" s="143" t="n">
        <f aca="false">IFERROR(IF(OR(NOT(ISNUMBER('Price History'!D108)),NOT(ISNUMBER('Price History'!D107)),'Price History'!D107=0),"",'Price History'!D108/'Price History'!D107-1),"")</f>
        <v>0.145336037796522</v>
      </c>
      <c r="E107" s="143" t="n">
        <f aca="false">IFERROR(IF(OR(NOT(ISNUMBER('Price History'!E108)),NOT(ISNUMBER('Price History'!E107)),'Price History'!E107=0),"",'Price History'!E108/'Price History'!E107-1),"")</f>
        <v>-0.0414750420639373</v>
      </c>
      <c r="F107" s="143" t="n">
        <f aca="false">IFERROR(IF(OR(NOT(ISNUMBER('Price History'!F108)),NOT(ISNUMBER('Price History'!F107)),'Price History'!F107=0),"",'Price History'!F108/'Price History'!F107-1),"")</f>
        <v>0.00569221386460672</v>
      </c>
      <c r="G107" s="143" t="n">
        <f aca="false">IFERROR(IF(OR(NOT(ISNUMBER('Price History'!G108)),NOT(ISNUMBER('Price History'!G107)),'Price History'!G107=0),"",'Price History'!G108/'Price History'!G107-1),"")</f>
        <v>0.152343391727048</v>
      </c>
      <c r="H107" s="143" t="n">
        <f aca="false">IFERROR(IF(OR(NOT(ISNUMBER('Price History'!H108)),NOT(ISNUMBER('Price History'!H107)),'Price History'!H107=0),"",'Price History'!H108/'Price History'!H107-1),"")</f>
        <v>-0.00279740871613665</v>
      </c>
      <c r="I107" s="143" t="n">
        <f aca="false">IFERROR(IF(OR(NOT(ISNUMBER('Price History'!I108)),NOT(ISNUMBER('Price History'!I107)),'Price History'!I107=0),"",'Price History'!I108/'Price History'!I107-1),"")</f>
        <v>0.083854818523154</v>
      </c>
      <c r="J107" s="143" t="n">
        <f aca="false">IFERROR(IF(OR(NOT(ISNUMBER('Price History'!J108)),NOT(ISNUMBER('Price History'!J107)),'Price History'!J107=0),"",'Price History'!J108/'Price History'!J107-1),"")</f>
        <v>0.0349726079755384</v>
      </c>
      <c r="K107" s="143" t="n">
        <f aca="false">IFERROR(IF(OR(NOT(ISNUMBER('Price History'!K108)),NOT(ISNUMBER('Price History'!K107)),'Price History'!K107=0),"",'Price History'!K108/'Price History'!K107-1),"")</f>
        <v>-0.00648252536640359</v>
      </c>
      <c r="L107" s="143" t="n">
        <f aca="false">IFERROR(IF(OR(NOT(ISNUMBER('Price History'!L108)),NOT(ISNUMBER('Price History'!L107)),'Price History'!L107=0),"",'Price History'!L108/'Price History'!L107-1),"")</f>
        <v>-0.00721695985566073</v>
      </c>
      <c r="M107" s="143" t="n">
        <f aca="false">IFERROR(IF(OR(NOT(ISNUMBER('Price History'!M108)),NOT(ISNUMBER('Price History'!M107)),'Price History'!M107=0),"",'Price History'!M108/'Price History'!M107-1),"")</f>
        <v>0.0639328005599953</v>
      </c>
      <c r="N107" s="143" t="n">
        <f aca="false">IFERROR(IF(OR(NOT(ISNUMBER('Price History'!N108)),NOT(ISNUMBER('Price History'!N107)),'Price History'!N107=0),"",'Price History'!N108/'Price History'!N107-1),"")</f>
        <v>-0.00570342205323204</v>
      </c>
      <c r="O107" s="143" t="n">
        <f aca="false">IFERROR(IF(OR(NOT(ISNUMBER('Price History'!O108)),NOT(ISNUMBER('Price History'!O107)),'Price History'!O107=0),"",'Price History'!O108/'Price History'!O107-1),"")</f>
        <v>0.012072434607646</v>
      </c>
      <c r="P107" s="143" t="n">
        <f aca="false">IFERROR(IF(OR(NOT(ISNUMBER('Price History'!P108)),NOT(ISNUMBER('Price History'!P107)),'Price History'!P107=0),"",'Price History'!P108/'Price History'!P107-1),"")</f>
        <v>0.0245885618232282</v>
      </c>
      <c r="Q107" s="143" t="n">
        <f aca="false">IFERROR(IF(OR(NOT(ISNUMBER('Price History'!Q108)),NOT(ISNUMBER('Price History'!Q107)),'Price History'!Q107=0),"",'Price History'!Q108/'Price History'!Q107-1),"")</f>
        <v>0.00641444437845218</v>
      </c>
      <c r="R107" s="143" t="n">
        <f aca="false">IFERROR(IF(OR(NOT(ISNUMBER('Price History'!R108)),NOT(ISNUMBER('Price History'!R107)),'Price History'!R107=0),"",'Price History'!R108/'Price History'!R107-1),"")</f>
        <v>0.00867678958785234</v>
      </c>
      <c r="S107" s="143" t="n">
        <f aca="false">IFERROR(IF(OR(NOT(ISNUMBER('Price History'!S108)),NOT(ISNUMBER('Price History'!S107)),'Price History'!S107=0),"",'Price History'!S108/'Price History'!S107-1),"")</f>
        <v>0.00102397815513267</v>
      </c>
      <c r="T107" s="143" t="n">
        <f aca="false">IFERROR(IF(OR(NOT(ISNUMBER('Price History'!T108)),NOT(ISNUMBER('Price History'!T107)),'Price History'!T107=0),"",'Price History'!T108/'Price History'!T107-1),"")</f>
        <v>0.0394926491784378</v>
      </c>
      <c r="U107" s="143" t="str">
        <f aca="false">IFERROR(IF(OR(NOT(ISNUMBER('Price History'!U108)),NOT(ISNUMBER('Price History'!U107)),'Price History'!U107=0),"",'Price History'!U108/'Price History'!U107-1),"")</f>
        <v/>
      </c>
      <c r="V107" s="144" t="n">
        <f aca="false">IFERROR(IF(OR(NOT(ISNUMBER('Price History'!V108)),NOT(ISNUMBER('Price History'!V107)),'Price History'!V107=0),"",'Price History'!V108/'Price History'!V107-1),"")</f>
        <v>0.0246461981290478</v>
      </c>
      <c r="W107" s="145" t="str">
        <f aca="false">IFERROR('Price History'!B3+(INDEX('Price History'!B:B,MATCH(9.99E+307,'Price History'!$A:$A))-'Price History'!B3)*(ROW()-3)/(MATCH(9.99E+307,'Returns (Calc)'!$A:$A)-3),"")</f>
        <v/>
      </c>
      <c r="X107" s="145" t="n">
        <f aca="false">IFERROR('Price History'!C3+(INDEX('Price History'!C:C,MATCH(9.99E+307,'Price History'!$A:$A))-'Price History'!C3)*(ROW()-3)/(MATCH(9.99E+307,'Returns (Calc)'!$A:$A)-3),"")</f>
        <v>15.974213836478</v>
      </c>
      <c r="Y107" s="145" t="n">
        <f aca="false">IFERROR('Price History'!D3+(INDEX('Price History'!D:D,MATCH(9.99E+307,'Price History'!$A:$A))-'Price History'!D3)*(ROW()-3)/(MATCH(9.99E+307,'Returns (Calc)'!$A:$A)-3),"")</f>
        <v>201.324213836478</v>
      </c>
      <c r="Z107" s="145" t="n">
        <f aca="false">IFERROR('Price History'!E3+(INDEX('Price History'!E:E,MATCH(9.99E+307,'Price History'!$A:$A))-'Price History'!E3)*(ROW()-3)/(MATCH(9.99E+307,'Returns (Calc)'!$A:$A)-3),"")</f>
        <v>28.3647798742138</v>
      </c>
      <c r="AA107" s="145" t="n">
        <f aca="false">IFERROR('Price History'!F3+(INDEX('Price History'!F:F,MATCH(9.99E+307,'Price History'!$A:$A))-'Price History'!F3)*(ROW()-3)/(MATCH(9.99E+307,'Returns (Calc)'!$A:$A)-3),"")</f>
        <v>26.0506289308176</v>
      </c>
      <c r="AB107" s="145" t="n">
        <f aca="false">IFERROR('Price History'!G3+(INDEX('Price History'!G:G,MATCH(9.99E+307,'Price History'!$A:$A))-'Price History'!G3)*(ROW()-3)/(MATCH(9.99E+307,'Returns (Calc)'!$A:$A)-3),"")</f>
        <v>14.3069182389937</v>
      </c>
      <c r="AC107" s="145" t="n">
        <f aca="false">IFERROR('Price History'!H3+(INDEX('Price History'!H:H,MATCH(9.99E+307,'Price History'!$A:$A))-'Price History'!H3)*(ROW()-3)/(MATCH(9.99E+307,'Returns (Calc)'!$A:$A)-3),"")</f>
        <v>34.7952830188679</v>
      </c>
      <c r="AD107" s="145" t="n">
        <f aca="false">IFERROR('Price History'!I3+(INDEX('Price History'!I:I,MATCH(9.99E+307,'Price History'!$A:$A))-'Price History'!I3)*(ROW()-3)/(MATCH(9.99E+307,'Returns (Calc)'!$A:$A)-3),"")</f>
        <v>15.3411949685535</v>
      </c>
      <c r="AE107" s="145" t="n">
        <f aca="false">IFERROR('Price History'!J3+(INDEX('Price History'!J:J,MATCH(9.99E+307,'Price History'!$A:$A))-'Price History'!J3)*(ROW()-3)/(MATCH(9.99E+307,'Returns (Calc)'!$A:$A)-3),"")</f>
        <v>23.9059748427673</v>
      </c>
      <c r="AF107" s="145" t="n">
        <f aca="false">IFERROR('Price History'!K3+(INDEX('Price History'!K:K,MATCH(9.99E+307,'Price History'!$A:$A))-'Price History'!K3)*(ROW()-3)/(MATCH(9.99E+307,'Returns (Calc)'!$A:$A)-3),"")</f>
        <v>15.1405660377359</v>
      </c>
      <c r="AG107" s="145" t="n">
        <f aca="false">IFERROR('Price History'!L3+(INDEX('Price History'!L:L,MATCH(9.99E+307,'Price History'!$A:$A))-'Price History'!L3)*(ROW()-3)/(MATCH(9.99E+307,'Returns (Calc)'!$A:$A)-3),"")</f>
        <v>38.6867924528302</v>
      </c>
      <c r="AH107" s="145" t="n">
        <f aca="false">IFERROR('Price History'!M3+(INDEX('Price History'!M:M,MATCH(9.99E+307,'Price History'!$A:$A))-'Price History'!M3)*(ROW()-3)/(MATCH(9.99E+307,'Returns (Calc)'!$A:$A)-3),"")</f>
        <v>5.30283018867925</v>
      </c>
      <c r="AI107" s="145" t="n">
        <f aca="false">IFERROR('Price History'!N3+(INDEX('Price History'!N:N,MATCH(9.99E+307,'Price History'!$A:$A))-'Price History'!N3)*(ROW()-3)/(MATCH(9.99E+307,'Returns (Calc)'!$A:$A)-3),"")</f>
        <v>7.54088050314465</v>
      </c>
      <c r="AJ107" s="145" t="n">
        <f aca="false">IFERROR('Price History'!O3+(INDEX('Price History'!O:O,MATCH(9.99E+307,'Price History'!$A:$A))-'Price History'!O3)*(ROW()-3)/(MATCH(9.99E+307,'Returns (Calc)'!$A:$A)-3),"")</f>
        <v>19.9349056603774</v>
      </c>
      <c r="AK107" s="145" t="n">
        <f aca="false">IFERROR('Price History'!Q3+(INDEX('Price History'!Q:Q,MATCH(9.99E+307,'Price History'!$A:$A))-'Price History'!Q3)*(ROW()-3)/(MATCH(9.99E+307,'Returns (Calc)'!$A:$A)-3),"")</f>
        <v>81.5072327044025</v>
      </c>
      <c r="AL107" s="145" t="n">
        <f aca="false">IFERROR('Price History'!R3+(INDEX('Price History'!R:R,MATCH(9.99E+307,'Price History'!$A:$A))-'Price History'!R3)*(ROW()-3)/(MATCH(9.99E+307,'Returns (Calc)'!$A:$A)-3),"")</f>
        <v>16.5415094339623</v>
      </c>
      <c r="AM107" s="145" t="n">
        <f aca="false">IFERROR('Price History'!S3+(INDEX('Price History'!S:S,MATCH(9.99E+307,'Price History'!$A:$A))-'Price History'!S3)*(ROW()-3)/(MATCH(9.99E+307,'Returns (Calc)'!$A:$A)-3),"")</f>
        <v>20.2496855345912</v>
      </c>
      <c r="AN107" s="145" t="n">
        <f aca="false">IFERROR('Price History'!T3+(INDEX('Price History'!T:T,MATCH(9.99E+307,'Price History'!$A:$A))-'Price History'!T3)*(ROW()-3)/(MATCH(9.99E+307,'Returns (Calc)'!$A:$A)-3),"")</f>
        <v>9.30849056603774</v>
      </c>
      <c r="AO107" s="146" t="n">
        <f aca="false">IFERROR('Price History'!V3+(INDEX('Price History'!V:V,MATCH(9.99E+307,'Price History'!$A:$A))-'Price History'!V3)*(ROW()-3)/(MATCH(9.99E+307,'Returns (Calc)'!$A:$A)-3),"")</f>
        <v>0</v>
      </c>
    </row>
    <row r="108" customFormat="false" ht="15" hidden="false" customHeight="true" outlineLevel="0" collapsed="false">
      <c r="A108" s="142" t="n">
        <f aca="false">IF('Price History'!A109="","",'Price History'!A109)</f>
        <v>45926</v>
      </c>
      <c r="B108" s="143" t="n">
        <f aca="false">IFERROR(IF(OR(NOT(ISNUMBER('Price History'!B109)),NOT(ISNUMBER('Price History'!B108)),'Price History'!B108=0),"",'Price History'!B109/'Price History'!B108-1),"")</f>
        <v>-0.0151134189669307</v>
      </c>
      <c r="C108" s="143" t="n">
        <f aca="false">IFERROR(IF(OR(NOT(ISNUMBER('Price History'!C109)),NOT(ISNUMBER('Price History'!C108)),'Price History'!C108=0),"",'Price History'!C109/'Price History'!C108-1),"")</f>
        <v>-0.0475235612592742</v>
      </c>
      <c r="D108" s="143" t="n">
        <f aca="false">IFERROR(IF(OR(NOT(ISNUMBER('Price History'!D109)),NOT(ISNUMBER('Price History'!D108)),'Price History'!D108=0),"",'Price History'!D109/'Price History'!D108-1),"")</f>
        <v>0.0207764159602613</v>
      </c>
      <c r="E108" s="143" t="n">
        <f aca="false">IFERROR(IF(OR(NOT(ISNUMBER('Price History'!E109)),NOT(ISNUMBER('Price History'!E108)),'Price History'!E108=0),"",'Price History'!E109/'Price History'!E108-1),"")</f>
        <v>-0.028524618940347</v>
      </c>
      <c r="F108" s="143" t="n">
        <f aca="false">IFERROR(IF(OR(NOT(ISNUMBER('Price History'!F109)),NOT(ISNUMBER('Price History'!F108)),'Price History'!F108=0),"",'Price History'!F109/'Price History'!F108-1),"")</f>
        <v>0.00303214069132807</v>
      </c>
      <c r="G108" s="143" t="n">
        <f aca="false">IFERROR(IF(OR(NOT(ISNUMBER('Price History'!G109)),NOT(ISNUMBER('Price History'!G108)),'Price History'!G108=0),"",'Price History'!G109/'Price History'!G108-1),"")</f>
        <v>-0.0420248328557784</v>
      </c>
      <c r="H108" s="143" t="n">
        <f aca="false">IFERROR(IF(OR(NOT(ISNUMBER('Price History'!H109)),NOT(ISNUMBER('Price History'!H108)),'Price History'!H108=0),"",'Price History'!H109/'Price History'!H108-1),"")</f>
        <v>0.00767754318618041</v>
      </c>
      <c r="I108" s="143" t="n">
        <f aca="false">IFERROR(IF(OR(NOT(ISNUMBER('Price History'!I109)),NOT(ISNUMBER('Price History'!I108)),'Price History'!I108=0),"",'Price History'!I109/'Price History'!I108-1),"")</f>
        <v>0.0186682063125481</v>
      </c>
      <c r="J108" s="143" t="n">
        <f aca="false">IFERROR(IF(OR(NOT(ISNUMBER('Price History'!J109)),NOT(ISNUMBER('Price History'!J108)),'Price History'!J108=0),"",'Price History'!J109/'Price History'!J108-1),"")</f>
        <v>-0.0335446543977349</v>
      </c>
      <c r="K108" s="143" t="n">
        <f aca="false">IFERROR(IF(OR(NOT(ISNUMBER('Price History'!K109)),NOT(ISNUMBER('Price History'!K108)),'Price History'!K108=0),"",'Price History'!K109/'Price History'!K108-1),"")</f>
        <v>0.00856737588652479</v>
      </c>
      <c r="L108" s="143" t="n">
        <f aca="false">IFERROR(IF(OR(NOT(ISNUMBER('Price History'!L109)),NOT(ISNUMBER('Price History'!L108)),'Price History'!L108=0),"",'Price History'!L109/'Price History'!L108-1),"")</f>
        <v>0.00599727396637895</v>
      </c>
      <c r="M108" s="143" t="n">
        <f aca="false">IFERROR(IF(OR(NOT(ISNUMBER('Price History'!M109)),NOT(ISNUMBER('Price History'!M108)),'Price History'!M108=0),"",'Price History'!M109/'Price History'!M108-1),"")</f>
        <v>-0.0264268874390043</v>
      </c>
      <c r="N108" s="143" t="n">
        <f aca="false">IFERROR(IF(OR(NOT(ISNUMBER('Price History'!N109)),NOT(ISNUMBER('Price History'!N108)),'Price History'!N108=0),"",'Price History'!N109/'Price History'!N108-1),"")</f>
        <v>0.00535372848948379</v>
      </c>
      <c r="O108" s="143" t="n">
        <f aca="false">IFERROR(IF(OR(NOT(ISNUMBER('Price History'!O109)),NOT(ISNUMBER('Price History'!O108)),'Price History'!O108=0),"",'Price History'!O109/'Price History'!O108-1),"")</f>
        <v>-0.00952617627567931</v>
      </c>
      <c r="P108" s="143" t="n">
        <f aca="false">IFERROR(IF(OR(NOT(ISNUMBER('Price History'!P109)),NOT(ISNUMBER('Price History'!P108)),'Price History'!P108=0),"",'Price History'!P109/'Price History'!P108-1),"")</f>
        <v>0.0320488363220144</v>
      </c>
      <c r="Q108" s="143" t="n">
        <f aca="false">IFERROR(IF(OR(NOT(ISNUMBER('Price History'!Q109)),NOT(ISNUMBER('Price History'!Q108)),'Price History'!Q108=0),"",'Price History'!Q109/'Price History'!Q108-1),"")</f>
        <v>-0.0124225435231631</v>
      </c>
      <c r="R108" s="143" t="n">
        <f aca="false">IFERROR(IF(OR(NOT(ISNUMBER('Price History'!R109)),NOT(ISNUMBER('Price History'!R108)),'Price History'!R108=0),"",'Price History'!R109/'Price History'!R108-1),"")</f>
        <v>-0.00232974910394257</v>
      </c>
      <c r="S108" s="143" t="n">
        <f aca="false">IFERROR(IF(OR(NOT(ISNUMBER('Price History'!S109)),NOT(ISNUMBER('Price History'!S108)),'Price History'!S108=0),"",'Price History'!S109/'Price History'!S108-1),"")</f>
        <v>-0.00681953797630208</v>
      </c>
      <c r="T108" s="143" t="n">
        <f aca="false">IFERROR(IF(OR(NOT(ISNUMBER('Price History'!T109)),NOT(ISNUMBER('Price History'!T108)),'Price History'!T108=0),"",'Price History'!T109/'Price History'!T108-1),"")</f>
        <v>0.0257903494176373</v>
      </c>
      <c r="U108" s="143" t="str">
        <f aca="false">IFERROR(IF(OR(NOT(ISNUMBER('Price History'!U109)),NOT(ISNUMBER('Price History'!U108)),'Price History'!U108=0),"",'Price History'!U109/'Price History'!U108-1),"")</f>
        <v/>
      </c>
      <c r="V108" s="144" t="n">
        <f aca="false">IFERROR(IF(OR(NOT(ISNUMBER('Price History'!V109)),NOT(ISNUMBER('Price History'!V108)),'Price History'!V108=0),"",'Price History'!V109/'Price History'!V108-1),"")</f>
        <v>0.0161526306548838</v>
      </c>
      <c r="W108" s="145" t="str">
        <f aca="false">IFERROR('Price History'!B3+(INDEX('Price History'!B:B,MATCH(9.99E+307,'Price History'!$A:$A))-'Price History'!B3)*(ROW()-3)/(MATCH(9.99E+307,'Returns (Calc)'!$A:$A)-3),"")</f>
        <v/>
      </c>
      <c r="X108" s="145" t="n">
        <f aca="false">IFERROR('Price History'!C3+(INDEX('Price History'!C:C,MATCH(9.99E+307,'Price History'!$A:$A))-'Price History'!C3)*(ROW()-3)/(MATCH(9.99E+307,'Returns (Calc)'!$A:$A)-3),"")</f>
        <v>15.6837735849057</v>
      </c>
      <c r="Y108" s="145" t="n">
        <f aca="false">IFERROR('Price History'!D3+(INDEX('Price History'!D:D,MATCH(9.99E+307,'Price History'!$A:$A))-'Price History'!D3)*(ROW()-3)/(MATCH(9.99E+307,'Returns (Calc)'!$A:$A)-3),"")</f>
        <v>197.663773584906</v>
      </c>
      <c r="Z108" s="145" t="n">
        <f aca="false">IFERROR('Price History'!E3+(INDEX('Price History'!E:E,MATCH(9.99E+307,'Price History'!$A:$A))-'Price History'!E3)*(ROW()-3)/(MATCH(9.99E+307,'Returns (Calc)'!$A:$A)-3),"")</f>
        <v>27.8490566037736</v>
      </c>
      <c r="AA108" s="145" t="n">
        <f aca="false">IFERROR('Price History'!F3+(INDEX('Price History'!F:F,MATCH(9.99E+307,'Price History'!$A:$A))-'Price History'!F3)*(ROW()-3)/(MATCH(9.99E+307,'Returns (Calc)'!$A:$A)-3),"")</f>
        <v>25.5769811320755</v>
      </c>
      <c r="AB108" s="145" t="n">
        <f aca="false">IFERROR('Price History'!G3+(INDEX('Price History'!G:G,MATCH(9.99E+307,'Price History'!$A:$A))-'Price History'!G3)*(ROW()-3)/(MATCH(9.99E+307,'Returns (Calc)'!$A:$A)-3),"")</f>
        <v>14.0467924528302</v>
      </c>
      <c r="AC108" s="145" t="n">
        <f aca="false">IFERROR('Price History'!H3+(INDEX('Price History'!H:H,MATCH(9.99E+307,'Price History'!$A:$A))-'Price History'!H3)*(ROW()-3)/(MATCH(9.99E+307,'Returns (Calc)'!$A:$A)-3),"")</f>
        <v>34.162641509434</v>
      </c>
      <c r="AD108" s="145" t="n">
        <f aca="false">IFERROR('Price History'!I3+(INDEX('Price History'!I:I,MATCH(9.99E+307,'Price History'!$A:$A))-'Price History'!I3)*(ROW()-3)/(MATCH(9.99E+307,'Returns (Calc)'!$A:$A)-3),"")</f>
        <v>15.0622641509434</v>
      </c>
      <c r="AE108" s="145" t="n">
        <f aca="false">IFERROR('Price History'!J3+(INDEX('Price History'!J:J,MATCH(9.99E+307,'Price History'!$A:$A))-'Price History'!J3)*(ROW()-3)/(MATCH(9.99E+307,'Returns (Calc)'!$A:$A)-3),"")</f>
        <v>23.471320754717</v>
      </c>
      <c r="AF108" s="145" t="n">
        <f aca="false">IFERROR('Price History'!K3+(INDEX('Price History'!K:K,MATCH(9.99E+307,'Price History'!$A:$A))-'Price History'!K3)*(ROW()-3)/(MATCH(9.99E+307,'Returns (Calc)'!$A:$A)-3),"")</f>
        <v>14.8652830188679</v>
      </c>
      <c r="AG108" s="145" t="n">
        <f aca="false">IFERROR('Price History'!L3+(INDEX('Price History'!L:L,MATCH(9.99E+307,'Price History'!$A:$A))-'Price History'!L3)*(ROW()-3)/(MATCH(9.99E+307,'Returns (Calc)'!$A:$A)-3),"")</f>
        <v>37.9833962264151</v>
      </c>
      <c r="AH108" s="145" t="n">
        <f aca="false">IFERROR('Price History'!M3+(INDEX('Price History'!M:M,MATCH(9.99E+307,'Price History'!$A:$A))-'Price History'!M3)*(ROW()-3)/(MATCH(9.99E+307,'Returns (Calc)'!$A:$A)-3),"")</f>
        <v>5.20641509433962</v>
      </c>
      <c r="AI108" s="145" t="n">
        <f aca="false">IFERROR('Price History'!N3+(INDEX('Price History'!N:N,MATCH(9.99E+307,'Price History'!$A:$A))-'Price History'!N3)*(ROW()-3)/(MATCH(9.99E+307,'Returns (Calc)'!$A:$A)-3),"")</f>
        <v>7.40377358490566</v>
      </c>
      <c r="AJ108" s="145" t="n">
        <f aca="false">IFERROR('Price History'!O3+(INDEX('Price History'!O:O,MATCH(9.99E+307,'Price History'!$A:$A))-'Price History'!O3)*(ROW()-3)/(MATCH(9.99E+307,'Returns (Calc)'!$A:$A)-3),"")</f>
        <v>19.5724528301887</v>
      </c>
      <c r="AK108" s="145" t="n">
        <f aca="false">IFERROR('Price History'!Q3+(INDEX('Price History'!Q:Q,MATCH(9.99E+307,'Price History'!$A:$A))-'Price History'!Q3)*(ROW()-3)/(MATCH(9.99E+307,'Returns (Calc)'!$A:$A)-3),"")</f>
        <v>80.0252830188679</v>
      </c>
      <c r="AL108" s="145" t="n">
        <f aca="false">IFERROR('Price History'!R3+(INDEX('Price History'!R:R,MATCH(9.99E+307,'Price History'!$A:$A))-'Price History'!R3)*(ROW()-3)/(MATCH(9.99E+307,'Returns (Calc)'!$A:$A)-3),"")</f>
        <v>16.2407547169811</v>
      </c>
      <c r="AM108" s="145" t="n">
        <f aca="false">IFERROR('Price History'!S3+(INDEX('Price History'!S:S,MATCH(9.99E+307,'Price History'!$A:$A))-'Price History'!S3)*(ROW()-3)/(MATCH(9.99E+307,'Returns (Calc)'!$A:$A)-3),"")</f>
        <v>19.8815094339623</v>
      </c>
      <c r="AN108" s="145" t="n">
        <f aca="false">IFERROR('Price History'!T3+(INDEX('Price History'!T:T,MATCH(9.99E+307,'Price History'!$A:$A))-'Price History'!T3)*(ROW()-3)/(MATCH(9.99E+307,'Returns (Calc)'!$A:$A)-3),"")</f>
        <v>9.13924528301887</v>
      </c>
      <c r="AO108" s="146" t="n">
        <f aca="false">IFERROR('Price History'!V3+(INDEX('Price History'!V:V,MATCH(9.99E+307,'Price History'!$A:$A))-'Price History'!V3)*(ROW()-3)/(MATCH(9.99E+307,'Returns (Calc)'!$A:$A)-3),"")</f>
        <v>0</v>
      </c>
    </row>
    <row r="109" customFormat="false" ht="15" hidden="false" customHeight="true" outlineLevel="0" collapsed="false">
      <c r="A109" s="142" t="n">
        <f aca="false">IF('Price History'!A110="","",'Price History'!A110)</f>
        <v>45933</v>
      </c>
      <c r="B109" s="143" t="n">
        <f aca="false">IFERROR(IF(OR(NOT(ISNUMBER('Price History'!B110)),NOT(ISNUMBER('Price History'!B109)),'Price History'!B109=0),"",'Price History'!B110/'Price History'!B109-1),"")</f>
        <v>-0.0378222382551267</v>
      </c>
      <c r="C109" s="143" t="n">
        <f aca="false">IFERROR(IF(OR(NOT(ISNUMBER('Price History'!C110)),NOT(ISNUMBER('Price History'!C109)),'Price History'!C109=0),"",'Price History'!C110/'Price History'!C109-1),"")</f>
        <v>0.0210526315789474</v>
      </c>
      <c r="D109" s="143" t="n">
        <f aca="false">IFERROR(IF(OR(NOT(ISNUMBER('Price History'!D110)),NOT(ISNUMBER('Price History'!D109)),'Price History'!D109=0),"",'Price History'!D110/'Price History'!D109-1),"")</f>
        <v>0.0848205312655377</v>
      </c>
      <c r="E109" s="143" t="n">
        <f aca="false">IFERROR(IF(OR(NOT(ISNUMBER('Price History'!E110)),NOT(ISNUMBER('Price History'!E109)),'Price History'!E109=0),"",'Price History'!E110/'Price History'!E109-1),"")</f>
        <v>0.0114738300307173</v>
      </c>
      <c r="F109" s="143" t="n">
        <f aca="false">IFERROR(IF(OR(NOT(ISNUMBER('Price History'!F110)),NOT(ISNUMBER('Price History'!F109)),'Price History'!F109=0),"",'Price History'!F110/'Price History'!F109-1),"")</f>
        <v>0.00110842402257161</v>
      </c>
      <c r="G109" s="143" t="n">
        <f aca="false">IFERROR(IF(OR(NOT(ISNUMBER('Price History'!G110)),NOT(ISNUMBER('Price History'!G109)),'Price History'!G109=0),"",'Price History'!G110/'Price History'!G109-1),"")</f>
        <v>0.0175307411100034</v>
      </c>
      <c r="H109" s="143" t="n">
        <f aca="false">IFERROR(IF(OR(NOT(ISNUMBER('Price History'!H110)),NOT(ISNUMBER('Price History'!H109)),'Price History'!H109=0),"",'Price History'!H110/'Price History'!H109-1),"")</f>
        <v>0.0123809523809524</v>
      </c>
      <c r="I109" s="143" t="n">
        <f aca="false">IFERROR(IF(OR(NOT(ISNUMBER('Price History'!I110)),NOT(ISNUMBER('Price History'!I109)),'Price History'!I109=0),"",'Price History'!I110/'Price History'!I109-1),"")</f>
        <v>0.0349518231626678</v>
      </c>
      <c r="J109" s="143" t="n">
        <f aca="false">IFERROR(IF(OR(NOT(ISNUMBER('Price History'!J110)),NOT(ISNUMBER('Price History'!J109)),'Price History'!J109=0),"",'Price History'!J110/'Price History'!J109-1),"")</f>
        <v>0.195070691631639</v>
      </c>
      <c r="K109" s="143" t="n">
        <f aca="false">IFERROR(IF(OR(NOT(ISNUMBER('Price History'!K110)),NOT(ISNUMBER('Price History'!K109)),'Price History'!K109=0),"",'Price History'!K110/'Price History'!K109-1),"")</f>
        <v>0.0529365436543654</v>
      </c>
      <c r="L109" s="143" t="n">
        <f aca="false">IFERROR(IF(OR(NOT(ISNUMBER('Price History'!L110)),NOT(ISNUMBER('Price History'!L109)),'Price History'!L109=0),"",'Price History'!L110/'Price History'!L109-1),"")</f>
        <v>0.0252009755216331</v>
      </c>
      <c r="M109" s="143" t="n">
        <f aca="false">IFERROR(IF(OR(NOT(ISNUMBER('Price History'!M110)),NOT(ISNUMBER('Price History'!M109)),'Price History'!M109=0),"",'Price History'!M110/'Price History'!M109-1),"")</f>
        <v>-0.025342118601115</v>
      </c>
      <c r="N109" s="143" t="n">
        <f aca="false">IFERROR(IF(OR(NOT(ISNUMBER('Price History'!N110)),NOT(ISNUMBER('Price History'!N109)),'Price History'!N109=0),"",'Price History'!N110/'Price History'!N109-1),"")</f>
        <v>0.00722708254089022</v>
      </c>
      <c r="O109" s="143" t="n">
        <f aca="false">IFERROR(IF(OR(NOT(ISNUMBER('Price History'!O110)),NOT(ISNUMBER('Price History'!O109)),'Price History'!O109=0),"",'Price History'!O110/'Price History'!O109-1),"")</f>
        <v>-0.00409801789746589</v>
      </c>
      <c r="P109" s="143" t="n">
        <f aca="false">IFERROR(IF(OR(NOT(ISNUMBER('Price History'!P110)),NOT(ISNUMBER('Price History'!P109)),'Price History'!P109=0),"",'Price History'!P110/'Price History'!P109-1),"")</f>
        <v>0.0688724584103513</v>
      </c>
      <c r="Q109" s="143" t="n">
        <f aca="false">IFERROR(IF(OR(NOT(ISNUMBER('Price History'!Q110)),NOT(ISNUMBER('Price History'!Q109)),'Price History'!Q109=0),"",'Price History'!Q110/'Price History'!Q109-1),"")</f>
        <v>0.0369595745316562</v>
      </c>
      <c r="R109" s="143" t="n">
        <f aca="false">IFERROR(IF(OR(NOT(ISNUMBER('Price History'!R110)),NOT(ISNUMBER('Price History'!R109)),'Price History'!R109=0),"",'Price History'!R110/'Price History'!R109-1),"")</f>
        <v>0.000179629962277605</v>
      </c>
      <c r="S109" s="143" t="n">
        <f aca="false">IFERROR(IF(OR(NOT(ISNUMBER('Price History'!S110)),NOT(ISNUMBER('Price History'!S109)),'Price History'!S109=0),"",'Price History'!S110/'Price History'!S109-1),"")</f>
        <v>-0.000257488627585678</v>
      </c>
      <c r="T109" s="143" t="n">
        <f aca="false">IFERROR(IF(OR(NOT(ISNUMBER('Price History'!T110)),NOT(ISNUMBER('Price History'!T109)),'Price History'!T109=0),"",'Price History'!T110/'Price History'!T109-1),"")</f>
        <v>0.00919167342524996</v>
      </c>
      <c r="U109" s="143" t="str">
        <f aca="false">IFERROR(IF(OR(NOT(ISNUMBER('Price History'!U110)),NOT(ISNUMBER('Price History'!U109)),'Price History'!U109=0),"",'Price History'!U110/'Price History'!U109-1),"")</f>
        <v/>
      </c>
      <c r="V109" s="144" t="n">
        <f aca="false">IFERROR(IF(OR(NOT(ISNUMBER('Price History'!V110)),NOT(ISNUMBER('Price History'!V109)),'Price History'!V109=0),"",'Price History'!V110/'Price History'!V109-1),"")</f>
        <v>0.00498185797385253</v>
      </c>
      <c r="W109" s="145" t="str">
        <f aca="false">IFERROR('Price History'!B3+(INDEX('Price History'!B:B,MATCH(9.99E+307,'Price History'!$A:$A))-'Price History'!B3)*(ROW()-3)/(MATCH(9.99E+307,'Returns (Calc)'!$A:$A)-3),"")</f>
        <v/>
      </c>
      <c r="X109" s="145" t="n">
        <f aca="false">IFERROR('Price History'!C3+(INDEX('Price History'!C:C,MATCH(9.99E+307,'Price History'!$A:$A))-'Price History'!C3)*(ROW()-3)/(MATCH(9.99E+307,'Returns (Calc)'!$A:$A)-3),"")</f>
        <v>15.3933333333333</v>
      </c>
      <c r="Y109" s="145" t="n">
        <f aca="false">IFERROR('Price History'!D3+(INDEX('Price History'!D:D,MATCH(9.99E+307,'Price History'!$A:$A))-'Price History'!D3)*(ROW()-3)/(MATCH(9.99E+307,'Returns (Calc)'!$A:$A)-3),"")</f>
        <v>194.003333333333</v>
      </c>
      <c r="Z109" s="145" t="n">
        <f aca="false">IFERROR('Price History'!E3+(INDEX('Price History'!E:E,MATCH(9.99E+307,'Price History'!$A:$A))-'Price History'!E3)*(ROW()-3)/(MATCH(9.99E+307,'Returns (Calc)'!$A:$A)-3),"")</f>
        <v>27.3333333333333</v>
      </c>
      <c r="AA109" s="145" t="n">
        <f aca="false">IFERROR('Price History'!F3+(INDEX('Price History'!F:F,MATCH(9.99E+307,'Price History'!$A:$A))-'Price History'!F3)*(ROW()-3)/(MATCH(9.99E+307,'Returns (Calc)'!$A:$A)-3),"")</f>
        <v>25.1033333333333</v>
      </c>
      <c r="AB109" s="145" t="n">
        <f aca="false">IFERROR('Price History'!G3+(INDEX('Price History'!G:G,MATCH(9.99E+307,'Price History'!$A:$A))-'Price History'!G3)*(ROW()-3)/(MATCH(9.99E+307,'Returns (Calc)'!$A:$A)-3),"")</f>
        <v>13.7866666666667</v>
      </c>
      <c r="AC109" s="145" t="n">
        <f aca="false">IFERROR('Price History'!H3+(INDEX('Price History'!H:H,MATCH(9.99E+307,'Price History'!$A:$A))-'Price History'!H3)*(ROW()-3)/(MATCH(9.99E+307,'Returns (Calc)'!$A:$A)-3),"")</f>
        <v>33.53</v>
      </c>
      <c r="AD109" s="145" t="n">
        <f aca="false">IFERROR('Price History'!I3+(INDEX('Price History'!I:I,MATCH(9.99E+307,'Price History'!$A:$A))-'Price History'!I3)*(ROW()-3)/(MATCH(9.99E+307,'Returns (Calc)'!$A:$A)-3),"")</f>
        <v>14.7833333333333</v>
      </c>
      <c r="AE109" s="145" t="n">
        <f aca="false">IFERROR('Price History'!J3+(INDEX('Price History'!J:J,MATCH(9.99E+307,'Price History'!$A:$A))-'Price History'!J3)*(ROW()-3)/(MATCH(9.99E+307,'Returns (Calc)'!$A:$A)-3),"")</f>
        <v>23.0366666666667</v>
      </c>
      <c r="AF109" s="145" t="n">
        <f aca="false">IFERROR('Price History'!K3+(INDEX('Price History'!K:K,MATCH(9.99E+307,'Price History'!$A:$A))-'Price History'!K3)*(ROW()-3)/(MATCH(9.99E+307,'Returns (Calc)'!$A:$A)-3),"")</f>
        <v>14.59</v>
      </c>
      <c r="AG109" s="145" t="n">
        <f aca="false">IFERROR('Price History'!L3+(INDEX('Price History'!L:L,MATCH(9.99E+307,'Price History'!$A:$A))-'Price History'!L3)*(ROW()-3)/(MATCH(9.99E+307,'Returns (Calc)'!$A:$A)-3),"")</f>
        <v>37.28</v>
      </c>
      <c r="AH109" s="145" t="n">
        <f aca="false">IFERROR('Price History'!M3+(INDEX('Price History'!M:M,MATCH(9.99E+307,'Price History'!$A:$A))-'Price History'!M3)*(ROW()-3)/(MATCH(9.99E+307,'Returns (Calc)'!$A:$A)-3),"")</f>
        <v>5.11</v>
      </c>
      <c r="AI109" s="145" t="n">
        <f aca="false">IFERROR('Price History'!N3+(INDEX('Price History'!N:N,MATCH(9.99E+307,'Price History'!$A:$A))-'Price History'!N3)*(ROW()-3)/(MATCH(9.99E+307,'Returns (Calc)'!$A:$A)-3),"")</f>
        <v>7.26666666666667</v>
      </c>
      <c r="AJ109" s="145" t="n">
        <f aca="false">IFERROR('Price History'!O3+(INDEX('Price History'!O:O,MATCH(9.99E+307,'Price History'!$A:$A))-'Price History'!O3)*(ROW()-3)/(MATCH(9.99E+307,'Returns (Calc)'!$A:$A)-3),"")</f>
        <v>19.21</v>
      </c>
      <c r="AK109" s="145" t="n">
        <f aca="false">IFERROR('Price History'!Q3+(INDEX('Price History'!Q:Q,MATCH(9.99E+307,'Price History'!$A:$A))-'Price History'!Q3)*(ROW()-3)/(MATCH(9.99E+307,'Returns (Calc)'!$A:$A)-3),"")</f>
        <v>78.5433333333333</v>
      </c>
      <c r="AL109" s="145" t="n">
        <f aca="false">IFERROR('Price History'!R3+(INDEX('Price History'!R:R,MATCH(9.99E+307,'Price History'!$A:$A))-'Price History'!R3)*(ROW()-3)/(MATCH(9.99E+307,'Returns (Calc)'!$A:$A)-3),"")</f>
        <v>15.94</v>
      </c>
      <c r="AM109" s="145" t="n">
        <f aca="false">IFERROR('Price History'!S3+(INDEX('Price History'!S:S,MATCH(9.99E+307,'Price History'!$A:$A))-'Price History'!S3)*(ROW()-3)/(MATCH(9.99E+307,'Returns (Calc)'!$A:$A)-3),"")</f>
        <v>19.5133333333333</v>
      </c>
      <c r="AN109" s="145" t="n">
        <f aca="false">IFERROR('Price History'!T3+(INDEX('Price History'!T:T,MATCH(9.99E+307,'Price History'!$A:$A))-'Price History'!T3)*(ROW()-3)/(MATCH(9.99E+307,'Returns (Calc)'!$A:$A)-3),"")</f>
        <v>8.97</v>
      </c>
      <c r="AO109" s="146" t="n">
        <f aca="false">IFERROR('Price History'!V3+(INDEX('Price History'!V:V,MATCH(9.99E+307,'Price History'!$A:$A))-'Price History'!V3)*(ROW()-3)/(MATCH(9.99E+307,'Returns (Calc)'!$A:$A)-3),"")</f>
        <v>0</v>
      </c>
    </row>
    <row r="110" customFormat="false" ht="15" hidden="false" customHeight="true" outlineLevel="0" collapsed="false">
      <c r="A110" s="142" t="n">
        <f aca="false">IF('Price History'!A111="","",'Price History'!A111)</f>
        <v>45940</v>
      </c>
      <c r="B110" s="143" t="n">
        <f aca="false">IFERROR(IF(OR(NOT(ISNUMBER('Price History'!B111)),NOT(ISNUMBER('Price History'!B110)),'Price History'!B110=0),"",'Price History'!B111/'Price History'!B110-1),"")</f>
        <v>-0.026619368979639</v>
      </c>
      <c r="C110" s="143" t="n">
        <f aca="false">IFERROR(IF(OR(NOT(ISNUMBER('Price History'!C111)),NOT(ISNUMBER('Price History'!C110)),'Price History'!C110=0),"",'Price History'!C111/'Price History'!C110-1),"")</f>
        <v>0.059106529209622</v>
      </c>
      <c r="D110" s="143" t="n">
        <f aca="false">IFERROR(IF(OR(NOT(ISNUMBER('Price History'!D111)),NOT(ISNUMBER('Price History'!D110)),'Price History'!D110=0),"",'Price History'!D111/'Price History'!D110-1),"")</f>
        <v>-0.0930402644640995</v>
      </c>
      <c r="E110" s="143" t="n">
        <f aca="false">IFERROR(IF(OR(NOT(ISNUMBER('Price History'!E111)),NOT(ISNUMBER('Price History'!E110)),'Price History'!E110=0),"",'Price History'!E111/'Price History'!E110-1),"")</f>
        <v>-0.040610950665436</v>
      </c>
      <c r="F110" s="143" t="n">
        <f aca="false">IFERROR(IF(OR(NOT(ISNUMBER('Price History'!F111)),NOT(ISNUMBER('Price History'!F110)),'Price History'!F110=0),"",'Price History'!F111/'Price History'!F110-1),"")</f>
        <v>-0.054353296426774</v>
      </c>
      <c r="G110" s="143" t="n">
        <f aca="false">IFERROR(IF(OR(NOT(ISNUMBER('Price History'!G111)),NOT(ISNUMBER('Price History'!G110)),'Price History'!G110=0),"",'Price History'!G111/'Price History'!G110-1),"")</f>
        <v>0.00775700171470573</v>
      </c>
      <c r="H110" s="143" t="n">
        <f aca="false">IFERROR(IF(OR(NOT(ISNUMBER('Price History'!H111)),NOT(ISNUMBER('Price History'!H110)),'Price History'!H110=0),"",'Price History'!H111/'Price History'!H110-1),"")</f>
        <v>-0.0345900571676677</v>
      </c>
      <c r="I110" s="143" t="n">
        <f aca="false">IFERROR(IF(OR(NOT(ISNUMBER('Price History'!I111)),NOT(ISNUMBER('Price History'!I110)),'Price History'!I110=0),"",'Price History'!I111/'Price History'!I110-1),"")</f>
        <v>-0.107794815626141</v>
      </c>
      <c r="J110" s="143" t="n">
        <f aca="false">IFERROR(IF(OR(NOT(ISNUMBER('Price History'!J111)),NOT(ISNUMBER('Price History'!J110)),'Price History'!J110=0),"",'Price History'!J111/'Price History'!J110-1),"")</f>
        <v>-0.0332001065814016</v>
      </c>
      <c r="K110" s="143" t="n">
        <f aca="false">IFERROR(IF(OR(NOT(ISNUMBER('Price History'!K111)),NOT(ISNUMBER('Price History'!K110)),'Price History'!K110=0),"",'Price History'!K111/'Price History'!K110-1),"")</f>
        <v>-0.0237751776459902</v>
      </c>
      <c r="L110" s="143" t="n">
        <f aca="false">IFERROR(IF(OR(NOT(ISNUMBER('Price History'!L111)),NOT(ISNUMBER('Price History'!L110)),'Price History'!L110=0),"",'Price History'!L111/'Price History'!L110-1),"")</f>
        <v>-0.0498678414096916</v>
      </c>
      <c r="M110" s="143" t="n">
        <f aca="false">IFERROR(IF(OR(NOT(ISNUMBER('Price History'!M111)),NOT(ISNUMBER('Price History'!M110)),'Price History'!M110=0),"",'Price History'!M111/'Price History'!M110-1),"")</f>
        <v>0.0136938810885769</v>
      </c>
      <c r="N110" s="143" t="n">
        <f aca="false">IFERROR(IF(OR(NOT(ISNUMBER('Price History'!N111)),NOT(ISNUMBER('Price History'!N110)),'Price History'!N110=0),"",'Price History'!N111/'Price History'!N110-1),"")</f>
        <v>-0.0317220543806647</v>
      </c>
      <c r="O110" s="143" t="n">
        <f aca="false">IFERROR(IF(OR(NOT(ISNUMBER('Price History'!O111)),NOT(ISNUMBER('Price History'!O110)),'Price History'!O110=0),"",'Price History'!O111/'Price History'!O110-1),"")</f>
        <v>-0.0131844138394356</v>
      </c>
      <c r="P110" s="143" t="n">
        <f aca="false">IFERROR(IF(OR(NOT(ISNUMBER('Price History'!P111)),NOT(ISNUMBER('Price History'!P110)),'Price History'!P110=0),"",'Price History'!P111/'Price History'!P110-1),"")</f>
        <v>-0.0394632172379206</v>
      </c>
      <c r="Q110" s="143" t="n">
        <f aca="false">IFERROR(IF(OR(NOT(ISNUMBER('Price History'!Q111)),NOT(ISNUMBER('Price History'!Q110)),'Price History'!Q110=0),"",'Price History'!Q111/'Price History'!Q110-1),"")</f>
        <v>-0.0176914654526594</v>
      </c>
      <c r="R110" s="143" t="n">
        <f aca="false">IFERROR(IF(OR(NOT(ISNUMBER('Price History'!R111)),NOT(ISNUMBER('Price History'!R110)),'Price History'!R110=0),"",'Price History'!R111/'Price History'!R110-1),"")</f>
        <v>0.00179597701149437</v>
      </c>
      <c r="S110" s="143" t="n">
        <f aca="false">IFERROR(IF(OR(NOT(ISNUMBER('Price History'!S111)),NOT(ISNUMBER('Price History'!S110)),'Price History'!S110=0),"",'Price History'!S111/'Price History'!S110-1),"")</f>
        <v>0.0048935439560438</v>
      </c>
      <c r="T110" s="143" t="n">
        <f aca="false">IFERROR(IF(OR(NOT(ISNUMBER('Price History'!T111)),NOT(ISNUMBER('Price History'!T110)),'Price History'!T110=0),"",'Price History'!T111/'Price History'!T110-1),"")</f>
        <v>0.00750066970265206</v>
      </c>
      <c r="U110" s="143" t="str">
        <f aca="false">IFERROR(IF(OR(NOT(ISNUMBER('Price History'!U111)),NOT(ISNUMBER('Price History'!U110)),'Price History'!U110=0),"",'Price History'!U111/'Price History'!U110-1),"")</f>
        <v/>
      </c>
      <c r="V110" s="144" t="n">
        <f aca="false">IFERROR(IF(OR(NOT(ISNUMBER('Price History'!V111)),NOT(ISNUMBER('Price History'!V110)),'Price History'!V110=0),"",'Price History'!V111/'Price History'!V110-1),"")</f>
        <v>-0.0243273446230551</v>
      </c>
      <c r="W110" s="145" t="str">
        <f aca="false">IFERROR('Price History'!B3+(INDEX('Price History'!B:B,MATCH(9.99E+307,'Price History'!$A:$A))-'Price History'!B3)*(ROW()-3)/(MATCH(9.99E+307,'Returns (Calc)'!$A:$A)-3),"")</f>
        <v/>
      </c>
      <c r="X110" s="145" t="n">
        <f aca="false">IFERROR('Price History'!C3+(INDEX('Price History'!C:C,MATCH(9.99E+307,'Price History'!$A:$A))-'Price History'!C3)*(ROW()-3)/(MATCH(9.99E+307,'Returns (Calc)'!$A:$A)-3),"")</f>
        <v>15.102893081761</v>
      </c>
      <c r="Y110" s="145" t="n">
        <f aca="false">IFERROR('Price History'!D3+(INDEX('Price History'!D:D,MATCH(9.99E+307,'Price History'!$A:$A))-'Price History'!D3)*(ROW()-3)/(MATCH(9.99E+307,'Returns (Calc)'!$A:$A)-3),"")</f>
        <v>190.342893081761</v>
      </c>
      <c r="Z110" s="145" t="n">
        <f aca="false">IFERROR('Price History'!E3+(INDEX('Price History'!E:E,MATCH(9.99E+307,'Price History'!$A:$A))-'Price History'!E3)*(ROW()-3)/(MATCH(9.99E+307,'Returns (Calc)'!$A:$A)-3),"")</f>
        <v>26.8176100628931</v>
      </c>
      <c r="AA110" s="145" t="n">
        <f aca="false">IFERROR('Price History'!F3+(INDEX('Price History'!F:F,MATCH(9.99E+307,'Price History'!$A:$A))-'Price History'!F3)*(ROW()-3)/(MATCH(9.99E+307,'Returns (Calc)'!$A:$A)-3),"")</f>
        <v>24.6296855345912</v>
      </c>
      <c r="AB110" s="145" t="n">
        <f aca="false">IFERROR('Price History'!G3+(INDEX('Price History'!G:G,MATCH(9.99E+307,'Price History'!$A:$A))-'Price History'!G3)*(ROW()-3)/(MATCH(9.99E+307,'Returns (Calc)'!$A:$A)-3),"")</f>
        <v>13.5265408805031</v>
      </c>
      <c r="AC110" s="145" t="n">
        <f aca="false">IFERROR('Price History'!H3+(INDEX('Price History'!H:H,MATCH(9.99E+307,'Price History'!$A:$A))-'Price History'!H3)*(ROW()-3)/(MATCH(9.99E+307,'Returns (Calc)'!$A:$A)-3),"")</f>
        <v>32.897358490566</v>
      </c>
      <c r="AD110" s="145" t="n">
        <f aca="false">IFERROR('Price History'!I3+(INDEX('Price History'!I:I,MATCH(9.99E+307,'Price History'!$A:$A))-'Price History'!I3)*(ROW()-3)/(MATCH(9.99E+307,'Returns (Calc)'!$A:$A)-3),"")</f>
        <v>14.5044025157233</v>
      </c>
      <c r="AE110" s="145" t="n">
        <f aca="false">IFERROR('Price History'!J3+(INDEX('Price History'!J:J,MATCH(9.99E+307,'Price History'!$A:$A))-'Price History'!J3)*(ROW()-3)/(MATCH(9.99E+307,'Returns (Calc)'!$A:$A)-3),"")</f>
        <v>22.6020125786164</v>
      </c>
      <c r="AF110" s="145" t="n">
        <f aca="false">IFERROR('Price History'!K3+(INDEX('Price History'!K:K,MATCH(9.99E+307,'Price History'!$A:$A))-'Price History'!K3)*(ROW()-3)/(MATCH(9.99E+307,'Returns (Calc)'!$A:$A)-3),"")</f>
        <v>14.3147169811321</v>
      </c>
      <c r="AG110" s="145" t="n">
        <f aca="false">IFERROR('Price History'!L3+(INDEX('Price History'!L:L,MATCH(9.99E+307,'Price History'!$A:$A))-'Price History'!L3)*(ROW()-3)/(MATCH(9.99E+307,'Returns (Calc)'!$A:$A)-3),"")</f>
        <v>36.5766037735849</v>
      </c>
      <c r="AH110" s="145" t="n">
        <f aca="false">IFERROR('Price History'!M3+(INDEX('Price History'!M:M,MATCH(9.99E+307,'Price History'!$A:$A))-'Price History'!M3)*(ROW()-3)/(MATCH(9.99E+307,'Returns (Calc)'!$A:$A)-3),"")</f>
        <v>5.01358490566038</v>
      </c>
      <c r="AI110" s="145" t="n">
        <f aca="false">IFERROR('Price History'!N3+(INDEX('Price History'!N:N,MATCH(9.99E+307,'Price History'!$A:$A))-'Price History'!N3)*(ROW()-3)/(MATCH(9.99E+307,'Returns (Calc)'!$A:$A)-3),"")</f>
        <v>7.12955974842767</v>
      </c>
      <c r="AJ110" s="145" t="n">
        <f aca="false">IFERROR('Price History'!O3+(INDEX('Price History'!O:O,MATCH(9.99E+307,'Price History'!$A:$A))-'Price History'!O3)*(ROW()-3)/(MATCH(9.99E+307,'Returns (Calc)'!$A:$A)-3),"")</f>
        <v>18.8475471698113</v>
      </c>
      <c r="AK110" s="145" t="n">
        <f aca="false">IFERROR('Price History'!Q3+(INDEX('Price History'!Q:Q,MATCH(9.99E+307,'Price History'!$A:$A))-'Price History'!Q3)*(ROW()-3)/(MATCH(9.99E+307,'Returns (Calc)'!$A:$A)-3),"")</f>
        <v>77.0613836477988</v>
      </c>
      <c r="AL110" s="145" t="n">
        <f aca="false">IFERROR('Price History'!R3+(INDEX('Price History'!R:R,MATCH(9.99E+307,'Price History'!$A:$A))-'Price History'!R3)*(ROW()-3)/(MATCH(9.99E+307,'Returns (Calc)'!$A:$A)-3),"")</f>
        <v>15.6392452830189</v>
      </c>
      <c r="AM110" s="145" t="n">
        <f aca="false">IFERROR('Price History'!S3+(INDEX('Price History'!S:S,MATCH(9.99E+307,'Price History'!$A:$A))-'Price History'!S3)*(ROW()-3)/(MATCH(9.99E+307,'Returns (Calc)'!$A:$A)-3),"")</f>
        <v>19.1451572327044</v>
      </c>
      <c r="AN110" s="145" t="n">
        <f aca="false">IFERROR('Price History'!T3+(INDEX('Price History'!T:T,MATCH(9.99E+307,'Price History'!$A:$A))-'Price History'!T3)*(ROW()-3)/(MATCH(9.99E+307,'Returns (Calc)'!$A:$A)-3),"")</f>
        <v>8.80075471698113</v>
      </c>
      <c r="AO110" s="146" t="n">
        <f aca="false">IFERROR('Price History'!V3+(INDEX('Price History'!V:V,MATCH(9.99E+307,'Price History'!$A:$A))-'Price History'!V3)*(ROW()-3)/(MATCH(9.99E+307,'Returns (Calc)'!$A:$A)-3),"")</f>
        <v>0</v>
      </c>
    </row>
    <row r="111" customFormat="false" ht="15" hidden="false" customHeight="true" outlineLevel="0" collapsed="false">
      <c r="A111" s="142" t="n">
        <f aca="false">IF('Price History'!A112="","",'Price History'!A112)</f>
        <v>45947</v>
      </c>
      <c r="B111" s="143" t="n">
        <f aca="false">IFERROR(IF(OR(NOT(ISNUMBER('Price History'!B112)),NOT(ISNUMBER('Price History'!B111)),'Price History'!B111=0),"",'Price History'!B112/'Price History'!B111-1),"")</f>
        <v>-0.0125922194897929</v>
      </c>
      <c r="C111" s="143" t="n">
        <f aca="false">IFERROR(IF(OR(NOT(ISNUMBER('Price History'!C112)),NOT(ISNUMBER('Price History'!C111)),'Price History'!C111=0),"",'Price History'!C112/'Price History'!C111-1),"")</f>
        <v>-0.0713822193380922</v>
      </c>
      <c r="D111" s="143" t="n">
        <f aca="false">IFERROR(IF(OR(NOT(ISNUMBER('Price History'!D112)),NOT(ISNUMBER('Price History'!D111)),'Price History'!D111=0),"",'Price History'!D112/'Price History'!D111-1),"")</f>
        <v>0.0994236930950692</v>
      </c>
      <c r="E111" s="143" t="n">
        <f aca="false">IFERROR(IF(OR(NOT(ISNUMBER('Price History'!E112)),NOT(ISNUMBER('Price History'!E111)),'Price History'!E111=0),"",'Price History'!E112/'Price History'!E111-1),"")</f>
        <v>0.0760947149551563</v>
      </c>
      <c r="F111" s="143" t="n">
        <f aca="false">IFERROR(IF(OR(NOT(ISNUMBER('Price History'!F112)),NOT(ISNUMBER('Price History'!F111)),'Price History'!F111=0),"",'Price History'!F112/'Price History'!F111-1),"")</f>
        <v>0.0195848855774348</v>
      </c>
      <c r="G111" s="143" t="n">
        <f aca="false">IFERROR(IF(OR(NOT(ISNUMBER('Price History'!G112)),NOT(ISNUMBER('Price History'!G111)),'Price History'!G111=0),"",'Price History'!G112/'Price History'!G111-1),"")</f>
        <v>-0.0183114568141306</v>
      </c>
      <c r="H111" s="143" t="n">
        <f aca="false">IFERROR(IF(OR(NOT(ISNUMBER('Price History'!H112)),NOT(ISNUMBER('Price History'!H111)),'Price History'!H111=0),"",'Price History'!H112/'Price History'!H111-1),"")</f>
        <v>0.0146915523573945</v>
      </c>
      <c r="I111" s="143" t="n">
        <f aca="false">IFERROR(IF(OR(NOT(ISNUMBER('Price History'!I112)),NOT(ISNUMBER('Price History'!I111)),'Price History'!I111=0),"",'Price History'!I112/'Price History'!I111-1),"")</f>
        <v>0.126035805626598</v>
      </c>
      <c r="J111" s="143" t="n">
        <f aca="false">IFERROR(IF(OR(NOT(ISNUMBER('Price History'!J112)),NOT(ISNUMBER('Price History'!J111)),'Price History'!J111=0),"",'Price History'!J112/'Price History'!J111-1),"")</f>
        <v>0.114430603020615</v>
      </c>
      <c r="K111" s="143" t="n">
        <f aca="false">IFERROR(IF(OR(NOT(ISNUMBER('Price History'!K112)),NOT(ISNUMBER('Price History'!K111)),'Price History'!K111=0),"",'Price History'!K112/'Price History'!K111-1),"")</f>
        <v>0.00032837127845875</v>
      </c>
      <c r="L111" s="143" t="n">
        <f aca="false">IFERROR(IF(OR(NOT(ISNUMBER('Price History'!L112)),NOT(ISNUMBER('Price History'!L111)),'Price History'!L111=0),"",'Price History'!L112/'Price History'!L111-1),"")</f>
        <v>0.115541543026706</v>
      </c>
      <c r="M111" s="143" t="n">
        <f aca="false">IFERROR(IF(OR(NOT(ISNUMBER('Price History'!M112)),NOT(ISNUMBER('Price History'!M111)),'Price History'!M111=0),"",'Price History'!M112/'Price History'!M111-1),"")</f>
        <v>0.0154468764249887</v>
      </c>
      <c r="N111" s="143" t="n">
        <f aca="false">IFERROR(IF(OR(NOT(ISNUMBER('Price History'!N112)),NOT(ISNUMBER('Price History'!N111)),'Price History'!N111=0),"",'Price History'!N112/'Price History'!N111-1),"")</f>
        <v>0.00936037441497661</v>
      </c>
      <c r="O111" s="143" t="n">
        <f aca="false">IFERROR(IF(OR(NOT(ISNUMBER('Price History'!O112)),NOT(ISNUMBER('Price History'!O111)),'Price History'!O111=0),"",'Price History'!O112/'Price History'!O111-1),"")</f>
        <v>0.0161688366947492</v>
      </c>
      <c r="P111" s="143" t="n">
        <f aca="false">IFERROR(IF(OR(NOT(ISNUMBER('Price History'!P112)),NOT(ISNUMBER('Price History'!P111)),'Price History'!P111=0),"",'Price History'!P112/'Price History'!P111-1),"")</f>
        <v>0.0513826875990204</v>
      </c>
      <c r="Q111" s="143" t="n">
        <f aca="false">IFERROR(IF(OR(NOT(ISNUMBER('Price History'!Q112)),NOT(ISNUMBER('Price History'!Q111)),'Price History'!Q111=0),"",'Price History'!Q112/'Price History'!Q111-1),"")</f>
        <v>-0.00510383667722636</v>
      </c>
      <c r="R111" s="143" t="n">
        <f aca="false">IFERROR(IF(OR(NOT(ISNUMBER('Price History'!R112)),NOT(ISNUMBER('Price History'!R111)),'Price History'!R111=0),"",'Price History'!R112/'Price History'!R111-1),"")</f>
        <v>0.0136249551810685</v>
      </c>
      <c r="S111" s="143" t="n">
        <f aca="false">IFERROR(IF(OR(NOT(ISNUMBER('Price History'!S112)),NOT(ISNUMBER('Price History'!S111)),'Price History'!S111=0),"",'Price History'!S112/'Price History'!S111-1),"")</f>
        <v>0.0293037163605296</v>
      </c>
      <c r="T111" s="143" t="n">
        <f aca="false">IFERROR(IF(OR(NOT(ISNUMBER('Price History'!T112)),NOT(ISNUMBER('Price History'!T111)),'Price History'!T111=0),"",'Price History'!T112/'Price History'!T111-1),"")</f>
        <v>-0.00292475405477266</v>
      </c>
      <c r="U111" s="143" t="str">
        <f aca="false">IFERROR(IF(OR(NOT(ISNUMBER('Price History'!U112)),NOT(ISNUMBER('Price History'!U111)),'Price History'!U111=0),"",'Price History'!U112/'Price History'!U111-1),"")</f>
        <v/>
      </c>
      <c r="V111" s="144" t="n">
        <f aca="false">IFERROR(IF(OR(NOT(ISNUMBER('Price History'!V112)),NOT(ISNUMBER('Price History'!V111)),'Price History'!V111=0),"",'Price History'!V112/'Price History'!V111-1),"")</f>
        <v>-0.0110425844346549</v>
      </c>
      <c r="W111" s="145" t="str">
        <f aca="false">IFERROR('Price History'!B3+(INDEX('Price History'!B:B,MATCH(9.99E+307,'Price History'!$A:$A))-'Price History'!B3)*(ROW()-3)/(MATCH(9.99E+307,'Returns (Calc)'!$A:$A)-3),"")</f>
        <v/>
      </c>
      <c r="X111" s="145" t="n">
        <f aca="false">IFERROR('Price History'!C3+(INDEX('Price History'!C:C,MATCH(9.99E+307,'Price History'!$A:$A))-'Price History'!C3)*(ROW()-3)/(MATCH(9.99E+307,'Returns (Calc)'!$A:$A)-3),"")</f>
        <v>14.8124528301887</v>
      </c>
      <c r="Y111" s="145" t="n">
        <f aca="false">IFERROR('Price History'!D3+(INDEX('Price History'!D:D,MATCH(9.99E+307,'Price History'!$A:$A))-'Price History'!D3)*(ROW()-3)/(MATCH(9.99E+307,'Returns (Calc)'!$A:$A)-3),"")</f>
        <v>186.682452830189</v>
      </c>
      <c r="Z111" s="145" t="n">
        <f aca="false">IFERROR('Price History'!E3+(INDEX('Price History'!E:E,MATCH(9.99E+307,'Price History'!$A:$A))-'Price History'!E3)*(ROW()-3)/(MATCH(9.99E+307,'Returns (Calc)'!$A:$A)-3),"")</f>
        <v>26.3018867924528</v>
      </c>
      <c r="AA111" s="145" t="n">
        <f aca="false">IFERROR('Price History'!F3+(INDEX('Price History'!F:F,MATCH(9.99E+307,'Price History'!$A:$A))-'Price History'!F3)*(ROW()-3)/(MATCH(9.99E+307,'Returns (Calc)'!$A:$A)-3),"")</f>
        <v>24.1560377358491</v>
      </c>
      <c r="AB111" s="145" t="n">
        <f aca="false">IFERROR('Price History'!G3+(INDEX('Price History'!G:G,MATCH(9.99E+307,'Price History'!$A:$A))-'Price History'!G3)*(ROW()-3)/(MATCH(9.99E+307,'Returns (Calc)'!$A:$A)-3),"")</f>
        <v>13.2664150943396</v>
      </c>
      <c r="AC111" s="145" t="n">
        <f aca="false">IFERROR('Price History'!H3+(INDEX('Price History'!H:H,MATCH(9.99E+307,'Price History'!$A:$A))-'Price History'!H3)*(ROW()-3)/(MATCH(9.99E+307,'Returns (Calc)'!$A:$A)-3),"")</f>
        <v>32.2647169811321</v>
      </c>
      <c r="AD111" s="145" t="n">
        <f aca="false">IFERROR('Price History'!I3+(INDEX('Price History'!I:I,MATCH(9.99E+307,'Price History'!$A:$A))-'Price History'!I3)*(ROW()-3)/(MATCH(9.99E+307,'Returns (Calc)'!$A:$A)-3),"")</f>
        <v>14.2254716981132</v>
      </c>
      <c r="AE111" s="145" t="n">
        <f aca="false">IFERROR('Price History'!J3+(INDEX('Price History'!J:J,MATCH(9.99E+307,'Price History'!$A:$A))-'Price History'!J3)*(ROW()-3)/(MATCH(9.99E+307,'Returns (Calc)'!$A:$A)-3),"")</f>
        <v>22.167358490566</v>
      </c>
      <c r="AF111" s="145" t="n">
        <f aca="false">IFERROR('Price History'!K3+(INDEX('Price History'!K:K,MATCH(9.99E+307,'Price History'!$A:$A))-'Price History'!K3)*(ROW()-3)/(MATCH(9.99E+307,'Returns (Calc)'!$A:$A)-3),"")</f>
        <v>14.0394339622641</v>
      </c>
      <c r="AG111" s="145" t="n">
        <f aca="false">IFERROR('Price History'!L3+(INDEX('Price History'!L:L,MATCH(9.99E+307,'Price History'!$A:$A))-'Price History'!L3)*(ROW()-3)/(MATCH(9.99E+307,'Returns (Calc)'!$A:$A)-3),"")</f>
        <v>35.8732075471698</v>
      </c>
      <c r="AH111" s="145" t="n">
        <f aca="false">IFERROR('Price History'!M3+(INDEX('Price History'!M:M,MATCH(9.99E+307,'Price History'!$A:$A))-'Price History'!M3)*(ROW()-3)/(MATCH(9.99E+307,'Returns (Calc)'!$A:$A)-3),"")</f>
        <v>4.91716981132075</v>
      </c>
      <c r="AI111" s="145" t="n">
        <f aca="false">IFERROR('Price History'!N3+(INDEX('Price History'!N:N,MATCH(9.99E+307,'Price History'!$A:$A))-'Price History'!N3)*(ROW()-3)/(MATCH(9.99E+307,'Returns (Calc)'!$A:$A)-3),"")</f>
        <v>6.99245283018868</v>
      </c>
      <c r="AJ111" s="145" t="n">
        <f aca="false">IFERROR('Price History'!O3+(INDEX('Price History'!O:O,MATCH(9.99E+307,'Price History'!$A:$A))-'Price History'!O3)*(ROW()-3)/(MATCH(9.99E+307,'Returns (Calc)'!$A:$A)-3),"")</f>
        <v>18.4850943396226</v>
      </c>
      <c r="AK111" s="145" t="n">
        <f aca="false">IFERROR('Price History'!Q3+(INDEX('Price History'!Q:Q,MATCH(9.99E+307,'Price History'!$A:$A))-'Price History'!Q3)*(ROW()-3)/(MATCH(9.99E+307,'Returns (Calc)'!$A:$A)-3),"")</f>
        <v>75.5794339622642</v>
      </c>
      <c r="AL111" s="145" t="n">
        <f aca="false">IFERROR('Price History'!R3+(INDEX('Price History'!R:R,MATCH(9.99E+307,'Price History'!$A:$A))-'Price History'!R3)*(ROW()-3)/(MATCH(9.99E+307,'Returns (Calc)'!$A:$A)-3),"")</f>
        <v>15.3384905660377</v>
      </c>
      <c r="AM111" s="145" t="n">
        <f aca="false">IFERROR('Price History'!S3+(INDEX('Price History'!S:S,MATCH(9.99E+307,'Price History'!$A:$A))-'Price History'!S3)*(ROW()-3)/(MATCH(9.99E+307,'Returns (Calc)'!$A:$A)-3),"")</f>
        <v>18.7769811320755</v>
      </c>
      <c r="AN111" s="145" t="n">
        <f aca="false">IFERROR('Price History'!T3+(INDEX('Price History'!T:T,MATCH(9.99E+307,'Price History'!$A:$A))-'Price History'!T3)*(ROW()-3)/(MATCH(9.99E+307,'Returns (Calc)'!$A:$A)-3),"")</f>
        <v>8.63150943396227</v>
      </c>
      <c r="AO111" s="146" t="n">
        <f aca="false">IFERROR('Price History'!V3+(INDEX('Price History'!V:V,MATCH(9.99E+307,'Price History'!$A:$A))-'Price History'!V3)*(ROW()-3)/(MATCH(9.99E+307,'Returns (Calc)'!$A:$A)-3),"")</f>
        <v>0</v>
      </c>
    </row>
    <row r="112" customFormat="false" ht="15" hidden="false" customHeight="true" outlineLevel="0" collapsed="false">
      <c r="A112" s="142" t="n">
        <f aca="false">IF('Price History'!A113="","",'Price History'!A113)</f>
        <v>45954</v>
      </c>
      <c r="B112" s="143" t="n">
        <f aca="false">IFERROR(IF(OR(NOT(ISNUMBER('Price History'!B113)),NOT(ISNUMBER('Price History'!B112)),'Price History'!B112=0),"",'Price History'!B113/'Price History'!B112-1),"")</f>
        <v>0.0607933745423992</v>
      </c>
      <c r="C112" s="143" t="n">
        <f aca="false">IFERROR(IF(OR(NOT(ISNUMBER('Price History'!C113)),NOT(ISNUMBER('Price History'!C112)),'Price History'!C112=0),"",'Price History'!C113/'Price History'!C112-1),"")</f>
        <v>0.0749126484975542</v>
      </c>
      <c r="D112" s="143" t="n">
        <f aca="false">IFERROR(IF(OR(NOT(ISNUMBER('Price History'!D113)),NOT(ISNUMBER('Price History'!D112)),'Price History'!D112=0),"",'Price History'!D113/'Price History'!D112-1),"")</f>
        <v>0.00372605204737253</v>
      </c>
      <c r="E112" s="143" t="n">
        <f aca="false">IFERROR(IF(OR(NOT(ISNUMBER('Price History'!E113)),NOT(ISNUMBER('Price History'!E112)),'Price History'!E112=0),"",'Price History'!E113/'Price History'!E112-1),"")</f>
        <v>0.0137563085796684</v>
      </c>
      <c r="F112" s="143" t="n">
        <f aca="false">IFERROR(IF(OR(NOT(ISNUMBER('Price History'!F113)),NOT(ISNUMBER('Price History'!F112)),'Price History'!F112=0),"",'Price History'!F113/'Price History'!F112-1),"")</f>
        <v>0.0294393986846226</v>
      </c>
      <c r="G112" s="143" t="n">
        <f aca="false">IFERROR(IF(OR(NOT(ISNUMBER('Price History'!G113)),NOT(ISNUMBER('Price History'!G112)),'Price History'!G112=0),"",'Price History'!G113/'Price History'!G112-1),"")</f>
        <v>0.0880653681082868</v>
      </c>
      <c r="H112" s="143" t="n">
        <f aca="false">IFERROR(IF(OR(NOT(ISNUMBER('Price History'!H113)),NOT(ISNUMBER('Price History'!H112)),'Price History'!H112=0),"",'Price History'!H113/'Price History'!H112-1),"")</f>
        <v>0.0169904705621629</v>
      </c>
      <c r="I112" s="143" t="n">
        <f aca="false">IFERROR(IF(OR(NOT(ISNUMBER('Price History'!I113)),NOT(ISNUMBER('Price History'!I112)),'Price History'!I112=0),"",'Price History'!I113/'Price History'!I112-1),"")</f>
        <v>0.0688652675570094</v>
      </c>
      <c r="J112" s="143" t="n">
        <f aca="false">IFERROR(IF(OR(NOT(ISNUMBER('Price History'!J113)),NOT(ISNUMBER('Price History'!J112)),'Price History'!J112=0),"",'Price History'!J113/'Price History'!J112-1),"")</f>
        <v>0.082253437530913</v>
      </c>
      <c r="K112" s="143" t="n">
        <f aca="false">IFERROR(IF(OR(NOT(ISNUMBER('Price History'!K113)),NOT(ISNUMBER('Price History'!K112)),'Price History'!K112=0),"",'Price History'!K113/'Price History'!K112-1),"")</f>
        <v>0.0165773060509902</v>
      </c>
      <c r="L112" s="143" t="n">
        <f aca="false">IFERROR(IF(OR(NOT(ISNUMBER('Price History'!L113)),NOT(ISNUMBER('Price History'!L112)),'Price History'!L112=0),"",'Price History'!L113/'Price History'!L112-1),"")</f>
        <v>0.0189526184538653</v>
      </c>
      <c r="M112" s="143" t="n">
        <f aca="false">IFERROR(IF(OR(NOT(ISNUMBER('Price History'!M113)),NOT(ISNUMBER('Price History'!M112)),'Price History'!M112=0),"",'Price History'!M113/'Price History'!M112-1),"")</f>
        <v>0.0363738422677518</v>
      </c>
      <c r="N112" s="143" t="n">
        <f aca="false">IFERROR(IF(OR(NOT(ISNUMBER('Price History'!N113)),NOT(ISNUMBER('Price History'!N112)),'Price History'!N112=0),"",'Price History'!N113/'Price History'!N112-1),"")</f>
        <v>0.00888717156105101</v>
      </c>
      <c r="O112" s="143" t="n">
        <f aca="false">IFERROR(IF(OR(NOT(ISNUMBER('Price History'!O113)),NOT(ISNUMBER('Price History'!O112)),'Price History'!O112=0),"",'Price History'!O113/'Price History'!O112-1),"")</f>
        <v>0.0107193702369985</v>
      </c>
      <c r="P112" s="143" t="n">
        <f aca="false">IFERROR(IF(OR(NOT(ISNUMBER('Price History'!P113)),NOT(ISNUMBER('Price History'!P112)),'Price History'!P112=0),"",'Price History'!P113/'Price History'!P112-1),"")</f>
        <v>-0.000410972978526658</v>
      </c>
      <c r="Q112" s="143" t="n">
        <f aca="false">IFERROR(IF(OR(NOT(ISNUMBER('Price History'!Q113)),NOT(ISNUMBER('Price History'!Q112)),'Price History'!Q112=0),"",'Price History'!Q113/'Price History'!Q112-1),"")</f>
        <v>0.0160386815260334</v>
      </c>
      <c r="R112" s="143" t="n">
        <f aca="false">IFERROR(IF(OR(NOT(ISNUMBER('Price History'!R113)),NOT(ISNUMBER('Price History'!R112)),'Price History'!R112=0),"",'Price History'!R113/'Price History'!R112-1),"")</f>
        <v>0.0109656880084896</v>
      </c>
      <c r="S112" s="143" t="n">
        <f aca="false">IFERROR(IF(OR(NOT(ISNUMBER('Price History'!S113)),NOT(ISNUMBER('Price History'!S112)),'Price History'!S112=0),"",'Price History'!S113/'Price History'!S112-1),"")</f>
        <v>0.0120351925630811</v>
      </c>
      <c r="T112" s="143" t="n">
        <f aca="false">IFERROR(IF(OR(NOT(ISNUMBER('Price History'!T113)),NOT(ISNUMBER('Price History'!T112)),'Price History'!T112=0),"",'Price History'!T113/'Price History'!T112-1),"")</f>
        <v>-0.0013333333333333</v>
      </c>
      <c r="U112" s="143" t="str">
        <f aca="false">IFERROR(IF(OR(NOT(ISNUMBER('Price History'!U113)),NOT(ISNUMBER('Price History'!U112)),'Price History'!U112=0),"",'Price History'!U113/'Price History'!U112-1),"")</f>
        <v/>
      </c>
      <c r="V112" s="144" t="n">
        <f aca="false">IFERROR(IF(OR(NOT(ISNUMBER('Price History'!V113)),NOT(ISNUMBER('Price History'!V112)),'Price History'!V112=0),"",'Price History'!V113/'Price History'!V112-1),"")</f>
        <v>0.00641444437845218</v>
      </c>
      <c r="W112" s="145" t="str">
        <f aca="false">IFERROR('Price History'!B3+(INDEX('Price History'!B:B,MATCH(9.99E+307,'Price History'!$A:$A))-'Price History'!B3)*(ROW()-3)/(MATCH(9.99E+307,'Returns (Calc)'!$A:$A)-3),"")</f>
        <v/>
      </c>
      <c r="X112" s="145" t="n">
        <f aca="false">IFERROR('Price History'!C3+(INDEX('Price History'!C:C,MATCH(9.99E+307,'Price History'!$A:$A))-'Price History'!C3)*(ROW()-3)/(MATCH(9.99E+307,'Returns (Calc)'!$A:$A)-3),"")</f>
        <v>14.5220125786164</v>
      </c>
      <c r="Y112" s="145" t="n">
        <f aca="false">IFERROR('Price History'!D3+(INDEX('Price History'!D:D,MATCH(9.99E+307,'Price History'!$A:$A))-'Price History'!D3)*(ROW()-3)/(MATCH(9.99E+307,'Returns (Calc)'!$A:$A)-3),"")</f>
        <v>183.022012578616</v>
      </c>
      <c r="Z112" s="145" t="n">
        <f aca="false">IFERROR('Price History'!E3+(INDEX('Price History'!E:E,MATCH(9.99E+307,'Price History'!$A:$A))-'Price History'!E3)*(ROW()-3)/(MATCH(9.99E+307,'Returns (Calc)'!$A:$A)-3),"")</f>
        <v>25.7861635220126</v>
      </c>
      <c r="AA112" s="145" t="n">
        <f aca="false">IFERROR('Price History'!F3+(INDEX('Price History'!F:F,MATCH(9.99E+307,'Price History'!$A:$A))-'Price History'!F3)*(ROW()-3)/(MATCH(9.99E+307,'Returns (Calc)'!$A:$A)-3),"")</f>
        <v>23.6823899371069</v>
      </c>
      <c r="AB112" s="145" t="n">
        <f aca="false">IFERROR('Price History'!G3+(INDEX('Price History'!G:G,MATCH(9.99E+307,'Price History'!$A:$A))-'Price History'!G3)*(ROW()-3)/(MATCH(9.99E+307,'Returns (Calc)'!$A:$A)-3),"")</f>
        <v>13.0062893081761</v>
      </c>
      <c r="AC112" s="145" t="n">
        <f aca="false">IFERROR('Price History'!H3+(INDEX('Price History'!H:H,MATCH(9.99E+307,'Price History'!$A:$A))-'Price History'!H3)*(ROW()-3)/(MATCH(9.99E+307,'Returns (Calc)'!$A:$A)-3),"")</f>
        <v>31.6320754716981</v>
      </c>
      <c r="AD112" s="145" t="n">
        <f aca="false">IFERROR('Price History'!I3+(INDEX('Price History'!I:I,MATCH(9.99E+307,'Price History'!$A:$A))-'Price History'!I3)*(ROW()-3)/(MATCH(9.99E+307,'Returns (Calc)'!$A:$A)-3),"")</f>
        <v>13.9465408805031</v>
      </c>
      <c r="AE112" s="145" t="n">
        <f aca="false">IFERROR('Price History'!J3+(INDEX('Price History'!J:J,MATCH(9.99E+307,'Price History'!$A:$A))-'Price History'!J3)*(ROW()-3)/(MATCH(9.99E+307,'Returns (Calc)'!$A:$A)-3),"")</f>
        <v>21.7327044025157</v>
      </c>
      <c r="AF112" s="145" t="n">
        <f aca="false">IFERROR('Price History'!K3+(INDEX('Price History'!K:K,MATCH(9.99E+307,'Price History'!$A:$A))-'Price History'!K3)*(ROW()-3)/(MATCH(9.99E+307,'Returns (Calc)'!$A:$A)-3),"")</f>
        <v>13.7641509433962</v>
      </c>
      <c r="AG112" s="145" t="n">
        <f aca="false">IFERROR('Price History'!L3+(INDEX('Price History'!L:L,MATCH(9.99E+307,'Price History'!$A:$A))-'Price History'!L3)*(ROW()-3)/(MATCH(9.99E+307,'Returns (Calc)'!$A:$A)-3),"")</f>
        <v>35.1698113207547</v>
      </c>
      <c r="AH112" s="145" t="n">
        <f aca="false">IFERROR('Price History'!M3+(INDEX('Price History'!M:M,MATCH(9.99E+307,'Price History'!$A:$A))-'Price History'!M3)*(ROW()-3)/(MATCH(9.99E+307,'Returns (Calc)'!$A:$A)-3),"")</f>
        <v>4.82075471698113</v>
      </c>
      <c r="AI112" s="145" t="n">
        <f aca="false">IFERROR('Price History'!N3+(INDEX('Price History'!N:N,MATCH(9.99E+307,'Price History'!$A:$A))-'Price History'!N3)*(ROW()-3)/(MATCH(9.99E+307,'Returns (Calc)'!$A:$A)-3),"")</f>
        <v>6.85534591194969</v>
      </c>
      <c r="AJ112" s="145" t="n">
        <f aca="false">IFERROR('Price History'!O3+(INDEX('Price History'!O:O,MATCH(9.99E+307,'Price History'!$A:$A))-'Price History'!O3)*(ROW()-3)/(MATCH(9.99E+307,'Returns (Calc)'!$A:$A)-3),"")</f>
        <v>18.122641509434</v>
      </c>
      <c r="AK112" s="145" t="n">
        <f aca="false">IFERROR('Price History'!Q3+(INDEX('Price History'!Q:Q,MATCH(9.99E+307,'Price History'!$A:$A))-'Price History'!Q3)*(ROW()-3)/(MATCH(9.99E+307,'Returns (Calc)'!$A:$A)-3),"")</f>
        <v>74.0974842767296</v>
      </c>
      <c r="AL112" s="145" t="n">
        <f aca="false">IFERROR('Price History'!R3+(INDEX('Price History'!R:R,MATCH(9.99E+307,'Price History'!$A:$A))-'Price History'!R3)*(ROW()-3)/(MATCH(9.99E+307,'Returns (Calc)'!$A:$A)-3),"")</f>
        <v>15.0377358490566</v>
      </c>
      <c r="AM112" s="145" t="n">
        <f aca="false">IFERROR('Price History'!S3+(INDEX('Price History'!S:S,MATCH(9.99E+307,'Price History'!$A:$A))-'Price History'!S3)*(ROW()-3)/(MATCH(9.99E+307,'Returns (Calc)'!$A:$A)-3),"")</f>
        <v>18.4088050314465</v>
      </c>
      <c r="AN112" s="145" t="n">
        <f aca="false">IFERROR('Price History'!T3+(INDEX('Price History'!T:T,MATCH(9.99E+307,'Price History'!$A:$A))-'Price History'!T3)*(ROW()-3)/(MATCH(9.99E+307,'Returns (Calc)'!$A:$A)-3),"")</f>
        <v>8.4622641509434</v>
      </c>
      <c r="AO112" s="146" t="n">
        <f aca="false">IFERROR('Price History'!V3+(INDEX('Price History'!V:V,MATCH(9.99E+307,'Price History'!$A:$A))-'Price History'!V3)*(ROW()-3)/(MATCH(9.99E+307,'Returns (Calc)'!$A:$A)-3),"")</f>
        <v>0</v>
      </c>
    </row>
    <row r="113" customFormat="false" ht="15" hidden="false" customHeight="true" outlineLevel="0" collapsed="false">
      <c r="A113" s="142" t="n">
        <f aca="false">IF('Price History'!A114="","",'Price History'!A114)</f>
        <v>45961</v>
      </c>
      <c r="B113" s="143" t="n">
        <f aca="false">IFERROR(IF(OR(NOT(ISNUMBER('Price History'!B114)),NOT(ISNUMBER('Price History'!B113)),'Price History'!B113=0),"",'Price History'!B114/'Price History'!B113-1),"")</f>
        <v>-0.037367051369088</v>
      </c>
      <c r="C113" s="143" t="n">
        <f aca="false">IFERROR(IF(OR(NOT(ISNUMBER('Price History'!C114)),NOT(ISNUMBER('Price History'!C113)),'Price History'!C113=0),"",'Price History'!C114/'Price History'!C113-1),"")</f>
        <v>0.0251592770771032</v>
      </c>
      <c r="D113" s="143" t="n">
        <f aca="false">IFERROR(IF(OR(NOT(ISNUMBER('Price History'!D114)),NOT(ISNUMBER('Price History'!D113)),'Price History'!D113=0),"",'Price History'!D114/'Price History'!D113-1),"")</f>
        <v>0.0271157706023346</v>
      </c>
      <c r="E113" s="143" t="n">
        <f aca="false">IFERROR(IF(OR(NOT(ISNUMBER('Price History'!E114)),NOT(ISNUMBER('Price History'!E113)),'Price History'!E113=0),"",'Price History'!E114/'Price History'!E113-1),"")</f>
        <v>0.0437528447883477</v>
      </c>
      <c r="F113" s="143" t="n">
        <f aca="false">IFERROR(IF(OR(NOT(ISNUMBER('Price History'!F114)),NOT(ISNUMBER('Price History'!F113)),'Price History'!F113=0),"",'Price History'!F114/'Price History'!F113-1),"")</f>
        <v>-0.021194605009634</v>
      </c>
      <c r="G113" s="143" t="n">
        <f aca="false">IFERROR(IF(OR(NOT(ISNUMBER('Price History'!G114)),NOT(ISNUMBER('Price History'!G113)),'Price History'!G113=0),"",'Price History'!G114/'Price History'!G113-1),"")</f>
        <v>0.029735265114162</v>
      </c>
      <c r="H113" s="143" t="n">
        <f aca="false">IFERROR(IF(OR(NOT(ISNUMBER('Price History'!H114)),NOT(ISNUMBER('Price History'!H113)),'Price History'!H113=0),"",'Price History'!H114/'Price History'!H113-1),"")</f>
        <v>-0.0238250889808963</v>
      </c>
      <c r="I113" s="143" t="n">
        <f aca="false">IFERROR(IF(OR(NOT(ISNUMBER('Price History'!I114)),NOT(ISNUMBER('Price History'!I113)),'Price History'!I113=0),"",'Price History'!I114/'Price History'!I113-1),"")</f>
        <v>0.0219294517637059</v>
      </c>
      <c r="J113" s="143" t="n">
        <f aca="false">IFERROR(IF(OR(NOT(ISNUMBER('Price History'!J114)),NOT(ISNUMBER('Price History'!J113)),'Price History'!J113=0),"",'Price History'!J114/'Price History'!J113-1),"")</f>
        <v>0.0216626296787168</v>
      </c>
      <c r="K113" s="143" t="n">
        <f aca="false">IFERROR(IF(OR(NOT(ISNUMBER('Price History'!K114)),NOT(ISNUMBER('Price History'!K113)),'Price History'!K113=0),"",'Price History'!K114/'Price History'!K113-1),"")</f>
        <v>0.0871858349927344</v>
      </c>
      <c r="L113" s="143" t="n">
        <f aca="false">IFERROR(IF(OR(NOT(ISNUMBER('Price History'!L114)),NOT(ISNUMBER('Price History'!L113)),'Price History'!L113=0),"",'Price History'!L114/'Price History'!L113-1),"")</f>
        <v>-0.0185185185185185</v>
      </c>
      <c r="M113" s="143" t="n">
        <f aca="false">IFERROR(IF(OR(NOT(ISNUMBER('Price History'!M114)),NOT(ISNUMBER('Price History'!M113)),'Price History'!M113=0),"",'Price History'!M114/'Price History'!M113-1),"")</f>
        <v>0.0857932080376971</v>
      </c>
      <c r="N113" s="143" t="n">
        <f aca="false">IFERROR(IF(OR(NOT(ISNUMBER('Price History'!N114)),NOT(ISNUMBER('Price History'!N113)),'Price History'!N113=0),"",'Price History'!N114/'Price History'!N113-1),"")</f>
        <v>-0.0103408655687476</v>
      </c>
      <c r="O113" s="143" t="n">
        <f aca="false">IFERROR(IF(OR(NOT(ISNUMBER('Price History'!O114)),NOT(ISNUMBER('Price History'!O113)),'Price History'!O113=0),"",'Price History'!O114/'Price History'!O113-1),"")</f>
        <v>-8.28569061230855E-005</v>
      </c>
      <c r="P113" s="143" t="n">
        <f aca="false">IFERROR(IF(OR(NOT(ISNUMBER('Price History'!P114)),NOT(ISNUMBER('Price History'!P113)),'Price History'!P113=0),"",'Price History'!P114/'Price History'!P113-1),"")</f>
        <v>0.0185356494329667</v>
      </c>
      <c r="Q113" s="143" t="n">
        <f aca="false">IFERROR(IF(OR(NOT(ISNUMBER('Price History'!Q114)),NOT(ISNUMBER('Price History'!Q113)),'Price History'!Q113=0),"",'Price History'!Q114/'Price History'!Q113-1),"")</f>
        <v>-0.0190934942835587</v>
      </c>
      <c r="R113" s="143" t="n">
        <f aca="false">IFERROR(IF(OR(NOT(ISNUMBER('Price History'!R114)),NOT(ISNUMBER('Price History'!R113)),'Price History'!R113=0),"",'Price History'!R114/'Price History'!R113-1),"")</f>
        <v>0.00157452764170762</v>
      </c>
      <c r="S113" s="143" t="n">
        <f aca="false">IFERROR(IF(OR(NOT(ISNUMBER('Price History'!S114)),NOT(ISNUMBER('Price History'!S113)),'Price History'!S113=0),"",'Price History'!S114/'Price History'!S113-1),"")</f>
        <v>-0.0110719265152137</v>
      </c>
      <c r="T113" s="143" t="n">
        <f aca="false">IFERROR(IF(OR(NOT(ISNUMBER('Price History'!T114)),NOT(ISNUMBER('Price History'!T113)),'Price History'!T113=0),"",'Price History'!T114/'Price History'!T113-1),"")</f>
        <v>0.0077436582109478</v>
      </c>
      <c r="U113" s="143" t="str">
        <f aca="false">IFERROR(IF(OR(NOT(ISNUMBER('Price History'!U114)),NOT(ISNUMBER('Price History'!U113)),'Price History'!U113=0),"",'Price History'!U114/'Price History'!U113-1),"")</f>
        <v/>
      </c>
      <c r="V113" s="144" t="n">
        <f aca="false">IFERROR(IF(OR(NOT(ISNUMBER('Price History'!V114)),NOT(ISNUMBER('Price History'!V113)),'Price History'!V113=0),"",'Price History'!V114/'Price History'!V113-1),"")</f>
        <v>-0.0124225435231631</v>
      </c>
      <c r="W113" s="145" t="str">
        <f aca="false">IFERROR('Price History'!B3+(INDEX('Price History'!B:B,MATCH(9.99E+307,'Price History'!$A:$A))-'Price History'!B3)*(ROW()-3)/(MATCH(9.99E+307,'Returns (Calc)'!$A:$A)-3),"")</f>
        <v/>
      </c>
      <c r="X113" s="145" t="n">
        <f aca="false">IFERROR('Price History'!C3+(INDEX('Price History'!C:C,MATCH(9.99E+307,'Price History'!$A:$A))-'Price History'!C3)*(ROW()-3)/(MATCH(9.99E+307,'Returns (Calc)'!$A:$A)-3),"")</f>
        <v>14.231572327044</v>
      </c>
      <c r="Y113" s="145" t="n">
        <f aca="false">IFERROR('Price History'!D3+(INDEX('Price History'!D:D,MATCH(9.99E+307,'Price History'!$A:$A))-'Price History'!D3)*(ROW()-3)/(MATCH(9.99E+307,'Returns (Calc)'!$A:$A)-3),"")</f>
        <v>179.361572327044</v>
      </c>
      <c r="Z113" s="145" t="n">
        <f aca="false">IFERROR('Price History'!E3+(INDEX('Price History'!E:E,MATCH(9.99E+307,'Price History'!$A:$A))-'Price History'!E3)*(ROW()-3)/(MATCH(9.99E+307,'Returns (Calc)'!$A:$A)-3),"")</f>
        <v>25.2704402515723</v>
      </c>
      <c r="AA113" s="145" t="n">
        <f aca="false">IFERROR('Price History'!F3+(INDEX('Price History'!F:F,MATCH(9.99E+307,'Price History'!$A:$A))-'Price History'!F3)*(ROW()-3)/(MATCH(9.99E+307,'Returns (Calc)'!$A:$A)-3),"")</f>
        <v>23.2087421383648</v>
      </c>
      <c r="AB113" s="145" t="n">
        <f aca="false">IFERROR('Price History'!G3+(INDEX('Price History'!G:G,MATCH(9.99E+307,'Price History'!$A:$A))-'Price History'!G3)*(ROW()-3)/(MATCH(9.99E+307,'Returns (Calc)'!$A:$A)-3),"")</f>
        <v>12.7461635220126</v>
      </c>
      <c r="AC113" s="145" t="n">
        <f aca="false">IFERROR('Price History'!H3+(INDEX('Price History'!H:H,MATCH(9.99E+307,'Price History'!$A:$A))-'Price History'!H3)*(ROW()-3)/(MATCH(9.99E+307,'Returns (Calc)'!$A:$A)-3),"")</f>
        <v>30.9994339622642</v>
      </c>
      <c r="AD113" s="145" t="n">
        <f aca="false">IFERROR('Price History'!I3+(INDEX('Price History'!I:I,MATCH(9.99E+307,'Price History'!$A:$A))-'Price History'!I3)*(ROW()-3)/(MATCH(9.99E+307,'Returns (Calc)'!$A:$A)-3),"")</f>
        <v>13.6676100628931</v>
      </c>
      <c r="AE113" s="145" t="n">
        <f aca="false">IFERROR('Price History'!J3+(INDEX('Price History'!J:J,MATCH(9.99E+307,'Price History'!$A:$A))-'Price History'!J3)*(ROW()-3)/(MATCH(9.99E+307,'Returns (Calc)'!$A:$A)-3),"")</f>
        <v>21.2980503144654</v>
      </c>
      <c r="AF113" s="145" t="n">
        <f aca="false">IFERROR('Price History'!K3+(INDEX('Price History'!K:K,MATCH(9.99E+307,'Price History'!$A:$A))-'Price History'!K3)*(ROW()-3)/(MATCH(9.99E+307,'Returns (Calc)'!$A:$A)-3),"")</f>
        <v>13.4888679245283</v>
      </c>
      <c r="AG113" s="145" t="n">
        <f aca="false">IFERROR('Price History'!L3+(INDEX('Price History'!L:L,MATCH(9.99E+307,'Price History'!$A:$A))-'Price History'!L3)*(ROW()-3)/(MATCH(9.99E+307,'Returns (Calc)'!$A:$A)-3),"")</f>
        <v>34.4664150943396</v>
      </c>
      <c r="AH113" s="145" t="n">
        <f aca="false">IFERROR('Price History'!M3+(INDEX('Price History'!M:M,MATCH(9.99E+307,'Price History'!$A:$A))-'Price History'!M3)*(ROW()-3)/(MATCH(9.99E+307,'Returns (Calc)'!$A:$A)-3),"")</f>
        <v>4.72433962264151</v>
      </c>
      <c r="AI113" s="145" t="n">
        <f aca="false">IFERROR('Price History'!N3+(INDEX('Price History'!N:N,MATCH(9.99E+307,'Price History'!$A:$A))-'Price History'!N3)*(ROW()-3)/(MATCH(9.99E+307,'Returns (Calc)'!$A:$A)-3),"")</f>
        <v>6.71823899371069</v>
      </c>
      <c r="AJ113" s="145" t="n">
        <f aca="false">IFERROR('Price History'!O3+(INDEX('Price History'!O:O,MATCH(9.99E+307,'Price History'!$A:$A))-'Price History'!O3)*(ROW()-3)/(MATCH(9.99E+307,'Returns (Calc)'!$A:$A)-3),"")</f>
        <v>17.7601886792453</v>
      </c>
      <c r="AK113" s="145" t="n">
        <f aca="false">IFERROR('Price History'!Q3+(INDEX('Price History'!Q:Q,MATCH(9.99E+307,'Price History'!$A:$A))-'Price History'!Q3)*(ROW()-3)/(MATCH(9.99E+307,'Returns (Calc)'!$A:$A)-3),"")</f>
        <v>72.615534591195</v>
      </c>
      <c r="AL113" s="145" t="n">
        <f aca="false">IFERROR('Price History'!R3+(INDEX('Price History'!R:R,MATCH(9.99E+307,'Price History'!$A:$A))-'Price History'!R3)*(ROW()-3)/(MATCH(9.99E+307,'Returns (Calc)'!$A:$A)-3),"")</f>
        <v>14.7369811320755</v>
      </c>
      <c r="AM113" s="145" t="n">
        <f aca="false">IFERROR('Price History'!S3+(INDEX('Price History'!S:S,MATCH(9.99E+307,'Price History'!$A:$A))-'Price History'!S3)*(ROW()-3)/(MATCH(9.99E+307,'Returns (Calc)'!$A:$A)-3),"")</f>
        <v>18.0406289308176</v>
      </c>
      <c r="AN113" s="145" t="n">
        <f aca="false">IFERROR('Price History'!T3+(INDEX('Price History'!T:T,MATCH(9.99E+307,'Price History'!$A:$A))-'Price History'!T3)*(ROW()-3)/(MATCH(9.99E+307,'Returns (Calc)'!$A:$A)-3),"")</f>
        <v>8.29301886792453</v>
      </c>
      <c r="AO113" s="146" t="n">
        <f aca="false">IFERROR('Price History'!V3+(INDEX('Price History'!V:V,MATCH(9.99E+307,'Price History'!$A:$A))-'Price History'!V3)*(ROW()-3)/(MATCH(9.99E+307,'Returns (Calc)'!$A:$A)-3),"")</f>
        <v>0</v>
      </c>
    </row>
    <row r="114" customFormat="false" ht="15" hidden="false" customHeight="true" outlineLevel="0" collapsed="false">
      <c r="A114" s="142" t="n">
        <f aca="false">IF('Price History'!A115="","",'Price History'!A115)</f>
        <v>45968</v>
      </c>
      <c r="B114" s="143" t="n">
        <f aca="false">IFERROR(IF(OR(NOT(ISNUMBER('Price History'!B115)),NOT(ISNUMBER('Price History'!B114)),'Price History'!B114=0),"",'Price History'!B115/'Price History'!B114-1),"")</f>
        <v>-0.0392583232934678</v>
      </c>
      <c r="C114" s="143" t="n">
        <f aca="false">IFERROR(IF(OR(NOT(ISNUMBER('Price History'!C115)),NOT(ISNUMBER('Price History'!C114)),'Price History'!C114=0),"",'Price History'!C115/'Price History'!C114-1),"")</f>
        <v>-0.146109455260321</v>
      </c>
      <c r="D114" s="143" t="n">
        <f aca="false">IFERROR(IF(OR(NOT(ISNUMBER('Price History'!D115)),NOT(ISNUMBER('Price History'!D114)),'Price History'!D114=0),"",'Price History'!D115/'Price History'!D114-1),"")</f>
        <v>-0.0399081742034018</v>
      </c>
      <c r="E114" s="143" t="n">
        <f aca="false">IFERROR(IF(OR(NOT(ISNUMBER('Price History'!E115)),NOT(ISNUMBER('Price History'!E114)),'Price History'!E114=0),"",'Price History'!E115/'Price History'!E114-1),"")</f>
        <v>-0.0546470427909511</v>
      </c>
      <c r="F114" s="143" t="n">
        <f aca="false">IFERROR(IF(OR(NOT(ISNUMBER('Price History'!F115)),NOT(ISNUMBER('Price History'!F114)),'Price History'!F114=0),"",'Price History'!F115/'Price History'!F114-1),"")</f>
        <v>-0.000621632822213059</v>
      </c>
      <c r="G114" s="143" t="n">
        <f aca="false">IFERROR(IF(OR(NOT(ISNUMBER('Price History'!G115)),NOT(ISNUMBER('Price History'!G114)),'Price History'!G114=0),"",'Price History'!G115/'Price History'!G114-1),"")</f>
        <v>-0.00589318600368327</v>
      </c>
      <c r="H114" s="143" t="n">
        <f aca="false">IFERROR(IF(OR(NOT(ISNUMBER('Price History'!H115)),NOT(ISNUMBER('Price History'!H114)),'Price History'!H114=0),"",'Price History'!H115/'Price History'!H114-1),"")</f>
        <v>0.00744102983852968</v>
      </c>
      <c r="I114" s="143" t="n">
        <f aca="false">IFERROR(IF(OR(NOT(ISNUMBER('Price History'!I115)),NOT(ISNUMBER('Price History'!I114)),'Price History'!I114=0),"",'Price History'!I115/'Price History'!I114-1),"")</f>
        <v>-0.0127256092489395</v>
      </c>
      <c r="J114" s="143" t="n">
        <f aca="false">IFERROR(IF(OR(NOT(ISNUMBER('Price History'!J115)),NOT(ISNUMBER('Price History'!J114)),'Price History'!J114=0),"",'Price History'!J115/'Price History'!J114-1),"")</f>
        <v>0.0632520688883917</v>
      </c>
      <c r="K114" s="143" t="n">
        <f aca="false">IFERROR(IF(OR(NOT(ISNUMBER('Price History'!K115)),NOT(ISNUMBER('Price History'!K114)),'Price History'!K114=0),"",'Price History'!K115/'Price History'!K114-1),"")</f>
        <v>-0.0708380773229048</v>
      </c>
      <c r="L114" s="143" t="n">
        <f aca="false">IFERROR(IF(OR(NOT(ISNUMBER('Price History'!L115)),NOT(ISNUMBER('Price History'!L114)),'Price History'!L114=0),"",'Price History'!L115/'Price History'!L114-1),"")</f>
        <v>0.012218435707755</v>
      </c>
      <c r="M114" s="143" t="n">
        <f aca="false">IFERROR(IF(OR(NOT(ISNUMBER('Price History'!M115)),NOT(ISNUMBER('Price History'!M114)),'Price History'!M114=0),"",'Price History'!M115/'Price History'!M114-1),"")</f>
        <v>-0.112435775926573</v>
      </c>
      <c r="N114" s="143" t="n">
        <f aca="false">IFERROR(IF(OR(NOT(ISNUMBER('Price History'!N115)),NOT(ISNUMBER('Price History'!N114)),'Price History'!N114=0),"",'Price History'!N115/'Price History'!N114-1),"")</f>
        <v>-0.00116099071207432</v>
      </c>
      <c r="O114" s="143" t="n">
        <f aca="false">IFERROR(IF(OR(NOT(ISNUMBER('Price History'!O115)),NOT(ISNUMBER('Price History'!O114)),'Price History'!O114=0),"",'Price History'!O115/'Price History'!O114-1),"")</f>
        <v>-0.0260192243950945</v>
      </c>
      <c r="P114" s="143" t="n">
        <f aca="false">IFERROR(IF(OR(NOT(ISNUMBER('Price History'!P115)),NOT(ISNUMBER('Price History'!P114)),'Price History'!P114=0),"",'Price History'!P115/'Price History'!P114-1),"")</f>
        <v>-0.046353606027987</v>
      </c>
      <c r="Q114" s="143" t="n">
        <f aca="false">IFERROR(IF(OR(NOT(ISNUMBER('Price History'!Q115)),NOT(ISNUMBER('Price History'!Q114)),'Price History'!Q114=0),"",'Price History'!Q115/'Price History'!Q114-1),"")</f>
        <v>-0.0138740977399124</v>
      </c>
      <c r="R114" s="143" t="n">
        <f aca="false">IFERROR(IF(OR(NOT(ISNUMBER('Price History'!R115)),NOT(ISNUMBER('Price History'!R114)),'Price History'!R114=0),"",'Price History'!R115/'Price History'!R114-1),"")</f>
        <v>0.00052401746724895</v>
      </c>
      <c r="S114" s="143" t="n">
        <f aca="false">IFERROR(IF(OR(NOT(ISNUMBER('Price History'!S115)),NOT(ISNUMBER('Price History'!S114)),'Price History'!S114=0),"",'Price History'!S115/'Price History'!S114-1),"")</f>
        <v>-0.00406369215458613</v>
      </c>
      <c r="T114" s="143" t="n">
        <f aca="false">IFERROR(IF(OR(NOT(ISNUMBER('Price History'!T115)),NOT(ISNUMBER('Price History'!T114)),'Price History'!T114=0),"",'Price History'!T115/'Price History'!T114-1),"")</f>
        <v>0.00344462109167987</v>
      </c>
      <c r="U114" s="143" t="str">
        <f aca="false">IFERROR(IF(OR(NOT(ISNUMBER('Price History'!U115)),NOT(ISNUMBER('Price History'!U114)),'Price History'!U114=0),"",'Price History'!U115/'Price History'!U114-1),"")</f>
        <v/>
      </c>
      <c r="V114" s="144" t="n">
        <f aca="false">IFERROR(IF(OR(NOT(ISNUMBER('Price History'!V115)),NOT(ISNUMBER('Price History'!V114)),'Price History'!V114=0),"",'Price History'!V115/'Price History'!V114-1),"")</f>
        <v>0.0369595745316562</v>
      </c>
      <c r="W114" s="145" t="str">
        <f aca="false">IFERROR('Price History'!B3+(INDEX('Price History'!B:B,MATCH(9.99E+307,'Price History'!$A:$A))-'Price History'!B3)*(ROW()-3)/(MATCH(9.99E+307,'Returns (Calc)'!$A:$A)-3),"")</f>
        <v/>
      </c>
      <c r="X114" s="145" t="n">
        <f aca="false">IFERROR('Price History'!C3+(INDEX('Price History'!C:C,MATCH(9.99E+307,'Price History'!$A:$A))-'Price History'!C3)*(ROW()-3)/(MATCH(9.99E+307,'Returns (Calc)'!$A:$A)-3),"")</f>
        <v>13.9411320754717</v>
      </c>
      <c r="Y114" s="145" t="n">
        <f aca="false">IFERROR('Price History'!D3+(INDEX('Price History'!D:D,MATCH(9.99E+307,'Price History'!$A:$A))-'Price History'!D3)*(ROW()-3)/(MATCH(9.99E+307,'Returns (Calc)'!$A:$A)-3),"")</f>
        <v>175.701132075472</v>
      </c>
      <c r="Z114" s="145" t="n">
        <f aca="false">IFERROR('Price History'!E3+(INDEX('Price History'!E:E,MATCH(9.99E+307,'Price History'!$A:$A))-'Price History'!E3)*(ROW()-3)/(MATCH(9.99E+307,'Returns (Calc)'!$A:$A)-3),"")</f>
        <v>24.7547169811321</v>
      </c>
      <c r="AA114" s="145" t="n">
        <f aca="false">IFERROR('Price History'!F3+(INDEX('Price History'!F:F,MATCH(9.99E+307,'Price History'!$A:$A))-'Price History'!F3)*(ROW()-3)/(MATCH(9.99E+307,'Returns (Calc)'!$A:$A)-3),"")</f>
        <v>22.7350943396226</v>
      </c>
      <c r="AB114" s="145" t="n">
        <f aca="false">IFERROR('Price History'!G3+(INDEX('Price History'!G:G,MATCH(9.99E+307,'Price History'!$A:$A))-'Price History'!G3)*(ROW()-3)/(MATCH(9.99E+307,'Returns (Calc)'!$A:$A)-3),"")</f>
        <v>12.4860377358491</v>
      </c>
      <c r="AC114" s="145" t="n">
        <f aca="false">IFERROR('Price History'!H3+(INDEX('Price History'!H:H,MATCH(9.99E+307,'Price History'!$A:$A))-'Price History'!H3)*(ROW()-3)/(MATCH(9.99E+307,'Returns (Calc)'!$A:$A)-3),"")</f>
        <v>30.3667924528302</v>
      </c>
      <c r="AD114" s="145" t="n">
        <f aca="false">IFERROR('Price History'!I3+(INDEX('Price History'!I:I,MATCH(9.99E+307,'Price History'!$A:$A))-'Price History'!I3)*(ROW()-3)/(MATCH(9.99E+307,'Returns (Calc)'!$A:$A)-3),"")</f>
        <v>13.388679245283</v>
      </c>
      <c r="AE114" s="145" t="n">
        <f aca="false">IFERROR('Price History'!J3+(INDEX('Price History'!J:J,MATCH(9.99E+307,'Price History'!$A:$A))-'Price History'!J3)*(ROW()-3)/(MATCH(9.99E+307,'Returns (Calc)'!$A:$A)-3),"")</f>
        <v>20.8633962264151</v>
      </c>
      <c r="AF114" s="145" t="n">
        <f aca="false">IFERROR('Price History'!K3+(INDEX('Price History'!K:K,MATCH(9.99E+307,'Price History'!$A:$A))-'Price History'!K3)*(ROW()-3)/(MATCH(9.99E+307,'Returns (Calc)'!$A:$A)-3),"")</f>
        <v>13.2135849056604</v>
      </c>
      <c r="AG114" s="145" t="n">
        <f aca="false">IFERROR('Price History'!L3+(INDEX('Price History'!L:L,MATCH(9.99E+307,'Price History'!$A:$A))-'Price History'!L3)*(ROW()-3)/(MATCH(9.99E+307,'Returns (Calc)'!$A:$A)-3),"")</f>
        <v>33.7630188679245</v>
      </c>
      <c r="AH114" s="145" t="n">
        <f aca="false">IFERROR('Price History'!M3+(INDEX('Price History'!M:M,MATCH(9.99E+307,'Price History'!$A:$A))-'Price History'!M3)*(ROW()-3)/(MATCH(9.99E+307,'Returns (Calc)'!$A:$A)-3),"")</f>
        <v>4.62792452830189</v>
      </c>
      <c r="AI114" s="145" t="n">
        <f aca="false">IFERROR('Price History'!N3+(INDEX('Price History'!N:N,MATCH(9.99E+307,'Price History'!$A:$A))-'Price History'!N3)*(ROW()-3)/(MATCH(9.99E+307,'Returns (Calc)'!$A:$A)-3),"")</f>
        <v>6.5811320754717</v>
      </c>
      <c r="AJ114" s="145" t="n">
        <f aca="false">IFERROR('Price History'!O3+(INDEX('Price History'!O:O,MATCH(9.99E+307,'Price History'!$A:$A))-'Price History'!O3)*(ROW()-3)/(MATCH(9.99E+307,'Returns (Calc)'!$A:$A)-3),"")</f>
        <v>17.3977358490566</v>
      </c>
      <c r="AK114" s="145" t="n">
        <f aca="false">IFERROR('Price History'!Q3+(INDEX('Price History'!Q:Q,MATCH(9.99E+307,'Price History'!$A:$A))-'Price History'!Q3)*(ROW()-3)/(MATCH(9.99E+307,'Returns (Calc)'!$A:$A)-3),"")</f>
        <v>71.1335849056604</v>
      </c>
      <c r="AL114" s="145" t="n">
        <f aca="false">IFERROR('Price History'!R3+(INDEX('Price History'!R:R,MATCH(9.99E+307,'Price History'!$A:$A))-'Price History'!R3)*(ROW()-3)/(MATCH(9.99E+307,'Returns (Calc)'!$A:$A)-3),"")</f>
        <v>14.4362264150943</v>
      </c>
      <c r="AM114" s="145" t="n">
        <f aca="false">IFERROR('Price History'!S3+(INDEX('Price History'!S:S,MATCH(9.99E+307,'Price History'!$A:$A))-'Price History'!S3)*(ROW()-3)/(MATCH(9.99E+307,'Returns (Calc)'!$A:$A)-3),"")</f>
        <v>17.6724528301887</v>
      </c>
      <c r="AN114" s="145" t="n">
        <f aca="false">IFERROR('Price History'!T3+(INDEX('Price History'!T:T,MATCH(9.99E+307,'Price History'!$A:$A))-'Price History'!T3)*(ROW()-3)/(MATCH(9.99E+307,'Returns (Calc)'!$A:$A)-3),"")</f>
        <v>8.12377358490566</v>
      </c>
      <c r="AO114" s="146" t="n">
        <f aca="false">IFERROR('Price History'!V3+(INDEX('Price History'!V:V,MATCH(9.99E+307,'Price History'!$A:$A))-'Price History'!V3)*(ROW()-3)/(MATCH(9.99E+307,'Returns (Calc)'!$A:$A)-3),"")</f>
        <v>0</v>
      </c>
    </row>
    <row r="115" customFormat="false" ht="15" hidden="false" customHeight="true" outlineLevel="0" collapsed="false">
      <c r="A115" s="142" t="n">
        <f aca="false">IF('Price History'!A116="","",'Price History'!A116)</f>
        <v>45975</v>
      </c>
      <c r="B115" s="143" t="n">
        <f aca="false">IFERROR(IF(OR(NOT(ISNUMBER('Price History'!B116)),NOT(ISNUMBER('Price History'!B115)),'Price History'!B115=0),"",'Price History'!B116/'Price History'!B115-1),"")</f>
        <v>0.0127236580516898</v>
      </c>
      <c r="C115" s="143" t="n">
        <f aca="false">IFERROR(IF(OR(NOT(ISNUMBER('Price History'!C116)),NOT(ISNUMBER('Price History'!C115)),'Price History'!C115=0),"",'Price History'!C116/'Price History'!C115-1),"")</f>
        <v>-0.024359450427033</v>
      </c>
      <c r="D115" s="143" t="n">
        <f aca="false">IFERROR(IF(OR(NOT(ISNUMBER('Price History'!D116)),NOT(ISNUMBER('Price History'!D115)),'Price History'!D115=0),"",'Price History'!D116/'Price History'!D115-1),"")</f>
        <v>-0.00981128347001292</v>
      </c>
      <c r="E115" s="143" t="n">
        <f aca="false">IFERROR(IF(OR(NOT(ISNUMBER('Price History'!E116)),NOT(ISNUMBER('Price History'!E115)),'Price History'!E115=0),"",'Price History'!E116/'Price History'!E115-1),"")</f>
        <v>-0.0199509874585556</v>
      </c>
      <c r="F115" s="143" t="n">
        <f aca="false">IFERROR(IF(OR(NOT(ISNUMBER('Price History'!F116)),NOT(ISNUMBER('Price History'!F115)),'Price History'!F115=0),"",'Price History'!F116/'Price History'!F115-1),"")</f>
        <v>-0.00145137880986934</v>
      </c>
      <c r="G115" s="143" t="n">
        <f aca="false">IFERROR(IF(OR(NOT(ISNUMBER('Price History'!G116)),NOT(ISNUMBER('Price History'!G115)),'Price History'!G115=0),"",'Price History'!G116/'Price History'!G115-1),"")</f>
        <v>-0.00414968506854396</v>
      </c>
      <c r="H115" s="143" t="n">
        <f aca="false">IFERROR(IF(OR(NOT(ISNUMBER('Price History'!H116)),NOT(ISNUMBER('Price History'!H115)),'Price History'!H115=0),"",'Price History'!H116/'Price History'!H115-1),"")</f>
        <v>0.00310214934633302</v>
      </c>
      <c r="I115" s="143" t="n">
        <f aca="false">IFERROR(IF(OR(NOT(ISNUMBER('Price History'!I116)),NOT(ISNUMBER('Price History'!I115)),'Price History'!I115=0),"",'Price History'!I116/'Price History'!I115-1),"")</f>
        <v>-0.0495366470092672</v>
      </c>
      <c r="J115" s="143" t="n">
        <f aca="false">IFERROR(IF(OR(NOT(ISNUMBER('Price History'!J116)),NOT(ISNUMBER('Price History'!J115)),'Price History'!J115=0),"",'Price History'!J116/'Price History'!J115-1),"")</f>
        <v>0.0374437292271446</v>
      </c>
      <c r="K115" s="143" t="n">
        <f aca="false">IFERROR(IF(OR(NOT(ISNUMBER('Price History'!K116)),NOT(ISNUMBER('Price History'!K115)),'Price History'!K115=0),"",'Price History'!K116/'Price History'!K115-1),"")</f>
        <v>0.0107618540223762</v>
      </c>
      <c r="L115" s="143" t="n">
        <f aca="false">IFERROR(IF(OR(NOT(ISNUMBER('Price History'!L116)),NOT(ISNUMBER('Price History'!L115)),'Price History'!L115=0),"",'Price History'!L116/'Price History'!L115-1),"")</f>
        <v>-0.0220890129742157</v>
      </c>
      <c r="M115" s="143" t="n">
        <f aca="false">IFERROR(IF(OR(NOT(ISNUMBER('Price History'!M116)),NOT(ISNUMBER('Price History'!M115)),'Price History'!M115=0),"",'Price History'!M116/'Price History'!M115-1),"")</f>
        <v>-0.0220311358399371</v>
      </c>
      <c r="N115" s="143" t="n">
        <f aca="false">IFERROR(IF(OR(NOT(ISNUMBER('Price History'!N116)),NOT(ISNUMBER('Price History'!N115)),'Price History'!N115=0),"",'Price History'!N116/'Price History'!N115-1),"")</f>
        <v>0.0197597830298335</v>
      </c>
      <c r="O115" s="143" t="n">
        <f aca="false">IFERROR(IF(OR(NOT(ISNUMBER('Price History'!O116)),NOT(ISNUMBER('Price History'!O115)),'Price History'!O115=0),"",'Price History'!O116/'Price History'!O115-1),"")</f>
        <v>-0.00595541943168287</v>
      </c>
      <c r="P115" s="143" t="n">
        <f aca="false">IFERROR(IF(OR(NOT(ISNUMBER('Price History'!P116)),NOT(ISNUMBER('Price History'!P115)),'Price History'!P115=0),"",'Price History'!P116/'Price History'!P115-1),"")</f>
        <v>-0.0058553791887126</v>
      </c>
      <c r="Q115" s="143" t="n">
        <f aca="false">IFERROR(IF(OR(NOT(ISNUMBER('Price History'!Q116)),NOT(ISNUMBER('Price History'!Q115)),'Price History'!Q115=0),"",'Price History'!Q116/'Price History'!Q115-1),"")</f>
        <v>-0.0158992050397481</v>
      </c>
      <c r="R115" s="143" t="n">
        <f aca="false">IFERROR(IF(OR(NOT(ISNUMBER('Price History'!R116)),NOT(ISNUMBER('Price History'!R115)),'Price History'!R115=0),"",'Price History'!R116/'Price History'!R115-1),"")</f>
        <v>-0.0165851955307264</v>
      </c>
      <c r="S115" s="143" t="n">
        <f aca="false">IFERROR(IF(OR(NOT(ISNUMBER('Price History'!S116)),NOT(ISNUMBER('Price History'!S115)),'Price History'!S115=0),"",'Price History'!S116/'Price History'!S115-1),"")</f>
        <v>-0.0132400699475393</v>
      </c>
      <c r="T115" s="143" t="n">
        <f aca="false">IFERROR(IF(OR(NOT(ISNUMBER('Price History'!T116)),NOT(ISNUMBER('Price History'!T115)),'Price History'!T115=0),"",'Price History'!T116/'Price History'!T115-1),"")</f>
        <v>-0.0340639028254555</v>
      </c>
      <c r="U115" s="143" t="str">
        <f aca="false">IFERROR(IF(OR(NOT(ISNUMBER('Price History'!U116)),NOT(ISNUMBER('Price History'!U115)),'Price History'!U115=0),"",'Price History'!U116/'Price History'!U115-1),"")</f>
        <v/>
      </c>
      <c r="V115" s="144" t="n">
        <f aca="false">IFERROR(IF(OR(NOT(ISNUMBER('Price History'!V116)),NOT(ISNUMBER('Price History'!V115)),'Price History'!V115=0),"",'Price History'!V116/'Price History'!V115-1),"")</f>
        <v>-0.0176914654526594</v>
      </c>
      <c r="W115" s="145" t="str">
        <f aca="false">IFERROR('Price History'!B3+(INDEX('Price History'!B:B,MATCH(9.99E+307,'Price History'!$A:$A))-'Price History'!B3)*(ROW()-3)/(MATCH(9.99E+307,'Returns (Calc)'!$A:$A)-3),"")</f>
        <v/>
      </c>
      <c r="X115" s="145" t="n">
        <f aca="false">IFERROR('Price History'!C3+(INDEX('Price History'!C:C,MATCH(9.99E+307,'Price History'!$A:$A))-'Price History'!C3)*(ROW()-3)/(MATCH(9.99E+307,'Returns (Calc)'!$A:$A)-3),"")</f>
        <v>13.6506918238994</v>
      </c>
      <c r="Y115" s="145" t="n">
        <f aca="false">IFERROR('Price History'!D3+(INDEX('Price History'!D:D,MATCH(9.99E+307,'Price History'!$A:$A))-'Price History'!D3)*(ROW()-3)/(MATCH(9.99E+307,'Returns (Calc)'!$A:$A)-3),"")</f>
        <v>172.040691823899</v>
      </c>
      <c r="Z115" s="145" t="n">
        <f aca="false">IFERROR('Price History'!E3+(INDEX('Price History'!E:E,MATCH(9.99E+307,'Price History'!$A:$A))-'Price History'!E3)*(ROW()-3)/(MATCH(9.99E+307,'Returns (Calc)'!$A:$A)-3),"")</f>
        <v>24.2389937106918</v>
      </c>
      <c r="AA115" s="145" t="n">
        <f aca="false">IFERROR('Price History'!F3+(INDEX('Price History'!F:F,MATCH(9.99E+307,'Price History'!$A:$A))-'Price History'!F3)*(ROW()-3)/(MATCH(9.99E+307,'Returns (Calc)'!$A:$A)-3),"")</f>
        <v>22.2614465408805</v>
      </c>
      <c r="AB115" s="145" t="n">
        <f aca="false">IFERROR('Price History'!G3+(INDEX('Price History'!G:G,MATCH(9.99E+307,'Price History'!$A:$A))-'Price History'!G3)*(ROW()-3)/(MATCH(9.99E+307,'Returns (Calc)'!$A:$A)-3),"")</f>
        <v>12.2259119496855</v>
      </c>
      <c r="AC115" s="145" t="n">
        <f aca="false">IFERROR('Price History'!H3+(INDEX('Price History'!H:H,MATCH(9.99E+307,'Price History'!$A:$A))-'Price History'!H3)*(ROW()-3)/(MATCH(9.99E+307,'Returns (Calc)'!$A:$A)-3),"")</f>
        <v>29.7341509433962</v>
      </c>
      <c r="AD115" s="145" t="n">
        <f aca="false">IFERROR('Price History'!I3+(INDEX('Price History'!I:I,MATCH(9.99E+307,'Price History'!$A:$A))-'Price History'!I3)*(ROW()-3)/(MATCH(9.99E+307,'Returns (Calc)'!$A:$A)-3),"")</f>
        <v>13.109748427673</v>
      </c>
      <c r="AE115" s="145" t="n">
        <f aca="false">IFERROR('Price History'!J3+(INDEX('Price History'!J:J,MATCH(9.99E+307,'Price History'!$A:$A))-'Price History'!J3)*(ROW()-3)/(MATCH(9.99E+307,'Returns (Calc)'!$A:$A)-3),"")</f>
        <v>20.4287421383648</v>
      </c>
      <c r="AF115" s="145" t="n">
        <f aca="false">IFERROR('Price History'!K3+(INDEX('Price History'!K:K,MATCH(9.99E+307,'Price History'!$A:$A))-'Price History'!K3)*(ROW()-3)/(MATCH(9.99E+307,'Returns (Calc)'!$A:$A)-3),"")</f>
        <v>12.9383018867925</v>
      </c>
      <c r="AG115" s="145" t="n">
        <f aca="false">IFERROR('Price History'!L3+(INDEX('Price History'!L:L,MATCH(9.99E+307,'Price History'!$A:$A))-'Price History'!L3)*(ROW()-3)/(MATCH(9.99E+307,'Returns (Calc)'!$A:$A)-3),"")</f>
        <v>33.0596226415094</v>
      </c>
      <c r="AH115" s="145" t="n">
        <f aca="false">IFERROR('Price History'!M3+(INDEX('Price History'!M:M,MATCH(9.99E+307,'Price History'!$A:$A))-'Price History'!M3)*(ROW()-3)/(MATCH(9.99E+307,'Returns (Calc)'!$A:$A)-3),"")</f>
        <v>4.53150943396226</v>
      </c>
      <c r="AI115" s="145" t="n">
        <f aca="false">IFERROR('Price History'!N3+(INDEX('Price History'!N:N,MATCH(9.99E+307,'Price History'!$A:$A))-'Price History'!N3)*(ROW()-3)/(MATCH(9.99E+307,'Returns (Calc)'!$A:$A)-3),"")</f>
        <v>6.44402515723271</v>
      </c>
      <c r="AJ115" s="145" t="n">
        <f aca="false">IFERROR('Price History'!O3+(INDEX('Price History'!O:O,MATCH(9.99E+307,'Price History'!$A:$A))-'Price History'!O3)*(ROW()-3)/(MATCH(9.99E+307,'Returns (Calc)'!$A:$A)-3),"")</f>
        <v>17.0352830188679</v>
      </c>
      <c r="AK115" s="145" t="n">
        <f aca="false">IFERROR('Price History'!Q3+(INDEX('Price History'!Q:Q,MATCH(9.99E+307,'Price History'!$A:$A))-'Price History'!Q3)*(ROW()-3)/(MATCH(9.99E+307,'Returns (Calc)'!$A:$A)-3),"")</f>
        <v>69.6516352201258</v>
      </c>
      <c r="AL115" s="145" t="n">
        <f aca="false">IFERROR('Price History'!R3+(INDEX('Price History'!R:R,MATCH(9.99E+307,'Price History'!$A:$A))-'Price History'!R3)*(ROW()-3)/(MATCH(9.99E+307,'Returns (Calc)'!$A:$A)-3),"")</f>
        <v>14.1354716981132</v>
      </c>
      <c r="AM115" s="145" t="n">
        <f aca="false">IFERROR('Price History'!S3+(INDEX('Price History'!S:S,MATCH(9.99E+307,'Price History'!$A:$A))-'Price History'!S3)*(ROW()-3)/(MATCH(9.99E+307,'Returns (Calc)'!$A:$A)-3),"")</f>
        <v>17.3042767295598</v>
      </c>
      <c r="AN115" s="145" t="n">
        <f aca="false">IFERROR('Price History'!T3+(INDEX('Price History'!T:T,MATCH(9.99E+307,'Price History'!$A:$A))-'Price History'!T3)*(ROW()-3)/(MATCH(9.99E+307,'Returns (Calc)'!$A:$A)-3),"")</f>
        <v>7.95452830188679</v>
      </c>
      <c r="AO115" s="146" t="n">
        <f aca="false">IFERROR('Price History'!V3+(INDEX('Price History'!V:V,MATCH(9.99E+307,'Price History'!$A:$A))-'Price History'!V3)*(ROW()-3)/(MATCH(9.99E+307,'Returns (Calc)'!$A:$A)-3),"")</f>
        <v>0</v>
      </c>
    </row>
    <row r="116" customFormat="false" ht="15" hidden="false" customHeight="true" outlineLevel="0" collapsed="false">
      <c r="A116" s="142" t="n">
        <f aca="false">IF('Price History'!A117="","",'Price History'!A117)</f>
        <v>45982</v>
      </c>
      <c r="B116" s="143" t="n">
        <f aca="false">IFERROR(IF(OR(NOT(ISNUMBER('Price History'!B117)),NOT(ISNUMBER('Price History'!B116)),'Price History'!B116=0),"",'Price History'!B117/'Price History'!B116-1),"")</f>
        <v>-0.0208993989912718</v>
      </c>
      <c r="C116" s="143" t="n">
        <f aca="false">IFERROR(IF(OR(NOT(ISNUMBER('Price History'!C117)),NOT(ISNUMBER('Price History'!C116)),'Price History'!C116=0),"",'Price History'!C117/'Price History'!C116-1),"")</f>
        <v>-0.106112506660577</v>
      </c>
      <c r="D116" s="143" t="n">
        <f aca="false">IFERROR(IF(OR(NOT(ISNUMBER('Price History'!D117)),NOT(ISNUMBER('Price History'!D116)),'Price History'!D116=0),"",'Price History'!D117/'Price History'!D116-1),"")</f>
        <v>-0.0401329115818673</v>
      </c>
      <c r="E116" s="143" t="n">
        <f aca="false">IFERROR(IF(OR(NOT(ISNUMBER('Price History'!E117)),NOT(ISNUMBER('Price History'!E116)),'Price History'!E116=0),"",'Price History'!E117/'Price History'!E116-1),"")</f>
        <v>-0.00658959197481834</v>
      </c>
      <c r="F116" s="143" t="n">
        <f aca="false">IFERROR(IF(OR(NOT(ISNUMBER('Price History'!F117)),NOT(ISNUMBER('Price History'!F116)),'Price History'!F116=0),"",'Price History'!F117/'Price History'!F116-1),"")</f>
        <v>-0.00778654485049835</v>
      </c>
      <c r="G116" s="143" t="n">
        <f aca="false">IFERROR(IF(OR(NOT(ISNUMBER('Price History'!G117)),NOT(ISNUMBER('Price History'!G116)),'Price History'!G116=0),"",'Price History'!G117/'Price History'!G116-1),"")</f>
        <v>-0.0872088697075675</v>
      </c>
      <c r="H116" s="143" t="n">
        <f aca="false">IFERROR(IF(OR(NOT(ISNUMBER('Price History'!H117)),NOT(ISNUMBER('Price History'!H116)),'Price History'!H116=0),"",'Price History'!H117/'Price History'!H116-1),"")</f>
        <v>-0.00493336278624557</v>
      </c>
      <c r="I116" s="143" t="n">
        <f aca="false">IFERROR(IF(OR(NOT(ISNUMBER('Price History'!I117)),NOT(ISNUMBER('Price History'!I116)),'Price History'!I116=0),"",'Price History'!I117/'Price History'!I116-1),"")</f>
        <v>-0.0311115050522957</v>
      </c>
      <c r="J116" s="143" t="n">
        <f aca="false">IFERROR(IF(OR(NOT(ISNUMBER('Price History'!J117)),NOT(ISNUMBER('Price History'!J116)),'Price History'!J116=0),"",'Price History'!J117/'Price History'!J116-1),"")</f>
        <v>-0.159860497181556</v>
      </c>
      <c r="K116" s="143" t="n">
        <f aca="false">IFERROR(IF(OR(NOT(ISNUMBER('Price History'!K117)),NOT(ISNUMBER('Price History'!K116)),'Price History'!K116=0),"",'Price History'!K117/'Price History'!K116-1),"")</f>
        <v>-0.0594033312249631</v>
      </c>
      <c r="L116" s="143" t="n">
        <f aca="false">IFERROR(IF(OR(NOT(ISNUMBER('Price History'!L117)),NOT(ISNUMBER('Price History'!L116)),'Price History'!L116=0),"",'Price History'!L117/'Price History'!L116-1),"")</f>
        <v>0.0240994206062641</v>
      </c>
      <c r="M116" s="143" t="n">
        <f aca="false">IFERROR(IF(OR(NOT(ISNUMBER('Price History'!M117)),NOT(ISNUMBER('Price History'!M116)),'Price History'!M116=0),"",'Price History'!M117/'Price History'!M116-1),"")</f>
        <v>-0.110108614447446</v>
      </c>
      <c r="N116" s="143" t="n">
        <f aca="false">IFERROR(IF(OR(NOT(ISNUMBER('Price History'!N117)),NOT(ISNUMBER('Price History'!N116)),'Price History'!N116=0),"",'Price History'!N117/'Price History'!N116-1),"")</f>
        <v>-0.00531914893617025</v>
      </c>
      <c r="O116" s="143" t="n">
        <f aca="false">IFERROR(IF(OR(NOT(ISNUMBER('Price History'!O117)),NOT(ISNUMBER('Price History'!O116)),'Price History'!O116=0),"",'Price History'!O117/'Price History'!O116-1),"")</f>
        <v>-0.029955494693598</v>
      </c>
      <c r="P116" s="143" t="n">
        <f aca="false">IFERROR(IF(OR(NOT(ISNUMBER('Price History'!P117)),NOT(ISNUMBER('Price History'!P116)),'Price History'!P116=0),"",'Price History'!P117/'Price History'!P116-1),"")</f>
        <v>-0.0342747658245812</v>
      </c>
      <c r="Q116" s="143" t="n">
        <f aca="false">IFERROR(IF(OR(NOT(ISNUMBER('Price History'!Q117)),NOT(ISNUMBER('Price History'!Q116)),'Price History'!Q116=0),"",'Price History'!Q117/'Price History'!Q116-1),"")</f>
        <v>-0.00618808108520053</v>
      </c>
      <c r="R116" s="143" t="n">
        <f aca="false">IFERROR(IF(OR(NOT(ISNUMBER('Price History'!R117)),NOT(ISNUMBER('Price History'!R116)),'Price History'!R116=0),"",'Price History'!R117/'Price History'!R116-1),"")</f>
        <v>0.0204154091958104</v>
      </c>
      <c r="S116" s="143" t="n">
        <f aca="false">IFERROR(IF(OR(NOT(ISNUMBER('Price History'!S117)),NOT(ISNUMBER('Price History'!S116)),'Price History'!S116=0),"",'Price History'!S117/'Price History'!S116-1),"")</f>
        <v>0.0162025316455696</v>
      </c>
      <c r="T116" s="143" t="n">
        <f aca="false">IFERROR(IF(OR(NOT(ISNUMBER('Price History'!T117)),NOT(ISNUMBER('Price History'!T116)),'Price History'!T116=0),"",'Price History'!T117/'Price History'!T116-1),"")</f>
        <v>0.0139420448332424</v>
      </c>
      <c r="U116" s="143" t="str">
        <f aca="false">IFERROR(IF(OR(NOT(ISNUMBER('Price History'!U117)),NOT(ISNUMBER('Price History'!U116)),'Price History'!U116=0),"",'Price History'!U117/'Price History'!U116-1),"")</f>
        <v/>
      </c>
      <c r="V116" s="144" t="n">
        <f aca="false">IFERROR(IF(OR(NOT(ISNUMBER('Price History'!V117)),NOT(ISNUMBER('Price History'!V116)),'Price History'!V116=0),"",'Price History'!V117/'Price History'!V116-1),"")</f>
        <v>-0.00510383667722636</v>
      </c>
      <c r="W116" s="145" t="str">
        <f aca="false">IFERROR('Price History'!B3+(INDEX('Price History'!B:B,MATCH(9.99E+307,'Price History'!$A:$A))-'Price History'!B3)*(ROW()-3)/(MATCH(9.99E+307,'Returns (Calc)'!$A:$A)-3),"")</f>
        <v/>
      </c>
      <c r="X116" s="145" t="n">
        <f aca="false">IFERROR('Price History'!C3+(INDEX('Price History'!C:C,MATCH(9.99E+307,'Price History'!$A:$A))-'Price History'!C3)*(ROW()-3)/(MATCH(9.99E+307,'Returns (Calc)'!$A:$A)-3),"")</f>
        <v>13.360251572327</v>
      </c>
      <c r="Y116" s="145" t="n">
        <f aca="false">IFERROR('Price History'!D3+(INDEX('Price History'!D:D,MATCH(9.99E+307,'Price History'!$A:$A))-'Price History'!D3)*(ROW()-3)/(MATCH(9.99E+307,'Returns (Calc)'!$A:$A)-3),"")</f>
        <v>168.380251572327</v>
      </c>
      <c r="Z116" s="145" t="n">
        <f aca="false">IFERROR('Price History'!E3+(INDEX('Price History'!E:E,MATCH(9.99E+307,'Price History'!$A:$A))-'Price History'!E3)*(ROW()-3)/(MATCH(9.99E+307,'Returns (Calc)'!$A:$A)-3),"")</f>
        <v>23.7232704402516</v>
      </c>
      <c r="AA116" s="145" t="n">
        <f aca="false">IFERROR('Price History'!F3+(INDEX('Price History'!F:F,MATCH(9.99E+307,'Price History'!$A:$A))-'Price History'!F3)*(ROW()-3)/(MATCH(9.99E+307,'Returns (Calc)'!$A:$A)-3),"")</f>
        <v>21.7877987421384</v>
      </c>
      <c r="AB116" s="145" t="n">
        <f aca="false">IFERROR('Price History'!G3+(INDEX('Price History'!G:G,MATCH(9.99E+307,'Price History'!$A:$A))-'Price History'!G3)*(ROW()-3)/(MATCH(9.99E+307,'Returns (Calc)'!$A:$A)-3),"")</f>
        <v>11.965786163522</v>
      </c>
      <c r="AC116" s="145" t="n">
        <f aca="false">IFERROR('Price History'!H3+(INDEX('Price History'!H:H,MATCH(9.99E+307,'Price History'!$A:$A))-'Price History'!H3)*(ROW()-3)/(MATCH(9.99E+307,'Returns (Calc)'!$A:$A)-3),"")</f>
        <v>29.1015094339623</v>
      </c>
      <c r="AD116" s="145" t="n">
        <f aca="false">IFERROR('Price History'!I3+(INDEX('Price History'!I:I,MATCH(9.99E+307,'Price History'!$A:$A))-'Price History'!I3)*(ROW()-3)/(MATCH(9.99E+307,'Returns (Calc)'!$A:$A)-3),"")</f>
        <v>12.8308176100629</v>
      </c>
      <c r="AE116" s="145" t="n">
        <f aca="false">IFERROR('Price History'!J3+(INDEX('Price History'!J:J,MATCH(9.99E+307,'Price History'!$A:$A))-'Price History'!J3)*(ROW()-3)/(MATCH(9.99E+307,'Returns (Calc)'!$A:$A)-3),"")</f>
        <v>19.9940880503145</v>
      </c>
      <c r="AF116" s="145" t="n">
        <f aca="false">IFERROR('Price History'!K3+(INDEX('Price History'!K:K,MATCH(9.99E+307,'Price History'!$A:$A))-'Price History'!K3)*(ROW()-3)/(MATCH(9.99E+307,'Returns (Calc)'!$A:$A)-3),"")</f>
        <v>12.6630188679245</v>
      </c>
      <c r="AG116" s="145" t="n">
        <f aca="false">IFERROR('Price History'!L3+(INDEX('Price History'!L:L,MATCH(9.99E+307,'Price History'!$A:$A))-'Price History'!L3)*(ROW()-3)/(MATCH(9.99E+307,'Returns (Calc)'!$A:$A)-3),"")</f>
        <v>32.3562264150943</v>
      </c>
      <c r="AH116" s="145" t="n">
        <f aca="false">IFERROR('Price History'!M3+(INDEX('Price History'!M:M,MATCH(9.99E+307,'Price History'!$A:$A))-'Price History'!M3)*(ROW()-3)/(MATCH(9.99E+307,'Returns (Calc)'!$A:$A)-3),"")</f>
        <v>4.43509433962264</v>
      </c>
      <c r="AI116" s="145" t="n">
        <f aca="false">IFERROR('Price History'!N3+(INDEX('Price History'!N:N,MATCH(9.99E+307,'Price History'!$A:$A))-'Price History'!N3)*(ROW()-3)/(MATCH(9.99E+307,'Returns (Calc)'!$A:$A)-3),"")</f>
        <v>6.30691823899371</v>
      </c>
      <c r="AJ116" s="145" t="n">
        <f aca="false">IFERROR('Price History'!O3+(INDEX('Price History'!O:O,MATCH(9.99E+307,'Price History'!$A:$A))-'Price History'!O3)*(ROW()-3)/(MATCH(9.99E+307,'Returns (Calc)'!$A:$A)-3),"")</f>
        <v>16.6728301886792</v>
      </c>
      <c r="AK116" s="145" t="n">
        <f aca="false">IFERROR('Price History'!Q3+(INDEX('Price History'!Q:Q,MATCH(9.99E+307,'Price History'!$A:$A))-'Price History'!Q3)*(ROW()-3)/(MATCH(9.99E+307,'Returns (Calc)'!$A:$A)-3),"")</f>
        <v>68.1696855345912</v>
      </c>
      <c r="AL116" s="145" t="n">
        <f aca="false">IFERROR('Price History'!R3+(INDEX('Price History'!R:R,MATCH(9.99E+307,'Price History'!$A:$A))-'Price History'!R3)*(ROW()-3)/(MATCH(9.99E+307,'Returns (Calc)'!$A:$A)-3),"")</f>
        <v>13.8347169811321</v>
      </c>
      <c r="AM116" s="145" t="n">
        <f aca="false">IFERROR('Price History'!S3+(INDEX('Price History'!S:S,MATCH(9.99E+307,'Price History'!$A:$A))-'Price History'!S3)*(ROW()-3)/(MATCH(9.99E+307,'Returns (Calc)'!$A:$A)-3),"")</f>
        <v>16.9361006289308</v>
      </c>
      <c r="AN116" s="145" t="n">
        <f aca="false">IFERROR('Price History'!T3+(INDEX('Price History'!T:T,MATCH(9.99E+307,'Price History'!$A:$A))-'Price History'!T3)*(ROW()-3)/(MATCH(9.99E+307,'Returns (Calc)'!$A:$A)-3),"")</f>
        <v>7.78528301886793</v>
      </c>
      <c r="AO116" s="146" t="n">
        <f aca="false">IFERROR('Price History'!V3+(INDEX('Price History'!V:V,MATCH(9.99E+307,'Price History'!$A:$A))-'Price History'!V3)*(ROW()-3)/(MATCH(9.99E+307,'Returns (Calc)'!$A:$A)-3),"")</f>
        <v>0</v>
      </c>
    </row>
    <row r="117" customFormat="false" ht="15" hidden="false" customHeight="true" outlineLevel="0" collapsed="false">
      <c r="A117" s="142" t="n">
        <f aca="false">IF('Price History'!A118="","",'Price History'!A118)</f>
        <v>45989</v>
      </c>
      <c r="B117" s="143" t="n">
        <f aca="false">IFERROR(IF(OR(NOT(ISNUMBER('Price History'!B118)),NOT(ISNUMBER('Price History'!B117)),'Price History'!B117=0),"",'Price History'!B118/'Price History'!B117-1),"")</f>
        <v>-0.0125235201579321</v>
      </c>
      <c r="C117" s="143" t="n">
        <f aca="false">IFERROR(IF(OR(NOT(ISNUMBER('Price History'!C118)),NOT(ISNUMBER('Price History'!C117)),'Price History'!C117=0),"",'Price History'!C118/'Price History'!C117-1),"")</f>
        <v>0.112833177211956</v>
      </c>
      <c r="D117" s="143" t="n">
        <f aca="false">IFERROR(IF(OR(NOT(ISNUMBER('Price History'!D118)),NOT(ISNUMBER('Price History'!D117)),'Price History'!D117=0),"",'Price History'!D118/'Price History'!D117-1),"")</f>
        <v>0.0966578304485681</v>
      </c>
      <c r="E117" s="143" t="n">
        <f aca="false">IFERROR(IF(OR(NOT(ISNUMBER('Price History'!E118)),NOT(ISNUMBER('Price History'!E117)),'Price History'!E117=0),"",'Price History'!E118/'Price History'!E117-1),"")</f>
        <v>0.184488732269241</v>
      </c>
      <c r="F117" s="143" t="n">
        <f aca="false">IFERROR(IF(OR(NOT(ISNUMBER('Price History'!F118)),NOT(ISNUMBER('Price History'!F117)),'Price History'!F117=0),"",'Price History'!F118/'Price History'!F117-1),"")</f>
        <v>0.0443653866276028</v>
      </c>
      <c r="G117" s="143" t="n">
        <f aca="false">IFERROR(IF(OR(NOT(ISNUMBER('Price History'!G118)),NOT(ISNUMBER('Price History'!G117)),'Price History'!G117=0),"",'Price History'!G118/'Price History'!G117-1),"")</f>
        <v>0.0376620200538029</v>
      </c>
      <c r="H117" s="143" t="n">
        <f aca="false">IFERROR(IF(OR(NOT(ISNUMBER('Price History'!H118)),NOT(ISNUMBER('Price History'!H117)),'Price History'!H117=0),"",'Price History'!H118/'Price History'!H117-1),"")</f>
        <v>0.0257510729613735</v>
      </c>
      <c r="I117" s="143" t="n">
        <f aca="false">IFERROR(IF(OR(NOT(ISNUMBER('Price History'!I118)),NOT(ISNUMBER('Price History'!I117)),'Price History'!I117=0),"",'Price History'!I118/'Price History'!I117-1),"")</f>
        <v>0.0713566919769462</v>
      </c>
      <c r="J117" s="143" t="n">
        <f aca="false">IFERROR(IF(OR(NOT(ISNUMBER('Price History'!J118)),NOT(ISNUMBER('Price History'!J117)),'Price History'!J117=0),"",'Price History'!J118/'Price History'!J117-1),"")</f>
        <v>0.140367813872665</v>
      </c>
      <c r="K117" s="143" t="n">
        <f aca="false">IFERROR(IF(OR(NOT(ISNUMBER('Price History'!K118)),NOT(ISNUMBER('Price History'!K117)),'Price History'!K117=0),"",'Price History'!K118/'Price History'!K117-1),"")</f>
        <v>-0.0104791258055477</v>
      </c>
      <c r="L117" s="143" t="n">
        <f aca="false">IFERROR(IF(OR(NOT(ISNUMBER('Price History'!L118)),NOT(ISNUMBER('Price History'!L117)),'Price History'!L117=0),"",'Price History'!L118/'Price History'!L117-1),"")</f>
        <v>0.0218104296490653</v>
      </c>
      <c r="M117" s="143" t="n">
        <f aca="false">IFERROR(IF(OR(NOT(ISNUMBER('Price History'!M118)),NOT(ISNUMBER('Price History'!M117)),'Price History'!M117=0),"",'Price History'!M118/'Price History'!M117-1),"")</f>
        <v>0.0878269292864062</v>
      </c>
      <c r="N117" s="143" t="n">
        <f aca="false">IFERROR(IF(OR(NOT(ISNUMBER('Price History'!N118)),NOT(ISNUMBER('Price History'!N117)),'Price History'!N117=0),"",'Price History'!N118/'Price History'!N117-1),"")</f>
        <v>0.0183346065699006</v>
      </c>
      <c r="O117" s="143" t="n">
        <f aca="false">IFERROR(IF(OR(NOT(ISNUMBER('Price History'!O118)),NOT(ISNUMBER('Price History'!O117)),'Price History'!O117=0),"",'Price History'!O118/'Price History'!O117-1),"")</f>
        <v>0.0509087700723487</v>
      </c>
      <c r="P117" s="143" t="n">
        <f aca="false">IFERROR(IF(OR(NOT(ISNUMBER('Price History'!P118)),NOT(ISNUMBER('Price History'!P117)),'Price History'!P117=0),"",'Price History'!P118/'Price History'!P117-1),"")</f>
        <v>0.059813358806672</v>
      </c>
      <c r="Q117" s="143" t="n">
        <f aca="false">IFERROR(IF(OR(NOT(ISNUMBER('Price History'!Q118)),NOT(ISNUMBER('Price History'!Q117)),'Price History'!Q117=0),"",'Price History'!Q118/'Price History'!Q117-1),"")</f>
        <v>0.0196920434329182</v>
      </c>
      <c r="R117" s="143" t="n">
        <f aca="false">IFERROR(IF(OR(NOT(ISNUMBER('Price History'!R118)),NOT(ISNUMBER('Price History'!R117)),'Price History'!R117=0),"",'Price History'!R118/'Price History'!R117-1),"")</f>
        <v>0.0186151704940849</v>
      </c>
      <c r="S117" s="143" t="n">
        <f aca="false">IFERROR(IF(OR(NOT(ISNUMBER('Price History'!S118)),NOT(ISNUMBER('Price History'!S117)),'Price History'!S117=0),"",'Price History'!S118/'Price History'!S117-1),"")</f>
        <v>0.0107125062282012</v>
      </c>
      <c r="T117" s="143" t="n">
        <f aca="false">IFERROR(IF(OR(NOT(ISNUMBER('Price History'!T118)),NOT(ISNUMBER('Price History'!T117)),'Price History'!T117=0),"",'Price History'!T118/'Price History'!T117-1),"")</f>
        <v>0.0261526017794553</v>
      </c>
      <c r="U117" s="143" t="str">
        <f aca="false">IFERROR(IF(OR(NOT(ISNUMBER('Price History'!U118)),NOT(ISNUMBER('Price History'!U117)),'Price History'!U117=0),"",'Price History'!U118/'Price History'!U117-1),"")</f>
        <v/>
      </c>
      <c r="V117" s="144" t="n">
        <f aca="false">IFERROR(IF(OR(NOT(ISNUMBER('Price History'!V118)),NOT(ISNUMBER('Price History'!V117)),'Price History'!V117=0),"",'Price History'!V118/'Price History'!V117-1),"")</f>
        <v>0.0160386815260334</v>
      </c>
      <c r="W117" s="145" t="str">
        <f aca="false">IFERROR('Price History'!B3+(INDEX('Price History'!B:B,MATCH(9.99E+307,'Price History'!$A:$A))-'Price History'!B3)*(ROW()-3)/(MATCH(9.99E+307,'Returns (Calc)'!$A:$A)-3),"")</f>
        <v/>
      </c>
      <c r="X117" s="145" t="n">
        <f aca="false">IFERROR('Price History'!C3+(INDEX('Price History'!C:C,MATCH(9.99E+307,'Price History'!$A:$A))-'Price History'!C3)*(ROW()-3)/(MATCH(9.99E+307,'Returns (Calc)'!$A:$A)-3),"")</f>
        <v>13.0698113207547</v>
      </c>
      <c r="Y117" s="145" t="n">
        <f aca="false">IFERROR('Price History'!D3+(INDEX('Price History'!D:D,MATCH(9.99E+307,'Price History'!$A:$A))-'Price History'!D3)*(ROW()-3)/(MATCH(9.99E+307,'Returns (Calc)'!$A:$A)-3),"")</f>
        <v>164.719811320755</v>
      </c>
      <c r="Z117" s="145" t="n">
        <f aca="false">IFERROR('Price History'!E3+(INDEX('Price History'!E:E,MATCH(9.99E+307,'Price History'!$A:$A))-'Price History'!E3)*(ROW()-3)/(MATCH(9.99E+307,'Returns (Calc)'!$A:$A)-3),"")</f>
        <v>23.2075471698113</v>
      </c>
      <c r="AA117" s="145" t="n">
        <f aca="false">IFERROR('Price History'!F3+(INDEX('Price History'!F:F,MATCH(9.99E+307,'Price History'!$A:$A))-'Price History'!F3)*(ROW()-3)/(MATCH(9.99E+307,'Returns (Calc)'!$A:$A)-3),"")</f>
        <v>21.3141509433962</v>
      </c>
      <c r="AB117" s="145" t="n">
        <f aca="false">IFERROR('Price History'!G3+(INDEX('Price History'!G:G,MATCH(9.99E+307,'Price History'!$A:$A))-'Price History'!G3)*(ROW()-3)/(MATCH(9.99E+307,'Returns (Calc)'!$A:$A)-3),"")</f>
        <v>11.7056603773585</v>
      </c>
      <c r="AC117" s="145" t="n">
        <f aca="false">IFERROR('Price History'!H3+(INDEX('Price History'!H:H,MATCH(9.99E+307,'Price History'!$A:$A))-'Price History'!H3)*(ROW()-3)/(MATCH(9.99E+307,'Returns (Calc)'!$A:$A)-3),"")</f>
        <v>28.4688679245283</v>
      </c>
      <c r="AD117" s="145" t="n">
        <f aca="false">IFERROR('Price History'!I3+(INDEX('Price History'!I:I,MATCH(9.99E+307,'Price History'!$A:$A))-'Price History'!I3)*(ROW()-3)/(MATCH(9.99E+307,'Returns (Calc)'!$A:$A)-3),"")</f>
        <v>12.5518867924528</v>
      </c>
      <c r="AE117" s="145" t="n">
        <f aca="false">IFERROR('Price History'!J3+(INDEX('Price History'!J:J,MATCH(9.99E+307,'Price History'!$A:$A))-'Price History'!J3)*(ROW()-3)/(MATCH(9.99E+307,'Returns (Calc)'!$A:$A)-3),"")</f>
        <v>19.5594339622642</v>
      </c>
      <c r="AF117" s="145" t="n">
        <f aca="false">IFERROR('Price History'!K3+(INDEX('Price History'!K:K,MATCH(9.99E+307,'Price History'!$A:$A))-'Price History'!K3)*(ROW()-3)/(MATCH(9.99E+307,'Returns (Calc)'!$A:$A)-3),"")</f>
        <v>12.3877358490566</v>
      </c>
      <c r="AG117" s="145" t="n">
        <f aca="false">IFERROR('Price History'!L3+(INDEX('Price History'!L:L,MATCH(9.99E+307,'Price History'!$A:$A))-'Price History'!L3)*(ROW()-3)/(MATCH(9.99E+307,'Returns (Calc)'!$A:$A)-3),"")</f>
        <v>31.6528301886792</v>
      </c>
      <c r="AH117" s="145" t="n">
        <f aca="false">IFERROR('Price History'!M3+(INDEX('Price History'!M:M,MATCH(9.99E+307,'Price History'!$A:$A))-'Price History'!M3)*(ROW()-3)/(MATCH(9.99E+307,'Returns (Calc)'!$A:$A)-3),"")</f>
        <v>4.33867924528302</v>
      </c>
      <c r="AI117" s="145" t="n">
        <f aca="false">IFERROR('Price History'!N3+(INDEX('Price History'!N:N,MATCH(9.99E+307,'Price History'!$A:$A))-'Price History'!N3)*(ROW()-3)/(MATCH(9.99E+307,'Returns (Calc)'!$A:$A)-3),"")</f>
        <v>6.16981132075472</v>
      </c>
      <c r="AJ117" s="145" t="n">
        <f aca="false">IFERROR('Price History'!O3+(INDEX('Price History'!O:O,MATCH(9.99E+307,'Price History'!$A:$A))-'Price History'!O3)*(ROW()-3)/(MATCH(9.99E+307,'Returns (Calc)'!$A:$A)-3),"")</f>
        <v>16.3103773584906</v>
      </c>
      <c r="AK117" s="145" t="n">
        <f aca="false">IFERROR('Price History'!Q3+(INDEX('Price History'!Q:Q,MATCH(9.99E+307,'Price History'!$A:$A))-'Price History'!Q3)*(ROW()-3)/(MATCH(9.99E+307,'Returns (Calc)'!$A:$A)-3),"")</f>
        <v>66.6877358490566</v>
      </c>
      <c r="AL117" s="145" t="n">
        <f aca="false">IFERROR('Price History'!R3+(INDEX('Price History'!R:R,MATCH(9.99E+307,'Price History'!$A:$A))-'Price History'!R3)*(ROW()-3)/(MATCH(9.99E+307,'Returns (Calc)'!$A:$A)-3),"")</f>
        <v>13.5339622641509</v>
      </c>
      <c r="AM117" s="145" t="n">
        <f aca="false">IFERROR('Price History'!S3+(INDEX('Price History'!S:S,MATCH(9.99E+307,'Price History'!$A:$A))-'Price History'!S3)*(ROW()-3)/(MATCH(9.99E+307,'Returns (Calc)'!$A:$A)-3),"")</f>
        <v>16.5679245283019</v>
      </c>
      <c r="AN117" s="145" t="n">
        <f aca="false">IFERROR('Price History'!T3+(INDEX('Price History'!T:T,MATCH(9.99E+307,'Price History'!$A:$A))-'Price History'!T3)*(ROW()-3)/(MATCH(9.99E+307,'Returns (Calc)'!$A:$A)-3),"")</f>
        <v>7.61603773584906</v>
      </c>
      <c r="AO117" s="146" t="n">
        <f aca="false">IFERROR('Price History'!V3+(INDEX('Price History'!V:V,MATCH(9.99E+307,'Price History'!$A:$A))-'Price History'!V3)*(ROW()-3)/(MATCH(9.99E+307,'Returns (Calc)'!$A:$A)-3),"")</f>
        <v>0</v>
      </c>
    </row>
    <row r="118" customFormat="false" ht="15" hidden="false" customHeight="true" outlineLevel="0" collapsed="false">
      <c r="A118" s="142" t="n">
        <f aca="false">IF('Price History'!A119="","",'Price History'!A119)</f>
        <v>45996</v>
      </c>
      <c r="B118" s="143" t="n">
        <f aca="false">IFERROR(IF(OR(NOT(ISNUMBER('Price History'!B119)),NOT(ISNUMBER('Price History'!B118)),'Price History'!B118=0),"",'Price History'!B119/'Price History'!B118-1),"")</f>
        <v>0.0816230906194357</v>
      </c>
      <c r="C118" s="143" t="n">
        <f aca="false">IFERROR(IF(OR(NOT(ISNUMBER('Price History'!C119)),NOT(ISNUMBER('Price History'!C118)),'Price History'!C118=0),"",'Price History'!C119/'Price History'!C118-1),"")</f>
        <v>-0.015993265993266</v>
      </c>
      <c r="D118" s="143" t="n">
        <f aca="false">IFERROR(IF(OR(NOT(ISNUMBER('Price History'!D119)),NOT(ISNUMBER('Price History'!D118)),'Price History'!D118=0),"",'Price History'!D119/'Price History'!D118-1),"")</f>
        <v>0.0372346980368365</v>
      </c>
      <c r="E118" s="143" t="n">
        <f aca="false">IFERROR(IF(OR(NOT(ISNUMBER('Price History'!E119)),NOT(ISNUMBER('Price History'!E118)),'Price History'!E118=0),"",'Price History'!E119/'Price History'!E118-1),"")</f>
        <v>-0.0315757893947348</v>
      </c>
      <c r="F118" s="143" t="n">
        <f aca="false">IFERROR(IF(OR(NOT(ISNUMBER('Price History'!F119)),NOT(ISNUMBER('Price History'!F118)),'Price History'!F118=0),"",'Price History'!F119/'Price History'!F118-1),"")</f>
        <v>0.0175333132952611</v>
      </c>
      <c r="G118" s="143" t="n">
        <f aca="false">IFERROR(IF(OR(NOT(ISNUMBER('Price History'!G119)),NOT(ISNUMBER('Price History'!G118)),'Price History'!G118=0),"",'Price History'!G119/'Price History'!G118-1),"")</f>
        <v>0.00565637520622198</v>
      </c>
      <c r="H118" s="143" t="n">
        <f aca="false">IFERROR(IF(OR(NOT(ISNUMBER('Price History'!H119)),NOT(ISNUMBER('Price History'!H118)),'Price History'!H118=0),"",'Price History'!H119/'Price History'!H118-1),"")</f>
        <v>-0.0119030442937528</v>
      </c>
      <c r="I118" s="143" t="n">
        <f aca="false">IFERROR(IF(OR(NOT(ISNUMBER('Price History'!I119)),NOT(ISNUMBER('Price History'!I118)),'Price History'!I118=0),"",'Price History'!I119/'Price History'!I118-1),"")</f>
        <v>0.0332166339339084</v>
      </c>
      <c r="J118" s="143" t="n">
        <f aca="false">IFERROR(IF(OR(NOT(ISNUMBER('Price History'!J119)),NOT(ISNUMBER('Price History'!J118)),'Price History'!J118=0),"",'Price History'!J119/'Price History'!J118-1),"")</f>
        <v>0.0031322751322751</v>
      </c>
      <c r="K118" s="143" t="n">
        <f aca="false">IFERROR(IF(OR(NOT(ISNUMBER('Price History'!K119)),NOT(ISNUMBER('Price History'!K118)),'Price History'!K118=0),"",'Price History'!K119/'Price History'!K118-1),"")</f>
        <v>0.0305810397553516</v>
      </c>
      <c r="L118" s="143" t="n">
        <f aca="false">IFERROR(IF(OR(NOT(ISNUMBER('Price History'!L119)),NOT(ISNUMBER('Price History'!L118)),'Price History'!L118=0),"",'Price History'!L119/'Price History'!L118-1),"")</f>
        <v>-0.00433317284545021</v>
      </c>
      <c r="M118" s="143" t="n">
        <f aca="false">IFERROR(IF(OR(NOT(ISNUMBER('Price History'!M119)),NOT(ISNUMBER('Price History'!M118)),'Price History'!M118=0),"",'Price History'!M119/'Price History'!M118-1),"")</f>
        <v>0.0790145443751855</v>
      </c>
      <c r="N118" s="143" t="n">
        <f aca="false">IFERROR(IF(OR(NOT(ISNUMBER('Price History'!N119)),NOT(ISNUMBER('Price History'!N118)),'Price History'!N118=0),"",'Price History'!N119/'Price History'!N118-1),"")</f>
        <v>0.00412603150787705</v>
      </c>
      <c r="O118" s="143" t="n">
        <f aca="false">IFERROR(IF(OR(NOT(ISNUMBER('Price History'!O119)),NOT(ISNUMBER('Price History'!O118)),'Price History'!O118=0),"",'Price History'!O119/'Price History'!O118-1),"")</f>
        <v>0.00612878851481824</v>
      </c>
      <c r="P118" s="143" t="n">
        <f aca="false">IFERROR(IF(OR(NOT(ISNUMBER('Price History'!P119)),NOT(ISNUMBER('Price History'!P118)),'Price History'!P118=0),"",'Price History'!P119/'Price History'!P118-1),"")</f>
        <v>0.0109893919434239</v>
      </c>
      <c r="Q118" s="143" t="n">
        <f aca="false">IFERROR(IF(OR(NOT(ISNUMBER('Price History'!Q119)),NOT(ISNUMBER('Price History'!Q118)),'Price History'!Q118=0),"",'Price History'!Q119/'Price History'!Q118-1),"")</f>
        <v>-0.00956563590422332</v>
      </c>
      <c r="R118" s="143" t="n">
        <f aca="false">IFERROR(IF(OR(NOT(ISNUMBER('Price History'!R119)),NOT(ISNUMBER('Price History'!R118)),'Price History'!R118=0),"",'Price History'!R119/'Price History'!R118-1),"")</f>
        <v>0.00939368061485912</v>
      </c>
      <c r="S118" s="143" t="n">
        <f aca="false">IFERROR(IF(OR(NOT(ISNUMBER('Price History'!S119)),NOT(ISNUMBER('Price History'!S118)),'Price History'!S118=0),"",'Price History'!S119/'Price History'!S118-1),"")</f>
        <v>-8.21625174594054E-005</v>
      </c>
      <c r="T118" s="143" t="n">
        <f aca="false">IFERROR(IF(OR(NOT(ISNUMBER('Price History'!T119)),NOT(ISNUMBER('Price History'!T118)),'Price History'!T118=0),"",'Price History'!T119/'Price History'!T118-1),"")</f>
        <v>-0.0063058328954283</v>
      </c>
      <c r="U118" s="143" t="str">
        <f aca="false">IFERROR(IF(OR(NOT(ISNUMBER('Price History'!U119)),NOT(ISNUMBER('Price History'!U118)),'Price History'!U118=0),"",'Price History'!U119/'Price History'!U118-1),"")</f>
        <v/>
      </c>
      <c r="V118" s="144" t="n">
        <f aca="false">IFERROR(IF(OR(NOT(ISNUMBER('Price History'!V119)),NOT(ISNUMBER('Price History'!V118)),'Price History'!V118=0),"",'Price History'!V119/'Price History'!V118-1),"")</f>
        <v>-0.0190934942835587</v>
      </c>
      <c r="W118" s="145" t="str">
        <f aca="false">IFERROR('Price History'!B3+(INDEX('Price History'!B:B,MATCH(9.99E+307,'Price History'!$A:$A))-'Price History'!B3)*(ROW()-3)/(MATCH(9.99E+307,'Returns (Calc)'!$A:$A)-3),"")</f>
        <v/>
      </c>
      <c r="X118" s="145" t="n">
        <f aca="false">IFERROR('Price History'!C3+(INDEX('Price History'!C:C,MATCH(9.99E+307,'Price History'!$A:$A))-'Price History'!C3)*(ROW()-3)/(MATCH(9.99E+307,'Returns (Calc)'!$A:$A)-3),"")</f>
        <v>12.7793710691824</v>
      </c>
      <c r="Y118" s="145" t="n">
        <f aca="false">IFERROR('Price History'!D3+(INDEX('Price History'!D:D,MATCH(9.99E+307,'Price History'!$A:$A))-'Price History'!D3)*(ROW()-3)/(MATCH(9.99E+307,'Returns (Calc)'!$A:$A)-3),"")</f>
        <v>161.059371069182</v>
      </c>
      <c r="Z118" s="145" t="n">
        <f aca="false">IFERROR('Price History'!E3+(INDEX('Price History'!E:E,MATCH(9.99E+307,'Price History'!$A:$A))-'Price History'!E3)*(ROW()-3)/(MATCH(9.99E+307,'Returns (Calc)'!$A:$A)-3),"")</f>
        <v>22.6918238993711</v>
      </c>
      <c r="AA118" s="145" t="n">
        <f aca="false">IFERROR('Price History'!F3+(INDEX('Price History'!F:F,MATCH(9.99E+307,'Price History'!$A:$A))-'Price History'!F3)*(ROW()-3)/(MATCH(9.99E+307,'Returns (Calc)'!$A:$A)-3),"")</f>
        <v>20.8405031446541</v>
      </c>
      <c r="AB118" s="145" t="n">
        <f aca="false">IFERROR('Price History'!G3+(INDEX('Price History'!G:G,MATCH(9.99E+307,'Price History'!$A:$A))-'Price History'!G3)*(ROW()-3)/(MATCH(9.99E+307,'Returns (Calc)'!$A:$A)-3),"")</f>
        <v>11.445534591195</v>
      </c>
      <c r="AC118" s="145" t="n">
        <f aca="false">IFERROR('Price History'!H3+(INDEX('Price History'!H:H,MATCH(9.99E+307,'Price History'!$A:$A))-'Price History'!H3)*(ROW()-3)/(MATCH(9.99E+307,'Returns (Calc)'!$A:$A)-3),"")</f>
        <v>27.8362264150943</v>
      </c>
      <c r="AD118" s="145" t="n">
        <f aca="false">IFERROR('Price History'!I3+(INDEX('Price History'!I:I,MATCH(9.99E+307,'Price History'!$A:$A))-'Price History'!I3)*(ROW()-3)/(MATCH(9.99E+307,'Returns (Calc)'!$A:$A)-3),"")</f>
        <v>12.2729559748428</v>
      </c>
      <c r="AE118" s="145" t="n">
        <f aca="false">IFERROR('Price History'!J3+(INDEX('Price History'!J:J,MATCH(9.99E+307,'Price History'!$A:$A))-'Price History'!J3)*(ROW()-3)/(MATCH(9.99E+307,'Returns (Calc)'!$A:$A)-3),"")</f>
        <v>19.1247798742138</v>
      </c>
      <c r="AF118" s="145" t="n">
        <f aca="false">IFERROR('Price History'!K3+(INDEX('Price History'!K:K,MATCH(9.99E+307,'Price History'!$A:$A))-'Price History'!K3)*(ROW()-3)/(MATCH(9.99E+307,'Returns (Calc)'!$A:$A)-3),"")</f>
        <v>12.1124528301887</v>
      </c>
      <c r="AG118" s="145" t="n">
        <f aca="false">IFERROR('Price History'!L3+(INDEX('Price History'!L:L,MATCH(9.99E+307,'Price History'!$A:$A))-'Price History'!L3)*(ROW()-3)/(MATCH(9.99E+307,'Returns (Calc)'!$A:$A)-3),"")</f>
        <v>30.9494339622642</v>
      </c>
      <c r="AH118" s="145" t="n">
        <f aca="false">IFERROR('Price History'!M3+(INDEX('Price History'!M:M,MATCH(9.99E+307,'Price History'!$A:$A))-'Price History'!M3)*(ROW()-3)/(MATCH(9.99E+307,'Returns (Calc)'!$A:$A)-3),"")</f>
        <v>4.2422641509434</v>
      </c>
      <c r="AI118" s="145" t="n">
        <f aca="false">IFERROR('Price History'!N3+(INDEX('Price History'!N:N,MATCH(9.99E+307,'Price History'!$A:$A))-'Price History'!N3)*(ROW()-3)/(MATCH(9.99E+307,'Returns (Calc)'!$A:$A)-3),"")</f>
        <v>6.03270440251573</v>
      </c>
      <c r="AJ118" s="145" t="n">
        <f aca="false">IFERROR('Price History'!O3+(INDEX('Price History'!O:O,MATCH(9.99E+307,'Price History'!$A:$A))-'Price History'!O3)*(ROW()-3)/(MATCH(9.99E+307,'Returns (Calc)'!$A:$A)-3),"")</f>
        <v>15.9479245283019</v>
      </c>
      <c r="AK118" s="145" t="n">
        <f aca="false">IFERROR('Price History'!Q3+(INDEX('Price History'!Q:Q,MATCH(9.99E+307,'Price History'!$A:$A))-'Price History'!Q3)*(ROW()-3)/(MATCH(9.99E+307,'Returns (Calc)'!$A:$A)-3),"")</f>
        <v>65.205786163522</v>
      </c>
      <c r="AL118" s="145" t="n">
        <f aca="false">IFERROR('Price History'!R3+(INDEX('Price History'!R:R,MATCH(9.99E+307,'Price History'!$A:$A))-'Price History'!R3)*(ROW()-3)/(MATCH(9.99E+307,'Returns (Calc)'!$A:$A)-3),"")</f>
        <v>13.2332075471698</v>
      </c>
      <c r="AM118" s="145" t="n">
        <f aca="false">IFERROR('Price History'!S3+(INDEX('Price History'!S:S,MATCH(9.99E+307,'Price History'!$A:$A))-'Price History'!S3)*(ROW()-3)/(MATCH(9.99E+307,'Returns (Calc)'!$A:$A)-3),"")</f>
        <v>16.199748427673</v>
      </c>
      <c r="AN118" s="145" t="n">
        <f aca="false">IFERROR('Price History'!T3+(INDEX('Price History'!T:T,MATCH(9.99E+307,'Price History'!$A:$A))-'Price History'!T3)*(ROW()-3)/(MATCH(9.99E+307,'Returns (Calc)'!$A:$A)-3),"")</f>
        <v>7.44679245283019</v>
      </c>
      <c r="AO118" s="146" t="n">
        <f aca="false">IFERROR('Price History'!V3+(INDEX('Price History'!V:V,MATCH(9.99E+307,'Price History'!$A:$A))-'Price History'!V3)*(ROW()-3)/(MATCH(9.99E+307,'Returns (Calc)'!$A:$A)-3),"")</f>
        <v>0</v>
      </c>
    </row>
    <row r="119" customFormat="false" ht="15" hidden="false" customHeight="true" outlineLevel="0" collapsed="false">
      <c r="A119" s="142" t="n">
        <f aca="false">IF('Price History'!A120="","",'Price History'!A120)</f>
        <v>46003</v>
      </c>
      <c r="B119" s="143" t="n">
        <f aca="false">IFERROR(IF(OR(NOT(ISNUMBER('Price History'!B120)),NOT(ISNUMBER('Price History'!B119)),'Price History'!B119=0),"",'Price History'!B120/'Price History'!B119-1),"")</f>
        <v>0.0293709928955122</v>
      </c>
      <c r="C119" s="143" t="n">
        <f aca="false">IFERROR(IF(OR(NOT(ISNUMBER('Price History'!C120)),NOT(ISNUMBER('Price History'!C119)),'Price History'!C119=0),"",'Price History'!C120/'Price History'!C119-1),"")</f>
        <v>-0.0297845866708142</v>
      </c>
      <c r="D119" s="143" t="n">
        <f aca="false">IFERROR(IF(OR(NOT(ISNUMBER('Price History'!D120)),NOT(ISNUMBER('Price History'!D119)),'Price History'!D119=0),"",'Price History'!D120/'Price History'!D119-1),"")</f>
        <v>-0.0169345920801308</v>
      </c>
      <c r="E119" s="143" t="n">
        <f aca="false">IFERROR(IF(OR(NOT(ISNUMBER('Price History'!E120)),NOT(ISNUMBER('Price History'!E119)),'Price History'!E119=0),"",'Price History'!E120/'Price History'!E119-1),"")</f>
        <v>-0.0776796778190831</v>
      </c>
      <c r="F119" s="143" t="n">
        <f aca="false">IFERROR(IF(OR(NOT(ISNUMBER('Price History'!F120)),NOT(ISNUMBER('Price History'!F119)),'Price History'!F119=0),"",'Price History'!F120/'Price History'!F119-1),"")</f>
        <v>0.0214651437573847</v>
      </c>
      <c r="G119" s="143" t="n">
        <f aca="false">IFERROR(IF(OR(NOT(ISNUMBER('Price History'!G120)),NOT(ISNUMBER('Price History'!G119)),'Price History'!G119=0),"",'Price History'!G120/'Price History'!G119-1),"")</f>
        <v>-0.0142176392469338</v>
      </c>
      <c r="H119" s="143" t="n">
        <f aca="false">IFERROR(IF(OR(NOT(ISNUMBER('Price History'!H120)),NOT(ISNUMBER('Price History'!H119)),'Price History'!H119=0),"",'Price History'!H120/'Price History'!H119-1),"")</f>
        <v>0.0162079287435204</v>
      </c>
      <c r="I119" s="143" t="n">
        <f aca="false">IFERROR(IF(OR(NOT(ISNUMBER('Price History'!I120)),NOT(ISNUMBER('Price History'!I119)),'Price History'!I119=0),"",'Price History'!I120/'Price History'!I119-1),"")</f>
        <v>-0.0169421487603305</v>
      </c>
      <c r="J119" s="143" t="n">
        <f aca="false">IFERROR(IF(OR(NOT(ISNUMBER('Price History'!J120)),NOT(ISNUMBER('Price History'!J119)),'Price History'!J119=0),"",'Price History'!J120/'Price History'!J119-1),"")</f>
        <v>0.0164985864382463</v>
      </c>
      <c r="K119" s="143" t="n">
        <f aca="false">IFERROR(IF(OR(NOT(ISNUMBER('Price History'!K120)),NOT(ISNUMBER('Price History'!K119)),'Price History'!K119=0),"",'Price History'!K120/'Price History'!K119-1),"")</f>
        <v>-0.0404989559292228</v>
      </c>
      <c r="L119" s="143" t="n">
        <f aca="false">IFERROR(IF(OR(NOT(ISNUMBER('Price History'!L120)),NOT(ISNUMBER('Price History'!L119)),'Price History'!L119=0),"",'Price History'!L120/'Price History'!L119-1),"")</f>
        <v>0.0172469374597035</v>
      </c>
      <c r="M119" s="143" t="n">
        <f aca="false">IFERROR(IF(OR(NOT(ISNUMBER('Price History'!M120)),NOT(ISNUMBER('Price History'!M119)),'Price History'!M119=0),"",'Price History'!M120/'Price History'!M119-1),"")</f>
        <v>0.00995818661971826</v>
      </c>
      <c r="N119" s="143" t="n">
        <f aca="false">IFERROR(IF(OR(NOT(ISNUMBER('Price History'!N120)),NOT(ISNUMBER('Price History'!N119)),'Price History'!N119=0),"",'Price History'!N120/'Price History'!N119-1),"")</f>
        <v>0.00933881210310039</v>
      </c>
      <c r="O119" s="143" t="n">
        <f aca="false">IFERROR(IF(OR(NOT(ISNUMBER('Price History'!O120)),NOT(ISNUMBER('Price History'!O119)),'Price History'!O119=0),"",'Price History'!O120/'Price History'!O119-1),"")</f>
        <v>-0.0145193591455275</v>
      </c>
      <c r="P119" s="143" t="n">
        <f aca="false">IFERROR(IF(OR(NOT(ISNUMBER('Price History'!P120)),NOT(ISNUMBER('Price History'!P119)),'Price History'!P119=0),"",'Price History'!P120/'Price History'!P119-1),"")</f>
        <v>-0.00641223468093133</v>
      </c>
      <c r="Q119" s="143" t="n">
        <f aca="false">IFERROR(IF(OR(NOT(ISNUMBER('Price History'!Q120)),NOT(ISNUMBER('Price History'!Q119)),'Price History'!Q119=0),"",'Price History'!Q120/'Price History'!Q119-1),"")</f>
        <v>0.0500820020652373</v>
      </c>
      <c r="R119" s="143" t="n">
        <f aca="false">IFERROR(IF(OR(NOT(ISNUMBER('Price History'!R120)),NOT(ISNUMBER('Price History'!R119)),'Price History'!R119=0),"",'Price History'!R120/'Price History'!R119-1),"")</f>
        <v>-0.0235194585448393</v>
      </c>
      <c r="S119" s="143" t="n">
        <f aca="false">IFERROR(IF(OR(NOT(ISNUMBER('Price History'!S120)),NOT(ISNUMBER('Price History'!S119)),'Price History'!S119=0),"",'Price History'!S120/'Price History'!S119-1),"")</f>
        <v>-0.0260476581758422</v>
      </c>
      <c r="T119" s="143" t="n">
        <f aca="false">IFERROR(IF(OR(NOT(ISNUMBER('Price History'!T120)),NOT(ISNUMBER('Price History'!T119)),'Price History'!T119=0),"",'Price History'!T120/'Price History'!T119-1),"")</f>
        <v>0.00158646218931779</v>
      </c>
      <c r="U119" s="143" t="str">
        <f aca="false">IFERROR(IF(OR(NOT(ISNUMBER('Price History'!U120)),NOT(ISNUMBER('Price History'!U119)),'Price History'!U119=0),"",'Price History'!U120/'Price History'!U119-1),"")</f>
        <v/>
      </c>
      <c r="V119" s="144" t="n">
        <f aca="false">IFERROR(IF(OR(NOT(ISNUMBER('Price History'!V120)),NOT(ISNUMBER('Price History'!V119)),'Price History'!V119=0),"",'Price History'!V120/'Price History'!V119-1),"")</f>
        <v>-0.0138740977399124</v>
      </c>
      <c r="W119" s="145" t="str">
        <f aca="false">IFERROR('Price History'!B3+(INDEX('Price History'!B:B,MATCH(9.99E+307,'Price History'!$A:$A))-'Price History'!B3)*(ROW()-3)/(MATCH(9.99E+307,'Returns (Calc)'!$A:$A)-3),"")</f>
        <v/>
      </c>
      <c r="X119" s="145" t="n">
        <f aca="false">IFERROR('Price History'!C3+(INDEX('Price History'!C:C,MATCH(9.99E+307,'Price History'!$A:$A))-'Price History'!C3)*(ROW()-3)/(MATCH(9.99E+307,'Returns (Calc)'!$A:$A)-3),"")</f>
        <v>12.4889308176101</v>
      </c>
      <c r="Y119" s="145" t="n">
        <f aca="false">IFERROR('Price History'!D3+(INDEX('Price History'!D:D,MATCH(9.99E+307,'Price History'!$A:$A))-'Price History'!D3)*(ROW()-3)/(MATCH(9.99E+307,'Returns (Calc)'!$A:$A)-3),"")</f>
        <v>157.39893081761</v>
      </c>
      <c r="Z119" s="145" t="n">
        <f aca="false">IFERROR('Price History'!E3+(INDEX('Price History'!E:E,MATCH(9.99E+307,'Price History'!$A:$A))-'Price History'!E3)*(ROW()-3)/(MATCH(9.99E+307,'Returns (Calc)'!$A:$A)-3),"")</f>
        <v>22.1761006289308</v>
      </c>
      <c r="AA119" s="145" t="n">
        <f aca="false">IFERROR('Price History'!F3+(INDEX('Price History'!F:F,MATCH(9.99E+307,'Price History'!$A:$A))-'Price History'!F3)*(ROW()-3)/(MATCH(9.99E+307,'Returns (Calc)'!$A:$A)-3),"")</f>
        <v>20.3668553459119</v>
      </c>
      <c r="AB119" s="145" t="n">
        <f aca="false">IFERROR('Price History'!G3+(INDEX('Price History'!G:G,MATCH(9.99E+307,'Price History'!$A:$A))-'Price History'!G3)*(ROW()-3)/(MATCH(9.99E+307,'Returns (Calc)'!$A:$A)-3),"")</f>
        <v>11.1854088050314</v>
      </c>
      <c r="AC119" s="145" t="n">
        <f aca="false">IFERROR('Price History'!H3+(INDEX('Price History'!H:H,MATCH(9.99E+307,'Price History'!$A:$A))-'Price History'!H3)*(ROW()-3)/(MATCH(9.99E+307,'Returns (Calc)'!$A:$A)-3),"")</f>
        <v>27.2035849056604</v>
      </c>
      <c r="AD119" s="145" t="n">
        <f aca="false">IFERROR('Price History'!I3+(INDEX('Price History'!I:I,MATCH(9.99E+307,'Price History'!$A:$A))-'Price History'!I3)*(ROW()-3)/(MATCH(9.99E+307,'Returns (Calc)'!$A:$A)-3),"")</f>
        <v>11.9940251572327</v>
      </c>
      <c r="AE119" s="145" t="n">
        <f aca="false">IFERROR('Price History'!J3+(INDEX('Price History'!J:J,MATCH(9.99E+307,'Price History'!$A:$A))-'Price History'!J3)*(ROW()-3)/(MATCH(9.99E+307,'Returns (Calc)'!$A:$A)-3),"")</f>
        <v>18.6901257861635</v>
      </c>
      <c r="AF119" s="145" t="n">
        <f aca="false">IFERROR('Price History'!K3+(INDEX('Price History'!K:K,MATCH(9.99E+307,'Price History'!$A:$A))-'Price History'!K3)*(ROW()-3)/(MATCH(9.99E+307,'Returns (Calc)'!$A:$A)-3),"")</f>
        <v>11.8371698113208</v>
      </c>
      <c r="AG119" s="145" t="n">
        <f aca="false">IFERROR('Price History'!L3+(INDEX('Price History'!L:L,MATCH(9.99E+307,'Price History'!$A:$A))-'Price History'!L3)*(ROW()-3)/(MATCH(9.99E+307,'Returns (Calc)'!$A:$A)-3),"")</f>
        <v>30.2460377358491</v>
      </c>
      <c r="AH119" s="145" t="n">
        <f aca="false">IFERROR('Price History'!M3+(INDEX('Price History'!M:M,MATCH(9.99E+307,'Price History'!$A:$A))-'Price History'!M3)*(ROW()-3)/(MATCH(9.99E+307,'Returns (Calc)'!$A:$A)-3),"")</f>
        <v>4.14584905660377</v>
      </c>
      <c r="AI119" s="145" t="n">
        <f aca="false">IFERROR('Price History'!N3+(INDEX('Price History'!N:N,MATCH(9.99E+307,'Price History'!$A:$A))-'Price History'!N3)*(ROW()-3)/(MATCH(9.99E+307,'Returns (Calc)'!$A:$A)-3),"")</f>
        <v>5.89559748427673</v>
      </c>
      <c r="AJ119" s="145" t="n">
        <f aca="false">IFERROR('Price History'!O3+(INDEX('Price History'!O:O,MATCH(9.99E+307,'Price History'!$A:$A))-'Price History'!O3)*(ROW()-3)/(MATCH(9.99E+307,'Returns (Calc)'!$A:$A)-3),"")</f>
        <v>15.5854716981132</v>
      </c>
      <c r="AK119" s="145" t="n">
        <f aca="false">IFERROR('Price History'!Q3+(INDEX('Price History'!Q:Q,MATCH(9.99E+307,'Price History'!$A:$A))-'Price History'!Q3)*(ROW()-3)/(MATCH(9.99E+307,'Returns (Calc)'!$A:$A)-3),"")</f>
        <v>63.7238364779874</v>
      </c>
      <c r="AL119" s="145" t="n">
        <f aca="false">IFERROR('Price History'!R3+(INDEX('Price History'!R:R,MATCH(9.99E+307,'Price History'!$A:$A))-'Price History'!R3)*(ROW()-3)/(MATCH(9.99E+307,'Returns (Calc)'!$A:$A)-3),"")</f>
        <v>12.9324528301887</v>
      </c>
      <c r="AM119" s="145" t="n">
        <f aca="false">IFERROR('Price History'!S3+(INDEX('Price History'!S:S,MATCH(9.99E+307,'Price History'!$A:$A))-'Price History'!S3)*(ROW()-3)/(MATCH(9.99E+307,'Returns (Calc)'!$A:$A)-3),"")</f>
        <v>15.831572327044</v>
      </c>
      <c r="AN119" s="145" t="n">
        <f aca="false">IFERROR('Price History'!T3+(INDEX('Price History'!T:T,MATCH(9.99E+307,'Price History'!$A:$A))-'Price History'!T3)*(ROW()-3)/(MATCH(9.99E+307,'Returns (Calc)'!$A:$A)-3),"")</f>
        <v>7.27754716981132</v>
      </c>
      <c r="AO119" s="146" t="n">
        <f aca="false">IFERROR('Price History'!V3+(INDEX('Price History'!V:V,MATCH(9.99E+307,'Price History'!$A:$A))-'Price History'!V3)*(ROW()-3)/(MATCH(9.99E+307,'Returns (Calc)'!$A:$A)-3),"")</f>
        <v>0</v>
      </c>
    </row>
    <row r="120" customFormat="false" ht="15" hidden="false" customHeight="true" outlineLevel="0" collapsed="false">
      <c r="A120" s="142" t="n">
        <f aca="false">IF('Price History'!A121="","",'Price History'!A121)</f>
        <v>46010</v>
      </c>
      <c r="B120" s="143" t="n">
        <f aca="false">IFERROR(IF(OR(NOT(ISNUMBER('Price History'!B121)),NOT(ISNUMBER('Price History'!B120)),'Price History'!B120=0),"",'Price History'!B121/'Price History'!B120-1),"")</f>
        <v>-0.00159919198720648</v>
      </c>
      <c r="C120" s="143" t="n">
        <f aca="false">IFERROR(IF(OR(NOT(ISNUMBER('Price History'!C121)),NOT(ISNUMBER('Price History'!C120)),'Price History'!C120=0),"",'Price History'!C121/'Price History'!C120-1),"")</f>
        <v>0.0509778775248477</v>
      </c>
      <c r="D120" s="143" t="n">
        <f aca="false">IFERROR(IF(OR(NOT(ISNUMBER('Price History'!D121)),NOT(ISNUMBER('Price History'!D120)),'Price History'!D120=0),"",'Price History'!D121/'Price History'!D120-1),"")</f>
        <v>-0.0229715156923993</v>
      </c>
      <c r="E120" s="143" t="n">
        <f aca="false">IFERROR(IF(OR(NOT(ISNUMBER('Price History'!E121)),NOT(ISNUMBER('Price History'!E120)),'Price History'!E120=0),"",'Price History'!E121/'Price History'!E120-1),"")</f>
        <v>-0.0543566490329441</v>
      </c>
      <c r="F120" s="143" t="n">
        <f aca="false">IFERROR(IF(OR(NOT(ISNUMBER('Price History'!F121)),NOT(ISNUMBER('Price History'!F120)),'Price History'!F120=0),"",'Price History'!F121/'Price History'!F120-1),"")</f>
        <v>-0.00906111432427215</v>
      </c>
      <c r="G120" s="143" t="n">
        <f aca="false">IFERROR(IF(OR(NOT(ISNUMBER('Price History'!G121)),NOT(ISNUMBER('Price History'!G120)),'Price History'!G120=0),"",'Price History'!G121/'Price History'!G120-1),"")</f>
        <v>-0.0465171566685158</v>
      </c>
      <c r="H120" s="143" t="n">
        <f aca="false">IFERROR(IF(OR(NOT(ISNUMBER('Price History'!H121)),NOT(ISNUMBER('Price History'!H120)),'Price History'!H120=0),"",'Price History'!H121/'Price History'!H120-1),"")</f>
        <v>-0.00459803146777771</v>
      </c>
      <c r="I120" s="143" t="n">
        <f aca="false">IFERROR(IF(OR(NOT(ISNUMBER('Price History'!I121)),NOT(ISNUMBER('Price History'!I120)),'Price History'!I120=0),"",'Price History'!I121/'Price History'!I120-1),"")</f>
        <v>0.0433795712484237</v>
      </c>
      <c r="J120" s="143" t="n">
        <f aca="false">IFERROR(IF(OR(NOT(ISNUMBER('Price History'!J121)),NOT(ISNUMBER('Price History'!J120)),'Price History'!J120=0),"",'Price History'!J121/'Price History'!J120-1),"")</f>
        <v>0.102781237027813</v>
      </c>
      <c r="K120" s="143" t="n">
        <f aca="false">IFERROR(IF(OR(NOT(ISNUMBER('Price History'!K121)),NOT(ISNUMBER('Price History'!K120)),'Price History'!K120=0),"",'Price History'!K121/'Price History'!K120-1),"")</f>
        <v>0.0341332111562911</v>
      </c>
      <c r="L120" s="143" t="n">
        <f aca="false">IFERROR(IF(OR(NOT(ISNUMBER('Price History'!L121)),NOT(ISNUMBER('Price History'!L120)),'Price History'!L120=0),"",'Price History'!L121/'Price History'!L120-1),"")</f>
        <v>-0.0150530819204564</v>
      </c>
      <c r="M120" s="143" t="n">
        <f aca="false">IFERROR(IF(OR(NOT(ISNUMBER('Price History'!M121)),NOT(ISNUMBER('Price History'!M120)),'Price History'!M120=0),"",'Price History'!M121/'Price History'!M120-1),"")</f>
        <v>0.0534401045922537</v>
      </c>
      <c r="N120" s="143" t="n">
        <f aca="false">IFERROR(IF(OR(NOT(ISNUMBER('Price History'!N121)),NOT(ISNUMBER('Price History'!N120)),'Price History'!N120=0),"",'Price History'!N121/'Price History'!N120-1),"")</f>
        <v>-0.00814211695040712</v>
      </c>
      <c r="O120" s="143" t="n">
        <f aca="false">IFERROR(IF(OR(NOT(ISNUMBER('Price History'!O121)),NOT(ISNUMBER('Price History'!O120)),'Price History'!O120=0),"",'Price History'!O121/'Price History'!O120-1),"")</f>
        <v>0.0036409822184591</v>
      </c>
      <c r="P120" s="143" t="n">
        <f aca="false">IFERROR(IF(OR(NOT(ISNUMBER('Price History'!P121)),NOT(ISNUMBER('Price History'!P120)),'Price History'!P120=0),"",'Price History'!P121/'Price History'!P120-1),"")</f>
        <v>-0.0105604638321369</v>
      </c>
      <c r="Q120" s="143" t="n">
        <f aca="false">IFERROR(IF(OR(NOT(ISNUMBER('Price History'!Q121)),NOT(ISNUMBER('Price History'!Q120)),'Price History'!Q120=0),"",'Price History'!Q121/'Price History'!Q120-1),"")</f>
        <v>0.00410701373825018</v>
      </c>
      <c r="R120" s="143" t="n">
        <f aca="false">IFERROR(IF(OR(NOT(ISNUMBER('Price History'!R121)),NOT(ISNUMBER('Price History'!R120)),'Price History'!R120=0),"",'Price History'!R121/'Price History'!R120-1),"")</f>
        <v>0.00190608213481203</v>
      </c>
      <c r="S120" s="143" t="n">
        <f aca="false">IFERROR(IF(OR(NOT(ISNUMBER('Price History'!S121)),NOT(ISNUMBER('Price History'!S120)),'Price History'!S120=0),"",'Price History'!S121/'Price History'!S120-1),"")</f>
        <v>-0.00590567788745466</v>
      </c>
      <c r="T120" s="143" t="n">
        <f aca="false">IFERROR(IF(OR(NOT(ISNUMBER('Price History'!T121)),NOT(ISNUMBER('Price History'!T120)),'Price History'!T120=0),"",'Price History'!T121/'Price History'!T120-1),"")</f>
        <v>0.0110876451953537</v>
      </c>
      <c r="U120" s="143" t="str">
        <f aca="false">IFERROR(IF(OR(NOT(ISNUMBER('Price History'!U121)),NOT(ISNUMBER('Price History'!U120)),'Price History'!U120=0),"",'Price History'!U121/'Price History'!U120-1),"")</f>
        <v/>
      </c>
      <c r="V120" s="144" t="n">
        <f aca="false">IFERROR(IF(OR(NOT(ISNUMBER('Price History'!V121)),NOT(ISNUMBER('Price History'!V120)),'Price History'!V120=0),"",'Price History'!V121/'Price History'!V120-1),"")</f>
        <v>-0.0158992050397481</v>
      </c>
      <c r="W120" s="145" t="str">
        <f aca="false">IFERROR('Price History'!B3+(INDEX('Price History'!B:B,MATCH(9.99E+307,'Price History'!$A:$A))-'Price History'!B3)*(ROW()-3)/(MATCH(9.99E+307,'Returns (Calc)'!$A:$A)-3),"")</f>
        <v/>
      </c>
      <c r="X120" s="145" t="n">
        <f aca="false">IFERROR('Price History'!C3+(INDEX('Price History'!C:C,MATCH(9.99E+307,'Price History'!$A:$A))-'Price History'!C3)*(ROW()-3)/(MATCH(9.99E+307,'Returns (Calc)'!$A:$A)-3),"")</f>
        <v>12.1984905660377</v>
      </c>
      <c r="Y120" s="145" t="n">
        <f aca="false">IFERROR('Price History'!D3+(INDEX('Price History'!D:D,MATCH(9.99E+307,'Price History'!$A:$A))-'Price History'!D3)*(ROW()-3)/(MATCH(9.99E+307,'Returns (Calc)'!$A:$A)-3),"")</f>
        <v>153.738490566038</v>
      </c>
      <c r="Z120" s="145" t="n">
        <f aca="false">IFERROR('Price History'!E3+(INDEX('Price History'!E:E,MATCH(9.99E+307,'Price History'!$A:$A))-'Price History'!E3)*(ROW()-3)/(MATCH(9.99E+307,'Returns (Calc)'!$A:$A)-3),"")</f>
        <v>21.6603773584906</v>
      </c>
      <c r="AA120" s="145" t="n">
        <f aca="false">IFERROR('Price History'!F3+(INDEX('Price History'!F:F,MATCH(9.99E+307,'Price History'!$A:$A))-'Price History'!F3)*(ROW()-3)/(MATCH(9.99E+307,'Returns (Calc)'!$A:$A)-3),"")</f>
        <v>19.8932075471698</v>
      </c>
      <c r="AB120" s="145" t="n">
        <f aca="false">IFERROR('Price History'!G3+(INDEX('Price History'!G:G,MATCH(9.99E+307,'Price History'!$A:$A))-'Price History'!G3)*(ROW()-3)/(MATCH(9.99E+307,'Returns (Calc)'!$A:$A)-3),"")</f>
        <v>10.9252830188679</v>
      </c>
      <c r="AC120" s="145" t="n">
        <f aca="false">IFERROR('Price History'!H3+(INDEX('Price History'!H:H,MATCH(9.99E+307,'Price History'!$A:$A))-'Price History'!H3)*(ROW()-3)/(MATCH(9.99E+307,'Returns (Calc)'!$A:$A)-3),"")</f>
        <v>26.5709433962264</v>
      </c>
      <c r="AD120" s="145" t="n">
        <f aca="false">IFERROR('Price History'!I3+(INDEX('Price History'!I:I,MATCH(9.99E+307,'Price History'!$A:$A))-'Price History'!I3)*(ROW()-3)/(MATCH(9.99E+307,'Returns (Calc)'!$A:$A)-3),"")</f>
        <v>11.7150943396226</v>
      </c>
      <c r="AE120" s="145" t="n">
        <f aca="false">IFERROR('Price History'!J3+(INDEX('Price History'!J:J,MATCH(9.99E+307,'Price History'!$A:$A))-'Price History'!J3)*(ROW()-3)/(MATCH(9.99E+307,'Returns (Calc)'!$A:$A)-3),"")</f>
        <v>18.2554716981132</v>
      </c>
      <c r="AF120" s="145" t="n">
        <f aca="false">IFERROR('Price History'!K3+(INDEX('Price History'!K:K,MATCH(9.99E+307,'Price History'!$A:$A))-'Price History'!K3)*(ROW()-3)/(MATCH(9.99E+307,'Returns (Calc)'!$A:$A)-3),"")</f>
        <v>11.5618867924528</v>
      </c>
      <c r="AG120" s="145" t="n">
        <f aca="false">IFERROR('Price History'!L3+(INDEX('Price History'!L:L,MATCH(9.99E+307,'Price History'!$A:$A))-'Price History'!L3)*(ROW()-3)/(MATCH(9.99E+307,'Returns (Calc)'!$A:$A)-3),"")</f>
        <v>29.542641509434</v>
      </c>
      <c r="AH120" s="145" t="n">
        <f aca="false">IFERROR('Price History'!M3+(INDEX('Price History'!M:M,MATCH(9.99E+307,'Price History'!$A:$A))-'Price History'!M3)*(ROW()-3)/(MATCH(9.99E+307,'Returns (Calc)'!$A:$A)-3),"")</f>
        <v>4.04943396226415</v>
      </c>
      <c r="AI120" s="145" t="n">
        <f aca="false">IFERROR('Price History'!N3+(INDEX('Price History'!N:N,MATCH(9.99E+307,'Price History'!$A:$A))-'Price History'!N3)*(ROW()-3)/(MATCH(9.99E+307,'Returns (Calc)'!$A:$A)-3),"")</f>
        <v>5.75849056603774</v>
      </c>
      <c r="AJ120" s="145" t="n">
        <f aca="false">IFERROR('Price History'!O3+(INDEX('Price History'!O:O,MATCH(9.99E+307,'Price History'!$A:$A))-'Price History'!O3)*(ROW()-3)/(MATCH(9.99E+307,'Returns (Calc)'!$A:$A)-3),"")</f>
        <v>15.2230188679245</v>
      </c>
      <c r="AK120" s="145" t="n">
        <f aca="false">IFERROR('Price History'!Q3+(INDEX('Price History'!Q:Q,MATCH(9.99E+307,'Price History'!$A:$A))-'Price History'!Q3)*(ROW()-3)/(MATCH(9.99E+307,'Returns (Calc)'!$A:$A)-3),"")</f>
        <v>62.2418867924528</v>
      </c>
      <c r="AL120" s="145" t="n">
        <f aca="false">IFERROR('Price History'!R3+(INDEX('Price History'!R:R,MATCH(9.99E+307,'Price History'!$A:$A))-'Price History'!R3)*(ROW()-3)/(MATCH(9.99E+307,'Returns (Calc)'!$A:$A)-3),"")</f>
        <v>12.6316981132075</v>
      </c>
      <c r="AM120" s="145" t="n">
        <f aca="false">IFERROR('Price History'!S3+(INDEX('Price History'!S:S,MATCH(9.99E+307,'Price History'!$A:$A))-'Price History'!S3)*(ROW()-3)/(MATCH(9.99E+307,'Returns (Calc)'!$A:$A)-3),"")</f>
        <v>15.4633962264151</v>
      </c>
      <c r="AN120" s="145" t="n">
        <f aca="false">IFERROR('Price History'!T3+(INDEX('Price History'!T:T,MATCH(9.99E+307,'Price History'!$A:$A))-'Price History'!T3)*(ROW()-3)/(MATCH(9.99E+307,'Returns (Calc)'!$A:$A)-3),"")</f>
        <v>7.10830188679245</v>
      </c>
      <c r="AO120" s="146" t="n">
        <f aca="false">IFERROR('Price History'!V3+(INDEX('Price History'!V:V,MATCH(9.99E+307,'Price History'!$A:$A))-'Price History'!V3)*(ROW()-3)/(MATCH(9.99E+307,'Returns (Calc)'!$A:$A)-3),"")</f>
        <v>0</v>
      </c>
    </row>
    <row r="121" customFormat="false" ht="15" hidden="false" customHeight="true" outlineLevel="0" collapsed="false">
      <c r="A121" s="142" t="n">
        <f aca="false">IF('Price History'!A122="","",'Price History'!A122)</f>
        <v>46017</v>
      </c>
      <c r="B121" s="143" t="n">
        <f aca="false">IFERROR(IF(OR(NOT(ISNUMBER('Price History'!B122)),NOT(ISNUMBER('Price History'!B121)),'Price History'!B121=0),"",'Price History'!B122/'Price History'!B121-1),"")</f>
        <v>-0.00578879334569771</v>
      </c>
      <c r="C121" s="143" t="n">
        <f aca="false">IFERROR(IF(OR(NOT(ISNUMBER('Price History'!C122)),NOT(ISNUMBER('Price History'!C121)),'Price History'!C121=0),"",'Price History'!C122/'Price History'!C121-1),"")</f>
        <v>0.00549115314215976</v>
      </c>
      <c r="D121" s="143" t="n">
        <f aca="false">IFERROR(IF(OR(NOT(ISNUMBER('Price History'!D122)),NOT(ISNUMBER('Price History'!D121)),'Price History'!D121=0),"",'Price History'!D122/'Price History'!D121-1),"")</f>
        <v>0.0158425073979276</v>
      </c>
      <c r="E121" s="143" t="n">
        <f aca="false">IFERROR(IF(OR(NOT(ISNUMBER('Price History'!E122)),NOT(ISNUMBER('Price History'!E121)),'Price History'!E121=0),"",'Price History'!E122/'Price History'!E121-1),"")</f>
        <v>0.0365546840313749</v>
      </c>
      <c r="F121" s="143" t="n">
        <f aca="false">IFERROR(IF(OR(NOT(ISNUMBER('Price History'!F122)),NOT(ISNUMBER('Price History'!F121)),'Price History'!F121=0),"",'Price History'!F122/'Price History'!F121-1),"")</f>
        <v>-0.000875486381322954</v>
      </c>
      <c r="G121" s="143" t="n">
        <f aca="false">IFERROR(IF(OR(NOT(ISNUMBER('Price History'!G122)),NOT(ISNUMBER('Price History'!G121)),'Price History'!G121=0),"",'Price History'!G122/'Price History'!G121-1),"")</f>
        <v>-0.000166223404255317</v>
      </c>
      <c r="H121" s="143" t="n">
        <f aca="false">IFERROR(IF(OR(NOT(ISNUMBER('Price History'!H122)),NOT(ISNUMBER('Price History'!H121)),'Price History'!H121=0),"",'Price History'!H122/'Price History'!H121-1),"")</f>
        <v>0.00526885600866112</v>
      </c>
      <c r="I121" s="143" t="n">
        <f aca="false">IFERROR(IF(OR(NOT(ISNUMBER('Price History'!I122)),NOT(ISNUMBER('Price History'!I121)),'Price History'!I121=0),"",'Price History'!I122/'Price History'!I121-1),"")</f>
        <v>0.0272339054064943</v>
      </c>
      <c r="J121" s="143" t="n">
        <f aca="false">IFERROR(IF(OR(NOT(ISNUMBER('Price History'!J122)),NOT(ISNUMBER('Price History'!J121)),'Price History'!J121=0),"",'Price History'!J122/'Price History'!J121-1),"")</f>
        <v>0.0709553564706766</v>
      </c>
      <c r="K121" s="143" t="n">
        <f aca="false">IFERROR(IF(OR(NOT(ISNUMBER('Price History'!K122)),NOT(ISNUMBER('Price History'!K121)),'Price History'!K121=0),"",'Price History'!K122/'Price History'!K121-1),"")</f>
        <v>0.0527219360912665</v>
      </c>
      <c r="L121" s="143" t="n">
        <f aca="false">IFERROR(IF(OR(NOT(ISNUMBER('Price History'!L122)),NOT(ISNUMBER('Price History'!L121)),'Price History'!L121=0),"",'Price History'!L122/'Price History'!L121-1),"")</f>
        <v>0.0115830115830118</v>
      </c>
      <c r="M121" s="143" t="n">
        <f aca="false">IFERROR(IF(OR(NOT(ISNUMBER('Price History'!M122)),NOT(ISNUMBER('Price History'!M121)),'Price History'!M121=0),"",'Price History'!M122/'Price History'!M121-1),"")</f>
        <v>-0.0241493432619712</v>
      </c>
      <c r="N121" s="143" t="n">
        <f aca="false">IFERROR(IF(OR(NOT(ISNUMBER('Price History'!N122)),NOT(ISNUMBER('Price History'!N121)),'Price History'!N121=0),"",'Price History'!N122/'Price History'!N121-1),"")</f>
        <v>0.00671641791044775</v>
      </c>
      <c r="O121" s="143" t="n">
        <f aca="false">IFERROR(IF(OR(NOT(ISNUMBER('Price History'!O122)),NOT(ISNUMBER('Price History'!O121)),'Price History'!O121=0),"",'Price History'!O122/'Price History'!O121-1),"")</f>
        <v>0.0179701341432548</v>
      </c>
      <c r="P121" s="143" t="n">
        <f aca="false">IFERROR(IF(OR(NOT(ISNUMBER('Price History'!P122)),NOT(ISNUMBER('Price History'!P121)),'Price History'!P121=0),"",'Price History'!P122/'Price History'!P121-1),"")</f>
        <v>0.0480641785838858</v>
      </c>
      <c r="Q121" s="143" t="n">
        <f aca="false">IFERROR(IF(OR(NOT(ISNUMBER('Price History'!Q122)),NOT(ISNUMBER('Price History'!Q121)),'Price History'!Q121=0),"",'Price History'!Q122/'Price History'!Q121-1),"")</f>
        <v>0.0164472736699599</v>
      </c>
      <c r="R121" s="143" t="n">
        <f aca="false">IFERROR(IF(OR(NOT(ISNUMBER('Price History'!R122)),NOT(ISNUMBER('Price History'!R121)),'Price History'!R121=0),"",'Price History'!R122/'Price History'!R121-1),"")</f>
        <v>-0.0273261847111725</v>
      </c>
      <c r="S121" s="143" t="n">
        <f aca="false">IFERROR(IF(OR(NOT(ISNUMBER('Price History'!S122)),NOT(ISNUMBER('Price History'!S121)),'Price History'!S121=0),"",'Price History'!S122/'Price History'!S121-1),"")</f>
        <v>-0.0299584146651957</v>
      </c>
      <c r="T121" s="143" t="n">
        <f aca="false">IFERROR(IF(OR(NOT(ISNUMBER('Price History'!T122)),NOT(ISNUMBER('Price History'!T121)),'Price History'!T121=0),"",'Price History'!T122/'Price History'!T121-1),"")</f>
        <v>-0.0201044386422975</v>
      </c>
      <c r="U121" s="143" t="str">
        <f aca="false">IFERROR(IF(OR(NOT(ISNUMBER('Price History'!U122)),NOT(ISNUMBER('Price History'!U121)),'Price History'!U121=0),"",'Price History'!U122/'Price History'!U121-1),"")</f>
        <v/>
      </c>
      <c r="V121" s="144" t="n">
        <f aca="false">IFERROR(IF(OR(NOT(ISNUMBER('Price History'!V122)),NOT(ISNUMBER('Price History'!V121)),'Price History'!V121=0),"",'Price History'!V122/'Price History'!V121-1),"")</f>
        <v>-0.00618808108520053</v>
      </c>
      <c r="W121" s="145" t="str">
        <f aca="false">IFERROR('Price History'!B3+(INDEX('Price History'!B:B,MATCH(9.99E+307,'Price History'!$A:$A))-'Price History'!B3)*(ROW()-3)/(MATCH(9.99E+307,'Returns (Calc)'!$A:$A)-3),"")</f>
        <v/>
      </c>
      <c r="X121" s="145" t="n">
        <f aca="false">IFERROR('Price History'!C3+(INDEX('Price History'!C:C,MATCH(9.99E+307,'Price History'!$A:$A))-'Price History'!C3)*(ROW()-3)/(MATCH(9.99E+307,'Returns (Calc)'!$A:$A)-3),"")</f>
        <v>11.9080503144654</v>
      </c>
      <c r="Y121" s="145" t="n">
        <f aca="false">IFERROR('Price History'!D3+(INDEX('Price History'!D:D,MATCH(9.99E+307,'Price History'!$A:$A))-'Price History'!D3)*(ROW()-3)/(MATCH(9.99E+307,'Returns (Calc)'!$A:$A)-3),"")</f>
        <v>150.078050314465</v>
      </c>
      <c r="Z121" s="145" t="n">
        <f aca="false">IFERROR('Price History'!E3+(INDEX('Price History'!E:E,MATCH(9.99E+307,'Price History'!$A:$A))-'Price History'!E3)*(ROW()-3)/(MATCH(9.99E+307,'Returns (Calc)'!$A:$A)-3),"")</f>
        <v>21.1446540880503</v>
      </c>
      <c r="AA121" s="145" t="n">
        <f aca="false">IFERROR('Price History'!F3+(INDEX('Price History'!F:F,MATCH(9.99E+307,'Price History'!$A:$A))-'Price History'!F3)*(ROW()-3)/(MATCH(9.99E+307,'Returns (Calc)'!$A:$A)-3),"")</f>
        <v>19.4195597484277</v>
      </c>
      <c r="AB121" s="145" t="n">
        <f aca="false">IFERROR('Price History'!G3+(INDEX('Price History'!G:G,MATCH(9.99E+307,'Price History'!$A:$A))-'Price History'!G3)*(ROW()-3)/(MATCH(9.99E+307,'Returns (Calc)'!$A:$A)-3),"")</f>
        <v>10.6651572327044</v>
      </c>
      <c r="AC121" s="145" t="n">
        <f aca="false">IFERROR('Price History'!H3+(INDEX('Price History'!H:H,MATCH(9.99E+307,'Price History'!$A:$A))-'Price History'!H3)*(ROW()-3)/(MATCH(9.99E+307,'Returns (Calc)'!$A:$A)-3),"")</f>
        <v>25.9383018867924</v>
      </c>
      <c r="AD121" s="145" t="n">
        <f aca="false">IFERROR('Price History'!I3+(INDEX('Price History'!I:I,MATCH(9.99E+307,'Price History'!$A:$A))-'Price History'!I3)*(ROW()-3)/(MATCH(9.99E+307,'Returns (Calc)'!$A:$A)-3),"")</f>
        <v>11.4361635220126</v>
      </c>
      <c r="AE121" s="145" t="n">
        <f aca="false">IFERROR('Price History'!J3+(INDEX('Price History'!J:J,MATCH(9.99E+307,'Price History'!$A:$A))-'Price History'!J3)*(ROW()-3)/(MATCH(9.99E+307,'Returns (Calc)'!$A:$A)-3),"")</f>
        <v>17.8208176100629</v>
      </c>
      <c r="AF121" s="145" t="n">
        <f aca="false">IFERROR('Price History'!K3+(INDEX('Price History'!K:K,MATCH(9.99E+307,'Price History'!$A:$A))-'Price History'!K3)*(ROW()-3)/(MATCH(9.99E+307,'Returns (Calc)'!$A:$A)-3),"")</f>
        <v>11.2866037735849</v>
      </c>
      <c r="AG121" s="145" t="n">
        <f aca="false">IFERROR('Price History'!L3+(INDEX('Price History'!L:L,MATCH(9.99E+307,'Price History'!$A:$A))-'Price History'!L3)*(ROW()-3)/(MATCH(9.99E+307,'Returns (Calc)'!$A:$A)-3),"")</f>
        <v>28.8392452830189</v>
      </c>
      <c r="AH121" s="145" t="n">
        <f aca="false">IFERROR('Price History'!M3+(INDEX('Price History'!M:M,MATCH(9.99E+307,'Price History'!$A:$A))-'Price History'!M3)*(ROW()-3)/(MATCH(9.99E+307,'Returns (Calc)'!$A:$A)-3),"")</f>
        <v>3.95301886792453</v>
      </c>
      <c r="AI121" s="145" t="n">
        <f aca="false">IFERROR('Price History'!N3+(INDEX('Price History'!N:N,MATCH(9.99E+307,'Price History'!$A:$A))-'Price History'!N3)*(ROW()-3)/(MATCH(9.99E+307,'Returns (Calc)'!$A:$A)-3),"")</f>
        <v>5.62138364779874</v>
      </c>
      <c r="AJ121" s="145" t="n">
        <f aca="false">IFERROR('Price History'!O3+(INDEX('Price History'!O:O,MATCH(9.99E+307,'Price History'!$A:$A))-'Price History'!O3)*(ROW()-3)/(MATCH(9.99E+307,'Returns (Calc)'!$A:$A)-3),"")</f>
        <v>14.8605660377359</v>
      </c>
      <c r="AK121" s="145" t="n">
        <f aca="false">IFERROR('Price History'!Q3+(INDEX('Price History'!Q:Q,MATCH(9.99E+307,'Price History'!$A:$A))-'Price History'!Q3)*(ROW()-3)/(MATCH(9.99E+307,'Returns (Calc)'!$A:$A)-3),"")</f>
        <v>60.7599371069182</v>
      </c>
      <c r="AL121" s="145" t="n">
        <f aca="false">IFERROR('Price History'!R3+(INDEX('Price History'!R:R,MATCH(9.99E+307,'Price History'!$A:$A))-'Price History'!R3)*(ROW()-3)/(MATCH(9.99E+307,'Returns (Calc)'!$A:$A)-3),"")</f>
        <v>12.3309433962264</v>
      </c>
      <c r="AM121" s="145" t="n">
        <f aca="false">IFERROR('Price History'!S3+(INDEX('Price History'!S:S,MATCH(9.99E+307,'Price History'!$A:$A))-'Price History'!S3)*(ROW()-3)/(MATCH(9.99E+307,'Returns (Calc)'!$A:$A)-3),"")</f>
        <v>15.0952201257862</v>
      </c>
      <c r="AN121" s="145" t="n">
        <f aca="false">IFERROR('Price History'!T3+(INDEX('Price History'!T:T,MATCH(9.99E+307,'Price History'!$A:$A))-'Price History'!T3)*(ROW()-3)/(MATCH(9.99E+307,'Returns (Calc)'!$A:$A)-3),"")</f>
        <v>6.93905660377358</v>
      </c>
      <c r="AO121" s="146" t="n">
        <f aca="false">IFERROR('Price History'!V3+(INDEX('Price History'!V:V,MATCH(9.99E+307,'Price History'!$A:$A))-'Price History'!V3)*(ROW()-3)/(MATCH(9.99E+307,'Returns (Calc)'!$A:$A)-3),"")</f>
        <v>0</v>
      </c>
    </row>
    <row r="122" customFormat="false" ht="15" hidden="false" customHeight="true" outlineLevel="0" collapsed="false">
      <c r="A122" s="142" t="n">
        <f aca="false">IF('Price History'!A123="","",'Price History'!A123)</f>
        <v>46024</v>
      </c>
      <c r="B122" s="143" t="n">
        <f aca="false">IFERROR(IF(OR(NOT(ISNUMBER('Price History'!B123)),NOT(ISNUMBER('Price History'!B122)),'Price History'!B122=0),"",'Price History'!B123/'Price History'!B122-1),"")</f>
        <v>-0.0579423403052572</v>
      </c>
      <c r="C122" s="143" t="n">
        <f aca="false">IFERROR(IF(OR(NOT(ISNUMBER('Price History'!C123)),NOT(ISNUMBER('Price History'!C122)),'Price History'!C122=0),"",'Price History'!C123/'Price History'!C122-1),"")</f>
        <v>0.0133495145631066</v>
      </c>
      <c r="D122" s="143" t="n">
        <f aca="false">IFERROR(IF(OR(NOT(ISNUMBER('Price History'!D123)),NOT(ISNUMBER('Price History'!D122)),'Price History'!D122=0),"",'Price History'!D123/'Price History'!D122-1),"")</f>
        <v>0.0848616548959369</v>
      </c>
      <c r="E122" s="143" t="n">
        <f aca="false">IFERROR(IF(OR(NOT(ISNUMBER('Price History'!E123)),NOT(ISNUMBER('Price History'!E122)),'Price History'!E122=0),"",'Price History'!E123/'Price History'!E122-1),"")</f>
        <v>-0.0128212450028555</v>
      </c>
      <c r="F122" s="143" t="n">
        <f aca="false">IFERROR(IF(OR(NOT(ISNUMBER('Price History'!F123)),NOT(ISNUMBER('Price History'!F122)),'Price History'!F122=0),"",'Price History'!F123/'Price History'!F122-1),"")</f>
        <v>-0.00554960568591167</v>
      </c>
      <c r="G122" s="143" t="n">
        <f aca="false">IFERROR(IF(OR(NOT(ISNUMBER('Price History'!G123)),NOT(ISNUMBER('Price History'!G122)),'Price History'!G122=0),"",'Price History'!G123/'Price History'!G122-1),"")</f>
        <v>-0.0574397339983375</v>
      </c>
      <c r="H122" s="143" t="n">
        <f aca="false">IFERROR(IF(OR(NOT(ISNUMBER('Price History'!H123)),NOT(ISNUMBER('Price History'!H122)),'Price History'!H122=0),"",'Price History'!H123/'Price History'!H122-1),"")</f>
        <v>7.17978173463418E-005</v>
      </c>
      <c r="I122" s="143" t="n">
        <f aca="false">IFERROR(IF(OR(NOT(ISNUMBER('Price History'!I123)),NOT(ISNUMBER('Price History'!I122)),'Price History'!I122=0),"",'Price History'!I123/'Price History'!I122-1),"")</f>
        <v>-0.00400031375009802</v>
      </c>
      <c r="J122" s="143" t="n">
        <f aca="false">IFERROR(IF(OR(NOT(ISNUMBER('Price History'!J123)),NOT(ISNUMBER('Price History'!J122)),'Price History'!J122=0),"",'Price History'!J123/'Price History'!J122-1),"")</f>
        <v>0.108010263259639</v>
      </c>
      <c r="K122" s="143" t="n">
        <f aca="false">IFERROR(IF(OR(NOT(ISNUMBER('Price History'!K123)),NOT(ISNUMBER('Price History'!K122)),'Price History'!K122=0),"",'Price History'!K123/'Price History'!K122-1),"")</f>
        <v>-0.00883791888053032</v>
      </c>
      <c r="L122" s="143" t="n">
        <f aca="false">IFERROR(IF(OR(NOT(ISNUMBER('Price History'!L123)),NOT(ISNUMBER('Price History'!L122)),'Price History'!L122=0),"",'Price History'!L123/'Price History'!L122-1),"")</f>
        <v>0.0027035623409668</v>
      </c>
      <c r="M122" s="143" t="n">
        <f aca="false">IFERROR(IF(OR(NOT(ISNUMBER('Price History'!M123)),NOT(ISNUMBER('Price History'!M122)),'Price History'!M122=0),"",'Price History'!M123/'Price History'!M122-1),"")</f>
        <v>-0.110486990620529</v>
      </c>
      <c r="N122" s="143" t="n">
        <f aca="false">IFERROR(IF(OR(NOT(ISNUMBER('Price History'!N123)),NOT(ISNUMBER('Price History'!N122)),'Price History'!N122=0),"",'Price History'!N123/'Price History'!N122-1),"")</f>
        <v>0.00296515937731656</v>
      </c>
      <c r="O122" s="143" t="n">
        <f aca="false">IFERROR(IF(OR(NOT(ISNUMBER('Price History'!O123)),NOT(ISNUMBER('Price History'!O122)),'Price History'!O122=0),"",'Price History'!O123/'Price History'!O122-1),"")</f>
        <v>-0.01408917619758</v>
      </c>
      <c r="P122" s="143" t="n">
        <f aca="false">IFERROR(IF(OR(NOT(ISNUMBER('Price History'!P123)),NOT(ISNUMBER('Price History'!P122)),'Price History'!P122=0),"",'Price History'!P123/'Price History'!P122-1),"")</f>
        <v>0.0553780617678381</v>
      </c>
      <c r="Q122" s="143" t="n">
        <f aca="false">IFERROR(IF(OR(NOT(ISNUMBER('Price History'!Q123)),NOT(ISNUMBER('Price History'!Q122)),'Price History'!Q122=0),"",'Price History'!Q123/'Price History'!Q122-1),"")</f>
        <v>-0.0240024937655859</v>
      </c>
      <c r="R122" s="143" t="n">
        <f aca="false">IFERROR(IF(OR(NOT(ISNUMBER('Price History'!R123)),NOT(ISNUMBER('Price History'!R122)),'Price History'!R122=0),"",'Price History'!R123/'Price History'!R122-1),"")</f>
        <v>0.045697012802276</v>
      </c>
      <c r="S122" s="143" t="n">
        <f aca="false">IFERROR(IF(OR(NOT(ISNUMBER('Price History'!S123)),NOT(ISNUMBER('Price History'!S122)),'Price History'!S122=0),"",'Price History'!S123/'Price History'!S122-1),"")</f>
        <v>0.0509186351706037</v>
      </c>
      <c r="T122" s="143" t="n">
        <f aca="false">IFERROR(IF(OR(NOT(ISNUMBER('Price History'!T123)),NOT(ISNUMBER('Price History'!T122)),'Price History'!T122=0),"",'Price History'!T123/'Price History'!T122-1),"")</f>
        <v>0.0343725019984014</v>
      </c>
      <c r="U122" s="143" t="str">
        <f aca="false">IFERROR(IF(OR(NOT(ISNUMBER('Price History'!U123)),NOT(ISNUMBER('Price History'!U122)),'Price History'!U122=0),"",'Price History'!U123/'Price History'!U122-1),"")</f>
        <v/>
      </c>
      <c r="V122" s="144" t="n">
        <f aca="false">IFERROR(IF(OR(NOT(ISNUMBER('Price History'!V123)),NOT(ISNUMBER('Price History'!V122)),'Price History'!V122=0),"",'Price History'!V123/'Price History'!V122-1),"")</f>
        <v>0.0196920434329182</v>
      </c>
      <c r="W122" s="145" t="str">
        <f aca="false">IFERROR('Price History'!B3+(INDEX('Price History'!B:B,MATCH(9.99E+307,'Price History'!$A:$A))-'Price History'!B3)*(ROW()-3)/(MATCH(9.99E+307,'Returns (Calc)'!$A:$A)-3),"")</f>
        <v/>
      </c>
      <c r="X122" s="145" t="n">
        <f aca="false">IFERROR('Price History'!C3+(INDEX('Price History'!C:C,MATCH(9.99E+307,'Price History'!$A:$A))-'Price History'!C3)*(ROW()-3)/(MATCH(9.99E+307,'Returns (Calc)'!$A:$A)-3),"")</f>
        <v>11.6176100628931</v>
      </c>
      <c r="Y122" s="145" t="n">
        <f aca="false">IFERROR('Price History'!D3+(INDEX('Price History'!D:D,MATCH(9.99E+307,'Price History'!$A:$A))-'Price History'!D3)*(ROW()-3)/(MATCH(9.99E+307,'Returns (Calc)'!$A:$A)-3),"")</f>
        <v>146.417610062893</v>
      </c>
      <c r="Z122" s="145" t="n">
        <f aca="false">IFERROR('Price History'!E3+(INDEX('Price History'!E:E,MATCH(9.99E+307,'Price History'!$A:$A))-'Price History'!E3)*(ROW()-3)/(MATCH(9.99E+307,'Returns (Calc)'!$A:$A)-3),"")</f>
        <v>20.6289308176101</v>
      </c>
      <c r="AA122" s="145" t="n">
        <f aca="false">IFERROR('Price History'!F3+(INDEX('Price History'!F:F,MATCH(9.99E+307,'Price History'!$A:$A))-'Price History'!F3)*(ROW()-3)/(MATCH(9.99E+307,'Returns (Calc)'!$A:$A)-3),"")</f>
        <v>18.9459119496855</v>
      </c>
      <c r="AB122" s="145" t="n">
        <f aca="false">IFERROR('Price History'!G3+(INDEX('Price History'!G:G,MATCH(9.99E+307,'Price History'!$A:$A))-'Price History'!G3)*(ROW()-3)/(MATCH(9.99E+307,'Returns (Calc)'!$A:$A)-3),"")</f>
        <v>10.4050314465409</v>
      </c>
      <c r="AC122" s="145" t="n">
        <f aca="false">IFERROR('Price History'!H3+(INDEX('Price History'!H:H,MATCH(9.99E+307,'Price History'!$A:$A))-'Price History'!H3)*(ROW()-3)/(MATCH(9.99E+307,'Returns (Calc)'!$A:$A)-3),"")</f>
        <v>25.3056603773585</v>
      </c>
      <c r="AD122" s="145" t="n">
        <f aca="false">IFERROR('Price History'!I3+(INDEX('Price History'!I:I,MATCH(9.99E+307,'Price History'!$A:$A))-'Price History'!I3)*(ROW()-3)/(MATCH(9.99E+307,'Returns (Calc)'!$A:$A)-3),"")</f>
        <v>11.1572327044025</v>
      </c>
      <c r="AE122" s="145" t="n">
        <f aca="false">IFERROR('Price History'!J3+(INDEX('Price History'!J:J,MATCH(9.99E+307,'Price History'!$A:$A))-'Price History'!J3)*(ROW()-3)/(MATCH(9.99E+307,'Returns (Calc)'!$A:$A)-3),"")</f>
        <v>17.3861635220126</v>
      </c>
      <c r="AF122" s="145" t="n">
        <f aca="false">IFERROR('Price History'!K3+(INDEX('Price History'!K:K,MATCH(9.99E+307,'Price History'!$A:$A))-'Price History'!K3)*(ROW()-3)/(MATCH(9.99E+307,'Returns (Calc)'!$A:$A)-3),"")</f>
        <v>11.011320754717</v>
      </c>
      <c r="AG122" s="145" t="n">
        <f aca="false">IFERROR('Price History'!L3+(INDEX('Price History'!L:L,MATCH(9.99E+307,'Price History'!$A:$A))-'Price History'!L3)*(ROW()-3)/(MATCH(9.99E+307,'Returns (Calc)'!$A:$A)-3),"")</f>
        <v>28.1358490566038</v>
      </c>
      <c r="AH122" s="145" t="n">
        <f aca="false">IFERROR('Price History'!M3+(INDEX('Price History'!M:M,MATCH(9.99E+307,'Price History'!$A:$A))-'Price History'!M3)*(ROW()-3)/(MATCH(9.99E+307,'Returns (Calc)'!$A:$A)-3),"")</f>
        <v>3.85660377358491</v>
      </c>
      <c r="AI122" s="145" t="n">
        <f aca="false">IFERROR('Price History'!N3+(INDEX('Price History'!N:N,MATCH(9.99E+307,'Price History'!$A:$A))-'Price History'!N3)*(ROW()-3)/(MATCH(9.99E+307,'Returns (Calc)'!$A:$A)-3),"")</f>
        <v>5.48427672955975</v>
      </c>
      <c r="AJ122" s="145" t="n">
        <f aca="false">IFERROR('Price History'!O3+(INDEX('Price History'!O:O,MATCH(9.99E+307,'Price History'!$A:$A))-'Price History'!O3)*(ROW()-3)/(MATCH(9.99E+307,'Returns (Calc)'!$A:$A)-3),"")</f>
        <v>14.4981132075472</v>
      </c>
      <c r="AK122" s="145" t="n">
        <f aca="false">IFERROR('Price History'!Q3+(INDEX('Price History'!Q:Q,MATCH(9.99E+307,'Price History'!$A:$A))-'Price History'!Q3)*(ROW()-3)/(MATCH(9.99E+307,'Returns (Calc)'!$A:$A)-3),"")</f>
        <v>59.2779874213836</v>
      </c>
      <c r="AL122" s="145" t="n">
        <f aca="false">IFERROR('Price History'!R3+(INDEX('Price History'!R:R,MATCH(9.99E+307,'Price History'!$A:$A))-'Price History'!R3)*(ROW()-3)/(MATCH(9.99E+307,'Returns (Calc)'!$A:$A)-3),"")</f>
        <v>12.0301886792453</v>
      </c>
      <c r="AM122" s="145" t="n">
        <f aca="false">IFERROR('Price History'!S3+(INDEX('Price History'!S:S,MATCH(9.99E+307,'Price History'!$A:$A))-'Price History'!S3)*(ROW()-3)/(MATCH(9.99E+307,'Returns (Calc)'!$A:$A)-3),"")</f>
        <v>14.7270440251572</v>
      </c>
      <c r="AN122" s="145" t="n">
        <f aca="false">IFERROR('Price History'!T3+(INDEX('Price History'!T:T,MATCH(9.99E+307,'Price History'!$A:$A))-'Price History'!T3)*(ROW()-3)/(MATCH(9.99E+307,'Returns (Calc)'!$A:$A)-3),"")</f>
        <v>6.76981132075472</v>
      </c>
      <c r="AO122" s="146" t="n">
        <f aca="false">IFERROR('Price History'!V3+(INDEX('Price History'!V:V,MATCH(9.99E+307,'Price History'!$A:$A))-'Price History'!V3)*(ROW()-3)/(MATCH(9.99E+307,'Returns (Calc)'!$A:$A)-3),"")</f>
        <v>0</v>
      </c>
    </row>
    <row r="123" customFormat="false" ht="15" hidden="false" customHeight="true" outlineLevel="0" collapsed="false">
      <c r="A123" s="142" t="n">
        <f aca="false">IF('Price History'!A124="","",'Price History'!A124)</f>
        <v>46031</v>
      </c>
      <c r="B123" s="143" t="n">
        <f aca="false">IFERROR(IF(OR(NOT(ISNUMBER('Price History'!B124)),NOT(ISNUMBER('Price History'!B123)),'Price History'!B123=0),"",'Price History'!B124/'Price History'!B123-1),"")</f>
        <v>0.00195019501950178</v>
      </c>
      <c r="C123" s="143" t="n">
        <f aca="false">IFERROR(IF(OR(NOT(ISNUMBER('Price History'!C124)),NOT(ISNUMBER('Price History'!C123)),'Price History'!C123=0),"",'Price History'!C124/'Price History'!C123-1),"")</f>
        <v>-0.0801646706586826</v>
      </c>
      <c r="D123" s="143" t="n">
        <f aca="false">IFERROR(IF(OR(NOT(ISNUMBER('Price History'!D124)),NOT(ISNUMBER('Price History'!D123)),'Price History'!D123=0),"",'Price History'!D124/'Price History'!D123-1),"")</f>
        <v>0.0946020617844623</v>
      </c>
      <c r="E123" s="143" t="n">
        <f aca="false">IFERROR(IF(OR(NOT(ISNUMBER('Price History'!E124)),NOT(ISNUMBER('Price History'!E123)),'Price History'!E123=0),"",'Price History'!E124/'Price History'!E123-1),"")</f>
        <v>-0.00760753232478084</v>
      </c>
      <c r="F123" s="143" t="n">
        <f aca="false">IFERROR(IF(OR(NOT(ISNUMBER('Price History'!F124)),NOT(ISNUMBER('Price History'!F123)),'Price History'!F123=0),"",'Price History'!F124/'Price History'!F123-1),"")</f>
        <v>0.0408263168200509</v>
      </c>
      <c r="G123" s="143" t="n">
        <f aca="false">IFERROR(IF(OR(NOT(ISNUMBER('Price History'!G124)),NOT(ISNUMBER('Price History'!G123)),'Price History'!G123=0),"",'Price History'!G124/'Price History'!G123-1),"")</f>
        <v>0.0375694505688333</v>
      </c>
      <c r="H123" s="143" t="n">
        <f aca="false">IFERROR(IF(OR(NOT(ISNUMBER('Price History'!H124)),NOT(ISNUMBER('Price History'!H123)),'Price History'!H123=0),"",'Price History'!H124/'Price History'!H123-1),"")</f>
        <v>0.02096345753464</v>
      </c>
      <c r="I123" s="143" t="n">
        <f aca="false">IFERROR(IF(OR(NOT(ISNUMBER('Price History'!I124)),NOT(ISNUMBER('Price History'!I123)),'Price History'!I123=0),"",'Price History'!I124/'Price History'!I123-1),"")</f>
        <v>0.0984406993227278</v>
      </c>
      <c r="J123" s="143" t="n">
        <f aca="false">IFERROR(IF(OR(NOT(ISNUMBER('Price History'!J124)),NOT(ISNUMBER('Price History'!J123)),'Price History'!J123=0),"",'Price History'!J124/'Price History'!J123-1),"")</f>
        <v>0.0940553229285623</v>
      </c>
      <c r="K123" s="143" t="n">
        <f aca="false">IFERROR(IF(OR(NOT(ISNUMBER('Price History'!K124)),NOT(ISNUMBER('Price History'!K123)),'Price History'!K123=0),"",'Price History'!K124/'Price History'!K123-1),"")</f>
        <v>-0.0211241441537073</v>
      </c>
      <c r="L123" s="143" t="n">
        <f aca="false">IFERROR(IF(OR(NOT(ISNUMBER('Price History'!L124)),NOT(ISNUMBER('Price History'!L123)),'Price History'!L123=0),"",'Price History'!L124/'Price History'!L123-1),"")</f>
        <v>0.00269627279936557</v>
      </c>
      <c r="M123" s="143" t="n">
        <f aca="false">IFERROR(IF(OR(NOT(ISNUMBER('Price History'!M124)),NOT(ISNUMBER('Price History'!M123)),'Price History'!M123=0),"",'Price History'!M124/'Price History'!M123-1),"")</f>
        <v>0.0573692362683189</v>
      </c>
      <c r="N123" s="143" t="n">
        <f aca="false">IFERROR(IF(OR(NOT(ISNUMBER('Price History'!N124)),NOT(ISNUMBER('Price History'!N123)),'Price History'!N123=0),"",'Price History'!N124/'Price History'!N123-1),"")</f>
        <v>0.0295639320029564</v>
      </c>
      <c r="O123" s="143" t="n">
        <f aca="false">IFERROR(IF(OR(NOT(ISNUMBER('Price History'!O124)),NOT(ISNUMBER('Price History'!O123)),'Price History'!O123=0),"",'Price History'!O124/'Price History'!O123-1),"")</f>
        <v>0.00294216543375936</v>
      </c>
      <c r="P123" s="143" t="n">
        <f aca="false">IFERROR(IF(OR(NOT(ISNUMBER('Price History'!P124)),NOT(ISNUMBER('Price History'!P123)),'Price History'!P123=0),"",'Price History'!P124/'Price History'!P123-1),"")</f>
        <v>0.0125819878910192</v>
      </c>
      <c r="Q123" s="143" t="n">
        <f aca="false">IFERROR(IF(OR(NOT(ISNUMBER('Price History'!Q124)),NOT(ISNUMBER('Price History'!Q123)),'Price History'!Q123=0),"",'Price History'!Q124/'Price History'!Q123-1),"")</f>
        <v>0.0094944978368805</v>
      </c>
      <c r="R123" s="143" t="n">
        <f aca="false">IFERROR(IF(OR(NOT(ISNUMBER('Price History'!R124)),NOT(ISNUMBER('Price History'!R123)),'Price History'!R123=0),"",'Price History'!R124/'Price History'!R123-1),"")</f>
        <v>0.000170039108994935</v>
      </c>
      <c r="S123" s="143" t="n">
        <f aca="false">IFERROR(IF(OR(NOT(ISNUMBER('Price History'!S124)),NOT(ISNUMBER('Price History'!S123)),'Price History'!S123=0),"",'Price History'!S124/'Price History'!S123-1),"")</f>
        <v>0.00607725607725596</v>
      </c>
      <c r="T123" s="143" t="n">
        <f aca="false">IFERROR(IF(OR(NOT(ISNUMBER('Price History'!T124)),NOT(ISNUMBER('Price History'!T123)),'Price History'!T123=0),"",'Price History'!T124/'Price History'!T123-1),"")</f>
        <v>0.0154559505409584</v>
      </c>
      <c r="U123" s="143" t="str">
        <f aca="false">IFERROR(IF(OR(NOT(ISNUMBER('Price History'!U124)),NOT(ISNUMBER('Price History'!U123)),'Price History'!U123=0),"",'Price History'!U124/'Price History'!U123-1),"")</f>
        <v/>
      </c>
      <c r="V123" s="144" t="n">
        <f aca="false">IFERROR(IF(OR(NOT(ISNUMBER('Price History'!V124)),NOT(ISNUMBER('Price History'!V123)),'Price History'!V123=0),"",'Price History'!V124/'Price History'!V123-1),"")</f>
        <v>-0.00956563590422332</v>
      </c>
      <c r="W123" s="145" t="str">
        <f aca="false">IFERROR('Price History'!B3+(INDEX('Price History'!B:B,MATCH(9.99E+307,'Price History'!$A:$A))-'Price History'!B3)*(ROW()-3)/(MATCH(9.99E+307,'Returns (Calc)'!$A:$A)-3),"")</f>
        <v/>
      </c>
      <c r="X123" s="145" t="n">
        <f aca="false">IFERROR('Price History'!C3+(INDEX('Price History'!C:C,MATCH(9.99E+307,'Price History'!$A:$A))-'Price History'!C3)*(ROW()-3)/(MATCH(9.99E+307,'Returns (Calc)'!$A:$A)-3),"")</f>
        <v>11.3271698113208</v>
      </c>
      <c r="Y123" s="145" t="n">
        <f aca="false">IFERROR('Price History'!D3+(INDEX('Price History'!D:D,MATCH(9.99E+307,'Price History'!$A:$A))-'Price History'!D3)*(ROW()-3)/(MATCH(9.99E+307,'Returns (Calc)'!$A:$A)-3),"")</f>
        <v>142.757169811321</v>
      </c>
      <c r="Z123" s="145" t="n">
        <f aca="false">IFERROR('Price History'!E3+(INDEX('Price History'!E:E,MATCH(9.99E+307,'Price History'!$A:$A))-'Price History'!E3)*(ROW()-3)/(MATCH(9.99E+307,'Returns (Calc)'!$A:$A)-3),"")</f>
        <v>20.1132075471698</v>
      </c>
      <c r="AA123" s="145" t="n">
        <f aca="false">IFERROR('Price History'!F3+(INDEX('Price History'!F:F,MATCH(9.99E+307,'Price History'!$A:$A))-'Price History'!F3)*(ROW()-3)/(MATCH(9.99E+307,'Returns (Calc)'!$A:$A)-3),"")</f>
        <v>18.4722641509434</v>
      </c>
      <c r="AB123" s="145" t="n">
        <f aca="false">IFERROR('Price History'!G3+(INDEX('Price History'!G:G,MATCH(9.99E+307,'Price History'!$A:$A))-'Price History'!G3)*(ROW()-3)/(MATCH(9.99E+307,'Returns (Calc)'!$A:$A)-3),"")</f>
        <v>10.1449056603774</v>
      </c>
      <c r="AC123" s="145" t="n">
        <f aca="false">IFERROR('Price History'!H3+(INDEX('Price History'!H:H,MATCH(9.99E+307,'Price History'!$A:$A))-'Price History'!H3)*(ROW()-3)/(MATCH(9.99E+307,'Returns (Calc)'!$A:$A)-3),"")</f>
        <v>24.6730188679245</v>
      </c>
      <c r="AD123" s="145" t="n">
        <f aca="false">IFERROR('Price History'!I3+(INDEX('Price History'!I:I,MATCH(9.99E+307,'Price History'!$A:$A))-'Price History'!I3)*(ROW()-3)/(MATCH(9.99E+307,'Returns (Calc)'!$A:$A)-3),"")</f>
        <v>10.8783018867925</v>
      </c>
      <c r="AE123" s="145" t="n">
        <f aca="false">IFERROR('Price History'!J3+(INDEX('Price History'!J:J,MATCH(9.99E+307,'Price History'!$A:$A))-'Price History'!J3)*(ROW()-3)/(MATCH(9.99E+307,'Returns (Calc)'!$A:$A)-3),"")</f>
        <v>16.9515094339623</v>
      </c>
      <c r="AF123" s="145" t="n">
        <f aca="false">IFERROR('Price History'!K3+(INDEX('Price History'!K:K,MATCH(9.99E+307,'Price History'!$A:$A))-'Price History'!K3)*(ROW()-3)/(MATCH(9.99E+307,'Returns (Calc)'!$A:$A)-3),"")</f>
        <v>10.7360377358491</v>
      </c>
      <c r="AG123" s="145" t="n">
        <f aca="false">IFERROR('Price History'!L3+(INDEX('Price History'!L:L,MATCH(9.99E+307,'Price History'!$A:$A))-'Price History'!L3)*(ROW()-3)/(MATCH(9.99E+307,'Returns (Calc)'!$A:$A)-3),"")</f>
        <v>27.4324528301887</v>
      </c>
      <c r="AH123" s="145" t="n">
        <f aca="false">IFERROR('Price History'!M3+(INDEX('Price History'!M:M,MATCH(9.99E+307,'Price History'!$A:$A))-'Price History'!M3)*(ROW()-3)/(MATCH(9.99E+307,'Returns (Calc)'!$A:$A)-3),"")</f>
        <v>3.76018867924528</v>
      </c>
      <c r="AI123" s="145" t="n">
        <f aca="false">IFERROR('Price History'!N3+(INDEX('Price History'!N:N,MATCH(9.99E+307,'Price History'!$A:$A))-'Price History'!N3)*(ROW()-3)/(MATCH(9.99E+307,'Returns (Calc)'!$A:$A)-3),"")</f>
        <v>5.34716981132075</v>
      </c>
      <c r="AJ123" s="145" t="n">
        <f aca="false">IFERROR('Price History'!O3+(INDEX('Price History'!O:O,MATCH(9.99E+307,'Price History'!$A:$A))-'Price History'!O3)*(ROW()-3)/(MATCH(9.99E+307,'Returns (Calc)'!$A:$A)-3),"")</f>
        <v>14.1356603773585</v>
      </c>
      <c r="AK123" s="145" t="n">
        <f aca="false">IFERROR('Price History'!Q3+(INDEX('Price History'!Q:Q,MATCH(9.99E+307,'Price History'!$A:$A))-'Price History'!Q3)*(ROW()-3)/(MATCH(9.99E+307,'Returns (Calc)'!$A:$A)-3),"")</f>
        <v>57.7960377358491</v>
      </c>
      <c r="AL123" s="145" t="n">
        <f aca="false">IFERROR('Price History'!R3+(INDEX('Price History'!R:R,MATCH(9.99E+307,'Price History'!$A:$A))-'Price History'!R3)*(ROW()-3)/(MATCH(9.99E+307,'Returns (Calc)'!$A:$A)-3),"")</f>
        <v>11.7294339622642</v>
      </c>
      <c r="AM123" s="145" t="n">
        <f aca="false">IFERROR('Price History'!S3+(INDEX('Price History'!S:S,MATCH(9.99E+307,'Price History'!$A:$A))-'Price History'!S3)*(ROW()-3)/(MATCH(9.99E+307,'Returns (Calc)'!$A:$A)-3),"")</f>
        <v>14.3588679245283</v>
      </c>
      <c r="AN123" s="145" t="n">
        <f aca="false">IFERROR('Price History'!T3+(INDEX('Price History'!T:T,MATCH(9.99E+307,'Price History'!$A:$A))-'Price History'!T3)*(ROW()-3)/(MATCH(9.99E+307,'Returns (Calc)'!$A:$A)-3),"")</f>
        <v>6.60056603773585</v>
      </c>
      <c r="AO123" s="146" t="n">
        <f aca="false">IFERROR('Price History'!V3+(INDEX('Price History'!V:V,MATCH(9.99E+307,'Price History'!$A:$A))-'Price History'!V3)*(ROW()-3)/(MATCH(9.99E+307,'Returns (Calc)'!$A:$A)-3),"")</f>
        <v>0</v>
      </c>
    </row>
    <row r="124" customFormat="false" ht="15" hidden="false" customHeight="true" outlineLevel="0" collapsed="false">
      <c r="A124" s="142" t="n">
        <f aca="false">IF('Price History'!A125="","",'Price History'!A125)</f>
        <v>46038</v>
      </c>
      <c r="B124" s="143" t="n">
        <f aca="false">IFERROR(IF(OR(NOT(ISNUMBER('Price History'!B125)),NOT(ISNUMBER('Price History'!B124)),'Price History'!B124=0),"",'Price History'!B125/'Price History'!B124-1),"")</f>
        <v>-0.113280431202276</v>
      </c>
      <c r="C124" s="143" t="n">
        <f aca="false">IFERROR(IF(OR(NOT(ISNUMBER('Price History'!C125)),NOT(ISNUMBER('Price History'!C124)),'Price History'!C124=0),"",'Price History'!C125/'Price History'!C124-1),"")</f>
        <v>0.0564732687769551</v>
      </c>
      <c r="D124" s="143" t="n">
        <f aca="false">IFERROR(IF(OR(NOT(ISNUMBER('Price History'!D125)),NOT(ISNUMBER('Price History'!D124)),'Price History'!D124=0),"",'Price History'!D125/'Price History'!D124-1),"")</f>
        <v>0.0664778867162543</v>
      </c>
      <c r="E124" s="143" t="n">
        <f aca="false">IFERROR(IF(OR(NOT(ISNUMBER('Price History'!E125)),NOT(ISNUMBER('Price History'!E124)),'Price History'!E124=0),"",'Price History'!E125/'Price History'!E124-1),"")</f>
        <v>0.0195289728343244</v>
      </c>
      <c r="F124" s="143" t="n">
        <f aca="false">IFERROR(IF(OR(NOT(ISNUMBER('Price History'!F125)),NOT(ISNUMBER('Price History'!F124)),'Price History'!F124=0),"",'Price History'!F125/'Price History'!F124-1),"")</f>
        <v>0.0110055498071677</v>
      </c>
      <c r="G124" s="143" t="n">
        <f aca="false">IFERROR(IF(OR(NOT(ISNUMBER('Price History'!G125)),NOT(ISNUMBER('Price History'!G124)),'Price History'!G124=0),"",'Price History'!G125/'Price History'!G124-1),"")</f>
        <v>-0.0355291117722057</v>
      </c>
      <c r="H124" s="143" t="n">
        <f aca="false">IFERROR(IF(OR(NOT(ISNUMBER('Price History'!H125)),NOT(ISNUMBER('Price History'!H124)),'Price History'!H124=0),"",'Price History'!H125/'Price History'!H124-1),"")</f>
        <v>0.013008930454961</v>
      </c>
      <c r="I124" s="143" t="n">
        <f aca="false">IFERROR(IF(OR(NOT(ISNUMBER('Price History'!I125)),NOT(ISNUMBER('Price History'!I124)),'Price History'!I124=0),"",'Price History'!I125/'Price History'!I124-1),"")</f>
        <v>0.1198738170347</v>
      </c>
      <c r="J124" s="143" t="n">
        <f aca="false">IFERROR(IF(OR(NOT(ISNUMBER('Price History'!J125)),NOT(ISNUMBER('Price History'!J124)),'Price History'!J124=0),"",'Price History'!J125/'Price History'!J124-1),"")</f>
        <v>0.0511757371915684</v>
      </c>
      <c r="K124" s="143" t="n">
        <f aca="false">IFERROR(IF(OR(NOT(ISNUMBER('Price History'!K125)),NOT(ISNUMBER('Price History'!K124)),'Price History'!K124=0),"",'Price History'!K125/'Price History'!K124-1),"")</f>
        <v>0.00742829257712963</v>
      </c>
      <c r="L124" s="143" t="n">
        <f aca="false">IFERROR(IF(OR(NOT(ISNUMBER('Price History'!L125)),NOT(ISNUMBER('Price History'!L124)),'Price History'!L124=0),"",'Price History'!L125/'Price History'!L124-1),"")</f>
        <v>0.0294210692818728</v>
      </c>
      <c r="M124" s="143" t="n">
        <f aca="false">IFERROR(IF(OR(NOT(ISNUMBER('Price History'!M125)),NOT(ISNUMBER('Price History'!M124)),'Price History'!M124=0),"",'Price History'!M125/'Price History'!M124-1),"")</f>
        <v>-0.0367908051157811</v>
      </c>
      <c r="N124" s="143" t="n">
        <f aca="false">IFERROR(IF(OR(NOT(ISNUMBER('Price History'!N125)),NOT(ISNUMBER('Price History'!N124)),'Price History'!N124=0),"",'Price History'!N125/'Price History'!N124-1),"")</f>
        <v>0.0125628140703518</v>
      </c>
      <c r="O124" s="143" t="n">
        <f aca="false">IFERROR(IF(OR(NOT(ISNUMBER('Price History'!O125)),NOT(ISNUMBER('Price History'!O124)),'Price History'!O124=0),"",'Price History'!O125/'Price History'!O124-1),"")</f>
        <v>-0.000251445813427176</v>
      </c>
      <c r="P124" s="143" t="n">
        <f aca="false">IFERROR(IF(OR(NOT(ISNUMBER('Price History'!P125)),NOT(ISNUMBER('Price History'!P124)),'Price History'!P124=0),"",'Price History'!P125/'Price History'!P124-1),"")</f>
        <v>0.0579863598143939</v>
      </c>
      <c r="Q124" s="143" t="n">
        <f aca="false">IFERROR(IF(OR(NOT(ISNUMBER('Price History'!Q125)),NOT(ISNUMBER('Price History'!Q124)),'Price History'!Q124=0),"",'Price History'!Q125/'Price History'!Q124-1),"")</f>
        <v>-0.0613782788771284</v>
      </c>
      <c r="R124" s="143" t="n">
        <f aca="false">IFERROR(IF(OR(NOT(ISNUMBER('Price History'!R125)),NOT(ISNUMBER('Price History'!R124)),'Price History'!R124=0),"",'Price History'!R125/'Price History'!R124-1),"")</f>
        <v>-0.0108806528391704</v>
      </c>
      <c r="S124" s="143" t="n">
        <f aca="false">IFERROR(IF(OR(NOT(ISNUMBER('Price History'!S125)),NOT(ISNUMBER('Price History'!S124)),'Price History'!S124=0),"",'Price History'!S125/'Price History'!S124-1),"")</f>
        <v>-0.014480761274307</v>
      </c>
      <c r="T124" s="143" t="n">
        <f aca="false">IFERROR(IF(OR(NOT(ISNUMBER('Price History'!T125)),NOT(ISNUMBER('Price History'!T124)),'Price History'!T124=0),"",'Price History'!T125/'Price History'!T124-1),"")</f>
        <v>0.00710299340436338</v>
      </c>
      <c r="U124" s="143" t="str">
        <f aca="false">IFERROR(IF(OR(NOT(ISNUMBER('Price History'!U125)),NOT(ISNUMBER('Price History'!U124)),'Price History'!U124=0),"",'Price History'!U125/'Price History'!U124-1),"")</f>
        <v/>
      </c>
      <c r="V124" s="144" t="n">
        <f aca="false">IFERROR(IF(OR(NOT(ISNUMBER('Price History'!V125)),NOT(ISNUMBER('Price History'!V124)),'Price History'!V124=0),"",'Price History'!V125/'Price History'!V124-1),"")</f>
        <v>0.0500820020652373</v>
      </c>
      <c r="W124" s="145" t="str">
        <f aca="false">IFERROR('Price History'!B3+(INDEX('Price History'!B:B,MATCH(9.99E+307,'Price History'!$A:$A))-'Price History'!B3)*(ROW()-3)/(MATCH(9.99E+307,'Returns (Calc)'!$A:$A)-3),"")</f>
        <v/>
      </c>
      <c r="X124" s="145" t="n">
        <f aca="false">IFERROR('Price History'!C3+(INDEX('Price History'!C:C,MATCH(9.99E+307,'Price History'!$A:$A))-'Price History'!C3)*(ROW()-3)/(MATCH(9.99E+307,'Returns (Calc)'!$A:$A)-3),"")</f>
        <v>11.0367295597484</v>
      </c>
      <c r="Y124" s="145" t="n">
        <f aca="false">IFERROR('Price History'!D3+(INDEX('Price History'!D:D,MATCH(9.99E+307,'Price History'!$A:$A))-'Price History'!D3)*(ROW()-3)/(MATCH(9.99E+307,'Returns (Calc)'!$A:$A)-3),"")</f>
        <v>139.096729559749</v>
      </c>
      <c r="Z124" s="145" t="n">
        <f aca="false">IFERROR('Price History'!E3+(INDEX('Price History'!E:E,MATCH(9.99E+307,'Price History'!$A:$A))-'Price History'!E3)*(ROW()-3)/(MATCH(9.99E+307,'Returns (Calc)'!$A:$A)-3),"")</f>
        <v>19.5974842767296</v>
      </c>
      <c r="AA124" s="145" t="n">
        <f aca="false">IFERROR('Price History'!F3+(INDEX('Price History'!F:F,MATCH(9.99E+307,'Price History'!$A:$A))-'Price History'!F3)*(ROW()-3)/(MATCH(9.99E+307,'Returns (Calc)'!$A:$A)-3),"")</f>
        <v>17.9986163522013</v>
      </c>
      <c r="AB124" s="145" t="n">
        <f aca="false">IFERROR('Price History'!G3+(INDEX('Price History'!G:G,MATCH(9.99E+307,'Price History'!$A:$A))-'Price History'!G3)*(ROW()-3)/(MATCH(9.99E+307,'Returns (Calc)'!$A:$A)-3),"")</f>
        <v>9.88477987421384</v>
      </c>
      <c r="AC124" s="145" t="n">
        <f aca="false">IFERROR('Price History'!H3+(INDEX('Price History'!H:H,MATCH(9.99E+307,'Price History'!$A:$A))-'Price History'!H3)*(ROW()-3)/(MATCH(9.99E+307,'Returns (Calc)'!$A:$A)-3),"")</f>
        <v>24.0403773584906</v>
      </c>
      <c r="AD124" s="145" t="n">
        <f aca="false">IFERROR('Price History'!I3+(INDEX('Price History'!I:I,MATCH(9.99E+307,'Price History'!$A:$A))-'Price History'!I3)*(ROW()-3)/(MATCH(9.99E+307,'Returns (Calc)'!$A:$A)-3),"")</f>
        <v>10.5993710691824</v>
      </c>
      <c r="AE124" s="145" t="n">
        <f aca="false">IFERROR('Price History'!J3+(INDEX('Price History'!J:J,MATCH(9.99E+307,'Price History'!$A:$A))-'Price History'!J3)*(ROW()-3)/(MATCH(9.99E+307,'Returns (Calc)'!$A:$A)-3),"")</f>
        <v>16.516855345912</v>
      </c>
      <c r="AF124" s="145" t="n">
        <f aca="false">IFERROR('Price History'!K3+(INDEX('Price History'!K:K,MATCH(9.99E+307,'Price History'!$A:$A))-'Price History'!K3)*(ROW()-3)/(MATCH(9.99E+307,'Returns (Calc)'!$A:$A)-3),"")</f>
        <v>10.4607547169811</v>
      </c>
      <c r="AG124" s="145" t="n">
        <f aca="false">IFERROR('Price History'!L3+(INDEX('Price History'!L:L,MATCH(9.99E+307,'Price History'!$A:$A))-'Price History'!L3)*(ROW()-3)/(MATCH(9.99E+307,'Returns (Calc)'!$A:$A)-3),"")</f>
        <v>26.7290566037736</v>
      </c>
      <c r="AH124" s="145" t="n">
        <f aca="false">IFERROR('Price History'!M3+(INDEX('Price History'!M:M,MATCH(9.99E+307,'Price History'!$A:$A))-'Price History'!M3)*(ROW()-3)/(MATCH(9.99E+307,'Returns (Calc)'!$A:$A)-3),"")</f>
        <v>3.66377358490566</v>
      </c>
      <c r="AI124" s="145" t="n">
        <f aca="false">IFERROR('Price History'!N3+(INDEX('Price History'!N:N,MATCH(9.99E+307,'Price History'!$A:$A))-'Price History'!N3)*(ROW()-3)/(MATCH(9.99E+307,'Returns (Calc)'!$A:$A)-3),"")</f>
        <v>5.21006289308176</v>
      </c>
      <c r="AJ124" s="145" t="n">
        <f aca="false">IFERROR('Price History'!O3+(INDEX('Price History'!O:O,MATCH(9.99E+307,'Price History'!$A:$A))-'Price History'!O3)*(ROW()-3)/(MATCH(9.99E+307,'Returns (Calc)'!$A:$A)-3),"")</f>
        <v>13.7732075471698</v>
      </c>
      <c r="AK124" s="145" t="n">
        <f aca="false">IFERROR('Price History'!Q3+(INDEX('Price History'!Q:Q,MATCH(9.99E+307,'Price History'!$A:$A))-'Price History'!Q3)*(ROW()-3)/(MATCH(9.99E+307,'Returns (Calc)'!$A:$A)-3),"")</f>
        <v>56.3140880503145</v>
      </c>
      <c r="AL124" s="145" t="n">
        <f aca="false">IFERROR('Price History'!R3+(INDEX('Price History'!R:R,MATCH(9.99E+307,'Price History'!$A:$A))-'Price History'!R3)*(ROW()-3)/(MATCH(9.99E+307,'Returns (Calc)'!$A:$A)-3),"")</f>
        <v>11.428679245283</v>
      </c>
      <c r="AM124" s="145" t="n">
        <f aca="false">IFERROR('Price History'!S3+(INDEX('Price History'!S:S,MATCH(9.99E+307,'Price History'!$A:$A))-'Price History'!S3)*(ROW()-3)/(MATCH(9.99E+307,'Returns (Calc)'!$A:$A)-3),"")</f>
        <v>13.9906918238994</v>
      </c>
      <c r="AN124" s="145" t="n">
        <f aca="false">IFERROR('Price History'!T3+(INDEX('Price History'!T:T,MATCH(9.99E+307,'Price History'!$A:$A))-'Price History'!T3)*(ROW()-3)/(MATCH(9.99E+307,'Returns (Calc)'!$A:$A)-3),"")</f>
        <v>6.43132075471698</v>
      </c>
      <c r="AO124" s="146" t="n">
        <f aca="false">IFERROR('Price History'!V3+(INDEX('Price History'!V:V,MATCH(9.99E+307,'Price History'!$A:$A))-'Price History'!V3)*(ROW()-3)/(MATCH(9.99E+307,'Returns (Calc)'!$A:$A)-3),"")</f>
        <v>0</v>
      </c>
    </row>
    <row r="125" customFormat="false" ht="15" hidden="false" customHeight="true" outlineLevel="0" collapsed="false">
      <c r="A125" s="142" t="n">
        <f aca="false">IF('Price History'!A126="","",'Price History'!A126)</f>
        <v>46045</v>
      </c>
      <c r="B125" s="143" t="n">
        <f aca="false">IFERROR(IF(OR(NOT(ISNUMBER('Price History'!B126)),NOT(ISNUMBER('Price History'!B125)),'Price History'!B125=0),"",'Price History'!B126/'Price History'!B125-1),"")</f>
        <v>0.0167161961367013</v>
      </c>
      <c r="C125" s="143" t="n">
        <f aca="false">IFERROR(IF(OR(NOT(ISNUMBER('Price History'!C126)),NOT(ISNUMBER('Price History'!C125)),'Price History'!C125=0),"",'Price History'!C126/'Price History'!C125-1),"")</f>
        <v>0.0501424940306554</v>
      </c>
      <c r="D125" s="143" t="n">
        <f aca="false">IFERROR(IF(OR(NOT(ISNUMBER('Price History'!D126)),NOT(ISNUMBER('Price History'!D125)),'Price History'!D125=0),"",'Price History'!D126/'Price History'!D125-1),"")</f>
        <v>0.0224322705185385</v>
      </c>
      <c r="E125" s="143" t="n">
        <f aca="false">IFERROR(IF(OR(NOT(ISNUMBER('Price History'!E126)),NOT(ISNUMBER('Price History'!E125)),'Price History'!E125=0),"",'Price History'!E126/'Price History'!E125-1),"")</f>
        <v>-0.0899994282120189</v>
      </c>
      <c r="F125" s="143" t="n">
        <f aca="false">IFERROR(IF(OR(NOT(ISNUMBER('Price History'!F126)),NOT(ISNUMBER('Price History'!F125)),'Price History'!F125=0),"",'Price History'!F126/'Price History'!F125-1),"")</f>
        <v>-0.000186081131373417</v>
      </c>
      <c r="G125" s="143" t="n">
        <f aca="false">IFERROR(IF(OR(NOT(ISNUMBER('Price History'!G126)),NOT(ISNUMBER('Price History'!G125)),'Price History'!G125=0),"",'Price History'!G126/'Price History'!G125-1),"")</f>
        <v>-0.00308451573103019</v>
      </c>
      <c r="H125" s="143" t="n">
        <f aca="false">IFERROR(IF(OR(NOT(ISNUMBER('Price History'!H126)),NOT(ISNUMBER('Price History'!H125)),'Price History'!H125=0),"",'Price History'!H126/'Price History'!H125-1),"")</f>
        <v>0.0024989587671802</v>
      </c>
      <c r="I125" s="143" t="n">
        <f aca="false">IFERROR(IF(OR(NOT(ISNUMBER('Price History'!I126)),NOT(ISNUMBER('Price History'!I125)),'Price History'!I125=0),"",'Price History'!I126/'Price History'!I125-1),"")</f>
        <v>-0.0350832266325224</v>
      </c>
      <c r="J125" s="143" t="n">
        <f aca="false">IFERROR(IF(OR(NOT(ISNUMBER('Price History'!J126)),NOT(ISNUMBER('Price History'!J125)),'Price History'!J125=0),"",'Price History'!J126/'Price History'!J125-1),"")</f>
        <v>0.101726706018646</v>
      </c>
      <c r="K125" s="143" t="n">
        <f aca="false">IFERROR(IF(OR(NOT(ISNUMBER('Price History'!K126)),NOT(ISNUMBER('Price History'!K125)),'Price History'!K125=0),"",'Price History'!K126/'Price History'!K125-1),"")</f>
        <v>0.00769644779332612</v>
      </c>
      <c r="L125" s="143" t="n">
        <f aca="false">IFERROR(IF(OR(NOT(ISNUMBER('Price History'!L126)),NOT(ISNUMBER('Price History'!L125)),'Price History'!L125=0),"",'Price History'!L126/'Price History'!L125-1),"")</f>
        <v>-0.0454824830977258</v>
      </c>
      <c r="M125" s="143" t="n">
        <f aca="false">IFERROR(IF(OR(NOT(ISNUMBER('Price History'!M126)),NOT(ISNUMBER('Price History'!M125)),'Price History'!M125=0),"",'Price History'!M126/'Price History'!M125-1),"")</f>
        <v>-0.0079550772110436</v>
      </c>
      <c r="N125" s="143" t="n">
        <f aca="false">IFERROR(IF(OR(NOT(ISNUMBER('Price History'!N126)),NOT(ISNUMBER('Price History'!N125)),'Price History'!N125=0),"",'Price History'!N126/'Price History'!N125-1),"")</f>
        <v>0.00815313718539534</v>
      </c>
      <c r="O125" s="143" t="n">
        <f aca="false">IFERROR(IF(OR(NOT(ISNUMBER('Price History'!O126)),NOT(ISNUMBER('Price History'!O125)),'Price History'!O125=0),"",'Price History'!O126/'Price History'!O125-1),"")</f>
        <v>-0.017270288397049</v>
      </c>
      <c r="P125" s="143" t="n">
        <f aca="false">IFERROR(IF(OR(NOT(ISNUMBER('Price History'!P126)),NOT(ISNUMBER('Price History'!P125)),'Price History'!P125=0),"",'Price History'!P126/'Price History'!P125-1),"")</f>
        <v>-0.0219880493332941</v>
      </c>
      <c r="Q125" s="143" t="n">
        <f aca="false">IFERROR(IF(OR(NOT(ISNUMBER('Price History'!Q126)),NOT(ISNUMBER('Price History'!Q125)),'Price History'!Q125=0),"",'Price History'!Q126/'Price History'!Q125-1),"")</f>
        <v>-0.00646564932279203</v>
      </c>
      <c r="R125" s="143" t="n">
        <f aca="false">IFERROR(IF(OR(NOT(ISNUMBER('Price History'!R126)),NOT(ISNUMBER('Price History'!R125)),'Price History'!R125=0),"",'Price History'!R126/'Price History'!R125-1),"")</f>
        <v>0.00756273633551041</v>
      </c>
      <c r="S125" s="143" t="n">
        <f aca="false">IFERROR(IF(OR(NOT(ISNUMBER('Price History'!S126)),NOT(ISNUMBER('Price History'!S125)),'Price History'!S125=0),"",'Price History'!S126/'Price History'!S125-1),"")</f>
        <v>0.00361041141897567</v>
      </c>
      <c r="T125" s="143" t="n">
        <f aca="false">IFERROR(IF(OR(NOT(ISNUMBER('Price History'!T126)),NOT(ISNUMBER('Price History'!T125)),'Price History'!T125=0),"",'Price History'!T126/'Price History'!T125-1),"")</f>
        <v>-0.00428211586901772</v>
      </c>
      <c r="U125" s="143" t="str">
        <f aca="false">IFERROR(IF(OR(NOT(ISNUMBER('Price History'!U126)),NOT(ISNUMBER('Price History'!U125)),'Price History'!U125=0),"",'Price History'!U126/'Price History'!U125-1),"")</f>
        <v/>
      </c>
      <c r="V125" s="144" t="n">
        <f aca="false">IFERROR(IF(OR(NOT(ISNUMBER('Price History'!V126)),NOT(ISNUMBER('Price History'!V125)),'Price History'!V125=0),"",'Price History'!V126/'Price History'!V125-1),"")</f>
        <v>0.00410701373825018</v>
      </c>
      <c r="W125" s="145" t="str">
        <f aca="false">IFERROR('Price History'!B3+(INDEX('Price History'!B:B,MATCH(9.99E+307,'Price History'!$A:$A))-'Price History'!B3)*(ROW()-3)/(MATCH(9.99E+307,'Returns (Calc)'!$A:$A)-3),"")</f>
        <v/>
      </c>
      <c r="X125" s="145" t="n">
        <f aca="false">IFERROR('Price History'!C3+(INDEX('Price History'!C:C,MATCH(9.99E+307,'Price History'!$A:$A))-'Price History'!C3)*(ROW()-3)/(MATCH(9.99E+307,'Returns (Calc)'!$A:$A)-3),"")</f>
        <v>10.7462893081761</v>
      </c>
      <c r="Y125" s="145" t="n">
        <f aca="false">IFERROR('Price History'!D3+(INDEX('Price History'!D:D,MATCH(9.99E+307,'Price History'!$A:$A))-'Price History'!D3)*(ROW()-3)/(MATCH(9.99E+307,'Returns (Calc)'!$A:$A)-3),"")</f>
        <v>135.436289308176</v>
      </c>
      <c r="Z125" s="145" t="n">
        <f aca="false">IFERROR('Price History'!E3+(INDEX('Price History'!E:E,MATCH(9.99E+307,'Price History'!$A:$A))-'Price History'!E3)*(ROW()-3)/(MATCH(9.99E+307,'Returns (Calc)'!$A:$A)-3),"")</f>
        <v>19.0817610062893</v>
      </c>
      <c r="AA125" s="145" t="n">
        <f aca="false">IFERROR('Price History'!F3+(INDEX('Price History'!F:F,MATCH(9.99E+307,'Price History'!$A:$A))-'Price History'!F3)*(ROW()-3)/(MATCH(9.99E+307,'Returns (Calc)'!$A:$A)-3),"")</f>
        <v>17.5249685534591</v>
      </c>
      <c r="AB125" s="145" t="n">
        <f aca="false">IFERROR('Price History'!G3+(INDEX('Price History'!G:G,MATCH(9.99E+307,'Price History'!$A:$A))-'Price History'!G3)*(ROW()-3)/(MATCH(9.99E+307,'Returns (Calc)'!$A:$A)-3),"")</f>
        <v>9.62465408805031</v>
      </c>
      <c r="AC125" s="145" t="n">
        <f aca="false">IFERROR('Price History'!H3+(INDEX('Price History'!H:H,MATCH(9.99E+307,'Price History'!$A:$A))-'Price History'!H3)*(ROW()-3)/(MATCH(9.99E+307,'Returns (Calc)'!$A:$A)-3),"")</f>
        <v>23.4077358490566</v>
      </c>
      <c r="AD125" s="145" t="n">
        <f aca="false">IFERROR('Price History'!I3+(INDEX('Price History'!I:I,MATCH(9.99E+307,'Price History'!$A:$A))-'Price History'!I3)*(ROW()-3)/(MATCH(9.99E+307,'Returns (Calc)'!$A:$A)-3),"")</f>
        <v>10.3204402515723</v>
      </c>
      <c r="AE125" s="145" t="n">
        <f aca="false">IFERROR('Price History'!J3+(INDEX('Price History'!J:J,MATCH(9.99E+307,'Price History'!$A:$A))-'Price History'!J3)*(ROW()-3)/(MATCH(9.99E+307,'Returns (Calc)'!$A:$A)-3),"")</f>
        <v>16.0822012578616</v>
      </c>
      <c r="AF125" s="145" t="n">
        <f aca="false">IFERROR('Price History'!K3+(INDEX('Price History'!K:K,MATCH(9.99E+307,'Price History'!$A:$A))-'Price History'!K3)*(ROW()-3)/(MATCH(9.99E+307,'Returns (Calc)'!$A:$A)-3),"")</f>
        <v>10.1854716981132</v>
      </c>
      <c r="AG125" s="145" t="n">
        <f aca="false">IFERROR('Price History'!L3+(INDEX('Price History'!L:L,MATCH(9.99E+307,'Price History'!$A:$A))-'Price History'!L3)*(ROW()-3)/(MATCH(9.99E+307,'Returns (Calc)'!$A:$A)-3),"")</f>
        <v>26.0256603773585</v>
      </c>
      <c r="AH125" s="145" t="n">
        <f aca="false">IFERROR('Price History'!M3+(INDEX('Price History'!M:M,MATCH(9.99E+307,'Price History'!$A:$A))-'Price History'!M3)*(ROW()-3)/(MATCH(9.99E+307,'Returns (Calc)'!$A:$A)-3),"")</f>
        <v>3.56735849056604</v>
      </c>
      <c r="AI125" s="145" t="n">
        <f aca="false">IFERROR('Price History'!N3+(INDEX('Price History'!N:N,MATCH(9.99E+307,'Price History'!$A:$A))-'Price History'!N3)*(ROW()-3)/(MATCH(9.99E+307,'Returns (Calc)'!$A:$A)-3),"")</f>
        <v>5.07295597484277</v>
      </c>
      <c r="AJ125" s="145" t="n">
        <f aca="false">IFERROR('Price History'!O3+(INDEX('Price History'!O:O,MATCH(9.99E+307,'Price History'!$A:$A))-'Price History'!O3)*(ROW()-3)/(MATCH(9.99E+307,'Returns (Calc)'!$A:$A)-3),"")</f>
        <v>13.4107547169811</v>
      </c>
      <c r="AK125" s="145" t="n">
        <f aca="false">IFERROR('Price History'!Q3+(INDEX('Price History'!Q:Q,MATCH(9.99E+307,'Price History'!$A:$A))-'Price History'!Q3)*(ROW()-3)/(MATCH(9.99E+307,'Returns (Calc)'!$A:$A)-3),"")</f>
        <v>54.8321383647799</v>
      </c>
      <c r="AL125" s="145" t="n">
        <f aca="false">IFERROR('Price History'!R3+(INDEX('Price History'!R:R,MATCH(9.99E+307,'Price History'!$A:$A))-'Price History'!R3)*(ROW()-3)/(MATCH(9.99E+307,'Returns (Calc)'!$A:$A)-3),"")</f>
        <v>11.1279245283019</v>
      </c>
      <c r="AM125" s="145" t="n">
        <f aca="false">IFERROR('Price History'!S3+(INDEX('Price History'!S:S,MATCH(9.99E+307,'Price History'!$A:$A))-'Price History'!S3)*(ROW()-3)/(MATCH(9.99E+307,'Returns (Calc)'!$A:$A)-3),"")</f>
        <v>13.6225157232704</v>
      </c>
      <c r="AN125" s="145" t="n">
        <f aca="false">IFERROR('Price History'!T3+(INDEX('Price History'!T:T,MATCH(9.99E+307,'Price History'!$A:$A))-'Price History'!T3)*(ROW()-3)/(MATCH(9.99E+307,'Returns (Calc)'!$A:$A)-3),"")</f>
        <v>6.26207547169812</v>
      </c>
      <c r="AO125" s="146" t="n">
        <f aca="false">IFERROR('Price History'!V3+(INDEX('Price History'!V:V,MATCH(9.99E+307,'Price History'!$A:$A))-'Price History'!V3)*(ROW()-3)/(MATCH(9.99E+307,'Returns (Calc)'!$A:$A)-3),"")</f>
        <v>0</v>
      </c>
    </row>
    <row r="126" customFormat="false" ht="15" hidden="false" customHeight="true" outlineLevel="0" collapsed="false">
      <c r="A126" s="142" t="n">
        <f aca="false">IF('Price History'!A127="","",'Price History'!A127)</f>
        <v>46052</v>
      </c>
      <c r="B126" s="143" t="n">
        <f aca="false">IFERROR(IF(OR(NOT(ISNUMBER('Price History'!B127)),NOT(ISNUMBER('Price History'!B126)),'Price History'!B126=0),"",'Price History'!B127/'Price History'!B126-1),"")</f>
        <v>-0.025974025974026</v>
      </c>
      <c r="C126" s="143" t="n">
        <f aca="false">IFERROR(IF(OR(NOT(ISNUMBER('Price History'!C127)),NOT(ISNUMBER('Price History'!C126)),'Price History'!C126=0),"",'Price History'!C127/'Price History'!C126-1),"")</f>
        <v>0.0396068651899664</v>
      </c>
      <c r="D126" s="143" t="n">
        <f aca="false">IFERROR(IF(OR(NOT(ISNUMBER('Price History'!D127)),NOT(ISNUMBER('Price History'!D126)),'Price History'!D126=0),"",'Price History'!D127/'Price History'!D126-1),"")</f>
        <v>0.0244502314814814</v>
      </c>
      <c r="E126" s="143" t="n">
        <f aca="false">IFERROR(IF(OR(NOT(ISNUMBER('Price History'!E127)),NOT(ISNUMBER('Price History'!E126)),'Price History'!E126=0),"",'Price History'!E127/'Price History'!E126-1),"")</f>
        <v>0.0351240967640591</v>
      </c>
      <c r="F126" s="143" t="n">
        <f aca="false">IFERROR(IF(OR(NOT(ISNUMBER('Price History'!F127)),NOT(ISNUMBER('Price History'!F126)),'Price History'!F126=0),"",'Price History'!F127/'Price History'!F126-1),"")</f>
        <v>0.00725851479620321</v>
      </c>
      <c r="G126" s="143" t="n">
        <f aca="false">IFERROR(IF(OR(NOT(ISNUMBER('Price History'!G127)),NOT(ISNUMBER('Price History'!G126)),'Price History'!G126=0),"",'Price History'!G127/'Price History'!G126-1),"")</f>
        <v>-0.0244872701555871</v>
      </c>
      <c r="H126" s="143" t="n">
        <f aca="false">IFERROR(IF(OR(NOT(ISNUMBER('Price History'!H127)),NOT(ISNUMBER('Price History'!H126)),'Price History'!H126=0),"",'Price History'!H127/'Price History'!H126-1),"")</f>
        <v>0.0173798642847252</v>
      </c>
      <c r="I126" s="143" t="n">
        <f aca="false">IFERROR(IF(OR(NOT(ISNUMBER('Price History'!I127)),NOT(ISNUMBER('Price History'!I126)),'Price History'!I126=0),"",'Price History'!I127/'Price History'!I126-1),"")</f>
        <v>-0.0560642250530785</v>
      </c>
      <c r="J126" s="143" t="n">
        <f aca="false">IFERROR(IF(OR(NOT(ISNUMBER('Price History'!J127)),NOT(ISNUMBER('Price History'!J126)),'Price History'!J126=0),"",'Price History'!J127/'Price History'!J126-1),"")</f>
        <v>0.0381052526162935</v>
      </c>
      <c r="K126" s="143" t="n">
        <f aca="false">IFERROR(IF(OR(NOT(ISNUMBER('Price History'!K127)),NOT(ISNUMBER('Price History'!K126)),'Price History'!K126=0),"",'Price History'!K127/'Price History'!K126-1),"")</f>
        <v>0.0184265342092613</v>
      </c>
      <c r="L126" s="143" t="n">
        <f aca="false">IFERROR(IF(OR(NOT(ISNUMBER('Price History'!L127)),NOT(ISNUMBER('Price History'!L126)),'Price History'!L126=0),"",'Price History'!L127/'Price History'!L126-1),"")</f>
        <v>0.0268029620090149</v>
      </c>
      <c r="M126" s="143" t="n">
        <f aca="false">IFERROR(IF(OR(NOT(ISNUMBER('Price History'!M127)),NOT(ISNUMBER('Price History'!M126)),'Price History'!M126=0),"",'Price History'!M127/'Price History'!M126-1),"")</f>
        <v>-0.135672169811321</v>
      </c>
      <c r="N126" s="143" t="n">
        <f aca="false">IFERROR(IF(OR(NOT(ISNUMBER('Price History'!N127)),NOT(ISNUMBER('Price History'!N126)),'Price History'!N126=0),"",'Price History'!N127/'Price History'!N126-1),"")</f>
        <v>0.0232067510548524</v>
      </c>
      <c r="O126" s="143" t="n">
        <f aca="false">IFERROR(IF(OR(NOT(ISNUMBER('Price History'!O127)),NOT(ISNUMBER('Price History'!O126)),'Price History'!O126=0),"",'Price History'!O127/'Price History'!O126-1),"")</f>
        <v>0.0164647671045897</v>
      </c>
      <c r="P126" s="143" t="n">
        <f aca="false">IFERROR(IF(OR(NOT(ISNUMBER('Price History'!P127)),NOT(ISNUMBER('Price History'!P126)),'Price History'!P126=0),"",'Price History'!P127/'Price History'!P126-1),"")</f>
        <v>-0.0128814783603202</v>
      </c>
      <c r="Q126" s="143" t="n">
        <f aca="false">IFERROR(IF(OR(NOT(ISNUMBER('Price History'!Q127)),NOT(ISNUMBER('Price History'!Q126)),'Price History'!Q126=0),"",'Price History'!Q127/'Price History'!Q126-1),"")</f>
        <v>-0.013323875026987</v>
      </c>
      <c r="R126" s="143" t="n">
        <f aca="false">IFERROR(IF(OR(NOT(ISNUMBER('Price History'!R127)),NOT(ISNUMBER('Price History'!R126)),'Price History'!R126=0),"",'Price History'!R127/'Price History'!R126-1),"")</f>
        <v>0.0122824974411464</v>
      </c>
      <c r="S126" s="143" t="n">
        <f aca="false">IFERROR(IF(OR(NOT(ISNUMBER('Price History'!S127)),NOT(ISNUMBER('Price History'!S126)),'Price History'!S126=0),"",'Price History'!S127/'Price History'!S126-1),"")</f>
        <v>0.0154772860369781</v>
      </c>
      <c r="T126" s="143" t="n">
        <f aca="false">IFERROR(IF(OR(NOT(ISNUMBER('Price History'!T127)),NOT(ISNUMBER('Price History'!T126)),'Price History'!T126=0),"",'Price History'!T127/'Price History'!T126-1),"")</f>
        <v>0.00657728307614458</v>
      </c>
      <c r="U126" s="143" t="str">
        <f aca="false">IFERROR(IF(OR(NOT(ISNUMBER('Price History'!U127)),NOT(ISNUMBER('Price History'!U126)),'Price History'!U126=0),"",'Price History'!U127/'Price History'!U126-1),"")</f>
        <v/>
      </c>
      <c r="V126" s="144" t="n">
        <f aca="false">IFERROR(IF(OR(NOT(ISNUMBER('Price History'!V127)),NOT(ISNUMBER('Price History'!V126)),'Price History'!V126=0),"",'Price History'!V127/'Price History'!V126-1),"")</f>
        <v>0.0164472736699599</v>
      </c>
      <c r="W126" s="145" t="str">
        <f aca="false">IFERROR('Price History'!B3+(INDEX('Price History'!B:B,MATCH(9.99E+307,'Price History'!$A:$A))-'Price History'!B3)*(ROW()-3)/(MATCH(9.99E+307,'Returns (Calc)'!$A:$A)-3),"")</f>
        <v/>
      </c>
      <c r="X126" s="145" t="n">
        <f aca="false">IFERROR('Price History'!C3+(INDEX('Price History'!C:C,MATCH(9.99E+307,'Price History'!$A:$A))-'Price History'!C3)*(ROW()-3)/(MATCH(9.99E+307,'Returns (Calc)'!$A:$A)-3),"")</f>
        <v>10.4558490566038</v>
      </c>
      <c r="Y126" s="145" t="n">
        <f aca="false">IFERROR('Price History'!D3+(INDEX('Price History'!D:D,MATCH(9.99E+307,'Price History'!$A:$A))-'Price History'!D3)*(ROW()-3)/(MATCH(9.99E+307,'Returns (Calc)'!$A:$A)-3),"")</f>
        <v>131.775849056604</v>
      </c>
      <c r="Z126" s="145" t="n">
        <f aca="false">IFERROR('Price History'!E3+(INDEX('Price History'!E:E,MATCH(9.99E+307,'Price History'!$A:$A))-'Price History'!E3)*(ROW()-3)/(MATCH(9.99E+307,'Returns (Calc)'!$A:$A)-3),"")</f>
        <v>18.5660377358491</v>
      </c>
      <c r="AA126" s="145" t="n">
        <f aca="false">IFERROR('Price History'!F3+(INDEX('Price History'!F:F,MATCH(9.99E+307,'Price History'!$A:$A))-'Price History'!F3)*(ROW()-3)/(MATCH(9.99E+307,'Returns (Calc)'!$A:$A)-3),"")</f>
        <v>17.051320754717</v>
      </c>
      <c r="AB126" s="145" t="n">
        <f aca="false">IFERROR('Price History'!G3+(INDEX('Price History'!G:G,MATCH(9.99E+307,'Price History'!$A:$A))-'Price History'!G3)*(ROW()-3)/(MATCH(9.99E+307,'Returns (Calc)'!$A:$A)-3),"")</f>
        <v>9.36452830188679</v>
      </c>
      <c r="AC126" s="145" t="n">
        <f aca="false">IFERROR('Price History'!H3+(INDEX('Price History'!H:H,MATCH(9.99E+307,'Price History'!$A:$A))-'Price History'!H3)*(ROW()-3)/(MATCH(9.99E+307,'Returns (Calc)'!$A:$A)-3),"")</f>
        <v>22.7750943396226</v>
      </c>
      <c r="AD126" s="145" t="n">
        <f aca="false">IFERROR('Price History'!I3+(INDEX('Price History'!I:I,MATCH(9.99E+307,'Price History'!$A:$A))-'Price History'!I3)*(ROW()-3)/(MATCH(9.99E+307,'Returns (Calc)'!$A:$A)-3),"")</f>
        <v>10.0415094339623</v>
      </c>
      <c r="AE126" s="145" t="n">
        <f aca="false">IFERROR('Price History'!J3+(INDEX('Price History'!J:J,MATCH(9.99E+307,'Price History'!$A:$A))-'Price History'!J3)*(ROW()-3)/(MATCH(9.99E+307,'Returns (Calc)'!$A:$A)-3),"")</f>
        <v>15.6475471698113</v>
      </c>
      <c r="AF126" s="145" t="n">
        <f aca="false">IFERROR('Price History'!K3+(INDEX('Price History'!K:K,MATCH(9.99E+307,'Price History'!$A:$A))-'Price History'!K3)*(ROW()-3)/(MATCH(9.99E+307,'Returns (Calc)'!$A:$A)-3),"")</f>
        <v>9.91018867924529</v>
      </c>
      <c r="AG126" s="145" t="n">
        <f aca="false">IFERROR('Price History'!L3+(INDEX('Price History'!L:L,MATCH(9.99E+307,'Price History'!$A:$A))-'Price History'!L3)*(ROW()-3)/(MATCH(9.99E+307,'Returns (Calc)'!$A:$A)-3),"")</f>
        <v>25.3222641509434</v>
      </c>
      <c r="AH126" s="145" t="n">
        <f aca="false">IFERROR('Price History'!M3+(INDEX('Price History'!M:M,MATCH(9.99E+307,'Price History'!$A:$A))-'Price History'!M3)*(ROW()-3)/(MATCH(9.99E+307,'Returns (Calc)'!$A:$A)-3),"")</f>
        <v>3.47094339622642</v>
      </c>
      <c r="AI126" s="145" t="n">
        <f aca="false">IFERROR('Price History'!N3+(INDEX('Price History'!N:N,MATCH(9.99E+307,'Price History'!$A:$A))-'Price History'!N3)*(ROW()-3)/(MATCH(9.99E+307,'Returns (Calc)'!$A:$A)-3),"")</f>
        <v>4.93584905660378</v>
      </c>
      <c r="AJ126" s="145" t="n">
        <f aca="false">IFERROR('Price History'!O3+(INDEX('Price History'!O:O,MATCH(9.99E+307,'Price History'!$A:$A))-'Price History'!O3)*(ROW()-3)/(MATCH(9.99E+307,'Returns (Calc)'!$A:$A)-3),"")</f>
        <v>13.0483018867925</v>
      </c>
      <c r="AK126" s="145" t="n">
        <f aca="false">IFERROR('Price History'!Q3+(INDEX('Price History'!Q:Q,MATCH(9.99E+307,'Price History'!$A:$A))-'Price History'!Q3)*(ROW()-3)/(MATCH(9.99E+307,'Returns (Calc)'!$A:$A)-3),"")</f>
        <v>53.3501886792453</v>
      </c>
      <c r="AL126" s="145" t="n">
        <f aca="false">IFERROR('Price History'!R3+(INDEX('Price History'!R:R,MATCH(9.99E+307,'Price History'!$A:$A))-'Price History'!R3)*(ROW()-3)/(MATCH(9.99E+307,'Returns (Calc)'!$A:$A)-3),"")</f>
        <v>10.8271698113208</v>
      </c>
      <c r="AM126" s="145" t="n">
        <f aca="false">IFERROR('Price History'!S3+(INDEX('Price History'!S:S,MATCH(9.99E+307,'Price History'!$A:$A))-'Price History'!S3)*(ROW()-3)/(MATCH(9.99E+307,'Returns (Calc)'!$A:$A)-3),"")</f>
        <v>13.2543396226415</v>
      </c>
      <c r="AN126" s="145" t="n">
        <f aca="false">IFERROR('Price History'!T3+(INDEX('Price History'!T:T,MATCH(9.99E+307,'Price History'!$A:$A))-'Price History'!T3)*(ROW()-3)/(MATCH(9.99E+307,'Returns (Calc)'!$A:$A)-3),"")</f>
        <v>6.09283018867925</v>
      </c>
      <c r="AO126" s="146" t="n">
        <f aca="false">IFERROR('Price History'!V3+(INDEX('Price History'!V:V,MATCH(9.99E+307,'Price History'!$A:$A))-'Price History'!V3)*(ROW()-3)/(MATCH(9.99E+307,'Returns (Calc)'!$A:$A)-3),"")</f>
        <v>0</v>
      </c>
    </row>
    <row r="127" customFormat="false" ht="15" hidden="false" customHeight="true" outlineLevel="0" collapsed="false">
      <c r="A127" s="142" t="n">
        <f aca="false">IF('Price History'!A128="","",'Price History'!A128)</f>
        <v>46059</v>
      </c>
      <c r="B127" s="143" t="n">
        <f aca="false">IFERROR(IF(OR(NOT(ISNUMBER('Price History'!B128)),NOT(ISNUMBER('Price History'!B127)),'Price History'!B127=0),"",'Price History'!B128/'Price History'!B127-1),"")</f>
        <v>-0.0848081841432226</v>
      </c>
      <c r="C127" s="143" t="n">
        <f aca="false">IFERROR(IF(OR(NOT(ISNUMBER('Price History'!C128)),NOT(ISNUMBER('Price History'!C127)),'Price History'!C127=0),"",'Price History'!C128/'Price History'!C127-1),"")</f>
        <v>-0.0299844786228305</v>
      </c>
      <c r="D127" s="143" t="n">
        <f aca="false">IFERROR(IF(OR(NOT(ISNUMBER('Price History'!D128)),NOT(ISNUMBER('Price History'!D127)),'Price History'!D127=0),"",'Price History'!D128/'Price History'!D127-1),"")</f>
        <v>-0.00702584380737192</v>
      </c>
      <c r="E127" s="143" t="n">
        <f aca="false">IFERROR(IF(OR(NOT(ISNUMBER('Price History'!E128)),NOT(ISNUMBER('Price History'!E127)),'Price History'!E127=0),"",'Price History'!E128/'Price History'!E127-1),"")</f>
        <v>0.00491683865485015</v>
      </c>
      <c r="F127" s="143" t="n">
        <f aca="false">IFERROR(IF(OR(NOT(ISNUMBER('Price History'!F128)),NOT(ISNUMBER('Price History'!F127)),'Price History'!F127=0),"",'Price History'!F128/'Price History'!F127-1),"")</f>
        <v>0.054138950480414</v>
      </c>
      <c r="G127" s="143" t="n">
        <f aca="false">IFERROR(IF(OR(NOT(ISNUMBER('Price History'!G128)),NOT(ISNUMBER('Price History'!G127)),'Price History'!G127=0),"",'Price History'!G128/'Price History'!G127-1),"")</f>
        <v>-0.103942002718623</v>
      </c>
      <c r="H127" s="143" t="n">
        <f aca="false">IFERROR(IF(OR(NOT(ISNUMBER('Price History'!H128)),NOT(ISNUMBER('Price History'!H127)),'Price History'!H127=0),"",'Price History'!H128/'Price History'!H127-1),"")</f>
        <v>0.0330769754304769</v>
      </c>
      <c r="I127" s="143" t="n">
        <f aca="false">IFERROR(IF(OR(NOT(ISNUMBER('Price History'!I128)),NOT(ISNUMBER('Price History'!I127)),'Price History'!I127=0),"",'Price History'!I128/'Price History'!I127-1),"")</f>
        <v>0.01047304421171</v>
      </c>
      <c r="J127" s="143" t="n">
        <f aca="false">IFERROR(IF(OR(NOT(ISNUMBER('Price History'!J128)),NOT(ISNUMBER('Price History'!J127)),'Price History'!J127=0),"",'Price History'!J128/'Price History'!J127-1),"")</f>
        <v>-0.0486687246768281</v>
      </c>
      <c r="K127" s="143" t="n">
        <f aca="false">IFERROR(IF(OR(NOT(ISNUMBER('Price History'!K128)),NOT(ISNUMBER('Price History'!K127)),'Price History'!K127=0),"",'Price History'!K128/'Price History'!K127-1),"")</f>
        <v>-0.0298930144745123</v>
      </c>
      <c r="L127" s="143" t="n">
        <f aca="false">IFERROR(IF(OR(NOT(ISNUMBER('Price History'!L128)),NOT(ISNUMBER('Price History'!L127)),'Price History'!L127=0),"",'Price History'!L128/'Price History'!L127-1),"")</f>
        <v>0.0489927098847691</v>
      </c>
      <c r="M127" s="143" t="n">
        <f aca="false">IFERROR(IF(OR(NOT(ISNUMBER('Price History'!M128)),NOT(ISNUMBER('Price History'!M127)),'Price History'!M127=0),"",'Price History'!M128/'Price History'!M127-1),"")</f>
        <v>-0.0729244832526093</v>
      </c>
      <c r="N127" s="143" t="n">
        <f aca="false">IFERROR(IF(OR(NOT(ISNUMBER('Price History'!N128)),NOT(ISNUMBER('Price History'!N127)),'Price History'!N127=0),"",'Price History'!N128/'Price History'!N127-1),"")</f>
        <v>0.0553264604810997</v>
      </c>
      <c r="O127" s="143" t="n">
        <f aca="false">IFERROR(IF(OR(NOT(ISNUMBER('Price History'!O128)),NOT(ISNUMBER('Price History'!O127)),'Price History'!O127=0),"",'Price History'!O128/'Price History'!O127-1),"")</f>
        <v>-0.000251783466219013</v>
      </c>
      <c r="P127" s="143" t="n">
        <f aca="false">IFERROR(IF(OR(NOT(ISNUMBER('Price History'!P128)),NOT(ISNUMBER('Price History'!P127)),'Price History'!P127=0),"",'Price History'!P128/'Price History'!P127-1),"")</f>
        <v>0.0553387401670833</v>
      </c>
      <c r="Q127" s="143" t="n">
        <f aca="false">IFERROR(IF(OR(NOT(ISNUMBER('Price History'!Q128)),NOT(ISNUMBER('Price History'!Q127)),'Price History'!Q127=0),"",'Price History'!Q128/'Price History'!Q127-1),"")</f>
        <v>0.0302897689975306</v>
      </c>
      <c r="R127" s="143" t="n">
        <f aca="false">IFERROR(IF(OR(NOT(ISNUMBER('Price History'!R128)),NOT(ISNUMBER('Price History'!R127)),'Price History'!R127=0),"",'Price History'!R128/'Price History'!R127-1),"")</f>
        <v>-0.0210650488709134</v>
      </c>
      <c r="S127" s="143" t="n">
        <f aca="false">IFERROR(IF(OR(NOT(ISNUMBER('Price History'!S128)),NOT(ISNUMBER('Price History'!S127)),'Price History'!S127=0),"",'Price History'!S128/'Price History'!S127-1),"")</f>
        <v>-0.014087988136431</v>
      </c>
      <c r="T127" s="143" t="n">
        <f aca="false">IFERROR(IF(OR(NOT(ISNUMBER('Price History'!T128)),NOT(ISNUMBER('Price History'!T127)),'Price History'!T127=0),"",'Price History'!T128/'Price History'!T127-1),"")</f>
        <v>-0.0092988187986931</v>
      </c>
      <c r="U127" s="143" t="str">
        <f aca="false">IFERROR(IF(OR(NOT(ISNUMBER('Price History'!U128)),NOT(ISNUMBER('Price History'!U127)),'Price History'!U127=0),"",'Price History'!U128/'Price History'!U127-1),"")</f>
        <v/>
      </c>
      <c r="V127" s="144" t="n">
        <f aca="false">IFERROR(IF(OR(NOT(ISNUMBER('Price History'!V128)),NOT(ISNUMBER('Price History'!V127)),'Price History'!V127=0),"",'Price History'!V128/'Price History'!V127-1),"")</f>
        <v>-0.0240024937655859</v>
      </c>
      <c r="W127" s="145" t="str">
        <f aca="false">IFERROR('Price History'!B3+(INDEX('Price History'!B:B,MATCH(9.99E+307,'Price History'!$A:$A))-'Price History'!B3)*(ROW()-3)/(MATCH(9.99E+307,'Returns (Calc)'!$A:$A)-3),"")</f>
        <v/>
      </c>
      <c r="X127" s="145" t="n">
        <f aca="false">IFERROR('Price History'!C3+(INDEX('Price History'!C:C,MATCH(9.99E+307,'Price History'!$A:$A))-'Price History'!C3)*(ROW()-3)/(MATCH(9.99E+307,'Returns (Calc)'!$A:$A)-3),"")</f>
        <v>10.1654088050314</v>
      </c>
      <c r="Y127" s="145" t="n">
        <f aca="false">IFERROR('Price History'!D3+(INDEX('Price History'!D:D,MATCH(9.99E+307,'Price History'!$A:$A))-'Price History'!D3)*(ROW()-3)/(MATCH(9.99E+307,'Returns (Calc)'!$A:$A)-3),"")</f>
        <v>128.115408805031</v>
      </c>
      <c r="Z127" s="145" t="n">
        <f aca="false">IFERROR('Price History'!E3+(INDEX('Price History'!E:E,MATCH(9.99E+307,'Price History'!$A:$A))-'Price History'!E3)*(ROW()-3)/(MATCH(9.99E+307,'Returns (Calc)'!$A:$A)-3),"")</f>
        <v>18.0503144654088</v>
      </c>
      <c r="AA127" s="145" t="n">
        <f aca="false">IFERROR('Price History'!F3+(INDEX('Price History'!F:F,MATCH(9.99E+307,'Price History'!$A:$A))-'Price History'!F3)*(ROW()-3)/(MATCH(9.99E+307,'Returns (Calc)'!$A:$A)-3),"")</f>
        <v>16.5776729559748</v>
      </c>
      <c r="AB127" s="145" t="n">
        <f aca="false">IFERROR('Price History'!G3+(INDEX('Price History'!G:G,MATCH(9.99E+307,'Price History'!$A:$A))-'Price History'!G3)*(ROW()-3)/(MATCH(9.99E+307,'Returns (Calc)'!$A:$A)-3),"")</f>
        <v>9.10440251572327</v>
      </c>
      <c r="AC127" s="145" t="n">
        <f aca="false">IFERROR('Price History'!H3+(INDEX('Price History'!H:H,MATCH(9.99E+307,'Price History'!$A:$A))-'Price History'!H3)*(ROW()-3)/(MATCH(9.99E+307,'Returns (Calc)'!$A:$A)-3),"")</f>
        <v>22.1424528301887</v>
      </c>
      <c r="AD127" s="145" t="n">
        <f aca="false">IFERROR('Price History'!I3+(INDEX('Price History'!I:I,MATCH(9.99E+307,'Price History'!$A:$A))-'Price History'!I3)*(ROW()-3)/(MATCH(9.99E+307,'Returns (Calc)'!$A:$A)-3),"")</f>
        <v>9.7625786163522</v>
      </c>
      <c r="AE127" s="145" t="n">
        <f aca="false">IFERROR('Price History'!J3+(INDEX('Price History'!J:J,MATCH(9.99E+307,'Price History'!$A:$A))-'Price History'!J3)*(ROW()-3)/(MATCH(9.99E+307,'Returns (Calc)'!$A:$A)-3),"")</f>
        <v>15.212893081761</v>
      </c>
      <c r="AF127" s="145" t="n">
        <f aca="false">IFERROR('Price History'!K3+(INDEX('Price History'!K:K,MATCH(9.99E+307,'Price History'!$A:$A))-'Price History'!K3)*(ROW()-3)/(MATCH(9.99E+307,'Returns (Calc)'!$A:$A)-3),"")</f>
        <v>9.63490566037736</v>
      </c>
      <c r="AG127" s="145" t="n">
        <f aca="false">IFERROR('Price History'!L3+(INDEX('Price History'!L:L,MATCH(9.99E+307,'Price History'!$A:$A))-'Price History'!L3)*(ROW()-3)/(MATCH(9.99E+307,'Returns (Calc)'!$A:$A)-3),"")</f>
        <v>24.6188679245283</v>
      </c>
      <c r="AH127" s="145" t="n">
        <f aca="false">IFERROR('Price History'!M3+(INDEX('Price History'!M:M,MATCH(9.99E+307,'Price History'!$A:$A))-'Price History'!M3)*(ROW()-3)/(MATCH(9.99E+307,'Returns (Calc)'!$A:$A)-3),"")</f>
        <v>3.37452830188679</v>
      </c>
      <c r="AI127" s="145" t="n">
        <f aca="false">IFERROR('Price History'!N3+(INDEX('Price History'!N:N,MATCH(9.99E+307,'Price History'!$A:$A))-'Price History'!N3)*(ROW()-3)/(MATCH(9.99E+307,'Returns (Calc)'!$A:$A)-3),"")</f>
        <v>4.79874213836478</v>
      </c>
      <c r="AJ127" s="145" t="n">
        <f aca="false">IFERROR('Price History'!O3+(INDEX('Price History'!O:O,MATCH(9.99E+307,'Price History'!$A:$A))-'Price History'!O3)*(ROW()-3)/(MATCH(9.99E+307,'Returns (Calc)'!$A:$A)-3),"")</f>
        <v>12.6858490566038</v>
      </c>
      <c r="AK127" s="145" t="n">
        <f aca="false">IFERROR('Price History'!Q3+(INDEX('Price History'!Q:Q,MATCH(9.99E+307,'Price History'!$A:$A))-'Price History'!Q3)*(ROW()-3)/(MATCH(9.99E+307,'Returns (Calc)'!$A:$A)-3),"")</f>
        <v>51.8682389937107</v>
      </c>
      <c r="AL127" s="145" t="n">
        <f aca="false">IFERROR('Price History'!R3+(INDEX('Price History'!R:R,MATCH(9.99E+307,'Price History'!$A:$A))-'Price History'!R3)*(ROW()-3)/(MATCH(9.99E+307,'Returns (Calc)'!$A:$A)-3),"")</f>
        <v>10.5264150943396</v>
      </c>
      <c r="AM127" s="145" t="n">
        <f aca="false">IFERROR('Price History'!S3+(INDEX('Price History'!S:S,MATCH(9.99E+307,'Price History'!$A:$A))-'Price History'!S3)*(ROW()-3)/(MATCH(9.99E+307,'Returns (Calc)'!$A:$A)-3),"")</f>
        <v>12.8861635220126</v>
      </c>
      <c r="AN127" s="145" t="n">
        <f aca="false">IFERROR('Price History'!T3+(INDEX('Price History'!T:T,MATCH(9.99E+307,'Price History'!$A:$A))-'Price History'!T3)*(ROW()-3)/(MATCH(9.99E+307,'Returns (Calc)'!$A:$A)-3),"")</f>
        <v>5.92358490566038</v>
      </c>
      <c r="AO127" s="146" t="n">
        <f aca="false">IFERROR('Price History'!V3+(INDEX('Price History'!V:V,MATCH(9.99E+307,'Price History'!$A:$A))-'Price History'!V3)*(ROW()-3)/(MATCH(9.99E+307,'Returns (Calc)'!$A:$A)-3),"")</f>
        <v>0</v>
      </c>
    </row>
    <row r="128" customFormat="false" ht="15" hidden="false" customHeight="true" outlineLevel="0" collapsed="false">
      <c r="A128" s="142" t="n">
        <f aca="false">IF('Price History'!A129="","",'Price History'!A129)</f>
        <v>46066</v>
      </c>
      <c r="B128" s="143" t="n">
        <f aca="false">IFERROR(IF(OR(NOT(ISNUMBER('Price History'!B129)),NOT(ISNUMBER('Price History'!B128)),'Price History'!B128=0),"",'Price History'!B129/'Price History'!B128-1),"")</f>
        <v>-0.016431924882629</v>
      </c>
      <c r="C128" s="143" t="n">
        <f aca="false">IFERROR(IF(OR(NOT(ISNUMBER('Price History'!C129)),NOT(ISNUMBER('Price History'!C128)),'Price History'!C128=0),"",'Price History'!C129/'Price History'!C128-1),"")</f>
        <v>0.0298203505709507</v>
      </c>
      <c r="D128" s="143" t="n">
        <f aca="false">IFERROR(IF(OR(NOT(ISNUMBER('Price History'!D129)),NOT(ISNUMBER('Price History'!D128)),'Price History'!D128=0),"",'Price History'!D129/'Price History'!D128-1),"")</f>
        <v>-0.00321422222222223</v>
      </c>
      <c r="E128" s="143" t="n">
        <f aca="false">IFERROR(IF(OR(NOT(ISNUMBER('Price History'!E129)),NOT(ISNUMBER('Price History'!E128)),'Price History'!E128=0),"",'Price History'!E129/'Price History'!E128-1),"")</f>
        <v>-0.0232860163092722</v>
      </c>
      <c r="F128" s="143" t="n">
        <f aca="false">IFERROR(IF(OR(NOT(ISNUMBER('Price History'!F129)),NOT(ISNUMBER('Price History'!F128)),'Price History'!F128=0),"",'Price History'!F129/'Price History'!F128-1),"")</f>
        <v>-0.002541630148992</v>
      </c>
      <c r="G128" s="143" t="n">
        <f aca="false">IFERROR(IF(OR(NOT(ISNUMBER('Price History'!G129)),NOT(ISNUMBER('Price History'!G128)),'Price History'!G128=0),"",'Price History'!G129/'Price History'!G128-1),"")</f>
        <v>0.0862661812297736</v>
      </c>
      <c r="H128" s="143" t="n">
        <f aca="false">IFERROR(IF(OR(NOT(ISNUMBER('Price History'!H129)),NOT(ISNUMBER('Price History'!H128)),'Price History'!H128=0),"",'Price History'!H129/'Price History'!H128-1),"")</f>
        <v>0.016074840239805</v>
      </c>
      <c r="I128" s="143" t="n">
        <f aca="false">IFERROR(IF(OR(NOT(ISNUMBER('Price History'!I129)),NOT(ISNUMBER('Price History'!I128)),'Price History'!I128=0),"",'Price History'!I129/'Price History'!I128-1),"")</f>
        <v>0.0146772398441848</v>
      </c>
      <c r="J128" s="143" t="n">
        <f aca="false">IFERROR(IF(OR(NOT(ISNUMBER('Price History'!J129)),NOT(ISNUMBER('Price History'!J128)),'Price History'!J128=0),"",'Price History'!J129/'Price History'!J128-1),"")</f>
        <v>0.0429954875019014</v>
      </c>
      <c r="K128" s="143" t="n">
        <f aca="false">IFERROR(IF(OR(NOT(ISNUMBER('Price History'!K129)),NOT(ISNUMBER('Price History'!K128)),'Price History'!K128=0),"",'Price History'!K129/'Price History'!K128-1),"")</f>
        <v>-0.0140555735755217</v>
      </c>
      <c r="L128" s="143" t="n">
        <f aca="false">IFERROR(IF(OR(NOT(ISNUMBER('Price History'!L129)),NOT(ISNUMBER('Price History'!L128)),'Price History'!L128=0),"",'Price History'!L129/'Price History'!L128-1),"")</f>
        <v>0.0147212673740846</v>
      </c>
      <c r="M128" s="143" t="n">
        <f aca="false">IFERROR(IF(OR(NOT(ISNUMBER('Price History'!M129)),NOT(ISNUMBER('Price History'!M128)),'Price History'!M128=0),"",'Price History'!M129/'Price History'!M128-1),"")</f>
        <v>-0.0330389992641649</v>
      </c>
      <c r="N128" s="143" t="n">
        <f aca="false">IFERROR(IF(OR(NOT(ISNUMBER('Price History'!N129)),NOT(ISNUMBER('Price History'!N128)),'Price History'!N128=0),"",'Price History'!N129/'Price History'!N128-1),"")</f>
        <v>0.00455877564311291</v>
      </c>
      <c r="O128" s="143" t="n">
        <f aca="false">IFERROR(IF(OR(NOT(ISNUMBER('Price History'!O129)),NOT(ISNUMBER('Price History'!O128)),'Price History'!O128=0),"",'Price History'!O129/'Price History'!O128-1),"")</f>
        <v>-0.0132639355271994</v>
      </c>
      <c r="P128" s="143" t="n">
        <f aca="false">IFERROR(IF(OR(NOT(ISNUMBER('Price History'!P129)),NOT(ISNUMBER('Price History'!P128)),'Price History'!P128=0),"",'Price History'!P129/'Price History'!P128-1),"")</f>
        <v>0.050183457082599</v>
      </c>
      <c r="Q128" s="143" t="n">
        <f aca="false">IFERROR(IF(OR(NOT(ISNUMBER('Price History'!Q129)),NOT(ISNUMBER('Price History'!Q128)),'Price History'!Q128=0),"",'Price History'!Q129/'Price History'!Q128-1),"")</f>
        <v>-0.0508191747572816</v>
      </c>
      <c r="R128" s="143" t="n">
        <f aca="false">IFERROR(IF(OR(NOT(ISNUMBER('Price History'!R129)),NOT(ISNUMBER('Price History'!R128)),'Price History'!R128=0),"",'Price History'!R129/'Price History'!R128-1),"")</f>
        <v>0.0184196935789291</v>
      </c>
      <c r="S128" s="143" t="n">
        <f aca="false">IFERROR(IF(OR(NOT(ISNUMBER('Price History'!S129)),NOT(ISNUMBER('Price History'!S128)),'Price History'!S128=0),"",'Price History'!S129/'Price History'!S128-1),"")</f>
        <v>0.00300827275006266</v>
      </c>
      <c r="T128" s="143" t="n">
        <f aca="false">IFERROR(IF(OR(NOT(ISNUMBER('Price History'!T129)),NOT(ISNUMBER('Price History'!T128)),'Price History'!T128=0),"",'Price History'!T129/'Price History'!T128-1),"")</f>
        <v>0.0256215119228818</v>
      </c>
      <c r="U128" s="143" t="str">
        <f aca="false">IFERROR(IF(OR(NOT(ISNUMBER('Price History'!U129)),NOT(ISNUMBER('Price History'!U128)),'Price History'!U128=0),"",'Price History'!U129/'Price History'!U128-1),"")</f>
        <v/>
      </c>
      <c r="V128" s="144" t="n">
        <f aca="false">IFERROR(IF(OR(NOT(ISNUMBER('Price History'!V129)),NOT(ISNUMBER('Price History'!V128)),'Price History'!V128=0),"",'Price History'!V129/'Price History'!V128-1),"")</f>
        <v>0.0094944978368805</v>
      </c>
      <c r="W128" s="145" t="str">
        <f aca="false">IFERROR('Price History'!B3+(INDEX('Price History'!B:B,MATCH(9.99E+307,'Price History'!$A:$A))-'Price History'!B3)*(ROW()-3)/(MATCH(9.99E+307,'Returns (Calc)'!$A:$A)-3),"")</f>
        <v/>
      </c>
      <c r="X128" s="145" t="n">
        <f aca="false">IFERROR('Price History'!C3+(INDEX('Price History'!C:C,MATCH(9.99E+307,'Price History'!$A:$A))-'Price History'!C3)*(ROW()-3)/(MATCH(9.99E+307,'Returns (Calc)'!$A:$A)-3),"")</f>
        <v>9.87496855345912</v>
      </c>
      <c r="Y128" s="145" t="n">
        <f aca="false">IFERROR('Price History'!D3+(INDEX('Price History'!D:D,MATCH(9.99E+307,'Price History'!$A:$A))-'Price History'!D3)*(ROW()-3)/(MATCH(9.99E+307,'Returns (Calc)'!$A:$A)-3),"")</f>
        <v>124.454968553459</v>
      </c>
      <c r="Z128" s="145" t="n">
        <f aca="false">IFERROR('Price History'!E3+(INDEX('Price History'!E:E,MATCH(9.99E+307,'Price History'!$A:$A))-'Price History'!E3)*(ROW()-3)/(MATCH(9.99E+307,'Returns (Calc)'!$A:$A)-3),"")</f>
        <v>17.5345911949686</v>
      </c>
      <c r="AA128" s="145" t="n">
        <f aca="false">IFERROR('Price History'!F3+(INDEX('Price History'!F:F,MATCH(9.99E+307,'Price History'!$A:$A))-'Price History'!F3)*(ROW()-3)/(MATCH(9.99E+307,'Returns (Calc)'!$A:$A)-3),"")</f>
        <v>16.1040251572327</v>
      </c>
      <c r="AB128" s="145" t="n">
        <f aca="false">IFERROR('Price History'!G3+(INDEX('Price History'!G:G,MATCH(9.99E+307,'Price History'!$A:$A))-'Price History'!G3)*(ROW()-3)/(MATCH(9.99E+307,'Returns (Calc)'!$A:$A)-3),"")</f>
        <v>8.84427672955975</v>
      </c>
      <c r="AC128" s="145" t="n">
        <f aca="false">IFERROR('Price History'!H3+(INDEX('Price History'!H:H,MATCH(9.99E+307,'Price History'!$A:$A))-'Price History'!H3)*(ROW()-3)/(MATCH(9.99E+307,'Returns (Calc)'!$A:$A)-3),"")</f>
        <v>21.5098113207547</v>
      </c>
      <c r="AD128" s="145" t="n">
        <f aca="false">IFERROR('Price History'!I3+(INDEX('Price History'!I:I,MATCH(9.99E+307,'Price History'!$A:$A))-'Price History'!I3)*(ROW()-3)/(MATCH(9.99E+307,'Returns (Calc)'!$A:$A)-3),"")</f>
        <v>9.48364779874214</v>
      </c>
      <c r="AE128" s="145" t="n">
        <f aca="false">IFERROR('Price History'!J3+(INDEX('Price History'!J:J,MATCH(9.99E+307,'Price History'!$A:$A))-'Price History'!J3)*(ROW()-3)/(MATCH(9.99E+307,'Returns (Calc)'!$A:$A)-3),"")</f>
        <v>14.7782389937107</v>
      </c>
      <c r="AF128" s="145" t="n">
        <f aca="false">IFERROR('Price History'!K3+(INDEX('Price History'!K:K,MATCH(9.99E+307,'Price History'!$A:$A))-'Price History'!K3)*(ROW()-3)/(MATCH(9.99E+307,'Returns (Calc)'!$A:$A)-3),"")</f>
        <v>9.35962264150944</v>
      </c>
      <c r="AG128" s="145" t="n">
        <f aca="false">IFERROR('Price History'!L3+(INDEX('Price History'!L:L,MATCH(9.99E+307,'Price History'!$A:$A))-'Price History'!L3)*(ROW()-3)/(MATCH(9.99E+307,'Returns (Calc)'!$A:$A)-3),"")</f>
        <v>23.9154716981132</v>
      </c>
      <c r="AH128" s="145" t="n">
        <f aca="false">IFERROR('Price History'!M3+(INDEX('Price History'!M:M,MATCH(9.99E+307,'Price History'!$A:$A))-'Price History'!M3)*(ROW()-3)/(MATCH(9.99E+307,'Returns (Calc)'!$A:$A)-3),"")</f>
        <v>3.27811320754717</v>
      </c>
      <c r="AI128" s="145" t="n">
        <f aca="false">IFERROR('Price History'!N3+(INDEX('Price History'!N:N,MATCH(9.99E+307,'Price History'!$A:$A))-'Price History'!N3)*(ROW()-3)/(MATCH(9.99E+307,'Returns (Calc)'!$A:$A)-3),"")</f>
        <v>4.66163522012579</v>
      </c>
      <c r="AJ128" s="145" t="n">
        <f aca="false">IFERROR('Price History'!O3+(INDEX('Price History'!O:O,MATCH(9.99E+307,'Price History'!$A:$A))-'Price History'!O3)*(ROW()-3)/(MATCH(9.99E+307,'Returns (Calc)'!$A:$A)-3),"")</f>
        <v>12.3233962264151</v>
      </c>
      <c r="AK128" s="145" t="n">
        <f aca="false">IFERROR('Price History'!Q3+(INDEX('Price History'!Q:Q,MATCH(9.99E+307,'Price History'!$A:$A))-'Price History'!Q3)*(ROW()-3)/(MATCH(9.99E+307,'Returns (Calc)'!$A:$A)-3),"")</f>
        <v>50.3862893081761</v>
      </c>
      <c r="AL128" s="145" t="n">
        <f aca="false">IFERROR('Price History'!R3+(INDEX('Price History'!R:R,MATCH(9.99E+307,'Price History'!$A:$A))-'Price History'!R3)*(ROW()-3)/(MATCH(9.99E+307,'Returns (Calc)'!$A:$A)-3),"")</f>
        <v>10.2256603773585</v>
      </c>
      <c r="AM128" s="145" t="n">
        <f aca="false">IFERROR('Price History'!S3+(INDEX('Price History'!S:S,MATCH(9.99E+307,'Price History'!$A:$A))-'Price History'!S3)*(ROW()-3)/(MATCH(9.99E+307,'Returns (Calc)'!$A:$A)-3),"")</f>
        <v>12.5179874213836</v>
      </c>
      <c r="AN128" s="145" t="n">
        <f aca="false">IFERROR('Price History'!T3+(INDEX('Price History'!T:T,MATCH(9.99E+307,'Price History'!$A:$A))-'Price History'!T3)*(ROW()-3)/(MATCH(9.99E+307,'Returns (Calc)'!$A:$A)-3),"")</f>
        <v>5.75433962264151</v>
      </c>
      <c r="AO128" s="146" t="n">
        <f aca="false">IFERROR('Price History'!V3+(INDEX('Price History'!V:V,MATCH(9.99E+307,'Price History'!$A:$A))-'Price History'!V3)*(ROW()-3)/(MATCH(9.99E+307,'Returns (Calc)'!$A:$A)-3),"")</f>
        <v>0</v>
      </c>
    </row>
    <row r="129" customFormat="false" ht="15" hidden="false" customHeight="true" outlineLevel="0" collapsed="false">
      <c r="A129" s="142" t="n">
        <f aca="false">IF('Price History'!A130="","",'Price History'!A130)</f>
        <v>46073</v>
      </c>
      <c r="B129" s="143" t="n">
        <f aca="false">IFERROR(IF(OR(NOT(ISNUMBER('Price History'!B130)),NOT(ISNUMBER('Price History'!B129)),'Price History'!B129=0),"",'Price History'!B130/'Price History'!B129-1),"")</f>
        <v>-0.0203053377277721</v>
      </c>
      <c r="C129" s="143" t="n">
        <f aca="false">IFERROR(IF(OR(NOT(ISNUMBER('Price History'!C130)),NOT(ISNUMBER('Price History'!C129)),'Price History'!C129=0),"",'Price History'!C130/'Price History'!C129-1),"")</f>
        <v>-0.0621512818701887</v>
      </c>
      <c r="D129" s="143" t="n">
        <f aca="false">IFERROR(IF(OR(NOT(ISNUMBER('Price History'!D130)),NOT(ISNUMBER('Price History'!D129)),'Price History'!D129=0),"",'Price History'!D130/'Price History'!D129-1),"")</f>
        <v>0.0447732444907365</v>
      </c>
      <c r="E129" s="143" t="n">
        <f aca="false">IFERROR(IF(OR(NOT(ISNUMBER('Price History'!E130)),NOT(ISNUMBER('Price History'!E129)),'Price History'!E129=0),"",'Price History'!E130/'Price History'!E129-1),"")</f>
        <v>0.0230062772503787</v>
      </c>
      <c r="F129" s="143" t="n">
        <f aca="false">IFERROR(IF(OR(NOT(ISNUMBER('Price History'!F130)),NOT(ISNUMBER('Price History'!F129)),'Price History'!F129=0),"",'Price History'!F130/'Price History'!F129-1),"")</f>
        <v>0.00562340743344181</v>
      </c>
      <c r="G129" s="143" t="n">
        <f aca="false">IFERROR(IF(OR(NOT(ISNUMBER('Price History'!G130)),NOT(ISNUMBER('Price History'!G129)),'Price History'!G129=0),"",'Price History'!G130/'Price History'!G129-1),"")</f>
        <v>-0.0955218322316357</v>
      </c>
      <c r="H129" s="143" t="n">
        <f aca="false">IFERROR(IF(OR(NOT(ISNUMBER('Price History'!H130)),NOT(ISNUMBER('Price History'!H129)),'Price History'!H129=0),"",'Price History'!H130/'Price History'!H129-1),"")</f>
        <v>-0.00713220514815527</v>
      </c>
      <c r="I129" s="143" t="n">
        <f aca="false">IFERROR(IF(OR(NOT(ISNUMBER('Price History'!I130)),NOT(ISNUMBER('Price History'!I129)),'Price History'!I129=0),"",'Price History'!I130/'Price History'!I129-1),"")</f>
        <v>0.0231027627339413</v>
      </c>
      <c r="J129" s="143" t="n">
        <f aca="false">IFERROR(IF(OR(NOT(ISNUMBER('Price History'!J130)),NOT(ISNUMBER('Price History'!J129)),'Price History'!J129=0),"",'Price History'!J130/'Price History'!J129-1),"")</f>
        <v>0.0401050021875455</v>
      </c>
      <c r="K129" s="143" t="n">
        <f aca="false">IFERROR(IF(OR(NOT(ISNUMBER('Price History'!K130)),NOT(ISNUMBER('Price History'!K129)),'Price History'!K129=0),"",'Price History'!K130/'Price History'!K129-1),"")</f>
        <v>0.0383814014694595</v>
      </c>
      <c r="L129" s="143" t="n">
        <f aca="false">IFERROR(IF(OR(NOT(ISNUMBER('Price History'!L130)),NOT(ISNUMBER('Price History'!L129)),'Price History'!L129=0),"",'Price History'!L130/'Price History'!L129-1),"")</f>
        <v>0.0182634951027323</v>
      </c>
      <c r="M129" s="143" t="n">
        <f aca="false">IFERROR(IF(OR(NOT(ISNUMBER('Price History'!M130)),NOT(ISNUMBER('Price History'!M129)),'Price History'!M129=0),"",'Price History'!M130/'Price History'!M129-1),"")</f>
        <v>0.0291454227227761</v>
      </c>
      <c r="N129" s="143" t="n">
        <f aca="false">IFERROR(IF(OR(NOT(ISNUMBER('Price History'!N130)),NOT(ISNUMBER('Price History'!N129)),'Price History'!N129=0),"",'Price History'!N130/'Price History'!N129-1),"")</f>
        <v>0</v>
      </c>
      <c r="O129" s="143" t="n">
        <f aca="false">IFERROR(IF(OR(NOT(ISNUMBER('Price History'!O130)),NOT(ISNUMBER('Price History'!O129)),'Price History'!O129=0),"",'Price History'!O130/'Price History'!O129-1),"")</f>
        <v>0.0144631614769439</v>
      </c>
      <c r="P129" s="143" t="n">
        <f aca="false">IFERROR(IF(OR(NOT(ISNUMBER('Price History'!P130)),NOT(ISNUMBER('Price History'!P129)),'Price History'!P129=0),"",'Price History'!P130/'Price History'!P129-1),"")</f>
        <v>0.0114167812929848</v>
      </c>
      <c r="Q129" s="143" t="n">
        <f aca="false">IFERROR(IF(OR(NOT(ISNUMBER('Price History'!Q130)),NOT(ISNUMBER('Price History'!Q129)),'Price History'!Q129=0),"",'Price History'!Q130/'Price History'!Q129-1),"")</f>
        <v>0.0218635128655904</v>
      </c>
      <c r="R129" s="143" t="n">
        <f aca="false">IFERROR(IF(OR(NOT(ISNUMBER('Price History'!R130)),NOT(ISNUMBER('Price History'!R129)),'Price History'!R129=0),"",'Price History'!R130/'Price History'!R129-1),"")</f>
        <v>-0.00405679513184576</v>
      </c>
      <c r="S129" s="143" t="n">
        <f aca="false">IFERROR(IF(OR(NOT(ISNUMBER('Price History'!S130)),NOT(ISNUMBER('Price History'!S129)),'Price History'!S129=0),"",'Price History'!S130/'Price History'!S129-1),"")</f>
        <v>-0.000249937515621079</v>
      </c>
      <c r="T129" s="143" t="n">
        <f aca="false">IFERROR(IF(OR(NOT(ISNUMBER('Price History'!T130)),NOT(ISNUMBER('Price History'!T129)),'Price History'!T129=0),"",'Price History'!T130/'Price History'!T129-1),"")</f>
        <v>-0.0202819688350235</v>
      </c>
      <c r="U129" s="143" t="str">
        <f aca="false">IFERROR(IF(OR(NOT(ISNUMBER('Price History'!U130)),NOT(ISNUMBER('Price History'!U129)),'Price History'!U129=0),"",'Price History'!U130/'Price History'!U129-1),"")</f>
        <v/>
      </c>
      <c r="V129" s="144" t="n">
        <f aca="false">IFERROR(IF(OR(NOT(ISNUMBER('Price History'!V130)),NOT(ISNUMBER('Price History'!V129)),'Price History'!V129=0),"",'Price History'!V130/'Price History'!V129-1),"")</f>
        <v>-0.0613782788771284</v>
      </c>
      <c r="W129" s="145" t="str">
        <f aca="false">IFERROR('Price History'!B3+(INDEX('Price History'!B:B,MATCH(9.99E+307,'Price History'!$A:$A))-'Price History'!B3)*(ROW()-3)/(MATCH(9.99E+307,'Returns (Calc)'!$A:$A)-3),"")</f>
        <v/>
      </c>
      <c r="X129" s="145" t="n">
        <f aca="false">IFERROR('Price History'!C3+(INDEX('Price History'!C:C,MATCH(9.99E+307,'Price History'!$A:$A))-'Price History'!C3)*(ROW()-3)/(MATCH(9.99E+307,'Returns (Calc)'!$A:$A)-3),"")</f>
        <v>9.58452830188679</v>
      </c>
      <c r="Y129" s="145" t="n">
        <f aca="false">IFERROR('Price History'!D3+(INDEX('Price History'!D:D,MATCH(9.99E+307,'Price History'!$A:$A))-'Price History'!D3)*(ROW()-3)/(MATCH(9.99E+307,'Returns (Calc)'!$A:$A)-3),"")</f>
        <v>120.794528301887</v>
      </c>
      <c r="Z129" s="145" t="n">
        <f aca="false">IFERROR('Price History'!E3+(INDEX('Price History'!E:E,MATCH(9.99E+307,'Price History'!$A:$A))-'Price History'!E3)*(ROW()-3)/(MATCH(9.99E+307,'Returns (Calc)'!$A:$A)-3),"")</f>
        <v>17.0188679245283</v>
      </c>
      <c r="AA129" s="145" t="n">
        <f aca="false">IFERROR('Price History'!F3+(INDEX('Price History'!F:F,MATCH(9.99E+307,'Price History'!$A:$A))-'Price History'!F3)*(ROW()-3)/(MATCH(9.99E+307,'Returns (Calc)'!$A:$A)-3),"")</f>
        <v>15.6303773584906</v>
      </c>
      <c r="AB129" s="145" t="n">
        <f aca="false">IFERROR('Price History'!G3+(INDEX('Price History'!G:G,MATCH(9.99E+307,'Price History'!$A:$A))-'Price History'!G3)*(ROW()-3)/(MATCH(9.99E+307,'Returns (Calc)'!$A:$A)-3),"")</f>
        <v>8.58415094339622</v>
      </c>
      <c r="AC129" s="145" t="n">
        <f aca="false">IFERROR('Price History'!H3+(INDEX('Price History'!H:H,MATCH(9.99E+307,'Price History'!$A:$A))-'Price History'!H3)*(ROW()-3)/(MATCH(9.99E+307,'Returns (Calc)'!$A:$A)-3),"")</f>
        <v>20.8771698113208</v>
      </c>
      <c r="AD129" s="145" t="n">
        <f aca="false">IFERROR('Price History'!I3+(INDEX('Price History'!I:I,MATCH(9.99E+307,'Price History'!$A:$A))-'Price History'!I3)*(ROW()-3)/(MATCH(9.99E+307,'Returns (Calc)'!$A:$A)-3),"")</f>
        <v>9.20471698113207</v>
      </c>
      <c r="AE129" s="145" t="n">
        <f aca="false">IFERROR('Price History'!J3+(INDEX('Price History'!J:J,MATCH(9.99E+307,'Price History'!$A:$A))-'Price History'!J3)*(ROW()-3)/(MATCH(9.99E+307,'Returns (Calc)'!$A:$A)-3),"")</f>
        <v>14.3435849056604</v>
      </c>
      <c r="AF129" s="145" t="n">
        <f aca="false">IFERROR('Price History'!K3+(INDEX('Price History'!K:K,MATCH(9.99E+307,'Price History'!$A:$A))-'Price History'!K3)*(ROW()-3)/(MATCH(9.99E+307,'Returns (Calc)'!$A:$A)-3),"")</f>
        <v>9.08433962264151</v>
      </c>
      <c r="AG129" s="145" t="n">
        <f aca="false">IFERROR('Price History'!L3+(INDEX('Price History'!L:L,MATCH(9.99E+307,'Price History'!$A:$A))-'Price History'!L3)*(ROW()-3)/(MATCH(9.99E+307,'Returns (Calc)'!$A:$A)-3),"")</f>
        <v>23.2120754716981</v>
      </c>
      <c r="AH129" s="145" t="n">
        <f aca="false">IFERROR('Price History'!M3+(INDEX('Price History'!M:M,MATCH(9.99E+307,'Price History'!$A:$A))-'Price History'!M3)*(ROW()-3)/(MATCH(9.99E+307,'Returns (Calc)'!$A:$A)-3),"")</f>
        <v>3.18169811320755</v>
      </c>
      <c r="AI129" s="145" t="n">
        <f aca="false">IFERROR('Price History'!N3+(INDEX('Price History'!N:N,MATCH(9.99E+307,'Price History'!$A:$A))-'Price History'!N3)*(ROW()-3)/(MATCH(9.99E+307,'Returns (Calc)'!$A:$A)-3),"")</f>
        <v>4.52452830188679</v>
      </c>
      <c r="AJ129" s="145" t="n">
        <f aca="false">IFERROR('Price History'!O3+(INDEX('Price History'!O:O,MATCH(9.99E+307,'Price History'!$A:$A))-'Price History'!O3)*(ROW()-3)/(MATCH(9.99E+307,'Returns (Calc)'!$A:$A)-3),"")</f>
        <v>11.9609433962264</v>
      </c>
      <c r="AK129" s="145" t="n">
        <f aca="false">IFERROR('Price History'!Q3+(INDEX('Price History'!Q:Q,MATCH(9.99E+307,'Price History'!$A:$A))-'Price History'!Q3)*(ROW()-3)/(MATCH(9.99E+307,'Returns (Calc)'!$A:$A)-3),"")</f>
        <v>48.9043396226415</v>
      </c>
      <c r="AL129" s="145" t="n">
        <f aca="false">IFERROR('Price History'!R3+(INDEX('Price History'!R:R,MATCH(9.99E+307,'Price History'!$A:$A))-'Price History'!R3)*(ROW()-3)/(MATCH(9.99E+307,'Returns (Calc)'!$A:$A)-3),"")</f>
        <v>9.92490566037736</v>
      </c>
      <c r="AM129" s="145" t="n">
        <f aca="false">IFERROR('Price History'!S3+(INDEX('Price History'!S:S,MATCH(9.99E+307,'Price History'!$A:$A))-'Price History'!S3)*(ROW()-3)/(MATCH(9.99E+307,'Returns (Calc)'!$A:$A)-3),"")</f>
        <v>12.1498113207547</v>
      </c>
      <c r="AN129" s="145" t="n">
        <f aca="false">IFERROR('Price History'!T3+(INDEX('Price History'!T:T,MATCH(9.99E+307,'Price History'!$A:$A))-'Price History'!T3)*(ROW()-3)/(MATCH(9.99E+307,'Returns (Calc)'!$A:$A)-3),"")</f>
        <v>5.58509433962264</v>
      </c>
      <c r="AO129" s="146" t="n">
        <f aca="false">IFERROR('Price History'!V3+(INDEX('Price History'!V:V,MATCH(9.99E+307,'Price History'!$A:$A))-'Price History'!V3)*(ROW()-3)/(MATCH(9.99E+307,'Returns (Calc)'!$A:$A)-3),"")</f>
        <v>0</v>
      </c>
    </row>
    <row r="130" customFormat="false" ht="15" hidden="false" customHeight="true" outlineLevel="0" collapsed="false">
      <c r="A130" s="142" t="n">
        <f aca="false">IF('Price History'!A131="","",'Price History'!A131)</f>
        <v>46080</v>
      </c>
      <c r="B130" s="143" t="n">
        <f aca="false">IFERROR(IF(OR(NOT(ISNUMBER('Price History'!B131)),NOT(ISNUMBER('Price History'!B130)),'Price History'!B130=0),"",'Price History'!B131/'Price History'!B130-1),"")</f>
        <v>0.0146939406828817</v>
      </c>
      <c r="C130" s="143" t="n">
        <f aca="false">IFERROR(IF(OR(NOT(ISNUMBER('Price History'!C131)),NOT(ISNUMBER('Price History'!C130)),'Price History'!C130=0),"",'Price History'!C131/'Price History'!C130-1),"")</f>
        <v>0.00534678816175926</v>
      </c>
      <c r="D130" s="143" t="n">
        <f aca="false">IFERROR(IF(OR(NOT(ISNUMBER('Price History'!D131)),NOT(ISNUMBER('Price History'!D130)),'Price History'!D130=0),"",'Price History'!D131/'Price History'!D130-1),"")</f>
        <v>-0.0129464864901775</v>
      </c>
      <c r="E130" s="143" t="n">
        <f aca="false">IFERROR(IF(OR(NOT(ISNUMBER('Price History'!E131)),NOT(ISNUMBER('Price History'!E130)),'Price History'!E130=0),"",'Price History'!E131/'Price History'!E130-1),"")</f>
        <v>-0.0393857872623401</v>
      </c>
      <c r="F130" s="143" t="n">
        <f aca="false">IFERROR(IF(OR(NOT(ISNUMBER('Price History'!F131)),NOT(ISNUMBER('Price History'!F130)),'Price History'!F130=0),"",'Price History'!F131/'Price History'!F130-1),"")</f>
        <v>-0.0221930974224552</v>
      </c>
      <c r="G130" s="143" t="n">
        <f aca="false">IFERROR(IF(OR(NOT(ISNUMBER('Price History'!G131)),NOT(ISNUMBER('Price History'!G130)),'Price History'!G130=0),"",'Price History'!G131/'Price History'!G130-1),"")</f>
        <v>-0.042717447246526</v>
      </c>
      <c r="H130" s="143" t="n">
        <f aca="false">IFERROR(IF(OR(NOT(ISNUMBER('Price History'!H131)),NOT(ISNUMBER('Price History'!H130)),'Price History'!H130=0),"",'Price History'!H131/'Price History'!H130-1),"")</f>
        <v>-0.0033305034937634</v>
      </c>
      <c r="I130" s="143" t="n">
        <f aca="false">IFERROR(IF(OR(NOT(ISNUMBER('Price History'!I131)),NOT(ISNUMBER('Price History'!I130)),'Price History'!I130=0),"",'Price History'!I131/'Price History'!I130-1),"")</f>
        <v>0.0190967569016349</v>
      </c>
      <c r="J130" s="143" t="n">
        <f aca="false">IFERROR(IF(OR(NOT(ISNUMBER('Price History'!J131)),NOT(ISNUMBER('Price History'!J130)),'Price History'!J130=0),"",'Price History'!J131/'Price History'!J130-1),"")</f>
        <v>-0.036899420452421</v>
      </c>
      <c r="K130" s="143" t="n">
        <f aca="false">IFERROR(IF(OR(NOT(ISNUMBER('Price History'!K131)),NOT(ISNUMBER('Price History'!K130)),'Price History'!K130=0),"",'Price History'!K131/'Price History'!K130-1),"")</f>
        <v>-0.066532896821206</v>
      </c>
      <c r="L130" s="143" t="n">
        <f aca="false">IFERROR(IF(OR(NOT(ISNUMBER('Price History'!L131)),NOT(ISNUMBER('Price History'!L130)),'Price History'!L130=0),"",'Price History'!L131/'Price History'!L130-1),"")</f>
        <v>0.00752151587473771</v>
      </c>
      <c r="M130" s="143" t="n">
        <f aca="false">IFERROR(IF(OR(NOT(ISNUMBER('Price History'!M131)),NOT(ISNUMBER('Price History'!M130)),'Price History'!M130=0),"",'Price History'!M131/'Price History'!M130-1),"")</f>
        <v>0.014418811002662</v>
      </c>
      <c r="N130" s="143" t="n">
        <f aca="false">IFERROR(IF(OR(NOT(ISNUMBER('Price History'!N131)),NOT(ISNUMBER('Price History'!N130)),'Price History'!N130=0),"",'Price History'!N131/'Price History'!N130-1),"")</f>
        <v>0.00518638573743924</v>
      </c>
      <c r="O130" s="143" t="n">
        <f aca="false">IFERROR(IF(OR(NOT(ISNUMBER('Price History'!O131)),NOT(ISNUMBER('Price History'!O130)),'Price History'!O130=0),"",'Price History'!O131/'Price History'!O130-1),"")</f>
        <v>-0.00402549480040249</v>
      </c>
      <c r="P130" s="143" t="n">
        <f aca="false">IFERROR(IF(OR(NOT(ISNUMBER('Price History'!P131)),NOT(ISNUMBER('Price History'!P130)),'Price History'!P130=0),"",'Price History'!P131/'Price History'!P130-1),"")</f>
        <v>0.0109071127430982</v>
      </c>
      <c r="Q130" s="143" t="n">
        <f aca="false">IFERROR(IF(OR(NOT(ISNUMBER('Price History'!Q131)),NOT(ISNUMBER('Price History'!Q130)),'Price History'!Q130=0),"",'Price History'!Q131/'Price History'!Q130-1),"")</f>
        <v>-0.00250242422346647</v>
      </c>
      <c r="R130" s="143" t="n">
        <f aca="false">IFERROR(IF(OR(NOT(ISNUMBER('Price History'!R131)),NOT(ISNUMBER('Price History'!R130)),'Price History'!R130=0),"",'Price History'!R131/'Price History'!R130-1),"")</f>
        <v>0.00509164969450104</v>
      </c>
      <c r="S130" s="143" t="n">
        <f aca="false">IFERROR(IF(OR(NOT(ISNUMBER('Price History'!S131)),NOT(ISNUMBER('Price History'!S130)),'Price History'!S130=0),"",'Price History'!S131/'Price History'!S130-1),"")</f>
        <v>-0.0173333333333333</v>
      </c>
      <c r="T130" s="143" t="n">
        <f aca="false">IFERROR(IF(OR(NOT(ISNUMBER('Price History'!T131)),NOT(ISNUMBER('Price History'!T130)),'Price History'!T130=0),"",'Price History'!T131/'Price History'!T130-1),"")</f>
        <v>0.0063115374905327</v>
      </c>
      <c r="U130" s="143" t="str">
        <f aca="false">IFERROR(IF(OR(NOT(ISNUMBER('Price History'!U131)),NOT(ISNUMBER('Price History'!U130)),'Price History'!U130=0),"",'Price History'!U131/'Price History'!U130-1),"")</f>
        <v/>
      </c>
      <c r="V130" s="144" t="n">
        <f aca="false">IFERROR(IF(OR(NOT(ISNUMBER('Price History'!V131)),NOT(ISNUMBER('Price History'!V130)),'Price History'!V130=0),"",'Price History'!V131/'Price History'!V130-1),"")</f>
        <v>-0.00646564932279203</v>
      </c>
      <c r="W130" s="145" t="str">
        <f aca="false">IFERROR('Price History'!B3+(INDEX('Price History'!B:B,MATCH(9.99E+307,'Price History'!$A:$A))-'Price History'!B3)*(ROW()-3)/(MATCH(9.99E+307,'Returns (Calc)'!$A:$A)-3),"")</f>
        <v/>
      </c>
      <c r="X130" s="145" t="n">
        <f aca="false">IFERROR('Price History'!C3+(INDEX('Price History'!C:C,MATCH(9.99E+307,'Price History'!$A:$A))-'Price History'!C3)*(ROW()-3)/(MATCH(9.99E+307,'Returns (Calc)'!$A:$A)-3),"")</f>
        <v>9.29408805031446</v>
      </c>
      <c r="Y130" s="145" t="n">
        <f aca="false">IFERROR('Price History'!D3+(INDEX('Price History'!D:D,MATCH(9.99E+307,'Price History'!$A:$A))-'Price History'!D3)*(ROW()-3)/(MATCH(9.99E+307,'Returns (Calc)'!$A:$A)-3),"")</f>
        <v>117.134088050314</v>
      </c>
      <c r="Z130" s="145" t="n">
        <f aca="false">IFERROR('Price History'!E3+(INDEX('Price History'!E:E,MATCH(9.99E+307,'Price History'!$A:$A))-'Price History'!E3)*(ROW()-3)/(MATCH(9.99E+307,'Returns (Calc)'!$A:$A)-3),"")</f>
        <v>16.503144654088</v>
      </c>
      <c r="AA130" s="145" t="n">
        <f aca="false">IFERROR('Price History'!F3+(INDEX('Price History'!F:F,MATCH(9.99E+307,'Price History'!$A:$A))-'Price History'!F3)*(ROW()-3)/(MATCH(9.99E+307,'Returns (Calc)'!$A:$A)-3),"")</f>
        <v>15.1567295597484</v>
      </c>
      <c r="AB130" s="145" t="n">
        <f aca="false">IFERROR('Price History'!G3+(INDEX('Price History'!G:G,MATCH(9.99E+307,'Price History'!$A:$A))-'Price History'!G3)*(ROW()-3)/(MATCH(9.99E+307,'Returns (Calc)'!$A:$A)-3),"")</f>
        <v>8.3240251572327</v>
      </c>
      <c r="AC130" s="145" t="n">
        <f aca="false">IFERROR('Price History'!H3+(INDEX('Price History'!H:H,MATCH(9.99E+307,'Price History'!$A:$A))-'Price History'!H3)*(ROW()-3)/(MATCH(9.99E+307,'Returns (Calc)'!$A:$A)-3),"")</f>
        <v>20.2445283018868</v>
      </c>
      <c r="AD130" s="145" t="n">
        <f aca="false">IFERROR('Price History'!I3+(INDEX('Price History'!I:I,MATCH(9.99E+307,'Price History'!$A:$A))-'Price History'!I3)*(ROW()-3)/(MATCH(9.99E+307,'Returns (Calc)'!$A:$A)-3),"")</f>
        <v>8.92578616352201</v>
      </c>
      <c r="AE130" s="145" t="n">
        <f aca="false">IFERROR('Price History'!J3+(INDEX('Price History'!J:J,MATCH(9.99E+307,'Price History'!$A:$A))-'Price History'!J3)*(ROW()-3)/(MATCH(9.99E+307,'Returns (Calc)'!$A:$A)-3),"")</f>
        <v>13.9089308176101</v>
      </c>
      <c r="AF130" s="145" t="n">
        <f aca="false">IFERROR('Price History'!K3+(INDEX('Price History'!K:K,MATCH(9.99E+307,'Price History'!$A:$A))-'Price History'!K3)*(ROW()-3)/(MATCH(9.99E+307,'Returns (Calc)'!$A:$A)-3),"")</f>
        <v>8.80905660377359</v>
      </c>
      <c r="AG130" s="145" t="n">
        <f aca="false">IFERROR('Price History'!L3+(INDEX('Price History'!L:L,MATCH(9.99E+307,'Price History'!$A:$A))-'Price History'!L3)*(ROW()-3)/(MATCH(9.99E+307,'Returns (Calc)'!$A:$A)-3),"")</f>
        <v>22.508679245283</v>
      </c>
      <c r="AH130" s="145" t="n">
        <f aca="false">IFERROR('Price History'!M3+(INDEX('Price History'!M:M,MATCH(9.99E+307,'Price History'!$A:$A))-'Price History'!M3)*(ROW()-3)/(MATCH(9.99E+307,'Returns (Calc)'!$A:$A)-3),"")</f>
        <v>3.08528301886792</v>
      </c>
      <c r="AI130" s="145" t="n">
        <f aca="false">IFERROR('Price History'!N3+(INDEX('Price History'!N:N,MATCH(9.99E+307,'Price History'!$A:$A))-'Price History'!N3)*(ROW()-3)/(MATCH(9.99E+307,'Returns (Calc)'!$A:$A)-3),"")</f>
        <v>4.3874213836478</v>
      </c>
      <c r="AJ130" s="145" t="n">
        <f aca="false">IFERROR('Price History'!O3+(INDEX('Price History'!O:O,MATCH(9.99E+307,'Price History'!$A:$A))-'Price History'!O3)*(ROW()-3)/(MATCH(9.99E+307,'Returns (Calc)'!$A:$A)-3),"")</f>
        <v>11.5984905660377</v>
      </c>
      <c r="AK130" s="145" t="n">
        <f aca="false">IFERROR('Price History'!Q3+(INDEX('Price History'!Q:Q,MATCH(9.99E+307,'Price History'!$A:$A))-'Price History'!Q3)*(ROW()-3)/(MATCH(9.99E+307,'Returns (Calc)'!$A:$A)-3),"")</f>
        <v>47.4223899371069</v>
      </c>
      <c r="AL130" s="145" t="n">
        <f aca="false">IFERROR('Price History'!R3+(INDEX('Price History'!R:R,MATCH(9.99E+307,'Price History'!$A:$A))-'Price History'!R3)*(ROW()-3)/(MATCH(9.99E+307,'Returns (Calc)'!$A:$A)-3),"")</f>
        <v>9.62415094339622</v>
      </c>
      <c r="AM130" s="145" t="n">
        <f aca="false">IFERROR('Price History'!S3+(INDEX('Price History'!S:S,MATCH(9.99E+307,'Price History'!$A:$A))-'Price History'!S3)*(ROW()-3)/(MATCH(9.99E+307,'Returns (Calc)'!$A:$A)-3),"")</f>
        <v>11.7816352201258</v>
      </c>
      <c r="AN130" s="145" t="n">
        <f aca="false">IFERROR('Price History'!T3+(INDEX('Price History'!T:T,MATCH(9.99E+307,'Price History'!$A:$A))-'Price History'!T3)*(ROW()-3)/(MATCH(9.99E+307,'Returns (Calc)'!$A:$A)-3),"")</f>
        <v>5.41584905660377</v>
      </c>
      <c r="AO130" s="146" t="n">
        <f aca="false">IFERROR('Price History'!V3+(INDEX('Price History'!V:V,MATCH(9.99E+307,'Price History'!$A:$A))-'Price History'!V3)*(ROW()-3)/(MATCH(9.99E+307,'Returns (Calc)'!$A:$A)-3),"")</f>
        <v>0</v>
      </c>
    </row>
    <row r="131" customFormat="false" ht="15" hidden="false" customHeight="true" outlineLevel="0" collapsed="false">
      <c r="A131" s="142" t="n">
        <f aca="false">IF('Price History'!A132="","",'Price History'!A132)</f>
        <v>46087</v>
      </c>
      <c r="B131" s="143" t="n">
        <f aca="false">IFERROR(IF(OR(NOT(ISNUMBER('Price History'!B132)),NOT(ISNUMBER('Price History'!B131)),'Price History'!B131=0),"",'Price History'!B132/'Price History'!B131-1),"")</f>
        <v>0.0808277123585228</v>
      </c>
      <c r="C131" s="143" t="n">
        <f aca="false">IFERROR(IF(OR(NOT(ISNUMBER('Price History'!C132)),NOT(ISNUMBER('Price History'!C131)),'Price History'!C131=0),"",'Price History'!C132/'Price History'!C131-1),"")</f>
        <v>-0.0045692883895132</v>
      </c>
      <c r="D131" s="143" t="n">
        <f aca="false">IFERROR(IF(OR(NOT(ISNUMBER('Price History'!D132)),NOT(ISNUMBER('Price History'!D131)),'Price History'!D131=0),"",'Price History'!D132/'Price History'!D131-1),"")</f>
        <v>-0.108755958022317</v>
      </c>
      <c r="E131" s="143" t="n">
        <f aca="false">IFERROR(IF(OR(NOT(ISNUMBER('Price History'!E132)),NOT(ISNUMBER('Price History'!E131)),'Price History'!E131=0),"",'Price History'!E132/'Price History'!E131-1),"")</f>
        <v>0.0342039018250473</v>
      </c>
      <c r="F131" s="143" t="n">
        <f aca="false">IFERROR(IF(OR(NOT(ISNUMBER('Price History'!F132)),NOT(ISNUMBER('Price History'!F131)),'Price History'!F131=0),"",'Price History'!F132/'Price History'!F131-1),"")</f>
        <v>-0.0383343758377267</v>
      </c>
      <c r="G131" s="143" t="n">
        <f aca="false">IFERROR(IF(OR(NOT(ISNUMBER('Price History'!G132)),NOT(ISNUMBER('Price History'!G131)),'Price History'!G131=0),"",'Price History'!G132/'Price History'!G131-1),"")</f>
        <v>0.153225806451613</v>
      </c>
      <c r="H131" s="143" t="n">
        <f aca="false">IFERROR(IF(OR(NOT(ISNUMBER('Price History'!H132)),NOT(ISNUMBER('Price History'!H131)),'Price History'!H131=0),"",'Price History'!H132/'Price History'!H131-1),"")</f>
        <v>-0.0247018739352641</v>
      </c>
      <c r="I131" s="143" t="n">
        <f aca="false">IFERROR(IF(OR(NOT(ISNUMBER('Price History'!I132)),NOT(ISNUMBER('Price History'!I131)),'Price History'!I131=0),"",'Price History'!I132/'Price History'!I131-1),"")</f>
        <v>-0.118087974225787</v>
      </c>
      <c r="J131" s="143" t="n">
        <f aca="false">IFERROR(IF(OR(NOT(ISNUMBER('Price History'!J132)),NOT(ISNUMBER('Price History'!J131)),'Price History'!J131=0),"",'Price History'!J132/'Price History'!J131-1),"")</f>
        <v>-0.102006648387645</v>
      </c>
      <c r="K131" s="143" t="n">
        <f aca="false">IFERROR(IF(OR(NOT(ISNUMBER('Price History'!K132)),NOT(ISNUMBER('Price History'!K131)),'Price History'!K131=0),"",'Price History'!K132/'Price History'!K131-1),"")</f>
        <v>0.00350718407059625</v>
      </c>
      <c r="L131" s="143" t="n">
        <f aca="false">IFERROR(IF(OR(NOT(ISNUMBER('Price History'!L132)),NOT(ISNUMBER('Price History'!L131)),'Price History'!L131=0),"",'Price History'!L132/'Price History'!L131-1),"")</f>
        <v>-0.0563491493790825</v>
      </c>
      <c r="M131" s="143" t="n">
        <f aca="false">IFERROR(IF(OR(NOT(ISNUMBER('Price History'!M132)),NOT(ISNUMBER('Price History'!M131)),'Price History'!M131=0),"",'Price History'!M132/'Price History'!M131-1),"")</f>
        <v>0.145564545520811</v>
      </c>
      <c r="N131" s="143" t="n">
        <f aca="false">IFERROR(IF(OR(NOT(ISNUMBER('Price History'!N132)),NOT(ISNUMBER('Price History'!N131)),'Price History'!N131=0),"",'Price History'!N132/'Price History'!N131-1),"")</f>
        <v>-0.0203160270880361</v>
      </c>
      <c r="O131" s="143" t="n">
        <f aca="false">IFERROR(IF(OR(NOT(ISNUMBER('Price History'!O132)),NOT(ISNUMBER('Price History'!O131)),'Price History'!O131=0),"",'Price History'!O132/'Price History'!O131-1),"")</f>
        <v>-0.0103570225665207</v>
      </c>
      <c r="P131" s="143" t="n">
        <f aca="false">IFERROR(IF(OR(NOT(ISNUMBER('Price History'!P132)),NOT(ISNUMBER('Price History'!P131)),'Price History'!P131=0),"",'Price History'!P132/'Price History'!P131-1),"")</f>
        <v>-0.0952752515740193</v>
      </c>
      <c r="Q131" s="143" t="n">
        <f aca="false">IFERROR(IF(OR(NOT(ISNUMBER('Price History'!Q132)),NOT(ISNUMBER('Price History'!Q131)),'Price History'!Q131=0),"",'Price History'!Q132/'Price History'!Q131-1),"")</f>
        <v>-0.00868638088369023</v>
      </c>
      <c r="R131" s="143" t="n">
        <f aca="false">IFERROR(IF(OR(NOT(ISNUMBER('Price History'!R132)),NOT(ISNUMBER('Price History'!R131)),'Price History'!R131=0),"",'Price History'!R132/'Price History'!R131-1),"")</f>
        <v>0.00354609929078009</v>
      </c>
      <c r="S131" s="143" t="n">
        <f aca="false">IFERROR(IF(OR(NOT(ISNUMBER('Price History'!S132)),NOT(ISNUMBER('Price History'!S131)),'Price History'!S131=0),"",'Price History'!S132/'Price History'!S131-1),"")</f>
        <v>0.0165366350067844</v>
      </c>
      <c r="T131" s="143" t="n">
        <f aca="false">IFERROR(IF(OR(NOT(ISNUMBER('Price History'!T132)),NOT(ISNUMBER('Price History'!T131)),'Price History'!T131=0),"",'Price History'!T132/'Price History'!T131-1),"")</f>
        <v>-0.00978424485699947</v>
      </c>
      <c r="U131" s="143" t="str">
        <f aca="false">IFERROR(IF(OR(NOT(ISNUMBER('Price History'!U132)),NOT(ISNUMBER('Price History'!U131)),'Price History'!U131=0),"",'Price History'!U132/'Price History'!U131-1),"")</f>
        <v/>
      </c>
      <c r="V131" s="144" t="n">
        <f aca="false">IFERROR(IF(OR(NOT(ISNUMBER('Price History'!V132)),NOT(ISNUMBER('Price History'!V131)),'Price History'!V131=0),"",'Price History'!V132/'Price History'!V131-1),"")</f>
        <v>-0.013323875026987</v>
      </c>
      <c r="W131" s="145" t="str">
        <f aca="false">IFERROR('Price History'!B3+(INDEX('Price History'!B:B,MATCH(9.99E+307,'Price History'!$A:$A))-'Price History'!B3)*(ROW()-3)/(MATCH(9.99E+307,'Returns (Calc)'!$A:$A)-3),"")</f>
        <v/>
      </c>
      <c r="X131" s="145" t="n">
        <f aca="false">IFERROR('Price History'!C3+(INDEX('Price History'!C:C,MATCH(9.99E+307,'Price History'!$A:$A))-'Price History'!C3)*(ROW()-3)/(MATCH(9.99E+307,'Returns (Calc)'!$A:$A)-3),"")</f>
        <v>9.00364779874214</v>
      </c>
      <c r="Y131" s="145" t="n">
        <f aca="false">IFERROR('Price History'!D3+(INDEX('Price History'!D:D,MATCH(9.99E+307,'Price History'!$A:$A))-'Price History'!D3)*(ROW()-3)/(MATCH(9.99E+307,'Returns (Calc)'!$A:$A)-3),"")</f>
        <v>113.473647798742</v>
      </c>
      <c r="Z131" s="145" t="n">
        <f aca="false">IFERROR('Price History'!E3+(INDEX('Price History'!E:E,MATCH(9.99E+307,'Price History'!$A:$A))-'Price History'!E3)*(ROW()-3)/(MATCH(9.99E+307,'Returns (Calc)'!$A:$A)-3),"")</f>
        <v>15.9874213836478</v>
      </c>
      <c r="AA131" s="145" t="n">
        <f aca="false">IFERROR('Price History'!F3+(INDEX('Price History'!F:F,MATCH(9.99E+307,'Price History'!$A:$A))-'Price History'!F3)*(ROW()-3)/(MATCH(9.99E+307,'Returns (Calc)'!$A:$A)-3),"")</f>
        <v>14.6830817610063</v>
      </c>
      <c r="AB131" s="145" t="n">
        <f aca="false">IFERROR('Price History'!G3+(INDEX('Price History'!G:G,MATCH(9.99E+307,'Price History'!$A:$A))-'Price History'!G3)*(ROW()-3)/(MATCH(9.99E+307,'Returns (Calc)'!$A:$A)-3),"")</f>
        <v>8.06389937106918</v>
      </c>
      <c r="AC131" s="145" t="n">
        <f aca="false">IFERROR('Price History'!H3+(INDEX('Price History'!H:H,MATCH(9.99E+307,'Price History'!$A:$A))-'Price History'!H3)*(ROW()-3)/(MATCH(9.99E+307,'Returns (Calc)'!$A:$A)-3),"")</f>
        <v>19.6118867924528</v>
      </c>
      <c r="AD131" s="145" t="n">
        <f aca="false">IFERROR('Price History'!I3+(INDEX('Price History'!I:I,MATCH(9.99E+307,'Price History'!$A:$A))-'Price History'!I3)*(ROW()-3)/(MATCH(9.99E+307,'Returns (Calc)'!$A:$A)-3),"")</f>
        <v>8.64685534591195</v>
      </c>
      <c r="AE131" s="145" t="n">
        <f aca="false">IFERROR('Price History'!J3+(INDEX('Price History'!J:J,MATCH(9.99E+307,'Price History'!$A:$A))-'Price History'!J3)*(ROW()-3)/(MATCH(9.99E+307,'Returns (Calc)'!$A:$A)-3),"")</f>
        <v>13.4742767295597</v>
      </c>
      <c r="AF131" s="145" t="n">
        <f aca="false">IFERROR('Price History'!K3+(INDEX('Price History'!K:K,MATCH(9.99E+307,'Price History'!$A:$A))-'Price History'!K3)*(ROW()-3)/(MATCH(9.99E+307,'Returns (Calc)'!$A:$A)-3),"")</f>
        <v>8.53377358490566</v>
      </c>
      <c r="AG131" s="145" t="n">
        <f aca="false">IFERROR('Price History'!L3+(INDEX('Price History'!L:L,MATCH(9.99E+307,'Price History'!$A:$A))-'Price History'!L3)*(ROW()-3)/(MATCH(9.99E+307,'Returns (Calc)'!$A:$A)-3),"")</f>
        <v>21.8052830188679</v>
      </c>
      <c r="AH131" s="145" t="n">
        <f aca="false">IFERROR('Price History'!M3+(INDEX('Price History'!M:M,MATCH(9.99E+307,'Price History'!$A:$A))-'Price History'!M3)*(ROW()-3)/(MATCH(9.99E+307,'Returns (Calc)'!$A:$A)-3),"")</f>
        <v>2.9888679245283</v>
      </c>
      <c r="AI131" s="145" t="n">
        <f aca="false">IFERROR('Price History'!N3+(INDEX('Price History'!N:N,MATCH(9.99E+307,'Price History'!$A:$A))-'Price History'!N3)*(ROW()-3)/(MATCH(9.99E+307,'Returns (Calc)'!$A:$A)-3),"")</f>
        <v>4.25031446540881</v>
      </c>
      <c r="AJ131" s="145" t="n">
        <f aca="false">IFERROR('Price History'!O3+(INDEX('Price History'!O:O,MATCH(9.99E+307,'Price History'!$A:$A))-'Price History'!O3)*(ROW()-3)/(MATCH(9.99E+307,'Returns (Calc)'!$A:$A)-3),"")</f>
        <v>11.2360377358491</v>
      </c>
      <c r="AK131" s="145" t="n">
        <f aca="false">IFERROR('Price History'!Q3+(INDEX('Price History'!Q:Q,MATCH(9.99E+307,'Price History'!$A:$A))-'Price History'!Q3)*(ROW()-3)/(MATCH(9.99E+307,'Returns (Calc)'!$A:$A)-3),"")</f>
        <v>45.9404402515723</v>
      </c>
      <c r="AL131" s="145" t="n">
        <f aca="false">IFERROR('Price History'!R3+(INDEX('Price History'!R:R,MATCH(9.99E+307,'Price History'!$A:$A))-'Price History'!R3)*(ROW()-3)/(MATCH(9.99E+307,'Returns (Calc)'!$A:$A)-3),"")</f>
        <v>9.32339622641509</v>
      </c>
      <c r="AM131" s="145" t="n">
        <f aca="false">IFERROR('Price History'!S3+(INDEX('Price History'!S:S,MATCH(9.99E+307,'Price History'!$A:$A))-'Price History'!S3)*(ROW()-3)/(MATCH(9.99E+307,'Returns (Calc)'!$A:$A)-3),"")</f>
        <v>11.4134591194969</v>
      </c>
      <c r="AN131" s="145" t="n">
        <f aca="false">IFERROR('Price History'!T3+(INDEX('Price History'!T:T,MATCH(9.99E+307,'Price History'!$A:$A))-'Price History'!T3)*(ROW()-3)/(MATCH(9.99E+307,'Returns (Calc)'!$A:$A)-3),"")</f>
        <v>5.24660377358491</v>
      </c>
      <c r="AO131" s="146" t="n">
        <f aca="false">IFERROR('Price History'!V3+(INDEX('Price History'!V:V,MATCH(9.99E+307,'Price History'!$A:$A))-'Price History'!V3)*(ROW()-3)/(MATCH(9.99E+307,'Returns (Calc)'!$A:$A)-3),"")</f>
        <v>0</v>
      </c>
    </row>
    <row r="132" customFormat="false" ht="15" hidden="false" customHeight="true" outlineLevel="0" collapsed="false">
      <c r="A132" s="142" t="n">
        <f aca="false">IF('Price History'!A133="","",'Price History'!A133)</f>
        <v>46094</v>
      </c>
      <c r="B132" s="143" t="n">
        <f aca="false">IFERROR(IF(OR(NOT(ISNUMBER('Price History'!B133)),NOT(ISNUMBER('Price History'!B132)),'Price History'!B132=0),"",'Price History'!B133/'Price History'!B132-1),"")</f>
        <v>-0.120936464283196</v>
      </c>
      <c r="C132" s="143" t="n">
        <f aca="false">IFERROR(IF(OR(NOT(ISNUMBER('Price History'!C133)),NOT(ISNUMBER('Price History'!C132)),'Price History'!C132=0),"",'Price History'!C133/'Price History'!C132-1),"")</f>
        <v>0.00511701407178866</v>
      </c>
      <c r="D132" s="143" t="n">
        <f aca="false">IFERROR(IF(OR(NOT(ISNUMBER('Price History'!D133)),NOT(ISNUMBER('Price History'!D132)),'Price History'!D132=0),"",'Price History'!D133/'Price History'!D132-1),"")</f>
        <v>0.0409059860904124</v>
      </c>
      <c r="E132" s="143" t="n">
        <f aca="false">IFERROR(IF(OR(NOT(ISNUMBER('Price History'!E133)),NOT(ISNUMBER('Price History'!E132)),'Price History'!E132=0),"",'Price History'!E133/'Price History'!E132-1),"")</f>
        <v>-0.0251924422673199</v>
      </c>
      <c r="F132" s="143" t="n">
        <f aca="false">IFERROR(IF(OR(NOT(ISNUMBER('Price History'!F133)),NOT(ISNUMBER('Price History'!F132)),'Price History'!F132=0),"",'Price History'!F133/'Price History'!F132-1),"")</f>
        <v>-0.0191414235272255</v>
      </c>
      <c r="G132" s="143" t="n">
        <f aca="false">IFERROR(IF(OR(NOT(ISNUMBER('Price History'!G133)),NOT(ISNUMBER('Price History'!G132)),'Price History'!G132=0),"",'Price History'!G133/'Price History'!G132-1),"")</f>
        <v>0.0297435897435898</v>
      </c>
      <c r="H132" s="143" t="n">
        <f aca="false">IFERROR(IF(OR(NOT(ISNUMBER('Price History'!H133)),NOT(ISNUMBER('Price History'!H132)),'Price History'!H132=0),"",'Price History'!H133/'Price History'!H132-1),"")</f>
        <v>-0.0121598925092375</v>
      </c>
      <c r="I132" s="143" t="n">
        <f aca="false">IFERROR(IF(OR(NOT(ISNUMBER('Price History'!I133)),NOT(ISNUMBER('Price History'!I132)),'Price History'!I132=0),"",'Price History'!I133/'Price History'!I132-1),"")</f>
        <v>0.0550958025795871</v>
      </c>
      <c r="J132" s="143" t="n">
        <f aca="false">IFERROR(IF(OR(NOT(ISNUMBER('Price History'!J133)),NOT(ISNUMBER('Price History'!J132)),'Price History'!J132=0),"",'Price History'!J133/'Price History'!J132-1),"")</f>
        <v>0.150774136020968</v>
      </c>
      <c r="K132" s="143" t="n">
        <f aca="false">IFERROR(IF(OR(NOT(ISNUMBER('Price History'!K133)),NOT(ISNUMBER('Price History'!K132)),'Price History'!K132=0),"",'Price History'!K133/'Price History'!K132-1),"")</f>
        <v>0.0137542277339346</v>
      </c>
      <c r="L132" s="143" t="n">
        <f aca="false">IFERROR(IF(OR(NOT(ISNUMBER('Price History'!L133)),NOT(ISNUMBER('Price History'!L132)),'Price History'!L132=0),"",'Price History'!L133/'Price History'!L132-1),"")</f>
        <v>-0.0207667731629394</v>
      </c>
      <c r="M132" s="143" t="n">
        <f aca="false">IFERROR(IF(OR(NOT(ISNUMBER('Price History'!M133)),NOT(ISNUMBER('Price History'!M132)),'Price History'!M132=0),"",'Price History'!M133/'Price History'!M132-1),"")</f>
        <v>-0.0395138712140495</v>
      </c>
      <c r="N132" s="143" t="n">
        <f aca="false">IFERROR(IF(OR(NOT(ISNUMBER('Price History'!N133)),NOT(ISNUMBER('Price History'!N132)),'Price History'!N132=0),"",'Price History'!N133/'Price History'!N132-1),"")</f>
        <v>-0.010533245556287</v>
      </c>
      <c r="O132" s="143" t="n">
        <f aca="false">IFERROR(IF(OR(NOT(ISNUMBER('Price History'!O133)),NOT(ISNUMBER('Price History'!O132)),'Price History'!O132=0),"",'Price History'!O133/'Price History'!O132-1),"")</f>
        <v>-0.0173572704841317</v>
      </c>
      <c r="P132" s="143" t="n">
        <f aca="false">IFERROR(IF(OR(NOT(ISNUMBER('Price History'!P133)),NOT(ISNUMBER('Price History'!P132)),'Price History'!P132=0),"",'Price History'!P133/'Price History'!P132-1),"")</f>
        <v>-0.00172490706319695</v>
      </c>
      <c r="Q132" s="143" t="n">
        <f aca="false">IFERROR(IF(OR(NOT(ISNUMBER('Price History'!Q133)),NOT(ISNUMBER('Price History'!Q132)),'Price History'!Q132=0),"",'Price History'!Q133/'Price History'!Q132-1),"")</f>
        <v>-0.0322029609009237</v>
      </c>
      <c r="R132" s="143" t="n">
        <f aca="false">IFERROR(IF(OR(NOT(ISNUMBER('Price History'!R133)),NOT(ISNUMBER('Price History'!R132)),'Price History'!R132=0),"",'Price History'!R133/'Price History'!R132-1),"")</f>
        <v>-0.0232205956587582</v>
      </c>
      <c r="S132" s="143" t="n">
        <f aca="false">IFERROR(IF(OR(NOT(ISNUMBER('Price History'!S133)),NOT(ISNUMBER('Price History'!S132)),'Price History'!S132=0),"",'Price History'!S133/'Price History'!S132-1),"")</f>
        <v>-0.000250271127054336</v>
      </c>
      <c r="T132" s="143" t="n">
        <f aca="false">IFERROR(IF(OR(NOT(ISNUMBER('Price History'!T133)),NOT(ISNUMBER('Price History'!T132)),'Price History'!T132=0),"",'Price History'!T133/'Price History'!T132-1),"")</f>
        <v>0.0243222700785406</v>
      </c>
      <c r="U132" s="143" t="str">
        <f aca="false">IFERROR(IF(OR(NOT(ISNUMBER('Price History'!U133)),NOT(ISNUMBER('Price History'!U132)),'Price History'!U132=0),"",'Price History'!U133/'Price History'!U132-1),"")</f>
        <v/>
      </c>
      <c r="V132" s="144" t="n">
        <f aca="false">IFERROR(IF(OR(NOT(ISNUMBER('Price History'!V133)),NOT(ISNUMBER('Price History'!V132)),'Price History'!V132=0),"",'Price History'!V133/'Price History'!V132-1),"")</f>
        <v>0.0302897689975306</v>
      </c>
      <c r="W132" s="145" t="str">
        <f aca="false">IFERROR('Price History'!B3+(INDEX('Price History'!B:B,MATCH(9.99E+307,'Price History'!$A:$A))-'Price History'!B3)*(ROW()-3)/(MATCH(9.99E+307,'Returns (Calc)'!$A:$A)-3),"")</f>
        <v/>
      </c>
      <c r="X132" s="145" t="n">
        <f aca="false">IFERROR('Price History'!C3+(INDEX('Price History'!C:C,MATCH(9.99E+307,'Price History'!$A:$A))-'Price History'!C3)*(ROW()-3)/(MATCH(9.99E+307,'Returns (Calc)'!$A:$A)-3),"")</f>
        <v>8.71320754716981</v>
      </c>
      <c r="Y132" s="145" t="n">
        <f aca="false">IFERROR('Price History'!D3+(INDEX('Price History'!D:D,MATCH(9.99E+307,'Price History'!$A:$A))-'Price History'!D3)*(ROW()-3)/(MATCH(9.99E+307,'Returns (Calc)'!$A:$A)-3),"")</f>
        <v>109.81320754717</v>
      </c>
      <c r="Z132" s="145" t="n">
        <f aca="false">IFERROR('Price History'!E3+(INDEX('Price History'!E:E,MATCH(9.99E+307,'Price History'!$A:$A))-'Price History'!E3)*(ROW()-3)/(MATCH(9.99E+307,'Returns (Calc)'!$A:$A)-3),"")</f>
        <v>15.4716981132076</v>
      </c>
      <c r="AA132" s="145" t="n">
        <f aca="false">IFERROR('Price History'!F3+(INDEX('Price History'!F:F,MATCH(9.99E+307,'Price History'!$A:$A))-'Price History'!F3)*(ROW()-3)/(MATCH(9.99E+307,'Returns (Calc)'!$A:$A)-3),"")</f>
        <v>14.2094339622642</v>
      </c>
      <c r="AB132" s="145" t="n">
        <f aca="false">IFERROR('Price History'!G3+(INDEX('Price History'!G:G,MATCH(9.99E+307,'Price History'!$A:$A))-'Price History'!G3)*(ROW()-3)/(MATCH(9.99E+307,'Returns (Calc)'!$A:$A)-3),"")</f>
        <v>7.80377358490566</v>
      </c>
      <c r="AC132" s="145" t="n">
        <f aca="false">IFERROR('Price History'!H3+(INDEX('Price History'!H:H,MATCH(9.99E+307,'Price History'!$A:$A))-'Price History'!H3)*(ROW()-3)/(MATCH(9.99E+307,'Returns (Calc)'!$A:$A)-3),"")</f>
        <v>18.9792452830189</v>
      </c>
      <c r="AD132" s="145" t="n">
        <f aca="false">IFERROR('Price History'!I3+(INDEX('Price History'!I:I,MATCH(9.99E+307,'Price History'!$A:$A))-'Price History'!I3)*(ROW()-3)/(MATCH(9.99E+307,'Returns (Calc)'!$A:$A)-3),"")</f>
        <v>8.36792452830188</v>
      </c>
      <c r="AE132" s="145" t="n">
        <f aca="false">IFERROR('Price History'!J3+(INDEX('Price History'!J:J,MATCH(9.99E+307,'Price History'!$A:$A))-'Price History'!J3)*(ROW()-3)/(MATCH(9.99E+307,'Returns (Calc)'!$A:$A)-3),"")</f>
        <v>13.0396226415094</v>
      </c>
      <c r="AF132" s="145" t="n">
        <f aca="false">IFERROR('Price History'!K3+(INDEX('Price History'!K:K,MATCH(9.99E+307,'Price History'!$A:$A))-'Price History'!K3)*(ROW()-3)/(MATCH(9.99E+307,'Returns (Calc)'!$A:$A)-3),"")</f>
        <v>8.25849056603774</v>
      </c>
      <c r="AG132" s="145" t="n">
        <f aca="false">IFERROR('Price History'!L3+(INDEX('Price History'!L:L,MATCH(9.99E+307,'Price History'!$A:$A))-'Price History'!L3)*(ROW()-3)/(MATCH(9.99E+307,'Returns (Calc)'!$A:$A)-3),"")</f>
        <v>21.1018867924528</v>
      </c>
      <c r="AH132" s="145" t="n">
        <f aca="false">IFERROR('Price History'!M3+(INDEX('Price History'!M:M,MATCH(9.99E+307,'Price History'!$A:$A))-'Price History'!M3)*(ROW()-3)/(MATCH(9.99E+307,'Returns (Calc)'!$A:$A)-3),"")</f>
        <v>2.89245283018868</v>
      </c>
      <c r="AI132" s="145" t="n">
        <f aca="false">IFERROR('Price History'!N3+(INDEX('Price History'!N:N,MATCH(9.99E+307,'Price History'!$A:$A))-'Price History'!N3)*(ROW()-3)/(MATCH(9.99E+307,'Returns (Calc)'!$A:$A)-3),"")</f>
        <v>4.11320754716981</v>
      </c>
      <c r="AJ132" s="145" t="n">
        <f aca="false">IFERROR('Price History'!O3+(INDEX('Price History'!O:O,MATCH(9.99E+307,'Price History'!$A:$A))-'Price History'!O3)*(ROW()-3)/(MATCH(9.99E+307,'Returns (Calc)'!$A:$A)-3),"")</f>
        <v>10.8735849056604</v>
      </c>
      <c r="AK132" s="145" t="n">
        <f aca="false">IFERROR('Price History'!Q3+(INDEX('Price History'!Q:Q,MATCH(9.99E+307,'Price History'!$A:$A))-'Price History'!Q3)*(ROW()-3)/(MATCH(9.99E+307,'Returns (Calc)'!$A:$A)-3),"")</f>
        <v>44.4584905660377</v>
      </c>
      <c r="AL132" s="145" t="n">
        <f aca="false">IFERROR('Price History'!R3+(INDEX('Price History'!R:R,MATCH(9.99E+307,'Price History'!$A:$A))-'Price History'!R3)*(ROW()-3)/(MATCH(9.99E+307,'Returns (Calc)'!$A:$A)-3),"")</f>
        <v>9.02264150943397</v>
      </c>
      <c r="AM132" s="145" t="n">
        <f aca="false">IFERROR('Price History'!S3+(INDEX('Price History'!S:S,MATCH(9.99E+307,'Price History'!$A:$A))-'Price History'!S3)*(ROW()-3)/(MATCH(9.99E+307,'Returns (Calc)'!$A:$A)-3),"")</f>
        <v>11.0452830188679</v>
      </c>
      <c r="AN132" s="145" t="n">
        <f aca="false">IFERROR('Price History'!T3+(INDEX('Price History'!T:T,MATCH(9.99E+307,'Price History'!$A:$A))-'Price History'!T3)*(ROW()-3)/(MATCH(9.99E+307,'Returns (Calc)'!$A:$A)-3),"")</f>
        <v>5.07735849056604</v>
      </c>
      <c r="AO132" s="146" t="n">
        <f aca="false">IFERROR('Price History'!V3+(INDEX('Price History'!V:V,MATCH(9.99E+307,'Price History'!$A:$A))-'Price History'!V3)*(ROW()-3)/(MATCH(9.99E+307,'Returns (Calc)'!$A:$A)-3),"")</f>
        <v>0</v>
      </c>
    </row>
    <row r="133" customFormat="false" ht="15" hidden="false" customHeight="true" outlineLevel="0" collapsed="false">
      <c r="A133" s="142" t="n">
        <f aca="false">IF('Price History'!A134="","",'Price History'!A134)</f>
        <v>46101</v>
      </c>
      <c r="B133" s="143" t="n">
        <f aca="false">IFERROR(IF(OR(NOT(ISNUMBER('Price History'!B134)),NOT(ISNUMBER('Price History'!B133)),'Price History'!B133=0),"",'Price History'!B134/'Price History'!B133-1),"")</f>
        <v>-0.0046927643189475</v>
      </c>
      <c r="C133" s="143" t="n">
        <f aca="false">IFERROR(IF(OR(NOT(ISNUMBER('Price History'!C134)),NOT(ISNUMBER('Price History'!C133)),'Price History'!C133=0),"",'Price History'!C134/'Price History'!C133-1),"")</f>
        <v>-0.0175937710563749</v>
      </c>
      <c r="D133" s="143" t="n">
        <f aca="false">IFERROR(IF(OR(NOT(ISNUMBER('Price History'!D134)),NOT(ISNUMBER('Price History'!D133)),'Price History'!D133=0),"",'Price History'!D134/'Price History'!D133-1),"")</f>
        <v>-0.0211331672905698</v>
      </c>
      <c r="E133" s="143" t="n">
        <f aca="false">IFERROR(IF(OR(NOT(ISNUMBER('Price History'!E134)),NOT(ISNUMBER('Price History'!E133)),'Price History'!E133=0),"",'Price History'!E134/'Price History'!E133-1),"")</f>
        <v>-0.0361434501701051</v>
      </c>
      <c r="F133" s="143" t="n">
        <f aca="false">IFERROR(IF(OR(NOT(ISNUMBER('Price History'!F134)),NOT(ISNUMBER('Price History'!F133)),'Price History'!F133=0),"",'Price History'!F134/'Price History'!F133-1),"")</f>
        <v>-0.00198938992042452</v>
      </c>
      <c r="G133" s="143" t="n">
        <f aca="false">IFERROR(IF(OR(NOT(ISNUMBER('Price History'!G134)),NOT(ISNUMBER('Price History'!G133)),'Price History'!G133=0),"",'Price History'!G134/'Price History'!G133-1),"")</f>
        <v>-0.074157913799348</v>
      </c>
      <c r="H133" s="143" t="n">
        <f aca="false">IFERROR(IF(OR(NOT(ISNUMBER('Price History'!H134)),NOT(ISNUMBER('Price History'!H133)),'Price History'!H133=0),"",'Price History'!H134/'Price History'!H133-1),"")</f>
        <v>-0.0233949945593036</v>
      </c>
      <c r="I133" s="143" t="n">
        <f aca="false">IFERROR(IF(OR(NOT(ISNUMBER('Price History'!I134)),NOT(ISNUMBER('Price History'!I133)),'Price History'!I133=0),"",'Price History'!I134/'Price History'!I133-1),"")</f>
        <v>0.0564584511023176</v>
      </c>
      <c r="J133" s="143" t="n">
        <f aca="false">IFERROR(IF(OR(NOT(ISNUMBER('Price History'!J134)),NOT(ISNUMBER('Price History'!J133)),'Price History'!J133=0),"",'Price History'!J134/'Price History'!J133-1),"")</f>
        <v>-0.00758411796473257</v>
      </c>
      <c r="K133" s="143" t="n">
        <f aca="false">IFERROR(IF(OR(NOT(ISNUMBER('Price History'!K134)),NOT(ISNUMBER('Price History'!K133)),'Price History'!K133=0),"",'Price History'!K134/'Price History'!K133-1),"")</f>
        <v>-0.0418705516014235</v>
      </c>
      <c r="L133" s="143" t="n">
        <f aca="false">IFERROR(IF(OR(NOT(ISNUMBER('Price History'!L134)),NOT(ISNUMBER('Price History'!L133)),'Price History'!L133=0),"",'Price History'!L134/'Price History'!L133-1),"")</f>
        <v>-0.0205080400838964</v>
      </c>
      <c r="M133" s="143" t="n">
        <f aca="false">IFERROR(IF(OR(NOT(ISNUMBER('Price History'!M134)),NOT(ISNUMBER('Price History'!M133)),'Price History'!M133=0),"",'Price History'!M134/'Price History'!M133-1),"")</f>
        <v>-0.00178867174561104</v>
      </c>
      <c r="N133" s="143" t="n">
        <f aca="false">IFERROR(IF(OR(NOT(ISNUMBER('Price History'!N134)),NOT(ISNUMBER('Price History'!N133)),'Price History'!N133=0),"",'Price History'!N134/'Price History'!N133-1),"")</f>
        <v>-0.0133067198935461</v>
      </c>
      <c r="O133" s="143" t="n">
        <f aca="false">IFERROR(IF(OR(NOT(ISNUMBER('Price History'!O134)),NOT(ISNUMBER('Price History'!O133)),'Price History'!O133=0),"",'Price History'!O134/'Price History'!O133-1),"")</f>
        <v>-0.0206944324183912</v>
      </c>
      <c r="P133" s="143" t="n">
        <f aca="false">IFERROR(IF(OR(NOT(ISNUMBER('Price History'!P134)),NOT(ISNUMBER('Price History'!P133)),'Price History'!P133=0),"",'Price History'!P134/'Price History'!P133-1),"")</f>
        <v>-0.0240712604641464</v>
      </c>
      <c r="Q133" s="143" t="n">
        <f aca="false">IFERROR(IF(OR(NOT(ISNUMBER('Price History'!Q134)),NOT(ISNUMBER('Price History'!Q133)),'Price History'!Q133=0),"",'Price History'!Q134/'Price History'!Q133-1),"")</f>
        <v>-0.0179773811858535</v>
      </c>
      <c r="R133" s="143" t="n">
        <f aca="false">IFERROR(IF(OR(NOT(ISNUMBER('Price History'!R134)),NOT(ISNUMBER('Price History'!R133)),'Price History'!R133=0),"",'Price History'!R134/'Price History'!R133-1),"")</f>
        <v>-0.00930232558139532</v>
      </c>
      <c r="S133" s="143" t="n">
        <f aca="false">IFERROR(IF(OR(NOT(ISNUMBER('Price History'!S134)),NOT(ISNUMBER('Price History'!S133)),'Price History'!S133=0),"",'Price History'!S134/'Price History'!S133-1),"")</f>
        <v>-0.0132676902536716</v>
      </c>
      <c r="T133" s="143" t="n">
        <f aca="false">IFERROR(IF(OR(NOT(ISNUMBER('Price History'!T134)),NOT(ISNUMBER('Price History'!T133)),'Price History'!T133=0),"",'Price History'!T134/'Price History'!T133-1),"")</f>
        <v>-0.00420479841701715</v>
      </c>
      <c r="U133" s="143" t="str">
        <f aca="false">IFERROR(IF(OR(NOT(ISNUMBER('Price History'!U134)),NOT(ISNUMBER('Price History'!U133)),'Price History'!U133=0),"",'Price History'!U134/'Price History'!U133-1),"")</f>
        <v/>
      </c>
      <c r="V133" s="144" t="n">
        <f aca="false">IFERROR(IF(OR(NOT(ISNUMBER('Price History'!V134)),NOT(ISNUMBER('Price History'!V133)),'Price History'!V133=0),"",'Price History'!V134/'Price History'!V133-1),"")</f>
        <v>-0.0508191747572816</v>
      </c>
      <c r="W133" s="145" t="str">
        <f aca="false">IFERROR('Price History'!B3+(INDEX('Price History'!B:B,MATCH(9.99E+307,'Price History'!$A:$A))-'Price History'!B3)*(ROW()-3)/(MATCH(9.99E+307,'Returns (Calc)'!$A:$A)-3),"")</f>
        <v/>
      </c>
      <c r="X133" s="145" t="n">
        <f aca="false">IFERROR('Price History'!C3+(INDEX('Price History'!C:C,MATCH(9.99E+307,'Price History'!$A:$A))-'Price History'!C3)*(ROW()-3)/(MATCH(9.99E+307,'Returns (Calc)'!$A:$A)-3),"")</f>
        <v>8.42276729559749</v>
      </c>
      <c r="Y133" s="145" t="n">
        <f aca="false">IFERROR('Price History'!D3+(INDEX('Price History'!D:D,MATCH(9.99E+307,'Price History'!$A:$A))-'Price History'!D3)*(ROW()-3)/(MATCH(9.99E+307,'Returns (Calc)'!$A:$A)-3),"")</f>
        <v>106.152767295597</v>
      </c>
      <c r="Z133" s="145" t="n">
        <f aca="false">IFERROR('Price History'!E3+(INDEX('Price History'!E:E,MATCH(9.99E+307,'Price History'!$A:$A))-'Price History'!E3)*(ROW()-3)/(MATCH(9.99E+307,'Returns (Calc)'!$A:$A)-3),"")</f>
        <v>14.9559748427673</v>
      </c>
      <c r="AA133" s="145" t="n">
        <f aca="false">IFERROR('Price History'!F3+(INDEX('Price History'!F:F,MATCH(9.99E+307,'Price History'!$A:$A))-'Price History'!F3)*(ROW()-3)/(MATCH(9.99E+307,'Returns (Calc)'!$A:$A)-3),"")</f>
        <v>13.735786163522</v>
      </c>
      <c r="AB133" s="145" t="n">
        <f aca="false">IFERROR('Price History'!G3+(INDEX('Price History'!G:G,MATCH(9.99E+307,'Price History'!$A:$A))-'Price History'!G3)*(ROW()-3)/(MATCH(9.99E+307,'Returns (Calc)'!$A:$A)-3),"")</f>
        <v>7.54364779874214</v>
      </c>
      <c r="AC133" s="145" t="n">
        <f aca="false">IFERROR('Price History'!H3+(INDEX('Price History'!H:H,MATCH(9.99E+307,'Price History'!$A:$A))-'Price History'!H3)*(ROW()-3)/(MATCH(9.99E+307,'Returns (Calc)'!$A:$A)-3),"")</f>
        <v>18.3466037735849</v>
      </c>
      <c r="AD133" s="145" t="n">
        <f aca="false">IFERROR('Price History'!I3+(INDEX('Price History'!I:I,MATCH(9.99E+307,'Price History'!$A:$A))-'Price History'!I3)*(ROW()-3)/(MATCH(9.99E+307,'Returns (Calc)'!$A:$A)-3),"")</f>
        <v>8.08899371069182</v>
      </c>
      <c r="AE133" s="145" t="n">
        <f aca="false">IFERROR('Price History'!J3+(INDEX('Price History'!J:J,MATCH(9.99E+307,'Price History'!$A:$A))-'Price History'!J3)*(ROW()-3)/(MATCH(9.99E+307,'Returns (Calc)'!$A:$A)-3),"")</f>
        <v>12.6049685534591</v>
      </c>
      <c r="AF133" s="145" t="n">
        <f aca="false">IFERROR('Price History'!K3+(INDEX('Price History'!K:K,MATCH(9.99E+307,'Price History'!$A:$A))-'Price History'!K3)*(ROW()-3)/(MATCH(9.99E+307,'Returns (Calc)'!$A:$A)-3),"")</f>
        <v>7.98320754716981</v>
      </c>
      <c r="AG133" s="145" t="n">
        <f aca="false">IFERROR('Price History'!L3+(INDEX('Price History'!L:L,MATCH(9.99E+307,'Price History'!$A:$A))-'Price History'!L3)*(ROW()-3)/(MATCH(9.99E+307,'Returns (Calc)'!$A:$A)-3),"")</f>
        <v>20.3984905660377</v>
      </c>
      <c r="AH133" s="145" t="n">
        <f aca="false">IFERROR('Price History'!M3+(INDEX('Price History'!M:M,MATCH(9.99E+307,'Price History'!$A:$A))-'Price History'!M3)*(ROW()-3)/(MATCH(9.99E+307,'Returns (Calc)'!$A:$A)-3),"")</f>
        <v>2.79603773584906</v>
      </c>
      <c r="AI133" s="145" t="n">
        <f aca="false">IFERROR('Price History'!N3+(INDEX('Price History'!N:N,MATCH(9.99E+307,'Price History'!$A:$A))-'Price History'!N3)*(ROW()-3)/(MATCH(9.99E+307,'Returns (Calc)'!$A:$A)-3),"")</f>
        <v>3.97610062893082</v>
      </c>
      <c r="AJ133" s="145" t="n">
        <f aca="false">IFERROR('Price History'!O3+(INDEX('Price History'!O:O,MATCH(9.99E+307,'Price History'!$A:$A))-'Price History'!O3)*(ROW()-3)/(MATCH(9.99E+307,'Returns (Calc)'!$A:$A)-3),"")</f>
        <v>10.5111320754717</v>
      </c>
      <c r="AK133" s="145" t="n">
        <f aca="false">IFERROR('Price History'!Q3+(INDEX('Price History'!Q:Q,MATCH(9.99E+307,'Price History'!$A:$A))-'Price History'!Q3)*(ROW()-3)/(MATCH(9.99E+307,'Returns (Calc)'!$A:$A)-3),"")</f>
        <v>42.9765408805032</v>
      </c>
      <c r="AL133" s="145" t="n">
        <f aca="false">IFERROR('Price History'!R3+(INDEX('Price History'!R:R,MATCH(9.99E+307,'Price History'!$A:$A))-'Price History'!R3)*(ROW()-3)/(MATCH(9.99E+307,'Returns (Calc)'!$A:$A)-3),"")</f>
        <v>8.72188679245283</v>
      </c>
      <c r="AM133" s="145" t="n">
        <f aca="false">IFERROR('Price History'!S3+(INDEX('Price History'!S:S,MATCH(9.99E+307,'Price History'!$A:$A))-'Price History'!S3)*(ROW()-3)/(MATCH(9.99E+307,'Returns (Calc)'!$A:$A)-3),"")</f>
        <v>10.677106918239</v>
      </c>
      <c r="AN133" s="145" t="n">
        <f aca="false">IFERROR('Price History'!T3+(INDEX('Price History'!T:T,MATCH(9.99E+307,'Price History'!$A:$A))-'Price History'!T3)*(ROW()-3)/(MATCH(9.99E+307,'Returns (Calc)'!$A:$A)-3),"")</f>
        <v>4.90811320754717</v>
      </c>
      <c r="AO133" s="146" t="n">
        <f aca="false">IFERROR('Price History'!V3+(INDEX('Price History'!V:V,MATCH(9.99E+307,'Price History'!$A:$A))-'Price History'!V3)*(ROW()-3)/(MATCH(9.99E+307,'Returns (Calc)'!$A:$A)-3),"")</f>
        <v>0</v>
      </c>
    </row>
    <row r="134" customFormat="false" ht="15" hidden="false" customHeight="true" outlineLevel="0" collapsed="false">
      <c r="A134" s="142" t="n">
        <f aca="false">IF('Price History'!A135="","",'Price History'!A135)</f>
        <v>46108</v>
      </c>
      <c r="B134" s="143" t="n">
        <f aca="false">IFERROR(IF(OR(NOT(ISNUMBER('Price History'!B135)),NOT(ISNUMBER('Price History'!B134)),'Price History'!B134=0),"",'Price History'!B135/'Price History'!B134-1),"")</f>
        <v>-0.0536369131573645</v>
      </c>
      <c r="C134" s="143" t="n">
        <f aca="false">IFERROR(IF(OR(NOT(ISNUMBER('Price History'!C135)),NOT(ISNUMBER('Price History'!C134)),'Price History'!C134=0),"",'Price History'!C135/'Price History'!C134-1),"")</f>
        <v>-0.0796372504191435</v>
      </c>
      <c r="D134" s="143" t="n">
        <f aca="false">IFERROR(IF(OR(NOT(ISNUMBER('Price History'!D135)),NOT(ISNUMBER('Price History'!D134)),'Price History'!D134=0),"",'Price History'!D135/'Price History'!D134-1),"")</f>
        <v>-0.0112213182192157</v>
      </c>
      <c r="E134" s="143" t="n">
        <f aca="false">IFERROR(IF(OR(NOT(ISNUMBER('Price History'!E135)),NOT(ISNUMBER('Price History'!E134)),'Price History'!E134=0),"",'Price History'!E135/'Price History'!E134-1),"")</f>
        <v>-0.0296298694990447</v>
      </c>
      <c r="F134" s="143" t="n">
        <f aca="false">IFERROR(IF(OR(NOT(ISNUMBER('Price History'!F135)),NOT(ISNUMBER('Price History'!F134)),'Price History'!F134=0),"",'Price History'!F135/'Price History'!F134-1),"")</f>
        <v>0.0296155671570955</v>
      </c>
      <c r="G134" s="143" t="n">
        <f aca="false">IFERROR(IF(OR(NOT(ISNUMBER('Price History'!G135)),NOT(ISNUMBER('Price History'!G134)),'Price History'!G134=0),"",'Price History'!G135/'Price History'!G134-1),"")</f>
        <v>-0.0964303178484107</v>
      </c>
      <c r="H134" s="143" t="n">
        <f aca="false">IFERROR(IF(OR(NOT(ISNUMBER('Price History'!H135)),NOT(ISNUMBER('Price History'!H134)),'Price History'!H134=0),"",'Price History'!H135/'Price History'!H134-1),"")</f>
        <v>0.0244428969359334</v>
      </c>
      <c r="I134" s="143" t="n">
        <f aca="false">IFERROR(IF(OR(NOT(ISNUMBER('Price History'!I135)),NOT(ISNUMBER('Price History'!I134)),'Price History'!I134=0),"",'Price History'!I135/'Price History'!I134-1),"")</f>
        <v>-0.0370543776336031</v>
      </c>
      <c r="J134" s="143" t="n">
        <f aca="false">IFERROR(IF(OR(NOT(ISNUMBER('Price History'!J135)),NOT(ISNUMBER('Price History'!J134)),'Price History'!J134=0),"",'Price History'!J135/'Price History'!J134-1),"")</f>
        <v>-0.155302134103062</v>
      </c>
      <c r="K134" s="143" t="n">
        <f aca="false">IFERROR(IF(OR(NOT(ISNUMBER('Price History'!K135)),NOT(ISNUMBER('Price History'!K134)),'Price History'!K134=0),"",'Price History'!K135/'Price History'!K134-1),"")</f>
        <v>-0.0300040624455923</v>
      </c>
      <c r="L134" s="143" t="n">
        <f aca="false">IFERROR(IF(OR(NOT(ISNUMBER('Price History'!L135)),NOT(ISNUMBER('Price History'!L134)),'Price History'!L134=0),"",'Price History'!L135/'Price History'!L134-1),"")</f>
        <v>0.00689983345229583</v>
      </c>
      <c r="M134" s="143" t="n">
        <f aca="false">IFERROR(IF(OR(NOT(ISNUMBER('Price History'!M135)),NOT(ISNUMBER('Price History'!M134)),'Price History'!M134=0),"",'Price History'!M135/'Price History'!M134-1),"")</f>
        <v>-0.0505707459516858</v>
      </c>
      <c r="N134" s="143" t="n">
        <f aca="false">IFERROR(IF(OR(NOT(ISNUMBER('Price History'!N135)),NOT(ISNUMBER('Price History'!N134)),'Price History'!N134=0),"",'Price History'!N135/'Price History'!N134-1),"")</f>
        <v>0.0101146325016859</v>
      </c>
      <c r="O134" s="143" t="n">
        <f aca="false">IFERROR(IF(OR(NOT(ISNUMBER('Price History'!O135)),NOT(ISNUMBER('Price History'!O134)),'Price History'!O134=0),"",'Price History'!O135/'Price History'!O134-1),"")</f>
        <v>-0.0277630415561451</v>
      </c>
      <c r="P134" s="143" t="n">
        <f aca="false">IFERROR(IF(OR(NOT(ISNUMBER('Price History'!P135)),NOT(ISNUMBER('Price History'!P134)),'Price History'!P134=0),"",'Price History'!P135/'Price History'!P134-1),"")</f>
        <v>-0.00760096462040949</v>
      </c>
      <c r="Q134" s="143" t="n">
        <f aca="false">IFERROR(IF(OR(NOT(ISNUMBER('Price History'!Q135)),NOT(ISNUMBER('Price History'!Q134)),'Price History'!Q134=0),"",'Price History'!Q135/'Price History'!Q134-1),"")</f>
        <v>-0.0202369857542271</v>
      </c>
      <c r="R134" s="143" t="n">
        <f aca="false">IFERROR(IF(OR(NOT(ISNUMBER('Price History'!R135)),NOT(ISNUMBER('Price History'!R134)),'Price History'!R134=0),"",'Price History'!R135/'Price History'!R134-1),"")</f>
        <v>0.0111284993914103</v>
      </c>
      <c r="S134" s="143" t="n">
        <f aca="false">IFERROR(IF(OR(NOT(ISNUMBER('Price History'!S135)),NOT(ISNUMBER('Price History'!S134)),'Price History'!S134=0),"",'Price History'!S135/'Price History'!S134-1),"")</f>
        <v>0.01446088794926</v>
      </c>
      <c r="T134" s="143" t="n">
        <f aca="false">IFERROR(IF(OR(NOT(ISNUMBER('Price History'!T135)),NOT(ISNUMBER('Price History'!T134)),'Price History'!T134=0),"",'Price History'!T135/'Price History'!T134-1),"")</f>
        <v>0.00198708395429725</v>
      </c>
      <c r="U134" s="143" t="str">
        <f aca="false">IFERROR(IF(OR(NOT(ISNUMBER('Price History'!U135)),NOT(ISNUMBER('Price History'!U134)),'Price History'!U134=0),"",'Price History'!U135/'Price History'!U134-1),"")</f>
        <v/>
      </c>
      <c r="V134" s="144" t="n">
        <f aca="false">IFERROR(IF(OR(NOT(ISNUMBER('Price History'!V135)),NOT(ISNUMBER('Price History'!V134)),'Price History'!V134=0),"",'Price History'!V135/'Price History'!V134-1),"")</f>
        <v>0.0218635128655904</v>
      </c>
      <c r="W134" s="145" t="str">
        <f aca="false">IFERROR('Price History'!B3+(INDEX('Price History'!B:B,MATCH(9.99E+307,'Price History'!$A:$A))-'Price History'!B3)*(ROW()-3)/(MATCH(9.99E+307,'Returns (Calc)'!$A:$A)-3),"")</f>
        <v/>
      </c>
      <c r="X134" s="145" t="n">
        <f aca="false">IFERROR('Price History'!C3+(INDEX('Price History'!C:C,MATCH(9.99E+307,'Price History'!$A:$A))-'Price History'!C3)*(ROW()-3)/(MATCH(9.99E+307,'Returns (Calc)'!$A:$A)-3),"")</f>
        <v>8.13232704402516</v>
      </c>
      <c r="Y134" s="145" t="n">
        <f aca="false">IFERROR('Price History'!D3+(INDEX('Price History'!D:D,MATCH(9.99E+307,'Price History'!$A:$A))-'Price History'!D3)*(ROW()-3)/(MATCH(9.99E+307,'Returns (Calc)'!$A:$A)-3),"")</f>
        <v>102.492327044025</v>
      </c>
      <c r="Z134" s="145" t="n">
        <f aca="false">IFERROR('Price History'!E3+(INDEX('Price History'!E:E,MATCH(9.99E+307,'Price History'!$A:$A))-'Price History'!E3)*(ROW()-3)/(MATCH(9.99E+307,'Returns (Calc)'!$A:$A)-3),"")</f>
        <v>14.440251572327</v>
      </c>
      <c r="AA134" s="145" t="n">
        <f aca="false">IFERROR('Price History'!F3+(INDEX('Price History'!F:F,MATCH(9.99E+307,'Price History'!$A:$A))-'Price History'!F3)*(ROW()-3)/(MATCH(9.99E+307,'Returns (Calc)'!$A:$A)-3),"")</f>
        <v>13.2621383647799</v>
      </c>
      <c r="AB134" s="145" t="n">
        <f aca="false">IFERROR('Price History'!G3+(INDEX('Price History'!G:G,MATCH(9.99E+307,'Price History'!$A:$A))-'Price History'!G3)*(ROW()-3)/(MATCH(9.99E+307,'Returns (Calc)'!$A:$A)-3),"")</f>
        <v>7.28352201257862</v>
      </c>
      <c r="AC134" s="145" t="n">
        <f aca="false">IFERROR('Price History'!H3+(INDEX('Price History'!H:H,MATCH(9.99E+307,'Price History'!$A:$A))-'Price History'!H3)*(ROW()-3)/(MATCH(9.99E+307,'Returns (Calc)'!$A:$A)-3),"")</f>
        <v>17.7139622641509</v>
      </c>
      <c r="AD134" s="145" t="n">
        <f aca="false">IFERROR('Price History'!I3+(INDEX('Price History'!I:I,MATCH(9.99E+307,'Price History'!$A:$A))-'Price History'!I3)*(ROW()-3)/(MATCH(9.99E+307,'Returns (Calc)'!$A:$A)-3),"")</f>
        <v>7.81006289308176</v>
      </c>
      <c r="AE134" s="145" t="n">
        <f aca="false">IFERROR('Price History'!J3+(INDEX('Price History'!J:J,MATCH(9.99E+307,'Price History'!$A:$A))-'Price History'!J3)*(ROW()-3)/(MATCH(9.99E+307,'Returns (Calc)'!$A:$A)-3),"")</f>
        <v>12.1703144654088</v>
      </c>
      <c r="AF134" s="145" t="n">
        <f aca="false">IFERROR('Price History'!K3+(INDEX('Price History'!K:K,MATCH(9.99E+307,'Price History'!$A:$A))-'Price History'!K3)*(ROW()-3)/(MATCH(9.99E+307,'Returns (Calc)'!$A:$A)-3),"")</f>
        <v>7.70792452830189</v>
      </c>
      <c r="AG134" s="145" t="n">
        <f aca="false">IFERROR('Price History'!L3+(INDEX('Price History'!L:L,MATCH(9.99E+307,'Price History'!$A:$A))-'Price History'!L3)*(ROW()-3)/(MATCH(9.99E+307,'Returns (Calc)'!$A:$A)-3),"")</f>
        <v>19.6950943396226</v>
      </c>
      <c r="AH134" s="145" t="n">
        <f aca="false">IFERROR('Price History'!M3+(INDEX('Price History'!M:M,MATCH(9.99E+307,'Price History'!$A:$A))-'Price History'!M3)*(ROW()-3)/(MATCH(9.99E+307,'Returns (Calc)'!$A:$A)-3),"")</f>
        <v>2.69962264150943</v>
      </c>
      <c r="AI134" s="145" t="n">
        <f aca="false">IFERROR('Price History'!N3+(INDEX('Price History'!N:N,MATCH(9.99E+307,'Price History'!$A:$A))-'Price History'!N3)*(ROW()-3)/(MATCH(9.99E+307,'Returns (Calc)'!$A:$A)-3),"")</f>
        <v>3.83899371069182</v>
      </c>
      <c r="AJ134" s="145" t="n">
        <f aca="false">IFERROR('Price History'!O3+(INDEX('Price History'!O:O,MATCH(9.99E+307,'Price History'!$A:$A))-'Price History'!O3)*(ROW()-3)/(MATCH(9.99E+307,'Returns (Calc)'!$A:$A)-3),"")</f>
        <v>10.148679245283</v>
      </c>
      <c r="AK134" s="145" t="n">
        <f aca="false">IFERROR('Price History'!Q3+(INDEX('Price History'!Q:Q,MATCH(9.99E+307,'Price History'!$A:$A))-'Price History'!Q3)*(ROW()-3)/(MATCH(9.99E+307,'Returns (Calc)'!$A:$A)-3),"")</f>
        <v>41.4945911949686</v>
      </c>
      <c r="AL134" s="145" t="n">
        <f aca="false">IFERROR('Price History'!R3+(INDEX('Price History'!R:R,MATCH(9.99E+307,'Price History'!$A:$A))-'Price History'!R3)*(ROW()-3)/(MATCH(9.99E+307,'Returns (Calc)'!$A:$A)-3),"")</f>
        <v>8.4211320754717</v>
      </c>
      <c r="AM134" s="145" t="n">
        <f aca="false">IFERROR('Price History'!S3+(INDEX('Price History'!S:S,MATCH(9.99E+307,'Price History'!$A:$A))-'Price History'!S3)*(ROW()-3)/(MATCH(9.99E+307,'Returns (Calc)'!$A:$A)-3),"")</f>
        <v>10.3089308176101</v>
      </c>
      <c r="AN134" s="145" t="n">
        <f aca="false">IFERROR('Price History'!T3+(INDEX('Price History'!T:T,MATCH(9.99E+307,'Price History'!$A:$A))-'Price History'!T3)*(ROW()-3)/(MATCH(9.99E+307,'Returns (Calc)'!$A:$A)-3),"")</f>
        <v>4.7388679245283</v>
      </c>
      <c r="AO134" s="146" t="n">
        <f aca="false">IFERROR('Price History'!V3+(INDEX('Price History'!V:V,MATCH(9.99E+307,'Price History'!$A:$A))-'Price History'!V3)*(ROW()-3)/(MATCH(9.99E+307,'Returns (Calc)'!$A:$A)-3),"")</f>
        <v>0</v>
      </c>
    </row>
    <row r="135" customFormat="false" ht="15" hidden="false" customHeight="true" outlineLevel="0" collapsed="false">
      <c r="A135" s="142" t="n">
        <f aca="false">IF('Price History'!A136="","",'Price History'!A136)</f>
        <v>46115</v>
      </c>
      <c r="B135" s="143" t="n">
        <f aca="false">IFERROR(IF(OR(NOT(ISNUMBER('Price History'!B136)),NOT(ISNUMBER('Price History'!B135)),'Price History'!B135=0),"",'Price History'!B136/'Price History'!B135-1),"")</f>
        <v>0.0344064043604155</v>
      </c>
      <c r="C135" s="143" t="n">
        <f aca="false">IFERROR(IF(OR(NOT(ISNUMBER('Price History'!C136)),NOT(ISNUMBER('Price History'!C135)),'Price History'!C135=0),"",'Price History'!C136/'Price History'!C135-1),"")</f>
        <v>0.0489359940382546</v>
      </c>
      <c r="D135" s="143" t="n">
        <f aca="false">IFERROR(IF(OR(NOT(ISNUMBER('Price History'!D136)),NOT(ISNUMBER('Price History'!D135)),'Price History'!D135=0),"",'Price History'!D136/'Price History'!D135-1),"")</f>
        <v>0.0113332562887631</v>
      </c>
      <c r="E135" s="143" t="n">
        <f aca="false">IFERROR(IF(OR(NOT(ISNUMBER('Price History'!E136)),NOT(ISNUMBER('Price History'!E135)),'Price History'!E135=0),"",'Price History'!E136/'Price History'!E135-1),"")</f>
        <v>0.0461189347927651</v>
      </c>
      <c r="F135" s="143" t="n">
        <f aca="false">IFERROR(IF(OR(NOT(ISNUMBER('Price History'!F136)),NOT(ISNUMBER('Price History'!F135)),'Price History'!F135=0),"",'Price History'!F136/'Price History'!F135-1),"")</f>
        <v>0.0200977228726837</v>
      </c>
      <c r="G135" s="143" t="n">
        <f aca="false">IFERROR(IF(OR(NOT(ISNUMBER('Price History'!G136)),NOT(ISNUMBER('Price History'!G135)),'Price History'!G135=0),"",'Price History'!G136/'Price History'!G135-1),"")</f>
        <v>0.0799870115813399</v>
      </c>
      <c r="H135" s="143" t="n">
        <f aca="false">IFERROR(IF(OR(NOT(ISNUMBER('Price History'!H136)),NOT(ISNUMBER('Price History'!H135)),'Price History'!H135=0),"",'Price History'!H136/'Price History'!H135-1),"")</f>
        <v>0.0144789613214602</v>
      </c>
      <c r="I135" s="143" t="n">
        <f aca="false">IFERROR(IF(OR(NOT(ISNUMBER('Price History'!I136)),NOT(ISNUMBER('Price History'!I135)),'Price History'!I135=0),"",'Price History'!I136/'Price History'!I135-1),"")</f>
        <v>0.0510523025630338</v>
      </c>
      <c r="J135" s="143" t="n">
        <f aca="false">IFERROR(IF(OR(NOT(ISNUMBER('Price History'!J136)),NOT(ISNUMBER('Price History'!J135)),'Price History'!J135=0),"",'Price History'!J136/'Price History'!J135-1),"")</f>
        <v>0.0256568259481262</v>
      </c>
      <c r="K135" s="143" t="n">
        <f aca="false">IFERROR(IF(OR(NOT(ISNUMBER('Price History'!K136)),NOT(ISNUMBER('Price History'!K135)),'Price History'!K135=0),"",'Price History'!K136/'Price History'!K135-1),"")</f>
        <v>0.0589326313270313</v>
      </c>
      <c r="L135" s="143" t="n">
        <f aca="false">IFERROR(IF(OR(NOT(ISNUMBER('Price History'!L136)),NOT(ISNUMBER('Price History'!L135)),'Price History'!L135=0),"",'Price History'!L136/'Price History'!L135-1),"")</f>
        <v>0.0378071833648392</v>
      </c>
      <c r="M135" s="143" t="n">
        <f aca="false">IFERROR(IF(OR(NOT(ISNUMBER('Price History'!M136)),NOT(ISNUMBER('Price History'!M135)),'Price History'!M135=0),"",'Price History'!M136/'Price History'!M135-1),"")</f>
        <v>0.0377464001118413</v>
      </c>
      <c r="N135" s="143" t="n">
        <f aca="false">IFERROR(IF(OR(NOT(ISNUMBER('Price History'!N136)),NOT(ISNUMBER('Price History'!N135)),'Price History'!N135=0),"",'Price History'!N136/'Price History'!N135-1),"")</f>
        <v>0.00400534045393841</v>
      </c>
      <c r="O135" s="143" t="n">
        <f aca="false">IFERROR(IF(OR(NOT(ISNUMBER('Price History'!O136)),NOT(ISNUMBER('Price History'!O135)),'Price History'!O135=0),"",'Price History'!O136/'Price History'!O135-1),"")</f>
        <v>0.0401964350672972</v>
      </c>
      <c r="P135" s="143" t="n">
        <f aca="false">IFERROR(IF(OR(NOT(ISNUMBER('Price History'!P136)),NOT(ISNUMBER('Price History'!P135)),'Price History'!P135=0),"",'Price History'!P136/'Price History'!P135-1),"")</f>
        <v>0.0376499538603505</v>
      </c>
      <c r="Q135" s="143" t="n">
        <f aca="false">IFERROR(IF(OR(NOT(ISNUMBER('Price History'!Q136)),NOT(ISNUMBER('Price History'!Q135)),'Price History'!Q135=0),"",'Price History'!Q136/'Price History'!Q135-1),"")</f>
        <v>0.0178692757168093</v>
      </c>
      <c r="R135" s="143" t="n">
        <f aca="false">IFERROR(IF(OR(NOT(ISNUMBER('Price History'!R136)),NOT(ISNUMBER('Price History'!R135)),'Price History'!R135=0),"",'Price History'!R136/'Price History'!R135-1),"")</f>
        <v>-0.00189165950128978</v>
      </c>
      <c r="S135" s="143" t="n">
        <f aca="false">IFERROR(IF(OR(NOT(ISNUMBER('Price History'!S136)),NOT(ISNUMBER('Price History'!S135)),'Price History'!S135=0),"",'Price History'!S136/'Price History'!S135-1),"")</f>
        <v>-0.00408469489829944</v>
      </c>
      <c r="T135" s="143" t="n">
        <f aca="false">IFERROR(IF(OR(NOT(ISNUMBER('Price History'!T136)),NOT(ISNUMBER('Price History'!T135)),'Price History'!T135=0),"",'Price History'!T136/'Price History'!T135-1),"")</f>
        <v>0.00347050074367861</v>
      </c>
      <c r="U135" s="143" t="str">
        <f aca="false">IFERROR(IF(OR(NOT(ISNUMBER('Price History'!U136)),NOT(ISNUMBER('Price History'!U135)),'Price History'!U135=0),"",'Price History'!U136/'Price History'!U135-1),"")</f>
        <v/>
      </c>
      <c r="V135" s="144" t="n">
        <f aca="false">IFERROR(IF(OR(NOT(ISNUMBER('Price History'!V136)),NOT(ISNUMBER('Price History'!V135)),'Price History'!V135=0),"",'Price History'!V136/'Price History'!V135-1),"")</f>
        <v>-0.00250242422346647</v>
      </c>
      <c r="W135" s="145" t="str">
        <f aca="false">IFERROR('Price History'!B3+(INDEX('Price History'!B:B,MATCH(9.99E+307,'Price History'!$A:$A))-'Price History'!B3)*(ROW()-3)/(MATCH(9.99E+307,'Returns (Calc)'!$A:$A)-3),"")</f>
        <v/>
      </c>
      <c r="X135" s="145" t="n">
        <f aca="false">IFERROR('Price History'!C3+(INDEX('Price History'!C:C,MATCH(9.99E+307,'Price History'!$A:$A))-'Price History'!C3)*(ROW()-3)/(MATCH(9.99E+307,'Returns (Calc)'!$A:$A)-3),"")</f>
        <v>7.84188679245283</v>
      </c>
      <c r="Y135" s="145" t="n">
        <f aca="false">IFERROR('Price History'!D3+(INDEX('Price History'!D:D,MATCH(9.99E+307,'Price History'!$A:$A))-'Price History'!D3)*(ROW()-3)/(MATCH(9.99E+307,'Returns (Calc)'!$A:$A)-3),"")</f>
        <v>98.8318867924529</v>
      </c>
      <c r="Z135" s="145" t="n">
        <f aca="false">IFERROR('Price History'!E3+(INDEX('Price History'!E:E,MATCH(9.99E+307,'Price History'!$A:$A))-'Price History'!E3)*(ROW()-3)/(MATCH(9.99E+307,'Returns (Calc)'!$A:$A)-3),"")</f>
        <v>13.9245283018868</v>
      </c>
      <c r="AA135" s="145" t="n">
        <f aca="false">IFERROR('Price History'!F3+(INDEX('Price History'!F:F,MATCH(9.99E+307,'Price History'!$A:$A))-'Price History'!F3)*(ROW()-3)/(MATCH(9.99E+307,'Returns (Calc)'!$A:$A)-3),"")</f>
        <v>12.7884905660377</v>
      </c>
      <c r="AB135" s="145" t="n">
        <f aca="false">IFERROR('Price History'!G3+(INDEX('Price History'!G:G,MATCH(9.99E+307,'Price History'!$A:$A))-'Price History'!G3)*(ROW()-3)/(MATCH(9.99E+307,'Returns (Calc)'!$A:$A)-3),"")</f>
        <v>7.0233962264151</v>
      </c>
      <c r="AC135" s="145" t="n">
        <f aca="false">IFERROR('Price History'!H3+(INDEX('Price History'!H:H,MATCH(9.99E+307,'Price History'!$A:$A))-'Price History'!H3)*(ROW()-3)/(MATCH(9.99E+307,'Returns (Calc)'!$A:$A)-3),"")</f>
        <v>17.081320754717</v>
      </c>
      <c r="AD135" s="145" t="n">
        <f aca="false">IFERROR('Price History'!I3+(INDEX('Price History'!I:I,MATCH(9.99E+307,'Price History'!$A:$A))-'Price History'!I3)*(ROW()-3)/(MATCH(9.99E+307,'Returns (Calc)'!$A:$A)-3),"")</f>
        <v>7.5311320754717</v>
      </c>
      <c r="AE135" s="145" t="n">
        <f aca="false">IFERROR('Price History'!J3+(INDEX('Price History'!J:J,MATCH(9.99E+307,'Price History'!$A:$A))-'Price History'!J3)*(ROW()-3)/(MATCH(9.99E+307,'Returns (Calc)'!$A:$A)-3),"")</f>
        <v>11.7356603773585</v>
      </c>
      <c r="AF135" s="145" t="n">
        <f aca="false">IFERROR('Price History'!K3+(INDEX('Price History'!K:K,MATCH(9.99E+307,'Price History'!$A:$A))-'Price History'!K3)*(ROW()-3)/(MATCH(9.99E+307,'Returns (Calc)'!$A:$A)-3),"")</f>
        <v>7.43264150943396</v>
      </c>
      <c r="AG135" s="145" t="n">
        <f aca="false">IFERROR('Price History'!L3+(INDEX('Price History'!L:L,MATCH(9.99E+307,'Price History'!$A:$A))-'Price History'!L3)*(ROW()-3)/(MATCH(9.99E+307,'Returns (Calc)'!$A:$A)-3),"")</f>
        <v>18.9916981132075</v>
      </c>
      <c r="AH135" s="145" t="n">
        <f aca="false">IFERROR('Price History'!M3+(INDEX('Price History'!M:M,MATCH(9.99E+307,'Price History'!$A:$A))-'Price History'!M3)*(ROW()-3)/(MATCH(9.99E+307,'Returns (Calc)'!$A:$A)-3),"")</f>
        <v>2.60320754716981</v>
      </c>
      <c r="AI135" s="145" t="n">
        <f aca="false">IFERROR('Price History'!N3+(INDEX('Price History'!N:N,MATCH(9.99E+307,'Price History'!$A:$A))-'Price History'!N3)*(ROW()-3)/(MATCH(9.99E+307,'Returns (Calc)'!$A:$A)-3),"")</f>
        <v>3.70188679245283</v>
      </c>
      <c r="AJ135" s="145" t="n">
        <f aca="false">IFERROR('Price History'!O3+(INDEX('Price History'!O:O,MATCH(9.99E+307,'Price History'!$A:$A))-'Price History'!O3)*(ROW()-3)/(MATCH(9.99E+307,'Returns (Calc)'!$A:$A)-3),"")</f>
        <v>9.78622641509434</v>
      </c>
      <c r="AK135" s="145" t="n">
        <f aca="false">IFERROR('Price History'!Q3+(INDEX('Price History'!Q:Q,MATCH(9.99E+307,'Price History'!$A:$A))-'Price History'!Q3)*(ROW()-3)/(MATCH(9.99E+307,'Returns (Calc)'!$A:$A)-3),"")</f>
        <v>40.012641509434</v>
      </c>
      <c r="AL135" s="145" t="n">
        <f aca="false">IFERROR('Price History'!R3+(INDEX('Price History'!R:R,MATCH(9.99E+307,'Price History'!$A:$A))-'Price History'!R3)*(ROW()-3)/(MATCH(9.99E+307,'Returns (Calc)'!$A:$A)-3),"")</f>
        <v>8.12037735849057</v>
      </c>
      <c r="AM135" s="145" t="n">
        <f aca="false">IFERROR('Price History'!S3+(INDEX('Price History'!S:S,MATCH(9.99E+307,'Price History'!$A:$A))-'Price History'!S3)*(ROW()-3)/(MATCH(9.99E+307,'Returns (Calc)'!$A:$A)-3),"")</f>
        <v>9.94075471698113</v>
      </c>
      <c r="AN135" s="145" t="n">
        <f aca="false">IFERROR('Price History'!T3+(INDEX('Price History'!T:T,MATCH(9.99E+307,'Price History'!$A:$A))-'Price History'!T3)*(ROW()-3)/(MATCH(9.99E+307,'Returns (Calc)'!$A:$A)-3),"")</f>
        <v>4.56962264150944</v>
      </c>
      <c r="AO135" s="146" t="n">
        <f aca="false">IFERROR('Price History'!V3+(INDEX('Price History'!V:V,MATCH(9.99E+307,'Price History'!$A:$A))-'Price History'!V3)*(ROW()-3)/(MATCH(9.99E+307,'Returns (Calc)'!$A:$A)-3),"")</f>
        <v>0</v>
      </c>
    </row>
    <row r="136" customFormat="false" ht="15" hidden="false" customHeight="true" outlineLevel="0" collapsed="false">
      <c r="A136" s="142" t="n">
        <f aca="false">IF('Price History'!A137="","",'Price History'!A137)</f>
        <v>46122</v>
      </c>
      <c r="B136" s="143" t="n">
        <f aca="false">IFERROR(IF(OR(NOT(ISNUMBER('Price History'!B137)),NOT(ISNUMBER('Price History'!B136)),'Price History'!B136=0),"",'Price History'!B137/'Price History'!B136-1),"")</f>
        <v>-0.07232833854767</v>
      </c>
      <c r="C136" s="143" t="n">
        <f aca="false">IFERROR(IF(OR(NOT(ISNUMBER('Price History'!C137)),NOT(ISNUMBER('Price History'!C136)),'Price History'!C136=0),"",'Price History'!C137/'Price History'!C136-1),"")</f>
        <v>0.163167035048942</v>
      </c>
      <c r="D136" s="143" t="n">
        <f aca="false">IFERROR(IF(OR(NOT(ISNUMBER('Price History'!D137)),NOT(ISNUMBER('Price History'!D136)),'Price History'!D136=0),"",'Price History'!D137/'Price History'!D136-1),"")</f>
        <v>0.122263190772934</v>
      </c>
      <c r="E136" s="143" t="n">
        <f aca="false">IFERROR(IF(OR(NOT(ISNUMBER('Price History'!E137)),NOT(ISNUMBER('Price History'!E136)),'Price History'!E136=0),"",'Price History'!E137/'Price History'!E136-1),"")</f>
        <v>0.181223682531581</v>
      </c>
      <c r="F136" s="143" t="n">
        <f aca="false">IFERROR(IF(OR(NOT(ISNUMBER('Price History'!F137)),NOT(ISNUMBER('Price History'!F136)),'Price History'!F136=0),"",'Price History'!F137/'Price History'!F136-1),"")</f>
        <v>0.029733393583371</v>
      </c>
      <c r="G136" s="143" t="n">
        <f aca="false">IFERROR(IF(OR(NOT(ISNUMBER('Price History'!G137)),NOT(ISNUMBER('Price History'!G136)),'Price History'!G136=0),"",'Price History'!G137/'Price History'!G136-1),"")</f>
        <v>-0.0504109039887753</v>
      </c>
      <c r="H136" s="143" t="n">
        <f aca="false">IFERROR(IF(OR(NOT(ISNUMBER('Price History'!H137)),NOT(ISNUMBER('Price History'!H136)),'Price History'!H136=0),"",'Price History'!H137/'Price History'!H136-1),"")</f>
        <v>0.00515947467166966</v>
      </c>
      <c r="I136" s="143" t="n">
        <f aca="false">IFERROR(IF(OR(NOT(ISNUMBER('Price History'!I137)),NOT(ISNUMBER('Price History'!I136)),'Price History'!I136=0),"",'Price History'!I137/'Price History'!I136-1),"")</f>
        <v>0.145321173671689</v>
      </c>
      <c r="J136" s="143" t="n">
        <f aca="false">IFERROR(IF(OR(NOT(ISNUMBER('Price History'!J137)),NOT(ISNUMBER('Price History'!J136)),'Price History'!J136=0),"",'Price History'!J137/'Price History'!J136-1),"")</f>
        <v>0.14842427221585</v>
      </c>
      <c r="K136" s="143" t="n">
        <f aca="false">IFERROR(IF(OR(NOT(ISNUMBER('Price History'!K137)),NOT(ISNUMBER('Price History'!K136)),'Price History'!K136=0),"",'Price History'!K137/'Price History'!K136-1),"")</f>
        <v>0.0633369116899258</v>
      </c>
      <c r="L136" s="143" t="n">
        <f aca="false">IFERROR(IF(OR(NOT(ISNUMBER('Price History'!L137)),NOT(ISNUMBER('Price History'!L136)),'Price History'!L136=0),"",'Price History'!L137/'Price History'!L136-1),"")</f>
        <v>0.0255768063145112</v>
      </c>
      <c r="M136" s="143" t="n">
        <f aca="false">IFERROR(IF(OR(NOT(ISNUMBER('Price History'!M137)),NOT(ISNUMBER('Price History'!M136)),'Price History'!M136=0),"",'Price History'!M137/'Price History'!M136-1),"")</f>
        <v>-0.13741075037047</v>
      </c>
      <c r="N136" s="143" t="n">
        <f aca="false">IFERROR(IF(OR(NOT(ISNUMBER('Price History'!N137)),NOT(ISNUMBER('Price History'!N136)),'Price History'!N136=0),"",'Price History'!N137/'Price History'!N136-1),"")</f>
        <v>0</v>
      </c>
      <c r="O136" s="143" t="n">
        <f aca="false">IFERROR(IF(OR(NOT(ISNUMBER('Price History'!O137)),NOT(ISNUMBER('Price History'!O136)),'Price History'!O136=0),"",'Price History'!O137/'Price History'!O136-1),"")</f>
        <v>0.0749256863087953</v>
      </c>
      <c r="P136" s="143" t="n">
        <f aca="false">IFERROR(IF(OR(NOT(ISNUMBER('Price History'!P137)),NOT(ISNUMBER('Price History'!P136)),'Price History'!P136=0),"",'Price History'!P137/'Price History'!P136-1),"")</f>
        <v>0.0930811644038656</v>
      </c>
      <c r="Q136" s="143" t="n">
        <f aca="false">IFERROR(IF(OR(NOT(ISNUMBER('Price History'!Q137)),NOT(ISNUMBER('Price History'!Q136)),'Price History'!Q136=0),"",'Price History'!Q137/'Price History'!Q136-1),"")</f>
        <v>0.0118483412322274</v>
      </c>
      <c r="R136" s="143" t="n">
        <f aca="false">IFERROR(IF(OR(NOT(ISNUMBER('Price History'!R137)),NOT(ISNUMBER('Price History'!R136)),'Price History'!R136=0),"",'Price History'!R137/'Price History'!R136-1),"")</f>
        <v>-0.0205031013094418</v>
      </c>
      <c r="S136" s="143" t="n">
        <f aca="false">IFERROR(IF(OR(NOT(ISNUMBER('Price History'!S137)),NOT(ISNUMBER('Price History'!S136)),'Price History'!S136=0),"",'Price History'!S137/'Price History'!S136-1),"")</f>
        <v>-0.0102954716665272</v>
      </c>
      <c r="T136" s="143" t="n">
        <f aca="false">IFERROR(IF(OR(NOT(ISNUMBER('Price History'!T137)),NOT(ISNUMBER('Price History'!T136)),'Price History'!T136=0),"",'Price History'!T137/'Price History'!T136-1),"")</f>
        <v>-0.00914031620553357</v>
      </c>
      <c r="U136" s="143" t="str">
        <f aca="false">IFERROR(IF(OR(NOT(ISNUMBER('Price History'!U137)),NOT(ISNUMBER('Price History'!U136)),'Price History'!U136=0),"",'Price History'!U137/'Price History'!U136-1),"")</f>
        <v/>
      </c>
      <c r="V136" s="144" t="n">
        <f aca="false">IFERROR(IF(OR(NOT(ISNUMBER('Price History'!V137)),NOT(ISNUMBER('Price History'!V136)),'Price History'!V136=0),"",'Price History'!V137/'Price History'!V136-1),"")</f>
        <v>-0.00868638088369023</v>
      </c>
      <c r="W136" s="145" t="str">
        <f aca="false">IFERROR('Price History'!B3+(INDEX('Price History'!B:B,MATCH(9.99E+307,'Price History'!$A:$A))-'Price History'!B3)*(ROW()-3)/(MATCH(9.99E+307,'Returns (Calc)'!$A:$A)-3),"")</f>
        <v/>
      </c>
      <c r="X136" s="145" t="n">
        <f aca="false">IFERROR('Price History'!C3+(INDEX('Price History'!C:C,MATCH(9.99E+307,'Price History'!$A:$A))-'Price History'!C3)*(ROW()-3)/(MATCH(9.99E+307,'Returns (Calc)'!$A:$A)-3),"")</f>
        <v>7.55144654088051</v>
      </c>
      <c r="Y136" s="145" t="n">
        <f aca="false">IFERROR('Price History'!D3+(INDEX('Price History'!D:D,MATCH(9.99E+307,'Price History'!$A:$A))-'Price History'!D3)*(ROW()-3)/(MATCH(9.99E+307,'Returns (Calc)'!$A:$A)-3),"")</f>
        <v>95.1714465408805</v>
      </c>
      <c r="Z136" s="145" t="n">
        <f aca="false">IFERROR('Price History'!E3+(INDEX('Price History'!E:E,MATCH(9.99E+307,'Price History'!$A:$A))-'Price History'!E3)*(ROW()-3)/(MATCH(9.99E+307,'Returns (Calc)'!$A:$A)-3),"")</f>
        <v>13.4088050314465</v>
      </c>
      <c r="AA136" s="145" t="n">
        <f aca="false">IFERROR('Price History'!F3+(INDEX('Price History'!F:F,MATCH(9.99E+307,'Price History'!$A:$A))-'Price History'!F3)*(ROW()-3)/(MATCH(9.99E+307,'Returns (Calc)'!$A:$A)-3),"")</f>
        <v>12.3148427672956</v>
      </c>
      <c r="AB136" s="145" t="n">
        <f aca="false">IFERROR('Price History'!G3+(INDEX('Price History'!G:G,MATCH(9.99E+307,'Price History'!$A:$A))-'Price History'!G3)*(ROW()-3)/(MATCH(9.99E+307,'Returns (Calc)'!$A:$A)-3),"")</f>
        <v>6.76327044025157</v>
      </c>
      <c r="AC136" s="145" t="n">
        <f aca="false">IFERROR('Price History'!H3+(INDEX('Price History'!H:H,MATCH(9.99E+307,'Price History'!$A:$A))-'Price History'!H3)*(ROW()-3)/(MATCH(9.99E+307,'Returns (Calc)'!$A:$A)-3),"")</f>
        <v>16.448679245283</v>
      </c>
      <c r="AD136" s="145" t="n">
        <f aca="false">IFERROR('Price History'!I3+(INDEX('Price History'!I:I,MATCH(9.99E+307,'Price History'!$A:$A))-'Price History'!I3)*(ROW()-3)/(MATCH(9.99E+307,'Returns (Calc)'!$A:$A)-3),"")</f>
        <v>7.25220125786164</v>
      </c>
      <c r="AE136" s="145" t="n">
        <f aca="false">IFERROR('Price History'!J3+(INDEX('Price History'!J:J,MATCH(9.99E+307,'Price History'!$A:$A))-'Price History'!J3)*(ROW()-3)/(MATCH(9.99E+307,'Returns (Calc)'!$A:$A)-3),"")</f>
        <v>11.3010062893082</v>
      </c>
      <c r="AF136" s="145" t="n">
        <f aca="false">IFERROR('Price History'!K3+(INDEX('Price History'!K:K,MATCH(9.99E+307,'Price History'!$A:$A))-'Price History'!K3)*(ROW()-3)/(MATCH(9.99E+307,'Returns (Calc)'!$A:$A)-3),"")</f>
        <v>7.15735849056603</v>
      </c>
      <c r="AG136" s="145" t="n">
        <f aca="false">IFERROR('Price History'!L3+(INDEX('Price History'!L:L,MATCH(9.99E+307,'Price History'!$A:$A))-'Price History'!L3)*(ROW()-3)/(MATCH(9.99E+307,'Returns (Calc)'!$A:$A)-3),"")</f>
        <v>18.2883018867925</v>
      </c>
      <c r="AH136" s="145" t="n">
        <f aca="false">IFERROR('Price History'!M3+(INDEX('Price History'!M:M,MATCH(9.99E+307,'Price History'!$A:$A))-'Price History'!M3)*(ROW()-3)/(MATCH(9.99E+307,'Returns (Calc)'!$A:$A)-3),"")</f>
        <v>2.50679245283019</v>
      </c>
      <c r="AI136" s="145" t="n">
        <f aca="false">IFERROR('Price History'!N3+(INDEX('Price History'!N:N,MATCH(9.99E+307,'Price History'!$A:$A))-'Price History'!N3)*(ROW()-3)/(MATCH(9.99E+307,'Returns (Calc)'!$A:$A)-3),"")</f>
        <v>3.56477987421384</v>
      </c>
      <c r="AJ136" s="145" t="n">
        <f aca="false">IFERROR('Price History'!O3+(INDEX('Price History'!O:O,MATCH(9.99E+307,'Price History'!$A:$A))-'Price History'!O3)*(ROW()-3)/(MATCH(9.99E+307,'Returns (Calc)'!$A:$A)-3),"")</f>
        <v>9.42377358490566</v>
      </c>
      <c r="AK136" s="145" t="n">
        <f aca="false">IFERROR('Price History'!Q3+(INDEX('Price History'!Q:Q,MATCH(9.99E+307,'Price History'!$A:$A))-'Price History'!Q3)*(ROW()-3)/(MATCH(9.99E+307,'Returns (Calc)'!$A:$A)-3),"")</f>
        <v>38.5306918238994</v>
      </c>
      <c r="AL136" s="145" t="n">
        <f aca="false">IFERROR('Price History'!R3+(INDEX('Price History'!R:R,MATCH(9.99E+307,'Price History'!$A:$A))-'Price History'!R3)*(ROW()-3)/(MATCH(9.99E+307,'Returns (Calc)'!$A:$A)-3),"")</f>
        <v>7.81962264150943</v>
      </c>
      <c r="AM136" s="145" t="n">
        <f aca="false">IFERROR('Price History'!S3+(INDEX('Price History'!S:S,MATCH(9.99E+307,'Price History'!$A:$A))-'Price History'!S3)*(ROW()-3)/(MATCH(9.99E+307,'Returns (Calc)'!$A:$A)-3),"")</f>
        <v>9.5725786163522</v>
      </c>
      <c r="AN136" s="145" t="n">
        <f aca="false">IFERROR('Price History'!T3+(INDEX('Price History'!T:T,MATCH(9.99E+307,'Price History'!$A:$A))-'Price History'!T3)*(ROW()-3)/(MATCH(9.99E+307,'Returns (Calc)'!$A:$A)-3),"")</f>
        <v>4.40037735849057</v>
      </c>
      <c r="AO136" s="146" t="n">
        <f aca="false">IFERROR('Price History'!V3+(INDEX('Price History'!V:V,MATCH(9.99E+307,'Price History'!$A:$A))-'Price History'!V3)*(ROW()-3)/(MATCH(9.99E+307,'Returns (Calc)'!$A:$A)-3),"")</f>
        <v>0</v>
      </c>
    </row>
    <row r="137" customFormat="false" ht="15" hidden="false" customHeight="true" outlineLevel="0" collapsed="false">
      <c r="A137" s="142" t="n">
        <f aca="false">IF('Price History'!A138="","",'Price History'!A138)</f>
        <v>46129</v>
      </c>
      <c r="B137" s="143" t="n">
        <f aca="false">IFERROR(IF(OR(NOT(ISNUMBER('Price History'!B138)),NOT(ISNUMBER('Price History'!B137)),'Price History'!B137=0),"",'Price History'!B138/'Price History'!B137-1),"")</f>
        <v>0.0847570445972932</v>
      </c>
      <c r="C137" s="143" t="n">
        <f aca="false">IFERROR(IF(OR(NOT(ISNUMBER('Price History'!C138)),NOT(ISNUMBER('Price History'!C137)),'Price History'!C137=0),"",'Price History'!C138/'Price History'!C137-1),"")</f>
        <v>0.114557176789956</v>
      </c>
      <c r="D137" s="143" t="n">
        <f aca="false">IFERROR(IF(OR(NOT(ISNUMBER('Price History'!D138)),NOT(ISNUMBER('Price History'!D137)),'Price History'!D137=0),"",'Price History'!D138/'Price History'!D137-1),"")</f>
        <v>-0.012497030173438</v>
      </c>
      <c r="E137" s="143" t="n">
        <f aca="false">IFERROR(IF(OR(NOT(ISNUMBER('Price History'!E138)),NOT(ISNUMBER('Price History'!E137)),'Price History'!E137=0),"",'Price History'!E138/'Price History'!E137-1),"")</f>
        <v>0.0941694347673445</v>
      </c>
      <c r="F137" s="143" t="n">
        <f aca="false">IFERROR(IF(OR(NOT(ISNUMBER('Price History'!F138)),NOT(ISNUMBER('Price History'!F137)),'Price History'!F137=0),"",'Price History'!F138/'Price History'!F137-1),"")</f>
        <v>0.0243110408987186</v>
      </c>
      <c r="G137" s="143" t="n">
        <f aca="false">IFERROR(IF(OR(NOT(ISNUMBER('Price History'!G138)),NOT(ISNUMBER('Price History'!G137)),'Price History'!G137=0),"",'Price History'!G138/'Price History'!G137-1),"")</f>
        <v>0.118627968337731</v>
      </c>
      <c r="H137" s="143" t="n">
        <f aca="false">IFERROR(IF(OR(NOT(ISNUMBER('Price History'!H138)),NOT(ISNUMBER('Price History'!H137)),'Price History'!H137=0),"",'Price History'!H138/'Price History'!H137-1),"")</f>
        <v>0.00459969335377641</v>
      </c>
      <c r="I137" s="143" t="n">
        <f aca="false">IFERROR(IF(OR(NOT(ISNUMBER('Price History'!I138)),NOT(ISNUMBER('Price History'!I137)),'Price History'!I137=0),"",'Price History'!I138/'Price History'!I137-1),"")</f>
        <v>0.0311580405054528</v>
      </c>
      <c r="J137" s="143" t="n">
        <f aca="false">IFERROR(IF(OR(NOT(ISNUMBER('Price History'!J138)),NOT(ISNUMBER('Price History'!J137)),'Price History'!J137=0),"",'Price History'!J138/'Price History'!J137-1),"")</f>
        <v>0.0819679927710271</v>
      </c>
      <c r="K137" s="143" t="n">
        <f aca="false">IFERROR(IF(OR(NOT(ISNUMBER('Price History'!K138)),NOT(ISNUMBER('Price History'!K137)),'Price History'!K137=0),"",'Price History'!K138/'Price History'!K137-1),"")</f>
        <v>0.069181721572795</v>
      </c>
      <c r="L137" s="143" t="n">
        <f aca="false">IFERROR(IF(OR(NOT(ISNUMBER('Price History'!L138)),NOT(ISNUMBER('Price History'!L137)),'Price History'!L137=0),"",'Price History'!L138/'Price History'!L137-1),"")</f>
        <v>0.0576481906312438</v>
      </c>
      <c r="M137" s="143" t="n">
        <f aca="false">IFERROR(IF(OR(NOT(ISNUMBER('Price History'!M138)),NOT(ISNUMBER('Price History'!M137)),'Price History'!M137=0),"",'Price History'!M138/'Price History'!M137-1),"")</f>
        <v>0.143136029985944</v>
      </c>
      <c r="N137" s="143" t="n">
        <f aca="false">IFERROR(IF(OR(NOT(ISNUMBER('Price History'!N138)),NOT(ISNUMBER('Price History'!N137)),'Price History'!N137=0),"",'Price History'!N138/'Price History'!N137-1),"")</f>
        <v>0.0159574468085106</v>
      </c>
      <c r="O137" s="143" t="n">
        <f aca="false">IFERROR(IF(OR(NOT(ISNUMBER('Price History'!O138)),NOT(ISNUMBER('Price History'!O137)),'Price History'!O137=0),"",'Price History'!O138/'Price History'!O137-1),"")</f>
        <v>0.0401789345262302</v>
      </c>
      <c r="P137" s="143" t="n">
        <f aca="false">IFERROR(IF(OR(NOT(ISNUMBER('Price History'!P138)),NOT(ISNUMBER('Price History'!P137)),'Price History'!P137=0),"",'Price History'!P138/'Price History'!P137-1),"")</f>
        <v>-0.0002440744155775</v>
      </c>
      <c r="Q137" s="143" t="n">
        <f aca="false">IFERROR(IF(OR(NOT(ISNUMBER('Price History'!Q138)),NOT(ISNUMBER('Price History'!Q137)),'Price History'!Q137=0),"",'Price History'!Q138/'Price History'!Q137-1),"")</f>
        <v>0.0415938252465613</v>
      </c>
      <c r="R137" s="143" t="n">
        <f aca="false">IFERROR(IF(OR(NOT(ISNUMBER('Price History'!R138)),NOT(ISNUMBER('Price History'!R137)),'Price History'!R137=0),"",'Price History'!R138/'Price History'!R137-1),"")</f>
        <v>-0.00510114335971856</v>
      </c>
      <c r="S137" s="143" t="n">
        <f aca="false">IFERROR(IF(OR(NOT(ISNUMBER('Price History'!S138)),NOT(ISNUMBER('Price History'!S137)),'Price History'!S137=0),"",'Price History'!S138/'Price History'!S137-1),"")</f>
        <v>-0.0174221921515561</v>
      </c>
      <c r="T137" s="143" t="n">
        <f aca="false">IFERROR(IF(OR(NOT(ISNUMBER('Price History'!T138)),NOT(ISNUMBER('Price History'!T137)),'Price History'!T137=0),"",'Price History'!T138/'Price History'!T137-1),"")</f>
        <v>-0.0226876090750435</v>
      </c>
      <c r="U137" s="143" t="str">
        <f aca="false">IFERROR(IF(OR(NOT(ISNUMBER('Price History'!U138)),NOT(ISNUMBER('Price History'!U137)),'Price History'!U137=0),"",'Price History'!U138/'Price History'!U137-1),"")</f>
        <v/>
      </c>
      <c r="V137" s="144" t="n">
        <f aca="false">IFERROR(IF(OR(NOT(ISNUMBER('Price History'!V138)),NOT(ISNUMBER('Price History'!V137)),'Price History'!V137=0),"",'Price History'!V138/'Price History'!V137-1),"")</f>
        <v>-0.0322029609009237</v>
      </c>
      <c r="W137" s="145" t="str">
        <f aca="false">IFERROR('Price History'!B3+(INDEX('Price History'!B:B,MATCH(9.99E+307,'Price History'!$A:$A))-'Price History'!B3)*(ROW()-3)/(MATCH(9.99E+307,'Returns (Calc)'!$A:$A)-3),"")</f>
        <v/>
      </c>
      <c r="X137" s="145" t="n">
        <f aca="false">IFERROR('Price History'!C3+(INDEX('Price History'!C:C,MATCH(9.99E+307,'Price History'!$A:$A))-'Price History'!C3)*(ROW()-3)/(MATCH(9.99E+307,'Returns (Calc)'!$A:$A)-3),"")</f>
        <v>7.26100628930818</v>
      </c>
      <c r="Y137" s="145" t="n">
        <f aca="false">IFERROR('Price History'!D3+(INDEX('Price History'!D:D,MATCH(9.99E+307,'Price History'!$A:$A))-'Price History'!D3)*(ROW()-3)/(MATCH(9.99E+307,'Returns (Calc)'!$A:$A)-3),"")</f>
        <v>91.5110062893082</v>
      </c>
      <c r="Z137" s="145" t="n">
        <f aca="false">IFERROR('Price History'!E3+(INDEX('Price History'!E:E,MATCH(9.99E+307,'Price History'!$A:$A))-'Price History'!E3)*(ROW()-3)/(MATCH(9.99E+307,'Returns (Calc)'!$A:$A)-3),"")</f>
        <v>12.8930817610063</v>
      </c>
      <c r="AA137" s="145" t="n">
        <f aca="false">IFERROR('Price History'!F3+(INDEX('Price History'!F:F,MATCH(9.99E+307,'Price History'!$A:$A))-'Price History'!F3)*(ROW()-3)/(MATCH(9.99E+307,'Returns (Calc)'!$A:$A)-3),"")</f>
        <v>11.8411949685535</v>
      </c>
      <c r="AB137" s="145" t="n">
        <f aca="false">IFERROR('Price History'!G3+(INDEX('Price History'!G:G,MATCH(9.99E+307,'Price History'!$A:$A))-'Price History'!G3)*(ROW()-3)/(MATCH(9.99E+307,'Returns (Calc)'!$A:$A)-3),"")</f>
        <v>6.50314465408805</v>
      </c>
      <c r="AC137" s="145" t="n">
        <f aca="false">IFERROR('Price History'!H3+(INDEX('Price History'!H:H,MATCH(9.99E+307,'Price History'!$A:$A))-'Price History'!H3)*(ROW()-3)/(MATCH(9.99E+307,'Returns (Calc)'!$A:$A)-3),"")</f>
        <v>15.8160377358491</v>
      </c>
      <c r="AD137" s="145" t="n">
        <f aca="false">IFERROR('Price History'!I3+(INDEX('Price History'!I:I,MATCH(9.99E+307,'Price History'!$A:$A))-'Price History'!I3)*(ROW()-3)/(MATCH(9.99E+307,'Returns (Calc)'!$A:$A)-3),"")</f>
        <v>6.97327044025157</v>
      </c>
      <c r="AE137" s="145" t="n">
        <f aca="false">IFERROR('Price History'!J3+(INDEX('Price History'!J:J,MATCH(9.99E+307,'Price History'!$A:$A))-'Price History'!J3)*(ROW()-3)/(MATCH(9.99E+307,'Returns (Calc)'!$A:$A)-3),"")</f>
        <v>10.8663522012579</v>
      </c>
      <c r="AF137" s="145" t="n">
        <f aca="false">IFERROR('Price History'!K3+(INDEX('Price History'!K:K,MATCH(9.99E+307,'Price History'!$A:$A))-'Price History'!K3)*(ROW()-3)/(MATCH(9.99E+307,'Returns (Calc)'!$A:$A)-3),"")</f>
        <v>6.88207547169812</v>
      </c>
      <c r="AG137" s="145" t="n">
        <f aca="false">IFERROR('Price History'!L3+(INDEX('Price History'!L:L,MATCH(9.99E+307,'Price History'!$A:$A))-'Price History'!L3)*(ROW()-3)/(MATCH(9.99E+307,'Returns (Calc)'!$A:$A)-3),"")</f>
        <v>17.5849056603774</v>
      </c>
      <c r="AH137" s="145" t="n">
        <f aca="false">IFERROR('Price History'!M3+(INDEX('Price History'!M:M,MATCH(9.99E+307,'Price History'!$A:$A))-'Price History'!M3)*(ROW()-3)/(MATCH(9.99E+307,'Returns (Calc)'!$A:$A)-3),"")</f>
        <v>2.41037735849057</v>
      </c>
      <c r="AI137" s="145" t="n">
        <f aca="false">IFERROR('Price History'!N3+(INDEX('Price History'!N:N,MATCH(9.99E+307,'Price History'!$A:$A))-'Price History'!N3)*(ROW()-3)/(MATCH(9.99E+307,'Returns (Calc)'!$A:$A)-3),"")</f>
        <v>3.42767295597484</v>
      </c>
      <c r="AJ137" s="145" t="n">
        <f aca="false">IFERROR('Price History'!O3+(INDEX('Price History'!O:O,MATCH(9.99E+307,'Price History'!$A:$A))-'Price History'!O3)*(ROW()-3)/(MATCH(9.99E+307,'Returns (Calc)'!$A:$A)-3),"")</f>
        <v>9.06132075471698</v>
      </c>
      <c r="AK137" s="145" t="n">
        <f aca="false">IFERROR('Price History'!Q3+(INDEX('Price History'!Q:Q,MATCH(9.99E+307,'Price History'!$A:$A))-'Price History'!Q3)*(ROW()-3)/(MATCH(9.99E+307,'Returns (Calc)'!$A:$A)-3),"")</f>
        <v>37.0487421383648</v>
      </c>
      <c r="AL137" s="145" t="n">
        <f aca="false">IFERROR('Price History'!R3+(INDEX('Price History'!R:R,MATCH(9.99E+307,'Price History'!$A:$A))-'Price History'!R3)*(ROW()-3)/(MATCH(9.99E+307,'Returns (Calc)'!$A:$A)-3),"")</f>
        <v>7.5188679245283</v>
      </c>
      <c r="AM137" s="145" t="n">
        <f aca="false">IFERROR('Price History'!S3+(INDEX('Price History'!S:S,MATCH(9.99E+307,'Price History'!$A:$A))-'Price History'!S3)*(ROW()-3)/(MATCH(9.99E+307,'Returns (Calc)'!$A:$A)-3),"")</f>
        <v>9.20440251572327</v>
      </c>
      <c r="AN137" s="145" t="n">
        <f aca="false">IFERROR('Price History'!T3+(INDEX('Price History'!T:T,MATCH(9.99E+307,'Price History'!$A:$A))-'Price History'!T3)*(ROW()-3)/(MATCH(9.99E+307,'Returns (Calc)'!$A:$A)-3),"")</f>
        <v>4.2311320754717</v>
      </c>
      <c r="AO137" s="146" t="n">
        <f aca="false">IFERROR('Price History'!V3+(INDEX('Price History'!V:V,MATCH(9.99E+307,'Price History'!$A:$A))-'Price History'!V3)*(ROW()-3)/(MATCH(9.99E+307,'Returns (Calc)'!$A:$A)-3),"")</f>
        <v>0</v>
      </c>
    </row>
    <row r="138" customFormat="false" ht="15" hidden="false" customHeight="true" outlineLevel="0" collapsed="false">
      <c r="A138" s="142" t="n">
        <f aca="false">IF('Price History'!A139="","",'Price History'!A139)</f>
        <v>46136</v>
      </c>
      <c r="B138" s="143" t="n">
        <f aca="false">IFERROR(IF(OR(NOT(ISNUMBER('Price History'!B139)),NOT(ISNUMBER('Price History'!B138)),'Price History'!B138=0),"",'Price History'!B139/'Price History'!B138-1),"")</f>
        <v>0.0040499079566374</v>
      </c>
      <c r="C138" s="143" t="n">
        <f aca="false">IFERROR(IF(OR(NOT(ISNUMBER('Price History'!C139)),NOT(ISNUMBER('Price History'!C138)),'Price History'!C138=0),"",'Price History'!C139/'Price History'!C138-1),"")</f>
        <v>0.0772087925470377</v>
      </c>
      <c r="D138" s="143" t="n">
        <f aca="false">IFERROR(IF(OR(NOT(ISNUMBER('Price History'!D139)),NOT(ISNUMBER('Price History'!D138)),'Price History'!D138=0),"",'Price History'!D139/'Price History'!D138-1),"")</f>
        <v>-0.00144355692426135</v>
      </c>
      <c r="E138" s="143" t="n">
        <f aca="false">IFERROR(IF(OR(NOT(ISNUMBER('Price History'!E139)),NOT(ISNUMBER('Price History'!E138)),'Price History'!E138=0),"",'Price History'!E139/'Price History'!E138-1),"")</f>
        <v>0.0398854773422845</v>
      </c>
      <c r="F138" s="143" t="n">
        <f aca="false">IFERROR(IF(OR(NOT(ISNUMBER('Price History'!F139)),NOT(ISNUMBER('Price History'!F138)),'Price History'!F138=0),"",'Price History'!F139/'Price History'!F138-1),"")</f>
        <v>0.0122525918944392</v>
      </c>
      <c r="G138" s="143" t="n">
        <f aca="false">IFERROR(IF(OR(NOT(ISNUMBER('Price History'!G139)),NOT(ISNUMBER('Price History'!G138)),'Price History'!G138=0),"",'Price History'!G139/'Price History'!G138-1),"")</f>
        <v>0.0569865081611474</v>
      </c>
      <c r="H138" s="143" t="n">
        <f aca="false">IFERROR(IF(OR(NOT(ISNUMBER('Price History'!H139)),NOT(ISNUMBER('Price History'!H138)),'Price History'!H138=0),"",'Price History'!H139/'Price History'!H138-1),"")</f>
        <v>-0.00809555408095553</v>
      </c>
      <c r="I138" s="143" t="n">
        <f aca="false">IFERROR(IF(OR(NOT(ISNUMBER('Price History'!I139)),NOT(ISNUMBER('Price History'!I138)),'Price History'!I138=0),"",'Price History'!I139/'Price History'!I138-1),"")</f>
        <v>0.0801857758379496</v>
      </c>
      <c r="J138" s="143" t="n">
        <f aca="false">IFERROR(IF(OR(NOT(ISNUMBER('Price History'!J139)),NOT(ISNUMBER('Price History'!J138)),'Price History'!J138=0),"",'Price History'!J139/'Price History'!J138-1),"")</f>
        <v>0.0915164835164835</v>
      </c>
      <c r="K138" s="143" t="n">
        <f aca="false">IFERROR(IF(OR(NOT(ISNUMBER('Price History'!K139)),NOT(ISNUMBER('Price History'!K138)),'Price History'!K138=0),"",'Price History'!K139/'Price History'!K138-1),"")</f>
        <v>0.0327005267866019</v>
      </c>
      <c r="L138" s="143" t="n">
        <f aca="false">IFERROR(IF(OR(NOT(ISNUMBER('Price History'!L139)),NOT(ISNUMBER('Price History'!L138)),'Price History'!L138=0),"",'Price History'!L139/'Price History'!L138-1),"")</f>
        <v>-0.0207108872096277</v>
      </c>
      <c r="M138" s="143" t="n">
        <f aca="false">IFERROR(IF(OR(NOT(ISNUMBER('Price History'!M139)),NOT(ISNUMBER('Price History'!M138)),'Price History'!M138=0),"",'Price History'!M139/'Price History'!M138-1),"")</f>
        <v>-0.0225425233964067</v>
      </c>
      <c r="N138" s="143" t="n">
        <f aca="false">IFERROR(IF(OR(NOT(ISNUMBER('Price History'!N139)),NOT(ISNUMBER('Price History'!N138)),'Price History'!N138=0),"",'Price History'!N139/'Price History'!N138-1),"")</f>
        <v>0.00490837696335089</v>
      </c>
      <c r="O138" s="143" t="n">
        <f aca="false">IFERROR(IF(OR(NOT(ISNUMBER('Price History'!O139)),NOT(ISNUMBER('Price History'!O138)),'Price History'!O138=0),"",'Price History'!O139/'Price History'!O138-1),"")</f>
        <v>0.0250996950504339</v>
      </c>
      <c r="P138" s="143" t="n">
        <f aca="false">IFERROR(IF(OR(NOT(ISNUMBER('Price History'!P139)),NOT(ISNUMBER('Price History'!P138)),'Price History'!P138=0),"",'Price History'!P139/'Price History'!P138-1),"")</f>
        <v>0.0862606808626067</v>
      </c>
      <c r="Q138" s="143" t="n">
        <f aca="false">IFERROR(IF(OR(NOT(ISNUMBER('Price History'!Q139)),NOT(ISNUMBER('Price History'!Q138)),'Price History'!Q138=0),"",'Price History'!Q139/'Price History'!Q138-1),"")</f>
        <v>-0.0239723858382418</v>
      </c>
      <c r="R138" s="143" t="n">
        <f aca="false">IFERROR(IF(OR(NOT(ISNUMBER('Price History'!R139)),NOT(ISNUMBER('Price History'!R138)),'Price History'!R138=0),"",'Price History'!R139/'Price History'!R138-1),"")</f>
        <v>-0.0141442715700142</v>
      </c>
      <c r="S138" s="143" t="n">
        <f aca="false">IFERROR(IF(OR(NOT(ISNUMBER('Price History'!S139)),NOT(ISNUMBER('Price History'!S138)),'Price History'!S138=0),"",'Price History'!S139/'Price History'!S138-1),"")</f>
        <v>-0.0206576002754347</v>
      </c>
      <c r="T138" s="143" t="n">
        <f aca="false">IFERROR(IF(OR(NOT(ISNUMBER('Price History'!T139)),NOT(ISNUMBER('Price History'!T138)),'Price History'!T138=0),"",'Price History'!T139/'Price History'!T138-1),"")</f>
        <v>0.00102040816326521</v>
      </c>
      <c r="U138" s="143" t="str">
        <f aca="false">IFERROR(IF(OR(NOT(ISNUMBER('Price History'!U139)),NOT(ISNUMBER('Price History'!U138)),'Price History'!U138=0),"",'Price History'!U139/'Price History'!U138-1),"")</f>
        <v/>
      </c>
      <c r="V138" s="144" t="n">
        <f aca="false">IFERROR(IF(OR(NOT(ISNUMBER('Price History'!V139)),NOT(ISNUMBER('Price History'!V138)),'Price History'!V138=0),"",'Price History'!V139/'Price History'!V138-1),"")</f>
        <v>-0.0179773811858535</v>
      </c>
      <c r="W138" s="145" t="str">
        <f aca="false">IFERROR('Price History'!B3+(INDEX('Price History'!B:B,MATCH(9.99E+307,'Price History'!$A:$A))-'Price History'!B3)*(ROW()-3)/(MATCH(9.99E+307,'Returns (Calc)'!$A:$A)-3),"")</f>
        <v/>
      </c>
      <c r="X138" s="145" t="n">
        <f aca="false">IFERROR('Price History'!C3+(INDEX('Price History'!C:C,MATCH(9.99E+307,'Price History'!$A:$A))-'Price History'!C3)*(ROW()-3)/(MATCH(9.99E+307,'Returns (Calc)'!$A:$A)-3),"")</f>
        <v>6.97056603773585</v>
      </c>
      <c r="Y138" s="145" t="n">
        <f aca="false">IFERROR('Price History'!D3+(INDEX('Price History'!D:D,MATCH(9.99E+307,'Price History'!$A:$A))-'Price History'!D3)*(ROW()-3)/(MATCH(9.99E+307,'Returns (Calc)'!$A:$A)-3),"")</f>
        <v>87.8505660377358</v>
      </c>
      <c r="Z138" s="145" t="n">
        <f aca="false">IFERROR('Price History'!E3+(INDEX('Price History'!E:E,MATCH(9.99E+307,'Price History'!$A:$A))-'Price History'!E3)*(ROW()-3)/(MATCH(9.99E+307,'Returns (Calc)'!$A:$A)-3),"")</f>
        <v>12.377358490566</v>
      </c>
      <c r="AA138" s="145" t="n">
        <f aca="false">IFERROR('Price History'!F3+(INDEX('Price History'!F:F,MATCH(9.99E+307,'Price History'!$A:$A))-'Price History'!F3)*(ROW()-3)/(MATCH(9.99E+307,'Returns (Calc)'!$A:$A)-3),"")</f>
        <v>11.3675471698113</v>
      </c>
      <c r="AB138" s="145" t="n">
        <f aca="false">IFERROR('Price History'!G3+(INDEX('Price History'!G:G,MATCH(9.99E+307,'Price History'!$A:$A))-'Price History'!G3)*(ROW()-3)/(MATCH(9.99E+307,'Returns (Calc)'!$A:$A)-3),"")</f>
        <v>6.24301886792453</v>
      </c>
      <c r="AC138" s="145" t="n">
        <f aca="false">IFERROR('Price History'!H3+(INDEX('Price History'!H:H,MATCH(9.99E+307,'Price History'!$A:$A))-'Price History'!H3)*(ROW()-3)/(MATCH(9.99E+307,'Returns (Calc)'!$A:$A)-3),"")</f>
        <v>15.1833962264151</v>
      </c>
      <c r="AD138" s="145" t="n">
        <f aca="false">IFERROR('Price History'!I3+(INDEX('Price History'!I:I,MATCH(9.99E+307,'Price History'!$A:$A))-'Price History'!I3)*(ROW()-3)/(MATCH(9.99E+307,'Returns (Calc)'!$A:$A)-3),"")</f>
        <v>6.69433962264151</v>
      </c>
      <c r="AE138" s="145" t="n">
        <f aca="false">IFERROR('Price History'!J3+(INDEX('Price History'!J:J,MATCH(9.99E+307,'Price History'!$A:$A))-'Price History'!J3)*(ROW()-3)/(MATCH(9.99E+307,'Returns (Calc)'!$A:$A)-3),"")</f>
        <v>10.4316981132075</v>
      </c>
      <c r="AF138" s="145" t="n">
        <f aca="false">IFERROR('Price History'!K3+(INDEX('Price History'!K:K,MATCH(9.99E+307,'Price History'!$A:$A))-'Price History'!K3)*(ROW()-3)/(MATCH(9.99E+307,'Returns (Calc)'!$A:$A)-3),"")</f>
        <v>6.60679245283018</v>
      </c>
      <c r="AG138" s="145" t="n">
        <f aca="false">IFERROR('Price History'!L3+(INDEX('Price History'!L:L,MATCH(9.99E+307,'Price History'!$A:$A))-'Price History'!L3)*(ROW()-3)/(MATCH(9.99E+307,'Returns (Calc)'!$A:$A)-3),"")</f>
        <v>16.8815094339623</v>
      </c>
      <c r="AH138" s="145" t="n">
        <f aca="false">IFERROR('Price History'!M3+(INDEX('Price History'!M:M,MATCH(9.99E+307,'Price History'!$A:$A))-'Price History'!M3)*(ROW()-3)/(MATCH(9.99E+307,'Returns (Calc)'!$A:$A)-3),"")</f>
        <v>2.31396226415094</v>
      </c>
      <c r="AI138" s="145" t="n">
        <f aca="false">IFERROR('Price History'!N3+(INDEX('Price History'!N:N,MATCH(9.99E+307,'Price History'!$A:$A))-'Price History'!N3)*(ROW()-3)/(MATCH(9.99E+307,'Returns (Calc)'!$A:$A)-3),"")</f>
        <v>3.29056603773585</v>
      </c>
      <c r="AJ138" s="145" t="n">
        <f aca="false">IFERROR('Price History'!O3+(INDEX('Price History'!O:O,MATCH(9.99E+307,'Price History'!$A:$A))-'Price History'!O3)*(ROW()-3)/(MATCH(9.99E+307,'Returns (Calc)'!$A:$A)-3),"")</f>
        <v>8.6988679245283</v>
      </c>
      <c r="AK138" s="145" t="n">
        <f aca="false">IFERROR('Price History'!Q3+(INDEX('Price History'!Q:Q,MATCH(9.99E+307,'Price History'!$A:$A))-'Price History'!Q3)*(ROW()-3)/(MATCH(9.99E+307,'Returns (Calc)'!$A:$A)-3),"")</f>
        <v>35.5667924528302</v>
      </c>
      <c r="AL138" s="145" t="n">
        <f aca="false">IFERROR('Price History'!R3+(INDEX('Price History'!R:R,MATCH(9.99E+307,'Price History'!$A:$A))-'Price History'!R3)*(ROW()-3)/(MATCH(9.99E+307,'Returns (Calc)'!$A:$A)-3),"")</f>
        <v>7.21811320754717</v>
      </c>
      <c r="AM138" s="145" t="n">
        <f aca="false">IFERROR('Price History'!S3+(INDEX('Price History'!S:S,MATCH(9.99E+307,'Price History'!$A:$A))-'Price History'!S3)*(ROW()-3)/(MATCH(9.99E+307,'Returns (Calc)'!$A:$A)-3),"")</f>
        <v>8.83622641509435</v>
      </c>
      <c r="AN138" s="145" t="n">
        <f aca="false">IFERROR('Price History'!T3+(INDEX('Price History'!T:T,MATCH(9.99E+307,'Price History'!$A:$A))-'Price History'!T3)*(ROW()-3)/(MATCH(9.99E+307,'Returns (Calc)'!$A:$A)-3),"")</f>
        <v>4.06188679245283</v>
      </c>
      <c r="AO138" s="146" t="n">
        <f aca="false">IFERROR('Price History'!V3+(INDEX('Price History'!V:V,MATCH(9.99E+307,'Price History'!$A:$A))-'Price History'!V3)*(ROW()-3)/(MATCH(9.99E+307,'Returns (Calc)'!$A:$A)-3),"")</f>
        <v>0</v>
      </c>
    </row>
    <row r="139" customFormat="false" ht="15" hidden="false" customHeight="true" outlineLevel="0" collapsed="false">
      <c r="A139" s="142" t="n">
        <f aca="false">IF('Price History'!A140="","",'Price History'!A140)</f>
        <v>46143</v>
      </c>
      <c r="B139" s="143" t="n">
        <f aca="false">IFERROR(IF(OR(NOT(ISNUMBER('Price History'!B140)),NOT(ISNUMBER('Price History'!B139)),'Price History'!B139=0),"",'Price History'!B140/'Price History'!B139-1),"")</f>
        <v>0.0214716427640156</v>
      </c>
      <c r="C139" s="143" t="n">
        <f aca="false">IFERROR(IF(OR(NOT(ISNUMBER('Price History'!C140)),NOT(ISNUMBER('Price History'!C139)),'Price History'!C139=0),"",'Price History'!C140/'Price History'!C139-1),"")</f>
        <v>-0.0237974111129954</v>
      </c>
      <c r="D139" s="143" t="n">
        <f aca="false">IFERROR(IF(OR(NOT(ISNUMBER('Price History'!D140)),NOT(ISNUMBER('Price History'!D139)),'Price History'!D139=0),"",'Price History'!D140/'Price History'!D139-1),"")</f>
        <v>-0.0189035136028197</v>
      </c>
      <c r="E139" s="143" t="n">
        <f aca="false">IFERROR(IF(OR(NOT(ISNUMBER('Price History'!E140)),NOT(ISNUMBER('Price History'!E139)),'Price History'!E139=0),"",'Price History'!E140/'Price History'!E139-1),"")</f>
        <v>-0.00348903446311588</v>
      </c>
      <c r="F139" s="143" t="n">
        <f aca="false">IFERROR(IF(OR(NOT(ISNUMBER('Price History'!F140)),NOT(ISNUMBER('Price History'!F139)),'Price History'!F139=0),"",'Price History'!F140/'Price History'!F139-1),"")</f>
        <v>0.00837988826815628</v>
      </c>
      <c r="G139" s="143" t="n">
        <f aca="false">IFERROR(IF(OR(NOT(ISNUMBER('Price History'!G140)),NOT(ISNUMBER('Price History'!G139)),'Price History'!G139=0),"",'Price History'!G140/'Price History'!G139-1),"")</f>
        <v>0.0167812193162544</v>
      </c>
      <c r="H139" s="143" t="n">
        <f aca="false">IFERROR(IF(OR(NOT(ISNUMBER('Price History'!H140)),NOT(ISNUMBER('Price History'!H139)),'Price History'!H139=0),"",'Price History'!H140/'Price History'!H139-1),"")</f>
        <v>0.017928819909018</v>
      </c>
      <c r="I139" s="143" t="n">
        <f aca="false">IFERROR(IF(OR(NOT(ISNUMBER('Price History'!I140)),NOT(ISNUMBER('Price History'!I139)),'Price History'!I139=0),"",'Price History'!I140/'Price History'!I139-1),"")</f>
        <v>-0.107905097389142</v>
      </c>
      <c r="J139" s="143" t="n">
        <f aca="false">IFERROR(IF(OR(NOT(ISNUMBER('Price History'!J140)),NOT(ISNUMBER('Price History'!J139)),'Price History'!J139=0),"",'Price History'!J140/'Price History'!J139-1),"")</f>
        <v>0.0915955219072164</v>
      </c>
      <c r="K139" s="143" t="n">
        <f aca="false">IFERROR(IF(OR(NOT(ISNUMBER('Price History'!K140)),NOT(ISNUMBER('Price History'!K139)),'Price History'!K139=0),"",'Price History'!K140/'Price History'!K139-1),"")</f>
        <v>-0.0471607314725698</v>
      </c>
      <c r="L139" s="143" t="n">
        <f aca="false">IFERROR(IF(OR(NOT(ISNUMBER('Price History'!L140)),NOT(ISNUMBER('Price History'!L139)),'Price History'!L139=0),"",'Price History'!L140/'Price History'!L139-1),"")</f>
        <v>-0.00478708202343536</v>
      </c>
      <c r="M139" s="143" t="n">
        <f aca="false">IFERROR(IF(OR(NOT(ISNUMBER('Price History'!M140)),NOT(ISNUMBER('Price History'!M139)),'Price History'!M139=0),"",'Price History'!M140/'Price History'!M139-1),"")</f>
        <v>0.00684883639667344</v>
      </c>
      <c r="N139" s="143" t="n">
        <f aca="false">IFERROR(IF(OR(NOT(ISNUMBER('Price History'!N140)),NOT(ISNUMBER('Price History'!N139)),'Price History'!N139=0),"",'Price History'!N140/'Price History'!N139-1),"")</f>
        <v>0.0211657440573103</v>
      </c>
      <c r="O139" s="143" t="n">
        <f aca="false">IFERROR(IF(OR(NOT(ISNUMBER('Price History'!O140)),NOT(ISNUMBER('Price History'!O139)),'Price History'!O139=0),"",'Price History'!O140/'Price History'!O139-1),"")</f>
        <v>0.0221205186880245</v>
      </c>
      <c r="P139" s="143" t="n">
        <f aca="false">IFERROR(IF(OR(NOT(ISNUMBER('Price History'!P140)),NOT(ISNUMBER('Price History'!P139)),'Price History'!P139=0),"",'Price History'!P140/'Price History'!P139-1),"")</f>
        <v>-0.011911599450618</v>
      </c>
      <c r="Q139" s="143" t="n">
        <f aca="false">IFERROR(IF(OR(NOT(ISNUMBER('Price History'!Q140)),NOT(ISNUMBER('Price History'!Q139)),'Price History'!Q139=0),"",'Price History'!Q140/'Price History'!Q139-1),"")</f>
        <v>0.0601213458356316</v>
      </c>
      <c r="R139" s="143" t="n">
        <f aca="false">IFERROR(IF(OR(NOT(ISNUMBER('Price History'!R140)),NOT(ISNUMBER('Price History'!R139)),'Price History'!R139=0),"",'Price History'!R140/'Price History'!R139-1),"")</f>
        <v>-0.0292324246771879</v>
      </c>
      <c r="S139" s="143" t="n">
        <f aca="false">IFERROR(IF(OR(NOT(ISNUMBER('Price History'!S140)),NOT(ISNUMBER('Price History'!S139)),'Price History'!S139=0),"",'Price History'!S140/'Price History'!S139-1),"")</f>
        <v>-0.0304974512216558</v>
      </c>
      <c r="T139" s="143" t="n">
        <f aca="false">IFERROR(IF(OR(NOT(ISNUMBER('Price History'!T140)),NOT(ISNUMBER('Price History'!T139)),'Price History'!T139=0),"",'Price History'!T140/'Price History'!T139-1),"")</f>
        <v>-0.012487257900102</v>
      </c>
      <c r="U139" s="143" t="str">
        <f aca="false">IFERROR(IF(OR(NOT(ISNUMBER('Price History'!U140)),NOT(ISNUMBER('Price History'!U139)),'Price History'!U139=0),"",'Price History'!U140/'Price History'!U139-1),"")</f>
        <v/>
      </c>
      <c r="V139" s="144" t="n">
        <f aca="false">IFERROR(IF(OR(NOT(ISNUMBER('Price History'!V140)),NOT(ISNUMBER('Price History'!V139)),'Price History'!V139=0),"",'Price History'!V140/'Price History'!V139-1),"")</f>
        <v>-0.0202369857542271</v>
      </c>
      <c r="W139" s="145" t="str">
        <f aca="false">IFERROR('Price History'!B3+(INDEX('Price History'!B:B,MATCH(9.99E+307,'Price History'!$A:$A))-'Price History'!B3)*(ROW()-3)/(MATCH(9.99E+307,'Returns (Calc)'!$A:$A)-3),"")</f>
        <v/>
      </c>
      <c r="X139" s="145" t="n">
        <f aca="false">IFERROR('Price History'!C3+(INDEX('Price History'!C:C,MATCH(9.99E+307,'Price History'!$A:$A))-'Price History'!C3)*(ROW()-3)/(MATCH(9.99E+307,'Returns (Calc)'!$A:$A)-3),"")</f>
        <v>6.68012578616352</v>
      </c>
      <c r="Y139" s="145" t="n">
        <f aca="false">IFERROR('Price History'!D3+(INDEX('Price History'!D:D,MATCH(9.99E+307,'Price History'!$A:$A))-'Price History'!D3)*(ROW()-3)/(MATCH(9.99E+307,'Returns (Calc)'!$A:$A)-3),"")</f>
        <v>84.1901257861635</v>
      </c>
      <c r="Z139" s="145" t="n">
        <f aca="false">IFERROR('Price History'!E3+(INDEX('Price History'!E:E,MATCH(9.99E+307,'Price History'!$A:$A))-'Price History'!E3)*(ROW()-3)/(MATCH(9.99E+307,'Returns (Calc)'!$A:$A)-3),"")</f>
        <v>11.8616352201258</v>
      </c>
      <c r="AA139" s="145" t="n">
        <f aca="false">IFERROR('Price History'!F3+(INDEX('Price History'!F:F,MATCH(9.99E+307,'Price History'!$A:$A))-'Price History'!F3)*(ROW()-3)/(MATCH(9.99E+307,'Returns (Calc)'!$A:$A)-3),"")</f>
        <v>10.8938993710692</v>
      </c>
      <c r="AB139" s="145" t="n">
        <f aca="false">IFERROR('Price History'!G3+(INDEX('Price History'!G:G,MATCH(9.99E+307,'Price History'!$A:$A))-'Price History'!G3)*(ROW()-3)/(MATCH(9.99E+307,'Returns (Calc)'!$A:$A)-3),"")</f>
        <v>5.98289308176101</v>
      </c>
      <c r="AC139" s="145" t="n">
        <f aca="false">IFERROR('Price History'!H3+(INDEX('Price History'!H:H,MATCH(9.99E+307,'Price History'!$A:$A))-'Price History'!H3)*(ROW()-3)/(MATCH(9.99E+307,'Returns (Calc)'!$A:$A)-3),"")</f>
        <v>14.5507547169811</v>
      </c>
      <c r="AD139" s="145" t="n">
        <f aca="false">IFERROR('Price History'!I3+(INDEX('Price History'!I:I,MATCH(9.99E+307,'Price History'!$A:$A))-'Price History'!I3)*(ROW()-3)/(MATCH(9.99E+307,'Returns (Calc)'!$A:$A)-3),"")</f>
        <v>6.41540880503145</v>
      </c>
      <c r="AE139" s="145" t="n">
        <f aca="false">IFERROR('Price History'!J3+(INDEX('Price History'!J:J,MATCH(9.99E+307,'Price History'!$A:$A))-'Price History'!J3)*(ROW()-3)/(MATCH(9.99E+307,'Returns (Calc)'!$A:$A)-3),"")</f>
        <v>9.99704402515724</v>
      </c>
      <c r="AF139" s="145" t="n">
        <f aca="false">IFERROR('Price History'!K3+(INDEX('Price History'!K:K,MATCH(9.99E+307,'Price History'!$A:$A))-'Price History'!K3)*(ROW()-3)/(MATCH(9.99E+307,'Returns (Calc)'!$A:$A)-3),"")</f>
        <v>6.33150943396227</v>
      </c>
      <c r="AG139" s="145" t="n">
        <f aca="false">IFERROR('Price History'!L3+(INDEX('Price History'!L:L,MATCH(9.99E+307,'Price History'!$A:$A))-'Price History'!L3)*(ROW()-3)/(MATCH(9.99E+307,'Returns (Calc)'!$A:$A)-3),"")</f>
        <v>16.1781132075472</v>
      </c>
      <c r="AH139" s="145" t="n">
        <f aca="false">IFERROR('Price History'!M3+(INDEX('Price History'!M:M,MATCH(9.99E+307,'Price History'!$A:$A))-'Price History'!M3)*(ROW()-3)/(MATCH(9.99E+307,'Returns (Calc)'!$A:$A)-3),"")</f>
        <v>2.21754716981132</v>
      </c>
      <c r="AI139" s="145" t="n">
        <f aca="false">IFERROR('Price History'!N3+(INDEX('Price History'!N:N,MATCH(9.99E+307,'Price History'!$A:$A))-'Price History'!N3)*(ROW()-3)/(MATCH(9.99E+307,'Returns (Calc)'!$A:$A)-3),"")</f>
        <v>3.15345911949686</v>
      </c>
      <c r="AJ139" s="145" t="n">
        <f aca="false">IFERROR('Price History'!O3+(INDEX('Price History'!O:O,MATCH(9.99E+307,'Price History'!$A:$A))-'Price History'!O3)*(ROW()-3)/(MATCH(9.99E+307,'Returns (Calc)'!$A:$A)-3),"")</f>
        <v>8.33641509433962</v>
      </c>
      <c r="AK139" s="145" t="n">
        <f aca="false">IFERROR('Price History'!Q3+(INDEX('Price History'!Q:Q,MATCH(9.99E+307,'Price History'!$A:$A))-'Price History'!Q3)*(ROW()-3)/(MATCH(9.99E+307,'Returns (Calc)'!$A:$A)-3),"")</f>
        <v>34.0848427672956</v>
      </c>
      <c r="AL139" s="145" t="n">
        <f aca="false">IFERROR('Price History'!R3+(INDEX('Price History'!R:R,MATCH(9.99E+307,'Price History'!$A:$A))-'Price History'!R3)*(ROW()-3)/(MATCH(9.99E+307,'Returns (Calc)'!$A:$A)-3),"")</f>
        <v>6.91735849056604</v>
      </c>
      <c r="AM139" s="145" t="n">
        <f aca="false">IFERROR('Price History'!S3+(INDEX('Price History'!S:S,MATCH(9.99E+307,'Price History'!$A:$A))-'Price History'!S3)*(ROW()-3)/(MATCH(9.99E+307,'Returns (Calc)'!$A:$A)-3),"")</f>
        <v>8.46805031446541</v>
      </c>
      <c r="AN139" s="145" t="n">
        <f aca="false">IFERROR('Price History'!T3+(INDEX('Price History'!T:T,MATCH(9.99E+307,'Price History'!$A:$A))-'Price History'!T3)*(ROW()-3)/(MATCH(9.99E+307,'Returns (Calc)'!$A:$A)-3),"")</f>
        <v>3.89264150943396</v>
      </c>
      <c r="AO139" s="146" t="n">
        <f aca="false">IFERROR('Price History'!V3+(INDEX('Price History'!V:V,MATCH(9.99E+307,'Price History'!$A:$A))-'Price History'!V3)*(ROW()-3)/(MATCH(9.99E+307,'Returns (Calc)'!$A:$A)-3),"")</f>
        <v>0</v>
      </c>
    </row>
    <row r="140" customFormat="false" ht="15" hidden="false" customHeight="true" outlineLevel="0" collapsed="false">
      <c r="A140" s="142" t="n">
        <f aca="false">IF('Price History'!A141="","",'Price History'!A141)</f>
        <v>46150</v>
      </c>
      <c r="B140" s="143" t="n">
        <f aca="false">IFERROR(IF(OR(NOT(ISNUMBER('Price History'!B141)),NOT(ISNUMBER('Price History'!B140)),'Price History'!B140=0),"",'Price History'!B141/'Price History'!B140-1),"")</f>
        <v>0.00929360615850983</v>
      </c>
      <c r="C140" s="143" t="n">
        <f aca="false">IFERROR(IF(OR(NOT(ISNUMBER('Price History'!C141)),NOT(ISNUMBER('Price History'!C140)),'Price History'!C140=0),"",'Price History'!C141/'Price History'!C140-1),"")</f>
        <v>-0.179096699478865</v>
      </c>
      <c r="D140" s="143" t="n">
        <f aca="false">IFERROR(IF(OR(NOT(ISNUMBER('Price History'!D141)),NOT(ISNUMBER('Price History'!D140)),'Price History'!D140=0),"",'Price History'!D141/'Price History'!D140-1),"")</f>
        <v>0.115620483026705</v>
      </c>
      <c r="E140" s="143" t="n">
        <f aca="false">IFERROR(IF(OR(NOT(ISNUMBER('Price History'!E141)),NOT(ISNUMBER('Price History'!E140)),'Price History'!E140=0),"",'Price History'!E141/'Price History'!E140-1),"")</f>
        <v>0.0206978682862926</v>
      </c>
      <c r="F140" s="143" t="n">
        <f aca="false">IFERROR(IF(OR(NOT(ISNUMBER('Price History'!F141)),NOT(ISNUMBER('Price History'!F140)),'Price History'!F140=0),"",'Price History'!F141/'Price History'!F140-1),"")</f>
        <v>-0.00100730294636109</v>
      </c>
      <c r="G140" s="143" t="n">
        <f aca="false">IFERROR(IF(OR(NOT(ISNUMBER('Price History'!G141)),NOT(ISNUMBER('Price History'!G140)),'Price History'!G140=0),"",'Price History'!G141/'Price History'!G140-1),"")</f>
        <v>0.158282854885436</v>
      </c>
      <c r="H140" s="143" t="n">
        <f aca="false">IFERROR(IF(OR(NOT(ISNUMBER('Price History'!H141)),NOT(ISNUMBER('Price History'!H140)),'Price History'!H140=0),"",'Price History'!H141/'Price History'!H140-1),"")</f>
        <v>-0.0151813880126183</v>
      </c>
      <c r="I140" s="143" t="n">
        <f aca="false">IFERROR(IF(OR(NOT(ISNUMBER('Price History'!I141)),NOT(ISNUMBER('Price History'!I140)),'Price History'!I140=0),"",'Price History'!I141/'Price History'!I140-1),"")</f>
        <v>0.0828058765460775</v>
      </c>
      <c r="J140" s="143" t="n">
        <f aca="false">IFERROR(IF(OR(NOT(ISNUMBER('Price History'!J141)),NOT(ISNUMBER('Price History'!J140)),'Price History'!J140=0),"",'Price History'!J141/'Price History'!J140-1),"")</f>
        <v>0.377344917270765</v>
      </c>
      <c r="K140" s="143" t="n">
        <f aca="false">IFERROR(IF(OR(NOT(ISNUMBER('Price History'!K141)),NOT(ISNUMBER('Price History'!K140)),'Price History'!K140=0),"",'Price History'!K141/'Price History'!K140-1),"")</f>
        <v>0.0843939393939395</v>
      </c>
      <c r="L140" s="143" t="n">
        <f aca="false">IFERROR(IF(OR(NOT(ISNUMBER('Price History'!L141)),NOT(ISNUMBER('Price History'!L140)),'Price History'!L140=0),"",'Price History'!L141/'Price History'!L140-1),"")</f>
        <v>0.0188814703137339</v>
      </c>
      <c r="M140" s="143" t="n">
        <f aca="false">IFERROR(IF(OR(NOT(ISNUMBER('Price History'!M141)),NOT(ISNUMBER('Price History'!M140)),'Price History'!M140=0),"",'Price History'!M141/'Price History'!M140-1),"")</f>
        <v>-0.0435205108627749</v>
      </c>
      <c r="N140" s="143" t="n">
        <f aca="false">IFERROR(IF(OR(NOT(ISNUMBER('Price History'!N141)),NOT(ISNUMBER('Price History'!N140)),'Price History'!N140=0),"",'Price History'!N141/'Price History'!N140-1),"")</f>
        <v>-0.00765306122448972</v>
      </c>
      <c r="O140" s="143" t="n">
        <f aca="false">IFERROR(IF(OR(NOT(ISNUMBER('Price History'!O141)),NOT(ISNUMBER('Price History'!O140)),'Price History'!O140=0),"",'Price History'!O141/'Price History'!O140-1),"")</f>
        <v>0.0698507462686568</v>
      </c>
      <c r="P140" s="143" t="n">
        <f aca="false">IFERROR(IF(OR(NOT(ISNUMBER('Price History'!P141)),NOT(ISNUMBER('Price History'!P140)),'Price History'!P140=0),"",'Price History'!P141/'Price History'!P140-1),"")</f>
        <v>0.0352304892842701</v>
      </c>
      <c r="Q140" s="143" t="n">
        <f aca="false">IFERROR(IF(OR(NOT(ISNUMBER('Price History'!Q141)),NOT(ISNUMBER('Price History'!Q140)),'Price History'!Q140=0),"",'Price History'!Q141/'Price History'!Q140-1),"")</f>
        <v>-0.0281569443594295</v>
      </c>
      <c r="R140" s="143" t="n">
        <f aca="false">IFERROR(IF(OR(NOT(ISNUMBER('Price History'!R141)),NOT(ISNUMBER('Price History'!R140)),'Price History'!R140=0),"",'Price History'!R141/'Price History'!R140-1),"")</f>
        <v>0.026972104193608</v>
      </c>
      <c r="S140" s="143" t="n">
        <f aca="false">IFERROR(IF(OR(NOT(ISNUMBER('Price History'!S141)),NOT(ISNUMBER('Price History'!S140)),'Price History'!S140=0),"",'Price History'!S141/'Price History'!S140-1),"")</f>
        <v>0.0401595503580816</v>
      </c>
      <c r="T140" s="143" t="n">
        <f aca="false">IFERROR(IF(OR(NOT(ISNUMBER('Price History'!T141)),NOT(ISNUMBER('Price History'!T140)),'Price History'!T140=0),"",'Price History'!T141/'Price History'!T140-1),"")</f>
        <v>0.0281290322580645</v>
      </c>
      <c r="U140" s="143" t="str">
        <f aca="false">IFERROR(IF(OR(NOT(ISNUMBER('Price History'!U141)),NOT(ISNUMBER('Price History'!U140)),'Price History'!U140=0),"",'Price History'!U141/'Price History'!U140-1),"")</f>
        <v/>
      </c>
      <c r="V140" s="144" t="str">
        <f aca="false">IFERROR(IF(OR(NOT(ISNUMBER('Price History'!V141)),NOT(ISNUMBER('Price History'!V140)),'Price History'!V140=0),"",'Price History'!V141/'Price History'!V140-1),"")</f>
        <v/>
      </c>
      <c r="W140" s="145" t="str">
        <f aca="false">IFERROR('Price History'!B3+(INDEX('Price History'!B:B,MATCH(9.99E+307,'Price History'!$A:$A))-'Price History'!B3)*(ROW()-3)/(MATCH(9.99E+307,'Returns (Calc)'!$A:$A)-3),"")</f>
        <v/>
      </c>
      <c r="X140" s="145" t="n">
        <f aca="false">IFERROR('Price History'!C3+(INDEX('Price History'!C:C,MATCH(9.99E+307,'Price History'!$A:$A))-'Price History'!C3)*(ROW()-3)/(MATCH(9.99E+307,'Returns (Calc)'!$A:$A)-3),"")</f>
        <v>6.38968553459119</v>
      </c>
      <c r="Y140" s="145" t="n">
        <f aca="false">IFERROR('Price History'!D3+(INDEX('Price History'!D:D,MATCH(9.99E+307,'Price History'!$A:$A))-'Price History'!D3)*(ROW()-3)/(MATCH(9.99E+307,'Returns (Calc)'!$A:$A)-3),"")</f>
        <v>80.5296855345912</v>
      </c>
      <c r="Z140" s="145" t="n">
        <f aca="false">IFERROR('Price History'!E3+(INDEX('Price History'!E:E,MATCH(9.99E+307,'Price History'!$A:$A))-'Price History'!E3)*(ROW()-3)/(MATCH(9.99E+307,'Returns (Calc)'!$A:$A)-3),"")</f>
        <v>11.3459119496855</v>
      </c>
      <c r="AA140" s="145" t="n">
        <f aca="false">IFERROR('Price History'!F3+(INDEX('Price History'!F:F,MATCH(9.99E+307,'Price History'!$A:$A))-'Price History'!F3)*(ROW()-3)/(MATCH(9.99E+307,'Returns (Calc)'!$A:$A)-3),"")</f>
        <v>10.420251572327</v>
      </c>
      <c r="AB140" s="145" t="n">
        <f aca="false">IFERROR('Price History'!G3+(INDEX('Price History'!G:G,MATCH(9.99E+307,'Price History'!$A:$A))-'Price History'!G3)*(ROW()-3)/(MATCH(9.99E+307,'Returns (Calc)'!$A:$A)-3),"")</f>
        <v>5.72276729559749</v>
      </c>
      <c r="AC140" s="145" t="n">
        <f aca="false">IFERROR('Price History'!H3+(INDEX('Price History'!H:H,MATCH(9.99E+307,'Price History'!$A:$A))-'Price History'!H3)*(ROW()-3)/(MATCH(9.99E+307,'Returns (Calc)'!$A:$A)-3),"")</f>
        <v>13.9181132075472</v>
      </c>
      <c r="AD140" s="145" t="n">
        <f aca="false">IFERROR('Price History'!I3+(INDEX('Price History'!I:I,MATCH(9.99E+307,'Price History'!$A:$A))-'Price History'!I3)*(ROW()-3)/(MATCH(9.99E+307,'Returns (Calc)'!$A:$A)-3),"")</f>
        <v>6.13647798742139</v>
      </c>
      <c r="AE140" s="145" t="n">
        <f aca="false">IFERROR('Price History'!J3+(INDEX('Price History'!J:J,MATCH(9.99E+307,'Price History'!$A:$A))-'Price History'!J3)*(ROW()-3)/(MATCH(9.99E+307,'Returns (Calc)'!$A:$A)-3),"")</f>
        <v>9.56238993710692</v>
      </c>
      <c r="AF140" s="145" t="n">
        <f aca="false">IFERROR('Price History'!K3+(INDEX('Price History'!K:K,MATCH(9.99E+307,'Price History'!$A:$A))-'Price History'!K3)*(ROW()-3)/(MATCH(9.99E+307,'Returns (Calc)'!$A:$A)-3),"")</f>
        <v>6.05622641509434</v>
      </c>
      <c r="AG140" s="145" t="n">
        <f aca="false">IFERROR('Price History'!L3+(INDEX('Price History'!L:L,MATCH(9.99E+307,'Price History'!$A:$A))-'Price History'!L3)*(ROW()-3)/(MATCH(9.99E+307,'Returns (Calc)'!$A:$A)-3),"")</f>
        <v>15.4747169811321</v>
      </c>
      <c r="AH140" s="145" t="n">
        <f aca="false">IFERROR('Price History'!M3+(INDEX('Price History'!M:M,MATCH(9.99E+307,'Price History'!$A:$A))-'Price History'!M3)*(ROW()-3)/(MATCH(9.99E+307,'Returns (Calc)'!$A:$A)-3),"")</f>
        <v>2.1211320754717</v>
      </c>
      <c r="AI140" s="145" t="n">
        <f aca="false">IFERROR('Price History'!N3+(INDEX('Price History'!N:N,MATCH(9.99E+307,'Price History'!$A:$A))-'Price History'!N3)*(ROW()-3)/(MATCH(9.99E+307,'Returns (Calc)'!$A:$A)-3),"")</f>
        <v>3.01635220125786</v>
      </c>
      <c r="AJ140" s="145" t="n">
        <f aca="false">IFERROR('Price History'!O3+(INDEX('Price History'!O:O,MATCH(9.99E+307,'Price History'!$A:$A))-'Price History'!O3)*(ROW()-3)/(MATCH(9.99E+307,'Returns (Calc)'!$A:$A)-3),"")</f>
        <v>7.97396226415094</v>
      </c>
      <c r="AK140" s="145" t="n">
        <f aca="false">IFERROR('Price History'!Q3+(INDEX('Price History'!Q:Q,MATCH(9.99E+307,'Price History'!$A:$A))-'Price History'!Q3)*(ROW()-3)/(MATCH(9.99E+307,'Returns (Calc)'!$A:$A)-3),"")</f>
        <v>32.602893081761</v>
      </c>
      <c r="AL140" s="145" t="n">
        <f aca="false">IFERROR('Price History'!R3+(INDEX('Price History'!R:R,MATCH(9.99E+307,'Price History'!$A:$A))-'Price History'!R3)*(ROW()-3)/(MATCH(9.99E+307,'Returns (Calc)'!$A:$A)-3),"")</f>
        <v>6.61660377358491</v>
      </c>
      <c r="AM140" s="145" t="n">
        <f aca="false">IFERROR('Price History'!S3+(INDEX('Price History'!S:S,MATCH(9.99E+307,'Price History'!$A:$A))-'Price History'!S3)*(ROW()-3)/(MATCH(9.99E+307,'Returns (Calc)'!$A:$A)-3),"")</f>
        <v>8.09987421383648</v>
      </c>
      <c r="AN140" s="145" t="n">
        <f aca="false">IFERROR('Price History'!T3+(INDEX('Price History'!T:T,MATCH(9.99E+307,'Price History'!$A:$A))-'Price History'!T3)*(ROW()-3)/(MATCH(9.99E+307,'Returns (Calc)'!$A:$A)-3),"")</f>
        <v>3.72339622641509</v>
      </c>
      <c r="AO140" s="146" t="n">
        <f aca="false">IFERROR('Price History'!V3+(INDEX('Price History'!V:V,MATCH(9.99E+307,'Price History'!$A:$A))-'Price History'!V3)*(ROW()-3)/(MATCH(9.99E+307,'Returns (Calc)'!$A:$A)-3),"")</f>
        <v>0</v>
      </c>
    </row>
    <row r="141" customFormat="false" ht="15" hidden="false" customHeight="true" outlineLevel="0" collapsed="false">
      <c r="A141" s="142" t="n">
        <f aca="false">IF('Price History'!A142="","",'Price History'!A142)</f>
        <v>46157</v>
      </c>
      <c r="B141" s="143" t="n">
        <f aca="false">IFERROR(IF(OR(NOT(ISNUMBER('Price History'!B142)),NOT(ISNUMBER('Price History'!B141)),'Price History'!B141=0),"",'Price History'!B142/'Price History'!B141-1),"")</f>
        <v>-0.0214985773000316</v>
      </c>
      <c r="C141" s="143" t="n">
        <f aca="false">IFERROR(IF(OR(NOT(ISNUMBER('Price History'!C142)),NOT(ISNUMBER('Price History'!C141)),'Price History'!C141=0),"",'Price History'!C142/'Price History'!C141-1),"")</f>
        <v>0.00141073569866679</v>
      </c>
      <c r="D141" s="143" t="n">
        <f aca="false">IFERROR(IF(OR(NOT(ISNUMBER('Price History'!D142)),NOT(ISNUMBER('Price History'!D141)),'Price History'!D141=0),"",'Price History'!D142/'Price History'!D141-1),"")</f>
        <v>-0.0566618028126494</v>
      </c>
      <c r="E141" s="143" t="n">
        <f aca="false">IFERROR(IF(OR(NOT(ISNUMBER('Price History'!E142)),NOT(ISNUMBER('Price History'!E141)),'Price History'!E141=0),"",'Price History'!E142/'Price History'!E141-1),"")</f>
        <v>-0.011177486348999</v>
      </c>
      <c r="F141" s="143" t="n">
        <f aca="false">IFERROR(IF(OR(NOT(ISNUMBER('Price History'!F142)),NOT(ISNUMBER('Price History'!F141)),'Price History'!F141=0),"",'Price History'!F142/'Price History'!F141-1),"")</f>
        <v>-0.0215948239643728</v>
      </c>
      <c r="G141" s="143" t="n">
        <f aca="false">IFERROR(IF(OR(NOT(ISNUMBER('Price History'!G142)),NOT(ISNUMBER('Price History'!G141)),'Price History'!G141=0),"",'Price History'!G142/'Price History'!G141-1),"")</f>
        <v>0.12566318023344</v>
      </c>
      <c r="H141" s="143" t="n">
        <f aca="false">IFERROR(IF(OR(NOT(ISNUMBER('Price History'!H142)),NOT(ISNUMBER('Price History'!H141)),'Price History'!H141=0),"",'Price History'!H142/'Price History'!H141-1),"")</f>
        <v>-0.00867534200867526</v>
      </c>
      <c r="I141" s="143" t="n">
        <f aca="false">IFERROR(IF(OR(NOT(ISNUMBER('Price History'!I142)),NOT(ISNUMBER('Price History'!I141)),'Price History'!I141=0),"",'Price History'!I142/'Price History'!I141-1),"")</f>
        <v>-0.0346972703383922</v>
      </c>
      <c r="J141" s="143" t="n">
        <f aca="false">IFERROR(IF(OR(NOT(ISNUMBER('Price History'!J142)),NOT(ISNUMBER('Price History'!J141)),'Price History'!J141=0),"",'Price History'!J142/'Price History'!J141-1),"")</f>
        <v>-0.0296638542922192</v>
      </c>
      <c r="K141" s="143" t="n">
        <f aca="false">IFERROR(IF(OR(NOT(ISNUMBER('Price History'!K142)),NOT(ISNUMBER('Price History'!K141)),'Price History'!K141=0),"",'Price History'!K142/'Price History'!K141-1),"")</f>
        <v>0.0470401937497089</v>
      </c>
      <c r="L141" s="143" t="n">
        <f aca="false">IFERROR(IF(OR(NOT(ISNUMBER('Price History'!L142)),NOT(ISNUMBER('Price History'!L141)),'Price History'!L141=0),"",'Price History'!L142/'Price History'!L141-1),"")</f>
        <v>-0.0246617812852311</v>
      </c>
      <c r="M141" s="143" t="n">
        <f aca="false">IFERROR(IF(OR(NOT(ISNUMBER('Price History'!M142)),NOT(ISNUMBER('Price History'!M141)),'Price History'!M141=0),"",'Price History'!M142/'Price History'!M141-1),"")</f>
        <v>-0.0276487663280116</v>
      </c>
      <c r="N141" s="143" t="n">
        <f aca="false">IFERROR(IF(OR(NOT(ISNUMBER('Price History'!N142)),NOT(ISNUMBER('Price History'!N141)),'Price History'!N141=0),"",'Price History'!N142/'Price History'!N141-1),"")</f>
        <v>0.0032133676092545</v>
      </c>
      <c r="O141" s="143" t="n">
        <f aca="false">IFERROR(IF(OR(NOT(ISNUMBER('Price History'!O142)),NOT(ISNUMBER('Price History'!O141)),'Price History'!O141=0),"",'Price History'!O142/'Price History'!O141-1),"")</f>
        <v>-0.0023018973214286</v>
      </c>
      <c r="P141" s="143" t="n">
        <f aca="false">IFERROR(IF(OR(NOT(ISNUMBER('Price History'!P142)),NOT(ISNUMBER('Price History'!P141)),'Price History'!P141=0),"",'Price History'!P142/'Price History'!P141-1),"")</f>
        <v>-0.0177969825692106</v>
      </c>
      <c r="Q141" s="143" t="n">
        <f aca="false">IFERROR(IF(OR(NOT(ISNUMBER('Price History'!Q142)),NOT(ISNUMBER('Price History'!Q141)),'Price History'!Q141=0),"",'Price History'!Q142/'Price History'!Q141-1),"")</f>
        <v>0.0239654846633495</v>
      </c>
      <c r="R141" s="143" t="n">
        <f aca="false">IFERROR(IF(OR(NOT(ISNUMBER('Price History'!R142)),NOT(ISNUMBER('Price History'!R141)),'Price History'!R141=0),"",'Price History'!R142/'Price History'!R141-1),"")</f>
        <v>0.0365173592372727</v>
      </c>
      <c r="S141" s="143" t="n">
        <f aca="false">IFERROR(IF(OR(NOT(ISNUMBER('Price History'!S142)),NOT(ISNUMBER('Price History'!S141)),'Price History'!S141=0),"",'Price History'!S142/'Price History'!S141-1),"")</f>
        <v>0.0749520655394806</v>
      </c>
      <c r="T141" s="143" t="n">
        <f aca="false">IFERROR(IF(OR(NOT(ISNUMBER('Price History'!T142)),NOT(ISNUMBER('Price History'!T141)),'Price History'!T141=0),"",'Price History'!T142/'Price History'!T141-1),"")</f>
        <v>-0.0050200803212852</v>
      </c>
      <c r="U141" s="143" t="str">
        <f aca="false">IFERROR(IF(OR(NOT(ISNUMBER('Price History'!U142)),NOT(ISNUMBER('Price History'!U141)),'Price History'!U141=0),"",'Price History'!U142/'Price History'!U141-1),"")</f>
        <v/>
      </c>
      <c r="V141" s="144" t="str">
        <f aca="false">IFERROR(IF(OR(NOT(ISNUMBER('Price History'!V142)),NOT(ISNUMBER('Price History'!V141)),'Price History'!V141=0),"",'Price History'!V142/'Price History'!V141-1),"")</f>
        <v/>
      </c>
      <c r="W141" s="145" t="str">
        <f aca="false">IFERROR('Price History'!B3+(INDEX('Price History'!B:B,MATCH(9.99E+307,'Price History'!$A:$A))-'Price History'!B3)*(ROW()-3)/(MATCH(9.99E+307,'Returns (Calc)'!$A:$A)-3),"")</f>
        <v/>
      </c>
      <c r="X141" s="145" t="n">
        <f aca="false">IFERROR('Price History'!C3+(INDEX('Price History'!C:C,MATCH(9.99E+307,'Price History'!$A:$A))-'Price History'!C3)*(ROW()-3)/(MATCH(9.99E+307,'Returns (Calc)'!$A:$A)-3),"")</f>
        <v>6.09924528301887</v>
      </c>
      <c r="Y141" s="145" t="n">
        <f aca="false">IFERROR('Price History'!D3+(INDEX('Price History'!D:D,MATCH(9.99E+307,'Price History'!$A:$A))-'Price History'!D3)*(ROW()-3)/(MATCH(9.99E+307,'Returns (Calc)'!$A:$A)-3),"")</f>
        <v>76.8692452830188</v>
      </c>
      <c r="Z141" s="145" t="n">
        <f aca="false">IFERROR('Price History'!E3+(INDEX('Price History'!E:E,MATCH(9.99E+307,'Price History'!$A:$A))-'Price History'!E3)*(ROW()-3)/(MATCH(9.99E+307,'Returns (Calc)'!$A:$A)-3),"")</f>
        <v>10.8301886792453</v>
      </c>
      <c r="AA141" s="145" t="n">
        <f aca="false">IFERROR('Price History'!F3+(INDEX('Price History'!F:F,MATCH(9.99E+307,'Price History'!$A:$A))-'Price History'!F3)*(ROW()-3)/(MATCH(9.99E+307,'Returns (Calc)'!$A:$A)-3),"")</f>
        <v>9.9466037735849</v>
      </c>
      <c r="AB141" s="145" t="n">
        <f aca="false">IFERROR('Price History'!G3+(INDEX('Price History'!G:G,MATCH(9.99E+307,'Price History'!$A:$A))-'Price History'!G3)*(ROW()-3)/(MATCH(9.99E+307,'Returns (Calc)'!$A:$A)-3),"")</f>
        <v>5.46264150943396</v>
      </c>
      <c r="AC141" s="145" t="n">
        <f aca="false">IFERROR('Price History'!H3+(INDEX('Price History'!H:H,MATCH(9.99E+307,'Price History'!$A:$A))-'Price History'!H3)*(ROW()-3)/(MATCH(9.99E+307,'Returns (Calc)'!$A:$A)-3),"")</f>
        <v>13.2854716981132</v>
      </c>
      <c r="AD141" s="145" t="n">
        <f aca="false">IFERROR('Price History'!I3+(INDEX('Price History'!I:I,MATCH(9.99E+307,'Price History'!$A:$A))-'Price History'!I3)*(ROW()-3)/(MATCH(9.99E+307,'Returns (Calc)'!$A:$A)-3),"")</f>
        <v>5.85754716981132</v>
      </c>
      <c r="AE141" s="145" t="n">
        <f aca="false">IFERROR('Price History'!J3+(INDEX('Price History'!J:J,MATCH(9.99E+307,'Price History'!$A:$A))-'Price History'!J3)*(ROW()-3)/(MATCH(9.99E+307,'Returns (Calc)'!$A:$A)-3),"")</f>
        <v>9.1277358490566</v>
      </c>
      <c r="AF141" s="145" t="n">
        <f aca="false">IFERROR('Price History'!K3+(INDEX('Price History'!K:K,MATCH(9.99E+307,'Price History'!$A:$A))-'Price History'!K3)*(ROW()-3)/(MATCH(9.99E+307,'Returns (Calc)'!$A:$A)-3),"")</f>
        <v>5.78094339622642</v>
      </c>
      <c r="AG141" s="145" t="n">
        <f aca="false">IFERROR('Price History'!L3+(INDEX('Price History'!L:L,MATCH(9.99E+307,'Price History'!$A:$A))-'Price History'!L3)*(ROW()-3)/(MATCH(9.99E+307,'Returns (Calc)'!$A:$A)-3),"")</f>
        <v>14.771320754717</v>
      </c>
      <c r="AH141" s="145" t="n">
        <f aca="false">IFERROR('Price History'!M3+(INDEX('Price History'!M:M,MATCH(9.99E+307,'Price History'!$A:$A))-'Price History'!M3)*(ROW()-3)/(MATCH(9.99E+307,'Returns (Calc)'!$A:$A)-3),"")</f>
        <v>2.02471698113208</v>
      </c>
      <c r="AI141" s="145" t="n">
        <f aca="false">IFERROR('Price History'!N3+(INDEX('Price History'!N:N,MATCH(9.99E+307,'Price History'!$A:$A))-'Price History'!N3)*(ROW()-3)/(MATCH(9.99E+307,'Returns (Calc)'!$A:$A)-3),"")</f>
        <v>2.87924528301887</v>
      </c>
      <c r="AJ141" s="145" t="n">
        <f aca="false">IFERROR('Price History'!O3+(INDEX('Price History'!O:O,MATCH(9.99E+307,'Price History'!$A:$A))-'Price History'!O3)*(ROW()-3)/(MATCH(9.99E+307,'Returns (Calc)'!$A:$A)-3),"")</f>
        <v>7.61150943396226</v>
      </c>
      <c r="AK141" s="145" t="n">
        <f aca="false">IFERROR('Price History'!Q3+(INDEX('Price History'!Q:Q,MATCH(9.99E+307,'Price History'!$A:$A))-'Price History'!Q3)*(ROW()-3)/(MATCH(9.99E+307,'Returns (Calc)'!$A:$A)-3),"")</f>
        <v>31.1209433962264</v>
      </c>
      <c r="AL141" s="145" t="n">
        <f aca="false">IFERROR('Price History'!R3+(INDEX('Price History'!R:R,MATCH(9.99E+307,'Price History'!$A:$A))-'Price History'!R3)*(ROW()-3)/(MATCH(9.99E+307,'Returns (Calc)'!$A:$A)-3),"")</f>
        <v>6.31584905660377</v>
      </c>
      <c r="AM141" s="145" t="n">
        <f aca="false">IFERROR('Price History'!S3+(INDEX('Price History'!S:S,MATCH(9.99E+307,'Price History'!$A:$A))-'Price History'!S3)*(ROW()-3)/(MATCH(9.99E+307,'Returns (Calc)'!$A:$A)-3),"")</f>
        <v>7.73169811320755</v>
      </c>
      <c r="AN141" s="145" t="n">
        <f aca="false">IFERROR('Price History'!T3+(INDEX('Price History'!T:T,MATCH(9.99E+307,'Price History'!$A:$A))-'Price History'!T3)*(ROW()-3)/(MATCH(9.99E+307,'Returns (Calc)'!$A:$A)-3),"")</f>
        <v>3.55415094339623</v>
      </c>
      <c r="AO141" s="146" t="n">
        <f aca="false">IFERROR('Price History'!V3+(INDEX('Price History'!V:V,MATCH(9.99E+307,'Price History'!$A:$A))-'Price History'!V3)*(ROW()-3)/(MATCH(9.99E+307,'Returns (Calc)'!$A:$A)-3),"")</f>
        <v>0</v>
      </c>
    </row>
    <row r="142" customFormat="false" ht="15" hidden="false" customHeight="true" outlineLevel="0" collapsed="false">
      <c r="A142" s="142" t="n">
        <f aca="false">IF('Price History'!A143="","",'Price History'!A143)</f>
        <v>46164</v>
      </c>
      <c r="B142" s="143" t="n">
        <f aca="false">IFERROR(IF(OR(NOT(ISNUMBER('Price History'!B143)),NOT(ISNUMBER('Price History'!B142)),'Price History'!B142=0),"",'Price History'!B143/'Price History'!B142-1),"")</f>
        <v>-0.011470113085622</v>
      </c>
      <c r="C142" s="143" t="n">
        <f aca="false">IFERROR(IF(OR(NOT(ISNUMBER('Price History'!C143)),NOT(ISNUMBER('Price History'!C142)),'Price History'!C142=0),"",'Price History'!C143/'Price History'!C142-1),"")</f>
        <v>0.0849475241248152</v>
      </c>
      <c r="D142" s="143" t="n">
        <f aca="false">IFERROR(IF(OR(NOT(ISNUMBER('Price History'!D143)),NOT(ISNUMBER('Price History'!D142)),'Price History'!D142=0),"",'Price History'!D143/'Price History'!D142-1),"")</f>
        <v>0.0872875649222933</v>
      </c>
      <c r="E142" s="143" t="n">
        <f aca="false">IFERROR(IF(OR(NOT(ISNUMBER('Price History'!E143)),NOT(ISNUMBER('Price History'!E142)),'Price History'!E142=0),"",'Price History'!E143/'Price History'!E142-1),"")</f>
        <v>-0.0260058997050147</v>
      </c>
      <c r="F142" s="143" t="n">
        <f aca="false">IFERROR(IF(OR(NOT(ISNUMBER('Price History'!F143)),NOT(ISNUMBER('Price History'!F142)),'Price History'!F142=0),"",'Price History'!F143/'Price History'!F142-1),"")</f>
        <v>0.0237031947784268</v>
      </c>
      <c r="G142" s="143" t="n">
        <f aca="false">IFERROR(IF(OR(NOT(ISNUMBER('Price History'!G143)),NOT(ISNUMBER('Price History'!G142)),'Price History'!G142=0),"",'Price History'!G143/'Price History'!G142-1),"")</f>
        <v>0.116819283598169</v>
      </c>
      <c r="H142" s="143" t="n">
        <f aca="false">IFERROR(IF(OR(NOT(ISNUMBER('Price History'!H143)),NOT(ISNUMBER('Price History'!H142)),'Price History'!H142=0),"",'Price History'!H143/'Price History'!H142-1),"")</f>
        <v>0.0317738135307977</v>
      </c>
      <c r="I142" s="143" t="n">
        <f aca="false">IFERROR(IF(OR(NOT(ISNUMBER('Price History'!I143)),NOT(ISNUMBER('Price History'!I142)),'Price History'!I142=0),"",'Price History'!I143/'Price History'!I142-1),"")</f>
        <v>0.0478888888888889</v>
      </c>
      <c r="J142" s="143" t="n">
        <f aca="false">IFERROR(IF(OR(NOT(ISNUMBER('Price History'!J143)),NOT(ISNUMBER('Price History'!J142)),'Price History'!J142=0),"",'Price History'!J143/'Price History'!J142-1),"")</f>
        <v>0.0363397971154511</v>
      </c>
      <c r="K142" s="143" t="n">
        <f aca="false">IFERROR(IF(OR(NOT(ISNUMBER('Price History'!K143)),NOT(ISNUMBER('Price History'!K142)),'Price History'!K142=0),"",'Price History'!K143/'Price History'!K142-1),"")</f>
        <v>-0.0443485610070726</v>
      </c>
      <c r="L142" s="143" t="n">
        <f aca="false">IFERROR(IF(OR(NOT(ISNUMBER('Price History'!L143)),NOT(ISNUMBER('Price History'!L142)),'Price History'!L142=0),"",'Price History'!L143/'Price History'!L142-1),"")</f>
        <v>0.0382170206617543</v>
      </c>
      <c r="M142" s="143" t="n">
        <f aca="false">IFERROR(IF(OR(NOT(ISNUMBER('Price History'!M143)),NOT(ISNUMBER('Price History'!M142)),'Price History'!M142=0),"",'Price History'!M143/'Price History'!M142-1),"")</f>
        <v>0.0215687737890886</v>
      </c>
      <c r="N142" s="143" t="n">
        <f aca="false">IFERROR(IF(OR(NOT(ISNUMBER('Price History'!N143)),NOT(ISNUMBER('Price History'!N142)),'Price History'!N142=0),"",'Price History'!N143/'Price History'!N142-1),"")</f>
        <v>0.0349135169762973</v>
      </c>
      <c r="O142" s="143" t="n">
        <f aca="false">IFERROR(IF(OR(NOT(ISNUMBER('Price History'!O143)),NOT(ISNUMBER('Price History'!O142)),'Price History'!O142=0),"",'Price History'!O143/'Price History'!O142-1),"")</f>
        <v>0.0101377333426553</v>
      </c>
      <c r="P142" s="143" t="n">
        <f aca="false">IFERROR(IF(OR(NOT(ISNUMBER('Price History'!P143)),NOT(ISNUMBER('Price History'!P142)),'Price History'!P142=0),"",'Price History'!P143/'Price History'!P142-1),"")</f>
        <v>0.000422538712002707</v>
      </c>
      <c r="Q142" s="143" t="n">
        <f aca="false">IFERROR(IF(OR(NOT(ISNUMBER('Price History'!Q143)),NOT(ISNUMBER('Price History'!Q142)),'Price History'!Q142=0),"",'Price History'!Q143/'Price History'!Q142-1),"")</f>
        <v>0.00959557127479616</v>
      </c>
      <c r="R142" s="143" t="n">
        <f aca="false">IFERROR(IF(OR(NOT(ISNUMBER('Price History'!R143)),NOT(ISNUMBER('Price History'!R142)),'Price History'!R142=0),"",'Price History'!R143/'Price History'!R142-1),"")</f>
        <v>0.0180492884415133</v>
      </c>
      <c r="S142" s="143" t="n">
        <f aca="false">IFERROR(IF(OR(NOT(ISNUMBER('Price History'!S143)),NOT(ISNUMBER('Price History'!S142)),'Price History'!S142=0),"",'Price History'!S143/'Price History'!S142-1),"")</f>
        <v>0.0402140424841901</v>
      </c>
      <c r="T142" s="143" t="n">
        <f aca="false">IFERROR(IF(OR(NOT(ISNUMBER('Price History'!T143)),NOT(ISNUMBER('Price History'!T142)),'Price History'!T142=0),"",'Price History'!T143/'Price History'!T142-1),"")</f>
        <v>0.0534813319878908</v>
      </c>
      <c r="U142" s="143" t="str">
        <f aca="false">IFERROR(IF(OR(NOT(ISNUMBER('Price History'!U143)),NOT(ISNUMBER('Price History'!U142)),'Price History'!U142=0),"",'Price History'!U143/'Price History'!U142-1),"")</f>
        <v/>
      </c>
      <c r="V142" s="144" t="n">
        <f aca="false">IFERROR(IF(OR(NOT(ISNUMBER('Price History'!V143)),NOT(ISNUMBER('Price History'!V142)),'Price History'!V142=0),"",'Price History'!V143/'Price History'!V142-1),"")</f>
        <v>0.0415938252465613</v>
      </c>
      <c r="W142" s="145" t="str">
        <f aca="false">IFERROR('Price History'!B3+(INDEX('Price History'!B:B,MATCH(9.99E+307,'Price History'!$A:$A))-'Price History'!B3)*(ROW()-3)/(MATCH(9.99E+307,'Returns (Calc)'!$A:$A)-3),"")</f>
        <v/>
      </c>
      <c r="X142" s="145" t="n">
        <f aca="false">IFERROR('Price History'!C3+(INDEX('Price History'!C:C,MATCH(9.99E+307,'Price History'!$A:$A))-'Price History'!C3)*(ROW()-3)/(MATCH(9.99E+307,'Returns (Calc)'!$A:$A)-3),"")</f>
        <v>5.80880503144655</v>
      </c>
      <c r="Y142" s="145" t="n">
        <f aca="false">IFERROR('Price History'!D3+(INDEX('Price History'!D:D,MATCH(9.99E+307,'Price History'!$A:$A))-'Price History'!D3)*(ROW()-3)/(MATCH(9.99E+307,'Returns (Calc)'!$A:$A)-3),"")</f>
        <v>73.2088050314466</v>
      </c>
      <c r="Z142" s="145" t="n">
        <f aca="false">IFERROR('Price History'!E3+(INDEX('Price History'!E:E,MATCH(9.99E+307,'Price History'!$A:$A))-'Price History'!E3)*(ROW()-3)/(MATCH(9.99E+307,'Returns (Calc)'!$A:$A)-3),"")</f>
        <v>10.314465408805</v>
      </c>
      <c r="AA142" s="145" t="n">
        <f aca="false">IFERROR('Price History'!F3+(INDEX('Price History'!F:F,MATCH(9.99E+307,'Price History'!$A:$A))-'Price History'!F3)*(ROW()-3)/(MATCH(9.99E+307,'Returns (Calc)'!$A:$A)-3),"")</f>
        <v>9.47295597484276</v>
      </c>
      <c r="AB142" s="145" t="n">
        <f aca="false">IFERROR('Price History'!G3+(INDEX('Price History'!G:G,MATCH(9.99E+307,'Price History'!$A:$A))-'Price History'!G3)*(ROW()-3)/(MATCH(9.99E+307,'Returns (Calc)'!$A:$A)-3),"")</f>
        <v>5.20251572327044</v>
      </c>
      <c r="AC142" s="145" t="n">
        <f aca="false">IFERROR('Price History'!H3+(INDEX('Price History'!H:H,MATCH(9.99E+307,'Price History'!$A:$A))-'Price History'!H3)*(ROW()-3)/(MATCH(9.99E+307,'Returns (Calc)'!$A:$A)-3),"")</f>
        <v>12.6528301886792</v>
      </c>
      <c r="AD142" s="145" t="n">
        <f aca="false">IFERROR('Price History'!I3+(INDEX('Price History'!I:I,MATCH(9.99E+307,'Price History'!$A:$A))-'Price History'!I3)*(ROW()-3)/(MATCH(9.99E+307,'Returns (Calc)'!$A:$A)-3),"")</f>
        <v>5.57861635220126</v>
      </c>
      <c r="AE142" s="145" t="n">
        <f aca="false">IFERROR('Price History'!J3+(INDEX('Price History'!J:J,MATCH(9.99E+307,'Price History'!$A:$A))-'Price History'!J3)*(ROW()-3)/(MATCH(9.99E+307,'Returns (Calc)'!$A:$A)-3),"")</f>
        <v>8.6930817610063</v>
      </c>
      <c r="AF142" s="145" t="n">
        <f aca="false">IFERROR('Price History'!K3+(INDEX('Price History'!K:K,MATCH(9.99E+307,'Price History'!$A:$A))-'Price History'!K3)*(ROW()-3)/(MATCH(9.99E+307,'Returns (Calc)'!$A:$A)-3),"")</f>
        <v>5.50566037735849</v>
      </c>
      <c r="AG142" s="145" t="n">
        <f aca="false">IFERROR('Price History'!L3+(INDEX('Price History'!L:L,MATCH(9.99E+307,'Price History'!$A:$A))-'Price History'!L3)*(ROW()-3)/(MATCH(9.99E+307,'Returns (Calc)'!$A:$A)-3),"")</f>
        <v>14.0679245283019</v>
      </c>
      <c r="AH142" s="145" t="n">
        <f aca="false">IFERROR('Price History'!M3+(INDEX('Price History'!M:M,MATCH(9.99E+307,'Price History'!$A:$A))-'Price History'!M3)*(ROW()-3)/(MATCH(9.99E+307,'Returns (Calc)'!$A:$A)-3),"")</f>
        <v>1.92830188679245</v>
      </c>
      <c r="AI142" s="145" t="n">
        <f aca="false">IFERROR('Price History'!N3+(INDEX('Price History'!N:N,MATCH(9.99E+307,'Price History'!$A:$A))-'Price History'!N3)*(ROW()-3)/(MATCH(9.99E+307,'Returns (Calc)'!$A:$A)-3),"")</f>
        <v>2.74213836477987</v>
      </c>
      <c r="AJ142" s="145" t="n">
        <f aca="false">IFERROR('Price History'!O3+(INDEX('Price History'!O:O,MATCH(9.99E+307,'Price History'!$A:$A))-'Price History'!O3)*(ROW()-3)/(MATCH(9.99E+307,'Returns (Calc)'!$A:$A)-3),"")</f>
        <v>7.24905660377358</v>
      </c>
      <c r="AK142" s="145" t="n">
        <f aca="false">IFERROR('Price History'!Q3+(INDEX('Price History'!Q:Q,MATCH(9.99E+307,'Price History'!$A:$A))-'Price History'!Q3)*(ROW()-3)/(MATCH(9.99E+307,'Returns (Calc)'!$A:$A)-3),"")</f>
        <v>29.6389937106918</v>
      </c>
      <c r="AL142" s="145" t="n">
        <f aca="false">IFERROR('Price History'!R3+(INDEX('Price History'!R:R,MATCH(9.99E+307,'Price History'!$A:$A))-'Price History'!R3)*(ROW()-3)/(MATCH(9.99E+307,'Returns (Calc)'!$A:$A)-3),"")</f>
        <v>6.01509433962264</v>
      </c>
      <c r="AM142" s="145" t="n">
        <f aca="false">IFERROR('Price History'!S3+(INDEX('Price History'!S:S,MATCH(9.99E+307,'Price History'!$A:$A))-'Price History'!S3)*(ROW()-3)/(MATCH(9.99E+307,'Returns (Calc)'!$A:$A)-3),"")</f>
        <v>7.36352201257862</v>
      </c>
      <c r="AN142" s="145" t="n">
        <f aca="false">IFERROR('Price History'!T3+(INDEX('Price History'!T:T,MATCH(9.99E+307,'Price History'!$A:$A))-'Price History'!T3)*(ROW()-3)/(MATCH(9.99E+307,'Returns (Calc)'!$A:$A)-3),"")</f>
        <v>3.38490566037736</v>
      </c>
      <c r="AO142" s="146" t="n">
        <f aca="false">IFERROR('Price History'!V3+(INDEX('Price History'!V:V,MATCH(9.99E+307,'Price History'!$A:$A))-'Price History'!V3)*(ROW()-3)/(MATCH(9.99E+307,'Returns (Calc)'!$A:$A)-3),"")</f>
        <v>0</v>
      </c>
    </row>
    <row r="143" customFormat="false" ht="15" hidden="false" customHeight="true" outlineLevel="0" collapsed="false">
      <c r="A143" s="142" t="n">
        <f aca="false">IF('Price History'!A144="","",'Price History'!A144)</f>
        <v>46171</v>
      </c>
      <c r="B143" s="143" t="n">
        <f aca="false">IFERROR(IF(OR(NOT(ISNUMBER('Price History'!B144)),NOT(ISNUMBER('Price History'!B143)),'Price History'!B143=0),"",'Price History'!B144/'Price History'!B143-1),"")</f>
        <v>0.0590374244157541</v>
      </c>
      <c r="C143" s="143" t="n">
        <f aca="false">IFERROR(IF(OR(NOT(ISNUMBER('Price History'!C144)),NOT(ISNUMBER('Price History'!C143)),'Price History'!C143=0),"",'Price History'!C144/'Price History'!C143-1),"")</f>
        <v>0.0353177952346946</v>
      </c>
      <c r="D143" s="143" t="n">
        <f aca="false">IFERROR(IF(OR(NOT(ISNUMBER('Price History'!D144)),NOT(ISNUMBER('Price History'!D143)),'Price History'!D143=0),"",'Price History'!D144/'Price History'!D143-1),"")</f>
        <v>-0.0123314467221407</v>
      </c>
      <c r="E143" s="143" t="n">
        <f aca="false">IFERROR(IF(OR(NOT(ISNUMBER('Price History'!E144)),NOT(ISNUMBER('Price History'!E143)),'Price History'!E143=0),"",'Price History'!E144/'Price History'!E143-1),"")</f>
        <v>0.0787924308870205</v>
      </c>
      <c r="F143" s="143" t="n">
        <f aca="false">IFERROR(IF(OR(NOT(ISNUMBER('Price History'!F144)),NOT(ISNUMBER('Price History'!F143)),'Price History'!F143=0),"",'Price History'!F144/'Price History'!F143-1),"")</f>
        <v>0.000167785234899354</v>
      </c>
      <c r="G143" s="143" t="n">
        <f aca="false">IFERROR(IF(OR(NOT(ISNUMBER('Price History'!G144)),NOT(ISNUMBER('Price History'!G143)),'Price History'!G143=0),"",'Price History'!G144/'Price History'!G143-1),"")</f>
        <v>0.10176644360041</v>
      </c>
      <c r="H143" s="143" t="n">
        <f aca="false">IFERROR(IF(OR(NOT(ISNUMBER('Price History'!H144)),NOT(ISNUMBER('Price History'!H143)),'Price History'!H143=0),"",'Price History'!H144/'Price History'!H143-1),"")</f>
        <v>-0.00508905852417307</v>
      </c>
      <c r="I143" s="143" t="n">
        <f aca="false">IFERROR(IF(OR(NOT(ISNUMBER('Price History'!I144)),NOT(ISNUMBER('Price History'!I143)),'Price History'!I143=0),"",'Price History'!I144/'Price History'!I143-1),"")</f>
        <v>0.0176545435266673</v>
      </c>
      <c r="J143" s="143" t="n">
        <f aca="false">IFERROR(IF(OR(NOT(ISNUMBER('Price History'!J144)),NOT(ISNUMBER('Price History'!J143)),'Price History'!J143=0),"",'Price History'!J144/'Price History'!J143-1),"")</f>
        <v>0.292949605795866</v>
      </c>
      <c r="K143" s="143" t="n">
        <f aca="false">IFERROR(IF(OR(NOT(ISNUMBER('Price History'!K144)),NOT(ISNUMBER('Price History'!K143)),'Price History'!K143=0),"",'Price History'!K144/'Price History'!K143-1),"")</f>
        <v>-0.019456339601564</v>
      </c>
      <c r="L143" s="143" t="n">
        <f aca="false">IFERROR(IF(OR(NOT(ISNUMBER('Price History'!L144)),NOT(ISNUMBER('Price History'!L143)),'Price History'!L143=0),"",'Price History'!L144/'Price History'!L143-1),"")</f>
        <v>-0.0167002992136943</v>
      </c>
      <c r="M143" s="143" t="n">
        <f aca="false">IFERROR(IF(OR(NOT(ISNUMBER('Price History'!M144)),NOT(ISNUMBER('Price History'!M143)),'Price History'!M143=0),"",'Price History'!M144/'Price History'!M143-1),"")</f>
        <v>0.143629456458211</v>
      </c>
      <c r="N143" s="143" t="n">
        <f aca="false">IFERROR(IF(OR(NOT(ISNUMBER('Price History'!N144)),NOT(ISNUMBER('Price History'!N143)),'Price History'!N143=0),"",'Price History'!N144/'Price History'!N143-1),"")</f>
        <v>-0.0099040544722997</v>
      </c>
      <c r="O143" s="143" t="n">
        <f aca="false">IFERROR(IF(OR(NOT(ISNUMBER('Price History'!O144)),NOT(ISNUMBER('Price History'!O143)),'Price History'!O143=0),"",'Price History'!O144/'Price History'!O143-1),"")</f>
        <v>0.0389673311184942</v>
      </c>
      <c r="P143" s="143" t="n">
        <f aca="false">IFERROR(IF(OR(NOT(ISNUMBER('Price History'!P144)),NOT(ISNUMBER('Price History'!P143)),'Price History'!P143=0),"",'Price History'!P144/'Price History'!P143-1),"")</f>
        <v>0.0344347826086957</v>
      </c>
      <c r="Q143" s="143" t="n">
        <f aca="false">IFERROR(IF(OR(NOT(ISNUMBER('Price History'!Q144)),NOT(ISNUMBER('Price History'!Q143)),'Price History'!Q143=0),"",'Price History'!Q144/'Price History'!Q143-1),"")</f>
        <v>-0.00767660767051503</v>
      </c>
      <c r="R143" s="143" t="n">
        <f aca="false">IFERROR(IF(OR(NOT(ISNUMBER('Price History'!R144)),NOT(ISNUMBER('Price History'!R143)),'Price History'!R143=0),"",'Price History'!R144/'Price History'!R143-1),"")</f>
        <v>0.00562563927719073</v>
      </c>
      <c r="S143" s="143" t="n">
        <f aca="false">IFERROR(IF(OR(NOT(ISNUMBER('Price History'!S144)),NOT(ISNUMBER('Price History'!S143)),'Price History'!S143=0),"",'Price History'!S144/'Price History'!S143-1),"")</f>
        <v>0.0250974279033516</v>
      </c>
      <c r="T143" s="143" t="n">
        <f aca="false">IFERROR(IF(OR(NOT(ISNUMBER('Price History'!T144)),NOT(ISNUMBER('Price History'!T143)),'Price History'!T143=0),"",'Price History'!T144/'Price History'!T143-1),"")</f>
        <v>-0.00574712643678144</v>
      </c>
      <c r="U143" s="143" t="str">
        <f aca="false">IFERROR(IF(OR(NOT(ISNUMBER('Price History'!U144)),NOT(ISNUMBER('Price History'!U143)),'Price History'!U143=0),"",'Price History'!U144/'Price History'!U143-1),"")</f>
        <v/>
      </c>
      <c r="V143" s="144" t="n">
        <f aca="false">IFERROR(IF(OR(NOT(ISNUMBER('Price History'!V144)),NOT(ISNUMBER('Price History'!V143)),'Price History'!V143=0),"",'Price History'!V144/'Price History'!V143-1),"")</f>
        <v>-0.0239723858382418</v>
      </c>
      <c r="W143" s="145" t="str">
        <f aca="false">IFERROR('Price History'!B3+(INDEX('Price History'!B:B,MATCH(9.99E+307,'Price History'!$A:$A))-'Price History'!B3)*(ROW()-3)/(MATCH(9.99E+307,'Returns (Calc)'!$A:$A)-3),"")</f>
        <v/>
      </c>
      <c r="X143" s="145" t="n">
        <f aca="false">IFERROR('Price History'!C3+(INDEX('Price History'!C:C,MATCH(9.99E+307,'Price History'!$A:$A))-'Price History'!C3)*(ROW()-3)/(MATCH(9.99E+307,'Returns (Calc)'!$A:$A)-3),"")</f>
        <v>5.51836477987421</v>
      </c>
      <c r="Y143" s="145" t="n">
        <f aca="false">IFERROR('Price History'!D3+(INDEX('Price History'!D:D,MATCH(9.99E+307,'Price History'!$A:$A))-'Price History'!D3)*(ROW()-3)/(MATCH(9.99E+307,'Returns (Calc)'!$A:$A)-3),"")</f>
        <v>69.5483647798742</v>
      </c>
      <c r="Z143" s="145" t="n">
        <f aca="false">IFERROR('Price History'!E3+(INDEX('Price History'!E:E,MATCH(9.99E+307,'Price History'!$A:$A))-'Price History'!E3)*(ROW()-3)/(MATCH(9.99E+307,'Returns (Calc)'!$A:$A)-3),"")</f>
        <v>9.79874213836477</v>
      </c>
      <c r="AA143" s="145" t="n">
        <f aca="false">IFERROR('Price History'!F3+(INDEX('Price History'!F:F,MATCH(9.99E+307,'Price History'!$A:$A))-'Price History'!F3)*(ROW()-3)/(MATCH(9.99E+307,'Returns (Calc)'!$A:$A)-3),"")</f>
        <v>8.99930817610063</v>
      </c>
      <c r="AB143" s="145" t="n">
        <f aca="false">IFERROR('Price History'!G3+(INDEX('Price History'!G:G,MATCH(9.99E+307,'Price History'!$A:$A))-'Price History'!G3)*(ROW()-3)/(MATCH(9.99E+307,'Returns (Calc)'!$A:$A)-3),"")</f>
        <v>4.94238993710692</v>
      </c>
      <c r="AC143" s="145" t="n">
        <f aca="false">IFERROR('Price History'!H3+(INDEX('Price History'!H:H,MATCH(9.99E+307,'Price History'!$A:$A))-'Price History'!H3)*(ROW()-3)/(MATCH(9.99E+307,'Returns (Calc)'!$A:$A)-3),"")</f>
        <v>12.0201886792453</v>
      </c>
      <c r="AD143" s="145" t="n">
        <f aca="false">IFERROR('Price History'!I3+(INDEX('Price History'!I:I,MATCH(9.99E+307,'Price History'!$A:$A))-'Price History'!I3)*(ROW()-3)/(MATCH(9.99E+307,'Returns (Calc)'!$A:$A)-3),"")</f>
        <v>5.2996855345912</v>
      </c>
      <c r="AE143" s="145" t="n">
        <f aca="false">IFERROR('Price History'!J3+(INDEX('Price History'!J:J,MATCH(9.99E+307,'Price History'!$A:$A))-'Price History'!J3)*(ROW()-3)/(MATCH(9.99E+307,'Returns (Calc)'!$A:$A)-3),"")</f>
        <v>8.25842767295598</v>
      </c>
      <c r="AF143" s="145" t="n">
        <f aca="false">IFERROR('Price History'!K3+(INDEX('Price History'!K:K,MATCH(9.99E+307,'Price History'!$A:$A))-'Price History'!K3)*(ROW()-3)/(MATCH(9.99E+307,'Returns (Calc)'!$A:$A)-3),"")</f>
        <v>5.23037735849057</v>
      </c>
      <c r="AG143" s="145" t="n">
        <f aca="false">IFERROR('Price History'!L3+(INDEX('Price History'!L:L,MATCH(9.99E+307,'Price History'!$A:$A))-'Price History'!L3)*(ROW()-3)/(MATCH(9.99E+307,'Returns (Calc)'!$A:$A)-3),"")</f>
        <v>13.3645283018868</v>
      </c>
      <c r="AH143" s="145" t="n">
        <f aca="false">IFERROR('Price History'!M3+(INDEX('Price History'!M:M,MATCH(9.99E+307,'Price History'!$A:$A))-'Price History'!M3)*(ROW()-3)/(MATCH(9.99E+307,'Returns (Calc)'!$A:$A)-3),"")</f>
        <v>1.83188679245283</v>
      </c>
      <c r="AI143" s="145" t="n">
        <f aca="false">IFERROR('Price History'!N3+(INDEX('Price History'!N:N,MATCH(9.99E+307,'Price History'!$A:$A))-'Price History'!N3)*(ROW()-3)/(MATCH(9.99E+307,'Returns (Calc)'!$A:$A)-3),"")</f>
        <v>2.60503144654088</v>
      </c>
      <c r="AJ143" s="145" t="n">
        <f aca="false">IFERROR('Price History'!O3+(INDEX('Price History'!O:O,MATCH(9.99E+307,'Price History'!$A:$A))-'Price History'!O3)*(ROW()-3)/(MATCH(9.99E+307,'Returns (Calc)'!$A:$A)-3),"")</f>
        <v>6.8866037735849</v>
      </c>
      <c r="AK143" s="145" t="n">
        <f aca="false">IFERROR('Price History'!Q3+(INDEX('Price History'!Q:Q,MATCH(9.99E+307,'Price History'!$A:$A))-'Price History'!Q3)*(ROW()-3)/(MATCH(9.99E+307,'Returns (Calc)'!$A:$A)-3),"")</f>
        <v>28.1570440251572</v>
      </c>
      <c r="AL143" s="145" t="n">
        <f aca="false">IFERROR('Price History'!R3+(INDEX('Price History'!R:R,MATCH(9.99E+307,'Price History'!$A:$A))-'Price History'!R3)*(ROW()-3)/(MATCH(9.99E+307,'Returns (Calc)'!$A:$A)-3),"")</f>
        <v>5.71433962264151</v>
      </c>
      <c r="AM143" s="145" t="n">
        <f aca="false">IFERROR('Price History'!S3+(INDEX('Price History'!S:S,MATCH(9.99E+307,'Price History'!$A:$A))-'Price History'!S3)*(ROW()-3)/(MATCH(9.99E+307,'Returns (Calc)'!$A:$A)-3),"")</f>
        <v>6.99534591194968</v>
      </c>
      <c r="AN143" s="145" t="n">
        <f aca="false">IFERROR('Price History'!T3+(INDEX('Price History'!T:T,MATCH(9.99E+307,'Price History'!$A:$A))-'Price History'!T3)*(ROW()-3)/(MATCH(9.99E+307,'Returns (Calc)'!$A:$A)-3),"")</f>
        <v>3.21566037735849</v>
      </c>
      <c r="AO143" s="146" t="n">
        <f aca="false">IFERROR('Price History'!V3+(INDEX('Price History'!V:V,MATCH(9.99E+307,'Price History'!$A:$A))-'Price History'!V3)*(ROW()-3)/(MATCH(9.99E+307,'Returns (Calc)'!$A:$A)-3),"")</f>
        <v>0</v>
      </c>
    </row>
    <row r="144" customFormat="false" ht="15" hidden="false" customHeight="true" outlineLevel="0" collapsed="false">
      <c r="A144" s="142" t="n">
        <f aca="false">IF('Price History'!A145="","",'Price History'!A145)</f>
        <v>46178</v>
      </c>
      <c r="B144" s="143" t="n">
        <f aca="false">IFERROR(IF(OR(NOT(ISNUMBER('Price History'!B145)),NOT(ISNUMBER('Price History'!B144)),'Price History'!B144=0),"",'Price History'!B145/'Price History'!B144-1),"")</f>
        <v>-0.0299756953821225</v>
      </c>
      <c r="C144" s="143" t="n">
        <f aca="false">IFERROR(IF(OR(NOT(ISNUMBER('Price History'!C145)),NOT(ISNUMBER('Price History'!C144)),'Price History'!C144=0),"",'Price History'!C145/'Price History'!C144-1),"")</f>
        <v>-0.032608014046529</v>
      </c>
      <c r="D144" s="143" t="n">
        <f aca="false">IFERROR(IF(OR(NOT(ISNUMBER('Price History'!D145)),NOT(ISNUMBER('Price History'!D144)),'Price History'!D144=0),"",'Price History'!D145/'Price History'!D144-1),"")</f>
        <v>0.0179675664936547</v>
      </c>
      <c r="E144" s="143" t="n">
        <f aca="false">IFERROR(IF(OR(NOT(ISNUMBER('Price History'!E145)),NOT(ISNUMBER('Price History'!E144)),'Price History'!E144=0),"",'Price History'!E145/'Price History'!E144-1),"")</f>
        <v>-0.136619876473891</v>
      </c>
      <c r="F144" s="143" t="n">
        <f aca="false">IFERROR(IF(OR(NOT(ISNUMBER('Price History'!F145)),NOT(ISNUMBER('Price History'!F144)),'Price History'!F144=0),"",'Price History'!F145/'Price History'!F144-1),"")</f>
        <v>-0.00293574903539673</v>
      </c>
      <c r="G144" s="143" t="n">
        <f aca="false">IFERROR(IF(OR(NOT(ISNUMBER('Price History'!G145)),NOT(ISNUMBER('Price History'!G144)),'Price History'!G144=0),"",'Price History'!G145/'Price History'!G144-1),"")</f>
        <v>-0.0820246238030097</v>
      </c>
      <c r="H144" s="143" t="n">
        <f aca="false">IFERROR(IF(OR(NOT(ISNUMBER('Price History'!H145)),NOT(ISNUMBER('Price History'!H144)),'Price History'!H144=0),"",'Price History'!H145/'Price History'!H144-1),"")</f>
        <v>0.0028198570398057</v>
      </c>
      <c r="I144" s="143" t="n">
        <f aca="false">IFERROR(IF(OR(NOT(ISNUMBER('Price History'!I145)),NOT(ISNUMBER('Price History'!I144)),'Price History'!I144=0),"",'Price History'!I145/'Price History'!I144-1),"")</f>
        <v>0.00390726751758264</v>
      </c>
      <c r="J144" s="143" t="n">
        <f aca="false">IFERROR(IF(OR(NOT(ISNUMBER('Price History'!J145)),NOT(ISNUMBER('Price History'!J144)),'Price History'!J144=0),"",'Price History'!J145/'Price History'!J144-1),"")</f>
        <v>-0.110181799454087</v>
      </c>
      <c r="K144" s="143" t="n">
        <f aca="false">IFERROR(IF(OR(NOT(ISNUMBER('Price History'!K145)),NOT(ISNUMBER('Price History'!K144)),'Price History'!K144=0),"",'Price History'!K145/'Price History'!K144-1),"")</f>
        <v>-0.0274850469951581</v>
      </c>
      <c r="L144" s="143" t="n">
        <f aca="false">IFERROR(IF(OR(NOT(ISNUMBER('Price History'!L145)),NOT(ISNUMBER('Price History'!L144)),'Price History'!L144=0),"",'Price History'!L145/'Price History'!L144-1),"")</f>
        <v>0.0075012384120019</v>
      </c>
      <c r="M144" s="143" t="n">
        <f aca="false">IFERROR(IF(OR(NOT(ISNUMBER('Price History'!M145)),NOT(ISNUMBER('Price History'!M144)),'Price History'!M144=0),"",'Price History'!M145/'Price History'!M144-1),"")</f>
        <v>-0.134214897150888</v>
      </c>
      <c r="N144" s="143" t="n">
        <f aca="false">IFERROR(IF(OR(NOT(ISNUMBER('Price History'!N145)),NOT(ISNUMBER('Price History'!N144)),'Price History'!N144=0),"",'Price History'!N145/'Price History'!N144-1),"")</f>
        <v>-0.00625195373554233</v>
      </c>
      <c r="O144" s="143" t="n">
        <f aca="false">IFERROR(IF(OR(NOT(ISNUMBER('Price History'!O145)),NOT(ISNUMBER('Price History'!O144)),'Price History'!O144=0),"",'Price History'!O145/'Price History'!O144-1),"")</f>
        <v>-0.041902604756512</v>
      </c>
      <c r="P144" s="143" t="n">
        <f aca="false">IFERROR(IF(OR(NOT(ISNUMBER('Price History'!P145)),NOT(ISNUMBER('Price History'!P144)),'Price History'!P144=0),"",'Price History'!P145/'Price History'!P144-1),"")</f>
        <v>-0.00785378038236151</v>
      </c>
      <c r="Q144" s="143" t="n">
        <f aca="false">IFERROR(IF(OR(NOT(ISNUMBER('Price History'!Q145)),NOT(ISNUMBER('Price History'!Q144)),'Price History'!Q144=0),"",'Price History'!Q145/'Price History'!Q144-1),"")</f>
        <v>-0.00853415195702212</v>
      </c>
      <c r="R144" s="143" t="n">
        <f aca="false">IFERROR(IF(OR(NOT(ISNUMBER('Price History'!R145)),NOT(ISNUMBER('Price History'!R144)),'Price History'!R144=0),"",'Price History'!R145/'Price History'!R144-1),"")</f>
        <v>-0.00220376334972039</v>
      </c>
      <c r="S144" s="143" t="n">
        <f aca="false">IFERROR(IF(OR(NOT(ISNUMBER('Price History'!S145)),NOT(ISNUMBER('Price History'!S144)),'Price History'!S144=0),"",'Price History'!S145/'Price History'!S144-1),"")</f>
        <v>0.0220498783454985</v>
      </c>
      <c r="T144" s="143" t="n">
        <f aca="false">IFERROR(IF(OR(NOT(ISNUMBER('Price History'!T145)),NOT(ISNUMBER('Price History'!T144)),'Price History'!T144=0),"",'Price History'!T145/'Price History'!T144-1),"")</f>
        <v>0.0257707129094413</v>
      </c>
      <c r="U144" s="143" t="str">
        <f aca="false">IFERROR(IF(OR(NOT(ISNUMBER('Price History'!U145)),NOT(ISNUMBER('Price History'!U144)),'Price History'!U144=0),"",'Price History'!U145/'Price History'!U144-1),"")</f>
        <v/>
      </c>
      <c r="V144" s="144" t="n">
        <f aca="false">IFERROR(IF(OR(NOT(ISNUMBER('Price History'!V145)),NOT(ISNUMBER('Price History'!V144)),'Price History'!V144=0),"",'Price History'!V145/'Price History'!V144-1),"")</f>
        <v>0.0601213458356316</v>
      </c>
      <c r="W144" s="145" t="str">
        <f aca="false">IFERROR('Price History'!B3+(INDEX('Price History'!B:B,MATCH(9.99E+307,'Price History'!$A:$A))-'Price History'!B3)*(ROW()-3)/(MATCH(9.99E+307,'Returns (Calc)'!$A:$A)-3),"")</f>
        <v/>
      </c>
      <c r="X144" s="145" t="n">
        <f aca="false">IFERROR('Price History'!C3+(INDEX('Price History'!C:C,MATCH(9.99E+307,'Price History'!$A:$A))-'Price History'!C3)*(ROW()-3)/(MATCH(9.99E+307,'Returns (Calc)'!$A:$A)-3),"")</f>
        <v>5.22792452830188</v>
      </c>
      <c r="Y144" s="145" t="n">
        <f aca="false">IFERROR('Price History'!D3+(INDEX('Price History'!D:D,MATCH(9.99E+307,'Price History'!$A:$A))-'Price History'!D3)*(ROW()-3)/(MATCH(9.99E+307,'Returns (Calc)'!$A:$A)-3),"")</f>
        <v>65.8879245283018</v>
      </c>
      <c r="Z144" s="145" t="n">
        <f aca="false">IFERROR('Price History'!E3+(INDEX('Price History'!E:E,MATCH(9.99E+307,'Price History'!$A:$A))-'Price History'!E3)*(ROW()-3)/(MATCH(9.99E+307,'Returns (Calc)'!$A:$A)-3),"")</f>
        <v>9.28301886792453</v>
      </c>
      <c r="AA144" s="145" t="n">
        <f aca="false">IFERROR('Price History'!F3+(INDEX('Price History'!F:F,MATCH(9.99E+307,'Price History'!$A:$A))-'Price History'!F3)*(ROW()-3)/(MATCH(9.99E+307,'Returns (Calc)'!$A:$A)-3),"")</f>
        <v>8.52566037735849</v>
      </c>
      <c r="AB144" s="145" t="n">
        <f aca="false">IFERROR('Price History'!G3+(INDEX('Price History'!G:G,MATCH(9.99E+307,'Price History'!$A:$A))-'Price History'!G3)*(ROW()-3)/(MATCH(9.99E+307,'Returns (Calc)'!$A:$A)-3),"")</f>
        <v>4.6822641509434</v>
      </c>
      <c r="AC144" s="145" t="n">
        <f aca="false">IFERROR('Price History'!H3+(INDEX('Price History'!H:H,MATCH(9.99E+307,'Price History'!$A:$A))-'Price History'!H3)*(ROW()-3)/(MATCH(9.99E+307,'Returns (Calc)'!$A:$A)-3),"")</f>
        <v>11.3875471698113</v>
      </c>
      <c r="AD144" s="145" t="n">
        <f aca="false">IFERROR('Price History'!I3+(INDEX('Price History'!I:I,MATCH(9.99E+307,'Price History'!$A:$A))-'Price History'!I3)*(ROW()-3)/(MATCH(9.99E+307,'Returns (Calc)'!$A:$A)-3),"")</f>
        <v>5.02075471698113</v>
      </c>
      <c r="AE144" s="145" t="n">
        <f aca="false">IFERROR('Price History'!J3+(INDEX('Price History'!J:J,MATCH(9.99E+307,'Price History'!$A:$A))-'Price History'!J3)*(ROW()-3)/(MATCH(9.99E+307,'Returns (Calc)'!$A:$A)-3),"")</f>
        <v>7.82377358490566</v>
      </c>
      <c r="AF144" s="145" t="n">
        <f aca="false">IFERROR('Price History'!K3+(INDEX('Price History'!K:K,MATCH(9.99E+307,'Price History'!$A:$A))-'Price History'!K3)*(ROW()-3)/(MATCH(9.99E+307,'Returns (Calc)'!$A:$A)-3),"")</f>
        <v>4.95509433962264</v>
      </c>
      <c r="AG144" s="145" t="n">
        <f aca="false">IFERROR('Price History'!L3+(INDEX('Price History'!L:L,MATCH(9.99E+307,'Price History'!$A:$A))-'Price History'!L3)*(ROW()-3)/(MATCH(9.99E+307,'Returns (Calc)'!$A:$A)-3),"")</f>
        <v>12.6611320754717</v>
      </c>
      <c r="AH144" s="145" t="n">
        <f aca="false">IFERROR('Price History'!M3+(INDEX('Price History'!M:M,MATCH(9.99E+307,'Price History'!$A:$A))-'Price History'!M3)*(ROW()-3)/(MATCH(9.99E+307,'Returns (Calc)'!$A:$A)-3),"")</f>
        <v>1.73547169811321</v>
      </c>
      <c r="AI144" s="145" t="n">
        <f aca="false">IFERROR('Price History'!N3+(INDEX('Price History'!N:N,MATCH(9.99E+307,'Price History'!$A:$A))-'Price History'!N3)*(ROW()-3)/(MATCH(9.99E+307,'Returns (Calc)'!$A:$A)-3),"")</f>
        <v>2.46792452830189</v>
      </c>
      <c r="AJ144" s="145" t="n">
        <f aca="false">IFERROR('Price History'!O3+(INDEX('Price History'!O:O,MATCH(9.99E+307,'Price History'!$A:$A))-'Price History'!O3)*(ROW()-3)/(MATCH(9.99E+307,'Returns (Calc)'!$A:$A)-3),"")</f>
        <v>6.52415094339623</v>
      </c>
      <c r="AK144" s="145" t="n">
        <f aca="false">IFERROR('Price History'!Q3+(INDEX('Price History'!Q:Q,MATCH(9.99E+307,'Price History'!$A:$A))-'Price History'!Q3)*(ROW()-3)/(MATCH(9.99E+307,'Returns (Calc)'!$A:$A)-3),"")</f>
        <v>26.6750943396226</v>
      </c>
      <c r="AL144" s="145" t="n">
        <f aca="false">IFERROR('Price History'!R3+(INDEX('Price History'!R:R,MATCH(9.99E+307,'Price History'!$A:$A))-'Price History'!R3)*(ROW()-3)/(MATCH(9.99E+307,'Returns (Calc)'!$A:$A)-3),"")</f>
        <v>5.41358490566038</v>
      </c>
      <c r="AM144" s="145" t="n">
        <f aca="false">IFERROR('Price History'!S3+(INDEX('Price History'!S:S,MATCH(9.99E+307,'Price History'!$A:$A))-'Price History'!S3)*(ROW()-3)/(MATCH(9.99E+307,'Returns (Calc)'!$A:$A)-3),"")</f>
        <v>6.62716981132076</v>
      </c>
      <c r="AN144" s="145" t="n">
        <f aca="false">IFERROR('Price History'!T3+(INDEX('Price History'!T:T,MATCH(9.99E+307,'Price History'!$A:$A))-'Price History'!T3)*(ROW()-3)/(MATCH(9.99E+307,'Returns (Calc)'!$A:$A)-3),"")</f>
        <v>3.04641509433962</v>
      </c>
      <c r="AO144" s="146" t="n">
        <f aca="false">IFERROR('Price History'!V3+(INDEX('Price History'!V:V,MATCH(9.99E+307,'Price History'!$A:$A))-'Price History'!V3)*(ROW()-3)/(MATCH(9.99E+307,'Returns (Calc)'!$A:$A)-3),"")</f>
        <v>0</v>
      </c>
    </row>
    <row r="145" customFormat="false" ht="15" hidden="false" customHeight="true" outlineLevel="0" collapsed="false">
      <c r="A145" s="142" t="n">
        <f aca="false">IF('Price History'!A146="","",'Price History'!A146)</f>
        <v>46185</v>
      </c>
      <c r="B145" s="143" t="n">
        <f aca="false">IFERROR(IF(OR(NOT(ISNUMBER('Price History'!B146)),NOT(ISNUMBER('Price History'!B145)),'Price History'!B145=0),"",'Price History'!B146/'Price History'!B145-1),"")</f>
        <v>-0.188593700286351</v>
      </c>
      <c r="C145" s="143" t="n">
        <f aca="false">IFERROR(IF(OR(NOT(ISNUMBER('Price History'!C146)),NOT(ISNUMBER('Price History'!C145)),'Price History'!C145=0),"",'Price History'!C146/'Price History'!C145-1),"")</f>
        <v>0.0581448110455693</v>
      </c>
      <c r="D145" s="143" t="n">
        <f aca="false">IFERROR(IF(OR(NOT(ISNUMBER('Price History'!D146)),NOT(ISNUMBER('Price History'!D145)),'Price History'!D145=0),"",'Price History'!D146/'Price History'!D145-1),"")</f>
        <v>0.135104475427233</v>
      </c>
      <c r="E145" s="143" t="n">
        <f aca="false">IFERROR(IF(OR(NOT(ISNUMBER('Price History'!E146)),NOT(ISNUMBER('Price History'!E145)),'Price History'!E145=0),"",'Price History'!E146/'Price History'!E145-1),"")</f>
        <v>-0.00949482337027219</v>
      </c>
      <c r="F145" s="143" t="n">
        <f aca="false">IFERROR(IF(OR(NOT(ISNUMBER('Price History'!F146)),NOT(ISNUMBER('Price History'!F145)),'Price History'!F145=0),"",'Price History'!F146/'Price History'!F145-1),"")</f>
        <v>0.0429040127870783</v>
      </c>
      <c r="G145" s="143" t="n">
        <f aca="false">IFERROR(IF(OR(NOT(ISNUMBER('Price History'!G146)),NOT(ISNUMBER('Price History'!G145)),'Price History'!G145=0),"",'Price History'!G146/'Price History'!G145-1),"")</f>
        <v>0.0175250357653791</v>
      </c>
      <c r="H145" s="143" t="n">
        <f aca="false">IFERROR(IF(OR(NOT(ISNUMBER('Price History'!H146)),NOT(ISNUMBER('Price History'!H145)),'Price History'!H145=0),"",'Price History'!H146/'Price History'!H145-1),"")</f>
        <v>0.0221030604237511</v>
      </c>
      <c r="I145" s="143" t="n">
        <f aca="false">IFERROR(IF(OR(NOT(ISNUMBER('Price History'!I146)),NOT(ISNUMBER('Price History'!I145)),'Price History'!I145=0),"",'Price History'!I146/'Price History'!I145-1),"")</f>
        <v>0.319408406850026</v>
      </c>
      <c r="J145" s="143" t="n">
        <f aca="false">IFERROR(IF(OR(NOT(ISNUMBER('Price History'!J146)),NOT(ISNUMBER('Price History'!J145)),'Price History'!J145=0),"",'Price History'!J146/'Price History'!J145-1),"")</f>
        <v>0.136106866694448</v>
      </c>
      <c r="K145" s="143" t="n">
        <f aca="false">IFERROR(IF(OR(NOT(ISNUMBER('Price History'!K146)),NOT(ISNUMBER('Price History'!K145)),'Price History'!K145=0),"",'Price History'!K146/'Price History'!K145-1),"")</f>
        <v>0.000439302972616851</v>
      </c>
      <c r="L145" s="143" t="n">
        <f aca="false">IFERROR(IF(OR(NOT(ISNUMBER('Price History'!L146)),NOT(ISNUMBER('Price History'!L145)),'Price History'!L145=0),"",'Price History'!L146/'Price History'!L145-1),"")</f>
        <v>0.0290791599353795</v>
      </c>
      <c r="M145" s="143" t="n">
        <f aca="false">IFERROR(IF(OR(NOT(ISNUMBER('Price History'!M146)),NOT(ISNUMBER('Price History'!M145)),'Price History'!M145=0),"",'Price History'!M146/'Price History'!M145-1),"")</f>
        <v>-0.0556334390909762</v>
      </c>
      <c r="N145" s="143" t="n">
        <f aca="false">IFERROR(IF(OR(NOT(ISNUMBER('Price History'!N146)),NOT(ISNUMBER('Price History'!N145)),'Price History'!N145=0),"",'Price History'!N146/'Price History'!N145-1),"")</f>
        <v>0.0160427807486629</v>
      </c>
      <c r="O145" s="143" t="n">
        <f aca="false">IFERROR(IF(OR(NOT(ISNUMBER('Price History'!O146)),NOT(ISNUMBER('Price History'!O145)),'Price History'!O145=0),"",'Price History'!O146/'Price History'!O145-1),"")</f>
        <v>0.0568766513697678</v>
      </c>
      <c r="P145" s="143" t="n">
        <f aca="false">IFERROR(IF(OR(NOT(ISNUMBER('Price History'!P146)),NOT(ISNUMBER('Price History'!P145)),'Price History'!P145=0),"",'Price History'!P146/'Price History'!P145-1),"")</f>
        <v>0.0235057735602413</v>
      </c>
      <c r="Q145" s="143" t="n">
        <f aca="false">IFERROR(IF(OR(NOT(ISNUMBER('Price History'!Q146)),NOT(ISNUMBER('Price History'!Q145)),'Price History'!Q145=0),"",'Price History'!Q146/'Price History'!Q145-1),"")</f>
        <v>-0.00365359011672917</v>
      </c>
      <c r="R145" s="143" t="n">
        <f aca="false">IFERROR(IF(OR(NOT(ISNUMBER('Price History'!R146)),NOT(ISNUMBER('Price History'!R145)),'Price History'!R145=0),"",'Price History'!R146/'Price History'!R145-1),"")</f>
        <v>0.0127420998980632</v>
      </c>
      <c r="S145" s="143" t="n">
        <f aca="false">IFERROR(IF(OR(NOT(ISNUMBER('Price History'!S146)),NOT(ISNUMBER('Price History'!S145)),'Price History'!S145=0),"",'Price History'!S146/'Price History'!S145-1),"")</f>
        <v>0.0698556762386551</v>
      </c>
      <c r="T145" s="143" t="n">
        <f aca="false">IFERROR(IF(OR(NOT(ISNUMBER('Price History'!T146)),NOT(ISNUMBER('Price History'!T145)),'Price History'!T145=0),"",'Price History'!T146/'Price History'!T145-1),"")</f>
        <v>0.0241840807701337</v>
      </c>
      <c r="U145" s="143" t="str">
        <f aca="false">IFERROR(IF(OR(NOT(ISNUMBER('Price History'!U146)),NOT(ISNUMBER('Price History'!U145)),'Price History'!U145=0),"",'Price History'!U146/'Price History'!U145-1),"")</f>
        <v/>
      </c>
      <c r="V145" s="144" t="n">
        <f aca="false">IFERROR(IF(OR(NOT(ISNUMBER('Price History'!V146)),NOT(ISNUMBER('Price History'!V145)),'Price History'!V145=0),"",'Price History'!V146/'Price History'!V145-1),"")</f>
        <v>-0.0281569443594295</v>
      </c>
      <c r="W145" s="145" t="str">
        <f aca="false">IFERROR('Price History'!B3+(INDEX('Price History'!B:B,MATCH(9.99E+307,'Price History'!$A:$A))-'Price History'!B3)*(ROW()-3)/(MATCH(9.99E+307,'Returns (Calc)'!$A:$A)-3),"")</f>
        <v/>
      </c>
      <c r="X145" s="145" t="n">
        <f aca="false">IFERROR('Price History'!C3+(INDEX('Price History'!C:C,MATCH(9.99E+307,'Price History'!$A:$A))-'Price History'!C3)*(ROW()-3)/(MATCH(9.99E+307,'Returns (Calc)'!$A:$A)-3),"")</f>
        <v>4.93748427672956</v>
      </c>
      <c r="Y145" s="145" t="n">
        <f aca="false">IFERROR('Price History'!D3+(INDEX('Price History'!D:D,MATCH(9.99E+307,'Price History'!$A:$A))-'Price History'!D3)*(ROW()-3)/(MATCH(9.99E+307,'Returns (Calc)'!$A:$A)-3),"")</f>
        <v>62.2274842767296</v>
      </c>
      <c r="Z145" s="145" t="n">
        <f aca="false">IFERROR('Price History'!E3+(INDEX('Price History'!E:E,MATCH(9.99E+307,'Price History'!$A:$A))-'Price History'!E3)*(ROW()-3)/(MATCH(9.99E+307,'Returns (Calc)'!$A:$A)-3),"")</f>
        <v>8.76729559748428</v>
      </c>
      <c r="AA145" s="145" t="n">
        <f aca="false">IFERROR('Price History'!F3+(INDEX('Price History'!F:F,MATCH(9.99E+307,'Price History'!$A:$A))-'Price History'!F3)*(ROW()-3)/(MATCH(9.99E+307,'Returns (Calc)'!$A:$A)-3),"")</f>
        <v>8.05201257861636</v>
      </c>
      <c r="AB145" s="145" t="n">
        <f aca="false">IFERROR('Price History'!G3+(INDEX('Price History'!G:G,MATCH(9.99E+307,'Price History'!$A:$A))-'Price History'!G3)*(ROW()-3)/(MATCH(9.99E+307,'Returns (Calc)'!$A:$A)-3),"")</f>
        <v>4.42213836477988</v>
      </c>
      <c r="AC145" s="145" t="n">
        <f aca="false">IFERROR('Price History'!H3+(INDEX('Price History'!H:H,MATCH(9.99E+307,'Price History'!$A:$A))-'Price History'!H3)*(ROW()-3)/(MATCH(9.99E+307,'Returns (Calc)'!$A:$A)-3),"")</f>
        <v>10.7549056603774</v>
      </c>
      <c r="AD145" s="145" t="n">
        <f aca="false">IFERROR('Price History'!I3+(INDEX('Price History'!I:I,MATCH(9.99E+307,'Price History'!$A:$A))-'Price History'!I3)*(ROW()-3)/(MATCH(9.99E+307,'Returns (Calc)'!$A:$A)-3),"")</f>
        <v>4.74182389937107</v>
      </c>
      <c r="AE145" s="145" t="n">
        <f aca="false">IFERROR('Price History'!J3+(INDEX('Price History'!J:J,MATCH(9.99E+307,'Price History'!$A:$A))-'Price History'!J3)*(ROW()-3)/(MATCH(9.99E+307,'Returns (Calc)'!$A:$A)-3),"")</f>
        <v>7.38911949685534</v>
      </c>
      <c r="AF145" s="145" t="n">
        <f aca="false">IFERROR('Price History'!K3+(INDEX('Price History'!K:K,MATCH(9.99E+307,'Price History'!$A:$A))-'Price History'!K3)*(ROW()-3)/(MATCH(9.99E+307,'Returns (Calc)'!$A:$A)-3),"")</f>
        <v>4.67981132075472</v>
      </c>
      <c r="AG145" s="145" t="n">
        <f aca="false">IFERROR('Price History'!L3+(INDEX('Price History'!L:L,MATCH(9.99E+307,'Price History'!$A:$A))-'Price History'!L3)*(ROW()-3)/(MATCH(9.99E+307,'Returns (Calc)'!$A:$A)-3),"")</f>
        <v>11.9577358490566</v>
      </c>
      <c r="AH145" s="145" t="n">
        <f aca="false">IFERROR('Price History'!M3+(INDEX('Price History'!M:M,MATCH(9.99E+307,'Price History'!$A:$A))-'Price History'!M3)*(ROW()-3)/(MATCH(9.99E+307,'Returns (Calc)'!$A:$A)-3),"")</f>
        <v>1.63905660377358</v>
      </c>
      <c r="AI145" s="145" t="n">
        <f aca="false">IFERROR('Price History'!N3+(INDEX('Price History'!N:N,MATCH(9.99E+307,'Price History'!$A:$A))-'Price History'!N3)*(ROW()-3)/(MATCH(9.99E+307,'Returns (Calc)'!$A:$A)-3),"")</f>
        <v>2.33081761006289</v>
      </c>
      <c r="AJ145" s="145" t="n">
        <f aca="false">IFERROR('Price History'!O3+(INDEX('Price History'!O:O,MATCH(9.99E+307,'Price History'!$A:$A))-'Price History'!O3)*(ROW()-3)/(MATCH(9.99E+307,'Returns (Calc)'!$A:$A)-3),"")</f>
        <v>6.16169811320755</v>
      </c>
      <c r="AK145" s="145" t="n">
        <f aca="false">IFERROR('Price History'!Q3+(INDEX('Price History'!Q:Q,MATCH(9.99E+307,'Price History'!$A:$A))-'Price History'!Q3)*(ROW()-3)/(MATCH(9.99E+307,'Returns (Calc)'!$A:$A)-3),"")</f>
        <v>25.1931446540881</v>
      </c>
      <c r="AL145" s="145" t="n">
        <f aca="false">IFERROR('Price History'!R3+(INDEX('Price History'!R:R,MATCH(9.99E+307,'Price History'!$A:$A))-'Price History'!R3)*(ROW()-3)/(MATCH(9.99E+307,'Returns (Calc)'!$A:$A)-3),"")</f>
        <v>5.11283018867925</v>
      </c>
      <c r="AM145" s="145" t="n">
        <f aca="false">IFERROR('Price History'!S3+(INDEX('Price History'!S:S,MATCH(9.99E+307,'Price History'!$A:$A))-'Price History'!S3)*(ROW()-3)/(MATCH(9.99E+307,'Returns (Calc)'!$A:$A)-3),"")</f>
        <v>6.25899371069182</v>
      </c>
      <c r="AN145" s="145" t="n">
        <f aca="false">IFERROR('Price History'!T3+(INDEX('Price History'!T:T,MATCH(9.99E+307,'Price History'!$A:$A))-'Price History'!T3)*(ROW()-3)/(MATCH(9.99E+307,'Returns (Calc)'!$A:$A)-3),"")</f>
        <v>2.87716981132076</v>
      </c>
      <c r="AO145" s="146" t="n">
        <f aca="false">IFERROR('Price History'!V3+(INDEX('Price History'!V:V,MATCH(9.99E+307,'Price History'!$A:$A))-'Price History'!V3)*(ROW()-3)/(MATCH(9.99E+307,'Returns (Calc)'!$A:$A)-3),"")</f>
        <v>0</v>
      </c>
    </row>
    <row r="146" customFormat="false" ht="15" hidden="false" customHeight="true" outlineLevel="0" collapsed="false">
      <c r="A146" s="142" t="n">
        <f aca="false">IF('Price History'!A147="","",'Price History'!A147)</f>
        <v>46192</v>
      </c>
      <c r="B146" s="143" t="n">
        <f aca="false">IFERROR(IF(OR(NOT(ISNUMBER('Price History'!B147)),NOT(ISNUMBER('Price History'!B146)),'Price History'!B146=0),"",'Price History'!B147/'Price History'!B146-1),"")</f>
        <v>-0.0434271149887266</v>
      </c>
      <c r="C146" s="143" t="n">
        <f aca="false">IFERROR(IF(OR(NOT(ISNUMBER('Price History'!C147)),NOT(ISNUMBER('Price History'!C146)),'Price History'!C146=0),"",'Price History'!C147/'Price History'!C146-1),"")</f>
        <v>0.0393898554275911</v>
      </c>
      <c r="D146" s="143" t="n">
        <f aca="false">IFERROR(IF(OR(NOT(ISNUMBER('Price History'!D147)),NOT(ISNUMBER('Price History'!D146)),'Price History'!D146=0),"",'Price History'!D147/'Price History'!D146-1),"")</f>
        <v>0.0354890013647549</v>
      </c>
      <c r="E146" s="143" t="n">
        <f aca="false">IFERROR(IF(OR(NOT(ISNUMBER('Price History'!E147)),NOT(ISNUMBER('Price History'!E146)),'Price History'!E146=0),"",'Price History'!E147/'Price History'!E146-1),"")</f>
        <v>0.0766341886178008</v>
      </c>
      <c r="F146" s="143" t="n">
        <f aca="false">IFERROR(IF(OR(NOT(ISNUMBER('Price History'!F147)),NOT(ISNUMBER('Price History'!F146)),'Price History'!F146=0),"",'Price History'!F147/'Price History'!F146-1),"")</f>
        <v>-0.0191175284342987</v>
      </c>
      <c r="G146" s="143" t="n">
        <f aca="false">IFERROR(IF(OR(NOT(ISNUMBER('Price History'!G147)),NOT(ISNUMBER('Price History'!G146)),'Price History'!G146=0),"",'Price History'!G147/'Price History'!G146-1),"")</f>
        <v>0.00298769771529006</v>
      </c>
      <c r="H146" s="143" t="n">
        <f aca="false">IFERROR(IF(OR(NOT(ISNUMBER('Price History'!H147)),NOT(ISNUMBER('Price History'!H146)),'Price History'!H146=0),"",'Price History'!H147/'Price History'!H146-1),"")</f>
        <v>-0.027191298784389</v>
      </c>
      <c r="I146" s="143" t="n">
        <f aca="false">IFERROR(IF(OR(NOT(ISNUMBER('Price History'!I147)),NOT(ISNUMBER('Price History'!I146)),'Price History'!I146=0),"",'Price History'!I147/'Price History'!I146-1),"")</f>
        <v>0.0197443461160274</v>
      </c>
      <c r="J146" s="143" t="n">
        <f aca="false">IFERROR(IF(OR(NOT(ISNUMBER('Price History'!J147)),NOT(ISNUMBER('Price History'!J146)),'Price History'!J146=0),"",'Price History'!J147/'Price History'!J146-1),"")</f>
        <v>0.155238114645528</v>
      </c>
      <c r="K146" s="143" t="n">
        <f aca="false">IFERROR(IF(OR(NOT(ISNUMBER('Price History'!K147)),NOT(ISNUMBER('Price History'!K146)),'Price History'!K146=0),"",'Price History'!K147/'Price History'!K146-1),"")</f>
        <v>0.0267857142857142</v>
      </c>
      <c r="L146" s="143" t="n">
        <f aca="false">IFERROR(IF(OR(NOT(ISNUMBER('Price History'!L147)),NOT(ISNUMBER('Price History'!L146)),'Price History'!L146=0),"",'Price History'!L147/'Price History'!L146-1),"")</f>
        <v>-0.0483243464609924</v>
      </c>
      <c r="M146" s="143" t="n">
        <f aca="false">IFERROR(IF(OR(NOT(ISNUMBER('Price History'!M147)),NOT(ISNUMBER('Price History'!M146)),'Price History'!M146=0),"",'Price History'!M147/'Price History'!M146-1),"")</f>
        <v>0.00375029299163998</v>
      </c>
      <c r="N146" s="143" t="n">
        <f aca="false">IFERROR(IF(OR(NOT(ISNUMBER('Price History'!N147)),NOT(ISNUMBER('Price History'!N146)),'Price History'!N146=0),"",'Price History'!N147/'Price History'!N146-1),"")</f>
        <v>-0.0291021671826625</v>
      </c>
      <c r="O146" s="143" t="n">
        <f aca="false">IFERROR(IF(OR(NOT(ISNUMBER('Price History'!O147)),NOT(ISNUMBER('Price History'!O146)),'Price History'!O146=0),"",'Price History'!O147/'Price History'!O146-1),"")</f>
        <v>0.0486184210526315</v>
      </c>
      <c r="P146" s="143" t="n">
        <f aca="false">IFERROR(IF(OR(NOT(ISNUMBER('Price History'!P147)),NOT(ISNUMBER('Price History'!P146)),'Price History'!P146=0),"",'Price History'!P147/'Price History'!P146-1),"")</f>
        <v>0.0900662251655628</v>
      </c>
      <c r="Q146" s="143" t="n">
        <f aca="false">IFERROR(IF(OR(NOT(ISNUMBER('Price History'!Q147)),NOT(ISNUMBER('Price History'!Q146)),'Price History'!Q146=0),"",'Price History'!Q147/'Price History'!Q146-1),"")</f>
        <v>0.0150408651605083</v>
      </c>
      <c r="R146" s="143" t="n">
        <f aca="false">IFERROR(IF(OR(NOT(ISNUMBER('Price History'!R147)),NOT(ISNUMBER('Price History'!R146)),'Price History'!R146=0),"",'Price History'!R147/'Price History'!R146-1),"")</f>
        <v>0.00268411340379138</v>
      </c>
      <c r="S146" s="143" t="n">
        <f aca="false">IFERROR(IF(OR(NOT(ISNUMBER('Price History'!S147)),NOT(ISNUMBER('Price History'!S146)),'Price History'!S146=0),"",'Price History'!S147/'Price History'!S146-1),"")</f>
        <v>-0.00229469438842922</v>
      </c>
      <c r="T146" s="143" t="n">
        <f aca="false">IFERROR(IF(OR(NOT(ISNUMBER('Price History'!T147)),NOT(ISNUMBER('Price History'!T146)),'Price History'!T146=0),"",'Price History'!T147/'Price History'!T146-1),"")</f>
        <v>-0.0256762952773957</v>
      </c>
      <c r="U146" s="143" t="str">
        <f aca="false">IFERROR(IF(OR(NOT(ISNUMBER('Price History'!U147)),NOT(ISNUMBER('Price History'!U146)),'Price History'!U146=0),"",'Price History'!U147/'Price History'!U146-1),"")</f>
        <v/>
      </c>
      <c r="V146" s="144" t="n">
        <f aca="false">IFERROR(IF(OR(NOT(ISNUMBER('Price History'!V147)),NOT(ISNUMBER('Price History'!V146)),'Price History'!V146=0),"",'Price History'!V147/'Price History'!V146-1),"")</f>
        <v>0.0239654846633495</v>
      </c>
      <c r="W146" s="145" t="str">
        <f aca="false">IFERROR('Price History'!B3+(INDEX('Price History'!B:B,MATCH(9.99E+307,'Price History'!$A:$A))-'Price History'!B3)*(ROW()-3)/(MATCH(9.99E+307,'Returns (Calc)'!$A:$A)-3),"")</f>
        <v/>
      </c>
      <c r="X146" s="145" t="n">
        <f aca="false">IFERROR('Price History'!C3+(INDEX('Price History'!C:C,MATCH(9.99E+307,'Price History'!$A:$A))-'Price History'!C3)*(ROW()-3)/(MATCH(9.99E+307,'Returns (Calc)'!$A:$A)-3),"")</f>
        <v>4.64704402515724</v>
      </c>
      <c r="Y146" s="145" t="n">
        <f aca="false">IFERROR('Price History'!D3+(INDEX('Price History'!D:D,MATCH(9.99E+307,'Price History'!$A:$A))-'Price History'!D3)*(ROW()-3)/(MATCH(9.99E+307,'Returns (Calc)'!$A:$A)-3),"")</f>
        <v>58.5670440251573</v>
      </c>
      <c r="Z146" s="145" t="n">
        <f aca="false">IFERROR('Price History'!E3+(INDEX('Price History'!E:E,MATCH(9.99E+307,'Price History'!$A:$A))-'Price History'!E3)*(ROW()-3)/(MATCH(9.99E+307,'Returns (Calc)'!$A:$A)-3),"")</f>
        <v>8.25157232704403</v>
      </c>
      <c r="AA146" s="145" t="n">
        <f aca="false">IFERROR('Price History'!F3+(INDEX('Price History'!F:F,MATCH(9.99E+307,'Price History'!$A:$A))-'Price History'!F3)*(ROW()-3)/(MATCH(9.99E+307,'Returns (Calc)'!$A:$A)-3),"")</f>
        <v>7.57836477987422</v>
      </c>
      <c r="AB146" s="145" t="n">
        <f aca="false">IFERROR('Price History'!G3+(INDEX('Price History'!G:G,MATCH(9.99E+307,'Price History'!$A:$A))-'Price History'!G3)*(ROW()-3)/(MATCH(9.99E+307,'Returns (Calc)'!$A:$A)-3),"")</f>
        <v>4.16201257861636</v>
      </c>
      <c r="AC146" s="145" t="n">
        <f aca="false">IFERROR('Price History'!H3+(INDEX('Price History'!H:H,MATCH(9.99E+307,'Price History'!$A:$A))-'Price History'!H3)*(ROW()-3)/(MATCH(9.99E+307,'Returns (Calc)'!$A:$A)-3),"")</f>
        <v>10.1222641509434</v>
      </c>
      <c r="AD146" s="145" t="n">
        <f aca="false">IFERROR('Price History'!I3+(INDEX('Price History'!I:I,MATCH(9.99E+307,'Price History'!$A:$A))-'Price History'!I3)*(ROW()-3)/(MATCH(9.99E+307,'Returns (Calc)'!$A:$A)-3),"")</f>
        <v>4.46289308176101</v>
      </c>
      <c r="AE146" s="145" t="n">
        <f aca="false">IFERROR('Price History'!J3+(INDEX('Price History'!J:J,MATCH(9.99E+307,'Price History'!$A:$A))-'Price History'!J3)*(ROW()-3)/(MATCH(9.99E+307,'Returns (Calc)'!$A:$A)-3),"")</f>
        <v>6.95446540880504</v>
      </c>
      <c r="AF146" s="145" t="n">
        <f aca="false">IFERROR('Price History'!K3+(INDEX('Price History'!K:K,MATCH(9.99E+307,'Price History'!$A:$A))-'Price History'!K3)*(ROW()-3)/(MATCH(9.99E+307,'Returns (Calc)'!$A:$A)-3),"")</f>
        <v>4.40452830188679</v>
      </c>
      <c r="AG146" s="145" t="n">
        <f aca="false">IFERROR('Price History'!L3+(INDEX('Price History'!L:L,MATCH(9.99E+307,'Price History'!$A:$A))-'Price History'!L3)*(ROW()-3)/(MATCH(9.99E+307,'Returns (Calc)'!$A:$A)-3),"")</f>
        <v>11.2543396226415</v>
      </c>
      <c r="AH146" s="145" t="n">
        <f aca="false">IFERROR('Price History'!M3+(INDEX('Price History'!M:M,MATCH(9.99E+307,'Price History'!$A:$A))-'Price History'!M3)*(ROW()-3)/(MATCH(9.99E+307,'Returns (Calc)'!$A:$A)-3),"")</f>
        <v>1.54264150943396</v>
      </c>
      <c r="AI146" s="145" t="n">
        <f aca="false">IFERROR('Price History'!N3+(INDEX('Price History'!N:N,MATCH(9.99E+307,'Price History'!$A:$A))-'Price History'!N3)*(ROW()-3)/(MATCH(9.99E+307,'Returns (Calc)'!$A:$A)-3),"")</f>
        <v>2.1937106918239</v>
      </c>
      <c r="AJ146" s="145" t="n">
        <f aca="false">IFERROR('Price History'!O3+(INDEX('Price History'!O:O,MATCH(9.99E+307,'Price History'!$A:$A))-'Price History'!O3)*(ROW()-3)/(MATCH(9.99E+307,'Returns (Calc)'!$A:$A)-3),"")</f>
        <v>5.79924528301887</v>
      </c>
      <c r="AK146" s="145" t="n">
        <f aca="false">IFERROR('Price History'!Q3+(INDEX('Price History'!Q:Q,MATCH(9.99E+307,'Price History'!$A:$A))-'Price History'!Q3)*(ROW()-3)/(MATCH(9.99E+307,'Returns (Calc)'!$A:$A)-3),"")</f>
        <v>23.7111949685535</v>
      </c>
      <c r="AL146" s="145" t="n">
        <f aca="false">IFERROR('Price History'!R3+(INDEX('Price History'!R:R,MATCH(9.99E+307,'Price History'!$A:$A))-'Price History'!R3)*(ROW()-3)/(MATCH(9.99E+307,'Returns (Calc)'!$A:$A)-3),"")</f>
        <v>4.81207547169812</v>
      </c>
      <c r="AM146" s="145" t="n">
        <f aca="false">IFERROR('Price History'!S3+(INDEX('Price History'!S:S,MATCH(9.99E+307,'Price History'!$A:$A))-'Price History'!S3)*(ROW()-3)/(MATCH(9.99E+307,'Returns (Calc)'!$A:$A)-3),"")</f>
        <v>5.8908176100629</v>
      </c>
      <c r="AN146" s="145" t="n">
        <f aca="false">IFERROR('Price History'!T3+(INDEX('Price History'!T:T,MATCH(9.99E+307,'Price History'!$A:$A))-'Price History'!T3)*(ROW()-3)/(MATCH(9.99E+307,'Returns (Calc)'!$A:$A)-3),"")</f>
        <v>2.70792452830189</v>
      </c>
      <c r="AO146" s="146" t="n">
        <f aca="false">IFERROR('Price History'!V3+(INDEX('Price History'!V:V,MATCH(9.99E+307,'Price History'!$A:$A))-'Price History'!V3)*(ROW()-3)/(MATCH(9.99E+307,'Returns (Calc)'!$A:$A)-3),"")</f>
        <v>0</v>
      </c>
    </row>
    <row r="147" customFormat="false" ht="15" hidden="false" customHeight="true" outlineLevel="0" collapsed="false">
      <c r="A147" s="142" t="n">
        <f aca="false">IF('Price History'!A148="","",'Price History'!A148)</f>
        <v>46199</v>
      </c>
      <c r="B147" s="143" t="n">
        <f aca="false">IFERROR(IF(OR(NOT(ISNUMBER('Price History'!B148)),NOT(ISNUMBER('Price History'!B147)),'Price History'!B147=0),"",'Price History'!B148/'Price History'!B147-1),"")</f>
        <v>0.0387886862061897</v>
      </c>
      <c r="C147" s="143" t="n">
        <f aca="false">IFERROR(IF(OR(NOT(ISNUMBER('Price History'!C148)),NOT(ISNUMBER('Price History'!C147)),'Price History'!C147=0),"",'Price History'!C148/'Price History'!C147-1),"")</f>
        <v>-0.0711380915895562</v>
      </c>
      <c r="D147" s="143" t="n">
        <f aca="false">IFERROR(IF(OR(NOT(ISNUMBER('Price History'!D148)),NOT(ISNUMBER('Price History'!D147)),'Price History'!D147=0),"",'Price History'!D148/'Price History'!D147-1),"")</f>
        <v>-0.0699930987603714</v>
      </c>
      <c r="E147" s="143" t="n">
        <f aca="false">IFERROR(IF(OR(NOT(ISNUMBER('Price History'!E148)),NOT(ISNUMBER('Price History'!E147)),'Price History'!E147=0),"",'Price History'!E148/'Price History'!E147-1),"")</f>
        <v>-0.111208683985852</v>
      </c>
      <c r="F147" s="143" t="n">
        <f aca="false">IFERROR(IF(OR(NOT(ISNUMBER('Price History'!F148)),NOT(ISNUMBER('Price History'!F147)),'Price History'!F147=0),"",'Price History'!F148/'Price History'!F147-1),"")</f>
        <v>0.0240953947368421</v>
      </c>
      <c r="G147" s="143" t="n">
        <f aca="false">IFERROR(IF(OR(NOT(ISNUMBER('Price History'!G148)),NOT(ISNUMBER('Price History'!G147)),'Price History'!G147=0),"",'Price History'!G148/'Price History'!G147-1),"")</f>
        <v>0.0237135681327025</v>
      </c>
      <c r="H147" s="143" t="n">
        <f aca="false">IFERROR(IF(OR(NOT(ISNUMBER('Price History'!H148)),NOT(ISNUMBER('Price History'!H147)),'Price History'!H147=0),"",'Price History'!H148/'Price History'!H147-1),"")</f>
        <v>0.0317000986517593</v>
      </c>
      <c r="I147" s="143" t="n">
        <f aca="false">IFERROR(IF(OR(NOT(ISNUMBER('Price History'!I148)),NOT(ISNUMBER('Price History'!I147)),'Price History'!I147=0),"",'Price History'!I148/'Price History'!I147-1),"")</f>
        <v>-0.0420796852701816</v>
      </c>
      <c r="J147" s="143" t="n">
        <f aca="false">IFERROR(IF(OR(NOT(ISNUMBER('Price History'!J148)),NOT(ISNUMBER('Price History'!J147)),'Price History'!J147=0),"",'Price History'!J148/'Price History'!J147-1),"")</f>
        <v>-0.00146407719038277</v>
      </c>
      <c r="K147" s="143" t="n">
        <f aca="false">IFERROR(IF(OR(NOT(ISNUMBER('Price History'!K148)),NOT(ISNUMBER('Price History'!K147)),'Price History'!K147=0),"",'Price History'!K148/'Price History'!K147-1),"")</f>
        <v>-0.0861962461392254</v>
      </c>
      <c r="L147" s="143" t="n">
        <f aca="false">IFERROR(IF(OR(NOT(ISNUMBER('Price History'!L148)),NOT(ISNUMBER('Price History'!L147)),'Price History'!L147=0),"",'Price History'!L148/'Price History'!L147-1),"")</f>
        <v>-0.00401635229147246</v>
      </c>
      <c r="M147" s="143" t="n">
        <f aca="false">IFERROR(IF(OR(NOT(ISNUMBER('Price History'!M148)),NOT(ISNUMBER('Price History'!M147)),'Price History'!M147=0),"",'Price History'!M148/'Price History'!M147-1),"")</f>
        <v>-0.120962092317273</v>
      </c>
      <c r="N147" s="143" t="n">
        <f aca="false">IFERROR(IF(OR(NOT(ISNUMBER('Price History'!N148)),NOT(ISNUMBER('Price History'!N147)),'Price History'!N147=0),"",'Price History'!N148/'Price History'!N147-1),"")</f>
        <v>0.0153061224489797</v>
      </c>
      <c r="O147" s="143" t="n">
        <f aca="false">IFERROR(IF(OR(NOT(ISNUMBER('Price History'!O148)),NOT(ISNUMBER('Price History'!O147)),'Price History'!O147=0),"",'Price History'!O148/'Price History'!O147-1),"")</f>
        <v>-0.0341301210866428</v>
      </c>
      <c r="P147" s="143" t="n">
        <f aca="false">IFERROR(IF(OR(NOT(ISNUMBER('Price History'!P148)),NOT(ISNUMBER('Price History'!P147)),'Price History'!P147=0),"",'Price History'!P148/'Price History'!P147-1),"")</f>
        <v>-0.0644202395417463</v>
      </c>
      <c r="Q147" s="143" t="n">
        <f aca="false">IFERROR(IF(OR(NOT(ISNUMBER('Price History'!Q148)),NOT(ISNUMBER('Price History'!Q147)),'Price History'!Q147=0),"",'Price History'!Q148/'Price History'!Q147-1),"")</f>
        <v>0.0274928818540858</v>
      </c>
      <c r="R147" s="143" t="n">
        <f aca="false">IFERROR(IF(OR(NOT(ISNUMBER('Price History'!R148)),NOT(ISNUMBER('Price History'!R147)),'Price History'!R147=0),"",'Price History'!R148/'Price History'!R147-1),"")</f>
        <v>0.00736155261837035</v>
      </c>
      <c r="S147" s="143" t="n">
        <f aca="false">IFERROR(IF(OR(NOT(ISNUMBER('Price History'!S148)),NOT(ISNUMBER('Price History'!S147)),'Price History'!S147=0),"",'Price History'!S148/'Price History'!S147-1),"")</f>
        <v>0.0101756342347366</v>
      </c>
      <c r="T147" s="143" t="n">
        <f aca="false">IFERROR(IF(OR(NOT(ISNUMBER('Price History'!T148)),NOT(ISNUMBER('Price History'!T147)),'Price History'!T147=0),"",'Price History'!T148/'Price History'!T147-1),"")</f>
        <v>0.0395294117647058</v>
      </c>
      <c r="U147" s="143" t="str">
        <f aca="false">IFERROR(IF(OR(NOT(ISNUMBER('Price History'!U148)),NOT(ISNUMBER('Price History'!U147)),'Price History'!U147=0),"",'Price History'!U148/'Price History'!U147-1),"")</f>
        <v/>
      </c>
      <c r="V147" s="144" t="n">
        <f aca="false">IFERROR(IF(OR(NOT(ISNUMBER('Price History'!V148)),NOT(ISNUMBER('Price History'!V147)),'Price History'!V147=0),"",'Price History'!V148/'Price History'!V147-1),"")</f>
        <v>0.00959557127479616</v>
      </c>
      <c r="W147" s="145" t="str">
        <f aca="false">IFERROR('Price History'!B3+(INDEX('Price History'!B:B,MATCH(9.99E+307,'Price History'!$A:$A))-'Price History'!B3)*(ROW()-3)/(MATCH(9.99E+307,'Returns (Calc)'!$A:$A)-3),"")</f>
        <v/>
      </c>
      <c r="X147" s="145" t="n">
        <f aca="false">IFERROR('Price History'!C3+(INDEX('Price History'!C:C,MATCH(9.99E+307,'Price History'!$A:$A))-'Price History'!C3)*(ROW()-3)/(MATCH(9.99E+307,'Returns (Calc)'!$A:$A)-3),"")</f>
        <v>4.35660377358491</v>
      </c>
      <c r="Y147" s="145" t="n">
        <f aca="false">IFERROR('Price History'!D3+(INDEX('Price History'!D:D,MATCH(9.99E+307,'Price History'!$A:$A))-'Price History'!D3)*(ROW()-3)/(MATCH(9.99E+307,'Returns (Calc)'!$A:$A)-3),"")</f>
        <v>54.9066037735848</v>
      </c>
      <c r="Z147" s="145" t="n">
        <f aca="false">IFERROR('Price History'!E3+(INDEX('Price History'!E:E,MATCH(9.99E+307,'Price History'!$A:$A))-'Price History'!E3)*(ROW()-3)/(MATCH(9.99E+307,'Returns (Calc)'!$A:$A)-3),"")</f>
        <v>7.73584905660377</v>
      </c>
      <c r="AA147" s="145" t="n">
        <f aca="false">IFERROR('Price History'!F3+(INDEX('Price History'!F:F,MATCH(9.99E+307,'Price History'!$A:$A))-'Price History'!F3)*(ROW()-3)/(MATCH(9.99E+307,'Returns (Calc)'!$A:$A)-3),"")</f>
        <v>7.10471698113209</v>
      </c>
      <c r="AB147" s="145" t="n">
        <f aca="false">IFERROR('Price History'!G3+(INDEX('Price History'!G:G,MATCH(9.99E+307,'Price History'!$A:$A))-'Price History'!G3)*(ROW()-3)/(MATCH(9.99E+307,'Returns (Calc)'!$A:$A)-3),"")</f>
        <v>3.90188679245283</v>
      </c>
      <c r="AC147" s="145" t="n">
        <f aca="false">IFERROR('Price History'!H3+(INDEX('Price History'!H:H,MATCH(9.99E+307,'Price History'!$A:$A))-'Price History'!H3)*(ROW()-3)/(MATCH(9.99E+307,'Returns (Calc)'!$A:$A)-3),"")</f>
        <v>9.48962264150943</v>
      </c>
      <c r="AD147" s="145" t="n">
        <f aca="false">IFERROR('Price History'!I3+(INDEX('Price History'!I:I,MATCH(9.99E+307,'Price History'!$A:$A))-'Price History'!I3)*(ROW()-3)/(MATCH(9.99E+307,'Returns (Calc)'!$A:$A)-3),"")</f>
        <v>4.18396226415094</v>
      </c>
      <c r="AE147" s="145" t="n">
        <f aca="false">IFERROR('Price History'!J3+(INDEX('Price History'!J:J,MATCH(9.99E+307,'Price History'!$A:$A))-'Price History'!J3)*(ROW()-3)/(MATCH(9.99E+307,'Returns (Calc)'!$A:$A)-3),"")</f>
        <v>6.51981132075471</v>
      </c>
      <c r="AF147" s="145" t="n">
        <f aca="false">IFERROR('Price History'!K3+(INDEX('Price History'!K:K,MATCH(9.99E+307,'Price History'!$A:$A))-'Price History'!K3)*(ROW()-3)/(MATCH(9.99E+307,'Returns (Calc)'!$A:$A)-3),"")</f>
        <v>4.12924528301887</v>
      </c>
      <c r="AG147" s="145" t="n">
        <f aca="false">IFERROR('Price History'!L3+(INDEX('Price History'!L:L,MATCH(9.99E+307,'Price History'!$A:$A))-'Price History'!L3)*(ROW()-3)/(MATCH(9.99E+307,'Returns (Calc)'!$A:$A)-3),"")</f>
        <v>10.5509433962264</v>
      </c>
      <c r="AH147" s="145" t="n">
        <f aca="false">IFERROR('Price History'!M3+(INDEX('Price History'!M:M,MATCH(9.99E+307,'Price History'!$A:$A))-'Price History'!M3)*(ROW()-3)/(MATCH(9.99E+307,'Returns (Calc)'!$A:$A)-3),"")</f>
        <v>1.44622641509434</v>
      </c>
      <c r="AI147" s="145" t="n">
        <f aca="false">IFERROR('Price History'!N3+(INDEX('Price History'!N:N,MATCH(9.99E+307,'Price History'!$A:$A))-'Price History'!N3)*(ROW()-3)/(MATCH(9.99E+307,'Returns (Calc)'!$A:$A)-3),"")</f>
        <v>2.0566037735849</v>
      </c>
      <c r="AJ147" s="145" t="n">
        <f aca="false">IFERROR('Price History'!O3+(INDEX('Price History'!O:O,MATCH(9.99E+307,'Price History'!$A:$A))-'Price History'!O3)*(ROW()-3)/(MATCH(9.99E+307,'Returns (Calc)'!$A:$A)-3),"")</f>
        <v>5.43679245283018</v>
      </c>
      <c r="AK147" s="145" t="n">
        <f aca="false">IFERROR('Price History'!Q3+(INDEX('Price History'!Q:Q,MATCH(9.99E+307,'Price History'!$A:$A))-'Price History'!Q3)*(ROW()-3)/(MATCH(9.99E+307,'Returns (Calc)'!$A:$A)-3),"")</f>
        <v>22.2292452830189</v>
      </c>
      <c r="AL147" s="145" t="n">
        <f aca="false">IFERROR('Price History'!R3+(INDEX('Price History'!R:R,MATCH(9.99E+307,'Price History'!$A:$A))-'Price History'!R3)*(ROW()-3)/(MATCH(9.99E+307,'Returns (Calc)'!$A:$A)-3),"")</f>
        <v>4.51132075471698</v>
      </c>
      <c r="AM147" s="145" t="n">
        <f aca="false">IFERROR('Price History'!S3+(INDEX('Price History'!S:S,MATCH(9.99E+307,'Price History'!$A:$A))-'Price History'!S3)*(ROW()-3)/(MATCH(9.99E+307,'Returns (Calc)'!$A:$A)-3),"")</f>
        <v>5.52264150943396</v>
      </c>
      <c r="AN147" s="145" t="n">
        <f aca="false">IFERROR('Price History'!T3+(INDEX('Price History'!T:T,MATCH(9.99E+307,'Price History'!$A:$A))-'Price History'!T3)*(ROW()-3)/(MATCH(9.99E+307,'Returns (Calc)'!$A:$A)-3),"")</f>
        <v>2.53867924528302</v>
      </c>
      <c r="AO147" s="146" t="n">
        <f aca="false">IFERROR('Price History'!V3+(INDEX('Price History'!V:V,MATCH(9.99E+307,'Price History'!$A:$A))-'Price History'!V3)*(ROW()-3)/(MATCH(9.99E+307,'Returns (Calc)'!$A:$A)-3),"")</f>
        <v>0</v>
      </c>
    </row>
    <row r="148" customFormat="false" ht="15" hidden="false" customHeight="true" outlineLevel="0" collapsed="false">
      <c r="A148" s="142" t="n">
        <f aca="false">IF('Price History'!A149="","",'Price History'!A149)</f>
        <v>46206</v>
      </c>
      <c r="B148" s="143" t="n">
        <f aca="false">IFERROR(IF(OR(NOT(ISNUMBER('Price History'!B149)),NOT(ISNUMBER('Price History'!B148)),'Price History'!B148=0),"",'Price History'!B149/'Price History'!B148-1),"")</f>
        <v>0.0838060474522764</v>
      </c>
      <c r="C148" s="143" t="n">
        <f aca="false">IFERROR(IF(OR(NOT(ISNUMBER('Price History'!C149)),NOT(ISNUMBER('Price History'!C148)),'Price History'!C148=0),"",'Price History'!C149/'Price History'!C148-1),"")</f>
        <v>0.0151649746192895</v>
      </c>
      <c r="D148" s="143" t="n">
        <f aca="false">IFERROR(IF(OR(NOT(ISNUMBER('Price History'!D149)),NOT(ISNUMBER('Price History'!D148)),'Price History'!D148=0),"",'Price History'!D149/'Price History'!D148-1),"")</f>
        <v>-0.0140992021424985</v>
      </c>
      <c r="E148" s="143" t="n">
        <f aca="false">IFERROR(IF(OR(NOT(ISNUMBER('Price History'!E149)),NOT(ISNUMBER('Price History'!E148)),'Price History'!E148=0),"",'Price History'!E149/'Price History'!E148-1),"")</f>
        <v>-0.012542540344714</v>
      </c>
      <c r="F148" s="143" t="n">
        <f aca="false">IFERROR(IF(OR(NOT(ISNUMBER('Price History'!F149)),NOT(ISNUMBER('Price History'!F148)),'Price History'!F148=0),"",'Price History'!F149/'Price History'!F148-1),"")</f>
        <v>-0.0114028748092829</v>
      </c>
      <c r="G148" s="143" t="n">
        <f aca="false">IFERROR(IF(OR(NOT(ISNUMBER('Price History'!G149)),NOT(ISNUMBER('Price History'!G148)),'Price History'!G148=0),"",'Price History'!G149/'Price History'!G148-1),"")</f>
        <v>0.106749586352485</v>
      </c>
      <c r="H148" s="143" t="n">
        <f aca="false">IFERROR(IF(OR(NOT(ISNUMBER('Price History'!H149)),NOT(ISNUMBER('Price History'!H148)),'Price History'!H148=0),"",'Price History'!H149/'Price History'!H148-1),"")</f>
        <v>0.00580098170459609</v>
      </c>
      <c r="I148" s="143" t="n">
        <f aca="false">IFERROR(IF(OR(NOT(ISNUMBER('Price History'!I149)),NOT(ISNUMBER('Price History'!I148)),'Price History'!I148=0),"",'Price History'!I149/'Price History'!I148-1),"")</f>
        <v>-0.0526654855854405</v>
      </c>
      <c r="J148" s="143" t="n">
        <f aca="false">IFERROR(IF(OR(NOT(ISNUMBER('Price History'!J149)),NOT(ISNUMBER('Price History'!J148)),'Price History'!J148=0),"",'Price History'!J149/'Price History'!J148-1),"")</f>
        <v>-0.138452162238553</v>
      </c>
      <c r="K148" s="143" t="n">
        <f aca="false">IFERROR(IF(OR(NOT(ISNUMBER('Price History'!K149)),NOT(ISNUMBER('Price History'!K148)),'Price History'!K148=0),"",'Price History'!K149/'Price History'!K148-1),"")</f>
        <v>0.0119598564817223</v>
      </c>
      <c r="L148" s="143" t="n">
        <f aca="false">IFERROR(IF(OR(NOT(ISNUMBER('Price History'!L149)),NOT(ISNUMBER('Price History'!L148)),'Price History'!L148=0),"",'Price History'!L149/'Price History'!L148-1),"")</f>
        <v>-0.00388852883992219</v>
      </c>
      <c r="M148" s="143" t="n">
        <f aca="false">IFERROR(IF(OR(NOT(ISNUMBER('Price History'!M149)),NOT(ISNUMBER('Price History'!M148)),'Price History'!M148=0),"",'Price History'!M149/'Price History'!M148-1),"")</f>
        <v>0.144957053041707</v>
      </c>
      <c r="N148" s="143" t="n">
        <f aca="false">IFERROR(IF(OR(NOT(ISNUMBER('Price History'!N149)),NOT(ISNUMBER('Price History'!N148)),'Price History'!N148=0),"",'Price History'!N149/'Price History'!N148-1),"")</f>
        <v>0.00910804020100509</v>
      </c>
      <c r="O148" s="143" t="n">
        <f aca="false">IFERROR(IF(OR(NOT(ISNUMBER('Price History'!O149)),NOT(ISNUMBER('Price History'!O148)),'Price History'!O148=0),"",'Price History'!O149/'Price History'!O148-1),"")</f>
        <v>-0.0218902240987332</v>
      </c>
      <c r="P148" s="143" t="n">
        <f aca="false">IFERROR(IF(OR(NOT(ISNUMBER('Price History'!P149)),NOT(ISNUMBER('Price History'!P148)),'Price History'!P148=0),"",'Price History'!P149/'Price History'!P148-1),"")</f>
        <v>0.0041976854750807</v>
      </c>
      <c r="Q148" s="143" t="n">
        <f aca="false">IFERROR(IF(OR(NOT(ISNUMBER('Price History'!Q149)),NOT(ISNUMBER('Price History'!Q148)),'Price History'!Q148=0),"",'Price History'!Q149/'Price History'!Q148-1),"")</f>
        <v>0.0770239265814485</v>
      </c>
      <c r="R148" s="143" t="n">
        <f aca="false">IFERROR(IF(OR(NOT(ISNUMBER('Price History'!R149)),NOT(ISNUMBER('Price History'!R148)),'Price History'!R148=0),"",'Price History'!R149/'Price History'!R148-1),"")</f>
        <v>0.0156120245806344</v>
      </c>
      <c r="S148" s="143" t="n">
        <f aca="false">IFERROR(IF(OR(NOT(ISNUMBER('Price History'!S149)),NOT(ISNUMBER('Price History'!S148)),'Price History'!S148=0),"",'Price History'!S149/'Price History'!S148-1),"")</f>
        <v>0.0389816475783082</v>
      </c>
      <c r="T148" s="143" t="n">
        <f aca="false">IFERROR(IF(OR(NOT(ISNUMBER('Price History'!T149)),NOT(ISNUMBER('Price History'!T148)),'Price History'!T148=0),"",'Price History'!T149/'Price History'!T148-1),"")</f>
        <v>0.0540968764146672</v>
      </c>
      <c r="U148" s="143" t="str">
        <f aca="false">IFERROR(IF(OR(NOT(ISNUMBER('Price History'!U149)),NOT(ISNUMBER('Price History'!U148)),'Price History'!U148=0),"",'Price History'!U149/'Price History'!U148-1),"")</f>
        <v/>
      </c>
      <c r="V148" s="144" t="n">
        <f aca="false">IFERROR(IF(OR(NOT(ISNUMBER('Price History'!V149)),NOT(ISNUMBER('Price History'!V148)),'Price History'!V148=0),"",'Price History'!V149/'Price History'!V148-1),"")</f>
        <v>-0.00767660767051503</v>
      </c>
      <c r="W148" s="145" t="str">
        <f aca="false">IFERROR('Price History'!B3+(INDEX('Price History'!B:B,MATCH(9.99E+307,'Price History'!$A:$A))-'Price History'!B3)*(ROW()-3)/(MATCH(9.99E+307,'Returns (Calc)'!$A:$A)-3),"")</f>
        <v/>
      </c>
      <c r="X148" s="145" t="n">
        <f aca="false">IFERROR('Price History'!C3+(INDEX('Price History'!C:C,MATCH(9.99E+307,'Price History'!$A:$A))-'Price History'!C3)*(ROW()-3)/(MATCH(9.99E+307,'Returns (Calc)'!$A:$A)-3),"")</f>
        <v>4.06616352201257</v>
      </c>
      <c r="Y148" s="145" t="n">
        <f aca="false">IFERROR('Price History'!D3+(INDEX('Price History'!D:D,MATCH(9.99E+307,'Price History'!$A:$A))-'Price History'!D3)*(ROW()-3)/(MATCH(9.99E+307,'Returns (Calc)'!$A:$A)-3),"")</f>
        <v>51.2461635220126</v>
      </c>
      <c r="Z148" s="145" t="n">
        <f aca="false">IFERROR('Price History'!E3+(INDEX('Price History'!E:E,MATCH(9.99E+307,'Price History'!$A:$A))-'Price History'!E3)*(ROW()-3)/(MATCH(9.99E+307,'Returns (Calc)'!$A:$A)-3),"")</f>
        <v>7.22012578616352</v>
      </c>
      <c r="AA148" s="145" t="n">
        <f aca="false">IFERROR('Price History'!F3+(INDEX('Price History'!F:F,MATCH(9.99E+307,'Price History'!$A:$A))-'Price History'!F3)*(ROW()-3)/(MATCH(9.99E+307,'Returns (Calc)'!$A:$A)-3),"")</f>
        <v>6.63106918238994</v>
      </c>
      <c r="AB148" s="145" t="n">
        <f aca="false">IFERROR('Price History'!G3+(INDEX('Price History'!G:G,MATCH(9.99E+307,'Price History'!$A:$A))-'Price History'!G3)*(ROW()-3)/(MATCH(9.99E+307,'Returns (Calc)'!$A:$A)-3),"")</f>
        <v>3.64176100628931</v>
      </c>
      <c r="AC148" s="145" t="n">
        <f aca="false">IFERROR('Price History'!H3+(INDEX('Price History'!H:H,MATCH(9.99E+307,'Price History'!$A:$A))-'Price History'!H3)*(ROW()-3)/(MATCH(9.99E+307,'Returns (Calc)'!$A:$A)-3),"")</f>
        <v>8.85698113207548</v>
      </c>
      <c r="AD148" s="145" t="n">
        <f aca="false">IFERROR('Price History'!I3+(INDEX('Price History'!I:I,MATCH(9.99E+307,'Price History'!$A:$A))-'Price History'!I3)*(ROW()-3)/(MATCH(9.99E+307,'Returns (Calc)'!$A:$A)-3),"")</f>
        <v>3.90503144654088</v>
      </c>
      <c r="AE148" s="145" t="n">
        <f aca="false">IFERROR('Price History'!J3+(INDEX('Price History'!J:J,MATCH(9.99E+307,'Price History'!$A:$A))-'Price History'!J3)*(ROW()-3)/(MATCH(9.99E+307,'Returns (Calc)'!$A:$A)-3),"")</f>
        <v>6.0851572327044</v>
      </c>
      <c r="AF148" s="145" t="n">
        <f aca="false">IFERROR('Price History'!K3+(INDEX('Price History'!K:K,MATCH(9.99E+307,'Price History'!$A:$A))-'Price History'!K3)*(ROW()-3)/(MATCH(9.99E+307,'Returns (Calc)'!$A:$A)-3),"")</f>
        <v>3.85396226415094</v>
      </c>
      <c r="AG148" s="145" t="n">
        <f aca="false">IFERROR('Price History'!L3+(INDEX('Price History'!L:L,MATCH(9.99E+307,'Price History'!$A:$A))-'Price History'!L3)*(ROW()-3)/(MATCH(9.99E+307,'Returns (Calc)'!$A:$A)-3),"")</f>
        <v>9.84754716981132</v>
      </c>
      <c r="AH148" s="145" t="n">
        <f aca="false">IFERROR('Price History'!M3+(INDEX('Price History'!M:M,MATCH(9.99E+307,'Price History'!$A:$A))-'Price History'!M3)*(ROW()-3)/(MATCH(9.99E+307,'Returns (Calc)'!$A:$A)-3),"")</f>
        <v>1.34981132075472</v>
      </c>
      <c r="AI148" s="145" t="n">
        <f aca="false">IFERROR('Price History'!N3+(INDEX('Price History'!N:N,MATCH(9.99E+307,'Price History'!$A:$A))-'Price History'!N3)*(ROW()-3)/(MATCH(9.99E+307,'Returns (Calc)'!$A:$A)-3),"")</f>
        <v>1.91949685534591</v>
      </c>
      <c r="AJ148" s="145" t="n">
        <f aca="false">IFERROR('Price History'!O3+(INDEX('Price History'!O:O,MATCH(9.99E+307,'Price History'!$A:$A))-'Price History'!O3)*(ROW()-3)/(MATCH(9.99E+307,'Returns (Calc)'!$A:$A)-3),"")</f>
        <v>5.07433962264151</v>
      </c>
      <c r="AK148" s="145" t="n">
        <f aca="false">IFERROR('Price History'!Q3+(INDEX('Price History'!Q:Q,MATCH(9.99E+307,'Price History'!$A:$A))-'Price History'!Q3)*(ROW()-3)/(MATCH(9.99E+307,'Returns (Calc)'!$A:$A)-3),"")</f>
        <v>20.7472955974843</v>
      </c>
      <c r="AL148" s="145" t="n">
        <f aca="false">IFERROR('Price History'!R3+(INDEX('Price History'!R:R,MATCH(9.99E+307,'Price History'!$A:$A))-'Price History'!R3)*(ROW()-3)/(MATCH(9.99E+307,'Returns (Calc)'!$A:$A)-3),"")</f>
        <v>4.21056603773585</v>
      </c>
      <c r="AM148" s="145" t="n">
        <f aca="false">IFERROR('Price History'!S3+(INDEX('Price History'!S:S,MATCH(9.99E+307,'Price History'!$A:$A))-'Price History'!S3)*(ROW()-3)/(MATCH(9.99E+307,'Returns (Calc)'!$A:$A)-3),"")</f>
        <v>5.15446540880504</v>
      </c>
      <c r="AN148" s="145" t="n">
        <f aca="false">IFERROR('Price History'!T3+(INDEX('Price History'!T:T,MATCH(9.99E+307,'Price History'!$A:$A))-'Price History'!T3)*(ROW()-3)/(MATCH(9.99E+307,'Returns (Calc)'!$A:$A)-3),"")</f>
        <v>2.36943396226415</v>
      </c>
      <c r="AO148" s="146" t="n">
        <f aca="false">IFERROR('Price History'!V3+(INDEX('Price History'!V:V,MATCH(9.99E+307,'Price History'!$A:$A))-'Price History'!V3)*(ROW()-3)/(MATCH(9.99E+307,'Returns (Calc)'!$A:$A)-3),"")</f>
        <v>0</v>
      </c>
    </row>
    <row r="149" customFormat="false" ht="15" hidden="false" customHeight="true" outlineLevel="0" collapsed="false">
      <c r="A149" s="142" t="n">
        <f aca="false">IF('Price History'!A150="","",'Price History'!A150)</f>
        <v>46213</v>
      </c>
      <c r="B149" s="143" t="n">
        <f aca="false">IFERROR(IF(OR(NOT(ISNUMBER('Price History'!B150)),NOT(ISNUMBER('Price History'!B149)),'Price History'!B149=0),"",'Price History'!B150/'Price History'!B149-1),"")</f>
        <v>0.0178408884034225</v>
      </c>
      <c r="C149" s="143" t="n">
        <f aca="false">IFERROR(IF(OR(NOT(ISNUMBER('Price History'!C150)),NOT(ISNUMBER('Price History'!C149)),'Price History'!C149=0),"",'Price History'!C150/'Price History'!C149-1),"")</f>
        <v>0.168573035814738</v>
      </c>
      <c r="D149" s="143" t="n">
        <f aca="false">IFERROR(IF(OR(NOT(ISNUMBER('Price History'!D150)),NOT(ISNUMBER('Price History'!D149)),'Price History'!D149=0),"",'Price History'!D150/'Price History'!D149-1),"")</f>
        <v>0.015828820110581</v>
      </c>
      <c r="E149" s="143" t="n">
        <f aca="false">IFERROR(IF(OR(NOT(ISNUMBER('Price History'!E150)),NOT(ISNUMBER('Price History'!E149)),'Price History'!E149=0),"",'Price History'!E150/'Price History'!E149-1),"")</f>
        <v>0.109647294254982</v>
      </c>
      <c r="F149" s="143" t="n">
        <f aca="false">IFERROR(IF(OR(NOT(ISNUMBER('Price History'!F150)),NOT(ISNUMBER('Price History'!F149)),'Price History'!F149=0),"",'Price History'!F150/'Price History'!F149-1),"")</f>
        <v>0.00357403947689061</v>
      </c>
      <c r="G149" s="143" t="n">
        <f aca="false">IFERROR(IF(OR(NOT(ISNUMBER('Price History'!G150)),NOT(ISNUMBER('Price History'!G149)),'Price History'!G149=0),"",'Price History'!G150/'Price History'!G149-1),"")</f>
        <v>-0.0350551603258067</v>
      </c>
      <c r="H149" s="143" t="n">
        <f aca="false">IFERROR(IF(OR(NOT(ISNUMBER('Price History'!H150)),NOT(ISNUMBER('Price History'!H149)),'Price History'!H149=0),"",'Price History'!H150/'Price History'!H149-1),"")</f>
        <v>0.00234503739383962</v>
      </c>
      <c r="I149" s="143" t="n">
        <f aca="false">IFERROR(IF(OR(NOT(ISNUMBER('Price History'!I150)),NOT(ISNUMBER('Price History'!I149)),'Price History'!I149=0),"",'Price History'!I150/'Price History'!I149-1),"")</f>
        <v>-0.0170860251615097</v>
      </c>
      <c r="J149" s="143" t="n">
        <f aca="false">IFERROR(IF(OR(NOT(ISNUMBER('Price History'!J150)),NOT(ISNUMBER('Price History'!J149)),'Price History'!J149=0),"",'Price History'!J150/'Price History'!J149-1),"")</f>
        <v>0.00398806655662742</v>
      </c>
      <c r="K149" s="143" t="n">
        <f aca="false">IFERROR(IF(OR(NOT(ISNUMBER('Price History'!K150)),NOT(ISNUMBER('Price History'!K149)),'Price History'!K149=0),"",'Price History'!K150/'Price History'!K149-1),"")</f>
        <v>0.0827809465084013</v>
      </c>
      <c r="L149" s="143" t="n">
        <f aca="false">IFERROR(IF(OR(NOT(ISNUMBER('Price History'!L150)),NOT(ISNUMBER('Price History'!L149)),'Price History'!L149=0),"",'Price History'!L150/'Price History'!L149-1),"")</f>
        <v>0.0103375984963492</v>
      </c>
      <c r="M149" s="143" t="n">
        <f aca="false">IFERROR(IF(OR(NOT(ISNUMBER('Price History'!M150)),NOT(ISNUMBER('Price History'!M149)),'Price History'!M149=0),"",'Price History'!M150/'Price History'!M149-1),"")</f>
        <v>-0.0194122196442382</v>
      </c>
      <c r="N149" s="143" t="n">
        <f aca="false">IFERROR(IF(OR(NOT(ISNUMBER('Price History'!N150)),NOT(ISNUMBER('Price History'!N149)),'Price History'!N149=0),"",'Price History'!N150/'Price History'!N149-1),"")</f>
        <v>0.000311235605353177</v>
      </c>
      <c r="O149" s="143" t="n">
        <f aca="false">IFERROR(IF(OR(NOT(ISNUMBER('Price History'!O150)),NOT(ISNUMBER('Price History'!O149)),'Price History'!O149=0),"",'Price History'!O150/'Price History'!O149-1),"")</f>
        <v>0.0193916854827998</v>
      </c>
      <c r="P149" s="143" t="n">
        <f aca="false">IFERROR(IF(OR(NOT(ISNUMBER('Price History'!P150)),NOT(ISNUMBER('Price History'!P149)),'Price History'!P149=0),"",'Price History'!P150/'Price History'!P149-1),"")</f>
        <v>-0.000115473441108627</v>
      </c>
      <c r="Q149" s="143" t="n">
        <f aca="false">IFERROR(IF(OR(NOT(ISNUMBER('Price History'!Q150)),NOT(ISNUMBER('Price History'!Q149)),'Price History'!Q149=0),"",'Price History'!Q150/'Price History'!Q149-1),"")</f>
        <v>-0.0363525701322415</v>
      </c>
      <c r="R149" s="143" t="n">
        <f aca="false">IFERROR(IF(OR(NOT(ISNUMBER('Price History'!R150)),NOT(ISNUMBER('Price History'!R149)),'Price History'!R149=0),"",'Price History'!R150/'Price History'!R149-1),"")</f>
        <v>-0.0367947669664759</v>
      </c>
      <c r="S149" s="143" t="n">
        <f aca="false">IFERROR(IF(OR(NOT(ISNUMBER('Price History'!S150)),NOT(ISNUMBER('Price History'!S149)),'Price History'!S149=0),"",'Price History'!S150/'Price History'!S149-1),"")</f>
        <v>-0.0419018527126636</v>
      </c>
      <c r="T149" s="143" t="n">
        <f aca="false">IFERROR(IF(OR(NOT(ISNUMBER('Price History'!T150)),NOT(ISNUMBER('Price History'!T149)),'Price History'!T149=0),"",'Price History'!T150/'Price History'!T149-1),"")</f>
        <v>-0.0111659866867082</v>
      </c>
      <c r="U149" s="143" t="str">
        <f aca="false">IFERROR(IF(OR(NOT(ISNUMBER('Price History'!U150)),NOT(ISNUMBER('Price History'!U149)),'Price History'!U149=0),"",'Price History'!U150/'Price History'!U149-1),"")</f>
        <v/>
      </c>
      <c r="V149" s="144" t="n">
        <f aca="false">IFERROR(IF(OR(NOT(ISNUMBER('Price History'!V150)),NOT(ISNUMBER('Price History'!V149)),'Price History'!V149=0),"",'Price History'!V150/'Price History'!V149-1),"")</f>
        <v>-0.00853415195702212</v>
      </c>
      <c r="W149" s="145" t="str">
        <f aca="false">IFERROR('Price History'!B3+(INDEX('Price History'!B:B,MATCH(9.99E+307,'Price History'!$A:$A))-'Price History'!B3)*(ROW()-3)/(MATCH(9.99E+307,'Returns (Calc)'!$A:$A)-3),"")</f>
        <v/>
      </c>
      <c r="X149" s="145" t="n">
        <f aca="false">IFERROR('Price History'!C3+(INDEX('Price History'!C:C,MATCH(9.99E+307,'Price History'!$A:$A))-'Price History'!C3)*(ROW()-3)/(MATCH(9.99E+307,'Returns (Calc)'!$A:$A)-3),"")</f>
        <v>3.77572327044025</v>
      </c>
      <c r="Y149" s="145" t="n">
        <f aca="false">IFERROR('Price History'!D3+(INDEX('Price History'!D:D,MATCH(9.99E+307,'Price History'!$A:$A))-'Price History'!D3)*(ROW()-3)/(MATCH(9.99E+307,'Returns (Calc)'!$A:$A)-3),"")</f>
        <v>47.5857232704403</v>
      </c>
      <c r="Z149" s="145" t="n">
        <f aca="false">IFERROR('Price History'!E3+(INDEX('Price History'!E:E,MATCH(9.99E+307,'Price History'!$A:$A))-'Price History'!E3)*(ROW()-3)/(MATCH(9.99E+307,'Returns (Calc)'!$A:$A)-3),"")</f>
        <v>6.70440251572327</v>
      </c>
      <c r="AA149" s="145" t="n">
        <f aca="false">IFERROR('Price History'!F3+(INDEX('Price History'!F:F,MATCH(9.99E+307,'Price History'!$A:$A))-'Price History'!F3)*(ROW()-3)/(MATCH(9.99E+307,'Returns (Calc)'!$A:$A)-3),"")</f>
        <v>6.1574213836478</v>
      </c>
      <c r="AB149" s="145" t="n">
        <f aca="false">IFERROR('Price History'!G3+(INDEX('Price History'!G:G,MATCH(9.99E+307,'Price History'!$A:$A))-'Price History'!G3)*(ROW()-3)/(MATCH(9.99E+307,'Returns (Calc)'!$A:$A)-3),"")</f>
        <v>3.38163522012579</v>
      </c>
      <c r="AC149" s="145" t="n">
        <f aca="false">IFERROR('Price History'!H3+(INDEX('Price History'!H:H,MATCH(9.99E+307,'Price History'!$A:$A))-'Price History'!H3)*(ROW()-3)/(MATCH(9.99E+307,'Returns (Calc)'!$A:$A)-3),"")</f>
        <v>8.22433962264151</v>
      </c>
      <c r="AD149" s="145" t="n">
        <f aca="false">IFERROR('Price History'!I3+(INDEX('Price History'!I:I,MATCH(9.99E+307,'Price History'!$A:$A))-'Price History'!I3)*(ROW()-3)/(MATCH(9.99E+307,'Returns (Calc)'!$A:$A)-3),"")</f>
        <v>3.62610062893081</v>
      </c>
      <c r="AE149" s="145" t="n">
        <f aca="false">IFERROR('Price History'!J3+(INDEX('Price History'!J:J,MATCH(9.99E+307,'Price History'!$A:$A))-'Price History'!J3)*(ROW()-3)/(MATCH(9.99E+307,'Returns (Calc)'!$A:$A)-3),"")</f>
        <v>5.65050314465409</v>
      </c>
      <c r="AF149" s="145" t="n">
        <f aca="false">IFERROR('Price History'!K3+(INDEX('Price History'!K:K,MATCH(9.99E+307,'Price History'!$A:$A))-'Price History'!K3)*(ROW()-3)/(MATCH(9.99E+307,'Returns (Calc)'!$A:$A)-3),"")</f>
        <v>3.57867924528302</v>
      </c>
      <c r="AG149" s="145" t="n">
        <f aca="false">IFERROR('Price History'!L3+(INDEX('Price History'!L:L,MATCH(9.99E+307,'Price History'!$A:$A))-'Price History'!L3)*(ROW()-3)/(MATCH(9.99E+307,'Returns (Calc)'!$A:$A)-3),"")</f>
        <v>9.14415094339623</v>
      </c>
      <c r="AH149" s="145" t="n">
        <f aca="false">IFERROR('Price History'!M3+(INDEX('Price History'!M:M,MATCH(9.99E+307,'Price History'!$A:$A))-'Price History'!M3)*(ROW()-3)/(MATCH(9.99E+307,'Returns (Calc)'!$A:$A)-3),"")</f>
        <v>1.2533962264151</v>
      </c>
      <c r="AI149" s="145" t="n">
        <f aca="false">IFERROR('Price History'!N3+(INDEX('Price History'!N:N,MATCH(9.99E+307,'Price History'!$A:$A))-'Price History'!N3)*(ROW()-3)/(MATCH(9.99E+307,'Returns (Calc)'!$A:$A)-3),"")</f>
        <v>1.78238993710692</v>
      </c>
      <c r="AJ149" s="145" t="n">
        <f aca="false">IFERROR('Price History'!O3+(INDEX('Price History'!O:O,MATCH(9.99E+307,'Price History'!$A:$A))-'Price History'!O3)*(ROW()-3)/(MATCH(9.99E+307,'Returns (Calc)'!$A:$A)-3),"")</f>
        <v>4.71188679245284</v>
      </c>
      <c r="AK149" s="145" t="n">
        <f aca="false">IFERROR('Price History'!Q3+(INDEX('Price History'!Q:Q,MATCH(9.99E+307,'Price History'!$A:$A))-'Price History'!Q3)*(ROW()-3)/(MATCH(9.99E+307,'Returns (Calc)'!$A:$A)-3),"")</f>
        <v>19.2653459119497</v>
      </c>
      <c r="AL149" s="145" t="n">
        <f aca="false">IFERROR('Price History'!R3+(INDEX('Price History'!R:R,MATCH(9.99E+307,'Price History'!$A:$A))-'Price History'!R3)*(ROW()-3)/(MATCH(9.99E+307,'Returns (Calc)'!$A:$A)-3),"")</f>
        <v>3.90981132075471</v>
      </c>
      <c r="AM149" s="145" t="n">
        <f aca="false">IFERROR('Price History'!S3+(INDEX('Price History'!S:S,MATCH(9.99E+307,'Price History'!$A:$A))-'Price History'!S3)*(ROW()-3)/(MATCH(9.99E+307,'Returns (Calc)'!$A:$A)-3),"")</f>
        <v>4.7862893081761</v>
      </c>
      <c r="AN149" s="145" t="n">
        <f aca="false">IFERROR('Price History'!T3+(INDEX('Price History'!T:T,MATCH(9.99E+307,'Price History'!$A:$A))-'Price History'!T3)*(ROW()-3)/(MATCH(9.99E+307,'Returns (Calc)'!$A:$A)-3),"")</f>
        <v>2.20018867924528</v>
      </c>
      <c r="AO149" s="146" t="n">
        <f aca="false">IFERROR('Price History'!V3+(INDEX('Price History'!V:V,MATCH(9.99E+307,'Price History'!$A:$A))-'Price History'!V3)*(ROW()-3)/(MATCH(9.99E+307,'Returns (Calc)'!$A:$A)-3),"")</f>
        <v>0</v>
      </c>
    </row>
    <row r="150" customFormat="false" ht="15" hidden="false" customHeight="true" outlineLevel="0" collapsed="false">
      <c r="A150" s="142" t="n">
        <f aca="false">IF('Price History'!A151="","",'Price History'!A151)</f>
        <v>46220</v>
      </c>
      <c r="B150" s="143" t="n">
        <f aca="false">IFERROR(IF(OR(NOT(ISNUMBER('Price History'!B151)),NOT(ISNUMBER('Price History'!B150)),'Price History'!B150=0),"",'Price History'!B151/'Price History'!B150-1),"")</f>
        <v>0.0608567340368449</v>
      </c>
      <c r="C150" s="143" t="n">
        <f aca="false">IFERROR(IF(OR(NOT(ISNUMBER('Price History'!C151)),NOT(ISNUMBER('Price History'!C150)),'Price History'!C150=0),"",'Price History'!C151/'Price History'!C150-1),"")</f>
        <v>-0.0981493367565254</v>
      </c>
      <c r="D150" s="143" t="n">
        <f aca="false">IFERROR(IF(OR(NOT(ISNUMBER('Price History'!D151)),NOT(ISNUMBER('Price History'!D150)),'Price History'!D150=0),"",'Price History'!D151/'Price History'!D150-1),"")</f>
        <v>-0.0276768802228413</v>
      </c>
      <c r="E150" s="143" t="n">
        <f aca="false">IFERROR(IF(OR(NOT(ISNUMBER('Price History'!E151)),NOT(ISNUMBER('Price History'!E150)),'Price History'!E150=0),"",'Price History'!E151/'Price History'!E150-1),"")</f>
        <v>-0.0728383929465984</v>
      </c>
      <c r="F150" s="143" t="n">
        <f aca="false">IFERROR(IF(OR(NOT(ISNUMBER('Price History'!F151)),NOT(ISNUMBER('Price History'!F150)),'Price History'!F150=0),"",'Price History'!F151/'Price History'!F150-1),"")</f>
        <v>0.0112505058680696</v>
      </c>
      <c r="G150" s="143" t="n">
        <f aca="false">IFERROR(IF(OR(NOT(ISNUMBER('Price History'!G151)),NOT(ISNUMBER('Price History'!G150)),'Price History'!G150=0),"",'Price History'!G151/'Price History'!G150-1),"")</f>
        <v>0.0849449727534994</v>
      </c>
      <c r="H150" s="143" t="n">
        <f aca="false">IFERROR(IF(OR(NOT(ISNUMBER('Price History'!H151)),NOT(ISNUMBER('Price History'!H150)),'Price History'!H150=0),"",'Price History'!H151/'Price History'!H150-1),"")</f>
        <v>0.01492254189061</v>
      </c>
      <c r="I150" s="143" t="n">
        <f aca="false">IFERROR(IF(OR(NOT(ISNUMBER('Price History'!I151)),NOT(ISNUMBER('Price History'!I150)),'Price History'!I150=0),"",'Price History'!I151/'Price History'!I150-1),"")</f>
        <v>-0.0810775750237828</v>
      </c>
      <c r="J150" s="143" t="n">
        <f aca="false">IFERROR(IF(OR(NOT(ISNUMBER('Price History'!J151)),NOT(ISNUMBER('Price History'!J150)),'Price History'!J150=0),"",'Price History'!J151/'Price History'!J150-1),"")</f>
        <v>-0.133105279281119</v>
      </c>
      <c r="K150" s="143" t="n">
        <f aca="false">IFERROR(IF(OR(NOT(ISNUMBER('Price History'!K151)),NOT(ISNUMBER('Price History'!K150)),'Price History'!K150=0),"",'Price History'!K151/'Price History'!K150-1),"")</f>
        <v>-0.0386294608959756</v>
      </c>
      <c r="L150" s="143" t="n">
        <f aca="false">IFERROR(IF(OR(NOT(ISNUMBER('Price History'!L151)),NOT(ISNUMBER('Price History'!L150)),'Price History'!L150=0),"",'Price History'!L151/'Price History'!L150-1),"")</f>
        <v>0.0633228391528335</v>
      </c>
      <c r="M150" s="143" t="n">
        <f aca="false">IFERROR(IF(OR(NOT(ISNUMBER('Price History'!M151)),NOT(ISNUMBER('Price History'!M150)),'Price History'!M150=0),"",'Price History'!M151/'Price History'!M150-1),"")</f>
        <v>0.0440886505244893</v>
      </c>
      <c r="N150" s="143" t="n">
        <f aca="false">IFERROR(IF(OR(NOT(ISNUMBER('Price History'!N151)),NOT(ISNUMBER('Price History'!N150)),'Price History'!N150=0),"",'Price History'!N151/'Price History'!N150-1),"")</f>
        <v>0.0158680771624145</v>
      </c>
      <c r="O150" s="143" t="n">
        <f aca="false">IFERROR(IF(OR(NOT(ISNUMBER('Price History'!O151)),NOT(ISNUMBER('Price History'!O150)),'Price History'!O150=0),"",'Price History'!O151/'Price History'!O150-1),"")</f>
        <v>-0.0641042345276873</v>
      </c>
      <c r="P150" s="143" t="n">
        <f aca="false">IFERROR(IF(OR(NOT(ISNUMBER('Price History'!P151)),NOT(ISNUMBER('Price History'!P150)),'Price History'!P150=0),"",'Price History'!P151/'Price History'!P150-1),"")</f>
        <v>-0.0823420718327751</v>
      </c>
      <c r="Q150" s="143" t="n">
        <f aca="false">IFERROR(IF(OR(NOT(ISNUMBER('Price History'!Q151)),NOT(ISNUMBER('Price History'!Q150)),'Price History'!Q150=0),"",'Price History'!Q151/'Price History'!Q150-1),"")</f>
        <v>0.0275034451079468</v>
      </c>
      <c r="R150" s="143" t="n">
        <f aca="false">IFERROR(IF(OR(NOT(ISNUMBER('Price History'!R151)),NOT(ISNUMBER('Price History'!R150)),'Price History'!R150=0),"",'Price History'!R151/'Price History'!R150-1),"")</f>
        <v>0.0162988115449916</v>
      </c>
      <c r="S150" s="143" t="n">
        <f aca="false">IFERROR(IF(OR(NOT(ISNUMBER('Price History'!S151)),NOT(ISNUMBER('Price History'!S150)),'Price History'!S150=0),"",'Price History'!S151/'Price History'!S150-1),"")</f>
        <v>0.0568339340171886</v>
      </c>
      <c r="T150" s="143" t="n">
        <f aca="false">IFERROR(IF(OR(NOT(ISNUMBER('Price History'!T151)),NOT(ISNUMBER('Price History'!T150)),'Price History'!T150=0),"",'Price History'!T151/'Price History'!T150-1),"")</f>
        <v>0.00521172638436496</v>
      </c>
      <c r="U150" s="143" t="str">
        <f aca="false">IFERROR(IF(OR(NOT(ISNUMBER('Price History'!U151)),NOT(ISNUMBER('Price History'!U150)),'Price History'!U150=0),"",'Price History'!U151/'Price History'!U150-1),"")</f>
        <v/>
      </c>
      <c r="V150" s="144" t="n">
        <f aca="false">IFERROR(IF(OR(NOT(ISNUMBER('Price History'!V151)),NOT(ISNUMBER('Price History'!V150)),'Price History'!V150=0),"",'Price History'!V151/'Price History'!V150-1),"")</f>
        <v>-0.00365359011672917</v>
      </c>
      <c r="W150" s="145" t="str">
        <f aca="false">IFERROR('Price History'!B3+(INDEX('Price History'!B:B,MATCH(9.99E+307,'Price History'!$A:$A))-'Price History'!B3)*(ROW()-3)/(MATCH(9.99E+307,'Returns (Calc)'!$A:$A)-3),"")</f>
        <v/>
      </c>
      <c r="X150" s="145" t="n">
        <f aca="false">IFERROR('Price History'!C3+(INDEX('Price History'!C:C,MATCH(9.99E+307,'Price History'!$A:$A))-'Price History'!C3)*(ROW()-3)/(MATCH(9.99E+307,'Returns (Calc)'!$A:$A)-3),"")</f>
        <v>3.48528301886793</v>
      </c>
      <c r="Y150" s="145" t="n">
        <f aca="false">IFERROR('Price History'!D3+(INDEX('Price History'!D:D,MATCH(9.99E+307,'Price History'!$A:$A))-'Price History'!D3)*(ROW()-3)/(MATCH(9.99E+307,'Returns (Calc)'!$A:$A)-3),"")</f>
        <v>43.925283018868</v>
      </c>
      <c r="Z150" s="145" t="n">
        <f aca="false">IFERROR('Price History'!E3+(INDEX('Price History'!E:E,MATCH(9.99E+307,'Price History'!$A:$A))-'Price History'!E3)*(ROW()-3)/(MATCH(9.99E+307,'Returns (Calc)'!$A:$A)-3),"")</f>
        <v>6.18867924528301</v>
      </c>
      <c r="AA150" s="145" t="n">
        <f aca="false">IFERROR('Price History'!F3+(INDEX('Price History'!F:F,MATCH(9.99E+307,'Price History'!$A:$A))-'Price History'!F3)*(ROW()-3)/(MATCH(9.99E+307,'Returns (Calc)'!$A:$A)-3),"")</f>
        <v>5.68377358490567</v>
      </c>
      <c r="AB150" s="145" t="n">
        <f aca="false">IFERROR('Price History'!G3+(INDEX('Price History'!G:G,MATCH(9.99E+307,'Price History'!$A:$A))-'Price History'!G3)*(ROW()-3)/(MATCH(9.99E+307,'Returns (Calc)'!$A:$A)-3),"")</f>
        <v>3.12150943396227</v>
      </c>
      <c r="AC150" s="145" t="n">
        <f aca="false">IFERROR('Price History'!H3+(INDEX('Price History'!H:H,MATCH(9.99E+307,'Price History'!$A:$A))-'Price History'!H3)*(ROW()-3)/(MATCH(9.99E+307,'Returns (Calc)'!$A:$A)-3),"")</f>
        <v>7.59169811320754</v>
      </c>
      <c r="AD150" s="145" t="n">
        <f aca="false">IFERROR('Price History'!I3+(INDEX('Price History'!I:I,MATCH(9.99E+307,'Price History'!$A:$A))-'Price History'!I3)*(ROW()-3)/(MATCH(9.99E+307,'Returns (Calc)'!$A:$A)-3),"")</f>
        <v>3.34716981132075</v>
      </c>
      <c r="AE150" s="145" t="n">
        <f aca="false">IFERROR('Price History'!J3+(INDEX('Price History'!J:J,MATCH(9.99E+307,'Price History'!$A:$A))-'Price History'!J3)*(ROW()-3)/(MATCH(9.99E+307,'Returns (Calc)'!$A:$A)-3),"")</f>
        <v>5.21584905660377</v>
      </c>
      <c r="AF150" s="145" t="n">
        <f aca="false">IFERROR('Price History'!K3+(INDEX('Price History'!K:K,MATCH(9.99E+307,'Price History'!$A:$A))-'Price History'!K3)*(ROW()-3)/(MATCH(9.99E+307,'Returns (Calc)'!$A:$A)-3),"")</f>
        <v>3.3033962264151</v>
      </c>
      <c r="AG150" s="145" t="n">
        <f aca="false">IFERROR('Price History'!L3+(INDEX('Price History'!L:L,MATCH(9.99E+307,'Price History'!$A:$A))-'Price History'!L3)*(ROW()-3)/(MATCH(9.99E+307,'Returns (Calc)'!$A:$A)-3),"")</f>
        <v>8.44075471698113</v>
      </c>
      <c r="AH150" s="145" t="n">
        <f aca="false">IFERROR('Price History'!M3+(INDEX('Price History'!M:M,MATCH(9.99E+307,'Price History'!$A:$A))-'Price History'!M3)*(ROW()-3)/(MATCH(9.99E+307,'Returns (Calc)'!$A:$A)-3),"")</f>
        <v>1.15698113207547</v>
      </c>
      <c r="AI150" s="145" t="n">
        <f aca="false">IFERROR('Price History'!N3+(INDEX('Price History'!N:N,MATCH(9.99E+307,'Price History'!$A:$A))-'Price History'!N3)*(ROW()-3)/(MATCH(9.99E+307,'Returns (Calc)'!$A:$A)-3),"")</f>
        <v>1.64528301886793</v>
      </c>
      <c r="AJ150" s="145" t="n">
        <f aca="false">IFERROR('Price History'!O3+(INDEX('Price History'!O:O,MATCH(9.99E+307,'Price History'!$A:$A))-'Price History'!O3)*(ROW()-3)/(MATCH(9.99E+307,'Returns (Calc)'!$A:$A)-3),"")</f>
        <v>4.34943396226415</v>
      </c>
      <c r="AK150" s="145" t="n">
        <f aca="false">IFERROR('Price History'!Q3+(INDEX('Price History'!Q:Q,MATCH(9.99E+307,'Price History'!$A:$A))-'Price History'!Q3)*(ROW()-3)/(MATCH(9.99E+307,'Returns (Calc)'!$A:$A)-3),"")</f>
        <v>17.7833962264151</v>
      </c>
      <c r="AL150" s="145" t="n">
        <f aca="false">IFERROR('Price History'!R3+(INDEX('Price History'!R:R,MATCH(9.99E+307,'Price History'!$A:$A))-'Price History'!R3)*(ROW()-3)/(MATCH(9.99E+307,'Returns (Calc)'!$A:$A)-3),"")</f>
        <v>3.60905660377359</v>
      </c>
      <c r="AM150" s="145" t="n">
        <f aca="false">IFERROR('Price History'!S3+(INDEX('Price History'!S:S,MATCH(9.99E+307,'Price History'!$A:$A))-'Price History'!S3)*(ROW()-3)/(MATCH(9.99E+307,'Returns (Calc)'!$A:$A)-3),"")</f>
        <v>4.41811320754717</v>
      </c>
      <c r="AN150" s="145" t="n">
        <f aca="false">IFERROR('Price History'!T3+(INDEX('Price History'!T:T,MATCH(9.99E+307,'Price History'!$A:$A))-'Price History'!T3)*(ROW()-3)/(MATCH(9.99E+307,'Returns (Calc)'!$A:$A)-3),"")</f>
        <v>2.03094339622642</v>
      </c>
      <c r="AO150" s="146" t="n">
        <f aca="false">IFERROR('Price History'!V3+(INDEX('Price History'!V:V,MATCH(9.99E+307,'Price History'!$A:$A))-'Price History'!V3)*(ROW()-3)/(MATCH(9.99E+307,'Returns (Calc)'!$A:$A)-3),"")</f>
        <v>0</v>
      </c>
    </row>
    <row r="151" customFormat="false" ht="15" hidden="false" customHeight="true" outlineLevel="0" collapsed="false">
      <c r="A151" s="142" t="n">
        <f aca="false">IF('Price History'!A152="","",'Price History'!A152)</f>
        <v>46227</v>
      </c>
      <c r="B151" s="143" t="n">
        <f aca="false">IFERROR(IF(OR(NOT(ISNUMBER('Price History'!B152)),NOT(ISNUMBER('Price History'!B151)),'Price History'!B151=0),"",'Price History'!B152/'Price History'!B151-1),"")</f>
        <v>-0.0511696522655426</v>
      </c>
      <c r="C151" s="143" t="n">
        <f aca="false">IFERROR(IF(OR(NOT(ISNUMBER('Price History'!C152)),NOT(ISNUMBER('Price History'!C151)),'Price History'!C151=0),"",'Price History'!C152/'Price History'!C151-1),"")</f>
        <v>0.0319079532649309</v>
      </c>
      <c r="D151" s="143" t="n">
        <f aca="false">IFERROR(IF(OR(NOT(ISNUMBER('Price History'!D152)),NOT(ISNUMBER('Price History'!D151)),'Price History'!D151=0),"",'Price History'!D152/'Price History'!D151-1),"")</f>
        <v>0.00544312790777624</v>
      </c>
      <c r="E151" s="143" t="n">
        <f aca="false">IFERROR(IF(OR(NOT(ISNUMBER('Price History'!E152)),NOT(ISNUMBER('Price History'!E151)),'Price History'!E151=0),"",'Price History'!E152/'Price History'!E151-1),"")</f>
        <v>0.029905986600389</v>
      </c>
      <c r="F151" s="143" t="n">
        <f aca="false">IFERROR(IF(OR(NOT(ISNUMBER('Price History'!F152)),NOT(ISNUMBER('Price History'!F151)),'Price History'!F151=0),"",'Price History'!F152/'Price History'!F151-1),"")</f>
        <v>-0.000560268929085894</v>
      </c>
      <c r="G151" s="143" t="n">
        <f aca="false">IFERROR(IF(OR(NOT(ISNUMBER('Price History'!G152)),NOT(ISNUMBER('Price History'!G151)),'Price History'!G151=0),"",'Price History'!G152/'Price History'!G151-1),"")</f>
        <v>-0.0974985227496553</v>
      </c>
      <c r="H151" s="143" t="n">
        <f aca="false">IFERROR(IF(OR(NOT(ISNUMBER('Price History'!H152)),NOT(ISNUMBER('Price History'!H151)),'Price History'!H151=0),"",'Price History'!H152/'Price History'!H151-1),"")</f>
        <v>0.00716466263784188</v>
      </c>
      <c r="I151" s="143" t="n">
        <f aca="false">IFERROR(IF(OR(NOT(ISNUMBER('Price History'!I152)),NOT(ISNUMBER('Price History'!I151)),'Price History'!I151=0),"",'Price History'!I152/'Price History'!I151-1),"")</f>
        <v>-0.0104936238294668</v>
      </c>
      <c r="J151" s="143" t="n">
        <f aca="false">IFERROR(IF(OR(NOT(ISNUMBER('Price History'!J152)),NOT(ISNUMBER('Price History'!J151)),'Price History'!J151=0),"",'Price History'!J152/'Price History'!J151-1),"")</f>
        <v>0.0848106484480828</v>
      </c>
      <c r="K151" s="143" t="n">
        <f aca="false">IFERROR(IF(OR(NOT(ISNUMBER('Price History'!K152)),NOT(ISNUMBER('Price History'!K151)),'Price History'!K151=0),"",'Price History'!K152/'Price History'!K151-1),"")</f>
        <v>0.0198933754566097</v>
      </c>
      <c r="L151" s="143" t="n">
        <f aca="false">IFERROR(IF(OR(NOT(ISNUMBER('Price History'!L152)),NOT(ISNUMBER('Price History'!L151)),'Price History'!L151=0),"",'Price History'!L152/'Price History'!L151-1),"")</f>
        <v>-0.0144001076643565</v>
      </c>
      <c r="M151" s="143" t="n">
        <f aca="false">IFERROR(IF(OR(NOT(ISNUMBER('Price History'!M152)),NOT(ISNUMBER('Price History'!M151)),'Price History'!M151=0),"",'Price History'!M152/'Price History'!M151-1),"")</f>
        <v>-0.0714609457621996</v>
      </c>
      <c r="N151" s="143" t="n">
        <f aca="false">IFERROR(IF(OR(NOT(ISNUMBER('Price History'!N152)),NOT(ISNUMBER('Price History'!N151)),'Price History'!N151=0),"",'Price History'!N152/'Price History'!N151-1),"")</f>
        <v>0.0116385911179173</v>
      </c>
      <c r="O151" s="143" t="n">
        <f aca="false">IFERROR(IF(OR(NOT(ISNUMBER('Price History'!O152)),NOT(ISNUMBER('Price History'!O151)),'Price History'!O151=0),"",'Price History'!O152/'Price History'!O151-1),"")</f>
        <v>0.0181678964221079</v>
      </c>
      <c r="P151" s="143" t="n">
        <f aca="false">IFERROR(IF(OR(NOT(ISNUMBER('Price History'!P152)),NOT(ISNUMBER('Price History'!P151)),'Price History'!P151=0),"",'Price History'!P152/'Price History'!P151-1),"")</f>
        <v>0.0126604580921217</v>
      </c>
      <c r="Q151" s="143" t="n">
        <f aca="false">IFERROR(IF(OR(NOT(ISNUMBER('Price History'!Q152)),NOT(ISNUMBER('Price History'!Q151)),'Price History'!Q151=0),"",'Price History'!Q152/'Price History'!Q151-1),"")</f>
        <v>-0.00787929589270742</v>
      </c>
      <c r="R151" s="143" t="n">
        <f aca="false">IFERROR(IF(OR(NOT(ISNUMBER('Price History'!R152)),NOT(ISNUMBER('Price History'!R151)),'Price History'!R151=0),"",'Price History'!R152/'Price History'!R151-1),"")</f>
        <v>0.0247243568326094</v>
      </c>
      <c r="S151" s="143" t="n">
        <f aca="false">IFERROR(IF(OR(NOT(ISNUMBER('Price History'!S152)),NOT(ISNUMBER('Price History'!S151)),'Price History'!S151=0),"",'Price History'!S152/'Price History'!S151-1),"")</f>
        <v>0.0486621196222457</v>
      </c>
      <c r="T151" s="143" t="n">
        <f aca="false">IFERROR(IF(OR(NOT(ISNUMBER('Price History'!T152)),NOT(ISNUMBER('Price History'!T151)),'Price History'!T151=0),"",'Price History'!T152/'Price History'!T151-1),"")</f>
        <v>-0.0224670555195506</v>
      </c>
      <c r="U151" s="143" t="str">
        <f aca="false">IFERROR(IF(OR(NOT(ISNUMBER('Price History'!U152)),NOT(ISNUMBER('Price History'!U151)),'Price History'!U151=0),"",'Price History'!U152/'Price History'!U151-1),"")</f>
        <v/>
      </c>
      <c r="V151" s="144" t="str">
        <f aca="false">IFERROR(IF(OR(NOT(ISNUMBER('Price History'!V152)),NOT(ISNUMBER('Price History'!V151)),'Price History'!V151=0),"",'Price History'!V152/'Price History'!V151-1),"")</f>
        <v/>
      </c>
      <c r="W151" s="145" t="str">
        <f aca="false">IFERROR('Price History'!B3+(INDEX('Price History'!B:B,MATCH(9.99E+307,'Price History'!$A:$A))-'Price History'!B3)*(ROW()-3)/(MATCH(9.99E+307,'Returns (Calc)'!$A:$A)-3),"")</f>
        <v/>
      </c>
      <c r="X151" s="145" t="n">
        <f aca="false">IFERROR('Price History'!C3+(INDEX('Price History'!C:C,MATCH(9.99E+307,'Price History'!$A:$A))-'Price History'!C3)*(ROW()-3)/(MATCH(9.99E+307,'Returns (Calc)'!$A:$A)-3),"")</f>
        <v>3.1948427672956</v>
      </c>
      <c r="Y151" s="145" t="n">
        <f aca="false">IFERROR('Price History'!D3+(INDEX('Price History'!D:D,MATCH(9.99E+307,'Price History'!$A:$A))-'Price History'!D3)*(ROW()-3)/(MATCH(9.99E+307,'Returns (Calc)'!$A:$A)-3),"")</f>
        <v>40.2648427672956</v>
      </c>
      <c r="Z151" s="145" t="n">
        <f aca="false">IFERROR('Price History'!E3+(INDEX('Price History'!E:E,MATCH(9.99E+307,'Price History'!$A:$A))-'Price History'!E3)*(ROW()-3)/(MATCH(9.99E+307,'Returns (Calc)'!$A:$A)-3),"")</f>
        <v>5.67295597484277</v>
      </c>
      <c r="AA151" s="145" t="n">
        <f aca="false">IFERROR('Price History'!F3+(INDEX('Price History'!F:F,MATCH(9.99E+307,'Price History'!$A:$A))-'Price History'!F3)*(ROW()-3)/(MATCH(9.99E+307,'Returns (Calc)'!$A:$A)-3),"")</f>
        <v>5.21012578616352</v>
      </c>
      <c r="AB151" s="145" t="n">
        <f aca="false">IFERROR('Price History'!G3+(INDEX('Price History'!G:G,MATCH(9.99E+307,'Price History'!$A:$A))-'Price History'!G3)*(ROW()-3)/(MATCH(9.99E+307,'Returns (Calc)'!$A:$A)-3),"")</f>
        <v>2.86138364779875</v>
      </c>
      <c r="AC151" s="145" t="n">
        <f aca="false">IFERROR('Price History'!H3+(INDEX('Price History'!H:H,MATCH(9.99E+307,'Price History'!$A:$A))-'Price History'!H3)*(ROW()-3)/(MATCH(9.99E+307,'Returns (Calc)'!$A:$A)-3),"")</f>
        <v>6.95905660377359</v>
      </c>
      <c r="AD151" s="145" t="n">
        <f aca="false">IFERROR('Price History'!I3+(INDEX('Price History'!I:I,MATCH(9.99E+307,'Price History'!$A:$A))-'Price History'!I3)*(ROW()-3)/(MATCH(9.99E+307,'Returns (Calc)'!$A:$A)-3),"")</f>
        <v>3.06823899371069</v>
      </c>
      <c r="AE151" s="145" t="n">
        <f aca="false">IFERROR('Price History'!J3+(INDEX('Price History'!J:J,MATCH(9.99E+307,'Price History'!$A:$A))-'Price History'!J3)*(ROW()-3)/(MATCH(9.99E+307,'Returns (Calc)'!$A:$A)-3),"")</f>
        <v>4.78119496855345</v>
      </c>
      <c r="AF151" s="145" t="n">
        <f aca="false">IFERROR('Price History'!K3+(INDEX('Price History'!K:K,MATCH(9.99E+307,'Price History'!$A:$A))-'Price History'!K3)*(ROW()-3)/(MATCH(9.99E+307,'Returns (Calc)'!$A:$A)-3),"")</f>
        <v>3.02811320754717</v>
      </c>
      <c r="AG151" s="145" t="n">
        <f aca="false">IFERROR('Price History'!L3+(INDEX('Price History'!L:L,MATCH(9.99E+307,'Price History'!$A:$A))-'Price History'!L3)*(ROW()-3)/(MATCH(9.99E+307,'Returns (Calc)'!$A:$A)-3),"")</f>
        <v>7.73735849056604</v>
      </c>
      <c r="AH151" s="145" t="n">
        <f aca="false">IFERROR('Price History'!M3+(INDEX('Price History'!M:M,MATCH(9.99E+307,'Price History'!$A:$A))-'Price History'!M3)*(ROW()-3)/(MATCH(9.99E+307,'Returns (Calc)'!$A:$A)-3),"")</f>
        <v>1.06056603773585</v>
      </c>
      <c r="AI151" s="145" t="n">
        <f aca="false">IFERROR('Price History'!N3+(INDEX('Price History'!N:N,MATCH(9.99E+307,'Price History'!$A:$A))-'Price History'!N3)*(ROW()-3)/(MATCH(9.99E+307,'Returns (Calc)'!$A:$A)-3),"")</f>
        <v>1.50817610062893</v>
      </c>
      <c r="AJ151" s="145" t="n">
        <f aca="false">IFERROR('Price History'!O3+(INDEX('Price History'!O:O,MATCH(9.99E+307,'Price History'!$A:$A))-'Price History'!O3)*(ROW()-3)/(MATCH(9.99E+307,'Returns (Calc)'!$A:$A)-3),"")</f>
        <v>3.98698113207548</v>
      </c>
      <c r="AK151" s="145" t="n">
        <f aca="false">IFERROR('Price History'!Q3+(INDEX('Price History'!Q:Q,MATCH(9.99E+307,'Price History'!$A:$A))-'Price History'!Q3)*(ROW()-3)/(MATCH(9.99E+307,'Returns (Calc)'!$A:$A)-3),"")</f>
        <v>16.3014465408805</v>
      </c>
      <c r="AL151" s="145" t="n">
        <f aca="false">IFERROR('Price History'!R3+(INDEX('Price History'!R:R,MATCH(9.99E+307,'Price History'!$A:$A))-'Price History'!R3)*(ROW()-3)/(MATCH(9.99E+307,'Returns (Calc)'!$A:$A)-3),"")</f>
        <v>3.30830188679246</v>
      </c>
      <c r="AM151" s="145" t="n">
        <f aca="false">IFERROR('Price History'!S3+(INDEX('Price History'!S:S,MATCH(9.99E+307,'Price History'!$A:$A))-'Price History'!S3)*(ROW()-3)/(MATCH(9.99E+307,'Returns (Calc)'!$A:$A)-3),"")</f>
        <v>4.04993710691824</v>
      </c>
      <c r="AN151" s="145" t="n">
        <f aca="false">IFERROR('Price History'!T3+(INDEX('Price History'!T:T,MATCH(9.99E+307,'Price History'!$A:$A))-'Price History'!T3)*(ROW()-3)/(MATCH(9.99E+307,'Returns (Calc)'!$A:$A)-3),"")</f>
        <v>1.86169811320755</v>
      </c>
      <c r="AO151" s="146" t="n">
        <f aca="false">IFERROR('Price History'!V3+(INDEX('Price History'!V:V,MATCH(9.99E+307,'Price History'!$A:$A))-'Price History'!V3)*(ROW()-3)/(MATCH(9.99E+307,'Returns (Calc)'!$A:$A)-3),"")</f>
        <v>0</v>
      </c>
    </row>
    <row r="152" customFormat="false" ht="15" hidden="false" customHeight="true" outlineLevel="0" collapsed="false">
      <c r="A152" s="142" t="n">
        <f aca="false">IF('Price History'!A153="","",'Price History'!A153)</f>
        <v>46234</v>
      </c>
      <c r="B152" s="143" t="n">
        <f aca="false">IFERROR(IF(OR(NOT(ISNUMBER('Price History'!B153)),NOT(ISNUMBER('Price History'!B152)),'Price History'!B152=0),"",'Price History'!B153/'Price History'!B152-1),"")</f>
        <v>0.112389498467416</v>
      </c>
      <c r="C152" s="143" t="n">
        <f aca="false">IFERROR(IF(OR(NOT(ISNUMBER('Price History'!C153)),NOT(ISNUMBER('Price History'!C152)),'Price History'!C152=0),"",'Price History'!C153/'Price History'!C152-1),"")</f>
        <v>0.0365538249324673</v>
      </c>
      <c r="D152" s="143" t="n">
        <f aca="false">IFERROR(IF(OR(NOT(ISNUMBER('Price History'!D153)),NOT(ISNUMBER('Price History'!D152)),'Price History'!D152=0),"",'Price History'!D153/'Price History'!D152-1),"")</f>
        <v>-0.071699661503744</v>
      </c>
      <c r="E152" s="143" t="n">
        <f aca="false">IFERROR(IF(OR(NOT(ISNUMBER('Price History'!E153)),NOT(ISNUMBER('Price History'!E152)),'Price History'!E152=0),"",'Price History'!E153/'Price History'!E152-1),"")</f>
        <v>0.019253469034441</v>
      </c>
      <c r="F152" s="143" t="n">
        <f aca="false">IFERROR(IF(OR(NOT(ISNUMBER('Price History'!F153)),NOT(ISNUMBER('Price History'!F152)),'Price History'!F152=0),"",'Price History'!F153/'Price History'!F152-1),"")</f>
        <v>0</v>
      </c>
      <c r="G152" s="143" t="n">
        <f aca="false">IFERROR(IF(OR(NOT(ISNUMBER('Price History'!G153)),NOT(ISNUMBER('Price History'!G152)),'Price History'!G152=0),"",'Price History'!G153/'Price History'!G152-1),"")</f>
        <v>0.0413574858140551</v>
      </c>
      <c r="H152" s="143" t="n">
        <f aca="false">IFERROR(IF(OR(NOT(ISNUMBER('Price History'!H153)),NOT(ISNUMBER('Price History'!H152)),'Price History'!H152=0),"",'Price History'!H153/'Price History'!H152-1),"")</f>
        <v>-0.0109489051094891</v>
      </c>
      <c r="I152" s="143" t="n">
        <f aca="false">IFERROR(IF(OR(NOT(ISNUMBER('Price History'!I153)),NOT(ISNUMBER('Price History'!I152)),'Price History'!I152=0),"",'Price History'!I153/'Price History'!I152-1),"")</f>
        <v>-0.1315864561537</v>
      </c>
      <c r="J152" s="143" t="n">
        <f aca="false">IFERROR(IF(OR(NOT(ISNUMBER('Price History'!J153)),NOT(ISNUMBER('Price History'!J152)),'Price History'!J152=0),"",'Price History'!J153/'Price History'!J152-1),"")</f>
        <v>-0.106324990498941</v>
      </c>
      <c r="K152" s="143" t="n">
        <f aca="false">IFERROR(IF(OR(NOT(ISNUMBER('Price History'!K153)),NOT(ISNUMBER('Price History'!K152)),'Price History'!K152=0),"",'Price History'!K153/'Price History'!K152-1),"")</f>
        <v>-0.0294274236484198</v>
      </c>
      <c r="L152" s="143" t="n">
        <f aca="false">IFERROR(IF(OR(NOT(ISNUMBER('Price History'!L153)),NOT(ISNUMBER('Price History'!L152)),'Price History'!L152=0),"",'Price History'!L153/'Price History'!L152-1),"")</f>
        <v>-0.0204820099679115</v>
      </c>
      <c r="M152" s="143" t="n">
        <f aca="false">IFERROR(IF(OR(NOT(ISNUMBER('Price History'!M153)),NOT(ISNUMBER('Price History'!M152)),'Price History'!M152=0),"",'Price History'!M153/'Price History'!M152-1),"")</f>
        <v>0.00113895216400906</v>
      </c>
      <c r="N152" s="143" t="n">
        <f aca="false">IFERROR(IF(OR(NOT(ISNUMBER('Price History'!N153)),NOT(ISNUMBER('Price History'!N152)),'Price History'!N152=0),"",'Price History'!N153/'Price History'!N152-1),"")</f>
        <v>0.00544959128065403</v>
      </c>
      <c r="O152" s="143" t="n">
        <f aca="false">IFERROR(IF(OR(NOT(ISNUMBER('Price History'!O153)),NOT(ISNUMBER('Price History'!O152)),'Price History'!O152=0),"",'Price History'!O153/'Price History'!O152-1),"")</f>
        <v>-0.0182539139946675</v>
      </c>
      <c r="P152" s="143" t="n">
        <f aca="false">IFERROR(IF(OR(NOT(ISNUMBER('Price History'!P153)),NOT(ISNUMBER('Price History'!P152)),'Price History'!P152=0),"",'Price History'!P153/'Price History'!P152-1),"")</f>
        <v>0.00208783834165982</v>
      </c>
      <c r="Q152" s="143" t="n">
        <f aca="false">IFERROR(IF(OR(NOT(ISNUMBER('Price History'!Q153)),NOT(ISNUMBER('Price History'!Q152)),'Price History'!Q152=0),"",'Price History'!Q153/'Price History'!Q152-1),"")</f>
        <v>0.0292046862678834</v>
      </c>
      <c r="R152" s="143" t="n">
        <f aca="false">IFERROR(IF(OR(NOT(ISNUMBER('Price History'!R153)),NOT(ISNUMBER('Price History'!R152)),'Price History'!R152=0),"",'Price History'!R153/'Price History'!R152-1),"")</f>
        <v>-0.0313009455493969</v>
      </c>
      <c r="S152" s="143" t="n">
        <f aca="false">IFERROR(IF(OR(NOT(ISNUMBER('Price History'!S153)),NOT(ISNUMBER('Price History'!S152)),'Price History'!S152=0),"",'Price History'!S153/'Price History'!S152-1),"")</f>
        <v>-0.0356472795497187</v>
      </c>
      <c r="T152" s="143" t="n">
        <f aca="false">IFERROR(IF(OR(NOT(ISNUMBER('Price History'!T153)),NOT(ISNUMBER('Price History'!T152)),'Price History'!T152=0),"",'Price History'!T153/'Price History'!T152-1),"")</f>
        <v>0.0207734806629833</v>
      </c>
      <c r="U152" s="143" t="str">
        <f aca="false">IFERROR(IF(OR(NOT(ISNUMBER('Price History'!U153)),NOT(ISNUMBER('Price History'!U152)),'Price History'!U152=0),"",'Price History'!U153/'Price History'!U152-1),"")</f>
        <v/>
      </c>
      <c r="V152" s="144" t="str">
        <f aca="false">IFERROR(IF(OR(NOT(ISNUMBER('Price History'!V153)),NOT(ISNUMBER('Price History'!V152)),'Price History'!V152=0),"",'Price History'!V153/'Price History'!V152-1),"")</f>
        <v/>
      </c>
      <c r="W152" s="145" t="str">
        <f aca="false">IFERROR('Price History'!B3+(INDEX('Price History'!B:B,MATCH(9.99E+307,'Price History'!$A:$A))-'Price History'!B3)*(ROW()-3)/(MATCH(9.99E+307,'Returns (Calc)'!$A:$A)-3),"")</f>
        <v/>
      </c>
      <c r="X152" s="145" t="n">
        <f aca="false">IFERROR('Price History'!C3+(INDEX('Price History'!C:C,MATCH(9.99E+307,'Price History'!$A:$A))-'Price History'!C3)*(ROW()-3)/(MATCH(9.99E+307,'Returns (Calc)'!$A:$A)-3),"")</f>
        <v>2.90440251572327</v>
      </c>
      <c r="Y152" s="145" t="n">
        <f aca="false">IFERROR('Price History'!D3+(INDEX('Price History'!D:D,MATCH(9.99E+307,'Price History'!$A:$A))-'Price History'!D3)*(ROW()-3)/(MATCH(9.99E+307,'Returns (Calc)'!$A:$A)-3),"")</f>
        <v>36.6044025157232</v>
      </c>
      <c r="Z152" s="145" t="n">
        <f aca="false">IFERROR('Price History'!E3+(INDEX('Price History'!E:E,MATCH(9.99E+307,'Price History'!$A:$A))-'Price History'!E3)*(ROW()-3)/(MATCH(9.99E+307,'Returns (Calc)'!$A:$A)-3),"")</f>
        <v>5.15723270440252</v>
      </c>
      <c r="AA152" s="145" t="n">
        <f aca="false">IFERROR('Price History'!F3+(INDEX('Price History'!F:F,MATCH(9.99E+307,'Price History'!$A:$A))-'Price History'!F3)*(ROW()-3)/(MATCH(9.99E+307,'Returns (Calc)'!$A:$A)-3),"")</f>
        <v>4.73647798742138</v>
      </c>
      <c r="AB152" s="145" t="n">
        <f aca="false">IFERROR('Price History'!G3+(INDEX('Price History'!G:G,MATCH(9.99E+307,'Price History'!$A:$A))-'Price History'!G3)*(ROW()-3)/(MATCH(9.99E+307,'Returns (Calc)'!$A:$A)-3),"")</f>
        <v>2.60125786163522</v>
      </c>
      <c r="AC152" s="145" t="n">
        <f aca="false">IFERROR('Price History'!H3+(INDEX('Price History'!H:H,MATCH(9.99E+307,'Price History'!$A:$A))-'Price History'!H3)*(ROW()-3)/(MATCH(9.99E+307,'Returns (Calc)'!$A:$A)-3),"")</f>
        <v>6.32641509433962</v>
      </c>
      <c r="AD152" s="145" t="n">
        <f aca="false">IFERROR('Price History'!I3+(INDEX('Price History'!I:I,MATCH(9.99E+307,'Price History'!$A:$A))-'Price History'!I3)*(ROW()-3)/(MATCH(9.99E+307,'Returns (Calc)'!$A:$A)-3),"")</f>
        <v>2.78930817610063</v>
      </c>
      <c r="AE152" s="145" t="n">
        <f aca="false">IFERROR('Price History'!J3+(INDEX('Price History'!J:J,MATCH(9.99E+307,'Price History'!$A:$A))-'Price History'!J3)*(ROW()-3)/(MATCH(9.99E+307,'Returns (Calc)'!$A:$A)-3),"")</f>
        <v>4.34654088050314</v>
      </c>
      <c r="AF152" s="145" t="n">
        <f aca="false">IFERROR('Price History'!K3+(INDEX('Price History'!K:K,MATCH(9.99E+307,'Price History'!$A:$A))-'Price History'!K3)*(ROW()-3)/(MATCH(9.99E+307,'Returns (Calc)'!$A:$A)-3),"")</f>
        <v>2.75283018867925</v>
      </c>
      <c r="AG152" s="145" t="n">
        <f aca="false">IFERROR('Price History'!L3+(INDEX('Price History'!L:L,MATCH(9.99E+307,'Price History'!$A:$A))-'Price History'!L3)*(ROW()-3)/(MATCH(9.99E+307,'Returns (Calc)'!$A:$A)-3),"")</f>
        <v>7.03396226415094</v>
      </c>
      <c r="AH152" s="145" t="n">
        <f aca="false">IFERROR('Price History'!M3+(INDEX('Price History'!M:M,MATCH(9.99E+307,'Price History'!$A:$A))-'Price History'!M3)*(ROW()-3)/(MATCH(9.99E+307,'Returns (Calc)'!$A:$A)-3),"")</f>
        <v>0.964150943396225</v>
      </c>
      <c r="AI152" s="145" t="n">
        <f aca="false">IFERROR('Price History'!N3+(INDEX('Price History'!N:N,MATCH(9.99E+307,'Price History'!$A:$A))-'Price History'!N3)*(ROW()-3)/(MATCH(9.99E+307,'Returns (Calc)'!$A:$A)-3),"")</f>
        <v>1.37106918238993</v>
      </c>
      <c r="AJ152" s="145" t="n">
        <f aca="false">IFERROR('Price History'!O3+(INDEX('Price History'!O:O,MATCH(9.99E+307,'Price History'!$A:$A))-'Price History'!O3)*(ROW()-3)/(MATCH(9.99E+307,'Returns (Calc)'!$A:$A)-3),"")</f>
        <v>3.62452830188679</v>
      </c>
      <c r="AK152" s="145" t="n">
        <f aca="false">IFERROR('Price History'!Q3+(INDEX('Price History'!Q:Q,MATCH(9.99E+307,'Price History'!$A:$A))-'Price History'!Q3)*(ROW()-3)/(MATCH(9.99E+307,'Returns (Calc)'!$A:$A)-3),"")</f>
        <v>14.8194968553459</v>
      </c>
      <c r="AL152" s="145" t="n">
        <f aca="false">IFERROR('Price History'!R3+(INDEX('Price History'!R:R,MATCH(9.99E+307,'Price History'!$A:$A))-'Price History'!R3)*(ROW()-3)/(MATCH(9.99E+307,'Returns (Calc)'!$A:$A)-3),"")</f>
        <v>3.00754716981132</v>
      </c>
      <c r="AM152" s="145" t="n">
        <f aca="false">IFERROR('Price History'!S3+(INDEX('Price History'!S:S,MATCH(9.99E+307,'Price History'!$A:$A))-'Price History'!S3)*(ROW()-3)/(MATCH(9.99E+307,'Returns (Calc)'!$A:$A)-3),"")</f>
        <v>3.68176100628931</v>
      </c>
      <c r="AN152" s="145" t="n">
        <f aca="false">IFERROR('Price History'!T3+(INDEX('Price History'!T:T,MATCH(9.99E+307,'Price History'!$A:$A))-'Price History'!T3)*(ROW()-3)/(MATCH(9.99E+307,'Returns (Calc)'!$A:$A)-3),"")</f>
        <v>1.69245283018868</v>
      </c>
      <c r="AO152" s="146" t="n">
        <f aca="false">IFERROR('Price History'!V3+(INDEX('Price History'!V:V,MATCH(9.99E+307,'Price History'!$A:$A))-'Price History'!V3)*(ROW()-3)/(MATCH(9.99E+307,'Returns (Calc)'!$A:$A)-3),"")</f>
        <v>0</v>
      </c>
    </row>
    <row r="153" customFormat="false" ht="15" hidden="false" customHeight="true" outlineLevel="0" collapsed="false">
      <c r="A153" s="142" t="n">
        <f aca="false">IF('Price History'!A154="","",'Price History'!A154)</f>
        <v>46241</v>
      </c>
      <c r="B153" s="143" t="n">
        <f aca="false">IFERROR(IF(OR(NOT(ISNUMBER('Price History'!B154)),NOT(ISNUMBER('Price History'!B153)),'Price History'!B153=0),"",'Price History'!B154/'Price History'!B153-1),"")</f>
        <v>0.0591030709636196</v>
      </c>
      <c r="C153" s="143" t="n">
        <f aca="false">IFERROR(IF(OR(NOT(ISNUMBER('Price History'!C154)),NOT(ISNUMBER('Price History'!C153)),'Price History'!C153=0),"",'Price History'!C154/'Price History'!C153-1),"")</f>
        <v>0.046132520099806</v>
      </c>
      <c r="D153" s="143" t="n">
        <f aca="false">IFERROR(IF(OR(NOT(ISNUMBER('Price History'!D154)),NOT(ISNUMBER('Price History'!D153)),'Price History'!D153=0),"",'Price History'!D154/'Price History'!D153-1),"")</f>
        <v>0.0687476979742174</v>
      </c>
      <c r="E153" s="143" t="n">
        <f aca="false">IFERROR(IF(OR(NOT(ISNUMBER('Price History'!E154)),NOT(ISNUMBER('Price History'!E153)),'Price History'!E153=0),"",'Price History'!E154/'Price History'!E153-1),"")</f>
        <v>0.0988496281236329</v>
      </c>
      <c r="F153" s="143" t="n">
        <f aca="false">IFERROR(IF(OR(NOT(ISNUMBER('Price History'!F154)),NOT(ISNUMBER('Price History'!F153)),'Price History'!F153=0),"",'Price History'!F154/'Price History'!F153-1),"")</f>
        <v>0.0128133258588932</v>
      </c>
      <c r="G153" s="143" t="n">
        <f aca="false">IFERROR(IF(OR(NOT(ISNUMBER('Price History'!G154)),NOT(ISNUMBER('Price History'!G153)),'Price History'!G153=0),"",'Price History'!G154/'Price History'!G153-1),"")</f>
        <v>0.123441265849314</v>
      </c>
      <c r="H153" s="143" t="n">
        <f aca="false">IFERROR(IF(OR(NOT(ISNUMBER('Price History'!H154)),NOT(ISNUMBER('Price History'!H153)),'Price History'!H153=0),"",'Price History'!H154/'Price History'!H153-1),"")</f>
        <v>0.00431546688348261</v>
      </c>
      <c r="I153" s="143" t="n">
        <f aca="false">IFERROR(IF(OR(NOT(ISNUMBER('Price History'!I154)),NOT(ISNUMBER('Price History'!I153)),'Price History'!I153=0),"",'Price History'!I154/'Price History'!I153-1),"")</f>
        <v>0.0836755927933846</v>
      </c>
      <c r="J153" s="143" t="n">
        <f aca="false">IFERROR(IF(OR(NOT(ISNUMBER('Price History'!J154)),NOT(ISNUMBER('Price History'!J153)),'Price History'!J153=0),"",'Price History'!J154/'Price History'!J153-1),"")</f>
        <v>0.066267329258958</v>
      </c>
      <c r="K153" s="143" t="n">
        <f aca="false">IFERROR(IF(OR(NOT(ISNUMBER('Price History'!K154)),NOT(ISNUMBER('Price History'!K153)),'Price History'!K153=0),"",'Price History'!K154/'Price History'!K153-1),"")</f>
        <v>0.115593676756595</v>
      </c>
      <c r="L153" s="143" t="n">
        <f aca="false">IFERROR(IF(OR(NOT(ISNUMBER('Price History'!L154)),NOT(ISNUMBER('Price History'!L153)),'Price History'!L153=0),"",'Price History'!L154/'Price History'!L153-1),"")</f>
        <v>-0.0307381334076811</v>
      </c>
      <c r="M153" s="143" t="n">
        <f aca="false">IFERROR(IF(OR(NOT(ISNUMBER('Price History'!M154)),NOT(ISNUMBER('Price History'!M153)),'Price History'!M153=0),"",'Price History'!M154/'Price History'!M153-1),"")</f>
        <v>0.397773443848529</v>
      </c>
      <c r="N153" s="143" t="n">
        <f aca="false">IFERROR(IF(OR(NOT(ISNUMBER('Price History'!N154)),NOT(ISNUMBER('Price History'!N153)),'Price History'!N153=0),"",'Price History'!N154/'Price History'!N153-1),"")</f>
        <v>0.0126467931345982</v>
      </c>
      <c r="O153" s="143" t="n">
        <f aca="false">IFERROR(IF(OR(NOT(ISNUMBER('Price History'!O154)),NOT(ISNUMBER('Price History'!O153)),'Price History'!O153=0),"",'Price History'!O154/'Price History'!O153-1),"")</f>
        <v>0.0407381615598885</v>
      </c>
      <c r="P153" s="143" t="n">
        <f aca="false">IFERROR(IF(OR(NOT(ISNUMBER('Price History'!P154)),NOT(ISNUMBER('Price History'!P153)),'Price History'!P153=0),"",'Price History'!P154/'Price History'!P153-1),"")</f>
        <v>0.0390654066522806</v>
      </c>
      <c r="Q153" s="143" t="n">
        <f aca="false">IFERROR(IF(OR(NOT(ISNUMBER('Price History'!Q154)),NOT(ISNUMBER('Price History'!Q153)),'Price History'!Q153=0),"",'Price History'!Q154/'Price History'!Q153-1),"")</f>
        <v>-0.00990559584074435</v>
      </c>
      <c r="R153" s="143" t="n">
        <f aca="false">IFERROR(IF(OR(NOT(ISNUMBER('Price History'!R154)),NOT(ISNUMBER('Price History'!R153)),'Price History'!R153=0),"",'Price History'!R154/'Price History'!R153-1),"")</f>
        <v>-0.000504880511612238</v>
      </c>
      <c r="S153" s="143" t="n">
        <f aca="false">IFERROR(IF(OR(NOT(ISNUMBER('Price History'!S154)),NOT(ISNUMBER('Price History'!S153)),'Price History'!S153=0),"",'Price History'!S154/'Price History'!S153-1),"")</f>
        <v>-0.0218547341115433</v>
      </c>
      <c r="T153" s="143" t="n">
        <f aca="false">IFERROR(IF(OR(NOT(ISNUMBER('Price History'!T154)),NOT(ISNUMBER('Price History'!T153)),'Price History'!T153=0),"",'Price History'!T154/'Price History'!T153-1),"")</f>
        <v>0.0175362632604461</v>
      </c>
      <c r="U153" s="143" t="str">
        <f aca="false">IFERROR(IF(OR(NOT(ISNUMBER('Price History'!U154)),NOT(ISNUMBER('Price History'!U153)),'Price History'!U153=0),"",'Price History'!U154/'Price History'!U153-1),"")</f>
        <v/>
      </c>
      <c r="V153" s="144" t="str">
        <f aca="false">IFERROR(IF(OR(NOT(ISNUMBER('Price History'!V154)),NOT(ISNUMBER('Price History'!V153)),'Price History'!V153=0),"",'Price History'!V154/'Price History'!V153-1),"")</f>
        <v/>
      </c>
      <c r="W153" s="145" t="str">
        <f aca="false">IFERROR('Price History'!B3+(INDEX('Price History'!B:B,MATCH(9.99E+307,'Price History'!$A:$A))-'Price History'!B3)*(ROW()-3)/(MATCH(9.99E+307,'Returns (Calc)'!$A:$A)-3),"")</f>
        <v/>
      </c>
      <c r="X153" s="145" t="n">
        <f aca="false">IFERROR('Price History'!C3+(INDEX('Price History'!C:C,MATCH(9.99E+307,'Price History'!$A:$A))-'Price History'!C3)*(ROW()-3)/(MATCH(9.99E+307,'Returns (Calc)'!$A:$A)-3),"")</f>
        <v>2.61396226415094</v>
      </c>
      <c r="Y153" s="145" t="n">
        <f aca="false">IFERROR('Price History'!D3+(INDEX('Price History'!D:D,MATCH(9.99E+307,'Price History'!$A:$A))-'Price History'!D3)*(ROW()-3)/(MATCH(9.99E+307,'Returns (Calc)'!$A:$A)-3),"")</f>
        <v>32.943962264151</v>
      </c>
      <c r="Z153" s="145" t="n">
        <f aca="false">IFERROR('Price History'!E3+(INDEX('Price History'!E:E,MATCH(9.99E+307,'Price History'!$A:$A))-'Price History'!E3)*(ROW()-3)/(MATCH(9.99E+307,'Returns (Calc)'!$A:$A)-3),"")</f>
        <v>4.64150943396227</v>
      </c>
      <c r="AA153" s="145" t="n">
        <f aca="false">IFERROR('Price History'!F3+(INDEX('Price History'!F:F,MATCH(9.99E+307,'Price History'!$A:$A))-'Price History'!F3)*(ROW()-3)/(MATCH(9.99E+307,'Returns (Calc)'!$A:$A)-3),"")</f>
        <v>4.26283018867925</v>
      </c>
      <c r="AB153" s="145" t="n">
        <f aca="false">IFERROR('Price History'!G3+(INDEX('Price History'!G:G,MATCH(9.99E+307,'Price History'!$A:$A))-'Price History'!G3)*(ROW()-3)/(MATCH(9.99E+307,'Returns (Calc)'!$A:$A)-3),"")</f>
        <v>2.3411320754717</v>
      </c>
      <c r="AC153" s="145" t="n">
        <f aca="false">IFERROR('Price History'!H3+(INDEX('Price History'!H:H,MATCH(9.99E+307,'Price History'!$A:$A))-'Price History'!H3)*(ROW()-3)/(MATCH(9.99E+307,'Returns (Calc)'!$A:$A)-3),"")</f>
        <v>5.69377358490567</v>
      </c>
      <c r="AD153" s="145" t="n">
        <f aca="false">IFERROR('Price History'!I3+(INDEX('Price History'!I:I,MATCH(9.99E+307,'Price History'!$A:$A))-'Price History'!I3)*(ROW()-3)/(MATCH(9.99E+307,'Returns (Calc)'!$A:$A)-3),"")</f>
        <v>2.51037735849057</v>
      </c>
      <c r="AE153" s="145" t="n">
        <f aca="false">IFERROR('Price History'!J3+(INDEX('Price History'!J:J,MATCH(9.99E+307,'Price History'!$A:$A))-'Price History'!J3)*(ROW()-3)/(MATCH(9.99E+307,'Returns (Calc)'!$A:$A)-3),"")</f>
        <v>3.91188679245283</v>
      </c>
      <c r="AF153" s="145" t="n">
        <f aca="false">IFERROR('Price History'!K3+(INDEX('Price History'!K:K,MATCH(9.99E+307,'Price History'!$A:$A))-'Price History'!K3)*(ROW()-3)/(MATCH(9.99E+307,'Returns (Calc)'!$A:$A)-3),"")</f>
        <v>2.47754716981132</v>
      </c>
      <c r="AG153" s="145" t="n">
        <f aca="false">IFERROR('Price History'!L3+(INDEX('Price History'!L:L,MATCH(9.99E+307,'Price History'!$A:$A))-'Price History'!L3)*(ROW()-3)/(MATCH(9.99E+307,'Returns (Calc)'!$A:$A)-3),"")</f>
        <v>6.33056603773585</v>
      </c>
      <c r="AH153" s="145" t="n">
        <f aca="false">IFERROR('Price History'!M3+(INDEX('Price History'!M:M,MATCH(9.99E+307,'Price History'!$A:$A))-'Price History'!M3)*(ROW()-3)/(MATCH(9.99E+307,'Returns (Calc)'!$A:$A)-3),"")</f>
        <v>0.867735849056604</v>
      </c>
      <c r="AI153" s="145" t="n">
        <f aca="false">IFERROR('Price History'!N3+(INDEX('Price History'!N:N,MATCH(9.99E+307,'Price History'!$A:$A))-'Price History'!N3)*(ROW()-3)/(MATCH(9.99E+307,'Returns (Calc)'!$A:$A)-3),"")</f>
        <v>1.23396226415094</v>
      </c>
      <c r="AJ153" s="145" t="n">
        <f aca="false">IFERROR('Price History'!O3+(INDEX('Price History'!O:O,MATCH(9.99E+307,'Price History'!$A:$A))-'Price History'!O3)*(ROW()-3)/(MATCH(9.99E+307,'Returns (Calc)'!$A:$A)-3),"")</f>
        <v>3.26207547169812</v>
      </c>
      <c r="AK153" s="145" t="n">
        <f aca="false">IFERROR('Price History'!Q3+(INDEX('Price History'!Q:Q,MATCH(9.99E+307,'Price History'!$A:$A))-'Price History'!Q3)*(ROW()-3)/(MATCH(9.99E+307,'Returns (Calc)'!$A:$A)-3),"")</f>
        <v>13.3375471698113</v>
      </c>
      <c r="AL153" s="145" t="n">
        <f aca="false">IFERROR('Price History'!R3+(INDEX('Price History'!R:R,MATCH(9.99E+307,'Price History'!$A:$A))-'Price History'!R3)*(ROW()-3)/(MATCH(9.99E+307,'Returns (Calc)'!$A:$A)-3),"")</f>
        <v>2.70679245283019</v>
      </c>
      <c r="AM153" s="145" t="n">
        <f aca="false">IFERROR('Price History'!S3+(INDEX('Price History'!S:S,MATCH(9.99E+307,'Price History'!$A:$A))-'Price History'!S3)*(ROW()-3)/(MATCH(9.99E+307,'Returns (Calc)'!$A:$A)-3),"")</f>
        <v>3.31358490566038</v>
      </c>
      <c r="AN153" s="145" t="n">
        <f aca="false">IFERROR('Price History'!T3+(INDEX('Price History'!T:T,MATCH(9.99E+307,'Price History'!$A:$A))-'Price History'!T3)*(ROW()-3)/(MATCH(9.99E+307,'Returns (Calc)'!$A:$A)-3),"")</f>
        <v>1.52320754716981</v>
      </c>
      <c r="AO153" s="146" t="n">
        <f aca="false">IFERROR('Price History'!V3+(INDEX('Price History'!V:V,MATCH(9.99E+307,'Price History'!$A:$A))-'Price History'!V3)*(ROW()-3)/(MATCH(9.99E+307,'Returns (Calc)'!$A:$A)-3),"")</f>
        <v>0</v>
      </c>
    </row>
    <row r="154" customFormat="false" ht="15" hidden="false" customHeight="true" outlineLevel="0" collapsed="false">
      <c r="A154" s="142" t="n">
        <f aca="false">IF('Price History'!A155="","",'Price History'!A155)</f>
        <v>46248</v>
      </c>
      <c r="B154" s="143" t="n">
        <f aca="false">IFERROR(IF(OR(NOT(ISNUMBER('Price History'!B155)),NOT(ISNUMBER('Price History'!B154)),'Price History'!B154=0),"",'Price History'!B155/'Price History'!B154-1),"")</f>
        <v>-0.00448701029372944</v>
      </c>
      <c r="C154" s="143" t="n">
        <f aca="false">IFERROR(IF(OR(NOT(ISNUMBER('Price History'!C155)),NOT(ISNUMBER('Price History'!C154)),'Price History'!C154=0),"",'Price History'!C155/'Price History'!C154-1),"")</f>
        <v>0.0537976360841681</v>
      </c>
      <c r="D154" s="143" t="n">
        <f aca="false">IFERROR(IF(OR(NOT(ISNUMBER('Price History'!D155)),NOT(ISNUMBER('Price History'!D154)),'Price History'!D154=0),"",'Price History'!D155/'Price History'!D154-1),"")</f>
        <v>0.059213436033521</v>
      </c>
      <c r="E154" s="143" t="n">
        <f aca="false">IFERROR(IF(OR(NOT(ISNUMBER('Price History'!E155)),NOT(ISNUMBER('Price History'!E154)),'Price History'!E154=0),"",'Price History'!E155/'Price History'!E154-1),"")</f>
        <v>-0.0812684434868145</v>
      </c>
      <c r="F154" s="143" t="n">
        <f aca="false">IFERROR(IF(OR(NOT(ISNUMBER('Price History'!F155)),NOT(ISNUMBER('Price History'!F154)),'Price History'!F154=0),"",'Price History'!F155/'Price History'!F154-1),"")</f>
        <v>0.0145489048786274</v>
      </c>
      <c r="G154" s="143" t="n">
        <f aca="false">IFERROR(IF(OR(NOT(ISNUMBER('Price History'!G155)),NOT(ISNUMBER('Price History'!G154)),'Price History'!G154=0),"",'Price History'!G155/'Price History'!G154-1),"")</f>
        <v>0.0117992724559277</v>
      </c>
      <c r="H154" s="143" t="n">
        <f aca="false">IFERROR(IF(OR(NOT(ISNUMBER('Price History'!H155)),NOT(ISNUMBER('Price History'!H154)),'Price History'!H154=0),"",'Price History'!H155/'Price History'!H154-1),"")</f>
        <v>0.0222319093286836</v>
      </c>
      <c r="I154" s="143" t="n">
        <f aca="false">IFERROR(IF(OR(NOT(ISNUMBER('Price History'!I155)),NOT(ISNUMBER('Price History'!I154)),'Price History'!I154=0),"",'Price History'!I155/'Price History'!I154-1),"")</f>
        <v>0.028298549699328</v>
      </c>
      <c r="J154" s="143" t="n">
        <f aca="false">IFERROR(IF(OR(NOT(ISNUMBER('Price History'!J155)),NOT(ISNUMBER('Price History'!J154)),'Price History'!J154=0),"",'Price History'!J155/'Price History'!J154-1),"")</f>
        <v>0.107216518340417</v>
      </c>
      <c r="K154" s="143" t="n">
        <f aca="false">IFERROR(IF(OR(NOT(ISNUMBER('Price History'!K155)),NOT(ISNUMBER('Price History'!K154)),'Price History'!K154=0),"",'Price History'!K155/'Price History'!K154-1),"")</f>
        <v>0.00536408743462524</v>
      </c>
      <c r="L154" s="143" t="n">
        <f aca="false">IFERROR(IF(OR(NOT(ISNUMBER('Price History'!L155)),NOT(ISNUMBER('Price History'!L154)),'Price History'!L154=0),"",'Price History'!L155/'Price History'!L154-1),"")</f>
        <v>0.00618438084280149</v>
      </c>
      <c r="M154" s="143" t="n">
        <f aca="false">IFERROR(IF(OR(NOT(ISNUMBER('Price History'!M155)),NOT(ISNUMBER('Price History'!M154)),'Price History'!M154=0),"",'Price History'!M155/'Price History'!M154-1),"")</f>
        <v>0.0118016394395675</v>
      </c>
      <c r="N154" s="143" t="n">
        <f aca="false">IFERROR(IF(OR(NOT(ISNUMBER('Price History'!N155)),NOT(ISNUMBER('Price History'!N154)),'Price History'!N154=0),"",'Price History'!N155/'Price History'!N154-1),"")</f>
        <v>0.0184359203092477</v>
      </c>
      <c r="O154" s="143" t="n">
        <f aca="false">IFERROR(IF(OR(NOT(ISNUMBER('Price History'!O155)),NOT(ISNUMBER('Price History'!O154)),'Price History'!O154=0),"",'Price History'!O155/'Price History'!O154-1),"")</f>
        <v>0.0241552358648378</v>
      </c>
      <c r="P154" s="143" t="n">
        <f aca="false">IFERROR(IF(OR(NOT(ISNUMBER('Price History'!P155)),NOT(ISNUMBER('Price History'!P154)),'Price History'!P154=0),"",'Price History'!P155/'Price History'!P154-1),"")</f>
        <v>0.0150147999618064</v>
      </c>
      <c r="Q154" s="143" t="n">
        <f aca="false">IFERROR(IF(OR(NOT(ISNUMBER('Price History'!Q155)),NOT(ISNUMBER('Price History'!Q154)),'Price History'!Q154=0),"",'Price History'!Q155/'Price History'!Q154-1),"")</f>
        <v>0.0064118508691926</v>
      </c>
      <c r="R154" s="143" t="n">
        <f aca="false">IFERROR(IF(OR(NOT(ISNUMBER('Price History'!R155)),NOT(ISNUMBER('Price History'!R154)),'Price History'!R154=0),"",'Price History'!R155/'Price History'!R154-1),"")</f>
        <v>0.0188583936689677</v>
      </c>
      <c r="S154" s="143" t="n">
        <f aca="false">IFERROR(IF(OR(NOT(ISNUMBER('Price History'!S155)),NOT(ISNUMBER('Price History'!S154)),'Price History'!S154=0),"",'Price History'!S155/'Price History'!S154-1),"")</f>
        <v>0.0193595438573226</v>
      </c>
      <c r="T154" s="143" t="n">
        <f aca="false">IFERROR(IF(OR(NOT(ISNUMBER('Price History'!T155)),NOT(ISNUMBER('Price History'!T154)),'Price History'!T154=0),"",'Price History'!T155/'Price History'!T154-1),"")</f>
        <v>0.00829787234042545</v>
      </c>
      <c r="U154" s="143" t="str">
        <f aca="false">IFERROR(IF(OR(NOT(ISNUMBER('Price History'!U155)),NOT(ISNUMBER('Price History'!U154)),'Price History'!U154=0),"",'Price History'!U155/'Price History'!U154-1),"")</f>
        <v/>
      </c>
      <c r="V154" s="144" t="str">
        <f aca="false">IFERROR(IF(OR(NOT(ISNUMBER('Price History'!V155)),NOT(ISNUMBER('Price History'!V154)),'Price History'!V154=0),"",'Price History'!V155/'Price History'!V154-1),"")</f>
        <v/>
      </c>
      <c r="W154" s="145" t="str">
        <f aca="false">IFERROR('Price History'!B3+(INDEX('Price History'!B:B,MATCH(9.99E+307,'Price History'!$A:$A))-'Price History'!B3)*(ROW()-3)/(MATCH(9.99E+307,'Returns (Calc)'!$A:$A)-3),"")</f>
        <v/>
      </c>
      <c r="X154" s="145" t="n">
        <f aca="false">IFERROR('Price History'!C3+(INDEX('Price History'!C:C,MATCH(9.99E+307,'Price History'!$A:$A))-'Price History'!C3)*(ROW()-3)/(MATCH(9.99E+307,'Returns (Calc)'!$A:$A)-3),"")</f>
        <v>2.32352201257861</v>
      </c>
      <c r="Y154" s="145" t="n">
        <f aca="false">IFERROR('Price History'!D3+(INDEX('Price History'!D:D,MATCH(9.99E+307,'Price History'!$A:$A))-'Price History'!D3)*(ROW()-3)/(MATCH(9.99E+307,'Returns (Calc)'!$A:$A)-3),"")</f>
        <v>29.2835220125786</v>
      </c>
      <c r="Z154" s="145" t="n">
        <f aca="false">IFERROR('Price History'!E3+(INDEX('Price History'!E:E,MATCH(9.99E+307,'Price History'!$A:$A))-'Price History'!E3)*(ROW()-3)/(MATCH(9.99E+307,'Returns (Calc)'!$A:$A)-3),"")</f>
        <v>4.12578616352201</v>
      </c>
      <c r="AA154" s="145" t="n">
        <f aca="false">IFERROR('Price History'!F3+(INDEX('Price History'!F:F,MATCH(9.99E+307,'Price History'!$A:$A))-'Price History'!F3)*(ROW()-3)/(MATCH(9.99E+307,'Returns (Calc)'!$A:$A)-3),"")</f>
        <v>3.78918238993711</v>
      </c>
      <c r="AB154" s="145" t="n">
        <f aca="false">IFERROR('Price History'!G3+(INDEX('Price History'!G:G,MATCH(9.99E+307,'Price History'!$A:$A))-'Price History'!G3)*(ROW()-3)/(MATCH(9.99E+307,'Returns (Calc)'!$A:$A)-3),"")</f>
        <v>2.08100628930818</v>
      </c>
      <c r="AC154" s="145" t="n">
        <f aca="false">IFERROR('Price History'!H3+(INDEX('Price History'!H:H,MATCH(9.99E+307,'Price History'!$A:$A))-'Price History'!H3)*(ROW()-3)/(MATCH(9.99E+307,'Returns (Calc)'!$A:$A)-3),"")</f>
        <v>5.0611320754717</v>
      </c>
      <c r="AD154" s="145" t="n">
        <f aca="false">IFERROR('Price History'!I3+(INDEX('Price History'!I:I,MATCH(9.99E+307,'Price History'!$A:$A))-'Price History'!I3)*(ROW()-3)/(MATCH(9.99E+307,'Returns (Calc)'!$A:$A)-3),"")</f>
        <v>2.23144654088051</v>
      </c>
      <c r="AE154" s="145" t="n">
        <f aca="false">IFERROR('Price History'!J3+(INDEX('Price History'!J:J,MATCH(9.99E+307,'Price History'!$A:$A))-'Price History'!J3)*(ROW()-3)/(MATCH(9.99E+307,'Returns (Calc)'!$A:$A)-3),"")</f>
        <v>3.47723270440251</v>
      </c>
      <c r="AF154" s="145" t="n">
        <f aca="false">IFERROR('Price History'!K3+(INDEX('Price History'!K:K,MATCH(9.99E+307,'Price History'!$A:$A))-'Price History'!K3)*(ROW()-3)/(MATCH(9.99E+307,'Returns (Calc)'!$A:$A)-3),"")</f>
        <v>2.2022641509434</v>
      </c>
      <c r="AG154" s="145" t="n">
        <f aca="false">IFERROR('Price History'!L3+(INDEX('Price History'!L:L,MATCH(9.99E+307,'Price History'!$A:$A))-'Price History'!L3)*(ROW()-3)/(MATCH(9.99E+307,'Returns (Calc)'!$A:$A)-3),"")</f>
        <v>5.62716981132076</v>
      </c>
      <c r="AH154" s="145" t="n">
        <f aca="false">IFERROR('Price History'!M3+(INDEX('Price History'!M:M,MATCH(9.99E+307,'Price History'!$A:$A))-'Price History'!M3)*(ROW()-3)/(MATCH(9.99E+307,'Returns (Calc)'!$A:$A)-3),"")</f>
        <v>0.771320754716982</v>
      </c>
      <c r="AI154" s="145" t="n">
        <f aca="false">IFERROR('Price History'!N3+(INDEX('Price History'!N:N,MATCH(9.99E+307,'Price History'!$A:$A))-'Price History'!N3)*(ROW()-3)/(MATCH(9.99E+307,'Returns (Calc)'!$A:$A)-3),"")</f>
        <v>1.09685534591195</v>
      </c>
      <c r="AJ154" s="145" t="n">
        <f aca="false">IFERROR('Price History'!O3+(INDEX('Price History'!O:O,MATCH(9.99E+307,'Price History'!$A:$A))-'Price History'!O3)*(ROW()-3)/(MATCH(9.99E+307,'Returns (Calc)'!$A:$A)-3),"")</f>
        <v>2.89962264150943</v>
      </c>
      <c r="AK154" s="145" t="n">
        <f aca="false">IFERROR('Price History'!Q3+(INDEX('Price History'!Q:Q,MATCH(9.99E+307,'Price History'!$A:$A))-'Price History'!Q3)*(ROW()-3)/(MATCH(9.99E+307,'Returns (Calc)'!$A:$A)-3),"")</f>
        <v>11.8555974842767</v>
      </c>
      <c r="AL154" s="145" t="n">
        <f aca="false">IFERROR('Price History'!R3+(INDEX('Price History'!R:R,MATCH(9.99E+307,'Price History'!$A:$A))-'Price History'!R3)*(ROW()-3)/(MATCH(9.99E+307,'Returns (Calc)'!$A:$A)-3),"")</f>
        <v>2.40603773584906</v>
      </c>
      <c r="AM154" s="145" t="n">
        <f aca="false">IFERROR('Price History'!S3+(INDEX('Price History'!S:S,MATCH(9.99E+307,'Price History'!$A:$A))-'Price History'!S3)*(ROW()-3)/(MATCH(9.99E+307,'Returns (Calc)'!$A:$A)-3),"")</f>
        <v>2.94540880503145</v>
      </c>
      <c r="AN154" s="145" t="n">
        <f aca="false">IFERROR('Price History'!T3+(INDEX('Price History'!T:T,MATCH(9.99E+307,'Price History'!$A:$A))-'Price History'!T3)*(ROW()-3)/(MATCH(9.99E+307,'Returns (Calc)'!$A:$A)-3),"")</f>
        <v>1.35396226415094</v>
      </c>
      <c r="AO154" s="146" t="n">
        <f aca="false">IFERROR('Price History'!V3+(INDEX('Price History'!V:V,MATCH(9.99E+307,'Price History'!$A:$A))-'Price History'!V3)*(ROW()-3)/(MATCH(9.99E+307,'Returns (Calc)'!$A:$A)-3),"")</f>
        <v>0</v>
      </c>
    </row>
    <row r="155" customFormat="false" ht="15" hidden="false" customHeight="true" outlineLevel="0" collapsed="false">
      <c r="A155" s="142" t="n">
        <f aca="false">IF('Price History'!A156="","",'Price History'!A156)</f>
        <v>46255</v>
      </c>
      <c r="B155" s="143" t="n">
        <f aca="false">IFERROR(IF(OR(NOT(ISNUMBER('Price History'!B156)),NOT(ISNUMBER('Price History'!B155)),'Price History'!B155=0),"",'Price History'!B156/'Price History'!B155-1),"")</f>
        <v>0.0427240360578745</v>
      </c>
      <c r="C155" s="143" t="n">
        <f aca="false">IFERROR(IF(OR(NOT(ISNUMBER('Price History'!C156)),NOT(ISNUMBER('Price History'!C155)),'Price History'!C155=0),"",'Price History'!C156/'Price History'!C155-1),"")</f>
        <v>-0.0511517955940045</v>
      </c>
      <c r="D155" s="143" t="n">
        <f aca="false">IFERROR(IF(OR(NOT(ISNUMBER('Price History'!D156)),NOT(ISNUMBER('Price History'!D155)),'Price History'!D155=0),"",'Price History'!D156/'Price History'!D155-1),"")</f>
        <v>-0.0435555941173919</v>
      </c>
      <c r="E155" s="143" t="n">
        <f aca="false">IFERROR(IF(OR(NOT(ISNUMBER('Price History'!E156)),NOT(ISNUMBER('Price History'!E155)),'Price History'!E155=0),"",'Price History'!E156/'Price History'!E155-1),"")</f>
        <v>-0.0624553890078515</v>
      </c>
      <c r="F155" s="143" t="n">
        <f aca="false">IFERROR(IF(OR(NOT(ISNUMBER('Price History'!F156)),NOT(ISNUMBER('Price History'!F155)),'Price History'!F155=0),"",'Price History'!F156/'Price History'!F155-1),"")</f>
        <v>-0.0176915283298261</v>
      </c>
      <c r="G155" s="143" t="n">
        <f aca="false">IFERROR(IF(OR(NOT(ISNUMBER('Price History'!G156)),NOT(ISNUMBER('Price History'!G155)),'Price History'!G155=0),"",'Price History'!G156/'Price History'!G155-1),"")</f>
        <v>-0.115233924867481</v>
      </c>
      <c r="H155" s="143" t="n">
        <f aca="false">IFERROR(IF(OR(NOT(ISNUMBER('Price History'!H156)),NOT(ISNUMBER('Price History'!H155)),'Price History'!H155=0),"",'Price History'!H156/'Price History'!H155-1),"")</f>
        <v>-0.00852878464818763</v>
      </c>
      <c r="I155" s="143" t="n">
        <f aca="false">IFERROR(IF(OR(NOT(ISNUMBER('Price History'!I156)),NOT(ISNUMBER('Price History'!I155)),'Price History'!I155=0),"",'Price History'!I156/'Price History'!I155-1),"")</f>
        <v>-0.095827804806133</v>
      </c>
      <c r="J155" s="143" t="n">
        <f aca="false">IFERROR(IF(OR(NOT(ISNUMBER('Price History'!J156)),NOT(ISNUMBER('Price History'!J155)),'Price History'!J155=0),"",'Price History'!J156/'Price History'!J155-1),"")</f>
        <v>-0.00502233291480558</v>
      </c>
      <c r="K155" s="143" t="n">
        <f aca="false">IFERROR(IF(OR(NOT(ISNUMBER('Price History'!K156)),NOT(ISNUMBER('Price History'!K155)),'Price History'!K155=0),"",'Price History'!K156/'Price History'!K155-1),"")</f>
        <v>-0.0463741051976346</v>
      </c>
      <c r="L155" s="143" t="n">
        <f aca="false">IFERROR(IF(OR(NOT(ISNUMBER('Price History'!L156)),NOT(ISNUMBER('Price History'!L155)),'Price History'!L155=0),"",'Price History'!L156/'Price History'!L155-1),"")</f>
        <v>0.00543167524299615</v>
      </c>
      <c r="M155" s="143" t="n">
        <f aca="false">IFERROR(IF(OR(NOT(ISNUMBER('Price History'!M156)),NOT(ISNUMBER('Price History'!M155)),'Price History'!M155=0),"",'Price History'!M156/'Price History'!M155-1),"")</f>
        <v>0.0339002528154448</v>
      </c>
      <c r="N155" s="143" t="n">
        <f aca="false">IFERROR(IF(OR(NOT(ISNUMBER('Price History'!N156)),NOT(ISNUMBER('Price History'!N155)),'Price History'!N155=0),"",'Price History'!N156/'Price History'!N155-1),"")</f>
        <v>0.016934306569343</v>
      </c>
      <c r="O155" s="143" t="n">
        <f aca="false">IFERROR(IF(OR(NOT(ISNUMBER('Price History'!O156)),NOT(ISNUMBER('Price History'!O155)),'Price History'!O155=0),"",'Price History'!O156/'Price History'!O155-1),"")</f>
        <v>-0.0298575721939108</v>
      </c>
      <c r="P155" s="143" t="n">
        <f aca="false">IFERROR(IF(OR(NOT(ISNUMBER('Price History'!P156)),NOT(ISNUMBER('Price History'!P155)),'Price History'!P155=0),"",'Price History'!P156/'Price History'!P155-1),"")</f>
        <v>-0.0173561299122786</v>
      </c>
      <c r="Q155" s="143" t="n">
        <f aca="false">IFERROR(IF(OR(NOT(ISNUMBER('Price History'!Q156)),NOT(ISNUMBER('Price History'!Q155)),'Price History'!Q155=0),"",'Price History'!Q156/'Price History'!Q155-1),"")</f>
        <v>0.0189207744061515</v>
      </c>
      <c r="R155" s="143" t="n">
        <f aca="false">IFERROR(IF(OR(NOT(ISNUMBER('Price History'!R156)),NOT(ISNUMBER('Price History'!R155)),'Price History'!R155=0),"",'Price History'!R156/'Price History'!R155-1),"")</f>
        <v>-0.0330523880350355</v>
      </c>
      <c r="S155" s="143" t="n">
        <f aca="false">IFERROR(IF(OR(NOT(ISNUMBER('Price History'!S156)),NOT(ISNUMBER('Price History'!S155)),'Price History'!S155=0),"",'Price History'!S156/'Price History'!S155-1),"")</f>
        <v>-0.0641300813008131</v>
      </c>
      <c r="T155" s="143" t="n">
        <f aca="false">IFERROR(IF(OR(NOT(ISNUMBER('Price History'!T156)),NOT(ISNUMBER('Price History'!T155)),'Price History'!T155=0),"",'Price History'!T156/'Price History'!T155-1),"")</f>
        <v>0.0086516142646127</v>
      </c>
      <c r="U155" s="143" t="str">
        <f aca="false">IFERROR(IF(OR(NOT(ISNUMBER('Price History'!U156)),NOT(ISNUMBER('Price History'!U155)),'Price History'!U155=0),"",'Price History'!U156/'Price History'!U155-1),"")</f>
        <v/>
      </c>
      <c r="V155" s="144" t="n">
        <f aca="false">IFERROR(IF(OR(NOT(ISNUMBER('Price History'!V156)),NOT(ISNUMBER('Price History'!V155)),'Price History'!V155=0),"",'Price History'!V156/'Price History'!V155-1),"")</f>
        <v>0.0275034451079468</v>
      </c>
      <c r="W155" s="145" t="str">
        <f aca="false">IFERROR('Price History'!B3+(INDEX('Price History'!B:B,MATCH(9.99E+307,'Price History'!$A:$A))-'Price History'!B3)*(ROW()-3)/(MATCH(9.99E+307,'Returns (Calc)'!$A:$A)-3),"")</f>
        <v/>
      </c>
      <c r="X155" s="145" t="n">
        <f aca="false">IFERROR('Price History'!C3+(INDEX('Price History'!C:C,MATCH(9.99E+307,'Price History'!$A:$A))-'Price History'!C3)*(ROW()-3)/(MATCH(9.99E+307,'Returns (Calc)'!$A:$A)-3),"")</f>
        <v>2.03308176100629</v>
      </c>
      <c r="Y155" s="145" t="n">
        <f aca="false">IFERROR('Price History'!D3+(INDEX('Price History'!D:D,MATCH(9.99E+307,'Price History'!$A:$A))-'Price History'!D3)*(ROW()-3)/(MATCH(9.99E+307,'Returns (Calc)'!$A:$A)-3),"")</f>
        <v>25.6230817610062</v>
      </c>
      <c r="Z155" s="145" t="n">
        <f aca="false">IFERROR('Price History'!E3+(INDEX('Price History'!E:E,MATCH(9.99E+307,'Price History'!$A:$A))-'Price History'!E3)*(ROW()-3)/(MATCH(9.99E+307,'Returns (Calc)'!$A:$A)-3),"")</f>
        <v>3.61006289308176</v>
      </c>
      <c r="AA155" s="145" t="n">
        <f aca="false">IFERROR('Price History'!F3+(INDEX('Price History'!F:F,MATCH(9.99E+307,'Price History'!$A:$A))-'Price History'!F3)*(ROW()-3)/(MATCH(9.99E+307,'Returns (Calc)'!$A:$A)-3),"")</f>
        <v>3.31553459119496</v>
      </c>
      <c r="AB155" s="145" t="n">
        <f aca="false">IFERROR('Price History'!G3+(INDEX('Price History'!G:G,MATCH(9.99E+307,'Price History'!$A:$A))-'Price History'!G3)*(ROW()-3)/(MATCH(9.99E+307,'Returns (Calc)'!$A:$A)-3),"")</f>
        <v>1.82088050314465</v>
      </c>
      <c r="AC155" s="145" t="n">
        <f aca="false">IFERROR('Price History'!H3+(INDEX('Price History'!H:H,MATCH(9.99E+307,'Price History'!$A:$A))-'Price History'!H3)*(ROW()-3)/(MATCH(9.99E+307,'Returns (Calc)'!$A:$A)-3),"")</f>
        <v>4.42849056603774</v>
      </c>
      <c r="AD155" s="145" t="n">
        <f aca="false">IFERROR('Price History'!I3+(INDEX('Price History'!I:I,MATCH(9.99E+307,'Price History'!$A:$A))-'Price History'!I3)*(ROW()-3)/(MATCH(9.99E+307,'Returns (Calc)'!$A:$A)-3),"")</f>
        <v>1.95251572327044</v>
      </c>
      <c r="AE155" s="145" t="n">
        <f aca="false">IFERROR('Price History'!J3+(INDEX('Price History'!J:J,MATCH(9.99E+307,'Price History'!$A:$A))-'Price History'!J3)*(ROW()-3)/(MATCH(9.99E+307,'Returns (Calc)'!$A:$A)-3),"")</f>
        <v>3.0425786163522</v>
      </c>
      <c r="AF155" s="145" t="n">
        <f aca="false">IFERROR('Price History'!K3+(INDEX('Price History'!K:K,MATCH(9.99E+307,'Price History'!$A:$A))-'Price History'!K3)*(ROW()-3)/(MATCH(9.99E+307,'Returns (Calc)'!$A:$A)-3),"")</f>
        <v>1.92698113207547</v>
      </c>
      <c r="AG155" s="145" t="n">
        <f aca="false">IFERROR('Price History'!L3+(INDEX('Price History'!L:L,MATCH(9.99E+307,'Price History'!$A:$A))-'Price History'!L3)*(ROW()-3)/(MATCH(9.99E+307,'Returns (Calc)'!$A:$A)-3),"")</f>
        <v>4.92377358490566</v>
      </c>
      <c r="AH155" s="145" t="n">
        <f aca="false">IFERROR('Price History'!M3+(INDEX('Price History'!M:M,MATCH(9.99E+307,'Price History'!$A:$A))-'Price History'!M3)*(ROW()-3)/(MATCH(9.99E+307,'Returns (Calc)'!$A:$A)-3),"")</f>
        <v>0.674905660377359</v>
      </c>
      <c r="AI155" s="145" t="n">
        <f aca="false">IFERROR('Price History'!N3+(INDEX('Price History'!N:N,MATCH(9.99E+307,'Price History'!$A:$A))-'Price History'!N3)*(ROW()-3)/(MATCH(9.99E+307,'Returns (Calc)'!$A:$A)-3),"")</f>
        <v>0.959748427672956</v>
      </c>
      <c r="AJ155" s="145" t="n">
        <f aca="false">IFERROR('Price History'!O3+(INDEX('Price History'!O:O,MATCH(9.99E+307,'Price History'!$A:$A))-'Price History'!O3)*(ROW()-3)/(MATCH(9.99E+307,'Returns (Calc)'!$A:$A)-3),"")</f>
        <v>2.53716981132076</v>
      </c>
      <c r="AK155" s="145" t="n">
        <f aca="false">IFERROR('Price History'!Q3+(INDEX('Price History'!Q:Q,MATCH(9.99E+307,'Price History'!$A:$A))-'Price History'!Q3)*(ROW()-3)/(MATCH(9.99E+307,'Returns (Calc)'!$A:$A)-3),"")</f>
        <v>10.3736477987421</v>
      </c>
      <c r="AL155" s="145" t="n">
        <f aca="false">IFERROR('Price History'!R3+(INDEX('Price History'!R:R,MATCH(9.99E+307,'Price History'!$A:$A))-'Price History'!R3)*(ROW()-3)/(MATCH(9.99E+307,'Returns (Calc)'!$A:$A)-3),"")</f>
        <v>2.10528301886792</v>
      </c>
      <c r="AM155" s="145" t="n">
        <f aca="false">IFERROR('Price History'!S3+(INDEX('Price History'!S:S,MATCH(9.99E+307,'Price History'!$A:$A))-'Price History'!S3)*(ROW()-3)/(MATCH(9.99E+307,'Returns (Calc)'!$A:$A)-3),"")</f>
        <v>2.57723270440251</v>
      </c>
      <c r="AN155" s="145" t="n">
        <f aca="false">IFERROR('Price History'!T3+(INDEX('Price History'!T:T,MATCH(9.99E+307,'Price History'!$A:$A))-'Price History'!T3)*(ROW()-3)/(MATCH(9.99E+307,'Returns (Calc)'!$A:$A)-3),"")</f>
        <v>1.18471698113207</v>
      </c>
      <c r="AO155" s="146" t="n">
        <f aca="false">IFERROR('Price History'!V3+(INDEX('Price History'!V:V,MATCH(9.99E+307,'Price History'!$A:$A))-'Price History'!V3)*(ROW()-3)/(MATCH(9.99E+307,'Returns (Calc)'!$A:$A)-3),"")</f>
        <v>0</v>
      </c>
    </row>
    <row r="156" customFormat="false" ht="15" hidden="false" customHeight="true" outlineLevel="0" collapsed="false">
      <c r="A156" s="142" t="n">
        <f aca="false">IF('Price History'!A157="","",'Price History'!A157)</f>
        <v>46262</v>
      </c>
      <c r="B156" s="143" t="n">
        <f aca="false">IFERROR(IF(OR(NOT(ISNUMBER('Price History'!B157)),NOT(ISNUMBER('Price History'!B156)),'Price History'!B156=0),"",'Price History'!B157/'Price History'!B156-1),"")</f>
        <v>0.0589175444969123</v>
      </c>
      <c r="C156" s="143" t="n">
        <f aca="false">IFERROR(IF(OR(NOT(ISNUMBER('Price History'!C157)),NOT(ISNUMBER('Price History'!C156)),'Price History'!C156=0),"",'Price History'!C157/'Price History'!C156-1),"")</f>
        <v>0.0356745295520806</v>
      </c>
      <c r="D156" s="143" t="n">
        <f aca="false">IFERROR(IF(OR(NOT(ISNUMBER('Price History'!D157)),NOT(ISNUMBER('Price History'!D156)),'Price History'!D156=0),"",'Price History'!D157/'Price History'!D156-1),"")</f>
        <v>-0.0383272100512541</v>
      </c>
      <c r="E156" s="143" t="n">
        <f aca="false">IFERROR(IF(OR(NOT(ISNUMBER('Price History'!E157)),NOT(ISNUMBER('Price History'!E156)),'Price History'!E156=0),"",'Price History'!E157/'Price History'!E156-1),"")</f>
        <v>0.000924465713198153</v>
      </c>
      <c r="F156" s="143" t="n">
        <f aca="false">IFERROR(IF(OR(NOT(ISNUMBER('Price History'!F157)),NOT(ISNUMBER('Price History'!F156)),'Price History'!F156=0),"",'Price History'!F157/'Price History'!F156-1),"")</f>
        <v>-0.00698191050460184</v>
      </c>
      <c r="G156" s="143" t="n">
        <f aca="false">IFERROR(IF(OR(NOT(ISNUMBER('Price History'!G157)),NOT(ISNUMBER('Price History'!G156)),'Price History'!G156=0),"",'Price History'!G157/'Price History'!G156-1),"")</f>
        <v>0.137796301120083</v>
      </c>
      <c r="H156" s="143" t="n">
        <f aca="false">IFERROR(IF(OR(NOT(ISNUMBER('Price History'!H157)),NOT(ISNUMBER('Price History'!H156)),'Price History'!H156=0),"",'Price History'!H157/'Price History'!H156-1),"")</f>
        <v>-0.00178187403993846</v>
      </c>
      <c r="I156" s="143" t="n">
        <f aca="false">IFERROR(IF(OR(NOT(ISNUMBER('Price History'!I157)),NOT(ISNUMBER('Price History'!I156)),'Price History'!I156=0),"",'Price History'!I157/'Price History'!I156-1),"")</f>
        <v>-0.0459264090439698</v>
      </c>
      <c r="J156" s="143" t="n">
        <f aca="false">IFERROR(IF(OR(NOT(ISNUMBER('Price History'!J157)),NOT(ISNUMBER('Price History'!J156)),'Price History'!J156=0),"",'Price History'!J157/'Price History'!J156-1),"")</f>
        <v>-0.0350855416951116</v>
      </c>
      <c r="K156" s="143" t="n">
        <f aca="false">IFERROR(IF(OR(NOT(ISNUMBER('Price History'!K157)),NOT(ISNUMBER('Price History'!K156)),'Price History'!K156=0),"",'Price History'!K157/'Price History'!K156-1),"")</f>
        <v>0.0131947034688549</v>
      </c>
      <c r="L156" s="143" t="n">
        <f aca="false">IFERROR(IF(OR(NOT(ISNUMBER('Price History'!L157)),NOT(ISNUMBER('Price History'!L156)),'Price History'!L156=0),"",'Price History'!L157/'Price History'!L156-1),"")</f>
        <v>-0.00774808075063982</v>
      </c>
      <c r="M156" s="143" t="n">
        <f aca="false">IFERROR(IF(OR(NOT(ISNUMBER('Price History'!M157)),NOT(ISNUMBER('Price History'!M156)),'Price History'!M156=0),"",'Price History'!M157/'Price History'!M156-1),"")</f>
        <v>0.0352895409580971</v>
      </c>
      <c r="N156" s="143" t="n">
        <f aca="false">IFERROR(IF(OR(NOT(ISNUMBER('Price History'!N157)),NOT(ISNUMBER('Price History'!N156)),'Price History'!N156=0),"",'Price History'!N157/'Price History'!N156-1),"")</f>
        <v>-0.00602928509905254</v>
      </c>
      <c r="O156" s="143" t="n">
        <f aca="false">IFERROR(IF(OR(NOT(ISNUMBER('Price History'!O157)),NOT(ISNUMBER('Price History'!O156)),'Price History'!O156=0),"",'Price History'!O157/'Price History'!O156-1),"")</f>
        <v>-0.0131321974543741</v>
      </c>
      <c r="P156" s="143" t="n">
        <f aca="false">IFERROR(IF(OR(NOT(ISNUMBER('Price History'!P157)),NOT(ISNUMBER('Price History'!P156)),'Price History'!P156=0),"",'Price History'!P157/'Price History'!P156-1),"")</f>
        <v>-0.00342244453485874</v>
      </c>
      <c r="Q156" s="143" t="n">
        <f aca="false">IFERROR(IF(OR(NOT(ISNUMBER('Price History'!Q157)),NOT(ISNUMBER('Price History'!Q156)),'Price History'!Q156=0),"",'Price History'!Q157/'Price History'!Q156-1),"")</f>
        <v>0.0284605433376455</v>
      </c>
      <c r="R156" s="143" t="n">
        <f aca="false">IFERROR(IF(OR(NOT(ISNUMBER('Price History'!R157)),NOT(ISNUMBER('Price History'!R156)),'Price History'!R156=0),"",'Price History'!R157/'Price History'!R156-1),"")</f>
        <v>-0.0094001025465732</v>
      </c>
      <c r="S156" s="143" t="n">
        <f aca="false">IFERROR(IF(OR(NOT(ISNUMBER('Price History'!S157)),NOT(ISNUMBER('Price History'!S156)),'Price History'!S156=0),"",'Price History'!S157/'Price History'!S156-1),"")</f>
        <v>0.0182083536034472</v>
      </c>
      <c r="T156" s="143" t="n">
        <f aca="false">IFERROR(IF(OR(NOT(ISNUMBER('Price History'!T157)),NOT(ISNUMBER('Price History'!T156)),'Price History'!T156=0),"",'Price History'!T157/'Price History'!T156-1),"")</f>
        <v>0.00711297071129713</v>
      </c>
      <c r="U156" s="143" t="str">
        <f aca="false">IFERROR(IF(OR(NOT(ISNUMBER('Price History'!U157)),NOT(ISNUMBER('Price History'!U156)),'Price History'!U156=0),"",'Price History'!U157/'Price History'!U156-1),"")</f>
        <v/>
      </c>
      <c r="V156" s="144" t="n">
        <f aca="false">IFERROR(IF(OR(NOT(ISNUMBER('Price History'!V157)),NOT(ISNUMBER('Price History'!V156)),'Price History'!V156=0),"",'Price History'!V157/'Price History'!V156-1),"")</f>
        <v>-0.00787929589270742</v>
      </c>
      <c r="W156" s="145" t="str">
        <f aca="false">IFERROR('Price History'!B3+(INDEX('Price History'!B:B,MATCH(9.99E+307,'Price History'!$A:$A))-'Price History'!B3)*(ROW()-3)/(MATCH(9.99E+307,'Returns (Calc)'!$A:$A)-3),"")</f>
        <v/>
      </c>
      <c r="X156" s="145" t="n">
        <f aca="false">IFERROR('Price History'!C3+(INDEX('Price History'!C:C,MATCH(9.99E+307,'Price History'!$A:$A))-'Price History'!C3)*(ROW()-3)/(MATCH(9.99E+307,'Returns (Calc)'!$A:$A)-3),"")</f>
        <v>1.74264150943396</v>
      </c>
      <c r="Y156" s="145" t="n">
        <f aca="false">IFERROR('Price History'!D3+(INDEX('Price History'!D:D,MATCH(9.99E+307,'Price History'!$A:$A))-'Price History'!D3)*(ROW()-3)/(MATCH(9.99E+307,'Returns (Calc)'!$A:$A)-3),"")</f>
        <v>21.962641509434</v>
      </c>
      <c r="Z156" s="145" t="n">
        <f aca="false">IFERROR('Price History'!E3+(INDEX('Price History'!E:E,MATCH(9.99E+307,'Price History'!$A:$A))-'Price History'!E3)*(ROW()-3)/(MATCH(9.99E+307,'Returns (Calc)'!$A:$A)-3),"")</f>
        <v>3.09433962264151</v>
      </c>
      <c r="AA156" s="145" t="n">
        <f aca="false">IFERROR('Price History'!F3+(INDEX('Price History'!F:F,MATCH(9.99E+307,'Price History'!$A:$A))-'Price History'!F3)*(ROW()-3)/(MATCH(9.99E+307,'Returns (Calc)'!$A:$A)-3),"")</f>
        <v>2.84188679245283</v>
      </c>
      <c r="AB156" s="145" t="n">
        <f aca="false">IFERROR('Price History'!G3+(INDEX('Price History'!G:G,MATCH(9.99E+307,'Price History'!$A:$A))-'Price History'!G3)*(ROW()-3)/(MATCH(9.99E+307,'Returns (Calc)'!$A:$A)-3),"")</f>
        <v>1.56075471698113</v>
      </c>
      <c r="AC156" s="145" t="n">
        <f aca="false">IFERROR('Price History'!H3+(INDEX('Price History'!H:H,MATCH(9.99E+307,'Price History'!$A:$A))-'Price History'!H3)*(ROW()-3)/(MATCH(9.99E+307,'Returns (Calc)'!$A:$A)-3),"")</f>
        <v>3.79584905660377</v>
      </c>
      <c r="AD156" s="145" t="n">
        <f aca="false">IFERROR('Price History'!I3+(INDEX('Price History'!I:I,MATCH(9.99E+307,'Price History'!$A:$A))-'Price History'!I3)*(ROW()-3)/(MATCH(9.99E+307,'Returns (Calc)'!$A:$A)-3),"")</f>
        <v>1.67358490566038</v>
      </c>
      <c r="AE156" s="145" t="n">
        <f aca="false">IFERROR('Price History'!J3+(INDEX('Price History'!J:J,MATCH(9.99E+307,'Price History'!$A:$A))-'Price History'!J3)*(ROW()-3)/(MATCH(9.99E+307,'Returns (Calc)'!$A:$A)-3),"")</f>
        <v>2.60792452830189</v>
      </c>
      <c r="AF156" s="145" t="n">
        <f aca="false">IFERROR('Price History'!K3+(INDEX('Price History'!K:K,MATCH(9.99E+307,'Price History'!$A:$A))-'Price History'!K3)*(ROW()-3)/(MATCH(9.99E+307,'Returns (Calc)'!$A:$A)-3),"")</f>
        <v>1.65169811320754</v>
      </c>
      <c r="AG156" s="145" t="n">
        <f aca="false">IFERROR('Price History'!L3+(INDEX('Price History'!L:L,MATCH(9.99E+307,'Price History'!$A:$A))-'Price History'!L3)*(ROW()-3)/(MATCH(9.99E+307,'Returns (Calc)'!$A:$A)-3),"")</f>
        <v>4.22037735849057</v>
      </c>
      <c r="AH156" s="145" t="n">
        <f aca="false">IFERROR('Price History'!M3+(INDEX('Price History'!M:M,MATCH(9.99E+307,'Price History'!$A:$A))-'Price History'!M3)*(ROW()-3)/(MATCH(9.99E+307,'Returns (Calc)'!$A:$A)-3),"")</f>
        <v>0.578490566037734</v>
      </c>
      <c r="AI156" s="145" t="n">
        <f aca="false">IFERROR('Price History'!N3+(INDEX('Price History'!N:N,MATCH(9.99E+307,'Price History'!$A:$A))-'Price History'!N3)*(ROW()-3)/(MATCH(9.99E+307,'Returns (Calc)'!$A:$A)-3),"")</f>
        <v>0.822641509433961</v>
      </c>
      <c r="AJ156" s="145" t="n">
        <f aca="false">IFERROR('Price History'!O3+(INDEX('Price History'!O:O,MATCH(9.99E+307,'Price History'!$A:$A))-'Price History'!O3)*(ROW()-3)/(MATCH(9.99E+307,'Returns (Calc)'!$A:$A)-3),"")</f>
        <v>2.17471698113207</v>
      </c>
      <c r="AK156" s="145" t="n">
        <f aca="false">IFERROR('Price History'!Q3+(INDEX('Price History'!Q:Q,MATCH(9.99E+307,'Price History'!$A:$A))-'Price History'!Q3)*(ROW()-3)/(MATCH(9.99E+307,'Returns (Calc)'!$A:$A)-3),"")</f>
        <v>8.89169811320755</v>
      </c>
      <c r="AL156" s="145" t="n">
        <f aca="false">IFERROR('Price History'!R3+(INDEX('Price History'!R:R,MATCH(9.99E+307,'Price History'!$A:$A))-'Price History'!R3)*(ROW()-3)/(MATCH(9.99E+307,'Returns (Calc)'!$A:$A)-3),"")</f>
        <v>1.80452830188679</v>
      </c>
      <c r="AM156" s="145" t="n">
        <f aca="false">IFERROR('Price History'!S3+(INDEX('Price History'!S:S,MATCH(9.99E+307,'Price History'!$A:$A))-'Price History'!S3)*(ROW()-3)/(MATCH(9.99E+307,'Returns (Calc)'!$A:$A)-3),"")</f>
        <v>2.20905660377359</v>
      </c>
      <c r="AN156" s="145" t="n">
        <f aca="false">IFERROR('Price History'!T3+(INDEX('Price History'!T:T,MATCH(9.99E+307,'Price History'!$A:$A))-'Price History'!T3)*(ROW()-3)/(MATCH(9.99E+307,'Returns (Calc)'!$A:$A)-3),"")</f>
        <v>1.01547169811321</v>
      </c>
      <c r="AO156" s="146" t="n">
        <f aca="false">IFERROR('Price History'!V3+(INDEX('Price History'!V:V,MATCH(9.99E+307,'Price History'!$A:$A))-'Price History'!V3)*(ROW()-3)/(MATCH(9.99E+307,'Returns (Calc)'!$A:$A)-3),"")</f>
        <v>0</v>
      </c>
    </row>
    <row r="157" customFormat="false" ht="15" hidden="false" customHeight="true" outlineLevel="0" collapsed="false">
      <c r="A157" s="142" t="n">
        <f aca="false">IF('Price History'!A158="","",'Price History'!A158)</f>
        <v>46269</v>
      </c>
      <c r="B157" s="143" t="n">
        <f aca="false">IFERROR(IF(OR(NOT(ISNUMBER('Price History'!B158)),NOT(ISNUMBER('Price History'!B157)),'Price History'!B157=0),"",'Price History'!B158/'Price History'!B157-1),"")</f>
        <v>-0.0857917124039517</v>
      </c>
      <c r="C157" s="143" t="n">
        <f aca="false">IFERROR(IF(OR(NOT(ISNUMBER('Price History'!C158)),NOT(ISNUMBER('Price History'!C157)),'Price History'!C157=0),"",'Price History'!C158/'Price History'!C157-1),"")</f>
        <v>-0.00818916982290918</v>
      </c>
      <c r="D157" s="143" t="n">
        <f aca="false">IFERROR(IF(OR(NOT(ISNUMBER('Price History'!D158)),NOT(ISNUMBER('Price History'!D157)),'Price History'!D157=0),"",'Price History'!D158/'Price History'!D157-1),"")</f>
        <v>0.011036694651448</v>
      </c>
      <c r="E157" s="143" t="n">
        <f aca="false">IFERROR(IF(OR(NOT(ISNUMBER('Price History'!E158)),NOT(ISNUMBER('Price History'!E157)),'Price History'!E157=0),"",'Price History'!E158/'Price History'!E157-1),"")</f>
        <v>-0.0295284146473976</v>
      </c>
      <c r="F157" s="143" t="n">
        <f aca="false">IFERROR(IF(OR(NOT(ISNUMBER('Price History'!F158)),NOT(ISNUMBER('Price History'!F157)),'Price History'!F157=0),"",'Price History'!F158/'Price History'!F157-1),"")</f>
        <v>0.0108660914030041</v>
      </c>
      <c r="G157" s="143" t="n">
        <f aca="false">IFERROR(IF(OR(NOT(ISNUMBER('Price History'!G158)),NOT(ISNUMBER('Price History'!G157)),'Price History'!G157=0),"",'Price History'!G158/'Price History'!G157-1),"")</f>
        <v>-0.0242673992673993</v>
      </c>
      <c r="H157" s="143" t="n">
        <f aca="false">IFERROR(IF(OR(NOT(ISNUMBER('Price History'!H158)),NOT(ISNUMBER('Price History'!H157)),'Price History'!H157=0),"",'Price History'!H158/'Price History'!H157-1),"")</f>
        <v>0.00276991259386916</v>
      </c>
      <c r="I157" s="143" t="n">
        <f aca="false">IFERROR(IF(OR(NOT(ISNUMBER('Price History'!I158)),NOT(ISNUMBER('Price History'!I157)),'Price History'!I157=0),"",'Price History'!I158/'Price History'!I157-1),"")</f>
        <v>0.0573088754699784</v>
      </c>
      <c r="J157" s="143" t="n">
        <f aca="false">IFERROR(IF(OR(NOT(ISNUMBER('Price History'!J158)),NOT(ISNUMBER('Price History'!J157)),'Price History'!J157=0),"",'Price History'!J158/'Price History'!J157-1),"")</f>
        <v>0.0897562335184272</v>
      </c>
      <c r="K157" s="143" t="n">
        <f aca="false">IFERROR(IF(OR(NOT(ISNUMBER('Price History'!K158)),NOT(ISNUMBER('Price History'!K157)),'Price History'!K157=0),"",'Price History'!K158/'Price History'!K157-1),"")</f>
        <v>0.0588560121485435</v>
      </c>
      <c r="L157" s="143" t="n">
        <f aca="false">IFERROR(IF(OR(NOT(ISNUMBER('Price History'!L158)),NOT(ISNUMBER('Price History'!L157)),'Price History'!L157=0),"",'Price History'!L158/'Price History'!L157-1),"")</f>
        <v>-0.0238555770470665</v>
      </c>
      <c r="M157" s="143" t="n">
        <f aca="false">IFERROR(IF(OR(NOT(ISNUMBER('Price History'!M158)),NOT(ISNUMBER('Price History'!M157)),'Price History'!M157=0),"",'Price History'!M158/'Price History'!M157-1),"")</f>
        <v>-0.0642009769713886</v>
      </c>
      <c r="N157" s="143" t="n">
        <f aca="false">IFERROR(IF(OR(NOT(ISNUMBER('Price History'!N158)),NOT(ISNUMBER('Price History'!N157)),'Price History'!N157=0),"",'Price History'!N158/'Price History'!N157-1),"")</f>
        <v>-0.00288850375505467</v>
      </c>
      <c r="O157" s="143" t="n">
        <f aca="false">IFERROR(IF(OR(NOT(ISNUMBER('Price History'!O158)),NOT(ISNUMBER('Price History'!O157)),'Price History'!O157=0),"",'Price History'!O158/'Price History'!O157-1),"")</f>
        <v>0.0200627814931076</v>
      </c>
      <c r="P157" s="143" t="n">
        <f aca="false">IFERROR(IF(OR(NOT(ISNUMBER('Price History'!P158)),NOT(ISNUMBER('Price History'!P157)),'Price History'!P157=0),"",'Price History'!P158/'Price History'!P157-1),"")</f>
        <v>0.0272814601344862</v>
      </c>
      <c r="Q157" s="143" t="n">
        <f aca="false">IFERROR(IF(OR(NOT(ISNUMBER('Price History'!Q158)),NOT(ISNUMBER('Price History'!Q157)),'Price History'!Q157=0),"",'Price History'!Q158/'Price History'!Q157-1),"")</f>
        <v>-0.0171121593291406</v>
      </c>
      <c r="R157" s="143" t="n">
        <f aca="false">IFERROR(IF(OR(NOT(ISNUMBER('Price History'!R158)),NOT(ISNUMBER('Price History'!R157)),'Price History'!R157=0),"",'Price History'!R158/'Price History'!R157-1),"")</f>
        <v>0.00500345065562446</v>
      </c>
      <c r="S157" s="143" t="n">
        <f aca="false">IFERROR(IF(OR(NOT(ISNUMBER('Price History'!S158)),NOT(ISNUMBER('Price History'!S157)),'Price History'!S157=0),"",'Price History'!S158/'Price History'!S157-1),"")</f>
        <v>-0.0182922667394716</v>
      </c>
      <c r="T157" s="143" t="n">
        <f aca="false">IFERROR(IF(OR(NOT(ISNUMBER('Price History'!T158)),NOT(ISNUMBER('Price History'!T157)),'Price History'!T157=0),"",'Price History'!T158/'Price History'!T157-1),"")</f>
        <v>0.0332363938512672</v>
      </c>
      <c r="U157" s="143" t="str">
        <f aca="false">IFERROR(IF(OR(NOT(ISNUMBER('Price History'!U158)),NOT(ISNUMBER('Price History'!U157)),'Price History'!U157=0),"",'Price History'!U158/'Price History'!U157-1),"")</f>
        <v/>
      </c>
      <c r="V157" s="144" t="n">
        <f aca="false">IFERROR(IF(OR(NOT(ISNUMBER('Price History'!V158)),NOT(ISNUMBER('Price History'!V157)),'Price History'!V157=0),"",'Price History'!V158/'Price History'!V157-1),"")</f>
        <v>0.0292046862678834</v>
      </c>
      <c r="W157" s="145" t="str">
        <f aca="false">IFERROR('Price History'!B3+(INDEX('Price History'!B:B,MATCH(9.99E+307,'Price History'!$A:$A))-'Price History'!B3)*(ROW()-3)/(MATCH(9.99E+307,'Returns (Calc)'!$A:$A)-3),"")</f>
        <v/>
      </c>
      <c r="X157" s="145" t="n">
        <f aca="false">IFERROR('Price History'!C3+(INDEX('Price History'!C:C,MATCH(9.99E+307,'Price History'!$A:$A))-'Price History'!C3)*(ROW()-3)/(MATCH(9.99E+307,'Returns (Calc)'!$A:$A)-3),"")</f>
        <v>1.45220125786163</v>
      </c>
      <c r="Y157" s="145" t="n">
        <f aca="false">IFERROR('Price History'!D3+(INDEX('Price History'!D:D,MATCH(9.99E+307,'Price History'!$A:$A))-'Price History'!D3)*(ROW()-3)/(MATCH(9.99E+307,'Returns (Calc)'!$A:$A)-3),"")</f>
        <v>18.3022012578616</v>
      </c>
      <c r="Z157" s="145" t="n">
        <f aca="false">IFERROR('Price History'!E3+(INDEX('Price History'!E:E,MATCH(9.99E+307,'Price History'!$A:$A))-'Price History'!E3)*(ROW()-3)/(MATCH(9.99E+307,'Returns (Calc)'!$A:$A)-3),"")</f>
        <v>2.57861635220125</v>
      </c>
      <c r="AA157" s="145" t="n">
        <f aca="false">IFERROR('Price History'!F3+(INDEX('Price History'!F:F,MATCH(9.99E+307,'Price History'!$A:$A))-'Price History'!F3)*(ROW()-3)/(MATCH(9.99E+307,'Returns (Calc)'!$A:$A)-3),"")</f>
        <v>2.36823899371069</v>
      </c>
      <c r="AB157" s="145" t="n">
        <f aca="false">IFERROR('Price History'!G3+(INDEX('Price History'!G:G,MATCH(9.99E+307,'Price History'!$A:$A))-'Price History'!G3)*(ROW()-3)/(MATCH(9.99E+307,'Returns (Calc)'!$A:$A)-3),"")</f>
        <v>1.30062893081761</v>
      </c>
      <c r="AC157" s="145" t="n">
        <f aca="false">IFERROR('Price History'!H3+(INDEX('Price History'!H:H,MATCH(9.99E+307,'Price History'!$A:$A))-'Price History'!H3)*(ROW()-3)/(MATCH(9.99E+307,'Returns (Calc)'!$A:$A)-3),"")</f>
        <v>3.1632075471698</v>
      </c>
      <c r="AD157" s="145" t="n">
        <f aca="false">IFERROR('Price History'!I3+(INDEX('Price History'!I:I,MATCH(9.99E+307,'Price History'!$A:$A))-'Price History'!I3)*(ROW()-3)/(MATCH(9.99E+307,'Returns (Calc)'!$A:$A)-3),"")</f>
        <v>1.39465408805031</v>
      </c>
      <c r="AE157" s="145" t="n">
        <f aca="false">IFERROR('Price History'!J3+(INDEX('Price History'!J:J,MATCH(9.99E+307,'Price History'!$A:$A))-'Price History'!J3)*(ROW()-3)/(MATCH(9.99E+307,'Returns (Calc)'!$A:$A)-3),"")</f>
        <v>2.17327044025157</v>
      </c>
      <c r="AF157" s="145" t="n">
        <f aca="false">IFERROR('Price History'!K3+(INDEX('Price History'!K:K,MATCH(9.99E+307,'Price History'!$A:$A))-'Price History'!K3)*(ROW()-3)/(MATCH(9.99E+307,'Returns (Calc)'!$A:$A)-3),"")</f>
        <v>1.37641509433962</v>
      </c>
      <c r="AG157" s="145" t="n">
        <f aca="false">IFERROR('Price History'!L3+(INDEX('Price History'!L:L,MATCH(9.99E+307,'Price History'!$A:$A))-'Price History'!L3)*(ROW()-3)/(MATCH(9.99E+307,'Returns (Calc)'!$A:$A)-3),"")</f>
        <v>3.51698113207547</v>
      </c>
      <c r="AH157" s="145" t="n">
        <f aca="false">IFERROR('Price History'!M3+(INDEX('Price History'!M:M,MATCH(9.99E+307,'Price History'!$A:$A))-'Price History'!M3)*(ROW()-3)/(MATCH(9.99E+307,'Returns (Calc)'!$A:$A)-3),"")</f>
        <v>0.482075471698112</v>
      </c>
      <c r="AI157" s="145" t="n">
        <f aca="false">IFERROR('Price History'!N3+(INDEX('Price History'!N:N,MATCH(9.99E+307,'Price History'!$A:$A))-'Price History'!N3)*(ROW()-3)/(MATCH(9.99E+307,'Returns (Calc)'!$A:$A)-3),"")</f>
        <v>0.685534591194969</v>
      </c>
      <c r="AJ157" s="145" t="n">
        <f aca="false">IFERROR('Price History'!O3+(INDEX('Price History'!O:O,MATCH(9.99E+307,'Price History'!$A:$A))-'Price History'!O3)*(ROW()-3)/(MATCH(9.99E+307,'Returns (Calc)'!$A:$A)-3),"")</f>
        <v>1.8122641509434</v>
      </c>
      <c r="AK157" s="145" t="n">
        <f aca="false">IFERROR('Price History'!Q3+(INDEX('Price History'!Q:Q,MATCH(9.99E+307,'Price History'!$A:$A))-'Price History'!Q3)*(ROW()-3)/(MATCH(9.99E+307,'Returns (Calc)'!$A:$A)-3),"")</f>
        <v>7.40974842767298</v>
      </c>
      <c r="AL157" s="145" t="n">
        <f aca="false">IFERROR('Price History'!R3+(INDEX('Price History'!R:R,MATCH(9.99E+307,'Price History'!$A:$A))-'Price History'!R3)*(ROW()-3)/(MATCH(9.99E+307,'Returns (Calc)'!$A:$A)-3),"")</f>
        <v>1.50377358490566</v>
      </c>
      <c r="AM157" s="145" t="n">
        <f aca="false">IFERROR('Price History'!S3+(INDEX('Price History'!S:S,MATCH(9.99E+307,'Price History'!$A:$A))-'Price History'!S3)*(ROW()-3)/(MATCH(9.99E+307,'Returns (Calc)'!$A:$A)-3),"")</f>
        <v>1.84088050314465</v>
      </c>
      <c r="AN157" s="145" t="n">
        <f aca="false">IFERROR('Price History'!T3+(INDEX('Price History'!T:T,MATCH(9.99E+307,'Price History'!$A:$A))-'Price History'!T3)*(ROW()-3)/(MATCH(9.99E+307,'Returns (Calc)'!$A:$A)-3),"")</f>
        <v>0.846226415094339</v>
      </c>
      <c r="AO157" s="146" t="n">
        <f aca="false">IFERROR('Price History'!V3+(INDEX('Price History'!V:V,MATCH(9.99E+307,'Price History'!$A:$A))-'Price History'!V3)*(ROW()-3)/(MATCH(9.99E+307,'Returns (Calc)'!$A:$A)-3),"")</f>
        <v>0</v>
      </c>
    </row>
    <row r="158" customFormat="false" ht="15" hidden="false" customHeight="true" outlineLevel="0" collapsed="false">
      <c r="A158" s="142" t="n">
        <f aca="false">IF('Price History'!A159="","",'Price History'!A159)</f>
        <v>46276</v>
      </c>
      <c r="B158" s="143" t="n">
        <f aca="false">IFERROR(IF(OR(NOT(ISNUMBER('Price History'!B159)),NOT(ISNUMBER('Price History'!B158)),'Price History'!B158=0),"",'Price History'!B159/'Price History'!B158-1),"")</f>
        <v>-0.0535814791189824</v>
      </c>
      <c r="C158" s="143" t="n">
        <f aca="false">IFERROR(IF(OR(NOT(ISNUMBER('Price History'!C159)),NOT(ISNUMBER('Price History'!C158)),'Price History'!C158=0),"",'Price History'!C159/'Price History'!C158-1),"")</f>
        <v>0.0299824543296523</v>
      </c>
      <c r="D158" s="143" t="n">
        <f aca="false">IFERROR(IF(OR(NOT(ISNUMBER('Price History'!D159)),NOT(ISNUMBER('Price History'!D158)),'Price History'!D158=0),"",'Price History'!D159/'Price History'!D158-1),"")</f>
        <v>-0.00966831498413889</v>
      </c>
      <c r="E158" s="143" t="n">
        <f aca="false">IFERROR(IF(OR(NOT(ISNUMBER('Price History'!E159)),NOT(ISNUMBER('Price History'!E158)),'Price History'!E158=0),"",'Price History'!E159/'Price History'!E158-1),"")</f>
        <v>0.0114205738278517</v>
      </c>
      <c r="F158" s="143" t="n">
        <f aca="false">IFERROR(IF(OR(NOT(ISNUMBER('Price History'!F159)),NOT(ISNUMBER('Price History'!F158)),'Price History'!F158=0),"",'Price History'!F159/'Price History'!F158-1),"")</f>
        <v>-0.0159658552007588</v>
      </c>
      <c r="G158" s="143" t="n">
        <f aca="false">IFERROR(IF(OR(NOT(ISNUMBER('Price History'!G159)),NOT(ISNUMBER('Price History'!G158)),'Price History'!G158=0),"",'Price History'!G159/'Price History'!G158-1),"")</f>
        <v>-0.0298451431252932</v>
      </c>
      <c r="H158" s="143" t="n">
        <f aca="false">IFERROR(IF(OR(NOT(ISNUMBER('Price History'!H159)),NOT(ISNUMBER('Price History'!H158)),'Price History'!H158=0),"",'Price History'!H159/'Price History'!H158-1),"")</f>
        <v>-0.01154011417347</v>
      </c>
      <c r="I158" s="143" t="n">
        <f aca="false">IFERROR(IF(OR(NOT(ISNUMBER('Price History'!I159)),NOT(ISNUMBER('Price History'!I158)),'Price History'!I158=0),"",'Price History'!I159/'Price History'!I158-1),"")</f>
        <v>-0.0267241379310346</v>
      </c>
      <c r="J158" s="143" t="n">
        <f aca="false">IFERROR(IF(OR(NOT(ISNUMBER('Price History'!J159)),NOT(ISNUMBER('Price History'!J158)),'Price History'!J158=0),"",'Price History'!J159/'Price History'!J158-1),"")</f>
        <v>-0.0406555248428571</v>
      </c>
      <c r="K158" s="143" t="n">
        <f aca="false">IFERROR(IF(OR(NOT(ISNUMBER('Price History'!K159)),NOT(ISNUMBER('Price History'!K158)),'Price History'!K158=0),"",'Price History'!K159/'Price History'!K158-1),"")</f>
        <v>-0.0513255106475445</v>
      </c>
      <c r="L158" s="143" t="n">
        <f aca="false">IFERROR(IF(OR(NOT(ISNUMBER('Price History'!L159)),NOT(ISNUMBER('Price History'!L158)),'Price History'!L158=0),"",'Price History'!L159/'Price History'!L158-1),"")</f>
        <v>-0.011595479230882</v>
      </c>
      <c r="M158" s="143" t="n">
        <f aca="false">IFERROR(IF(OR(NOT(ISNUMBER('Price History'!M159)),NOT(ISNUMBER('Price History'!M158)),'Price History'!M158=0),"",'Price History'!M159/'Price History'!M158-1),"")</f>
        <v>-0.0407273561635979</v>
      </c>
      <c r="N158" s="143" t="n">
        <f aca="false">IFERROR(IF(OR(NOT(ISNUMBER('Price History'!N159)),NOT(ISNUMBER('Price History'!N158)),'Price History'!N158=0),"",'Price History'!N159/'Price History'!N158-1),"")</f>
        <v>-0.0194090382387022</v>
      </c>
      <c r="O158" s="143" t="n">
        <f aca="false">IFERROR(IF(OR(NOT(ISNUMBER('Price History'!O159)),NOT(ISNUMBER('Price History'!O158)),'Price History'!O158=0),"",'Price History'!O159/'Price History'!O158-1),"")</f>
        <v>-0.00943270002675944</v>
      </c>
      <c r="P158" s="143" t="n">
        <f aca="false">IFERROR(IF(OR(NOT(ISNUMBER('Price History'!P159)),NOT(ISNUMBER('Price History'!P158)),'Price History'!P158=0),"",'Price History'!P159/'Price History'!P158-1),"")</f>
        <v>0.0100991210024313</v>
      </c>
      <c r="Q158" s="143" t="n">
        <f aca="false">IFERROR(IF(OR(NOT(ISNUMBER('Price History'!Q159)),NOT(ISNUMBER('Price History'!Q158)),'Price History'!Q158=0),"",'Price History'!Q159/'Price History'!Q158-1),"")</f>
        <v>-0.0123177006958701</v>
      </c>
      <c r="R158" s="143" t="n">
        <f aca="false">IFERROR(IF(OR(NOT(ISNUMBER('Price History'!R159)),NOT(ISNUMBER('Price History'!R158)),'Price History'!R158=0),"",'Price History'!R159/'Price History'!R158-1),"")</f>
        <v>0.0255793991416309</v>
      </c>
      <c r="S158" s="143" t="n">
        <f aca="false">IFERROR(IF(OR(NOT(ISNUMBER('Price History'!S159)),NOT(ISNUMBER('Price History'!S158)),'Price History'!S158=0),"",'Price History'!S159/'Price History'!S158-1),"")</f>
        <v>0.0407425432802613</v>
      </c>
      <c r="T158" s="143" t="n">
        <f aca="false">IFERROR(IF(OR(NOT(ISNUMBER('Price History'!T159)),NOT(ISNUMBER('Price History'!T158)),'Price History'!T158=0),"",'Price History'!T159/'Price History'!T158-1),"")</f>
        <v>0.0345798150381986</v>
      </c>
      <c r="U158" s="143" t="str">
        <f aca="false">IFERROR(IF(OR(NOT(ISNUMBER('Price History'!U159)),NOT(ISNUMBER('Price History'!U158)),'Price History'!U158=0),"",'Price History'!U159/'Price History'!U158-1),"")</f>
        <v/>
      </c>
      <c r="V158" s="144" t="n">
        <f aca="false">IFERROR(IF(OR(NOT(ISNUMBER('Price History'!V159)),NOT(ISNUMBER('Price History'!V158)),'Price History'!V158=0),"",'Price History'!V159/'Price History'!V158-1),"")</f>
        <v>-0.00990559584074435</v>
      </c>
      <c r="W158" s="146" t="str">
        <f aca="false">IFERROR('Price History'!B3+(INDEX('Price History'!B:B,MATCH(9.99E+307,'Price History'!$A:$A))-'Price History'!B3)*(ROW()-3)/(MATCH(9.99E+307,'Returns (Calc)'!$A:$A)-3),"")</f>
        <v/>
      </c>
      <c r="X158" s="146" t="n">
        <f aca="false">IFERROR('Price History'!C3+(INDEX('Price History'!C:C,MATCH(9.99E+307,'Price History'!$A:$A))-'Price History'!C3)*(ROW()-3)/(MATCH(9.99E+307,'Returns (Calc)'!$A:$A)-3),"")</f>
        <v>1.16176100628931</v>
      </c>
      <c r="Y158" s="146" t="n">
        <f aca="false">IFERROR('Price History'!D3+(INDEX('Price History'!D:D,MATCH(9.99E+307,'Price History'!$A:$A))-'Price History'!D3)*(ROW()-3)/(MATCH(9.99E+307,'Returns (Calc)'!$A:$A)-3),"")</f>
        <v>14.6417610062892</v>
      </c>
      <c r="Z158" s="146" t="n">
        <f aca="false">IFERROR('Price History'!E3+(INDEX('Price History'!E:E,MATCH(9.99E+307,'Price History'!$A:$A))-'Price History'!E3)*(ROW()-3)/(MATCH(9.99E+307,'Returns (Calc)'!$A:$A)-3),"")</f>
        <v>2.062893081761</v>
      </c>
      <c r="AA158" s="146" t="n">
        <f aca="false">IFERROR('Price History'!F3+(INDEX('Price History'!F:F,MATCH(9.99E+307,'Price History'!$A:$A))-'Price History'!F3)*(ROW()-3)/(MATCH(9.99E+307,'Returns (Calc)'!$A:$A)-3),"")</f>
        <v>1.89459119496856</v>
      </c>
      <c r="AB158" s="146" t="n">
        <f aca="false">IFERROR('Price History'!G3+(INDEX('Price History'!G:G,MATCH(9.99E+307,'Price History'!$A:$A))-'Price History'!G3)*(ROW()-3)/(MATCH(9.99E+307,'Returns (Calc)'!$A:$A)-3),"")</f>
        <v>1.04050314465409</v>
      </c>
      <c r="AC158" s="146" t="n">
        <f aca="false">IFERROR('Price History'!H3+(INDEX('Price History'!H:H,MATCH(9.99E+307,'Price History'!$A:$A))-'Price History'!H3)*(ROW()-3)/(MATCH(9.99E+307,'Returns (Calc)'!$A:$A)-3),"")</f>
        <v>2.53056603773585</v>
      </c>
      <c r="AD158" s="146" t="n">
        <f aca="false">IFERROR('Price History'!I3+(INDEX('Price History'!I:I,MATCH(9.99E+307,'Price History'!$A:$A))-'Price History'!I3)*(ROW()-3)/(MATCH(9.99E+307,'Returns (Calc)'!$A:$A)-3),"")</f>
        <v>1.11572327044026</v>
      </c>
      <c r="AE158" s="146" t="n">
        <f aca="false">IFERROR('Price History'!J3+(INDEX('Price History'!J:J,MATCH(9.99E+307,'Price History'!$A:$A))-'Price History'!J3)*(ROW()-3)/(MATCH(9.99E+307,'Returns (Calc)'!$A:$A)-3),"")</f>
        <v>1.73861635220126</v>
      </c>
      <c r="AF158" s="146" t="n">
        <f aca="false">IFERROR('Price History'!K3+(INDEX('Price History'!K:K,MATCH(9.99E+307,'Price History'!$A:$A))-'Price History'!K3)*(ROW()-3)/(MATCH(9.99E+307,'Returns (Calc)'!$A:$A)-3),"")</f>
        <v>1.1011320754717</v>
      </c>
      <c r="AG158" s="146" t="n">
        <f aca="false">IFERROR('Price History'!L3+(INDEX('Price History'!L:L,MATCH(9.99E+307,'Price History'!$A:$A))-'Price History'!L3)*(ROW()-3)/(MATCH(9.99E+307,'Returns (Calc)'!$A:$A)-3),"")</f>
        <v>2.81358490566038</v>
      </c>
      <c r="AH158" s="146" t="n">
        <f aca="false">IFERROR('Price History'!M3+(INDEX('Price History'!M:M,MATCH(9.99E+307,'Price History'!$A:$A))-'Price History'!M3)*(ROW()-3)/(MATCH(9.99E+307,'Returns (Calc)'!$A:$A)-3),"")</f>
        <v>0.385660377358491</v>
      </c>
      <c r="AI158" s="146" t="n">
        <f aca="false">IFERROR('Price History'!N3+(INDEX('Price History'!N:N,MATCH(9.99E+307,'Price History'!$A:$A))-'Price History'!N3)*(ROW()-3)/(MATCH(9.99E+307,'Returns (Calc)'!$A:$A)-3),"")</f>
        <v>0.548427672955974</v>
      </c>
      <c r="AJ158" s="146" t="n">
        <f aca="false">IFERROR('Price History'!O3+(INDEX('Price History'!O:O,MATCH(9.99E+307,'Price History'!$A:$A))-'Price History'!O3)*(ROW()-3)/(MATCH(9.99E+307,'Returns (Calc)'!$A:$A)-3),"")</f>
        <v>1.44981132075472</v>
      </c>
      <c r="AK158" s="146" t="n">
        <f aca="false">IFERROR('Price History'!Q3+(INDEX('Price History'!Q:Q,MATCH(9.99E+307,'Price History'!$A:$A))-'Price History'!Q3)*(ROW()-3)/(MATCH(9.99E+307,'Returns (Calc)'!$A:$A)-3),"")</f>
        <v>5.92779874213835</v>
      </c>
      <c r="AL158" s="146" t="n">
        <f aca="false">IFERROR('Price History'!R3+(INDEX('Price History'!R:R,MATCH(9.99E+307,'Price History'!$A:$A))-'Price History'!R3)*(ROW()-3)/(MATCH(9.99E+307,'Returns (Calc)'!$A:$A)-3),"")</f>
        <v>1.20301886792453</v>
      </c>
      <c r="AM158" s="146" t="n">
        <f aca="false">IFERROR('Price History'!S3+(INDEX('Price History'!S:S,MATCH(9.99E+307,'Price History'!$A:$A))-'Price History'!S3)*(ROW()-3)/(MATCH(9.99E+307,'Returns (Calc)'!$A:$A)-3),"")</f>
        <v>1.47270440251572</v>
      </c>
      <c r="AN158" s="146" t="n">
        <f aca="false">IFERROR('Price History'!T3+(INDEX('Price History'!T:T,MATCH(9.99E+307,'Price History'!$A:$A))-'Price History'!T3)*(ROW()-3)/(MATCH(9.99E+307,'Returns (Calc)'!$A:$A)-3),"")</f>
        <v>0.676981132075472</v>
      </c>
      <c r="AO158" s="146" t="n">
        <f aca="false">IFERROR('Price History'!V3+(INDEX('Price History'!V:V,MATCH(9.99E+307,'Price History'!$A:$A))-'Price History'!V3)*(ROW()-3)/(MATCH(9.99E+307,'Returns (Calc)'!$A:$A)-3),"")</f>
        <v>0</v>
      </c>
    </row>
    <row r="159" customFormat="false" ht="15" hidden="false" customHeight="true" outlineLevel="0" collapsed="false">
      <c r="A159" s="142" t="n">
        <f aca="false">IF('Price History'!A160="","",'Price History'!A160)</f>
        <v>46283</v>
      </c>
      <c r="B159" s="143" t="n">
        <f aca="false">IFERROR(IF(OR(NOT(ISNUMBER('Price History'!B160)),NOT(ISNUMBER('Price History'!B159)),'Price History'!B159=0),"",'Price History'!B160/'Price History'!B159-1),"")</f>
        <v>-0.0131229433453594</v>
      </c>
      <c r="C159" s="143" t="n">
        <f aca="false">IFERROR(IF(OR(NOT(ISNUMBER('Price History'!C160)),NOT(ISNUMBER('Price History'!C159)),'Price History'!C159=0),"",'Price History'!C160/'Price History'!C159-1),"")</f>
        <v>-0.00100205421113286</v>
      </c>
      <c r="D159" s="143" t="n">
        <f aca="false">IFERROR(IF(OR(NOT(ISNUMBER('Price History'!D160)),NOT(ISNUMBER('Price History'!D159)),'Price History'!D159=0),"",'Price History'!D160/'Price History'!D159-1),"")</f>
        <v>-0.0108225872931754</v>
      </c>
      <c r="E159" s="143" t="n">
        <f aca="false">IFERROR(IF(OR(NOT(ISNUMBER('Price History'!E160)),NOT(ISNUMBER('Price History'!E159)),'Price History'!E159=0),"",'Price History'!E160/'Price History'!E159-1),"")</f>
        <v>-0.0120942075111394</v>
      </c>
      <c r="F159" s="143" t="n">
        <f aca="false">IFERROR(IF(OR(NOT(ISNUMBER('Price History'!F160)),NOT(ISNUMBER('Price History'!F159)),'Price History'!F159=0),"",'Price History'!F160/'Price History'!F159-1),"")</f>
        <v>-0.0204016064257029</v>
      </c>
      <c r="G159" s="143" t="n">
        <f aca="false">IFERROR(IF(OR(NOT(ISNUMBER('Price History'!G160)),NOT(ISNUMBER('Price History'!G159)),'Price History'!G159=0),"",'Price History'!G160/'Price History'!G159-1),"")</f>
        <v>0.14951146367418</v>
      </c>
      <c r="H159" s="143" t="n">
        <f aca="false">IFERROR(IF(OR(NOT(ISNUMBER('Price History'!H160)),NOT(ISNUMBER('Price History'!H159)),'Price History'!H159=0),"",'Price History'!H160/'Price History'!H159-1),"")</f>
        <v>-0.0173259641060671</v>
      </c>
      <c r="I159" s="143" t="n">
        <f aca="false">IFERROR(IF(OR(NOT(ISNUMBER('Price History'!I160)),NOT(ISNUMBER('Price History'!I159)),'Price History'!I159=0),"",'Price History'!I160/'Price History'!I159-1),"")</f>
        <v>-0.0202059344552701</v>
      </c>
      <c r="J159" s="143" t="n">
        <f aca="false">IFERROR(IF(OR(NOT(ISNUMBER('Price History'!J160)),NOT(ISNUMBER('Price History'!J159)),'Price History'!J159=0),"",'Price History'!J160/'Price History'!J159-1),"")</f>
        <v>0.0415684022722145</v>
      </c>
      <c r="K159" s="143" t="n">
        <f aca="false">IFERROR(IF(OR(NOT(ISNUMBER('Price History'!K160)),NOT(ISNUMBER('Price History'!K159)),'Price History'!K159=0),"",'Price History'!K160/'Price History'!K159-1),"")</f>
        <v>0.0182326263227817</v>
      </c>
      <c r="L159" s="143" t="n">
        <f aca="false">IFERROR(IF(OR(NOT(ISNUMBER('Price History'!L160)),NOT(ISNUMBER('Price History'!L159)),'Price History'!L159=0),"",'Price History'!L160/'Price History'!L159-1),"")</f>
        <v>0.00118800118800122</v>
      </c>
      <c r="M159" s="143" t="n">
        <f aca="false">IFERROR(IF(OR(NOT(ISNUMBER('Price History'!M160)),NOT(ISNUMBER('Price History'!M159)),'Price History'!M159=0),"",'Price History'!M160/'Price History'!M159-1),"")</f>
        <v>0.0622495963642886</v>
      </c>
      <c r="N159" s="143" t="n">
        <f aca="false">IFERROR(IF(OR(NOT(ISNUMBER('Price History'!N160)),NOT(ISNUMBER('Price History'!N159)),'Price History'!N159=0),"",'Price History'!N160/'Price History'!N159-1),"")</f>
        <v>-0.0129985228951257</v>
      </c>
      <c r="O159" s="143" t="n">
        <f aca="false">IFERROR(IF(OR(NOT(ISNUMBER('Price History'!O160)),NOT(ISNUMBER('Price History'!O159)),'Price History'!O159=0),"",'Price History'!O160/'Price History'!O159-1),"")</f>
        <v>0.00607820625379896</v>
      </c>
      <c r="P159" s="143" t="n">
        <f aca="false">IFERROR(IF(OR(NOT(ISNUMBER('Price History'!P160)),NOT(ISNUMBER('Price History'!P159)),'Price History'!P159=0),"",'Price History'!P160/'Price History'!P159-1),"")</f>
        <v>0.00599426032216255</v>
      </c>
      <c r="Q159" s="143" t="n">
        <f aca="false">IFERROR(IF(OR(NOT(ISNUMBER('Price History'!Q160)),NOT(ISNUMBER('Price History'!Q159)),'Price History'!Q159=0),"",'Price History'!Q160/'Price History'!Q159-1),"")</f>
        <v>-0.00583074638952619</v>
      </c>
      <c r="R159" s="143" t="n">
        <f aca="false">IFERROR(IF(OR(NOT(ISNUMBER('Price History'!R160)),NOT(ISNUMBER('Price History'!R159)),'Price History'!R159=0),"",'Price History'!R160/'Price History'!R159-1),"")</f>
        <v>0.0132239705390023</v>
      </c>
      <c r="S159" s="143" t="n">
        <f aca="false">IFERROR(IF(OR(NOT(ISNUMBER('Price History'!S160)),NOT(ISNUMBER('Price History'!S159)),'Price History'!S159=0),"",'Price History'!S160/'Price History'!S159-1),"")</f>
        <v>0.0241833121785022</v>
      </c>
      <c r="T159" s="143" t="n">
        <f aca="false">IFERROR(IF(OR(NOT(ISNUMBER('Price History'!T160)),NOT(ISNUMBER('Price History'!T159)),'Price History'!T159=0),"",'Price History'!T160/'Price History'!T159-1),"")</f>
        <v>0.0437232802176448</v>
      </c>
      <c r="U159" s="143" t="str">
        <f aca="false">IFERROR(IF(OR(NOT(ISNUMBER('Price History'!U160)),NOT(ISNUMBER('Price History'!U159)),'Price History'!U159=0),"",'Price History'!U160/'Price History'!U159-1),"")</f>
        <v/>
      </c>
      <c r="V159" s="144" t="n">
        <f aca="false">IFERROR(IF(OR(NOT(ISNUMBER('Price History'!V160)),NOT(ISNUMBER('Price History'!V159)),'Price History'!V159=0),"",'Price History'!V160/'Price History'!V159-1),"")</f>
        <v>0.0064118508691926</v>
      </c>
      <c r="W159" s="146" t="str">
        <f aca="false">IFERROR('Price History'!B3+(INDEX('Price History'!B:B,MATCH(9.99E+307,'Price History'!$A:$A))-'Price History'!B3)*(ROW()-3)/(MATCH(9.99E+307,'Returns (Calc)'!$A:$A)-3),"")</f>
        <v/>
      </c>
      <c r="X159" s="146" t="n">
        <f aca="false">IFERROR('Price History'!C3+(INDEX('Price History'!C:C,MATCH(9.99E+307,'Price History'!$A:$A))-'Price History'!C3)*(ROW()-3)/(MATCH(9.99E+307,'Returns (Calc)'!$A:$A)-3),"")</f>
        <v>0.871320754716983</v>
      </c>
      <c r="Y159" s="146" t="n">
        <f aca="false">IFERROR('Price History'!D3+(INDEX('Price History'!D:D,MATCH(9.99E+307,'Price History'!$A:$A))-'Price History'!D3)*(ROW()-3)/(MATCH(9.99E+307,'Returns (Calc)'!$A:$A)-3),"")</f>
        <v>10.981320754717</v>
      </c>
      <c r="Z159" s="146" t="n">
        <f aca="false">IFERROR('Price History'!E3+(INDEX('Price History'!E:E,MATCH(9.99E+307,'Price History'!$A:$A))-'Price History'!E3)*(ROW()-3)/(MATCH(9.99E+307,'Returns (Calc)'!$A:$A)-3),"")</f>
        <v>1.54716981132076</v>
      </c>
      <c r="AA159" s="146" t="n">
        <f aca="false">IFERROR('Price History'!F3+(INDEX('Price History'!F:F,MATCH(9.99E+307,'Price History'!$A:$A))-'Price History'!F3)*(ROW()-3)/(MATCH(9.99E+307,'Returns (Calc)'!$A:$A)-3),"")</f>
        <v>1.42094339622642</v>
      </c>
      <c r="AB159" s="146" t="n">
        <f aca="false">IFERROR('Price History'!G3+(INDEX('Price History'!G:G,MATCH(9.99E+307,'Price History'!$A:$A))-'Price History'!G3)*(ROW()-3)/(MATCH(9.99E+307,'Returns (Calc)'!$A:$A)-3),"")</f>
        <v>0.780377358490568</v>
      </c>
      <c r="AC159" s="146" t="n">
        <f aca="false">IFERROR('Price History'!H3+(INDEX('Price History'!H:H,MATCH(9.99E+307,'Price History'!$A:$A))-'Price History'!H3)*(ROW()-3)/(MATCH(9.99E+307,'Returns (Calc)'!$A:$A)-3),"")</f>
        <v>1.89792452830189</v>
      </c>
      <c r="AD159" s="146" t="n">
        <f aca="false">IFERROR('Price History'!I3+(INDEX('Price History'!I:I,MATCH(9.99E+307,'Price History'!$A:$A))-'Price History'!I3)*(ROW()-3)/(MATCH(9.99E+307,'Returns (Calc)'!$A:$A)-3),"")</f>
        <v>0.836792452830188</v>
      </c>
      <c r="AE159" s="146" t="n">
        <f aca="false">IFERROR('Price History'!J3+(INDEX('Price History'!J:J,MATCH(9.99E+307,'Price History'!$A:$A))-'Price History'!J3)*(ROW()-3)/(MATCH(9.99E+307,'Returns (Calc)'!$A:$A)-3),"")</f>
        <v>1.30396226415094</v>
      </c>
      <c r="AF159" s="146" t="n">
        <f aca="false">IFERROR('Price History'!K3+(INDEX('Price History'!K:K,MATCH(9.99E+307,'Price History'!$A:$A))-'Price History'!K3)*(ROW()-3)/(MATCH(9.99E+307,'Returns (Calc)'!$A:$A)-3),"")</f>
        <v>0.825849056603772</v>
      </c>
      <c r="AG159" s="146" t="n">
        <f aca="false">IFERROR('Price History'!L3+(INDEX('Price History'!L:L,MATCH(9.99E+307,'Price History'!$A:$A))-'Price History'!L3)*(ROW()-3)/(MATCH(9.99E+307,'Returns (Calc)'!$A:$A)-3),"")</f>
        <v>2.11018867924528</v>
      </c>
      <c r="AH159" s="146" t="n">
        <f aca="false">IFERROR('Price History'!M3+(INDEX('Price History'!M:M,MATCH(9.99E+307,'Price History'!$A:$A))-'Price History'!M3)*(ROW()-3)/(MATCH(9.99E+307,'Returns (Calc)'!$A:$A)-3),"")</f>
        <v>0.289245283018868</v>
      </c>
      <c r="AI159" s="146" t="n">
        <f aca="false">IFERROR('Price History'!N3+(INDEX('Price History'!N:N,MATCH(9.99E+307,'Price History'!$A:$A))-'Price History'!N3)*(ROW()-3)/(MATCH(9.99E+307,'Returns (Calc)'!$A:$A)-3),"")</f>
        <v>0.411320754716982</v>
      </c>
      <c r="AJ159" s="146" t="n">
        <f aca="false">IFERROR('Price History'!O3+(INDEX('Price History'!O:O,MATCH(9.99E+307,'Price History'!$A:$A))-'Price History'!O3)*(ROW()-3)/(MATCH(9.99E+307,'Returns (Calc)'!$A:$A)-3),"")</f>
        <v>1.08735849056604</v>
      </c>
      <c r="AK159" s="146" t="n">
        <f aca="false">IFERROR('Price History'!Q3+(INDEX('Price History'!Q:Q,MATCH(9.99E+307,'Price History'!$A:$A))-'Price History'!Q3)*(ROW()-3)/(MATCH(9.99E+307,'Returns (Calc)'!$A:$A)-3),"")</f>
        <v>4.44584905660378</v>
      </c>
      <c r="AL159" s="146" t="n">
        <f aca="false">IFERROR('Price History'!R3+(INDEX('Price History'!R:R,MATCH(9.99E+307,'Price History'!$A:$A))-'Price History'!R3)*(ROW()-3)/(MATCH(9.99E+307,'Returns (Calc)'!$A:$A)-3),"")</f>
        <v>0.902264150943395</v>
      </c>
      <c r="AM159" s="146" t="n">
        <f aca="false">IFERROR('Price History'!S3+(INDEX('Price History'!S:S,MATCH(9.99E+307,'Price History'!$A:$A))-'Price History'!S3)*(ROW()-3)/(MATCH(9.99E+307,'Returns (Calc)'!$A:$A)-3),"")</f>
        <v>1.10452830188679</v>
      </c>
      <c r="AN159" s="146" t="n">
        <f aca="false">IFERROR('Price History'!T3+(INDEX('Price History'!T:T,MATCH(9.99E+307,'Price History'!$A:$A))-'Price History'!T3)*(ROW()-3)/(MATCH(9.99E+307,'Returns (Calc)'!$A:$A)-3),"")</f>
        <v>0.507735849056605</v>
      </c>
      <c r="AO159" s="146" t="n">
        <f aca="false">IFERROR('Price History'!V3+(INDEX('Price History'!V:V,MATCH(9.99E+307,'Price History'!$A:$A))-'Price History'!V3)*(ROW()-3)/(MATCH(9.99E+307,'Returns (Calc)'!$A:$A)-3),"")</f>
        <v>0</v>
      </c>
    </row>
    <row r="160" customFormat="false" ht="15" hidden="false" customHeight="true" outlineLevel="0" collapsed="false">
      <c r="A160" s="142" t="n">
        <f aca="false">IF('Price History'!A161="","",'Price History'!A161)</f>
        <v>46290</v>
      </c>
      <c r="B160" s="143" t="n">
        <f aca="false">IFERROR(IF(OR(NOT(ISNUMBER('Price History'!B161)),NOT(ISNUMBER('Price History'!B160)),'Price History'!B160=0),"",'Price History'!B161/'Price History'!B160-1),"")</f>
        <v>-0.0540334243933793</v>
      </c>
      <c r="C160" s="143" t="n">
        <f aca="false">IFERROR(IF(OR(NOT(ISNUMBER('Price History'!C161)),NOT(ISNUMBER('Price History'!C160)),'Price History'!C160=0),"",'Price History'!C161/'Price History'!C160-1),"")</f>
        <v>0.0359095240483476</v>
      </c>
      <c r="D160" s="143" t="n">
        <f aca="false">IFERROR(IF(OR(NOT(ISNUMBER('Price History'!D161)),NOT(ISNUMBER('Price History'!D160)),'Price History'!D160=0),"",'Price History'!D161/'Price History'!D160-1),"")</f>
        <v>0.038108957569408</v>
      </c>
      <c r="E160" s="143" t="n">
        <f aca="false">IFERROR(IF(OR(NOT(ISNUMBER('Price History'!E161)),NOT(ISNUMBER('Price History'!E160)),'Price History'!E160=0),"",'Price History'!E161/'Price History'!E160-1),"")</f>
        <v>-0.0116259524876736</v>
      </c>
      <c r="F160" s="143" t="n">
        <f aca="false">IFERROR(IF(OR(NOT(ISNUMBER('Price History'!F161)),NOT(ISNUMBER('Price History'!F160)),'Price History'!F160=0),"",'Price History'!F161/'Price History'!F160-1),"")</f>
        <v>-0.0127090849458839</v>
      </c>
      <c r="G160" s="143" t="n">
        <f aca="false">IFERROR(IF(OR(NOT(ISNUMBER('Price History'!G161)),NOT(ISNUMBER('Price History'!G160)),'Price History'!G160=0),"",'Price History'!G161/'Price History'!G160-1),"")</f>
        <v>0.0609299389859035</v>
      </c>
      <c r="H160" s="143" t="n">
        <f aca="false">IFERROR(IF(OR(NOT(ISNUMBER('Price History'!H161)),NOT(ISNUMBER('Price History'!H160)),'Price History'!H160=0),"",'Price History'!H161/'Price History'!H160-1),"")</f>
        <v>-0.0221814964610719</v>
      </c>
      <c r="I160" s="143" t="n">
        <f aca="false">IFERROR(IF(OR(NOT(ISNUMBER('Price History'!I161)),NOT(ISNUMBER('Price History'!I160)),'Price History'!I160=0),"",'Price History'!I161/'Price History'!I160-1),"")</f>
        <v>0.061754901406859</v>
      </c>
      <c r="J160" s="143" t="n">
        <f aca="false">IFERROR(IF(OR(NOT(ISNUMBER('Price History'!J161)),NOT(ISNUMBER('Price History'!J160)),'Price History'!J160=0),"",'Price History'!J161/'Price History'!J160-1),"")</f>
        <v>0.0654459539279386</v>
      </c>
      <c r="K160" s="143" t="n">
        <f aca="false">IFERROR(IF(OR(NOT(ISNUMBER('Price History'!K161)),NOT(ISNUMBER('Price History'!K160)),'Price History'!K160=0),"",'Price History'!K161/'Price History'!K160-1),"")</f>
        <v>0.0125972915823098</v>
      </c>
      <c r="L160" s="143" t="n">
        <f aca="false">IFERROR(IF(OR(NOT(ISNUMBER('Price History'!L161)),NOT(ISNUMBER('Price History'!L160)),'Price History'!L160=0),"",'Price History'!L161/'Price History'!L160-1),"")</f>
        <v>-0.0132749925838029</v>
      </c>
      <c r="M160" s="143" t="n">
        <f aca="false">IFERROR(IF(OR(NOT(ISNUMBER('Price History'!M161)),NOT(ISNUMBER('Price History'!M160)),'Price History'!M160=0),"",'Price History'!M161/'Price History'!M160-1),"")</f>
        <v>0.0677212339563162</v>
      </c>
      <c r="N160" s="143" t="n">
        <f aca="false">IFERROR(IF(OR(NOT(ISNUMBER('Price History'!N161)),NOT(ISNUMBER('Price History'!N160)),'Price History'!N160=0),"",'Price History'!N161/'Price History'!N160-1),"")</f>
        <v>-0.00598623166716539</v>
      </c>
      <c r="O160" s="143" t="n">
        <f aca="false">IFERROR(IF(OR(NOT(ISNUMBER('Price History'!O161)),NOT(ISNUMBER('Price History'!O160)),'Price History'!O160=0),"",'Price History'!O161/'Price History'!O160-1),"")</f>
        <v>0.0265154057863999</v>
      </c>
      <c r="P160" s="143" t="n">
        <f aca="false">IFERROR(IF(OR(NOT(ISNUMBER('Price History'!P161)),NOT(ISNUMBER('Price History'!P160)),'Price History'!P160=0),"",'Price History'!P161/'Price History'!P160-1),"")</f>
        <v>0.0366714979179608</v>
      </c>
      <c r="Q160" s="143" t="n">
        <f aca="false">IFERROR(IF(OR(NOT(ISNUMBER('Price History'!Q161)),NOT(ISNUMBER('Price History'!Q160)),'Price History'!Q160=0),"",'Price History'!Q161/'Price History'!Q160-1),"")</f>
        <v>-0.00247087892693265</v>
      </c>
      <c r="R160" s="143" t="n">
        <f aca="false">IFERROR(IF(OR(NOT(ISNUMBER('Price History'!R161)),NOT(ISNUMBER('Price History'!R160)),'Price History'!R160=0),"",'Price History'!R161/'Price History'!R160-1),"")</f>
        <v>-0.011399306129192</v>
      </c>
      <c r="S160" s="143" t="n">
        <f aca="false">IFERROR(IF(OR(NOT(ISNUMBER('Price History'!S161)),NOT(ISNUMBER('Price History'!S160)),'Price History'!S160=0),"",'Price History'!S161/'Price History'!S160-1),"")</f>
        <v>-0.0298741112778033</v>
      </c>
      <c r="T160" s="143" t="n">
        <f aca="false">IFERROR(IF(OR(NOT(ISNUMBER('Price History'!T161)),NOT(ISNUMBER('Price History'!T160)),'Price History'!T160=0),"",'Price History'!T161/'Price History'!T160-1),"")</f>
        <v>0.0323962018246138</v>
      </c>
      <c r="U160" s="143" t="str">
        <f aca="false">IFERROR(IF(OR(NOT(ISNUMBER('Price History'!U161)),NOT(ISNUMBER('Price History'!U160)),'Price History'!U160=0),"",'Price History'!U161/'Price History'!U160-1),"")</f>
        <v/>
      </c>
      <c r="V160" s="144" t="n">
        <f aca="false">IFERROR(IF(OR(NOT(ISNUMBER('Price History'!V161)),NOT(ISNUMBER('Price History'!V160)),'Price History'!V160=0),"",'Price History'!V161/'Price History'!V160-1),"")</f>
        <v>0.0189207744061515</v>
      </c>
      <c r="W160" s="146" t="str">
        <f aca="false">IFERROR('Price History'!B3+(INDEX('Price History'!B:B,MATCH(9.99E+307,'Price History'!$A:$A))-'Price History'!B3)*(ROW()-3)/(MATCH(9.99E+307,'Returns (Calc)'!$A:$A)-3),"")</f>
        <v/>
      </c>
      <c r="X160" s="146" t="n">
        <f aca="false">IFERROR('Price History'!C3+(INDEX('Price History'!C:C,MATCH(9.99E+307,'Price History'!$A:$A))-'Price History'!C3)*(ROW()-3)/(MATCH(9.99E+307,'Returns (Calc)'!$A:$A)-3),"")</f>
        <v>0.580880503144655</v>
      </c>
      <c r="Y160" s="146" t="n">
        <f aca="false">IFERROR('Price History'!D3+(INDEX('Price History'!D:D,MATCH(9.99E+307,'Price History'!$A:$A))-'Price History'!D3)*(ROW()-3)/(MATCH(9.99E+307,'Returns (Calc)'!$A:$A)-3),"")</f>
        <v>7.32088050314474</v>
      </c>
      <c r="Z160" s="146" t="n">
        <f aca="false">IFERROR('Price History'!E3+(INDEX('Price History'!E:E,MATCH(9.99E+307,'Price History'!$A:$A))-'Price History'!E3)*(ROW()-3)/(MATCH(9.99E+307,'Returns (Calc)'!$A:$A)-3),"")</f>
        <v>1.03144654088051</v>
      </c>
      <c r="AA160" s="146" t="n">
        <f aca="false">IFERROR('Price History'!F3+(INDEX('Price History'!F:F,MATCH(9.99E+307,'Price History'!$A:$A))-'Price History'!F3)*(ROW()-3)/(MATCH(9.99E+307,'Returns (Calc)'!$A:$A)-3),"")</f>
        <v>0.947295597484285</v>
      </c>
      <c r="AB160" s="146" t="n">
        <f aca="false">IFERROR('Price History'!G3+(INDEX('Price History'!G:G,MATCH(9.99E+307,'Price History'!$A:$A))-'Price History'!G3)*(ROW()-3)/(MATCH(9.99E+307,'Returns (Calc)'!$A:$A)-3),"")</f>
        <v>0.520251572327048</v>
      </c>
      <c r="AC160" s="146" t="n">
        <f aca="false">IFERROR('Price History'!H3+(INDEX('Price History'!H:H,MATCH(9.99E+307,'Price History'!$A:$A))-'Price History'!H3)*(ROW()-3)/(MATCH(9.99E+307,'Returns (Calc)'!$A:$A)-3),"")</f>
        <v>1.26528301886792</v>
      </c>
      <c r="AD160" s="146" t="n">
        <f aca="false">IFERROR('Price History'!I3+(INDEX('Price History'!I:I,MATCH(9.99E+307,'Price History'!$A:$A))-'Price History'!I3)*(ROW()-3)/(MATCH(9.99E+307,'Returns (Calc)'!$A:$A)-3),"")</f>
        <v>0.557861635220128</v>
      </c>
      <c r="AE160" s="146" t="n">
        <f aca="false">IFERROR('Price History'!J3+(INDEX('Price History'!J:J,MATCH(9.99E+307,'Price History'!$A:$A))-'Price History'!J3)*(ROW()-3)/(MATCH(9.99E+307,'Returns (Calc)'!$A:$A)-3),"")</f>
        <v>0.869308176100631</v>
      </c>
      <c r="AF160" s="146" t="n">
        <f aca="false">IFERROR('Price History'!K3+(INDEX('Price History'!K:K,MATCH(9.99E+307,'Price History'!$A:$A))-'Price History'!K3)*(ROW()-3)/(MATCH(9.99E+307,'Returns (Calc)'!$A:$A)-3),"")</f>
        <v>0.550566037735848</v>
      </c>
      <c r="AG160" s="146" t="n">
        <f aca="false">IFERROR('Price History'!L3+(INDEX('Price History'!L:L,MATCH(9.99E+307,'Price History'!$A:$A))-'Price History'!L3)*(ROW()-3)/(MATCH(9.99E+307,'Returns (Calc)'!$A:$A)-3),"")</f>
        <v>1.40679245283019</v>
      </c>
      <c r="AH160" s="146" t="n">
        <f aca="false">IFERROR('Price History'!M3+(INDEX('Price History'!M:M,MATCH(9.99E+307,'Price History'!$A:$A))-'Price History'!M3)*(ROW()-3)/(MATCH(9.99E+307,'Returns (Calc)'!$A:$A)-3),"")</f>
        <v>0.192830188679245</v>
      </c>
      <c r="AI160" s="146" t="n">
        <f aca="false">IFERROR('Price History'!N3+(INDEX('Price History'!N:N,MATCH(9.99E+307,'Price History'!$A:$A))-'Price History'!N3)*(ROW()-3)/(MATCH(9.99E+307,'Returns (Calc)'!$A:$A)-3),"")</f>
        <v>0.27421383647799</v>
      </c>
      <c r="AJ160" s="146" t="n">
        <f aca="false">IFERROR('Price History'!O3+(INDEX('Price History'!O:O,MATCH(9.99E+307,'Price History'!$A:$A))-'Price History'!O3)*(ROW()-3)/(MATCH(9.99E+307,'Returns (Calc)'!$A:$A)-3),"")</f>
        <v>0.72490566037736</v>
      </c>
      <c r="AK160" s="146" t="n">
        <f aca="false">IFERROR('Price History'!Q3+(INDEX('Price History'!Q:Q,MATCH(9.99E+307,'Price History'!$A:$A))-'Price History'!Q3)*(ROW()-3)/(MATCH(9.99E+307,'Returns (Calc)'!$A:$A)-3),"")</f>
        <v>2.9638993710692</v>
      </c>
      <c r="AL160" s="146" t="n">
        <f aca="false">IFERROR('Price History'!R3+(INDEX('Price History'!R:R,MATCH(9.99E+307,'Price History'!$A:$A))-'Price History'!R3)*(ROW()-3)/(MATCH(9.99E+307,'Returns (Calc)'!$A:$A)-3),"")</f>
        <v>0.601509433962264</v>
      </c>
      <c r="AM160" s="146" t="n">
        <f aca="false">IFERROR('Price History'!S3+(INDEX('Price History'!S:S,MATCH(9.99E+307,'Price History'!$A:$A))-'Price History'!S3)*(ROW()-3)/(MATCH(9.99E+307,'Returns (Calc)'!$A:$A)-3),"")</f>
        <v>0.736352201257859</v>
      </c>
      <c r="AN160" s="146" t="n">
        <f aca="false">IFERROR('Price History'!T3+(INDEX('Price History'!T:T,MATCH(9.99E+307,'Price History'!$A:$A))-'Price History'!T3)*(ROW()-3)/(MATCH(9.99E+307,'Returns (Calc)'!$A:$A)-3),"")</f>
        <v>0.338490566037738</v>
      </c>
      <c r="AO160" s="146" t="n">
        <f aca="false">IFERROR('Price History'!V3+(INDEX('Price History'!V:V,MATCH(9.99E+307,'Price History'!$A:$A))-'Price History'!V3)*(ROW()-3)/(MATCH(9.99E+307,'Returns (Calc)'!$A:$A)-3),"")</f>
        <v>0</v>
      </c>
    </row>
    <row r="161" customFormat="false" ht="15" hidden="false" customHeight="true" outlineLevel="0" collapsed="false">
      <c r="A161" s="142" t="n">
        <f aca="false">IF('Price History'!A162="","",'Price History'!A162)</f>
        <v>46297</v>
      </c>
      <c r="B161" s="143" t="n">
        <f aca="false">IFERROR(IF(OR(NOT(ISNUMBER('Price History'!B162)),NOT(ISNUMBER('Price History'!B161)),'Price History'!B161=0),"",'Price History'!B162/'Price History'!B161-1),"")</f>
        <v>-0.0189408417208137</v>
      </c>
      <c r="C161" s="143" t="n">
        <f aca="false">IFERROR(IF(OR(NOT(ISNUMBER('Price History'!C162)),NOT(ISNUMBER('Price History'!C161)),'Price History'!C161=0),"",'Price History'!C162/'Price History'!C161-1),"")</f>
        <v>-0.00789155168240152</v>
      </c>
      <c r="D161" s="143" t="n">
        <f aca="false">IFERROR(IF(OR(NOT(ISNUMBER('Price History'!D162)),NOT(ISNUMBER('Price History'!D161)),'Price History'!D161=0),"",'Price History'!D162/'Price History'!D161-1),"")</f>
        <v>0.0157516887048867</v>
      </c>
      <c r="E161" s="143" t="n">
        <f aca="false">IFERROR(IF(OR(NOT(ISNUMBER('Price History'!E162)),NOT(ISNUMBER('Price History'!E161)),'Price History'!E161=0),"",'Price History'!E162/'Price History'!E161-1),"")</f>
        <v>-0.00918341316856097</v>
      </c>
      <c r="F161" s="143" t="n">
        <f aca="false">IFERROR(IF(OR(NOT(ISNUMBER('Price History'!F162)),NOT(ISNUMBER('Price History'!F161)),'Price History'!F161=0),"",'Price History'!F162/'Price History'!F161-1),"")</f>
        <v>-0.00714226393156714</v>
      </c>
      <c r="G161" s="143" t="n">
        <f aca="false">IFERROR(IF(OR(NOT(ISNUMBER('Price History'!G162)),NOT(ISNUMBER('Price History'!G161)),'Price History'!G161=0),"",'Price History'!G162/'Price History'!G161-1),"")</f>
        <v>0.0282394003093642</v>
      </c>
      <c r="H161" s="143" t="n">
        <f aca="false">IFERROR(IF(OR(NOT(ISNUMBER('Price History'!H162)),NOT(ISNUMBER('Price History'!H161)),'Price History'!H161=0),"",'Price History'!H162/'Price History'!H161-1),"")</f>
        <v>-0.00697990047178942</v>
      </c>
      <c r="I161" s="143" t="n">
        <f aca="false">IFERROR(IF(OR(NOT(ISNUMBER('Price History'!I162)),NOT(ISNUMBER('Price History'!I161)),'Price History'!I161=0),"",'Price History'!I162/'Price History'!I161-1),"")</f>
        <v>0.00665176670923806</v>
      </c>
      <c r="J161" s="143" t="n">
        <f aca="false">IFERROR(IF(OR(NOT(ISNUMBER('Price History'!J162)),NOT(ISNUMBER('Price History'!J161)),'Price History'!J161=0),"",'Price History'!J162/'Price History'!J161-1),"")</f>
        <v>-0.0261485013120449</v>
      </c>
      <c r="K161" s="143" t="n">
        <f aca="false">IFERROR(IF(OR(NOT(ISNUMBER('Price History'!K162)),NOT(ISNUMBER('Price History'!K161)),'Price History'!K161=0),"",'Price History'!K162/'Price History'!K161-1),"")</f>
        <v>0.0168392055804862</v>
      </c>
      <c r="L161" s="143" t="n">
        <f aca="false">IFERROR(IF(OR(NOT(ISNUMBER('Price History'!L162)),NOT(ISNUMBER('Price History'!L161)),'Price History'!L161=0),"",'Price History'!L162/'Price History'!L161-1),"")</f>
        <v>-0.00458474257797825</v>
      </c>
      <c r="M161" s="143" t="n">
        <f aca="false">IFERROR(IF(OR(NOT(ISNUMBER('Price History'!M162)),NOT(ISNUMBER('Price History'!M161)),'Price History'!M161=0),"",'Price History'!M162/'Price History'!M161-1),"")</f>
        <v>-0.0115463700110718</v>
      </c>
      <c r="N161" s="143" t="n">
        <f aca="false">IFERROR(IF(OR(NOT(ISNUMBER('Price History'!N162)),NOT(ISNUMBER('Price History'!N161)),'Price History'!N161=0),"",'Price History'!N162/'Price History'!N161-1),"")</f>
        <v>-0.00602228244504677</v>
      </c>
      <c r="O161" s="143" t="n">
        <f aca="false">IFERROR(IF(OR(NOT(ISNUMBER('Price History'!O162)),NOT(ISNUMBER('Price History'!O161)),'Price History'!O161=0),"",'Price History'!O162/'Price History'!O161-1),"")</f>
        <v>-0.0113784985613391</v>
      </c>
      <c r="P161" s="143" t="n">
        <f aca="false">IFERROR(IF(OR(NOT(ISNUMBER('Price History'!P162)),NOT(ISNUMBER('Price History'!P161)),'Price History'!P161=0),"",'Price History'!P162/'Price History'!P161-1),"")</f>
        <v>0.00503761567652727</v>
      </c>
      <c r="Q161" s="143" t="n">
        <f aca="false">IFERROR(IF(OR(NOT(ISNUMBER('Price History'!Q162)),NOT(ISNUMBER('Price History'!Q161)),'Price History'!Q161=0),"",'Price History'!Q162/'Price History'!Q161-1),"")</f>
        <v>0.000979911807937217</v>
      </c>
      <c r="R161" s="143" t="n">
        <f aca="false">IFERROR(IF(OR(NOT(ISNUMBER('Price History'!R162)),NOT(ISNUMBER('Price History'!R161)),'Price History'!R161=0),"",'Price History'!R162/'Price History'!R161-1),"")</f>
        <v>-0.00618315508021394</v>
      </c>
      <c r="S161" s="143" t="n">
        <f aca="false">IFERROR(IF(OR(NOT(ISNUMBER('Price History'!S162)),NOT(ISNUMBER('Price History'!S161)),'Price History'!S161=0),"",'Price History'!S162/'Price History'!S161-1),"")</f>
        <v>-0.0131110065218852</v>
      </c>
      <c r="T161" s="143" t="n">
        <f aca="false">IFERROR(IF(OR(NOT(ISNUMBER('Price History'!T162)),NOT(ISNUMBER('Price History'!T161)),'Price History'!T161=0),"",'Price History'!T162/'Price History'!T161-1),"")</f>
        <v>0.00378719567177632</v>
      </c>
      <c r="U161" s="143" t="str">
        <f aca="false">IFERROR(IF(OR(NOT(ISNUMBER('Price History'!U162)),NOT(ISNUMBER('Price History'!U161)),'Price History'!U161=0),"",'Price History'!U162/'Price History'!U161-1),"")</f>
        <v/>
      </c>
      <c r="V161" s="144" t="n">
        <f aca="false">IFERROR(IF(OR(NOT(ISNUMBER('Price History'!V162)),NOT(ISNUMBER('Price History'!V161)),'Price History'!V161=0),"",'Price History'!V162/'Price History'!V161-1),"")</f>
        <v>0.0284605433376455</v>
      </c>
      <c r="W161" s="146" t="str">
        <f aca="false">IFERROR('Price History'!B3+(INDEX('Price History'!B:B,MATCH(9.99E+307,'Price History'!$A:$A))-'Price History'!B3)*(ROW()-3)/(MATCH(9.99E+307,'Returns (Calc)'!$A:$A)-3),"")</f>
        <v/>
      </c>
      <c r="X161" s="146" t="n">
        <f aca="false">IFERROR('Price History'!C3+(INDEX('Price History'!C:C,MATCH(9.99E+307,'Price History'!$A:$A))-'Price History'!C3)*(ROW()-3)/(MATCH(9.99E+307,'Returns (Calc)'!$A:$A)-3),"")</f>
        <v>0.290440251572328</v>
      </c>
      <c r="Y161" s="146" t="n">
        <f aca="false">IFERROR('Price History'!D3+(INDEX('Price History'!D:D,MATCH(9.99E+307,'Price History'!$A:$A))-'Price History'!D3)*(ROW()-3)/(MATCH(9.99E+307,'Returns (Calc)'!$A:$A)-3),"")</f>
        <v>3.66044025157225</v>
      </c>
      <c r="Z161" s="146" t="n">
        <f aca="false">IFERROR('Price History'!E3+(INDEX('Price History'!E:E,MATCH(9.99E+307,'Price History'!$A:$A))-'Price History'!E3)*(ROW()-3)/(MATCH(9.99E+307,'Returns (Calc)'!$A:$A)-3),"")</f>
        <v>0.515723270440248</v>
      </c>
      <c r="AA161" s="146" t="n">
        <f aca="false">IFERROR('Price History'!F3+(INDEX('Price History'!F:F,MATCH(9.99E+307,'Price History'!$A:$A))-'Price History'!F3)*(ROW()-3)/(MATCH(9.99E+307,'Returns (Calc)'!$A:$A)-3),"")</f>
        <v>0.473647798742149</v>
      </c>
      <c r="AB161" s="146" t="n">
        <f aca="false">IFERROR('Price History'!G3+(INDEX('Price History'!G:G,MATCH(9.99E+307,'Price History'!$A:$A))-'Price History'!G3)*(ROW()-3)/(MATCH(9.99E+307,'Returns (Calc)'!$A:$A)-3),"")</f>
        <v>0.26012578616352</v>
      </c>
      <c r="AC161" s="146" t="n">
        <f aca="false">IFERROR('Price History'!H3+(INDEX('Price History'!H:H,MATCH(9.99E+307,'Price History'!$A:$A))-'Price History'!H3)*(ROW()-3)/(MATCH(9.99E+307,'Returns (Calc)'!$A:$A)-3),"")</f>
        <v>0.632641509433952</v>
      </c>
      <c r="AD161" s="146" t="n">
        <f aca="false">IFERROR('Price History'!I3+(INDEX('Price History'!I:I,MATCH(9.99E+307,'Price History'!$A:$A))-'Price History'!I3)*(ROW()-3)/(MATCH(9.99E+307,'Returns (Calc)'!$A:$A)-3),"")</f>
        <v>0.27893081761006</v>
      </c>
      <c r="AE161" s="146" t="n">
        <f aca="false">IFERROR('Price History'!J3+(INDEX('Price History'!J:J,MATCH(9.99E+307,'Price History'!$A:$A))-'Price History'!J3)*(ROW()-3)/(MATCH(9.99E+307,'Returns (Calc)'!$A:$A)-3),"")</f>
        <v>0.434654088050323</v>
      </c>
      <c r="AF161" s="146" t="n">
        <f aca="false">IFERROR('Price History'!K3+(INDEX('Price History'!K:K,MATCH(9.99E+307,'Price History'!$A:$A))-'Price History'!K3)*(ROW()-3)/(MATCH(9.99E+307,'Returns (Calc)'!$A:$A)-3),"")</f>
        <v>0.275283018867924</v>
      </c>
      <c r="AG161" s="146" t="n">
        <f aca="false">IFERROR('Price History'!L3+(INDEX('Price History'!L:L,MATCH(9.99E+307,'Price History'!$A:$A))-'Price History'!L3)*(ROW()-3)/(MATCH(9.99E+307,'Returns (Calc)'!$A:$A)-3),"")</f>
        <v>0.703396226415094</v>
      </c>
      <c r="AH161" s="146" t="n">
        <f aca="false">IFERROR('Price History'!M3+(INDEX('Price History'!M:M,MATCH(9.99E+307,'Price History'!$A:$A))-'Price History'!M3)*(ROW()-3)/(MATCH(9.99E+307,'Returns (Calc)'!$A:$A)-3),"")</f>
        <v>0.0964150943396227</v>
      </c>
      <c r="AI161" s="146" t="n">
        <f aca="false">IFERROR('Price History'!N3+(INDEX('Price History'!N:N,MATCH(9.99E+307,'Price History'!$A:$A))-'Price History'!N3)*(ROW()-3)/(MATCH(9.99E+307,'Returns (Calc)'!$A:$A)-3),"")</f>
        <v>0.137106918238995</v>
      </c>
      <c r="AJ161" s="146" t="n">
        <f aca="false">IFERROR('Price History'!O3+(INDEX('Price History'!O:O,MATCH(9.99E+307,'Price History'!$A:$A))-'Price History'!O3)*(ROW()-3)/(MATCH(9.99E+307,'Returns (Calc)'!$A:$A)-3),"")</f>
        <v>0.36245283018868</v>
      </c>
      <c r="AK161" s="146" t="n">
        <f aca="false">IFERROR('Price History'!Q3+(INDEX('Price History'!Q:Q,MATCH(9.99E+307,'Price History'!$A:$A))-'Price History'!Q3)*(ROW()-3)/(MATCH(9.99E+307,'Returns (Calc)'!$A:$A)-3),"")</f>
        <v>1.48194968553457</v>
      </c>
      <c r="AL161" s="146" t="n">
        <f aca="false">IFERROR('Price History'!R3+(INDEX('Price History'!R:R,MATCH(9.99E+307,'Price History'!$A:$A))-'Price History'!R3)*(ROW()-3)/(MATCH(9.99E+307,'Returns (Calc)'!$A:$A)-3),"")</f>
        <v>0.300754716981132</v>
      </c>
      <c r="AM161" s="146" t="n">
        <f aca="false">IFERROR('Price History'!S3+(INDEX('Price History'!S:S,MATCH(9.99E+307,'Price History'!$A:$A))-'Price History'!S3)*(ROW()-3)/(MATCH(9.99E+307,'Returns (Calc)'!$A:$A)-3),"")</f>
        <v>0.368176100628929</v>
      </c>
      <c r="AN161" s="146" t="n">
        <f aca="false">IFERROR('Price History'!T3+(INDEX('Price History'!T:T,MATCH(9.99E+307,'Price History'!$A:$A))-'Price History'!T3)*(ROW()-3)/(MATCH(9.99E+307,'Returns (Calc)'!$A:$A)-3),"")</f>
        <v>0.169245283018871</v>
      </c>
      <c r="AO161" s="146" t="n">
        <f aca="false">IFERROR('Price History'!V3+(INDEX('Price History'!V:V,MATCH(9.99E+307,'Price History'!$A:$A))-'Price History'!V3)*(ROW()-3)/(MATCH(9.99E+307,'Returns (Calc)'!$A:$A)-3),"")</f>
        <v>0</v>
      </c>
    </row>
    <row r="162" customFormat="false" ht="15" hidden="false" customHeight="true" outlineLevel="0" collapsed="false">
      <c r="A162" s="142" t="n">
        <f aca="false">IF('Price History'!A163="","",'Price History'!A163)</f>
        <v>46269</v>
      </c>
      <c r="B162" s="143" t="n">
        <f aca="false">IFERROR(IF(OR(NOT(ISNUMBER('Price History'!B163)),NOT(ISNUMBER('Price History'!B162)),'Price History'!B162=0),"",'Price History'!B163/'Price History'!B162-1),"")</f>
        <v>0.153673001168781</v>
      </c>
      <c r="C162" s="143" t="n">
        <f aca="false">IFERROR(IF(OR(NOT(ISNUMBER('Price History'!C163)),NOT(ISNUMBER('Price History'!C162)),'Price History'!C162=0),"",'Price History'!C163/'Price History'!C162-1),"")</f>
        <v>-0.05436267811829</v>
      </c>
      <c r="D162" s="143" t="n">
        <f aca="false">IFERROR(IF(OR(NOT(ISNUMBER('Price History'!D163)),NOT(ISNUMBER('Price History'!D162)),'Price History'!D162=0),"",'Price History'!D163/'Price History'!D162-1),"")</f>
        <v>-0.031912431340006</v>
      </c>
      <c r="E162" s="143" t="n">
        <f aca="false">IFERROR(IF(OR(NOT(ISNUMBER('Price History'!E163)),NOT(ISNUMBER('Price History'!E162)),'Price History'!E162=0),"",'Price History'!E163/'Price History'!E162-1),"")</f>
        <v>0.0238292759676173</v>
      </c>
      <c r="F162" s="143" t="n">
        <f aca="false">IFERROR(IF(OR(NOT(ISNUMBER('Price History'!F163)),NOT(ISNUMBER('Price History'!F162)),'Price History'!F162=0),"",'Price History'!F163/'Price History'!F162-1),"")</f>
        <v>0.782517774989544</v>
      </c>
      <c r="G162" s="143" t="n">
        <f aca="false">IFERROR(IF(OR(NOT(ISNUMBER('Price History'!G163)),NOT(ISNUMBER('Price History'!G162)),'Price History'!G162=0),"",'Price History'!G163/'Price History'!G162-1),"")</f>
        <v>-0.284088717454195</v>
      </c>
      <c r="H162" s="143" t="n">
        <f aca="false">IFERROR(IF(OR(NOT(ISNUMBER('Price History'!H163)),NOT(ISNUMBER('Price History'!H162)),'Price History'!H162=0),"",'Price History'!H163/'Price History'!H162-1),"")</f>
        <v>5.61627074520013</v>
      </c>
      <c r="I162" s="143" t="n">
        <f aca="false">IFERROR(IF(OR(NOT(ISNUMBER('Price History'!I163)),NOT(ISNUMBER('Price History'!I162)),'Price History'!I162=0),"",'Price History'!I163/'Price History'!I162-1),"")</f>
        <v>0.217740656552308</v>
      </c>
      <c r="J162" s="143" t="n">
        <f aca="false">IFERROR(IF(OR(NOT(ISNUMBER('Price History'!J163)),NOT(ISNUMBER('Price History'!J162)),'Price History'!J162=0),"",'Price History'!J163/'Price History'!J162-1),"")</f>
        <v>-0.869693922085808</v>
      </c>
      <c r="K162" s="143" t="n">
        <f aca="false">IFERROR(IF(OR(NOT(ISNUMBER('Price History'!K163)),NOT(ISNUMBER('Price History'!K162)),'Price History'!K162=0),"",'Price History'!K163/'Price History'!K162-1),"")</f>
        <v>-0.238267936729879</v>
      </c>
      <c r="L162" s="143" t="n">
        <f aca="false">IFERROR(IF(OR(NOT(ISNUMBER('Price History'!L163)),NOT(ISNUMBER('Price History'!L162)),'Price History'!L162=0),"",'Price History'!L163/'Price History'!L162-1),"")</f>
        <v>2.23852310480217</v>
      </c>
      <c r="M162" s="143" t="n">
        <f aca="false">IFERROR(IF(OR(NOT(ISNUMBER('Price History'!M163)),NOT(ISNUMBER('Price History'!M162)),'Price History'!M162=0),"",'Price History'!M163/'Price History'!M162-1),"")</f>
        <v>0.496319607424792</v>
      </c>
      <c r="N162" s="143" t="n">
        <f aca="false">IFERROR(IF(OR(NOT(ISNUMBER('Price History'!N163)),NOT(ISNUMBER('Price History'!N162)),'Price History'!N162=0),"",'Price History'!N163/'Price History'!N162-1),"")</f>
        <v>15.5440775522569</v>
      </c>
      <c r="O162" s="143" t="n">
        <f aca="false">IFERROR(IF(OR(NOT(ISNUMBER('Price History'!O163)),NOT(ISNUMBER('Price History'!O162)),'Price History'!O162=0),"",'Price History'!O163/'Price History'!O162-1),"")</f>
        <v>-0.160404815451779</v>
      </c>
      <c r="P162" s="143" t="str">
        <f aca="false">IFERROR(IF(OR(NOT(ISNUMBER('Price History'!P163)),NOT(ISNUMBER('Price History'!P162)),'Price History'!P162=0),"",'Price History'!P163/'Price History'!P162-1),"")</f>
        <v/>
      </c>
      <c r="Q162" s="143" t="n">
        <f aca="false">IFERROR(IF(OR(NOT(ISNUMBER('Price History'!Q163)),NOT(ISNUMBER('Price History'!Q162)),'Price History'!Q162=0),"",'Price History'!Q163/'Price History'!Q162-1),"")</f>
        <v>-0.810409528471203</v>
      </c>
      <c r="R162" s="143" t="n">
        <f aca="false">IFERROR(IF(OR(NOT(ISNUMBER('Price History'!R163)),NOT(ISNUMBER('Price History'!R162)),'Price History'!R162=0),"",'Price History'!R163/'Price History'!R162-1),"")</f>
        <v>0.00672608037666045</v>
      </c>
      <c r="S162" s="143" t="n">
        <f aca="false">IFERROR(IF(OR(NOT(ISNUMBER('Price History'!S163)),NOT(ISNUMBER('Price History'!S162)),'Price History'!S162=0),"",'Price History'!S163/'Price History'!S162-1),"")</f>
        <v>0.0200299768360812</v>
      </c>
      <c r="T162" s="143" t="n">
        <f aca="false">IFERROR(IF(OR(NOT(ISNUMBER('Price History'!T163)),NOT(ISNUMBER('Price History'!T162)),'Price History'!T162=0),"",'Price History'!T163/'Price History'!T162-1),"")</f>
        <v>-0.00664750269493353</v>
      </c>
      <c r="U162" s="143" t="str">
        <f aca="false">IFERROR(IF(OR(NOT(ISNUMBER('Price History'!U163)),NOT(ISNUMBER('Price History'!U162)),'Price History'!U162=0),"",'Price History'!U163/'Price History'!U162-1),"")</f>
        <v/>
      </c>
      <c r="V162" s="144" t="n">
        <f aca="false">IFERROR(IF(OR(NOT(ISNUMBER('Price History'!V163)),NOT(ISNUMBER('Price History'!V162)),'Price History'!V162=0),"",'Price History'!V163/'Price History'!V162-1),"")</f>
        <v>-0.0171121593291406</v>
      </c>
      <c r="W162" s="146" t="str">
        <f aca="false">IFERROR('Price History'!B3+(INDEX('Price History'!B:B,MATCH(9.99E+307,'Price History'!$A:$A))-'Price History'!B3)*(ROW()-3)/(MATCH(9.99E+307,'Returns (Calc)'!$A:$A)-3),"")</f>
        <v/>
      </c>
      <c r="X162" s="146" t="n">
        <f aca="false">IFERROR('Price History'!C3+(INDEX('Price History'!C:C,MATCH(9.99E+307,'Price History'!$A:$A))-'Price History'!C3)*(ROW()-3)/(MATCH(9.99E+307,'Returns (Calc)'!$A:$A)-3),"")</f>
        <v>0</v>
      </c>
      <c r="Y162" s="146" t="n">
        <f aca="false">IFERROR('Price History'!D3+(INDEX('Price History'!D:D,MATCH(9.99E+307,'Price History'!$A:$A))-'Price History'!D3)*(ROW()-3)/(MATCH(9.99E+307,'Returns (Calc)'!$A:$A)-3),"")</f>
        <v>0</v>
      </c>
      <c r="Z162" s="146" t="n">
        <f aca="false">IFERROR('Price History'!E3+(INDEX('Price History'!E:E,MATCH(9.99E+307,'Price History'!$A:$A))-'Price History'!E3)*(ROW()-3)/(MATCH(9.99E+307,'Returns (Calc)'!$A:$A)-3),"")</f>
        <v>0</v>
      </c>
      <c r="AA162" s="146" t="n">
        <f aca="false">IFERROR('Price History'!F3+(INDEX('Price History'!F:F,MATCH(9.99E+307,'Price History'!$A:$A))-'Price History'!F3)*(ROW()-3)/(MATCH(9.99E+307,'Returns (Calc)'!$A:$A)-3),"")</f>
        <v>0</v>
      </c>
      <c r="AB162" s="146" t="n">
        <f aca="false">IFERROR('Price History'!G3+(INDEX('Price History'!G:G,MATCH(9.99E+307,'Price History'!$A:$A))-'Price History'!G3)*(ROW()-3)/(MATCH(9.99E+307,'Returns (Calc)'!$A:$A)-3),"")</f>
        <v>0</v>
      </c>
      <c r="AC162" s="146" t="n">
        <f aca="false">IFERROR('Price History'!H3+(INDEX('Price History'!H:H,MATCH(9.99E+307,'Price History'!$A:$A))-'Price History'!H3)*(ROW()-3)/(MATCH(9.99E+307,'Returns (Calc)'!$A:$A)-3),"")</f>
        <v>0</v>
      </c>
      <c r="AD162" s="146" t="n">
        <f aca="false">IFERROR('Price History'!I3+(INDEX('Price History'!I:I,MATCH(9.99E+307,'Price History'!$A:$A))-'Price History'!I3)*(ROW()-3)/(MATCH(9.99E+307,'Returns (Calc)'!$A:$A)-3),"")</f>
        <v>0</v>
      </c>
      <c r="AE162" s="146" t="n">
        <f aca="false">IFERROR('Price History'!J3+(INDEX('Price History'!J:J,MATCH(9.99E+307,'Price History'!$A:$A))-'Price History'!J3)*(ROW()-3)/(MATCH(9.99E+307,'Returns (Calc)'!$A:$A)-3),"")</f>
        <v>0</v>
      </c>
      <c r="AF162" s="146" t="n">
        <f aca="false">IFERROR('Price History'!K3+(INDEX('Price History'!K:K,MATCH(9.99E+307,'Price History'!$A:$A))-'Price History'!K3)*(ROW()-3)/(MATCH(9.99E+307,'Returns (Calc)'!$A:$A)-3),"")</f>
        <v>0</v>
      </c>
      <c r="AG162" s="146" t="n">
        <f aca="false">IFERROR('Price History'!L3+(INDEX('Price History'!L:L,MATCH(9.99E+307,'Price History'!$A:$A))-'Price History'!L3)*(ROW()-3)/(MATCH(9.99E+307,'Returns (Calc)'!$A:$A)-3),"")</f>
        <v>0</v>
      </c>
      <c r="AH162" s="146" t="n">
        <f aca="false">IFERROR('Price History'!M3+(INDEX('Price History'!M:M,MATCH(9.99E+307,'Price History'!$A:$A))-'Price History'!M3)*(ROW()-3)/(MATCH(9.99E+307,'Returns (Calc)'!$A:$A)-3),"")</f>
        <v>0</v>
      </c>
      <c r="AI162" s="146" t="n">
        <f aca="false">IFERROR('Price History'!N3+(INDEX('Price History'!N:N,MATCH(9.99E+307,'Price History'!$A:$A))-'Price History'!N3)*(ROW()-3)/(MATCH(9.99E+307,'Returns (Calc)'!$A:$A)-3),"")</f>
        <v>0</v>
      </c>
      <c r="AJ162" s="146" t="n">
        <f aca="false">IFERROR('Price History'!O3+(INDEX('Price History'!O:O,MATCH(9.99E+307,'Price History'!$A:$A))-'Price History'!O3)*(ROW()-3)/(MATCH(9.99E+307,'Returns (Calc)'!$A:$A)-3),"")</f>
        <v>0</v>
      </c>
      <c r="AK162" s="146" t="n">
        <f aca="false">IFERROR('Price History'!Q3+(INDEX('Price History'!Q:Q,MATCH(9.99E+307,'Price History'!$A:$A))-'Price History'!Q3)*(ROW()-3)/(MATCH(9.99E+307,'Returns (Calc)'!$A:$A)-3),"")</f>
        <v>0</v>
      </c>
      <c r="AL162" s="146" t="n">
        <f aca="false">IFERROR('Price History'!R3+(INDEX('Price History'!R:R,MATCH(9.99E+307,'Price History'!$A:$A))-'Price History'!R3)*(ROW()-3)/(MATCH(9.99E+307,'Returns (Calc)'!$A:$A)-3),"")</f>
        <v>0</v>
      </c>
      <c r="AM162" s="146" t="n">
        <f aca="false">IFERROR('Price History'!S3+(INDEX('Price History'!S:S,MATCH(9.99E+307,'Price History'!$A:$A))-'Price History'!S3)*(ROW()-3)/(MATCH(9.99E+307,'Returns (Calc)'!$A:$A)-3),"")</f>
        <v>0</v>
      </c>
      <c r="AN162" s="146" t="n">
        <f aca="false">IFERROR('Price History'!T3+(INDEX('Price History'!T:T,MATCH(9.99E+307,'Price History'!$A:$A))-'Price History'!T3)*(ROW()-3)/(MATCH(9.99E+307,'Returns (Calc)'!$A:$A)-3),"")</f>
        <v>0</v>
      </c>
      <c r="AO162" s="146" t="n">
        <f aca="false">IFERROR('Price History'!V3+(INDEX('Price History'!V:V,MATCH(9.99E+307,'Price History'!$A:$A))-'Price History'!V3)*(ROW()-3)/(MATCH(9.99E+307,'Returns (Calc)'!$A:$A)-3),"")</f>
        <v>0</v>
      </c>
    </row>
  </sheetData>
  <mergeCells count="1">
    <mergeCell ref="A1:U1"/>
  </mergeCell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F17" activePane="bottomRight" state="frozen"/>
      <selection pane="topLeft" activeCell="A1" activeCellId="0" sqref="A1"/>
      <selection pane="topRight" activeCell="F1" activeCellId="0" sqref="F1"/>
      <selection pane="bottomLeft" activeCell="A17" activeCellId="0" sqref="A17"/>
      <selection pane="bottomRight" activeCell="S33" activeCellId="0" sqref="S33"/>
    </sheetView>
  </sheetViews>
  <sheetFormatPr defaultColWidth="8.66796875" defaultRowHeight="14.25" customHeight="false" zeroHeight="false" outlineLevelRow="0" outlineLevelCol="0"/>
  <cols>
    <col collapsed="false" customWidth="true" hidden="false" outlineLevel="0" max="1" min="1" style="1" width="10"/>
    <col collapsed="false" customWidth="true" hidden="false" outlineLevel="0" max="2" min="2" style="23" width="6.77"/>
    <col collapsed="false" customWidth="false" hidden="false" outlineLevel="0" max="21" min="3" style="23" width="8.67"/>
    <col collapsed="false" customWidth="true" hidden="false" outlineLevel="0" max="22" min="22" style="23" width="9"/>
    <col collapsed="false" customWidth="true" hidden="false" outlineLevel="0" max="33" min="23" style="1" width="13"/>
  </cols>
  <sheetData>
    <row r="1" customFormat="false" ht="15" hidden="false" customHeight="true" outlineLevel="0" collapsed="false">
      <c r="A1" s="147" t="s">
        <v>452</v>
      </c>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row>
    <row r="2" customFormat="false" ht="15" hidden="false" customHeight="true" outlineLevel="0" collapsed="false">
      <c r="A2" s="148" t="s">
        <v>453</v>
      </c>
      <c r="J2" s="149" t="n">
        <f aca="false">COUNTIF(AG6:AG26,"&gt;1")</f>
        <v>5</v>
      </c>
    </row>
    <row r="3" customFormat="false" ht="15" hidden="false" customHeight="true" outlineLevel="0" collapsed="false">
      <c r="A3" s="148" t="s">
        <v>454</v>
      </c>
      <c r="J3" s="149" t="str">
        <f aca="false">IF(J2&gt;0,"REVIEW REQUIRED","OK")</f>
        <v>REVIEW REQUIRED</v>
      </c>
    </row>
    <row r="5" customFormat="false" ht="27.75" hidden="false" customHeight="true" outlineLevel="0" collapsed="false">
      <c r="A5" s="150" t="s">
        <v>81</v>
      </c>
      <c r="B5" s="150" t="str">
        <f aca="false">'Returns (Calc)'!B2</f>
        <v>ADBE</v>
      </c>
      <c r="C5" s="150" t="str">
        <f aca="false">'Returns (Calc)'!C2</f>
        <v>ANET</v>
      </c>
      <c r="D5" s="150" t="str">
        <f aca="false">'Returns (Calc)'!D2</f>
        <v>ASML</v>
      </c>
      <c r="E5" s="150" t="str">
        <f aca="false">'Returns (Calc)'!E2</f>
        <v>AVGO</v>
      </c>
      <c r="F5" s="150" t="str">
        <f aca="false">'Returns (Calc)'!F2</f>
        <v>AVUV</v>
      </c>
      <c r="G5" s="150" t="str">
        <f aca="false">'Returns (Calc)'!G2</f>
        <v>CRWD</v>
      </c>
      <c r="H5" s="150" t="str">
        <f aca="false">'Returns (Calc)'!H2</f>
        <v>DVY</v>
      </c>
      <c r="I5" s="150" t="str">
        <f aca="false">'Returns (Calc)'!I2</f>
        <v>KLAC</v>
      </c>
      <c r="J5" s="150" t="str">
        <f aca="false">'Returns (Calc)'!J2</f>
        <v>MU</v>
      </c>
      <c r="K5" s="150" t="str">
        <f aca="false">'Returns (Calc)'!K2</f>
        <v>NVDA</v>
      </c>
      <c r="L5" s="150" t="str">
        <f aca="false">'Returns (Calc)'!L2</f>
        <v>PLD</v>
      </c>
      <c r="M5" s="150" t="str">
        <f aca="false">'Returns (Calc)'!M2</f>
        <v>PLTR</v>
      </c>
      <c r="N5" s="150" t="str">
        <f aca="false">'Returns (Calc)'!N2</f>
        <v>SCHD</v>
      </c>
      <c r="O5" s="150" t="str">
        <f aca="false">'Returns (Calc)'!O2</f>
        <v>SPMO</v>
      </c>
      <c r="P5" s="150" t="str">
        <f aca="false">'Returns (Calc)'!P2</f>
        <v>TSM</v>
      </c>
      <c r="Q5" s="150" t="str">
        <f aca="false">'Returns (Calc)'!Q2</f>
        <v>V</v>
      </c>
      <c r="R5" s="150" t="str">
        <f aca="false">'Returns (Calc)'!R2</f>
        <v>JEPQ</v>
      </c>
      <c r="S5" s="150" t="str">
        <f aca="false">'Returns (Calc)'!S2</f>
        <v>SPMO</v>
      </c>
      <c r="T5" s="150" t="str">
        <f aca="false">'Returns (Calc)'!T2</f>
        <v>VFLO</v>
      </c>
      <c r="U5" s="150" t="n">
        <f aca="false">'Returns (Calc)'!U2</f>
        <v>0</v>
      </c>
      <c r="V5" s="150" t="str">
        <f aca="false">'Returns (Calc)'!V2</f>
        <v>V</v>
      </c>
      <c r="W5" s="151"/>
      <c r="X5" s="151"/>
      <c r="Y5" s="151"/>
      <c r="Z5" s="151"/>
      <c r="AA5" s="151"/>
      <c r="AB5" s="151"/>
      <c r="AC5" s="151"/>
      <c r="AD5" s="151"/>
      <c r="AE5" s="151"/>
      <c r="AF5" s="151"/>
      <c r="AG5" s="150" t="s">
        <v>455</v>
      </c>
    </row>
    <row r="6" customFormat="false" ht="15" hidden="false" customHeight="true" outlineLevel="0" collapsed="false">
      <c r="A6" s="152" t="str">
        <f aca="false">'Returns (Calc)'!B2</f>
        <v>ADBE</v>
      </c>
      <c r="B6" s="153" t="n">
        <v>1</v>
      </c>
      <c r="C6" s="153" t="n">
        <f aca="false">IFERROR(ROUND(CORREL('Returns (Calc)'!$B$3:$B$500,'Returns (Calc)'!$C$3:$C$500),2),"")</f>
        <v>0.17</v>
      </c>
      <c r="D6" s="153" t="n">
        <f aca="false">IFERROR(ROUND(CORREL('Returns (Calc)'!$B$3:$B$500,'Returns (Calc)'!$D$3:$D$500),2),"")</f>
        <v>-0</v>
      </c>
      <c r="E6" s="153" t="n">
        <f aca="false">IFERROR(ROUND(CORREL('Returns (Calc)'!$B$3:$B$500,'Returns (Calc)'!$E$3:$E$500),2),"")</f>
        <v>0.16</v>
      </c>
      <c r="F6" s="153" t="n">
        <f aca="false">IFERROR(ROUND(CORREL('Returns (Calc)'!$B$3:$B$500,'Returns (Calc)'!$F$3:$F$500),2),"")</f>
        <v>0.29</v>
      </c>
      <c r="G6" s="153" t="n">
        <f aca="false">IFERROR(ROUND(CORREL('Returns (Calc)'!$B$3:$B$500,'Returns (Calc)'!$G$3:$G$500),2),"")</f>
        <v>0.29</v>
      </c>
      <c r="H6" s="153" t="n">
        <f aca="false">IFERROR(ROUND(CORREL('Returns (Calc)'!$B$3:$B$500,'Returns (Calc)'!$H$3:$H$500),2),"")</f>
        <v>0.25</v>
      </c>
      <c r="I6" s="153" t="n">
        <f aca="false">IFERROR(ROUND(CORREL('Returns (Calc)'!$B$3:$B$500,'Returns (Calc)'!$I$3:$I$500),2),"")</f>
        <v>0</v>
      </c>
      <c r="J6" s="153" t="n">
        <f aca="false">IFERROR(ROUND(CORREL('Returns (Calc)'!$B$3:$B$500,'Returns (Calc)'!$J$3:$J$500),2),"")</f>
        <v>-0.12</v>
      </c>
      <c r="K6" s="153" t="n">
        <f aca="false">IFERROR(ROUND(CORREL('Returns (Calc)'!$B$3:$B$500,'Returns (Calc)'!$K$3:$K$500),2),"")</f>
        <v>0.12</v>
      </c>
      <c r="L6" s="153" t="n">
        <f aca="false">IFERROR(ROUND(CORREL('Returns (Calc)'!$B$3:$B$500,'Returns (Calc)'!$L$3:$L$500),2),"")</f>
        <v>0.28</v>
      </c>
      <c r="M6" s="153" t="n">
        <f aca="false">IFERROR(ROUND(CORREL('Returns (Calc)'!$B$3:$B$500,'Returns (Calc)'!$M$3:$M$500),2),"")</f>
        <v>0.43</v>
      </c>
      <c r="N6" s="153" t="n">
        <f aca="false">IFERROR(ROUND(CORREL('Returns (Calc)'!$B$3:$B$500,'Returns (Calc)'!$N$3:$N$500),2),"")</f>
        <v>0.25</v>
      </c>
      <c r="O6" s="153" t="n">
        <f aca="false">IFERROR(ROUND(CORREL('Returns (Calc)'!$B$3:$B$500,'Returns (Calc)'!$O$3:$O$500),2),"")</f>
        <v>0.1</v>
      </c>
      <c r="P6" s="153" t="n">
        <f aca="false">IFERROR(ROUND(CORREL('Returns (Calc)'!$B$3:$B$500,'Returns (Calc)'!$P$3:$P$500),2),"")</f>
        <v>0.15</v>
      </c>
      <c r="Q6" s="153" t="n">
        <f aca="false">IFERROR(ROUND(CORREL('Returns (Calc)'!$B$3:$B$500,'Returns (Calc)'!$Q$3:$Q$500),2),"")</f>
        <v>-0.08</v>
      </c>
      <c r="R6" s="153" t="n">
        <f aca="false">IFERROR(ROUND(CORREL('Returns (Calc)'!$B$3:$B$500,'Returns (Calc)'!$R$3:$R$500),2),"")</f>
        <v>-0.06</v>
      </c>
      <c r="S6" s="153" t="n">
        <f aca="false">IFERROR(ROUND(CORREL('Returns (Calc)'!$B$3:$B$500,'Returns (Calc)'!$S$3:$S$500),2),"")</f>
        <v>-0.14</v>
      </c>
      <c r="T6" s="153" t="n">
        <f aca="false">IFERROR(ROUND(CORREL('Returns (Calc)'!$B$3:$B$500,'Returns (Calc)'!$T$3:$T$500),2),"")</f>
        <v>-0.1</v>
      </c>
      <c r="U6" s="153" t="str">
        <f aca="false">IFERROR(ROUND(CORREL('Returns (Calc)'!$B$3:$B$500,'Returns (Calc)'!$U$3:$U$500),2),"")</f>
        <v/>
      </c>
      <c r="V6" s="153" t="n">
        <f aca="false">IFERROR(ROUND(CORREL('Returns (Calc)'!$B$3:$B$500,'Returns (Calc)'!$V$3:$V$500),2),"")</f>
        <v>-0.16</v>
      </c>
      <c r="AG6" s="154" t="n">
        <f aca="false">COUNTIF(B6:V6,"&gt;0.7")-1</f>
        <v>0</v>
      </c>
    </row>
    <row r="7" customFormat="false" ht="15" hidden="false" customHeight="true" outlineLevel="0" collapsed="false">
      <c r="A7" s="152" t="str">
        <f aca="false">'Returns (Calc)'!C2</f>
        <v>ANET</v>
      </c>
      <c r="B7" s="153" t="n">
        <f aca="false">IFERROR(ROUND(CORREL('Returns (Calc)'!$C$3:$C$500,'Returns (Calc)'!$B$3:$B$500),2),"")</f>
        <v>0.17</v>
      </c>
      <c r="C7" s="153" t="n">
        <v>1</v>
      </c>
      <c r="D7" s="153" t="n">
        <f aca="false">IFERROR(ROUND(CORREL('Returns (Calc)'!$C$3:$C$500,'Returns (Calc)'!$D$3:$D$500),2),"")</f>
        <v>0.39</v>
      </c>
      <c r="E7" s="153" t="n">
        <f aca="false">IFERROR(ROUND(CORREL('Returns (Calc)'!$C$3:$C$500,'Returns (Calc)'!$E$3:$E$500),2),"")</f>
        <v>0.58</v>
      </c>
      <c r="F7" s="153" t="n">
        <f aca="false">IFERROR(ROUND(CORREL('Returns (Calc)'!$C$3:$C$500,'Returns (Calc)'!$F$3:$F$500),2),"")</f>
        <v>0.07</v>
      </c>
      <c r="G7" s="153" t="n">
        <f aca="false">IFERROR(ROUND(CORREL('Returns (Calc)'!$C$3:$C$500,'Returns (Calc)'!$G$3:$G$500),2),"")</f>
        <v>0.38</v>
      </c>
      <c r="H7" s="153" t="n">
        <f aca="false">IFERROR(ROUND(CORREL('Returns (Calc)'!$C$3:$C$500,'Returns (Calc)'!$H$3:$H$500),2),"")</f>
        <v>-0.07</v>
      </c>
      <c r="I7" s="153" t="n">
        <f aca="false">IFERROR(ROUND(CORREL('Returns (Calc)'!$C$3:$C$500,'Returns (Calc)'!$I$3:$I$500),2),"")</f>
        <v>0.4</v>
      </c>
      <c r="J7" s="153" t="n">
        <f aca="false">IFERROR(ROUND(CORREL('Returns (Calc)'!$C$3:$C$500,'Returns (Calc)'!$J$3:$J$500),2),"")</f>
        <v>0.32</v>
      </c>
      <c r="K7" s="153" t="n">
        <f aca="false">IFERROR(ROUND(CORREL('Returns (Calc)'!$C$3:$C$500,'Returns (Calc)'!$K$3:$K$500),2),"")</f>
        <v>0.52</v>
      </c>
      <c r="L7" s="153" t="n">
        <f aca="false">IFERROR(ROUND(CORREL('Returns (Calc)'!$C$3:$C$500,'Returns (Calc)'!$L$3:$L$500),2),"")</f>
        <v>-0.04</v>
      </c>
      <c r="M7" s="153" t="n">
        <f aca="false">IFERROR(ROUND(CORREL('Returns (Calc)'!$C$3:$C$500,'Returns (Calc)'!$M$3:$M$500),2),"")</f>
        <v>0.28</v>
      </c>
      <c r="N7" s="153" t="n">
        <f aca="false">IFERROR(ROUND(CORREL('Returns (Calc)'!$C$3:$C$500,'Returns (Calc)'!$N$3:$N$500),2),"")</f>
        <v>-0.07</v>
      </c>
      <c r="O7" s="153" t="n">
        <f aca="false">IFERROR(ROUND(CORREL('Returns (Calc)'!$C$3:$C$500,'Returns (Calc)'!$O$3:$O$500),2),"")</f>
        <v>0.61</v>
      </c>
      <c r="P7" s="153" t="n">
        <f aca="false">IFERROR(ROUND(CORREL('Returns (Calc)'!$C$3:$C$500,'Returns (Calc)'!$P$3:$P$500),2),"")</f>
        <v>0.55</v>
      </c>
      <c r="Q7" s="153" t="n">
        <f aca="false">IFERROR(ROUND(CORREL('Returns (Calc)'!$C$3:$C$500,'Returns (Calc)'!$Q$3:$Q$500),2),"")</f>
        <v>0.17</v>
      </c>
      <c r="R7" s="153" t="n">
        <f aca="false">IFERROR(ROUND(CORREL('Returns (Calc)'!$C$3:$C$500,'Returns (Calc)'!$R$3:$R$500),2),"")</f>
        <v>0.01</v>
      </c>
      <c r="S7" s="153" t="n">
        <f aca="false">IFERROR(ROUND(CORREL('Returns (Calc)'!$C$3:$C$500,'Returns (Calc)'!$S$3:$S$500),2),"")</f>
        <v>-0.04</v>
      </c>
      <c r="T7" s="153" t="n">
        <f aca="false">IFERROR(ROUND(CORREL('Returns (Calc)'!$C$3:$C$500,'Returns (Calc)'!$T$3:$T$500),2),"")</f>
        <v>0</v>
      </c>
      <c r="U7" s="153" t="str">
        <f aca="false">IFERROR(ROUND(CORREL('Returns (Calc)'!$C$3:$C$500,'Returns (Calc)'!$U$3:$U$500),2),"")</f>
        <v/>
      </c>
      <c r="V7" s="153" t="n">
        <f aca="false">IFERROR(ROUND(CORREL('Returns (Calc)'!$C$3:$C$500,'Returns (Calc)'!$V$3:$V$500),2),"")</f>
        <v>-0.01</v>
      </c>
      <c r="AG7" s="154" t="n">
        <f aca="false">COUNTIF(B7:V7,"&gt;0.7")-1</f>
        <v>0</v>
      </c>
    </row>
    <row r="8" customFormat="false" ht="15" hidden="false" customHeight="true" outlineLevel="0" collapsed="false">
      <c r="A8" s="152" t="str">
        <f aca="false">'Returns (Calc)'!D2</f>
        <v>ASML</v>
      </c>
      <c r="B8" s="153" t="n">
        <f aca="false">IFERROR(ROUND(CORREL('Returns (Calc)'!$D$3:$D$500,'Returns (Calc)'!$B$3:$B$500),2),"")</f>
        <v>-0</v>
      </c>
      <c r="C8" s="153" t="n">
        <f aca="false">IFERROR(ROUND(CORREL('Returns (Calc)'!$D$3:$D$500,'Returns (Calc)'!$C$3:$C$500),2),"")</f>
        <v>0.39</v>
      </c>
      <c r="D8" s="153" t="n">
        <v>1</v>
      </c>
      <c r="E8" s="153" t="n">
        <f aca="false">IFERROR(ROUND(CORREL('Returns (Calc)'!$D$3:$D$500,'Returns (Calc)'!$E$3:$E$500),2),"")</f>
        <v>0.49</v>
      </c>
      <c r="F8" s="153" t="n">
        <f aca="false">IFERROR(ROUND(CORREL('Returns (Calc)'!$D$3:$D$500,'Returns (Calc)'!$F$3:$F$500),2),"")</f>
        <v>0.1</v>
      </c>
      <c r="G8" s="153" t="n">
        <f aca="false">IFERROR(ROUND(CORREL('Returns (Calc)'!$D$3:$D$500,'Returns (Calc)'!$G$3:$G$500),2),"")</f>
        <v>0.32</v>
      </c>
      <c r="H8" s="153" t="n">
        <f aca="false">IFERROR(ROUND(CORREL('Returns (Calc)'!$D$3:$D$500,'Returns (Calc)'!$H$3:$H$500),2),"")</f>
        <v>-0.05</v>
      </c>
      <c r="I8" s="153" t="n">
        <f aca="false">IFERROR(ROUND(CORREL('Returns (Calc)'!$D$3:$D$500,'Returns (Calc)'!$I$3:$I$500),2),"")</f>
        <v>0.73</v>
      </c>
      <c r="J8" s="153" t="n">
        <f aca="false">IFERROR(ROUND(CORREL('Returns (Calc)'!$D$3:$D$500,'Returns (Calc)'!$J$3:$J$500),2),"")</f>
        <v>0.51</v>
      </c>
      <c r="K8" s="153" t="n">
        <f aca="false">IFERROR(ROUND(CORREL('Returns (Calc)'!$D$3:$D$500,'Returns (Calc)'!$K$3:$K$500),2),"")</f>
        <v>0.48</v>
      </c>
      <c r="L8" s="153" t="n">
        <f aca="false">IFERROR(ROUND(CORREL('Returns (Calc)'!$D$3:$D$500,'Returns (Calc)'!$L$3:$L$500),2),"")</f>
        <v>-0</v>
      </c>
      <c r="M8" s="153" t="n">
        <f aca="false">IFERROR(ROUND(CORREL('Returns (Calc)'!$D$3:$D$500,'Returns (Calc)'!$M$3:$M$500),2),"")</f>
        <v>0.17</v>
      </c>
      <c r="N8" s="153" t="n">
        <f aca="false">IFERROR(ROUND(CORREL('Returns (Calc)'!$D$3:$D$500,'Returns (Calc)'!$N$3:$N$500),2),"")</f>
        <v>-0.06</v>
      </c>
      <c r="O8" s="153" t="n">
        <f aca="false">IFERROR(ROUND(CORREL('Returns (Calc)'!$D$3:$D$500,'Returns (Calc)'!$O$3:$O$500),2),"")</f>
        <v>0.58</v>
      </c>
      <c r="P8" s="153" t="n">
        <f aca="false">IFERROR(ROUND(CORREL('Returns (Calc)'!$D$3:$D$500,'Returns (Calc)'!$P$3:$P$500),2),"")</f>
        <v>0.63</v>
      </c>
      <c r="Q8" s="153" t="n">
        <f aca="false">IFERROR(ROUND(CORREL('Returns (Calc)'!$D$3:$D$500,'Returns (Calc)'!$Q$3:$Q$500),2),"")</f>
        <v>0.07</v>
      </c>
      <c r="R8" s="153" t="n">
        <f aca="false">IFERROR(ROUND(CORREL('Returns (Calc)'!$D$3:$D$500,'Returns (Calc)'!$R$3:$R$500),2),"")</f>
        <v>0.05</v>
      </c>
      <c r="S8" s="153" t="n">
        <f aca="false">IFERROR(ROUND(CORREL('Returns (Calc)'!$D$3:$D$500,'Returns (Calc)'!$S$3:$S$500),2),"")</f>
        <v>0.02</v>
      </c>
      <c r="T8" s="153" t="n">
        <f aca="false">IFERROR(ROUND(CORREL('Returns (Calc)'!$D$3:$D$500,'Returns (Calc)'!$T$3:$T$500),2),"")</f>
        <v>0.09</v>
      </c>
      <c r="U8" s="153" t="str">
        <f aca="false">IFERROR(ROUND(CORREL('Returns (Calc)'!$D$3:$D$500,'Returns (Calc)'!$U$3:$U$500),2),"")</f>
        <v/>
      </c>
      <c r="V8" s="153" t="n">
        <f aca="false">IFERROR(ROUND(CORREL('Returns (Calc)'!$D$3:$D$500,'Returns (Calc)'!$V$3:$V$500),2),"")</f>
        <v>0.02</v>
      </c>
      <c r="AG8" s="154" t="n">
        <f aca="false">COUNTIF(B8:V8,"&gt;0.7")-1</f>
        <v>1</v>
      </c>
    </row>
    <row r="9" customFormat="false" ht="15" hidden="false" customHeight="true" outlineLevel="0" collapsed="false">
      <c r="A9" s="152" t="str">
        <f aca="false">'Returns (Calc)'!E2</f>
        <v>AVGO</v>
      </c>
      <c r="B9" s="153" t="n">
        <f aca="false">IFERROR(ROUND(CORREL('Returns (Calc)'!$E$3:$E$500,'Returns (Calc)'!$B$3:$B$500),2),"")</f>
        <v>0.16</v>
      </c>
      <c r="C9" s="153" t="n">
        <f aca="false">IFERROR(ROUND(CORREL('Returns (Calc)'!$E$3:$E$500,'Returns (Calc)'!$C$3:$C$500),2),"")</f>
        <v>0.58</v>
      </c>
      <c r="D9" s="153" t="n">
        <f aca="false">IFERROR(ROUND(CORREL('Returns (Calc)'!$E$3:$E$500,'Returns (Calc)'!$D$3:$D$500),2),"")</f>
        <v>0.49</v>
      </c>
      <c r="E9" s="153" t="n">
        <v>1</v>
      </c>
      <c r="F9" s="153" t="n">
        <f aca="false">IFERROR(ROUND(CORREL('Returns (Calc)'!$E$3:$E$500,'Returns (Calc)'!$F$3:$F$500),2),"")</f>
        <v>0.13</v>
      </c>
      <c r="G9" s="153" t="n">
        <f aca="false">IFERROR(ROUND(CORREL('Returns (Calc)'!$E$3:$E$500,'Returns (Calc)'!$G$3:$G$500),2),"")</f>
        <v>0.37</v>
      </c>
      <c r="H9" s="153" t="n">
        <f aca="false">IFERROR(ROUND(CORREL('Returns (Calc)'!$E$3:$E$500,'Returns (Calc)'!$H$3:$H$500),2),"")</f>
        <v>0.02</v>
      </c>
      <c r="I9" s="153" t="n">
        <f aca="false">IFERROR(ROUND(CORREL('Returns (Calc)'!$E$3:$E$500,'Returns (Calc)'!$I$3:$I$500),2),"")</f>
        <v>0.52</v>
      </c>
      <c r="J9" s="153" t="n">
        <f aca="false">IFERROR(ROUND(CORREL('Returns (Calc)'!$E$3:$E$500,'Returns (Calc)'!$J$3:$J$500),2),"")</f>
        <v>0.36</v>
      </c>
      <c r="K9" s="153" t="n">
        <f aca="false">IFERROR(ROUND(CORREL('Returns (Calc)'!$E$3:$E$500,'Returns (Calc)'!$K$3:$K$500),2),"")</f>
        <v>0.59</v>
      </c>
      <c r="L9" s="153" t="n">
        <f aca="false">IFERROR(ROUND(CORREL('Returns (Calc)'!$E$3:$E$500,'Returns (Calc)'!$L$3:$L$500),2),"")</f>
        <v>0.06</v>
      </c>
      <c r="M9" s="153" t="n">
        <f aca="false">IFERROR(ROUND(CORREL('Returns (Calc)'!$E$3:$E$500,'Returns (Calc)'!$M$3:$M$500),2),"")</f>
        <v>0.36</v>
      </c>
      <c r="N9" s="153" t="n">
        <f aca="false">IFERROR(ROUND(CORREL('Returns (Calc)'!$E$3:$E$500,'Returns (Calc)'!$N$3:$N$500),2),"")</f>
        <v>0.02</v>
      </c>
      <c r="O9" s="153" t="n">
        <f aca="false">IFERROR(ROUND(CORREL('Returns (Calc)'!$E$3:$E$500,'Returns (Calc)'!$O$3:$O$500),2),"")</f>
        <v>0.66</v>
      </c>
      <c r="P9" s="153" t="n">
        <f aca="false">IFERROR(ROUND(CORREL('Returns (Calc)'!$E$3:$E$500,'Returns (Calc)'!$P$3:$P$500),2),"")</f>
        <v>0.63</v>
      </c>
      <c r="Q9" s="153" t="n">
        <f aca="false">IFERROR(ROUND(CORREL('Returns (Calc)'!$E$3:$E$500,'Returns (Calc)'!$Q$3:$Q$500),2),"")</f>
        <v>0.06</v>
      </c>
      <c r="R9" s="153" t="n">
        <f aca="false">IFERROR(ROUND(CORREL('Returns (Calc)'!$E$3:$E$500,'Returns (Calc)'!$R$3:$R$500),2),"")</f>
        <v>0.04</v>
      </c>
      <c r="S9" s="153" t="n">
        <f aca="false">IFERROR(ROUND(CORREL('Returns (Calc)'!$E$3:$E$500,'Returns (Calc)'!$S$3:$S$500),2),"")</f>
        <v>0.03</v>
      </c>
      <c r="T9" s="153" t="n">
        <f aca="false">IFERROR(ROUND(CORREL('Returns (Calc)'!$E$3:$E$500,'Returns (Calc)'!$T$3:$T$500),2),"")</f>
        <v>0.01</v>
      </c>
      <c r="U9" s="153" t="str">
        <f aca="false">IFERROR(ROUND(CORREL('Returns (Calc)'!$E$3:$E$500,'Returns (Calc)'!$U$3:$U$500),2),"")</f>
        <v/>
      </c>
      <c r="V9" s="153" t="n">
        <f aca="false">IFERROR(ROUND(CORREL('Returns (Calc)'!$E$3:$E$500,'Returns (Calc)'!$V$3:$V$500),2),"")</f>
        <v>-0.07</v>
      </c>
      <c r="AG9" s="154" t="n">
        <f aca="false">COUNTIF(B9:V9,"&gt;0.7")-1</f>
        <v>0</v>
      </c>
    </row>
    <row r="10" customFormat="false" ht="15" hidden="false" customHeight="true" outlineLevel="0" collapsed="false">
      <c r="A10" s="152" t="str">
        <f aca="false">'Returns (Calc)'!F2</f>
        <v>AVUV</v>
      </c>
      <c r="B10" s="153" t="n">
        <f aca="false">IFERROR(ROUND(CORREL('Returns (Calc)'!$F$3:$F$500,'Returns (Calc)'!$B$3:$B$500),2),"")</f>
        <v>0.29</v>
      </c>
      <c r="C10" s="153" t="n">
        <f aca="false">IFERROR(ROUND(CORREL('Returns (Calc)'!$F$3:$F$500,'Returns (Calc)'!$C$3:$C$500),2),"")</f>
        <v>0.07</v>
      </c>
      <c r="D10" s="153" t="n">
        <f aca="false">IFERROR(ROUND(CORREL('Returns (Calc)'!$F$3:$F$500,'Returns (Calc)'!$D$3:$D$500),2),"")</f>
        <v>0.1</v>
      </c>
      <c r="E10" s="153" t="n">
        <f aca="false">IFERROR(ROUND(CORREL('Returns (Calc)'!$F$3:$F$500,'Returns (Calc)'!$E$3:$E$500),2),"")</f>
        <v>0.13</v>
      </c>
      <c r="F10" s="153" t="n">
        <v>1</v>
      </c>
      <c r="G10" s="153" t="n">
        <f aca="false">IFERROR(ROUND(CORREL('Returns (Calc)'!$F$3:$F$500,'Returns (Calc)'!$G$3:$G$500),2),"")</f>
        <v>-0.22</v>
      </c>
      <c r="H10" s="153" t="n">
        <f aca="false">IFERROR(ROUND(CORREL('Returns (Calc)'!$F$3:$F$500,'Returns (Calc)'!$H$3:$H$500),2),"")</f>
        <v>0.93</v>
      </c>
      <c r="I10" s="153" t="n">
        <f aca="false">IFERROR(ROUND(CORREL('Returns (Calc)'!$F$3:$F$500,'Returns (Calc)'!$I$3:$I$500),2),"")</f>
        <v>0.4</v>
      </c>
      <c r="J10" s="153" t="n">
        <f aca="false">IFERROR(ROUND(CORREL('Returns (Calc)'!$F$3:$F$500,'Returns (Calc)'!$J$3:$J$500),2),"")</f>
        <v>-0.47</v>
      </c>
      <c r="K10" s="153" t="n">
        <f aca="false">IFERROR(ROUND(CORREL('Returns (Calc)'!$F$3:$F$500,'Returns (Calc)'!$K$3:$K$500),2),"")</f>
        <v>-0.18</v>
      </c>
      <c r="L10" s="153" t="n">
        <f aca="false">IFERROR(ROUND(CORREL('Returns (Calc)'!$F$3:$F$500,'Returns (Calc)'!$L$3:$L$500),2),"")</f>
        <v>0.95</v>
      </c>
      <c r="M10" s="153" t="n">
        <f aca="false">IFERROR(ROUND(CORREL('Returns (Calc)'!$F$3:$F$500,'Returns (Calc)'!$M$3:$M$500),2),"")</f>
        <v>0.41</v>
      </c>
      <c r="N10" s="153" t="n">
        <f aca="false">IFERROR(ROUND(CORREL('Returns (Calc)'!$F$3:$F$500,'Returns (Calc)'!$N$3:$N$500),2),"")</f>
        <v>0.92</v>
      </c>
      <c r="O10" s="153" t="n">
        <f aca="false">IFERROR(ROUND(CORREL('Returns (Calc)'!$F$3:$F$500,'Returns (Calc)'!$O$3:$O$500),2),"")</f>
        <v>-0.21</v>
      </c>
      <c r="P10" s="153" t="n">
        <f aca="false">IFERROR(ROUND(CORREL('Returns (Calc)'!$F$3:$F$500,'Returns (Calc)'!$P$3:$P$500),2),"")</f>
        <v>0.33</v>
      </c>
      <c r="Q10" s="153" t="n">
        <f aca="false">IFERROR(ROUND(CORREL('Returns (Calc)'!$F$3:$F$500,'Returns (Calc)'!$Q$3:$Q$500),2),"")</f>
        <v>-0.8</v>
      </c>
      <c r="R10" s="153" t="n">
        <f aca="false">IFERROR(ROUND(CORREL('Returns (Calc)'!$F$3:$F$500,'Returns (Calc)'!$R$3:$R$500),2),"")</f>
        <v>0.05</v>
      </c>
      <c r="S10" s="153" t="n">
        <f aca="false">IFERROR(ROUND(CORREL('Returns (Calc)'!$F$3:$F$500,'Returns (Calc)'!$S$3:$S$500),2),"")</f>
        <v>0.07</v>
      </c>
      <c r="T10" s="153" t="n">
        <f aca="false">IFERROR(ROUND(CORREL('Returns (Calc)'!$F$3:$F$500,'Returns (Calc)'!$T$3:$T$500),2),"")</f>
        <v>-0.04</v>
      </c>
      <c r="U10" s="153" t="str">
        <f aca="false">IFERROR(ROUND(CORREL('Returns (Calc)'!$F$3:$F$500,'Returns (Calc)'!$U$3:$U$500),2),"")</f>
        <v/>
      </c>
      <c r="V10" s="153" t="n">
        <f aca="false">IFERROR(ROUND(CORREL('Returns (Calc)'!$F$3:$F$500,'Returns (Calc)'!$V$3:$V$500),2),"")</f>
        <v>-0.07</v>
      </c>
      <c r="AG10" s="154" t="n">
        <f aca="false">COUNTIF(B10:V10,"&gt;0.7")-1</f>
        <v>3</v>
      </c>
    </row>
    <row r="11" customFormat="false" ht="15" hidden="false" customHeight="true" outlineLevel="0" collapsed="false">
      <c r="A11" s="152" t="str">
        <f aca="false">'Returns (Calc)'!G2</f>
        <v>CRWD</v>
      </c>
      <c r="B11" s="153" t="n">
        <f aca="false">IFERROR(ROUND(CORREL('Returns (Calc)'!$G$3:$G$500,'Returns (Calc)'!$B$3:$B$500),2),"")</f>
        <v>0.29</v>
      </c>
      <c r="C11" s="153" t="n">
        <f aca="false">IFERROR(ROUND(CORREL('Returns (Calc)'!$G$3:$G$500,'Returns (Calc)'!$C$3:$C$500),2),"")</f>
        <v>0.38</v>
      </c>
      <c r="D11" s="153" t="n">
        <f aca="false">IFERROR(ROUND(CORREL('Returns (Calc)'!$G$3:$G$500,'Returns (Calc)'!$D$3:$D$500),2),"")</f>
        <v>0.32</v>
      </c>
      <c r="E11" s="153" t="n">
        <f aca="false">IFERROR(ROUND(CORREL('Returns (Calc)'!$G$3:$G$500,'Returns (Calc)'!$E$3:$E$500),2),"")</f>
        <v>0.37</v>
      </c>
      <c r="F11" s="153" t="n">
        <f aca="false">IFERROR(ROUND(CORREL('Returns (Calc)'!$G$3:$G$500,'Returns (Calc)'!$F$3:$F$500),2),"")</f>
        <v>-0.22</v>
      </c>
      <c r="G11" s="153" t="n">
        <v>1</v>
      </c>
      <c r="H11" s="153" t="n">
        <f aca="false">IFERROR(ROUND(CORREL('Returns (Calc)'!$G$3:$G$500,'Returns (Calc)'!$H$3:$H$500),2),"")</f>
        <v>-0.32</v>
      </c>
      <c r="I11" s="153" t="n">
        <f aca="false">IFERROR(ROUND(CORREL('Returns (Calc)'!$G$3:$G$500,'Returns (Calc)'!$I$3:$I$500),2),"")</f>
        <v>0.22</v>
      </c>
      <c r="J11" s="153" t="n">
        <f aca="false">IFERROR(ROUND(CORREL('Returns (Calc)'!$G$3:$G$500,'Returns (Calc)'!$J$3:$J$500),2),"")</f>
        <v>0.44</v>
      </c>
      <c r="K11" s="153" t="n">
        <f aca="false">IFERROR(ROUND(CORREL('Returns (Calc)'!$G$3:$G$500,'Returns (Calc)'!$K$3:$K$500),2),"")</f>
        <v>0.51</v>
      </c>
      <c r="L11" s="153" t="n">
        <f aca="false">IFERROR(ROUND(CORREL('Returns (Calc)'!$G$3:$G$500,'Returns (Calc)'!$L$3:$L$500),2),"")</f>
        <v>-0.3</v>
      </c>
      <c r="M11" s="153" t="n">
        <f aca="false">IFERROR(ROUND(CORREL('Returns (Calc)'!$G$3:$G$500,'Returns (Calc)'!$M$3:$M$500),2),"")</f>
        <v>0.33</v>
      </c>
      <c r="N11" s="153" t="n">
        <f aca="false">IFERROR(ROUND(CORREL('Returns (Calc)'!$G$3:$G$500,'Returns (Calc)'!$N$3:$N$500),2),"")</f>
        <v>-0.32</v>
      </c>
      <c r="O11" s="153" t="n">
        <f aca="false">IFERROR(ROUND(CORREL('Returns (Calc)'!$G$3:$G$500,'Returns (Calc)'!$O$3:$O$500),2),"")</f>
        <v>0.58</v>
      </c>
      <c r="P11" s="153" t="n">
        <f aca="false">IFERROR(ROUND(CORREL('Returns (Calc)'!$G$3:$G$500,'Returns (Calc)'!$P$3:$P$500),2),"")</f>
        <v>0.38</v>
      </c>
      <c r="Q11" s="153" t="n">
        <f aca="false">IFERROR(ROUND(CORREL('Returns (Calc)'!$G$3:$G$500,'Returns (Calc)'!$Q$3:$Q$500),2),"")</f>
        <v>0.4</v>
      </c>
      <c r="R11" s="153" t="n">
        <f aca="false">IFERROR(ROUND(CORREL('Returns (Calc)'!$G$3:$G$500,'Returns (Calc)'!$R$3:$R$500),2),"")</f>
        <v>0.07</v>
      </c>
      <c r="S11" s="153" t="n">
        <f aca="false">IFERROR(ROUND(CORREL('Returns (Calc)'!$G$3:$G$500,'Returns (Calc)'!$S$3:$S$500),2),"")</f>
        <v>0.06</v>
      </c>
      <c r="T11" s="153" t="n">
        <f aca="false">IFERROR(ROUND(CORREL('Returns (Calc)'!$G$3:$G$500,'Returns (Calc)'!$T$3:$T$500),2),"")</f>
        <v>0.12</v>
      </c>
      <c r="U11" s="153" t="str">
        <f aca="false">IFERROR(ROUND(CORREL('Returns (Calc)'!$G$3:$G$500,'Returns (Calc)'!$U$3:$U$500),2),"")</f>
        <v/>
      </c>
      <c r="V11" s="153" t="n">
        <f aca="false">IFERROR(ROUND(CORREL('Returns (Calc)'!$G$3:$G$500,'Returns (Calc)'!$V$3:$V$500),2),"")</f>
        <v>0.04</v>
      </c>
      <c r="AG11" s="154" t="n">
        <f aca="false">COUNTIF(B11:V11,"&gt;0.7")-1</f>
        <v>0</v>
      </c>
    </row>
    <row r="12" customFormat="false" ht="15" hidden="false" customHeight="true" outlineLevel="0" collapsed="false">
      <c r="A12" s="152" t="str">
        <f aca="false">'Returns (Calc)'!H2</f>
        <v>DVY</v>
      </c>
      <c r="B12" s="153" t="n">
        <f aca="false">IFERROR(ROUND(CORREL('Returns (Calc)'!$H$3:$H$500,'Returns (Calc)'!$B$3:$B$500),2),"")</f>
        <v>0.25</v>
      </c>
      <c r="C12" s="153" t="n">
        <f aca="false">IFERROR(ROUND(CORREL('Returns (Calc)'!$H$3:$H$500,'Returns (Calc)'!$C$3:$C$500),2),"")</f>
        <v>-0.07</v>
      </c>
      <c r="D12" s="153" t="n">
        <f aca="false">IFERROR(ROUND(CORREL('Returns (Calc)'!$H$3:$H$500,'Returns (Calc)'!$D$3:$D$500),2),"")</f>
        <v>-0.05</v>
      </c>
      <c r="E12" s="153" t="n">
        <f aca="false">IFERROR(ROUND(CORREL('Returns (Calc)'!$H$3:$H$500,'Returns (Calc)'!$E$3:$E$500),2),"")</f>
        <v>0.02</v>
      </c>
      <c r="F12" s="153" t="n">
        <f aca="false">IFERROR(ROUND(CORREL('Returns (Calc)'!$H$3:$H$500,'Returns (Calc)'!$F$3:$F$500),2),"")</f>
        <v>0.93</v>
      </c>
      <c r="G12" s="153" t="n">
        <f aca="false">IFERROR(ROUND(CORREL('Returns (Calc)'!$H$3:$H$500,'Returns (Calc)'!$G$3:$G$500),2),"")</f>
        <v>-0.32</v>
      </c>
      <c r="H12" s="153" t="n">
        <v>1</v>
      </c>
      <c r="I12" s="153" t="n">
        <f aca="false">IFERROR(ROUND(CORREL('Returns (Calc)'!$H$3:$H$500,'Returns (Calc)'!$I$3:$I$500),2),"")</f>
        <v>0.26</v>
      </c>
      <c r="J12" s="153" t="n">
        <f aca="false">IFERROR(ROUND(CORREL('Returns (Calc)'!$H$3:$H$500,'Returns (Calc)'!$J$3:$J$500),2),"")</f>
        <v>-0.62</v>
      </c>
      <c r="K12" s="153" t="n">
        <f aca="false">IFERROR(ROUND(CORREL('Returns (Calc)'!$H$3:$H$500,'Returns (Calc)'!$K$3:$K$500),2),"")</f>
        <v>-0.3</v>
      </c>
      <c r="L12" s="153" t="n">
        <f aca="false">IFERROR(ROUND(CORREL('Returns (Calc)'!$H$3:$H$500,'Returns (Calc)'!$L$3:$L$500),2),"")</f>
        <v>0.99</v>
      </c>
      <c r="M12" s="153" t="n">
        <f aca="false">IFERROR(ROUND(CORREL('Returns (Calc)'!$H$3:$H$500,'Returns (Calc)'!$M$3:$M$500),2),"")</f>
        <v>0.36</v>
      </c>
      <c r="N12" s="153" t="n">
        <f aca="false">IFERROR(ROUND(CORREL('Returns (Calc)'!$H$3:$H$500,'Returns (Calc)'!$N$3:$N$500),2),"")</f>
        <v>1</v>
      </c>
      <c r="O12" s="153" t="n">
        <f aca="false">IFERROR(ROUND(CORREL('Returns (Calc)'!$H$3:$H$500,'Returns (Calc)'!$O$3:$O$500),2),"")</f>
        <v>-0.41</v>
      </c>
      <c r="P12" s="153" t="n">
        <f aca="false">IFERROR(ROUND(CORREL('Returns (Calc)'!$H$3:$H$500,'Returns (Calc)'!$P$3:$P$500),2),"")</f>
        <v>0.16</v>
      </c>
      <c r="Q12" s="153" t="n">
        <f aca="false">IFERROR(ROUND(CORREL('Returns (Calc)'!$H$3:$H$500,'Returns (Calc)'!$Q$3:$Q$500),2),"")</f>
        <v>-0.92</v>
      </c>
      <c r="R12" s="153" t="n">
        <f aca="false">IFERROR(ROUND(CORREL('Returns (Calc)'!$H$3:$H$500,'Returns (Calc)'!$R$3:$R$500),2),"")</f>
        <v>0.03</v>
      </c>
      <c r="S12" s="153" t="n">
        <f aca="false">IFERROR(ROUND(CORREL('Returns (Calc)'!$H$3:$H$500,'Returns (Calc)'!$S$3:$S$500),2),"")</f>
        <v>0.04</v>
      </c>
      <c r="T12" s="153" t="n">
        <f aca="false">IFERROR(ROUND(CORREL('Returns (Calc)'!$H$3:$H$500,'Returns (Calc)'!$T$3:$T$500),2),"")</f>
        <v>-0.04</v>
      </c>
      <c r="U12" s="153" t="str">
        <f aca="false">IFERROR(ROUND(CORREL('Returns (Calc)'!$H$3:$H$500,'Returns (Calc)'!$U$3:$U$500),2),"")</f>
        <v/>
      </c>
      <c r="V12" s="153" t="n">
        <f aca="false">IFERROR(ROUND(CORREL('Returns (Calc)'!$H$3:$H$500,'Returns (Calc)'!$V$3:$V$500),2),"")</f>
        <v>-0.06</v>
      </c>
      <c r="AG12" s="154" t="n">
        <f aca="false">COUNTIF(B12:V12,"&gt;0.7")-1</f>
        <v>3</v>
      </c>
    </row>
    <row r="13" customFormat="false" ht="15" hidden="false" customHeight="true" outlineLevel="0" collapsed="false">
      <c r="A13" s="152" t="str">
        <f aca="false">'Returns (Calc)'!I2</f>
        <v>KLAC</v>
      </c>
      <c r="B13" s="153" t="n">
        <f aca="false">IFERROR(ROUND(CORREL('Returns (Calc)'!$I$3:$I$500,'Returns (Calc)'!$B$3:$B$500),2),"")</f>
        <v>0</v>
      </c>
      <c r="C13" s="153" t="n">
        <f aca="false">IFERROR(ROUND(CORREL('Returns (Calc)'!$I$3:$I$500,'Returns (Calc)'!$C$3:$C$500),2),"")</f>
        <v>0.4</v>
      </c>
      <c r="D13" s="153" t="n">
        <f aca="false">IFERROR(ROUND(CORREL('Returns (Calc)'!$I$3:$I$500,'Returns (Calc)'!$D$3:$D$500),2),"")</f>
        <v>0.73</v>
      </c>
      <c r="E13" s="153" t="n">
        <f aca="false">IFERROR(ROUND(CORREL('Returns (Calc)'!$I$3:$I$500,'Returns (Calc)'!$E$3:$E$500),2),"")</f>
        <v>0.52</v>
      </c>
      <c r="F13" s="153" t="n">
        <f aca="false">IFERROR(ROUND(CORREL('Returns (Calc)'!$I$3:$I$500,'Returns (Calc)'!$F$3:$F$500),2),"")</f>
        <v>0.4</v>
      </c>
      <c r="G13" s="153" t="n">
        <f aca="false">IFERROR(ROUND(CORREL('Returns (Calc)'!$I$3:$I$500,'Returns (Calc)'!$G$3:$G$500),2),"")</f>
        <v>0.22</v>
      </c>
      <c r="H13" s="153" t="n">
        <f aca="false">IFERROR(ROUND(CORREL('Returns (Calc)'!$I$3:$I$500,'Returns (Calc)'!$H$3:$H$500),2),"")</f>
        <v>0.26</v>
      </c>
      <c r="I13" s="153" t="n">
        <v>1</v>
      </c>
      <c r="J13" s="153" t="n">
        <f aca="false">IFERROR(ROUND(CORREL('Returns (Calc)'!$I$3:$I$500,'Returns (Calc)'!$J$3:$J$500),2),"")</f>
        <v>0.29</v>
      </c>
      <c r="K13" s="153" t="n">
        <f aca="false">IFERROR(ROUND(CORREL('Returns (Calc)'!$I$3:$I$500,'Returns (Calc)'!$K$3:$K$500),2),"")</f>
        <v>0.4</v>
      </c>
      <c r="L13" s="153" t="n">
        <f aca="false">IFERROR(ROUND(CORREL('Returns (Calc)'!$I$3:$I$500,'Returns (Calc)'!$L$3:$L$500),2),"")</f>
        <v>0.3</v>
      </c>
      <c r="M13" s="153" t="n">
        <f aca="false">IFERROR(ROUND(CORREL('Returns (Calc)'!$I$3:$I$500,'Returns (Calc)'!$M$3:$M$500),2),"")</f>
        <v>0.32</v>
      </c>
      <c r="N13" s="153" t="n">
        <f aca="false">IFERROR(ROUND(CORREL('Returns (Calc)'!$I$3:$I$500,'Returns (Calc)'!$N$3:$N$500),2),"")</f>
        <v>0.26</v>
      </c>
      <c r="O13" s="153" t="n">
        <f aca="false">IFERROR(ROUND(CORREL('Returns (Calc)'!$I$3:$I$500,'Returns (Calc)'!$O$3:$O$500),2),"")</f>
        <v>0.48</v>
      </c>
      <c r="P13" s="153" t="n">
        <f aca="false">IFERROR(ROUND(CORREL('Returns (Calc)'!$I$3:$I$500,'Returns (Calc)'!$P$3:$P$500),2),"")</f>
        <v>0.62</v>
      </c>
      <c r="Q13" s="153" t="n">
        <f aca="false">IFERROR(ROUND(CORREL('Returns (Calc)'!$I$3:$I$500,'Returns (Calc)'!$Q$3:$Q$500),2),"")</f>
        <v>-0.23</v>
      </c>
      <c r="R13" s="153" t="n">
        <f aca="false">IFERROR(ROUND(CORREL('Returns (Calc)'!$I$3:$I$500,'Returns (Calc)'!$R$3:$R$500),2),"")</f>
        <v>0.08</v>
      </c>
      <c r="S13" s="153" t="n">
        <f aca="false">IFERROR(ROUND(CORREL('Returns (Calc)'!$I$3:$I$500,'Returns (Calc)'!$S$3:$S$500),2),"")</f>
        <v>0.06</v>
      </c>
      <c r="T13" s="153" t="n">
        <f aca="false">IFERROR(ROUND(CORREL('Returns (Calc)'!$I$3:$I$500,'Returns (Calc)'!$T$3:$T$500),2),"")</f>
        <v>0.04</v>
      </c>
      <c r="U13" s="153" t="str">
        <f aca="false">IFERROR(ROUND(CORREL('Returns (Calc)'!$I$3:$I$500,'Returns (Calc)'!$U$3:$U$500),2),"")</f>
        <v/>
      </c>
      <c r="V13" s="153" t="n">
        <f aca="false">IFERROR(ROUND(CORREL('Returns (Calc)'!$I$3:$I$500,'Returns (Calc)'!$V$3:$V$500),2),"")</f>
        <v>-0.04</v>
      </c>
      <c r="AG13" s="154" t="n">
        <f aca="false">COUNTIF(B13:V13,"&gt;0.7")-1</f>
        <v>1</v>
      </c>
    </row>
    <row r="14" customFormat="false" ht="15" hidden="false" customHeight="true" outlineLevel="0" collapsed="false">
      <c r="A14" s="152" t="str">
        <f aca="false">'Returns (Calc)'!J2</f>
        <v>MU</v>
      </c>
      <c r="B14" s="153" t="n">
        <f aca="false">IFERROR(ROUND(CORREL('Returns (Calc)'!$J$3:$J$500,'Returns (Calc)'!$B$3:$B$500),2),"")</f>
        <v>-0.12</v>
      </c>
      <c r="C14" s="153" t="n">
        <f aca="false">IFERROR(ROUND(CORREL('Returns (Calc)'!$J$3:$J$500,'Returns (Calc)'!$C$3:$C$500),2),"")</f>
        <v>0.32</v>
      </c>
      <c r="D14" s="153" t="n">
        <f aca="false">IFERROR(ROUND(CORREL('Returns (Calc)'!$J$3:$J$500,'Returns (Calc)'!$D$3:$D$500),2),"")</f>
        <v>0.51</v>
      </c>
      <c r="E14" s="153" t="n">
        <f aca="false">IFERROR(ROUND(CORREL('Returns (Calc)'!$J$3:$J$500,'Returns (Calc)'!$E$3:$E$500),2),"")</f>
        <v>0.36</v>
      </c>
      <c r="F14" s="153" t="n">
        <f aca="false">IFERROR(ROUND(CORREL('Returns (Calc)'!$J$3:$J$500,'Returns (Calc)'!$F$3:$F$500),2),"")</f>
        <v>-0.47</v>
      </c>
      <c r="G14" s="153" t="n">
        <f aca="false">IFERROR(ROUND(CORREL('Returns (Calc)'!$J$3:$J$500,'Returns (Calc)'!$G$3:$G$500),2),"")</f>
        <v>0.44</v>
      </c>
      <c r="H14" s="153" t="n">
        <f aca="false">IFERROR(ROUND(CORREL('Returns (Calc)'!$J$3:$J$500,'Returns (Calc)'!$H$3:$H$500),2),"")</f>
        <v>-0.62</v>
      </c>
      <c r="I14" s="153" t="n">
        <f aca="false">IFERROR(ROUND(CORREL('Returns (Calc)'!$J$3:$J$500,'Returns (Calc)'!$I$3:$I$500),2),"")</f>
        <v>0.29</v>
      </c>
      <c r="J14" s="153" t="n">
        <v>1</v>
      </c>
      <c r="K14" s="153" t="n">
        <f aca="false">IFERROR(ROUND(CORREL('Returns (Calc)'!$J$3:$J$500,'Returns (Calc)'!$K$3:$K$500),2),"")</f>
        <v>0.57</v>
      </c>
      <c r="L14" s="153" t="n">
        <f aca="false">IFERROR(ROUND(CORREL('Returns (Calc)'!$J$3:$J$500,'Returns (Calc)'!$L$3:$L$500),2),"")</f>
        <v>-0.59</v>
      </c>
      <c r="M14" s="153" t="n">
        <f aca="false">IFERROR(ROUND(CORREL('Returns (Calc)'!$J$3:$J$500,'Returns (Calc)'!$M$3:$M$500),2),"")</f>
        <v>-0.1</v>
      </c>
      <c r="N14" s="153" t="n">
        <f aca="false">IFERROR(ROUND(CORREL('Returns (Calc)'!$J$3:$J$500,'Returns (Calc)'!$N$3:$N$500),2),"")</f>
        <v>-0.63</v>
      </c>
      <c r="O14" s="153" t="n">
        <f aca="false">IFERROR(ROUND(CORREL('Returns (Calc)'!$J$3:$J$500,'Returns (Calc)'!$O$3:$O$500),2),"")</f>
        <v>0.73</v>
      </c>
      <c r="P14" s="153" t="n">
        <f aca="false">IFERROR(ROUND(CORREL('Returns (Calc)'!$J$3:$J$500,'Returns (Calc)'!$P$3:$P$500),2),"")</f>
        <v>0.56</v>
      </c>
      <c r="Q14" s="153" t="n">
        <f aca="false">IFERROR(ROUND(CORREL('Returns (Calc)'!$J$3:$J$500,'Returns (Calc)'!$Q$3:$Q$500),2),"")</f>
        <v>0.59</v>
      </c>
      <c r="R14" s="153" t="n">
        <f aca="false">IFERROR(ROUND(CORREL('Returns (Calc)'!$J$3:$J$500,'Returns (Calc)'!$R$3:$R$500),2),"")</f>
        <v>0.05</v>
      </c>
      <c r="S14" s="153" t="n">
        <f aca="false">IFERROR(ROUND(CORREL('Returns (Calc)'!$J$3:$J$500,'Returns (Calc)'!$S$3:$S$500),2),"")</f>
        <v>0.04</v>
      </c>
      <c r="T14" s="153" t="n">
        <f aca="false">IFERROR(ROUND(CORREL('Returns (Calc)'!$J$3:$J$500,'Returns (Calc)'!$T$3:$T$500),2),"")</f>
        <v>0.07</v>
      </c>
      <c r="U14" s="153" t="str">
        <f aca="false">IFERROR(ROUND(CORREL('Returns (Calc)'!$J$3:$J$500,'Returns (Calc)'!$U$3:$U$500),2),"")</f>
        <v/>
      </c>
      <c r="V14" s="153" t="n">
        <f aca="false">IFERROR(ROUND(CORREL('Returns (Calc)'!$J$3:$J$500,'Returns (Calc)'!$V$3:$V$500),2),"")</f>
        <v>0.05</v>
      </c>
      <c r="AG14" s="154" t="n">
        <f aca="false">COUNTIF(B14:V14,"&gt;0.7")-1</f>
        <v>1</v>
      </c>
    </row>
    <row r="15" customFormat="false" ht="15" hidden="false" customHeight="true" outlineLevel="0" collapsed="false">
      <c r="A15" s="152" t="str">
        <f aca="false">'Returns (Calc)'!K2</f>
        <v>NVDA</v>
      </c>
      <c r="B15" s="153" t="n">
        <f aca="false">IFERROR(ROUND(CORREL('Returns (Calc)'!$K$3:$K$500,'Returns (Calc)'!$B$3:$B$500),2),"")</f>
        <v>0.12</v>
      </c>
      <c r="C15" s="153" t="n">
        <f aca="false">IFERROR(ROUND(CORREL('Returns (Calc)'!$K$3:$K$500,'Returns (Calc)'!$C$3:$C$500),2),"")</f>
        <v>0.52</v>
      </c>
      <c r="D15" s="153" t="n">
        <f aca="false">IFERROR(ROUND(CORREL('Returns (Calc)'!$K$3:$K$500,'Returns (Calc)'!$D$3:$D$500),2),"")</f>
        <v>0.48</v>
      </c>
      <c r="E15" s="153" t="n">
        <f aca="false">IFERROR(ROUND(CORREL('Returns (Calc)'!$K$3:$K$500,'Returns (Calc)'!$E$3:$E$500),2),"")</f>
        <v>0.59</v>
      </c>
      <c r="F15" s="153" t="n">
        <f aca="false">IFERROR(ROUND(CORREL('Returns (Calc)'!$K$3:$K$500,'Returns (Calc)'!$F$3:$F$500),2),"")</f>
        <v>-0.18</v>
      </c>
      <c r="G15" s="153" t="n">
        <f aca="false">IFERROR(ROUND(CORREL('Returns (Calc)'!$K$3:$K$500,'Returns (Calc)'!$G$3:$G$500),2),"")</f>
        <v>0.51</v>
      </c>
      <c r="H15" s="153" t="n">
        <f aca="false">IFERROR(ROUND(CORREL('Returns (Calc)'!$K$3:$K$500,'Returns (Calc)'!$H$3:$H$500),2),"")</f>
        <v>-0.3</v>
      </c>
      <c r="I15" s="153" t="n">
        <f aca="false">IFERROR(ROUND(CORREL('Returns (Calc)'!$K$3:$K$500,'Returns (Calc)'!$I$3:$I$500),2),"")</f>
        <v>0.4</v>
      </c>
      <c r="J15" s="153" t="n">
        <f aca="false">IFERROR(ROUND(CORREL('Returns (Calc)'!$K$3:$K$500,'Returns (Calc)'!$J$3:$J$500),2),"")</f>
        <v>0.57</v>
      </c>
      <c r="K15" s="153" t="n">
        <v>1</v>
      </c>
      <c r="L15" s="153" t="n">
        <f aca="false">IFERROR(ROUND(CORREL('Returns (Calc)'!$K$3:$K$500,'Returns (Calc)'!$L$3:$L$500),2),"")</f>
        <v>-0.27</v>
      </c>
      <c r="M15" s="153" t="n">
        <f aca="false">IFERROR(ROUND(CORREL('Returns (Calc)'!$K$3:$K$500,'Returns (Calc)'!$M$3:$M$500),2),"")</f>
        <v>0.3</v>
      </c>
      <c r="N15" s="153" t="n">
        <f aca="false">IFERROR(ROUND(CORREL('Returns (Calc)'!$K$3:$K$500,'Returns (Calc)'!$N$3:$N$500),2),"")</f>
        <v>-0.31</v>
      </c>
      <c r="O15" s="153" t="n">
        <f aca="false">IFERROR(ROUND(CORREL('Returns (Calc)'!$K$3:$K$500,'Returns (Calc)'!$O$3:$O$500),2),"")</f>
        <v>0.77</v>
      </c>
      <c r="P15" s="153" t="n">
        <f aca="false">IFERROR(ROUND(CORREL('Returns (Calc)'!$K$3:$K$500,'Returns (Calc)'!$P$3:$P$500),2),"")</f>
        <v>0.64</v>
      </c>
      <c r="Q15" s="153" t="n">
        <f aca="false">IFERROR(ROUND(CORREL('Returns (Calc)'!$K$3:$K$500,'Returns (Calc)'!$Q$3:$Q$500),2),"")</f>
        <v>0.36</v>
      </c>
      <c r="R15" s="153" t="n">
        <f aca="false">IFERROR(ROUND(CORREL('Returns (Calc)'!$K$3:$K$500,'Returns (Calc)'!$R$3:$R$500),2),"")</f>
        <v>0.02</v>
      </c>
      <c r="S15" s="153" t="n">
        <f aca="false">IFERROR(ROUND(CORREL('Returns (Calc)'!$K$3:$K$500,'Returns (Calc)'!$S$3:$S$500),2),"")</f>
        <v>-0.01</v>
      </c>
      <c r="T15" s="153" t="n">
        <f aca="false">IFERROR(ROUND(CORREL('Returns (Calc)'!$K$3:$K$500,'Returns (Calc)'!$T$3:$T$500),2),"")</f>
        <v>0.01</v>
      </c>
      <c r="U15" s="153" t="str">
        <f aca="false">IFERROR(ROUND(CORREL('Returns (Calc)'!$K$3:$K$500,'Returns (Calc)'!$U$3:$U$500),2),"")</f>
        <v/>
      </c>
      <c r="V15" s="153" t="n">
        <f aca="false">IFERROR(ROUND(CORREL('Returns (Calc)'!$K$3:$K$500,'Returns (Calc)'!$V$3:$V$500),2),"")</f>
        <v>-0.04</v>
      </c>
      <c r="AG15" s="154" t="n">
        <f aca="false">COUNTIF(B15:V15,"&gt;0.7")-1</f>
        <v>1</v>
      </c>
    </row>
    <row r="16" customFormat="false" ht="15" hidden="false" customHeight="true" outlineLevel="0" collapsed="false">
      <c r="A16" s="152" t="str">
        <f aca="false">'Returns (Calc)'!L2</f>
        <v>PLD</v>
      </c>
      <c r="B16" s="153" t="n">
        <f aca="false">IFERROR(ROUND(CORREL('Returns (Calc)'!$L$3:$L$500,'Returns (Calc)'!$B$3:$B$500),2),"")</f>
        <v>0.28</v>
      </c>
      <c r="C16" s="153" t="n">
        <f aca="false">IFERROR(ROUND(CORREL('Returns (Calc)'!$L$3:$L$500,'Returns (Calc)'!$C$3:$C$500),2),"")</f>
        <v>-0.04</v>
      </c>
      <c r="D16" s="153" t="n">
        <f aca="false">IFERROR(ROUND(CORREL('Returns (Calc)'!$L$3:$L$500,'Returns (Calc)'!$D$3:$D$500),2),"")</f>
        <v>-0</v>
      </c>
      <c r="E16" s="153" t="n">
        <f aca="false">IFERROR(ROUND(CORREL('Returns (Calc)'!$L$3:$L$500,'Returns (Calc)'!$E$3:$E$500),2),"")</f>
        <v>0.06</v>
      </c>
      <c r="F16" s="153" t="n">
        <f aca="false">IFERROR(ROUND(CORREL('Returns (Calc)'!$L$3:$L$500,'Returns (Calc)'!$F$3:$F$500),2),"")</f>
        <v>0.95</v>
      </c>
      <c r="G16" s="153" t="n">
        <f aca="false">IFERROR(ROUND(CORREL('Returns (Calc)'!$L$3:$L$500,'Returns (Calc)'!$G$3:$G$500),2),"")</f>
        <v>-0.3</v>
      </c>
      <c r="H16" s="153" t="n">
        <f aca="false">IFERROR(ROUND(CORREL('Returns (Calc)'!$L$3:$L$500,'Returns (Calc)'!$H$3:$H$500),2),"")</f>
        <v>0.99</v>
      </c>
      <c r="I16" s="153" t="n">
        <f aca="false">IFERROR(ROUND(CORREL('Returns (Calc)'!$L$3:$L$500,'Returns (Calc)'!$I$3:$I$500),2),"")</f>
        <v>0.3</v>
      </c>
      <c r="J16" s="153" t="n">
        <f aca="false">IFERROR(ROUND(CORREL('Returns (Calc)'!$L$3:$L$500,'Returns (Calc)'!$J$3:$J$500),2),"")</f>
        <v>-0.59</v>
      </c>
      <c r="K16" s="153" t="n">
        <f aca="false">IFERROR(ROUND(CORREL('Returns (Calc)'!$L$3:$L$500,'Returns (Calc)'!$K$3:$K$500),2),"")</f>
        <v>-0.27</v>
      </c>
      <c r="L16" s="153" t="n">
        <v>1</v>
      </c>
      <c r="M16" s="153" t="n">
        <f aca="false">IFERROR(ROUND(CORREL('Returns (Calc)'!$L$3:$L$500,'Returns (Calc)'!$M$3:$M$500),2),"")</f>
        <v>0.37</v>
      </c>
      <c r="N16" s="153" t="n">
        <f aca="false">IFERROR(ROUND(CORREL('Returns (Calc)'!$L$3:$L$500,'Returns (Calc)'!$N$3:$N$500),2),"")</f>
        <v>0.98</v>
      </c>
      <c r="O16" s="153" t="n">
        <f aca="false">IFERROR(ROUND(CORREL('Returns (Calc)'!$L$3:$L$500,'Returns (Calc)'!$O$3:$O$500),2),"")</f>
        <v>-0.35</v>
      </c>
      <c r="P16" s="153" t="n">
        <f aca="false">IFERROR(ROUND(CORREL('Returns (Calc)'!$L$3:$L$500,'Returns (Calc)'!$P$3:$P$500),2),"")</f>
        <v>0.21</v>
      </c>
      <c r="Q16" s="153" t="n">
        <f aca="false">IFERROR(ROUND(CORREL('Returns (Calc)'!$L$3:$L$500,'Returns (Calc)'!$Q$3:$Q$500),2),"")</f>
        <v>-0.88</v>
      </c>
      <c r="R16" s="153" t="n">
        <f aca="false">IFERROR(ROUND(CORREL('Returns (Calc)'!$L$3:$L$500,'Returns (Calc)'!$R$3:$R$500),2),"")</f>
        <v>0.05</v>
      </c>
      <c r="S16" s="153" t="n">
        <f aca="false">IFERROR(ROUND(CORREL('Returns (Calc)'!$L$3:$L$500,'Returns (Calc)'!$S$3:$S$500),2),"")</f>
        <v>0.06</v>
      </c>
      <c r="T16" s="153" t="n">
        <f aca="false">IFERROR(ROUND(CORREL('Returns (Calc)'!$L$3:$L$500,'Returns (Calc)'!$T$3:$T$500),2),"")</f>
        <v>-0.05</v>
      </c>
      <c r="U16" s="153" t="str">
        <f aca="false">IFERROR(ROUND(CORREL('Returns (Calc)'!$L$3:$L$500,'Returns (Calc)'!$U$3:$U$500),2),"")</f>
        <v/>
      </c>
      <c r="V16" s="153" t="n">
        <f aca="false">IFERROR(ROUND(CORREL('Returns (Calc)'!$L$3:$L$500,'Returns (Calc)'!$V$3:$V$500),2),"")</f>
        <v>-0.07</v>
      </c>
      <c r="AG16" s="154" t="n">
        <f aca="false">COUNTIF(B16:V16,"&gt;0.7")-1</f>
        <v>3</v>
      </c>
    </row>
    <row r="17" customFormat="false" ht="15" hidden="false" customHeight="true" outlineLevel="0" collapsed="false">
      <c r="A17" s="152" t="str">
        <f aca="false">'Returns (Calc)'!M2</f>
        <v>PLTR</v>
      </c>
      <c r="B17" s="153" t="n">
        <f aca="false">IFERROR(ROUND(CORREL('Returns (Calc)'!$M$3:$M$500,'Returns (Calc)'!$B$3:$B$500),2),"")</f>
        <v>0.43</v>
      </c>
      <c r="C17" s="153" t="n">
        <f aca="false">IFERROR(ROUND(CORREL('Returns (Calc)'!$M$3:$M$500,'Returns (Calc)'!$C$3:$C$500),2),"")</f>
        <v>0.28</v>
      </c>
      <c r="D17" s="153" t="n">
        <f aca="false">IFERROR(ROUND(CORREL('Returns (Calc)'!$M$3:$M$500,'Returns (Calc)'!$D$3:$D$500),2),"")</f>
        <v>0.17</v>
      </c>
      <c r="E17" s="153" t="n">
        <f aca="false">IFERROR(ROUND(CORREL('Returns (Calc)'!$M$3:$M$500,'Returns (Calc)'!$E$3:$E$500),2),"")</f>
        <v>0.36</v>
      </c>
      <c r="F17" s="153" t="n">
        <f aca="false">IFERROR(ROUND(CORREL('Returns (Calc)'!$M$3:$M$500,'Returns (Calc)'!$F$3:$F$500),2),"")</f>
        <v>0.41</v>
      </c>
      <c r="G17" s="153" t="n">
        <f aca="false">IFERROR(ROUND(CORREL('Returns (Calc)'!$M$3:$M$500,'Returns (Calc)'!$G$3:$G$500),2),"")</f>
        <v>0.33</v>
      </c>
      <c r="H17" s="153" t="n">
        <f aca="false">IFERROR(ROUND(CORREL('Returns (Calc)'!$M$3:$M$500,'Returns (Calc)'!$H$3:$H$500),2),"")</f>
        <v>0.36</v>
      </c>
      <c r="I17" s="153" t="n">
        <f aca="false">IFERROR(ROUND(CORREL('Returns (Calc)'!$M$3:$M$500,'Returns (Calc)'!$I$3:$I$500),2),"")</f>
        <v>0.32</v>
      </c>
      <c r="J17" s="153" t="n">
        <f aca="false">IFERROR(ROUND(CORREL('Returns (Calc)'!$M$3:$M$500,'Returns (Calc)'!$J$3:$J$500),2),"")</f>
        <v>-0.1</v>
      </c>
      <c r="K17" s="153" t="n">
        <f aca="false">IFERROR(ROUND(CORREL('Returns (Calc)'!$M$3:$M$500,'Returns (Calc)'!$K$3:$K$500),2),"")</f>
        <v>0.3</v>
      </c>
      <c r="L17" s="153" t="n">
        <f aca="false">IFERROR(ROUND(CORREL('Returns (Calc)'!$M$3:$M$500,'Returns (Calc)'!$L$3:$L$500),2),"")</f>
        <v>0.37</v>
      </c>
      <c r="M17" s="153" t="n">
        <v>1</v>
      </c>
      <c r="N17" s="153" t="n">
        <f aca="false">IFERROR(ROUND(CORREL('Returns (Calc)'!$M$3:$M$500,'Returns (Calc)'!$N$3:$N$500),2),"")</f>
        <v>0.36</v>
      </c>
      <c r="O17" s="153" t="n">
        <f aca="false">IFERROR(ROUND(CORREL('Returns (Calc)'!$M$3:$M$500,'Returns (Calc)'!$O$3:$O$500),2),"")</f>
        <v>0.22</v>
      </c>
      <c r="P17" s="153" t="n">
        <f aca="false">IFERROR(ROUND(CORREL('Returns (Calc)'!$M$3:$M$500,'Returns (Calc)'!$P$3:$P$500),2),"")</f>
        <v>0.38</v>
      </c>
      <c r="Q17" s="153" t="n">
        <f aca="false">IFERROR(ROUND(CORREL('Returns (Calc)'!$M$3:$M$500,'Returns (Calc)'!$Q$3:$Q$500),2),"")</f>
        <v>-0.25</v>
      </c>
      <c r="R17" s="153" t="n">
        <f aca="false">IFERROR(ROUND(CORREL('Returns (Calc)'!$M$3:$M$500,'Returns (Calc)'!$R$3:$R$500),2),"")</f>
        <v>-0.03</v>
      </c>
      <c r="S17" s="153" t="n">
        <f aca="false">IFERROR(ROUND(CORREL('Returns (Calc)'!$M$3:$M$500,'Returns (Calc)'!$S$3:$S$500),2),"")</f>
        <v>-0.04</v>
      </c>
      <c r="T17" s="153" t="n">
        <f aca="false">IFERROR(ROUND(CORREL('Returns (Calc)'!$M$3:$M$500,'Returns (Calc)'!$T$3:$T$500),2),"")</f>
        <v>-0.04</v>
      </c>
      <c r="U17" s="153" t="str">
        <f aca="false">IFERROR(ROUND(CORREL('Returns (Calc)'!$M$3:$M$500,'Returns (Calc)'!$U$3:$U$500),2),"")</f>
        <v/>
      </c>
      <c r="V17" s="153" t="n">
        <f aca="false">IFERROR(ROUND(CORREL('Returns (Calc)'!$M$3:$M$500,'Returns (Calc)'!$V$3:$V$500),2),"")</f>
        <v>-0.16</v>
      </c>
      <c r="AG17" s="154" t="n">
        <f aca="false">COUNTIF(B17:V17,"&gt;0.7")-1</f>
        <v>0</v>
      </c>
    </row>
    <row r="18" customFormat="false" ht="15" hidden="false" customHeight="true" outlineLevel="0" collapsed="false">
      <c r="A18" s="152" t="str">
        <f aca="false">'Returns (Calc)'!N2</f>
        <v>SCHD</v>
      </c>
      <c r="B18" s="153" t="n">
        <f aca="false">IFERROR(ROUND(CORREL('Returns (Calc)'!$N$3:$N$500,'Returns (Calc)'!$B$3:$B$500),2),"")</f>
        <v>0.25</v>
      </c>
      <c r="C18" s="153" t="n">
        <f aca="false">IFERROR(ROUND(CORREL('Returns (Calc)'!$N$3:$N$500,'Returns (Calc)'!$C$3:$C$500),2),"")</f>
        <v>-0.07</v>
      </c>
      <c r="D18" s="153" t="n">
        <f aca="false">IFERROR(ROUND(CORREL('Returns (Calc)'!$N$3:$N$500,'Returns (Calc)'!$D$3:$D$500),2),"")</f>
        <v>-0.06</v>
      </c>
      <c r="E18" s="153" t="n">
        <f aca="false">IFERROR(ROUND(CORREL('Returns (Calc)'!$N$3:$N$500,'Returns (Calc)'!$E$3:$E$500),2),"")</f>
        <v>0.02</v>
      </c>
      <c r="F18" s="153" t="n">
        <f aca="false">IFERROR(ROUND(CORREL('Returns (Calc)'!$N$3:$N$500,'Returns (Calc)'!$F$3:$F$500),2),"")</f>
        <v>0.92</v>
      </c>
      <c r="G18" s="153" t="n">
        <f aca="false">IFERROR(ROUND(CORREL('Returns (Calc)'!$N$3:$N$500,'Returns (Calc)'!$G$3:$G$500),2),"")</f>
        <v>-0.32</v>
      </c>
      <c r="H18" s="153" t="n">
        <f aca="false">IFERROR(ROUND(CORREL('Returns (Calc)'!$N$3:$N$500,'Returns (Calc)'!$H$3:$H$500),2),"")</f>
        <v>1</v>
      </c>
      <c r="I18" s="153" t="n">
        <f aca="false">IFERROR(ROUND(CORREL('Returns (Calc)'!$N$3:$N$500,'Returns (Calc)'!$I$3:$I$500),2),"")</f>
        <v>0.26</v>
      </c>
      <c r="J18" s="153" t="n">
        <f aca="false">IFERROR(ROUND(CORREL('Returns (Calc)'!$N$3:$N$500,'Returns (Calc)'!$J$3:$J$500),2),"")</f>
        <v>-0.63</v>
      </c>
      <c r="K18" s="153" t="n">
        <f aca="false">IFERROR(ROUND(CORREL('Returns (Calc)'!$N$3:$N$500,'Returns (Calc)'!$K$3:$K$500),2),"")</f>
        <v>-0.31</v>
      </c>
      <c r="L18" s="153" t="n">
        <f aca="false">IFERROR(ROUND(CORREL('Returns (Calc)'!$N$3:$N$500,'Returns (Calc)'!$L$3:$L$500),2),"")</f>
        <v>0.98</v>
      </c>
      <c r="M18" s="153" t="n">
        <f aca="false">IFERROR(ROUND(CORREL('Returns (Calc)'!$N$3:$N$500,'Returns (Calc)'!$M$3:$M$500),2),"")</f>
        <v>0.36</v>
      </c>
      <c r="N18" s="153" t="n">
        <v>1</v>
      </c>
      <c r="O18" s="153" t="n">
        <f aca="false">IFERROR(ROUND(CORREL('Returns (Calc)'!$N$3:$N$500,'Returns (Calc)'!$O$3:$O$500),2),"")</f>
        <v>-0.42</v>
      </c>
      <c r="P18" s="153" t="n">
        <f aca="false">IFERROR(ROUND(CORREL('Returns (Calc)'!$N$3:$N$500,'Returns (Calc)'!$P$3:$P$500),2),"")</f>
        <v>0.22</v>
      </c>
      <c r="Q18" s="153" t="n">
        <f aca="false">IFERROR(ROUND(CORREL('Returns (Calc)'!$N$3:$N$500,'Returns (Calc)'!$Q$3:$Q$500),2),"")</f>
        <v>-0.92</v>
      </c>
      <c r="R18" s="153" t="n">
        <f aca="false">IFERROR(ROUND(CORREL('Returns (Calc)'!$N$3:$N$500,'Returns (Calc)'!$R$3:$R$500),2),"")</f>
        <v>0.02</v>
      </c>
      <c r="S18" s="153" t="n">
        <f aca="false">IFERROR(ROUND(CORREL('Returns (Calc)'!$N$3:$N$500,'Returns (Calc)'!$S$3:$S$500),2),"")</f>
        <v>0.04</v>
      </c>
      <c r="T18" s="153" t="n">
        <f aca="false">IFERROR(ROUND(CORREL('Returns (Calc)'!$N$3:$N$500,'Returns (Calc)'!$T$3:$T$500),2),"")</f>
        <v>-0.04</v>
      </c>
      <c r="U18" s="153" t="str">
        <f aca="false">IFERROR(ROUND(CORREL('Returns (Calc)'!$N$3:$N$500,'Returns (Calc)'!$U$3:$U$500),2),"")</f>
        <v/>
      </c>
      <c r="V18" s="153" t="n">
        <f aca="false">IFERROR(ROUND(CORREL('Returns (Calc)'!$N$3:$N$500,'Returns (Calc)'!$V$3:$V$500),2),"")</f>
        <v>-0.06</v>
      </c>
      <c r="AG18" s="154" t="n">
        <f aca="false">COUNTIF(B18:V18,"&gt;0.7")-1</f>
        <v>3</v>
      </c>
    </row>
    <row r="19" customFormat="false" ht="15" hidden="false" customHeight="true" outlineLevel="0" collapsed="false">
      <c r="A19" s="152" t="str">
        <f aca="false">'Returns (Calc)'!O2</f>
        <v>SPMO</v>
      </c>
      <c r="B19" s="153" t="n">
        <f aca="false">IFERROR(ROUND(CORREL('Returns (Calc)'!$O$3:$O$500,'Returns (Calc)'!$B$3:$B$500),2),"")</f>
        <v>0.1</v>
      </c>
      <c r="C19" s="153" t="n">
        <f aca="false">IFERROR(ROUND(CORREL('Returns (Calc)'!$O$3:$O$500,'Returns (Calc)'!$C$3:$C$500),2),"")</f>
        <v>0.61</v>
      </c>
      <c r="D19" s="153" t="n">
        <f aca="false">IFERROR(ROUND(CORREL('Returns (Calc)'!$O$3:$O$500,'Returns (Calc)'!$D$3:$D$500),2),"")</f>
        <v>0.58</v>
      </c>
      <c r="E19" s="153" t="n">
        <f aca="false">IFERROR(ROUND(CORREL('Returns (Calc)'!$O$3:$O$500,'Returns (Calc)'!$E$3:$E$500),2),"")</f>
        <v>0.66</v>
      </c>
      <c r="F19" s="153" t="n">
        <f aca="false">IFERROR(ROUND(CORREL('Returns (Calc)'!$O$3:$O$500,'Returns (Calc)'!$F$3:$F$500),2),"")</f>
        <v>-0.21</v>
      </c>
      <c r="G19" s="153" t="n">
        <f aca="false">IFERROR(ROUND(CORREL('Returns (Calc)'!$O$3:$O$500,'Returns (Calc)'!$G$3:$G$500),2),"")</f>
        <v>0.58</v>
      </c>
      <c r="H19" s="153" t="n">
        <f aca="false">IFERROR(ROUND(CORREL('Returns (Calc)'!$O$3:$O$500,'Returns (Calc)'!$H$3:$H$500),2),"")</f>
        <v>-0.41</v>
      </c>
      <c r="I19" s="153" t="n">
        <f aca="false">IFERROR(ROUND(CORREL('Returns (Calc)'!$O$3:$O$500,'Returns (Calc)'!$I$3:$I$500),2),"")</f>
        <v>0.48</v>
      </c>
      <c r="J19" s="153" t="n">
        <f aca="false">IFERROR(ROUND(CORREL('Returns (Calc)'!$O$3:$O$500,'Returns (Calc)'!$J$3:$J$500),2),"")</f>
        <v>0.73</v>
      </c>
      <c r="K19" s="153" t="n">
        <f aca="false">IFERROR(ROUND(CORREL('Returns (Calc)'!$O$3:$O$500,'Returns (Calc)'!$K$3:$K$500),2),"")</f>
        <v>0.77</v>
      </c>
      <c r="L19" s="153" t="n">
        <f aca="false">IFERROR(ROUND(CORREL('Returns (Calc)'!$O$3:$O$500,'Returns (Calc)'!$L$3:$L$500),2),"")</f>
        <v>-0.35</v>
      </c>
      <c r="M19" s="153" t="n">
        <f aca="false">IFERROR(ROUND(CORREL('Returns (Calc)'!$O$3:$O$500,'Returns (Calc)'!$M$3:$M$500),2),"")</f>
        <v>0.22</v>
      </c>
      <c r="N19" s="153" t="n">
        <f aca="false">IFERROR(ROUND(CORREL('Returns (Calc)'!$O$3:$O$500,'Returns (Calc)'!$N$3:$N$500),2),"")</f>
        <v>-0.42</v>
      </c>
      <c r="O19" s="153" t="n">
        <v>1</v>
      </c>
      <c r="P19" s="153" t="n">
        <f aca="false">IFERROR(ROUND(CORREL('Returns (Calc)'!$O$3:$O$500,'Returns (Calc)'!$P$3:$P$500),2),"")</f>
        <v>0.7</v>
      </c>
      <c r="Q19" s="153" t="n">
        <f aca="false">IFERROR(ROUND(CORREL('Returns (Calc)'!$O$3:$O$500,'Returns (Calc)'!$Q$3:$Q$500),2),"")</f>
        <v>0.52</v>
      </c>
      <c r="R19" s="153" t="n">
        <f aca="false">IFERROR(ROUND(CORREL('Returns (Calc)'!$O$3:$O$500,'Returns (Calc)'!$R$3:$R$500),2),"")</f>
        <v>0.05</v>
      </c>
      <c r="S19" s="153" t="n">
        <f aca="false">IFERROR(ROUND(CORREL('Returns (Calc)'!$O$3:$O$500,'Returns (Calc)'!$S$3:$S$500),2),"")</f>
        <v>-0.01</v>
      </c>
      <c r="T19" s="153" t="n">
        <f aca="false">IFERROR(ROUND(CORREL('Returns (Calc)'!$O$3:$O$500,'Returns (Calc)'!$T$3:$T$500),2),"")</f>
        <v>-0.01</v>
      </c>
      <c r="U19" s="153" t="str">
        <f aca="false">IFERROR(ROUND(CORREL('Returns (Calc)'!$O$3:$O$500,'Returns (Calc)'!$U$3:$U$500),2),"")</f>
        <v/>
      </c>
      <c r="V19" s="153" t="n">
        <f aca="false">IFERROR(ROUND(CORREL('Returns (Calc)'!$O$3:$O$500,'Returns (Calc)'!$V$3:$V$500),2),"")</f>
        <v>-0.08</v>
      </c>
      <c r="AG19" s="154" t="n">
        <f aca="false">COUNTIF(B19:V19,"&gt;0.7")-1</f>
        <v>2</v>
      </c>
    </row>
    <row r="20" customFormat="false" ht="15" hidden="false" customHeight="true" outlineLevel="0" collapsed="false">
      <c r="A20" s="152" t="str">
        <f aca="false">'Returns (Calc)'!P2</f>
        <v>TSM</v>
      </c>
      <c r="B20" s="153" t="n">
        <f aca="false">IFERROR(ROUND(CORREL('Returns (Calc)'!$P$3:$P$500,'Returns (Calc)'!$B$3:$B$500),2),"")</f>
        <v>0.15</v>
      </c>
      <c r="C20" s="153" t="n">
        <f aca="false">IFERROR(ROUND(CORREL('Returns (Calc)'!$P$3:$P$500,'Returns (Calc)'!$C$3:$C$500),2),"")</f>
        <v>0.55</v>
      </c>
      <c r="D20" s="153" t="n">
        <f aca="false">IFERROR(ROUND(CORREL('Returns (Calc)'!$P$3:$P$500,'Returns (Calc)'!$D$3:$D$500),2),"")</f>
        <v>0.63</v>
      </c>
      <c r="E20" s="153" t="n">
        <f aca="false">IFERROR(ROUND(CORREL('Returns (Calc)'!$P$3:$P$500,'Returns (Calc)'!$E$3:$E$500),2),"")</f>
        <v>0.63</v>
      </c>
      <c r="F20" s="153" t="n">
        <f aca="false">IFERROR(ROUND(CORREL('Returns (Calc)'!$P$3:$P$500,'Returns (Calc)'!$F$3:$F$500),2),"")</f>
        <v>0.33</v>
      </c>
      <c r="G20" s="153" t="n">
        <f aca="false">IFERROR(ROUND(CORREL('Returns (Calc)'!$P$3:$P$500,'Returns (Calc)'!$G$3:$G$500),2),"")</f>
        <v>0.38</v>
      </c>
      <c r="H20" s="153" t="n">
        <f aca="false">IFERROR(ROUND(CORREL('Returns (Calc)'!$P$3:$P$500,'Returns (Calc)'!$H$3:$H$500),2),"")</f>
        <v>0.16</v>
      </c>
      <c r="I20" s="153" t="n">
        <f aca="false">IFERROR(ROUND(CORREL('Returns (Calc)'!$P$3:$P$500,'Returns (Calc)'!$I$3:$I$500),2),"")</f>
        <v>0.62</v>
      </c>
      <c r="J20" s="153" t="n">
        <f aca="false">IFERROR(ROUND(CORREL('Returns (Calc)'!$P$3:$P$500,'Returns (Calc)'!$J$3:$J$500),2),"")</f>
        <v>0.56</v>
      </c>
      <c r="K20" s="153" t="n">
        <f aca="false">IFERROR(ROUND(CORREL('Returns (Calc)'!$P$3:$P$500,'Returns (Calc)'!$K$3:$K$500),2),"")</f>
        <v>0.64</v>
      </c>
      <c r="L20" s="153" t="n">
        <f aca="false">IFERROR(ROUND(CORREL('Returns (Calc)'!$P$3:$P$500,'Returns (Calc)'!$L$3:$L$500),2),"")</f>
        <v>0.21</v>
      </c>
      <c r="M20" s="153" t="n">
        <f aca="false">IFERROR(ROUND(CORREL('Returns (Calc)'!$P$3:$P$500,'Returns (Calc)'!$M$3:$M$500),2),"")</f>
        <v>0.38</v>
      </c>
      <c r="N20" s="153" t="n">
        <f aca="false">IFERROR(ROUND(CORREL('Returns (Calc)'!$P$3:$P$500,'Returns (Calc)'!$N$3:$N$500),2),"")</f>
        <v>0.22</v>
      </c>
      <c r="O20" s="153" t="n">
        <f aca="false">IFERROR(ROUND(CORREL('Returns (Calc)'!$P$3:$P$500,'Returns (Calc)'!$O$3:$O$500),2),"")</f>
        <v>0.7</v>
      </c>
      <c r="P20" s="153" t="n">
        <v>1</v>
      </c>
      <c r="Q20" s="153" t="n">
        <f aca="false">IFERROR(ROUND(CORREL('Returns (Calc)'!$P$3:$P$500,'Returns (Calc)'!$Q$3:$Q$500),2),"")</f>
        <v>0.14</v>
      </c>
      <c r="R20" s="153" t="n">
        <f aca="false">IFERROR(ROUND(CORREL('Returns (Calc)'!$P$3:$P$500,'Returns (Calc)'!$R$3:$R$500),2),"")</f>
        <v>0.03</v>
      </c>
      <c r="S20" s="153" t="n">
        <f aca="false">IFERROR(ROUND(CORREL('Returns (Calc)'!$P$3:$P$500,'Returns (Calc)'!$S$3:$S$500),2),"")</f>
        <v>0.01</v>
      </c>
      <c r="T20" s="153" t="n">
        <f aca="false">IFERROR(ROUND(CORREL('Returns (Calc)'!$P$3:$P$500,'Returns (Calc)'!$T$3:$T$500),2),"")</f>
        <v>0.02</v>
      </c>
      <c r="U20" s="153" t="str">
        <f aca="false">IFERROR(ROUND(CORREL('Returns (Calc)'!$P$3:$P$500,'Returns (Calc)'!$U$3:$U$500),2),"")</f>
        <v/>
      </c>
      <c r="V20" s="153" t="n">
        <f aca="false">IFERROR(ROUND(CORREL('Returns (Calc)'!$P$3:$P$500,'Returns (Calc)'!$V$3:$V$500),2),"")</f>
        <v>0.05</v>
      </c>
      <c r="AG20" s="154" t="n">
        <f aca="false">COUNTIF(B20:V20,"&gt;0.7")-1</f>
        <v>0</v>
      </c>
    </row>
    <row r="21" customFormat="false" ht="15" hidden="false" customHeight="true" outlineLevel="0" collapsed="false">
      <c r="A21" s="152" t="str">
        <f aca="false">'Returns (Calc)'!Q2</f>
        <v>V</v>
      </c>
      <c r="B21" s="153" t="n">
        <f aca="false">IFERROR(ROUND(CORREL('Returns (Calc)'!$Q$3:$Q$500,'Returns (Calc)'!$B$3:$B$500),2),"")</f>
        <v>-0.08</v>
      </c>
      <c r="C21" s="153" t="n">
        <f aca="false">IFERROR(ROUND(CORREL('Returns (Calc)'!$Q$3:$Q$500,'Returns (Calc)'!$C$3:$C$500),2),"")</f>
        <v>0.17</v>
      </c>
      <c r="D21" s="153" t="n">
        <f aca="false">IFERROR(ROUND(CORREL('Returns (Calc)'!$Q$3:$Q$500,'Returns (Calc)'!$D$3:$D$500),2),"")</f>
        <v>0.07</v>
      </c>
      <c r="E21" s="153" t="n">
        <f aca="false">IFERROR(ROUND(CORREL('Returns (Calc)'!$Q$3:$Q$500,'Returns (Calc)'!$E$3:$E$500),2),"")</f>
        <v>0.06</v>
      </c>
      <c r="F21" s="153" t="n">
        <f aca="false">IFERROR(ROUND(CORREL('Returns (Calc)'!$Q$3:$Q$500,'Returns (Calc)'!$F$3:$F$500),2),"")</f>
        <v>-0.8</v>
      </c>
      <c r="G21" s="153" t="n">
        <f aca="false">IFERROR(ROUND(CORREL('Returns (Calc)'!$Q$3:$Q$500,'Returns (Calc)'!$G$3:$G$500),2),"")</f>
        <v>0.4</v>
      </c>
      <c r="H21" s="153" t="n">
        <f aca="false">IFERROR(ROUND(CORREL('Returns (Calc)'!$Q$3:$Q$500,'Returns (Calc)'!$H$3:$H$500),2),"")</f>
        <v>-0.92</v>
      </c>
      <c r="I21" s="153" t="n">
        <f aca="false">IFERROR(ROUND(CORREL('Returns (Calc)'!$Q$3:$Q$500,'Returns (Calc)'!$I$3:$I$500),2),"")</f>
        <v>-0.23</v>
      </c>
      <c r="J21" s="153" t="n">
        <f aca="false">IFERROR(ROUND(CORREL('Returns (Calc)'!$Q$3:$Q$500,'Returns (Calc)'!$J$3:$J$500),2),"")</f>
        <v>0.59</v>
      </c>
      <c r="K21" s="153" t="n">
        <f aca="false">IFERROR(ROUND(CORREL('Returns (Calc)'!$Q$3:$Q$500,'Returns (Calc)'!$K$3:$K$500),2),"")</f>
        <v>0.36</v>
      </c>
      <c r="L21" s="153" t="n">
        <f aca="false">IFERROR(ROUND(CORREL('Returns (Calc)'!$Q$3:$Q$500,'Returns (Calc)'!$L$3:$L$500),2),"")</f>
        <v>-0.88</v>
      </c>
      <c r="M21" s="153" t="n">
        <f aca="false">IFERROR(ROUND(CORREL('Returns (Calc)'!$Q$3:$Q$500,'Returns (Calc)'!$M$3:$M$500),2),"")</f>
        <v>-0.25</v>
      </c>
      <c r="N21" s="153" t="n">
        <f aca="false">IFERROR(ROUND(CORREL('Returns (Calc)'!$Q$3:$Q$500,'Returns (Calc)'!$N$3:$N$500),2),"")</f>
        <v>-0.92</v>
      </c>
      <c r="O21" s="153" t="n">
        <f aca="false">IFERROR(ROUND(CORREL('Returns (Calc)'!$Q$3:$Q$500,'Returns (Calc)'!$O$3:$O$500),2),"")</f>
        <v>0.52</v>
      </c>
      <c r="P21" s="153" t="n">
        <f aca="false">IFERROR(ROUND(CORREL('Returns (Calc)'!$Q$3:$Q$500,'Returns (Calc)'!$P$3:$P$500),2),"")</f>
        <v>0.14</v>
      </c>
      <c r="Q21" s="153" t="n">
        <v>1</v>
      </c>
      <c r="R21" s="153" t="n">
        <f aca="false">IFERROR(ROUND(CORREL('Returns (Calc)'!$Q$3:$Q$500,'Returns (Calc)'!$R$3:$R$500),2),"")</f>
        <v>-0.02</v>
      </c>
      <c r="S21" s="153" t="n">
        <f aca="false">IFERROR(ROUND(CORREL('Returns (Calc)'!$Q$3:$Q$500,'Returns (Calc)'!$S$3:$S$500),2),"")</f>
        <v>-0.06</v>
      </c>
      <c r="T21" s="153" t="n">
        <f aca="false">IFERROR(ROUND(CORREL('Returns (Calc)'!$Q$3:$Q$500,'Returns (Calc)'!$T$3:$T$500),2),"")</f>
        <v>0.02</v>
      </c>
      <c r="U21" s="153" t="str">
        <f aca="false">IFERROR(ROUND(CORREL('Returns (Calc)'!$Q$3:$Q$500,'Returns (Calc)'!$U$3:$U$500),2),"")</f>
        <v/>
      </c>
      <c r="V21" s="153" t="n">
        <f aca="false">IFERROR(ROUND(CORREL('Returns (Calc)'!$Q$3:$Q$500,'Returns (Calc)'!$V$3:$V$500),2),"")</f>
        <v>-0.02</v>
      </c>
      <c r="AG21" s="154" t="n">
        <f aca="false">COUNTIF(B21:V21,"&gt;0.7")-1</f>
        <v>0</v>
      </c>
    </row>
    <row r="22" customFormat="false" ht="15" hidden="false" customHeight="true" outlineLevel="0" collapsed="false">
      <c r="A22" s="152" t="str">
        <f aca="false">'Returns (Calc)'!R2</f>
        <v>JEPQ</v>
      </c>
      <c r="B22" s="153" t="n">
        <f aca="false">IFERROR(ROUND(CORREL('Returns (Calc)'!$R$3:$R$500,'Returns (Calc)'!$B$3:$B$500),2),"")</f>
        <v>-0.06</v>
      </c>
      <c r="C22" s="153" t="n">
        <f aca="false">IFERROR(ROUND(CORREL('Returns (Calc)'!$R$3:$R$500,'Returns (Calc)'!$C$3:$C$500),2),"")</f>
        <v>0.01</v>
      </c>
      <c r="D22" s="153" t="n">
        <f aca="false">IFERROR(ROUND(CORREL('Returns (Calc)'!$R$3:$R$500,'Returns (Calc)'!$D$3:$D$500),2),"")</f>
        <v>0.05</v>
      </c>
      <c r="E22" s="153" t="n">
        <f aca="false">IFERROR(ROUND(CORREL('Returns (Calc)'!$R$3:$R$500,'Returns (Calc)'!$E$3:$E$500),2),"")</f>
        <v>0.04</v>
      </c>
      <c r="F22" s="153" t="n">
        <f aca="false">IFERROR(ROUND(CORREL('Returns (Calc)'!$R$3:$R$500,'Returns (Calc)'!$F$3:$F$500),2),"")</f>
        <v>0.05</v>
      </c>
      <c r="G22" s="153" t="n">
        <f aca="false">IFERROR(ROUND(CORREL('Returns (Calc)'!$R$3:$R$500,'Returns (Calc)'!$G$3:$G$500),2),"")</f>
        <v>0.07</v>
      </c>
      <c r="H22" s="153" t="n">
        <f aca="false">IFERROR(ROUND(CORREL('Returns (Calc)'!$R$3:$R$500,'Returns (Calc)'!$H$3:$H$500),2),"")</f>
        <v>0.03</v>
      </c>
      <c r="I22" s="153" t="n">
        <f aca="false">IFERROR(ROUND(CORREL('Returns (Calc)'!$R$3:$R$500,'Returns (Calc)'!$I$3:$I$500),2),"")</f>
        <v>0.08</v>
      </c>
      <c r="J22" s="153" t="n">
        <f aca="false">IFERROR(ROUND(CORREL('Returns (Calc)'!$R$3:$R$500,'Returns (Calc)'!$J$3:$J$500),2),"")</f>
        <v>0.05</v>
      </c>
      <c r="K22" s="153" t="n">
        <f aca="false">IFERROR(ROUND(CORREL('Returns (Calc)'!$R$3:$R$500,'Returns (Calc)'!$K$3:$K$500),2),"")</f>
        <v>0.02</v>
      </c>
      <c r="L22" s="153" t="n">
        <f aca="false">IFERROR(ROUND(CORREL('Returns (Calc)'!$R$3:$R$500,'Returns (Calc)'!$L$3:$L$500),2),"")</f>
        <v>0.05</v>
      </c>
      <c r="M22" s="153" t="n">
        <f aca="false">IFERROR(ROUND(CORREL('Returns (Calc)'!$R$3:$R$500,'Returns (Calc)'!$M$3:$M$500),2),"")</f>
        <v>-0.03</v>
      </c>
      <c r="N22" s="153" t="n">
        <f aca="false">IFERROR(ROUND(CORREL('Returns (Calc)'!$R$3:$R$500,'Returns (Calc)'!$N$3:$N$500),2),"")</f>
        <v>0.02</v>
      </c>
      <c r="O22" s="153" t="n">
        <f aca="false">IFERROR(ROUND(CORREL('Returns (Calc)'!$R$3:$R$500,'Returns (Calc)'!$O$3:$O$500),2),"")</f>
        <v>0.05</v>
      </c>
      <c r="P22" s="153" t="n">
        <f aca="false">IFERROR(ROUND(CORREL('Returns (Calc)'!$R$3:$R$500,'Returns (Calc)'!$P$3:$P$500),2),"")</f>
        <v>0.03</v>
      </c>
      <c r="Q22" s="153" t="n">
        <f aca="false">IFERROR(ROUND(CORREL('Returns (Calc)'!$R$3:$R$500,'Returns (Calc)'!$Q$3:$Q$500),2),"")</f>
        <v>-0.02</v>
      </c>
      <c r="R22" s="153" t="n">
        <v>1</v>
      </c>
      <c r="S22" s="153" t="n">
        <f aca="false">IFERROR(ROUND(CORREL('Returns (Calc)'!$R$3:$R$500,'Returns (Calc)'!$S$3:$S$500),2),"")</f>
        <v>0.88</v>
      </c>
      <c r="T22" s="153" t="n">
        <f aca="false">IFERROR(ROUND(CORREL('Returns (Calc)'!$R$3:$R$500,'Returns (Calc)'!$T$3:$T$500),2),"")</f>
        <v>0.57</v>
      </c>
      <c r="U22" s="153" t="str">
        <f aca="false">IFERROR(ROUND(CORREL('Returns (Calc)'!$R$3:$R$500,'Returns (Calc)'!$U$3:$U$500),2),"")</f>
        <v/>
      </c>
      <c r="V22" s="153" t="n">
        <f aca="false">IFERROR(ROUND(CORREL('Returns (Calc)'!$R$3:$R$500,'Returns (Calc)'!$V$3:$V$500),2),"")</f>
        <v>0.44</v>
      </c>
      <c r="AG22" s="154" t="n">
        <f aca="false">COUNTIF(B22:V22,"&gt;0.7")-1</f>
        <v>1</v>
      </c>
    </row>
    <row r="23" customFormat="false" ht="15" hidden="false" customHeight="true" outlineLevel="0" collapsed="false">
      <c r="A23" s="152" t="str">
        <f aca="false">'Returns (Calc)'!S2</f>
        <v>SPMO</v>
      </c>
      <c r="B23" s="153" t="n">
        <f aca="false">IFERROR(ROUND(CORREL('Returns (Calc)'!$S$3:$S$500,'Returns (Calc)'!$B$3:$B$500),2),"")</f>
        <v>-0.14</v>
      </c>
      <c r="C23" s="153" t="n">
        <f aca="false">IFERROR(ROUND(CORREL('Returns (Calc)'!$S$3:$S$500,'Returns (Calc)'!$C$3:$C$500),2),"")</f>
        <v>-0.04</v>
      </c>
      <c r="D23" s="153" t="n">
        <f aca="false">IFERROR(ROUND(CORREL('Returns (Calc)'!$S$3:$S$500,'Returns (Calc)'!$D$3:$D$500),2),"")</f>
        <v>0.02</v>
      </c>
      <c r="E23" s="153" t="n">
        <f aca="false">IFERROR(ROUND(CORREL('Returns (Calc)'!$S$3:$S$500,'Returns (Calc)'!$E$3:$E$500),2),"")</f>
        <v>0.03</v>
      </c>
      <c r="F23" s="153" t="n">
        <f aca="false">IFERROR(ROUND(CORREL('Returns (Calc)'!$S$3:$S$500,'Returns (Calc)'!$F$3:$F$500),2),"")</f>
        <v>0.07</v>
      </c>
      <c r="G23" s="153" t="n">
        <f aca="false">IFERROR(ROUND(CORREL('Returns (Calc)'!$S$3:$S$500,'Returns (Calc)'!$G$3:$G$500),2),"")</f>
        <v>0.06</v>
      </c>
      <c r="H23" s="153" t="n">
        <f aca="false">IFERROR(ROUND(CORREL('Returns (Calc)'!$S$3:$S$500,'Returns (Calc)'!$H$3:$H$500),2),"")</f>
        <v>0.04</v>
      </c>
      <c r="I23" s="153" t="n">
        <f aca="false">IFERROR(ROUND(CORREL('Returns (Calc)'!$S$3:$S$500,'Returns (Calc)'!$I$3:$I$500),2),"")</f>
        <v>0.06</v>
      </c>
      <c r="J23" s="153" t="n">
        <f aca="false">IFERROR(ROUND(CORREL('Returns (Calc)'!$S$3:$S$500,'Returns (Calc)'!$J$3:$J$500),2),"")</f>
        <v>0.04</v>
      </c>
      <c r="K23" s="153" t="n">
        <f aca="false">IFERROR(ROUND(CORREL('Returns (Calc)'!$S$3:$S$500,'Returns (Calc)'!$K$3:$K$500),2),"")</f>
        <v>-0.01</v>
      </c>
      <c r="L23" s="153" t="n">
        <f aca="false">IFERROR(ROUND(CORREL('Returns (Calc)'!$S$3:$S$500,'Returns (Calc)'!$L$3:$L$500),2),"")</f>
        <v>0.06</v>
      </c>
      <c r="M23" s="153" t="n">
        <f aca="false">IFERROR(ROUND(CORREL('Returns (Calc)'!$S$3:$S$500,'Returns (Calc)'!$M$3:$M$500),2),"")</f>
        <v>-0.04</v>
      </c>
      <c r="N23" s="153" t="n">
        <f aca="false">IFERROR(ROUND(CORREL('Returns (Calc)'!$S$3:$S$500,'Returns (Calc)'!$N$3:$N$500),2),"")</f>
        <v>0.04</v>
      </c>
      <c r="O23" s="153" t="n">
        <f aca="false">IFERROR(ROUND(CORREL('Returns (Calc)'!$S$3:$S$500,'Returns (Calc)'!$O$3:$O$500),2),"")</f>
        <v>-0.01</v>
      </c>
      <c r="P23" s="153" t="n">
        <f aca="false">IFERROR(ROUND(CORREL('Returns (Calc)'!$S$3:$S$500,'Returns (Calc)'!$P$3:$P$500),2),"")</f>
        <v>0.01</v>
      </c>
      <c r="Q23" s="153" t="n">
        <f aca="false">IFERROR(ROUND(CORREL('Returns (Calc)'!$S$3:$S$500,'Returns (Calc)'!$Q$3:$Q$500),2),"")</f>
        <v>-0.06</v>
      </c>
      <c r="R23" s="153" t="n">
        <f aca="false">IFERROR(ROUND(CORREL('Returns (Calc)'!$S$3:$S$500,'Returns (Calc)'!$R$3:$R$500),2),"")</f>
        <v>0.88</v>
      </c>
      <c r="S23" s="153" t="n">
        <v>1</v>
      </c>
      <c r="T23" s="153" t="n">
        <f aca="false">IFERROR(ROUND(CORREL('Returns (Calc)'!$S$3:$S$500,'Returns (Calc)'!$T$3:$T$500),2),"")</f>
        <v>0.52</v>
      </c>
      <c r="U23" s="153" t="str">
        <f aca="false">IFERROR(ROUND(CORREL('Returns (Calc)'!$S$3:$S$500,'Returns (Calc)'!$U$3:$U$500),2),"")</f>
        <v/>
      </c>
      <c r="V23" s="153" t="n">
        <f aca="false">IFERROR(ROUND(CORREL('Returns (Calc)'!$S$3:$S$500,'Returns (Calc)'!$V$3:$V$500),2),"")</f>
        <v>0.42</v>
      </c>
      <c r="AG23" s="154" t="n">
        <f aca="false">COUNTIF(B23:V23,"&gt;0.7")-1</f>
        <v>1</v>
      </c>
    </row>
    <row r="24" customFormat="false" ht="15" hidden="false" customHeight="true" outlineLevel="0" collapsed="false">
      <c r="A24" s="152" t="str">
        <f aca="false">'Returns (Calc)'!T2</f>
        <v>VFLO</v>
      </c>
      <c r="B24" s="153" t="n">
        <f aca="false">IFERROR(ROUND(CORREL('Returns (Calc)'!$T$3:$T$500,'Returns (Calc)'!$B$3:$B$500),2),"")</f>
        <v>-0.1</v>
      </c>
      <c r="C24" s="153" t="n">
        <f aca="false">IFERROR(ROUND(CORREL('Returns (Calc)'!$T$3:$T$500,'Returns (Calc)'!$C$3:$C$500),2),"")</f>
        <v>0</v>
      </c>
      <c r="D24" s="153" t="n">
        <f aca="false">IFERROR(ROUND(CORREL('Returns (Calc)'!$T$3:$T$500,'Returns (Calc)'!$D$3:$D$500),2),"")</f>
        <v>0.09</v>
      </c>
      <c r="E24" s="153" t="n">
        <f aca="false">IFERROR(ROUND(CORREL('Returns (Calc)'!$T$3:$T$500,'Returns (Calc)'!$E$3:$E$500),2),"")</f>
        <v>0.01</v>
      </c>
      <c r="F24" s="153" t="n">
        <f aca="false">IFERROR(ROUND(CORREL('Returns (Calc)'!$T$3:$T$500,'Returns (Calc)'!$F$3:$F$500),2),"")</f>
        <v>-0.04</v>
      </c>
      <c r="G24" s="153" t="n">
        <f aca="false">IFERROR(ROUND(CORREL('Returns (Calc)'!$T$3:$T$500,'Returns (Calc)'!$G$3:$G$500),2),"")</f>
        <v>0.12</v>
      </c>
      <c r="H24" s="153" t="n">
        <f aca="false">IFERROR(ROUND(CORREL('Returns (Calc)'!$T$3:$T$500,'Returns (Calc)'!$H$3:$H$500),2),"")</f>
        <v>-0.04</v>
      </c>
      <c r="I24" s="153" t="n">
        <f aca="false">IFERROR(ROUND(CORREL('Returns (Calc)'!$T$3:$T$500,'Returns (Calc)'!$I$3:$I$500),2),"")</f>
        <v>0.04</v>
      </c>
      <c r="J24" s="153" t="n">
        <f aca="false">IFERROR(ROUND(CORREL('Returns (Calc)'!$T$3:$T$500,'Returns (Calc)'!$J$3:$J$500),2),"")</f>
        <v>0.07</v>
      </c>
      <c r="K24" s="153" t="n">
        <f aca="false">IFERROR(ROUND(CORREL('Returns (Calc)'!$T$3:$T$500,'Returns (Calc)'!$K$3:$K$500),2),"")</f>
        <v>0.01</v>
      </c>
      <c r="L24" s="153" t="n">
        <f aca="false">IFERROR(ROUND(CORREL('Returns (Calc)'!$T$3:$T$500,'Returns (Calc)'!$L$3:$L$500),2),"")</f>
        <v>-0.05</v>
      </c>
      <c r="M24" s="153" t="n">
        <f aca="false">IFERROR(ROUND(CORREL('Returns (Calc)'!$T$3:$T$500,'Returns (Calc)'!$M$3:$M$500),2),"")</f>
        <v>-0.04</v>
      </c>
      <c r="N24" s="153" t="n">
        <f aca="false">IFERROR(ROUND(CORREL('Returns (Calc)'!$T$3:$T$500,'Returns (Calc)'!$N$3:$N$500),2),"")</f>
        <v>-0.04</v>
      </c>
      <c r="O24" s="153" t="n">
        <f aca="false">IFERROR(ROUND(CORREL('Returns (Calc)'!$T$3:$T$500,'Returns (Calc)'!$O$3:$O$500),2),"")</f>
        <v>-0.01</v>
      </c>
      <c r="P24" s="153" t="n">
        <f aca="false">IFERROR(ROUND(CORREL('Returns (Calc)'!$T$3:$T$500,'Returns (Calc)'!$P$3:$P$500),2),"")</f>
        <v>0.02</v>
      </c>
      <c r="Q24" s="153" t="n">
        <f aca="false">IFERROR(ROUND(CORREL('Returns (Calc)'!$T$3:$T$500,'Returns (Calc)'!$Q$3:$Q$500),2),"")</f>
        <v>0.02</v>
      </c>
      <c r="R24" s="153" t="n">
        <f aca="false">IFERROR(ROUND(CORREL('Returns (Calc)'!$T$3:$T$500,'Returns (Calc)'!$R$3:$R$500),2),"")</f>
        <v>0.57</v>
      </c>
      <c r="S24" s="153" t="n">
        <f aca="false">IFERROR(ROUND(CORREL('Returns (Calc)'!$T$3:$T$500,'Returns (Calc)'!$S$3:$S$500),2),"")</f>
        <v>0.52</v>
      </c>
      <c r="T24" s="153" t="n">
        <v>1</v>
      </c>
      <c r="U24" s="153" t="str">
        <f aca="false">IFERROR(ROUND(CORREL('Returns (Calc)'!$T$3:$T$500,'Returns (Calc)'!$U$3:$U$500),2),"")</f>
        <v/>
      </c>
      <c r="V24" s="153" t="n">
        <f aca="false">IFERROR(ROUND(CORREL('Returns (Calc)'!$T$3:$T$500,'Returns (Calc)'!$V$3:$V$500),2),"")</f>
        <v>0.46</v>
      </c>
      <c r="AG24" s="154" t="n">
        <f aca="false">COUNTIF(B24:V24,"&gt;0.7")-1</f>
        <v>0</v>
      </c>
    </row>
    <row r="25" customFormat="false" ht="15" hidden="false" customHeight="true" outlineLevel="0" collapsed="false">
      <c r="A25" s="152" t="n">
        <f aca="false">'Returns (Calc)'!U2</f>
        <v>0</v>
      </c>
      <c r="B25" s="153" t="str">
        <f aca="false">IFERROR(ROUND(CORREL('Returns (Calc)'!$U$3:$U$500,'Returns (Calc)'!$B$3:$B$500),2),"")</f>
        <v/>
      </c>
      <c r="C25" s="153" t="str">
        <f aca="false">IFERROR(ROUND(CORREL('Returns (Calc)'!$U$3:$U$500,'Returns (Calc)'!$C$3:$C$500),2),"")</f>
        <v/>
      </c>
      <c r="D25" s="153" t="str">
        <f aca="false">IFERROR(ROUND(CORREL('Returns (Calc)'!$U$3:$U$500,'Returns (Calc)'!$D$3:$D$500),2),"")</f>
        <v/>
      </c>
      <c r="E25" s="153" t="str">
        <f aca="false">IFERROR(ROUND(CORREL('Returns (Calc)'!$U$3:$U$500,'Returns (Calc)'!$E$3:$E$500),2),"")</f>
        <v/>
      </c>
      <c r="F25" s="153" t="str">
        <f aca="false">IFERROR(ROUND(CORREL('Returns (Calc)'!$U$3:$U$500,'Returns (Calc)'!$F$3:$F$500),2),"")</f>
        <v/>
      </c>
      <c r="G25" s="153" t="str">
        <f aca="false">IFERROR(ROUND(CORREL('Returns (Calc)'!$U$3:$U$500,'Returns (Calc)'!$G$3:$G$500),2),"")</f>
        <v/>
      </c>
      <c r="H25" s="153" t="str">
        <f aca="false">IFERROR(ROUND(CORREL('Returns (Calc)'!$U$3:$U$500,'Returns (Calc)'!$H$3:$H$500),2),"")</f>
        <v/>
      </c>
      <c r="I25" s="153" t="str">
        <f aca="false">IFERROR(ROUND(CORREL('Returns (Calc)'!$U$3:$U$500,'Returns (Calc)'!$I$3:$I$500),2),"")</f>
        <v/>
      </c>
      <c r="J25" s="153" t="str">
        <f aca="false">IFERROR(ROUND(CORREL('Returns (Calc)'!$U$3:$U$500,'Returns (Calc)'!$J$3:$J$500),2),"")</f>
        <v/>
      </c>
      <c r="K25" s="153" t="str">
        <f aca="false">IFERROR(ROUND(CORREL('Returns (Calc)'!$U$3:$U$500,'Returns (Calc)'!$K$3:$K$500),2),"")</f>
        <v/>
      </c>
      <c r="L25" s="153" t="str">
        <f aca="false">IFERROR(ROUND(CORREL('Returns (Calc)'!$U$3:$U$500,'Returns (Calc)'!$L$3:$L$500),2),"")</f>
        <v/>
      </c>
      <c r="M25" s="153" t="str">
        <f aca="false">IFERROR(ROUND(CORREL('Returns (Calc)'!$U$3:$U$500,'Returns (Calc)'!$M$3:$M$500),2),"")</f>
        <v/>
      </c>
      <c r="N25" s="153" t="str">
        <f aca="false">IFERROR(ROUND(CORREL('Returns (Calc)'!$U$3:$U$500,'Returns (Calc)'!$N$3:$N$500),2),"")</f>
        <v/>
      </c>
      <c r="O25" s="153" t="str">
        <f aca="false">IFERROR(ROUND(CORREL('Returns (Calc)'!$U$3:$U$500,'Returns (Calc)'!$O$3:$O$500),2),"")</f>
        <v/>
      </c>
      <c r="P25" s="153" t="str">
        <f aca="false">IFERROR(ROUND(CORREL('Returns (Calc)'!$U$3:$U$500,'Returns (Calc)'!$P$3:$P$500),2),"")</f>
        <v/>
      </c>
      <c r="Q25" s="153" t="str">
        <f aca="false">IFERROR(ROUND(CORREL('Returns (Calc)'!$U$3:$U$500,'Returns (Calc)'!$Q$3:$Q$500),2),"")</f>
        <v/>
      </c>
      <c r="R25" s="153" t="str">
        <f aca="false">IFERROR(ROUND(CORREL('Returns (Calc)'!$U$3:$U$500,'Returns (Calc)'!$R$3:$R$500),2),"")</f>
        <v/>
      </c>
      <c r="S25" s="153" t="str">
        <f aca="false">IFERROR(ROUND(CORREL('Returns (Calc)'!$U$3:$U$500,'Returns (Calc)'!$S$3:$S$500),2),"")</f>
        <v/>
      </c>
      <c r="T25" s="153" t="str">
        <f aca="false">IFERROR(ROUND(CORREL('Returns (Calc)'!$U$3:$U$500,'Returns (Calc)'!$T$3:$T$500),2),"")</f>
        <v/>
      </c>
      <c r="U25" s="153" t="n">
        <v>1</v>
      </c>
      <c r="V25" s="153" t="str">
        <f aca="false">IFERROR(ROUND(CORREL('Returns (Calc)'!$U$3:$U$500,'Returns (Calc)'!$V$3:$V$500),2),"")</f>
        <v/>
      </c>
      <c r="AG25" s="154" t="n">
        <f aca="false">COUNTIF(B25:V25,"&gt;0.7")-1</f>
        <v>0</v>
      </c>
    </row>
    <row r="26" customFormat="false" ht="15" hidden="false" customHeight="true" outlineLevel="0" collapsed="false">
      <c r="A26" s="152" t="str">
        <f aca="false">'Returns (Calc)'!V2</f>
        <v>V</v>
      </c>
      <c r="B26" s="153" t="n">
        <f aca="false">IFERROR(ROUND(CORREL('Returns (Calc)'!$V$3:$V$500,'Returns (Calc)'!$B$3:$B$500),2),"")</f>
        <v>-0.16</v>
      </c>
      <c r="C26" s="153" t="n">
        <f aca="false">IFERROR(ROUND(CORREL('Returns (Calc)'!$V$3:$V$500,'Returns (Calc)'!$C$3:$C$500),2),"")</f>
        <v>-0.01</v>
      </c>
      <c r="D26" s="153" t="n">
        <f aca="false">IFERROR(ROUND(CORREL('Returns (Calc)'!$V$3:$V$500,'Returns (Calc)'!$D$3:$D$500),2),"")</f>
        <v>0.02</v>
      </c>
      <c r="E26" s="153" t="n">
        <f aca="false">IFERROR(ROUND(CORREL('Returns (Calc)'!$V$3:$V$500,'Returns (Calc)'!$E$3:$E$500),2),"")</f>
        <v>-0.07</v>
      </c>
      <c r="F26" s="153" t="n">
        <f aca="false">IFERROR(ROUND(CORREL('Returns (Calc)'!$V$3:$V$500,'Returns (Calc)'!$F$3:$F$500),2),"")</f>
        <v>-0.07</v>
      </c>
      <c r="G26" s="153" t="n">
        <f aca="false">IFERROR(ROUND(CORREL('Returns (Calc)'!$V$3:$V$500,'Returns (Calc)'!$G$3:$G$500),2),"")</f>
        <v>0.04</v>
      </c>
      <c r="H26" s="153" t="n">
        <f aca="false">IFERROR(ROUND(CORREL('Returns (Calc)'!$V$3:$V$500,'Returns (Calc)'!$H$3:$H$500),2),"")</f>
        <v>-0.06</v>
      </c>
      <c r="I26" s="153" t="n">
        <f aca="false">IFERROR(ROUND(CORREL('Returns (Calc)'!$V$3:$V$500,'Returns (Calc)'!$I$3:$I$500),2),"")</f>
        <v>-0.04</v>
      </c>
      <c r="J26" s="153" t="n">
        <f aca="false">IFERROR(ROUND(CORREL('Returns (Calc)'!$V$3:$V$500,'Returns (Calc)'!$J$3:$J$500),2),"")</f>
        <v>0.05</v>
      </c>
      <c r="K26" s="153" t="n">
        <f aca="false">IFERROR(ROUND(CORREL('Returns (Calc)'!$V$3:$V$500,'Returns (Calc)'!$K$3:$K$500),2),"")</f>
        <v>-0.04</v>
      </c>
      <c r="L26" s="153" t="n">
        <f aca="false">IFERROR(ROUND(CORREL('Returns (Calc)'!$V$3:$V$500,'Returns (Calc)'!$L$3:$L$500),2),"")</f>
        <v>-0.07</v>
      </c>
      <c r="M26" s="153" t="n">
        <f aca="false">IFERROR(ROUND(CORREL('Returns (Calc)'!$V$3:$V$500,'Returns (Calc)'!$M$3:$M$500),2),"")</f>
        <v>-0.16</v>
      </c>
      <c r="N26" s="153" t="n">
        <f aca="false">IFERROR(ROUND(CORREL('Returns (Calc)'!$V$3:$V$500,'Returns (Calc)'!$N$3:$N$500),2),"")</f>
        <v>-0.06</v>
      </c>
      <c r="O26" s="153" t="n">
        <f aca="false">IFERROR(ROUND(CORREL('Returns (Calc)'!$V$3:$V$500,'Returns (Calc)'!$O$3:$O$500),2),"")</f>
        <v>-0.08</v>
      </c>
      <c r="P26" s="153" t="n">
        <f aca="false">IFERROR(ROUND(CORREL('Returns (Calc)'!$V$3:$V$500,'Returns (Calc)'!$P$3:$P$500),2),"")</f>
        <v>0.05</v>
      </c>
      <c r="Q26" s="153" t="n">
        <f aca="false">IFERROR(ROUND(CORREL('Returns (Calc)'!$V$3:$V$500,'Returns (Calc)'!$Q$3:$Q$500),2),"")</f>
        <v>-0.02</v>
      </c>
      <c r="R26" s="153" t="n">
        <f aca="false">IFERROR(ROUND(CORREL('Returns (Calc)'!$V$3:$V$500,'Returns (Calc)'!$R$3:$R$500),2),"")</f>
        <v>0.44</v>
      </c>
      <c r="S26" s="153" t="n">
        <f aca="false">IFERROR(ROUND(CORREL('Returns (Calc)'!$V$3:$V$500,'Returns (Calc)'!$S$3:$S$500),2),"")</f>
        <v>0.42</v>
      </c>
      <c r="T26" s="153" t="n">
        <f aca="false">IFERROR(ROUND(CORREL('Returns (Calc)'!$V$3:$V$500,'Returns (Calc)'!$T$3:$T$500),2),"")</f>
        <v>0.46</v>
      </c>
      <c r="U26" s="153" t="str">
        <f aca="false">IFERROR(ROUND(CORREL('Returns (Calc)'!$V$3:$V$500,'Returns (Calc)'!$U$3:$U$500),2),"")</f>
        <v/>
      </c>
      <c r="V26" s="153" t="n">
        <v>1</v>
      </c>
      <c r="AG26" s="154" t="n">
        <f aca="false">COUNTIF(B26:V26,"&gt;0.7")-1</f>
        <v>0</v>
      </c>
    </row>
  </sheetData>
  <mergeCells count="1">
    <mergeCell ref="A1:AG1"/>
  </mergeCells>
  <conditionalFormatting sqref="B6:V26">
    <cfRule type="expression" priority="2" aboveAverage="0" equalAverage="0" bottom="0" percent="0" rank="0" text="" dxfId="26">
      <formula>AND(B6&lt;&gt;1,ABS(B6)&gt;0.7)</formula>
    </cfRule>
  </conditionalFormatting>
  <conditionalFormatting sqref="AG6:AG26">
    <cfRule type="cellIs" priority="3" operator="greaterThan" aboveAverage="0" equalAverage="0" bottom="0" percent="0" rank="0" text="" dxfId="26">
      <formula>1</formula>
    </cfRule>
  </conditionalFormatting>
  <conditionalFormatting sqref="J3">
    <cfRule type="cellIs" priority="4" operator="equal" aboveAverage="0" equalAverage="0" bottom="0" percent="0" rank="0" text="" dxfId="26">
      <formula>"REVIEW REQUIRED"</formula>
    </cfRule>
    <cfRule type="cellIs" priority="5" operator="equal" aboveAverage="0" equalAverage="0" bottom="0" percent="0" rank="0" text="" dxfId="21">
      <formula>"OK"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H12" activeCellId="0" sqref="H12"/>
    </sheetView>
  </sheetViews>
  <sheetFormatPr defaultColWidth="8.66796875" defaultRowHeight="14.25" customHeight="false" zeroHeight="false" outlineLevelRow="0" outlineLevelCol="0"/>
  <cols>
    <col collapsed="false" customWidth="true" hidden="false" outlineLevel="0" max="1" min="1" style="1" width="12"/>
    <col collapsed="false" customWidth="true" hidden="false" outlineLevel="0" max="3" min="2" style="1" width="15"/>
    <col collapsed="false" customWidth="true" hidden="false" outlineLevel="0" max="4" min="4" style="1" width="12"/>
    <col collapsed="false" customWidth="true" hidden="false" outlineLevel="0" max="6" min="5" style="1" width="13"/>
    <col collapsed="false" customWidth="true" hidden="false" outlineLevel="0" max="7" min="7" style="1" width="22"/>
    <col collapsed="false" customWidth="true" hidden="false" outlineLevel="0" max="8" min="8" style="134" width="30"/>
  </cols>
  <sheetData>
    <row r="1" customFormat="false" ht="24" hidden="false" customHeight="true" outlineLevel="0" collapsed="false">
      <c r="A1" s="155" t="s">
        <v>456</v>
      </c>
      <c r="B1" s="155"/>
      <c r="C1" s="155"/>
      <c r="D1" s="155"/>
      <c r="E1" s="155"/>
      <c r="F1" s="155"/>
      <c r="G1" s="155"/>
      <c r="H1" s="155"/>
    </row>
    <row r="2" customFormat="false" ht="27.75" hidden="false" customHeight="true" outlineLevel="0" collapsed="false">
      <c r="A2" s="111" t="s">
        <v>457</v>
      </c>
      <c r="B2" s="111" t="s">
        <v>458</v>
      </c>
      <c r="C2" s="111" t="s">
        <v>459</v>
      </c>
      <c r="D2" s="111" t="s">
        <v>460</v>
      </c>
      <c r="E2" s="111" t="s">
        <v>461</v>
      </c>
      <c r="F2" s="111" t="s">
        <v>462</v>
      </c>
      <c r="G2" s="111" t="s">
        <v>463</v>
      </c>
      <c r="H2" s="111" t="s">
        <v>209</v>
      </c>
    </row>
    <row r="3" customFormat="false" ht="15" hidden="false" customHeight="true" outlineLevel="0" collapsed="false">
      <c r="A3" s="114" t="n">
        <v>46245</v>
      </c>
      <c r="B3" s="137" t="n">
        <v>700739.19</v>
      </c>
      <c r="C3" s="156" t="n">
        <f aca="false">IF(B3="","",B3)</f>
        <v>700739.19</v>
      </c>
      <c r="D3" s="157" t="n">
        <f aca="false">IF(OR(B3="",C3=""),"",B3/C3-1)</f>
        <v>0</v>
      </c>
      <c r="E3" s="93" t="str">
        <f aca="false">IF(D3="","",IF(D3&gt;=-0.1,"Normal",IF(D3&gt;=-0.2,"Elevated",IF(D3&gt;=-0.3,"Severe","Critical"))))</f>
        <v>Normal</v>
      </c>
      <c r="F3" s="65" t="str">
        <f aca="false">IF(E3="","",IF(E3="Normal","5-15%",IF(E3="Elevated","15%",IF(E3="Severe","20%","25%"))))</f>
        <v>5-15%</v>
      </c>
      <c r="G3" s="65" t="str">
        <f aca="false">IF(E3="","",IF(E3="Normal","Standard (score &gt;=65)",IF(E3="Elevated","Restricted (score &gt;=80 only)","Suspended")))</f>
        <v>Standard (score &gt;=65)</v>
      </c>
      <c r="H3" s="113"/>
    </row>
    <row r="4" customFormat="false" ht="15" hidden="false" customHeight="true" outlineLevel="0" collapsed="false">
      <c r="A4" s="114" t="n">
        <v>46269</v>
      </c>
      <c r="B4" s="137" t="n">
        <v>751223.12</v>
      </c>
      <c r="C4" s="156" t="n">
        <f aca="false">IF(B4="","",MAX(C3,B4))</f>
        <v>751223.12</v>
      </c>
      <c r="D4" s="157" t="n">
        <f aca="false">IF(OR(B4="",C4=""),"",B4/C4-1)</f>
        <v>0</v>
      </c>
      <c r="E4" s="93" t="str">
        <f aca="false">IF(D4="","",IF(D4&gt;=-0.1,"Normal",IF(D4&gt;=-0.2,"Elevated",IF(D4&gt;=-0.3,"Severe","Critical"))))</f>
        <v>Normal</v>
      </c>
      <c r="F4" s="65" t="str">
        <f aca="false">IF(E4="","",IF(E4="Normal","5-15%",IF(E4="Elevated","15%",IF(E4="Severe","20%","25%"))))</f>
        <v>5-15%</v>
      </c>
      <c r="G4" s="65" t="str">
        <f aca="false">IF(E4="","",IF(E4="Normal","Standard (score &gt;=65)",IF(E4="Elevated","Restricted (score &gt;=80 only)","Suspended")))</f>
        <v>Standard (score &gt;=65)</v>
      </c>
      <c r="H4" s="113" t="s">
        <v>464</v>
      </c>
    </row>
    <row r="5" customFormat="false" ht="15" hidden="false" customHeight="true" outlineLevel="0" collapsed="false">
      <c r="A5" s="114" t="n">
        <v>46295</v>
      </c>
      <c r="B5" s="137" t="n">
        <v>776662.72</v>
      </c>
      <c r="C5" s="156" t="n">
        <f aca="false">IF(B5="","",MAX(C4,B5))</f>
        <v>776662.72</v>
      </c>
      <c r="D5" s="157" t="n">
        <f aca="false">IF(OR(B5="",C5=""),"",B5/C5-1)</f>
        <v>0</v>
      </c>
      <c r="E5" s="93" t="str">
        <f aca="false">IF(D5="","",IF(D5&gt;=-0.1,"Normal",IF(D5&gt;=-0.2,"Elevated",IF(D5&gt;=-0.3,"Severe","Critical"))))</f>
        <v>Normal</v>
      </c>
      <c r="F5" s="65" t="str">
        <f aca="false">IF(E5="","",IF(E5="Normal","5-15%",IF(E5="Elevated","15%",IF(E5="Severe","20%","25%"))))</f>
        <v>5-15%</v>
      </c>
      <c r="G5" s="65" t="str">
        <f aca="false">IF(E5="","",IF(E5="Normal","Standard (score &gt;=65)",IF(E5="Elevated","Restricted (score &gt;=80 only)","Suspended")))</f>
        <v>Standard (score &gt;=65)</v>
      </c>
      <c r="H5" s="113"/>
    </row>
    <row r="6" customFormat="false" ht="15" hidden="false" customHeight="true" outlineLevel="0" collapsed="false">
      <c r="A6" s="114"/>
      <c r="B6" s="137"/>
      <c r="C6" s="156" t="str">
        <f aca="false">IF(B6="","",MAX(C5,B6))</f>
        <v/>
      </c>
      <c r="D6" s="157" t="str">
        <f aca="false">IF(OR(B6="",C6=""),"",B6/C6-1)</f>
        <v/>
      </c>
      <c r="E6" s="93" t="str">
        <f aca="false">IF(D6="","",IF(D6&gt;=-0.1,"Normal",IF(D6&gt;=-0.2,"Elevated",IF(D6&gt;=-0.3,"Severe","Critical"))))</f>
        <v/>
      </c>
      <c r="F6" s="65" t="str">
        <f aca="false">IF(E6="","",IF(E6="Normal","5-15%",IF(E6="Elevated","15%",IF(E6="Severe","20%","25%"))))</f>
        <v/>
      </c>
      <c r="G6" s="65" t="str">
        <f aca="false">IF(E6="","",IF(E6="Normal","Standard (score &gt;=65)",IF(E6="Elevated","Restricted (score &gt;=80 only)","Suspended")))</f>
        <v/>
      </c>
      <c r="H6" s="113"/>
    </row>
    <row r="7" customFormat="false" ht="15" hidden="false" customHeight="true" outlineLevel="0" collapsed="false">
      <c r="A7" s="114"/>
      <c r="B7" s="137"/>
      <c r="C7" s="156" t="str">
        <f aca="false">IF(B7="","",MAX(C6,B7))</f>
        <v/>
      </c>
      <c r="D7" s="157" t="str">
        <f aca="false">IF(OR(B7="",C7=""),"",B7/C7-1)</f>
        <v/>
      </c>
      <c r="E7" s="93" t="str">
        <f aca="false">IF(D7="","",IF(D7&gt;=-0.1,"Normal",IF(D7&gt;=-0.2,"Elevated",IF(D7&gt;=-0.3,"Severe","Critical"))))</f>
        <v/>
      </c>
      <c r="F7" s="65" t="str">
        <f aca="false">IF(E7="","",IF(E7="Normal","5-15%",IF(E7="Elevated","15%",IF(E7="Severe","20%","25%"))))</f>
        <v/>
      </c>
      <c r="G7" s="65" t="str">
        <f aca="false">IF(E7="","",IF(E7="Normal","Standard (score &gt;=65)",IF(E7="Elevated","Restricted (score &gt;=80 only)","Suspended")))</f>
        <v/>
      </c>
      <c r="H7" s="113"/>
    </row>
    <row r="8" customFormat="false" ht="15" hidden="false" customHeight="true" outlineLevel="0" collapsed="false">
      <c r="A8" s="114"/>
      <c r="B8" s="137"/>
      <c r="C8" s="156" t="str">
        <f aca="false">IF(B8="","",MAX(C7,B8))</f>
        <v/>
      </c>
      <c r="D8" s="157" t="str">
        <f aca="false">IF(OR(B8="",C8=""),"",B8/C8-1)</f>
        <v/>
      </c>
      <c r="E8" s="93" t="str">
        <f aca="false">IF(D8="","",IF(D8&gt;=-0.1,"Normal",IF(D8&gt;=-0.2,"Elevated",IF(D8&gt;=-0.3,"Severe","Critical"))))</f>
        <v/>
      </c>
      <c r="F8" s="65" t="str">
        <f aca="false">IF(E8="","",IF(E8="Normal","5-15%",IF(E8="Elevated","15%",IF(E8="Severe","20%","25%"))))</f>
        <v/>
      </c>
      <c r="G8" s="65" t="str">
        <f aca="false">IF(E8="","",IF(E8="Normal","Standard (score &gt;=65)",IF(E8="Elevated","Restricted (score &gt;=80 only)","Suspended")))</f>
        <v/>
      </c>
      <c r="H8" s="113"/>
    </row>
    <row r="9" customFormat="false" ht="15" hidden="false" customHeight="true" outlineLevel="0" collapsed="false">
      <c r="A9" s="114"/>
      <c r="B9" s="137"/>
      <c r="C9" s="156" t="str">
        <f aca="false">IF(B9="","",MAX(C8,B9))</f>
        <v/>
      </c>
      <c r="D9" s="157" t="str">
        <f aca="false">IF(OR(B9="",C9=""),"",B9/C9-1)</f>
        <v/>
      </c>
      <c r="E9" s="93" t="str">
        <f aca="false">IF(D9="","",IF(D9&gt;=-0.1,"Normal",IF(D9&gt;=-0.2,"Elevated",IF(D9&gt;=-0.3,"Severe","Critical"))))</f>
        <v/>
      </c>
      <c r="F9" s="65" t="str">
        <f aca="false">IF(E9="","",IF(E9="Normal","5-15%",IF(E9="Elevated","15%",IF(E9="Severe","20%","25%"))))</f>
        <v/>
      </c>
      <c r="G9" s="65" t="str">
        <f aca="false">IF(E9="","",IF(E9="Normal","Standard (score &gt;=65)",IF(E9="Elevated","Restricted (score &gt;=80 only)","Suspended")))</f>
        <v/>
      </c>
      <c r="H9" s="113"/>
    </row>
    <row r="10" customFormat="false" ht="15" hidden="false" customHeight="true" outlineLevel="0" collapsed="false">
      <c r="A10" s="114"/>
      <c r="B10" s="137"/>
      <c r="C10" s="156" t="str">
        <f aca="false">IF(B10="","",MAX(C9,B10))</f>
        <v/>
      </c>
      <c r="D10" s="157" t="str">
        <f aca="false">IF(OR(B10="",C10=""),"",B10/C10-1)</f>
        <v/>
      </c>
      <c r="E10" s="93" t="str">
        <f aca="false">IF(D10="","",IF(D10&gt;=-0.1,"Normal",IF(D10&gt;=-0.2,"Elevated",IF(D10&gt;=-0.3,"Severe","Critical"))))</f>
        <v/>
      </c>
      <c r="F10" s="65" t="str">
        <f aca="false">IF(E10="","",IF(E10="Normal","5-15%",IF(E10="Elevated","15%",IF(E10="Severe","20%","25%"))))</f>
        <v/>
      </c>
      <c r="G10" s="65" t="str">
        <f aca="false">IF(E10="","",IF(E10="Normal","Standard (score &gt;=65)",IF(E10="Elevated","Restricted (score &gt;=80 only)","Suspended")))</f>
        <v/>
      </c>
      <c r="H10" s="113"/>
    </row>
    <row r="11" customFormat="false" ht="15" hidden="false" customHeight="true" outlineLevel="0" collapsed="false">
      <c r="A11" s="114"/>
      <c r="B11" s="137"/>
      <c r="C11" s="156" t="str">
        <f aca="false">IF(B11="","",MAX(C10,B11))</f>
        <v/>
      </c>
      <c r="D11" s="157" t="str">
        <f aca="false">IF(OR(B11="",C11=""),"",B11/C11-1)</f>
        <v/>
      </c>
      <c r="E11" s="93" t="str">
        <f aca="false">IF(D11="","",IF(D11&gt;=-0.1,"Normal",IF(D11&gt;=-0.2,"Elevated",IF(D11&gt;=-0.3,"Severe","Critical"))))</f>
        <v/>
      </c>
      <c r="F11" s="65" t="str">
        <f aca="false">IF(E11="","",IF(E11="Normal","5-15%",IF(E11="Elevated","15%",IF(E11="Severe","20%","25%"))))</f>
        <v/>
      </c>
      <c r="G11" s="65" t="str">
        <f aca="false">IF(E11="","",IF(E11="Normal","Standard (score &gt;=65)",IF(E11="Elevated","Restricted (score &gt;=80 only)","Suspended")))</f>
        <v/>
      </c>
      <c r="H11" s="113"/>
    </row>
    <row r="12" customFormat="false" ht="15" hidden="false" customHeight="true" outlineLevel="0" collapsed="false">
      <c r="A12" s="114"/>
      <c r="B12" s="137"/>
      <c r="C12" s="156" t="str">
        <f aca="false">IF(B12="","",MAX(C11,B12))</f>
        <v/>
      </c>
      <c r="D12" s="157" t="str">
        <f aca="false">IF(OR(B12="",C12=""),"",B12/C12-1)</f>
        <v/>
      </c>
      <c r="E12" s="93" t="str">
        <f aca="false">IF(D12="","",IF(D12&gt;=-0.1,"Normal",IF(D12&gt;=-0.2,"Elevated",IF(D12&gt;=-0.3,"Severe","Critical"))))</f>
        <v/>
      </c>
      <c r="F12" s="65" t="str">
        <f aca="false">IF(E12="","",IF(E12="Normal","5-15%",IF(E12="Elevated","15%",IF(E12="Severe","20%","25%"))))</f>
        <v/>
      </c>
      <c r="G12" s="65" t="str">
        <f aca="false">IF(E12="","",IF(E12="Normal","Standard (score &gt;=65)",IF(E12="Elevated","Restricted (score &gt;=80 only)","Suspended")))</f>
        <v/>
      </c>
      <c r="H12" s="113"/>
    </row>
    <row r="13" customFormat="false" ht="15" hidden="false" customHeight="true" outlineLevel="0" collapsed="false">
      <c r="A13" s="114"/>
      <c r="B13" s="137"/>
      <c r="C13" s="156" t="str">
        <f aca="false">IF(B13="","",MAX(C12,B13))</f>
        <v/>
      </c>
      <c r="D13" s="157" t="str">
        <f aca="false">IF(OR(B13="",C13=""),"",B13/C13-1)</f>
        <v/>
      </c>
      <c r="E13" s="93" t="str">
        <f aca="false">IF(D13="","",IF(D13&gt;=-0.1,"Normal",IF(D13&gt;=-0.2,"Elevated",IF(D13&gt;=-0.3,"Severe","Critical"))))</f>
        <v/>
      </c>
      <c r="F13" s="65" t="str">
        <f aca="false">IF(E13="","",IF(E13="Normal","5-15%",IF(E13="Elevated","15%",IF(E13="Severe","20%","25%"))))</f>
        <v/>
      </c>
      <c r="G13" s="65" t="str">
        <f aca="false">IF(E13="","",IF(E13="Normal","Standard (score &gt;=65)",IF(E13="Elevated","Restricted (score &gt;=80 only)","Suspended")))</f>
        <v/>
      </c>
      <c r="H13" s="113"/>
    </row>
    <row r="14" customFormat="false" ht="15" hidden="false" customHeight="true" outlineLevel="0" collapsed="false">
      <c r="A14" s="114"/>
      <c r="B14" s="137"/>
      <c r="C14" s="156" t="str">
        <f aca="false">IF(B14="","",MAX(C13,B14))</f>
        <v/>
      </c>
      <c r="D14" s="157" t="str">
        <f aca="false">IF(OR(B14="",C14=""),"",B14/C14-1)</f>
        <v/>
      </c>
      <c r="E14" s="93" t="str">
        <f aca="false">IF(D14="","",IF(D14&gt;=-0.1,"Normal",IF(D14&gt;=-0.2,"Elevated",IF(D14&gt;=-0.3,"Severe","Critical"))))</f>
        <v/>
      </c>
      <c r="F14" s="65" t="str">
        <f aca="false">IF(E14="","",IF(E14="Normal","5-15%",IF(E14="Elevated","15%",IF(E14="Severe","20%","25%"))))</f>
        <v/>
      </c>
      <c r="G14" s="65" t="str">
        <f aca="false">IF(E14="","",IF(E14="Normal","Standard (score &gt;=65)",IF(E14="Elevated","Restricted (score &gt;=80 only)","Suspended")))</f>
        <v/>
      </c>
      <c r="H14" s="113"/>
    </row>
    <row r="15" customFormat="false" ht="15" hidden="false" customHeight="true" outlineLevel="0" collapsed="false">
      <c r="A15" s="114"/>
      <c r="B15" s="137"/>
      <c r="C15" s="156" t="str">
        <f aca="false">IF(B15="","",MAX(C14,B15))</f>
        <v/>
      </c>
      <c r="D15" s="157" t="str">
        <f aca="false">IF(OR(B15="",C15=""),"",B15/C15-1)</f>
        <v/>
      </c>
      <c r="E15" s="93" t="str">
        <f aca="false">IF(D15="","",IF(D15&gt;=-0.1,"Normal",IF(D15&gt;=-0.2,"Elevated",IF(D15&gt;=-0.3,"Severe","Critical"))))</f>
        <v/>
      </c>
      <c r="F15" s="65" t="str">
        <f aca="false">IF(E15="","",IF(E15="Normal","5-15%",IF(E15="Elevated","15%",IF(E15="Severe","20%","25%"))))</f>
        <v/>
      </c>
      <c r="G15" s="65" t="str">
        <f aca="false">IF(E15="","",IF(E15="Normal","Standard (score &gt;=65)",IF(E15="Elevated","Restricted (score &gt;=80 only)","Suspended")))</f>
        <v/>
      </c>
      <c r="H15" s="113"/>
    </row>
    <row r="16" customFormat="false" ht="15" hidden="false" customHeight="true" outlineLevel="0" collapsed="false">
      <c r="A16" s="114"/>
      <c r="B16" s="137"/>
      <c r="C16" s="156" t="str">
        <f aca="false">IF(B16="","",MAX(C15,B16))</f>
        <v/>
      </c>
      <c r="D16" s="157" t="str">
        <f aca="false">IF(OR(B16="",C16=""),"",B16/C16-1)</f>
        <v/>
      </c>
      <c r="E16" s="93" t="str">
        <f aca="false">IF(D16="","",IF(D16&gt;=-0.1,"Normal",IF(D16&gt;=-0.2,"Elevated",IF(D16&gt;=-0.3,"Severe","Critical"))))</f>
        <v/>
      </c>
      <c r="F16" s="65" t="str">
        <f aca="false">IF(E16="","",IF(E16="Normal","5-15%",IF(E16="Elevated","15%",IF(E16="Severe","20%","25%"))))</f>
        <v/>
      </c>
      <c r="G16" s="65" t="str">
        <f aca="false">IF(E16="","",IF(E16="Normal","Standard (score &gt;=65)",IF(E16="Elevated","Restricted (score &gt;=80 only)","Suspended")))</f>
        <v/>
      </c>
      <c r="H16" s="113"/>
    </row>
    <row r="17" customFormat="false" ht="15" hidden="false" customHeight="true" outlineLevel="0" collapsed="false">
      <c r="A17" s="114"/>
      <c r="B17" s="137"/>
      <c r="C17" s="156" t="str">
        <f aca="false">IF(B17="","",MAX(C16,B17))</f>
        <v/>
      </c>
      <c r="D17" s="157" t="str">
        <f aca="false">IF(OR(B17="",C17=""),"",B17/C17-1)</f>
        <v/>
      </c>
      <c r="E17" s="93" t="str">
        <f aca="false">IF(D17="","",IF(D17&gt;=-0.1,"Normal",IF(D17&gt;=-0.2,"Elevated",IF(D17&gt;=-0.3,"Severe","Critical"))))</f>
        <v/>
      </c>
      <c r="F17" s="65" t="str">
        <f aca="false">IF(E17="","",IF(E17="Normal","5-15%",IF(E17="Elevated","15%",IF(E17="Severe","20%","25%"))))</f>
        <v/>
      </c>
      <c r="G17" s="65" t="str">
        <f aca="false">IF(E17="","",IF(E17="Normal","Standard (score &gt;=65)",IF(E17="Elevated","Restricted (score &gt;=80 only)","Suspended")))</f>
        <v/>
      </c>
      <c r="H17" s="113"/>
    </row>
    <row r="18" customFormat="false" ht="15" hidden="false" customHeight="true" outlineLevel="0" collapsed="false">
      <c r="A18" s="114"/>
      <c r="B18" s="137"/>
      <c r="C18" s="156" t="str">
        <f aca="false">IF(B18="","",MAX(C17,B18))</f>
        <v/>
      </c>
      <c r="D18" s="157" t="str">
        <f aca="false">IF(OR(B18="",C18=""),"",B18/C18-1)</f>
        <v/>
      </c>
      <c r="E18" s="93" t="str">
        <f aca="false">IF(D18="","",IF(D18&gt;=-0.1,"Normal",IF(D18&gt;=-0.2,"Elevated",IF(D18&gt;=-0.3,"Severe","Critical"))))</f>
        <v/>
      </c>
      <c r="F18" s="65" t="str">
        <f aca="false">IF(E18="","",IF(E18="Normal","5-15%",IF(E18="Elevated","15%",IF(E18="Severe","20%","25%"))))</f>
        <v/>
      </c>
      <c r="G18" s="65" t="str">
        <f aca="false">IF(E18="","",IF(E18="Normal","Standard (score &gt;=65)",IF(E18="Elevated","Restricted (score &gt;=80 only)","Suspended")))</f>
        <v/>
      </c>
      <c r="H18" s="113"/>
    </row>
    <row r="19" customFormat="false" ht="15" hidden="false" customHeight="true" outlineLevel="0" collapsed="false">
      <c r="A19" s="114"/>
      <c r="B19" s="137"/>
      <c r="C19" s="156" t="str">
        <f aca="false">IF(B19="","",MAX(C18,B19))</f>
        <v/>
      </c>
      <c r="D19" s="157" t="str">
        <f aca="false">IF(OR(B19="",C19=""),"",B19/C19-1)</f>
        <v/>
      </c>
      <c r="E19" s="93" t="str">
        <f aca="false">IF(D19="","",IF(D19&gt;=-0.1,"Normal",IF(D19&gt;=-0.2,"Elevated",IF(D19&gt;=-0.3,"Severe","Critical"))))</f>
        <v/>
      </c>
      <c r="F19" s="65" t="str">
        <f aca="false">IF(E19="","",IF(E19="Normal","5-15%",IF(E19="Elevated","15%",IF(E19="Severe","20%","25%"))))</f>
        <v/>
      </c>
      <c r="G19" s="65" t="str">
        <f aca="false">IF(E19="","",IF(E19="Normal","Standard (score &gt;=65)",IF(E19="Elevated","Restricted (score &gt;=80 only)","Suspended")))</f>
        <v/>
      </c>
      <c r="H19" s="113"/>
    </row>
    <row r="20" customFormat="false" ht="15" hidden="false" customHeight="true" outlineLevel="0" collapsed="false">
      <c r="A20" s="114"/>
      <c r="B20" s="137"/>
      <c r="C20" s="156" t="str">
        <f aca="false">IF(B20="","",MAX(C19,B20))</f>
        <v/>
      </c>
      <c r="D20" s="157" t="str">
        <f aca="false">IF(OR(B20="",C20=""),"",B20/C20-1)</f>
        <v/>
      </c>
      <c r="E20" s="93" t="str">
        <f aca="false">IF(D20="","",IF(D20&gt;=-0.1,"Normal",IF(D20&gt;=-0.2,"Elevated",IF(D20&gt;=-0.3,"Severe","Critical"))))</f>
        <v/>
      </c>
      <c r="F20" s="65" t="str">
        <f aca="false">IF(E20="","",IF(E20="Normal","5-15%",IF(E20="Elevated","15%",IF(E20="Severe","20%","25%"))))</f>
        <v/>
      </c>
      <c r="G20" s="65" t="str">
        <f aca="false">IF(E20="","",IF(E20="Normal","Standard (score &gt;=65)",IF(E20="Elevated","Restricted (score &gt;=80 only)","Suspended")))</f>
        <v/>
      </c>
      <c r="H20" s="113"/>
    </row>
    <row r="21" customFormat="false" ht="15" hidden="false" customHeight="true" outlineLevel="0" collapsed="false">
      <c r="A21" s="114"/>
      <c r="B21" s="137"/>
      <c r="C21" s="156" t="str">
        <f aca="false">IF(B21="","",MAX(C20,B21))</f>
        <v/>
      </c>
      <c r="D21" s="157" t="str">
        <f aca="false">IF(OR(B21="",C21=""),"",B21/C21-1)</f>
        <v/>
      </c>
      <c r="E21" s="93" t="str">
        <f aca="false">IF(D21="","",IF(D21&gt;=-0.1,"Normal",IF(D21&gt;=-0.2,"Elevated",IF(D21&gt;=-0.3,"Severe","Critical"))))</f>
        <v/>
      </c>
      <c r="F21" s="65" t="str">
        <f aca="false">IF(E21="","",IF(E21="Normal","5-15%",IF(E21="Elevated","15%",IF(E21="Severe","20%","25%"))))</f>
        <v/>
      </c>
      <c r="G21" s="65" t="str">
        <f aca="false">IF(E21="","",IF(E21="Normal","Standard (score &gt;=65)",IF(E21="Elevated","Restricted (score &gt;=80 only)","Suspended")))</f>
        <v/>
      </c>
      <c r="H21" s="113"/>
    </row>
    <row r="22" customFormat="false" ht="15" hidden="false" customHeight="true" outlineLevel="0" collapsed="false">
      <c r="A22" s="114"/>
      <c r="B22" s="137"/>
      <c r="C22" s="156" t="str">
        <f aca="false">IF(B22="","",MAX(C21,B22))</f>
        <v/>
      </c>
      <c r="D22" s="157" t="str">
        <f aca="false">IF(OR(B22="",C22=""),"",B22/C22-1)</f>
        <v/>
      </c>
      <c r="E22" s="93" t="str">
        <f aca="false">IF(D22="","",IF(D22&gt;=-0.1,"Normal",IF(D22&gt;=-0.2,"Elevated",IF(D22&gt;=-0.3,"Severe","Critical"))))</f>
        <v/>
      </c>
      <c r="F22" s="65" t="str">
        <f aca="false">IF(E22="","",IF(E22="Normal","5-15%",IF(E22="Elevated","15%",IF(E22="Severe","20%","25%"))))</f>
        <v/>
      </c>
      <c r="G22" s="65" t="str">
        <f aca="false">IF(E22="","",IF(E22="Normal","Standard (score &gt;=65)",IF(E22="Elevated","Restricted (score &gt;=80 only)","Suspended")))</f>
        <v/>
      </c>
      <c r="H22" s="113"/>
    </row>
    <row r="23" customFormat="false" ht="15" hidden="false" customHeight="true" outlineLevel="0" collapsed="false">
      <c r="A23" s="114"/>
      <c r="B23" s="137"/>
      <c r="C23" s="156" t="str">
        <f aca="false">IF(B23="","",MAX(C22,B23))</f>
        <v/>
      </c>
      <c r="D23" s="157" t="str">
        <f aca="false">IF(OR(B23="",C23=""),"",B23/C23-1)</f>
        <v/>
      </c>
      <c r="E23" s="93" t="str">
        <f aca="false">IF(D23="","",IF(D23&gt;=-0.1,"Normal",IF(D23&gt;=-0.2,"Elevated",IF(D23&gt;=-0.3,"Severe","Critical"))))</f>
        <v/>
      </c>
      <c r="F23" s="65" t="str">
        <f aca="false">IF(E23="","",IF(E23="Normal","5-15%",IF(E23="Elevated","15%",IF(E23="Severe","20%","25%"))))</f>
        <v/>
      </c>
      <c r="G23" s="65" t="str">
        <f aca="false">IF(E23="","",IF(E23="Normal","Standard (score &gt;=65)",IF(E23="Elevated","Restricted (score &gt;=80 only)","Suspended")))</f>
        <v/>
      </c>
      <c r="H23" s="113"/>
    </row>
    <row r="24" customFormat="false" ht="15" hidden="false" customHeight="true" outlineLevel="0" collapsed="false">
      <c r="A24" s="114"/>
      <c r="B24" s="137"/>
      <c r="C24" s="156" t="str">
        <f aca="false">IF(B24="","",MAX(C23,B24))</f>
        <v/>
      </c>
      <c r="D24" s="157" t="str">
        <f aca="false">IF(OR(B24="",C24=""),"",B24/C24-1)</f>
        <v/>
      </c>
      <c r="E24" s="93" t="str">
        <f aca="false">IF(D24="","",IF(D24&gt;=-0.1,"Normal",IF(D24&gt;=-0.2,"Elevated",IF(D24&gt;=-0.3,"Severe","Critical"))))</f>
        <v/>
      </c>
      <c r="F24" s="65" t="str">
        <f aca="false">IF(E24="","",IF(E24="Normal","5-15%",IF(E24="Elevated","15%",IF(E24="Severe","20%","25%"))))</f>
        <v/>
      </c>
      <c r="G24" s="65" t="str">
        <f aca="false">IF(E24="","",IF(E24="Normal","Standard (score &gt;=65)",IF(E24="Elevated","Restricted (score &gt;=80 only)","Suspended")))</f>
        <v/>
      </c>
      <c r="H24" s="113"/>
    </row>
    <row r="25" customFormat="false" ht="15" hidden="false" customHeight="true" outlineLevel="0" collapsed="false">
      <c r="A25" s="114"/>
      <c r="B25" s="137"/>
      <c r="C25" s="156" t="str">
        <f aca="false">IF(B25="","",MAX(C24,B25))</f>
        <v/>
      </c>
      <c r="D25" s="157" t="str">
        <f aca="false">IF(OR(B25="",C25=""),"",B25/C25-1)</f>
        <v/>
      </c>
      <c r="E25" s="93" t="str">
        <f aca="false">IF(D25="","",IF(D25&gt;=-0.1,"Normal",IF(D25&gt;=-0.2,"Elevated",IF(D25&gt;=-0.3,"Severe","Critical"))))</f>
        <v/>
      </c>
      <c r="F25" s="65" t="str">
        <f aca="false">IF(E25="","",IF(E25="Normal","5-15%",IF(E25="Elevated","15%",IF(E25="Severe","20%","25%"))))</f>
        <v/>
      </c>
      <c r="G25" s="65" t="str">
        <f aca="false">IF(E25="","",IF(E25="Normal","Standard (score &gt;=65)",IF(E25="Elevated","Restricted (score &gt;=80 only)","Suspended")))</f>
        <v/>
      </c>
      <c r="H25" s="113"/>
    </row>
    <row r="26" customFormat="false" ht="15" hidden="false" customHeight="true" outlineLevel="0" collapsed="false">
      <c r="A26" s="114"/>
      <c r="B26" s="137"/>
      <c r="C26" s="156" t="str">
        <f aca="false">IF(B26="","",MAX(C25,B26))</f>
        <v/>
      </c>
      <c r="D26" s="157" t="str">
        <f aca="false">IF(OR(B26="",C26=""),"",B26/C26-1)</f>
        <v/>
      </c>
      <c r="E26" s="93" t="str">
        <f aca="false">IF(D26="","",IF(D26&gt;=-0.1,"Normal",IF(D26&gt;=-0.2,"Elevated",IF(D26&gt;=-0.3,"Severe","Critical"))))</f>
        <v/>
      </c>
      <c r="F26" s="65" t="str">
        <f aca="false">IF(E26="","",IF(E26="Normal","5-15%",IF(E26="Elevated","15%",IF(E26="Severe","20%","25%"))))</f>
        <v/>
      </c>
      <c r="G26" s="65" t="str">
        <f aca="false">IF(E26="","",IF(E26="Normal","Standard (score &gt;=65)",IF(E26="Elevated","Restricted (score &gt;=80 only)","Suspended")))</f>
        <v/>
      </c>
      <c r="H26" s="113"/>
    </row>
    <row r="27" customFormat="false" ht="15" hidden="false" customHeight="true" outlineLevel="0" collapsed="false">
      <c r="A27" s="114"/>
      <c r="B27" s="137"/>
      <c r="C27" s="156" t="str">
        <f aca="false">IF(B27="","",MAX(C26,B27))</f>
        <v/>
      </c>
      <c r="D27" s="157" t="str">
        <f aca="false">IF(OR(B27="",C27=""),"",B27/C27-1)</f>
        <v/>
      </c>
      <c r="E27" s="93" t="str">
        <f aca="false">IF(D27="","",IF(D27&gt;=-0.1,"Normal",IF(D27&gt;=-0.2,"Elevated",IF(D27&gt;=-0.3,"Severe","Critical"))))</f>
        <v/>
      </c>
      <c r="F27" s="65" t="str">
        <f aca="false">IF(E27="","",IF(E27="Normal","5-15%",IF(E27="Elevated","15%",IF(E27="Severe","20%","25%"))))</f>
        <v/>
      </c>
      <c r="G27" s="65" t="str">
        <f aca="false">IF(E27="","",IF(E27="Normal","Standard (score &gt;=65)",IF(E27="Elevated","Restricted (score &gt;=80 only)","Suspended")))</f>
        <v/>
      </c>
      <c r="H27" s="113"/>
    </row>
    <row r="28" customFormat="false" ht="15" hidden="false" customHeight="true" outlineLevel="0" collapsed="false">
      <c r="A28" s="114"/>
      <c r="B28" s="137"/>
      <c r="C28" s="156" t="str">
        <f aca="false">IF(B28="","",MAX(C27,B28))</f>
        <v/>
      </c>
      <c r="D28" s="157" t="str">
        <f aca="false">IF(OR(B28="",C28=""),"",B28/C28-1)</f>
        <v/>
      </c>
      <c r="E28" s="93" t="str">
        <f aca="false">IF(D28="","",IF(D28&gt;=-0.1,"Normal",IF(D28&gt;=-0.2,"Elevated",IF(D28&gt;=-0.3,"Severe","Critical"))))</f>
        <v/>
      </c>
      <c r="F28" s="65" t="str">
        <f aca="false">IF(E28="","",IF(E28="Normal","5-15%",IF(E28="Elevated","15%",IF(E28="Severe","20%","25%"))))</f>
        <v/>
      </c>
      <c r="G28" s="65" t="str">
        <f aca="false">IF(E28="","",IF(E28="Normal","Standard (score &gt;=65)",IF(E28="Elevated","Restricted (score &gt;=80 only)","Suspended")))</f>
        <v/>
      </c>
      <c r="H28" s="113"/>
    </row>
    <row r="29" customFormat="false" ht="15" hidden="false" customHeight="true" outlineLevel="0" collapsed="false">
      <c r="A29" s="114"/>
      <c r="B29" s="137"/>
      <c r="C29" s="156" t="str">
        <f aca="false">IF(B29="","",MAX(C28,B29))</f>
        <v/>
      </c>
      <c r="D29" s="157" t="str">
        <f aca="false">IF(OR(B29="",C29=""),"",B29/C29-1)</f>
        <v/>
      </c>
      <c r="E29" s="93" t="str">
        <f aca="false">IF(D29="","",IF(D29&gt;=-0.1,"Normal",IF(D29&gt;=-0.2,"Elevated",IF(D29&gt;=-0.3,"Severe","Critical"))))</f>
        <v/>
      </c>
      <c r="F29" s="65" t="str">
        <f aca="false">IF(E29="","",IF(E29="Normal","5-15%",IF(E29="Elevated","15%",IF(E29="Severe","20%","25%"))))</f>
        <v/>
      </c>
      <c r="G29" s="65" t="str">
        <f aca="false">IF(E29="","",IF(E29="Normal","Standard (score &gt;=65)",IF(E29="Elevated","Restricted (score &gt;=80 only)","Suspended")))</f>
        <v/>
      </c>
      <c r="H29" s="113"/>
    </row>
    <row r="30" customFormat="false" ht="15" hidden="false" customHeight="true" outlineLevel="0" collapsed="false">
      <c r="A30" s="114"/>
      <c r="B30" s="137"/>
      <c r="C30" s="156" t="str">
        <f aca="false">IF(B30="","",MAX(C29,B30))</f>
        <v/>
      </c>
      <c r="D30" s="157" t="str">
        <f aca="false">IF(OR(B30="",C30=""),"",B30/C30-1)</f>
        <v/>
      </c>
      <c r="E30" s="93" t="str">
        <f aca="false">IF(D30="","",IF(D30&gt;=-0.1,"Normal",IF(D30&gt;=-0.2,"Elevated",IF(D30&gt;=-0.3,"Severe","Critical"))))</f>
        <v/>
      </c>
      <c r="F30" s="65" t="str">
        <f aca="false">IF(E30="","",IF(E30="Normal","5-15%",IF(E30="Elevated","15%",IF(E30="Severe","20%","25%"))))</f>
        <v/>
      </c>
      <c r="G30" s="65" t="str">
        <f aca="false">IF(E30="","",IF(E30="Normal","Standard (score &gt;=65)",IF(E30="Elevated","Restricted (score &gt;=80 only)","Suspended")))</f>
        <v/>
      </c>
      <c r="H30" s="113"/>
    </row>
    <row r="31" customFormat="false" ht="15" hidden="false" customHeight="true" outlineLevel="0" collapsed="false">
      <c r="A31" s="114"/>
      <c r="B31" s="137"/>
      <c r="C31" s="156" t="str">
        <f aca="false">IF(B31="","",MAX(C30,B31))</f>
        <v/>
      </c>
      <c r="D31" s="157" t="str">
        <f aca="false">IF(OR(B31="",C31=""),"",B31/C31-1)</f>
        <v/>
      </c>
      <c r="E31" s="93" t="str">
        <f aca="false">IF(D31="","",IF(D31&gt;=-0.1,"Normal",IF(D31&gt;=-0.2,"Elevated",IF(D31&gt;=-0.3,"Severe","Critical"))))</f>
        <v/>
      </c>
      <c r="F31" s="65" t="str">
        <f aca="false">IF(E31="","",IF(E31="Normal","5-15%",IF(E31="Elevated","15%",IF(E31="Severe","20%","25%"))))</f>
        <v/>
      </c>
      <c r="G31" s="65" t="str">
        <f aca="false">IF(E31="","",IF(E31="Normal","Standard (score &gt;=65)",IF(E31="Elevated","Restricted (score &gt;=80 only)","Suspended")))</f>
        <v/>
      </c>
      <c r="H31" s="113"/>
    </row>
    <row r="32" customFormat="false" ht="15" hidden="false" customHeight="true" outlineLevel="0" collapsed="false">
      <c r="A32" s="114"/>
      <c r="B32" s="137"/>
      <c r="C32" s="156" t="str">
        <f aca="false">IF(B32="","",MAX(C31,B32))</f>
        <v/>
      </c>
      <c r="D32" s="157" t="str">
        <f aca="false">IF(OR(B32="",C32=""),"",B32/C32-1)</f>
        <v/>
      </c>
      <c r="E32" s="93" t="str">
        <f aca="false">IF(D32="","",IF(D32&gt;=-0.1,"Normal",IF(D32&gt;=-0.2,"Elevated",IF(D32&gt;=-0.3,"Severe","Critical"))))</f>
        <v/>
      </c>
      <c r="F32" s="65" t="str">
        <f aca="false">IF(E32="","",IF(E32="Normal","5-15%",IF(E32="Elevated","15%",IF(E32="Severe","20%","25%"))))</f>
        <v/>
      </c>
      <c r="G32" s="65" t="str">
        <f aca="false">IF(E32="","",IF(E32="Normal","Standard (score &gt;=65)",IF(E32="Elevated","Restricted (score &gt;=80 only)","Suspended")))</f>
        <v/>
      </c>
      <c r="H32" s="113"/>
    </row>
    <row r="33" customFormat="false" ht="15" hidden="false" customHeight="true" outlineLevel="0" collapsed="false">
      <c r="A33" s="114"/>
      <c r="B33" s="137"/>
      <c r="C33" s="156" t="str">
        <f aca="false">IF(B33="","",MAX(C32,B33))</f>
        <v/>
      </c>
      <c r="D33" s="157" t="str">
        <f aca="false">IF(OR(B33="",C33=""),"",B33/C33-1)</f>
        <v/>
      </c>
      <c r="E33" s="93" t="str">
        <f aca="false">IF(D33="","",IF(D33&gt;=-0.1,"Normal",IF(D33&gt;=-0.2,"Elevated",IF(D33&gt;=-0.3,"Severe","Critical"))))</f>
        <v/>
      </c>
      <c r="F33" s="65" t="str">
        <f aca="false">IF(E33="","",IF(E33="Normal","5-15%",IF(E33="Elevated","15%",IF(E33="Severe","20%","25%"))))</f>
        <v/>
      </c>
      <c r="G33" s="65" t="str">
        <f aca="false">IF(E33="","",IF(E33="Normal","Standard (score &gt;=65)",IF(E33="Elevated","Restricted (score &gt;=80 only)","Suspended")))</f>
        <v/>
      </c>
      <c r="H33" s="113"/>
    </row>
    <row r="34" customFormat="false" ht="15" hidden="false" customHeight="true" outlineLevel="0" collapsed="false">
      <c r="A34" s="114"/>
      <c r="B34" s="137"/>
      <c r="C34" s="156" t="str">
        <f aca="false">IF(B34="","",MAX(C33,B34))</f>
        <v/>
      </c>
      <c r="D34" s="157" t="str">
        <f aca="false">IF(OR(B34="",C34=""),"",B34/C34-1)</f>
        <v/>
      </c>
      <c r="E34" s="93" t="str">
        <f aca="false">IF(D34="","",IF(D34&gt;=-0.1,"Normal",IF(D34&gt;=-0.2,"Elevated",IF(D34&gt;=-0.3,"Severe","Critical"))))</f>
        <v/>
      </c>
      <c r="F34" s="65" t="str">
        <f aca="false">IF(E34="","",IF(E34="Normal","5-15%",IF(E34="Elevated","15%",IF(E34="Severe","20%","25%"))))</f>
        <v/>
      </c>
      <c r="G34" s="65" t="str">
        <f aca="false">IF(E34="","",IF(E34="Normal","Standard (score &gt;=65)",IF(E34="Elevated","Restricted (score &gt;=80 only)","Suspended")))</f>
        <v/>
      </c>
      <c r="H34" s="113"/>
    </row>
    <row r="35" customFormat="false" ht="15" hidden="false" customHeight="true" outlineLevel="0" collapsed="false">
      <c r="A35" s="114"/>
      <c r="B35" s="137"/>
      <c r="C35" s="156" t="str">
        <f aca="false">IF(B35="","",MAX(C34,B35))</f>
        <v/>
      </c>
      <c r="D35" s="157" t="str">
        <f aca="false">IF(OR(B35="",C35=""),"",B35/C35-1)</f>
        <v/>
      </c>
      <c r="E35" s="93" t="str">
        <f aca="false">IF(D35="","",IF(D35&gt;=-0.1,"Normal",IF(D35&gt;=-0.2,"Elevated",IF(D35&gt;=-0.3,"Severe","Critical"))))</f>
        <v/>
      </c>
      <c r="F35" s="65" t="str">
        <f aca="false">IF(E35="","",IF(E35="Normal","5-15%",IF(E35="Elevated","15%",IF(E35="Severe","20%","25%"))))</f>
        <v/>
      </c>
      <c r="G35" s="65" t="str">
        <f aca="false">IF(E35="","",IF(E35="Normal","Standard (score &gt;=65)",IF(E35="Elevated","Restricted (score &gt;=80 only)","Suspended")))</f>
        <v/>
      </c>
      <c r="H35" s="113"/>
    </row>
    <row r="36" customFormat="false" ht="15" hidden="false" customHeight="true" outlineLevel="0" collapsed="false">
      <c r="A36" s="114"/>
      <c r="B36" s="137"/>
      <c r="C36" s="156" t="str">
        <f aca="false">IF(B36="","",MAX(C35,B36))</f>
        <v/>
      </c>
      <c r="D36" s="157" t="str">
        <f aca="false">IF(OR(B36="",C36=""),"",B36/C36-1)</f>
        <v/>
      </c>
      <c r="E36" s="93" t="str">
        <f aca="false">IF(D36="","",IF(D36&gt;=-0.1,"Normal",IF(D36&gt;=-0.2,"Elevated",IF(D36&gt;=-0.3,"Severe","Critical"))))</f>
        <v/>
      </c>
      <c r="F36" s="65" t="str">
        <f aca="false">IF(E36="","",IF(E36="Normal","5-15%",IF(E36="Elevated","15%",IF(E36="Severe","20%","25%"))))</f>
        <v/>
      </c>
      <c r="G36" s="65" t="str">
        <f aca="false">IF(E36="","",IF(E36="Normal","Standard (score &gt;=65)",IF(E36="Elevated","Restricted (score &gt;=80 only)","Suspended")))</f>
        <v/>
      </c>
      <c r="H36" s="113"/>
    </row>
    <row r="37" customFormat="false" ht="15" hidden="false" customHeight="true" outlineLevel="0" collapsed="false">
      <c r="A37" s="114"/>
      <c r="B37" s="137"/>
      <c r="C37" s="156" t="str">
        <f aca="false">IF(B37="","",MAX(C36,B37))</f>
        <v/>
      </c>
      <c r="D37" s="157" t="str">
        <f aca="false">IF(OR(B37="",C37=""),"",B37/C37-1)</f>
        <v/>
      </c>
      <c r="E37" s="93" t="str">
        <f aca="false">IF(D37="","",IF(D37&gt;=-0.1,"Normal",IF(D37&gt;=-0.2,"Elevated",IF(D37&gt;=-0.3,"Severe","Critical"))))</f>
        <v/>
      </c>
      <c r="F37" s="65" t="str">
        <f aca="false">IF(E37="","",IF(E37="Normal","5-15%",IF(E37="Elevated","15%",IF(E37="Severe","20%","25%"))))</f>
        <v/>
      </c>
      <c r="G37" s="65" t="str">
        <f aca="false">IF(E37="","",IF(E37="Normal","Standard (score &gt;=65)",IF(E37="Elevated","Restricted (score &gt;=80 only)","Suspended")))</f>
        <v/>
      </c>
      <c r="H37" s="113"/>
    </row>
    <row r="38" customFormat="false" ht="15" hidden="false" customHeight="true" outlineLevel="0" collapsed="false">
      <c r="A38" s="114"/>
      <c r="B38" s="137"/>
      <c r="C38" s="156" t="str">
        <f aca="false">IF(B38="","",MAX(C37,B38))</f>
        <v/>
      </c>
      <c r="D38" s="157" t="str">
        <f aca="false">IF(OR(B38="",C38=""),"",B38/C38-1)</f>
        <v/>
      </c>
      <c r="E38" s="93" t="str">
        <f aca="false">IF(D38="","",IF(D38&gt;=-0.1,"Normal",IF(D38&gt;=-0.2,"Elevated",IF(D38&gt;=-0.3,"Severe","Critical"))))</f>
        <v/>
      </c>
      <c r="F38" s="65" t="str">
        <f aca="false">IF(E38="","",IF(E38="Normal","5-15%",IF(E38="Elevated","15%",IF(E38="Severe","20%","25%"))))</f>
        <v/>
      </c>
      <c r="G38" s="65" t="str">
        <f aca="false">IF(E38="","",IF(E38="Normal","Standard (score &gt;=65)",IF(E38="Elevated","Restricted (score &gt;=80 only)","Suspended")))</f>
        <v/>
      </c>
      <c r="H38" s="113"/>
    </row>
    <row r="39" customFormat="false" ht="15" hidden="false" customHeight="true" outlineLevel="0" collapsed="false">
      <c r="A39" s="114"/>
      <c r="B39" s="137"/>
      <c r="C39" s="156" t="str">
        <f aca="false">IF(B39="","",MAX(C38,B39))</f>
        <v/>
      </c>
      <c r="D39" s="157" t="str">
        <f aca="false">IF(OR(B39="",C39=""),"",B39/C39-1)</f>
        <v/>
      </c>
      <c r="E39" s="93" t="str">
        <f aca="false">IF(D39="","",IF(D39&gt;=-0.1,"Normal",IF(D39&gt;=-0.2,"Elevated",IF(D39&gt;=-0.3,"Severe","Critical"))))</f>
        <v/>
      </c>
      <c r="F39" s="65" t="str">
        <f aca="false">IF(E39="","",IF(E39="Normal","5-15%",IF(E39="Elevated","15%",IF(E39="Severe","20%","25%"))))</f>
        <v/>
      </c>
      <c r="G39" s="65" t="str">
        <f aca="false">IF(E39="","",IF(E39="Normal","Standard (score &gt;=65)",IF(E39="Elevated","Restricted (score &gt;=80 only)","Suspended")))</f>
        <v/>
      </c>
      <c r="H39" s="113"/>
    </row>
    <row r="40" customFormat="false" ht="15" hidden="false" customHeight="true" outlineLevel="0" collapsed="false">
      <c r="A40" s="114"/>
      <c r="B40" s="137"/>
      <c r="C40" s="156" t="str">
        <f aca="false">IF(B40="","",MAX(C39,B40))</f>
        <v/>
      </c>
      <c r="D40" s="157" t="str">
        <f aca="false">IF(OR(B40="",C40=""),"",B40/C40-1)</f>
        <v/>
      </c>
      <c r="E40" s="93" t="str">
        <f aca="false">IF(D40="","",IF(D40&gt;=-0.1,"Normal",IF(D40&gt;=-0.2,"Elevated",IF(D40&gt;=-0.3,"Severe","Critical"))))</f>
        <v/>
      </c>
      <c r="F40" s="65" t="str">
        <f aca="false">IF(E40="","",IF(E40="Normal","5-15%",IF(E40="Elevated","15%",IF(E40="Severe","20%","25%"))))</f>
        <v/>
      </c>
      <c r="G40" s="65" t="str">
        <f aca="false">IF(E40="","",IF(E40="Normal","Standard (score &gt;=65)",IF(E40="Elevated","Restricted (score &gt;=80 only)","Suspended")))</f>
        <v/>
      </c>
      <c r="H40" s="113"/>
    </row>
    <row r="41" customFormat="false" ht="15" hidden="false" customHeight="true" outlineLevel="0" collapsed="false">
      <c r="A41" s="114"/>
      <c r="B41" s="137"/>
      <c r="C41" s="156" t="str">
        <f aca="false">IF(B41="","",MAX(C40,B41))</f>
        <v/>
      </c>
      <c r="D41" s="157" t="str">
        <f aca="false">IF(OR(B41="",C41=""),"",B41/C41-1)</f>
        <v/>
      </c>
      <c r="E41" s="93" t="str">
        <f aca="false">IF(D41="","",IF(D41&gt;=-0.1,"Normal",IF(D41&gt;=-0.2,"Elevated",IF(D41&gt;=-0.3,"Severe","Critical"))))</f>
        <v/>
      </c>
      <c r="F41" s="65" t="str">
        <f aca="false">IF(E41="","",IF(E41="Normal","5-15%",IF(E41="Elevated","15%",IF(E41="Severe","20%","25%"))))</f>
        <v/>
      </c>
      <c r="G41" s="65" t="str">
        <f aca="false">IF(E41="","",IF(E41="Normal","Standard (score &gt;=65)",IF(E41="Elevated","Restricted (score &gt;=80 only)","Suspended")))</f>
        <v/>
      </c>
      <c r="H41" s="113"/>
    </row>
    <row r="42" customFormat="false" ht="15" hidden="false" customHeight="true" outlineLevel="0" collapsed="false">
      <c r="A42" s="114"/>
      <c r="B42" s="137"/>
      <c r="C42" s="156" t="str">
        <f aca="false">IF(B42="","",MAX(C41,B42))</f>
        <v/>
      </c>
      <c r="D42" s="157" t="str">
        <f aca="false">IF(OR(B42="",C42=""),"",B42/C42-1)</f>
        <v/>
      </c>
      <c r="E42" s="93" t="str">
        <f aca="false">IF(D42="","",IF(D42&gt;=-0.1,"Normal",IF(D42&gt;=-0.2,"Elevated",IF(D42&gt;=-0.3,"Severe","Critical"))))</f>
        <v/>
      </c>
      <c r="F42" s="65" t="str">
        <f aca="false">IF(E42="","",IF(E42="Normal","5-15%",IF(E42="Elevated","15%",IF(E42="Severe","20%","25%"))))</f>
        <v/>
      </c>
      <c r="G42" s="65" t="str">
        <f aca="false">IF(E42="","",IF(E42="Normal","Standard (score &gt;=65)",IF(E42="Elevated","Restricted (score &gt;=80 only)","Suspended")))</f>
        <v/>
      </c>
      <c r="H42" s="113"/>
    </row>
  </sheetData>
  <mergeCells count="1">
    <mergeCell ref="A1:H1"/>
  </mergeCells>
  <conditionalFormatting sqref="E3:E42">
    <cfRule type="cellIs" priority="2" operator="equal" aboveAverage="0" equalAverage="0" bottom="0" percent="0" rank="0" text="" dxfId="17">
      <formula>"Normal"</formula>
    </cfRule>
    <cfRule type="cellIs" priority="3" operator="equal" aboveAverage="0" equalAverage="0" bottom="0" percent="0" rank="0" text="" dxfId="27">
      <formula>"Elevated"</formula>
    </cfRule>
    <cfRule type="cellIs" priority="4" operator="equal" aboveAverage="0" equalAverage="0" bottom="0" percent="0" rank="0" text="" dxfId="20">
      <formula>"Severe"</formula>
    </cfRule>
    <cfRule type="cellIs" priority="5" operator="equal" aboveAverage="0" equalAverage="0" bottom="0" percent="0" rank="0" text="" dxfId="0">
      <formula>"Critical"</formula>
    </cfRule>
  </conditionalFormatting>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C10" activeCellId="0" sqref="C10"/>
    </sheetView>
  </sheetViews>
  <sheetFormatPr defaultColWidth="8.66796875" defaultRowHeight="14.25" customHeight="false"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13"/>
    <col collapsed="false" customWidth="true" hidden="false" outlineLevel="0" max="4" min="4" style="1" width="12"/>
    <col collapsed="false" customWidth="true" hidden="false" outlineLevel="0" max="6" min="5" style="1" width="8"/>
    <col collapsed="false" customWidth="true" hidden="false" outlineLevel="0" max="9" min="7" style="1" width="12"/>
    <col collapsed="false" customWidth="true" hidden="false" outlineLevel="0" max="10" min="10" style="1" width="10"/>
    <col collapsed="false" customWidth="true" hidden="false" outlineLevel="0" max="11" min="11" style="1" width="20"/>
    <col collapsed="false" customWidth="true" hidden="false" outlineLevel="0" max="12" min="12" style="1" width="30"/>
    <col collapsed="false" customWidth="true" hidden="false" outlineLevel="0" max="13" min="13" style="1" width="14"/>
  </cols>
  <sheetData>
    <row r="1" s="1" customFormat="true" ht="21" hidden="false" customHeight="true" outlineLevel="0" collapsed="false">
      <c r="A1" s="158" t="s">
        <v>465</v>
      </c>
      <c r="B1" s="158"/>
      <c r="C1" s="158"/>
      <c r="D1" s="158"/>
      <c r="E1" s="158"/>
      <c r="F1" s="158"/>
      <c r="G1" s="158"/>
      <c r="H1" s="158"/>
      <c r="I1" s="158"/>
      <c r="J1" s="158"/>
      <c r="K1" s="158"/>
      <c r="L1" s="158"/>
      <c r="M1" s="158"/>
    </row>
    <row r="2" customFormat="false" ht="45.75" hidden="false" customHeight="true" outlineLevel="0" collapsed="false">
      <c r="A2" s="59" t="s">
        <v>81</v>
      </c>
      <c r="B2" s="59" t="s">
        <v>279</v>
      </c>
      <c r="C2" s="59" t="s">
        <v>466</v>
      </c>
      <c r="D2" s="59" t="s">
        <v>467</v>
      </c>
      <c r="E2" s="59" t="s">
        <v>468</v>
      </c>
      <c r="F2" s="59" t="s">
        <v>469</v>
      </c>
      <c r="G2" s="59" t="s">
        <v>470</v>
      </c>
      <c r="H2" s="59" t="s">
        <v>471</v>
      </c>
      <c r="I2" s="59" t="s">
        <v>472</v>
      </c>
      <c r="J2" s="59" t="s">
        <v>473</v>
      </c>
      <c r="K2" s="59" t="s">
        <v>474</v>
      </c>
      <c r="L2" s="59" t="s">
        <v>475</v>
      </c>
      <c r="M2" s="27" t="s">
        <v>476</v>
      </c>
    </row>
    <row r="3" customFormat="false" ht="15" hidden="false" customHeight="true" outlineLevel="0" collapsed="false">
      <c r="A3" s="119" t="s">
        <v>104</v>
      </c>
      <c r="B3" s="119" t="s">
        <v>105</v>
      </c>
      <c r="C3" s="119" t="s">
        <v>477</v>
      </c>
      <c r="D3" s="159" t="n">
        <v>46278</v>
      </c>
      <c r="E3" s="119" t="n">
        <v>63.4</v>
      </c>
      <c r="F3" s="119" t="n">
        <v>63.4</v>
      </c>
      <c r="G3" s="159" t="n">
        <v>46278</v>
      </c>
      <c r="H3" s="119"/>
      <c r="I3" s="142" t="n">
        <f aca="false">IF(D3="","",D3+90)</f>
        <v>46368</v>
      </c>
      <c r="J3" s="160" t="n">
        <f aca="true">IF(I3="","",I3-TODAY())</f>
        <v>73</v>
      </c>
      <c r="K3" s="125" t="str">
        <f aca="false">IF(OR(C3="",F3=""),"",IF(AND(C3="Exit Review",H3="N"),"NO CREDIBLE PLAN — SELL WITHIN 30 DAYS",IF(AND(C3="Probationary Hold",F3&gt;=65),"RECOVERED — REMOVE FROM WATCH LIST",IF(AND(C3="Exit Review",F3&gt;=50),"RECOVERED — MOVE TO PROBATIONARY HOLD",IF(J3&lt;0,"DEADLINE PASSED — SELL WITHIN 30 DAYS",IF(J3&lt;=14,"DEADLINE APPROACHING","ON TRACK"))))))</f>
        <v>ON TRACK</v>
      </c>
      <c r="L3" s="119" t="s">
        <v>478</v>
      </c>
      <c r="M3" s="161" t="n">
        <v>0</v>
      </c>
    </row>
    <row r="4" customFormat="false" ht="15" hidden="false" customHeight="true" outlineLevel="0" collapsed="false">
      <c r="A4" s="119"/>
      <c r="B4" s="119"/>
      <c r="C4" s="119"/>
      <c r="D4" s="159"/>
      <c r="E4" s="119"/>
      <c r="F4" s="119"/>
      <c r="G4" s="159"/>
      <c r="H4" s="119"/>
      <c r="I4" s="142" t="str">
        <f aca="false">IF(D4="","",D4+90)</f>
        <v/>
      </c>
      <c r="J4" s="160" t="str">
        <f aca="true">IF(I4="","",I4-TODAY())</f>
        <v/>
      </c>
      <c r="K4" s="125" t="str">
        <f aca="false">IF(OR(C4="",F4=""),"",IF(AND(C4="Exit Review",H4="N"),"NO CREDIBLE PLAN — SELL WITHIN 30 DAYS",IF(AND(C4="Probationary Hold",F4&gt;=65),"RECOVERED — REMOVE FROM WATCH LIST",IF(AND(C4="Exit Review",F4&gt;=50),"RECOVERED — MOVE TO PROBATIONARY HOLD",IF(J4&lt;0,"DEADLINE PASSED — SELL WITHIN 30 DAYS",IF(J4&lt;=14,"DEADLINE APPROACHING","ON TRACK"))))))</f>
        <v/>
      </c>
      <c r="L4" s="119"/>
    </row>
    <row r="5" customFormat="false" ht="15" hidden="false" customHeight="true" outlineLevel="0" collapsed="false">
      <c r="A5" s="119"/>
      <c r="B5" s="119"/>
      <c r="C5" s="119"/>
      <c r="D5" s="159"/>
      <c r="E5" s="119"/>
      <c r="F5" s="119"/>
      <c r="G5" s="159"/>
      <c r="H5" s="119"/>
      <c r="I5" s="142" t="str">
        <f aca="false">IF(D5="","",D5+90)</f>
        <v/>
      </c>
      <c r="J5" s="160" t="str">
        <f aca="true">IF(I5="","",I5-TODAY())</f>
        <v/>
      </c>
      <c r="K5" s="125" t="str">
        <f aca="false">IF(OR(C5="",F5=""),"",IF(AND(C5="Exit Review",H5="N"),"NO CREDIBLE PLAN — SELL WITHIN 30 DAYS",IF(AND(C5="Probationary Hold",F5&gt;=65),"RECOVERED — REMOVE FROM WATCH LIST",IF(AND(C5="Exit Review",F5&gt;=50),"RECOVERED — MOVE TO PROBATIONARY HOLD",IF(J5&lt;0,"DEADLINE PASSED — SELL WITHIN 30 DAYS",IF(J5&lt;=14,"DEADLINE APPROACHING","ON TRACK"))))))</f>
        <v/>
      </c>
      <c r="L5" s="119"/>
    </row>
    <row r="6" customFormat="false" ht="15" hidden="false" customHeight="true" outlineLevel="0" collapsed="false">
      <c r="A6" s="119"/>
      <c r="B6" s="119"/>
      <c r="C6" s="119"/>
      <c r="D6" s="159"/>
      <c r="E6" s="119"/>
      <c r="F6" s="119"/>
      <c r="G6" s="159"/>
      <c r="H6" s="119"/>
      <c r="I6" s="142" t="str">
        <f aca="false">IF(D6="","",D6+90)</f>
        <v/>
      </c>
      <c r="J6" s="160" t="str">
        <f aca="true">IF(I6="","",I6-TODAY())</f>
        <v/>
      </c>
      <c r="K6" s="125" t="str">
        <f aca="false">IF(OR(C6="",F6=""),"",IF(AND(C6="Exit Review",H6="N"),"NO CREDIBLE PLAN — SELL WITHIN 30 DAYS",IF(AND(C6="Probationary Hold",F6&gt;=65),"RECOVERED — REMOVE FROM WATCH LIST",IF(AND(C6="Exit Review",F6&gt;=50),"RECOVERED — MOVE TO PROBATIONARY HOLD",IF(J6&lt;0,"DEADLINE PASSED — SELL WITHIN 30 DAYS",IF(J6&lt;=14,"DEADLINE APPROACHING","ON TRACK"))))))</f>
        <v/>
      </c>
      <c r="L6" s="119"/>
    </row>
    <row r="7" customFormat="false" ht="15" hidden="false" customHeight="true" outlineLevel="0" collapsed="false">
      <c r="A7" s="119"/>
      <c r="B7" s="119"/>
      <c r="C7" s="119"/>
      <c r="D7" s="159"/>
      <c r="E7" s="119"/>
      <c r="F7" s="119"/>
      <c r="G7" s="159"/>
      <c r="H7" s="119"/>
      <c r="I7" s="142" t="str">
        <f aca="false">IF(D7="","",D7+90)</f>
        <v/>
      </c>
      <c r="J7" s="160" t="str">
        <f aca="true">IF(I7="","",I7-TODAY())</f>
        <v/>
      </c>
      <c r="K7" s="125" t="str">
        <f aca="false">IF(OR(C7="",F7=""),"",IF(AND(C7="Exit Review",H7="N"),"NO CREDIBLE PLAN — SELL WITHIN 30 DAYS",IF(AND(C7="Probationary Hold",F7&gt;=65),"RECOVERED — REMOVE FROM WATCH LIST",IF(AND(C7="Exit Review",F7&gt;=50),"RECOVERED — MOVE TO PROBATIONARY HOLD",IF(J7&lt;0,"DEADLINE PASSED — SELL WITHIN 30 DAYS",IF(J7&lt;=14,"DEADLINE APPROACHING","ON TRACK"))))))</f>
        <v/>
      </c>
      <c r="L7" s="119"/>
    </row>
    <row r="8" customFormat="false" ht="15" hidden="false" customHeight="true" outlineLevel="0" collapsed="false">
      <c r="A8" s="119"/>
      <c r="B8" s="119"/>
      <c r="C8" s="119"/>
      <c r="D8" s="159"/>
      <c r="E8" s="119"/>
      <c r="F8" s="119"/>
      <c r="G8" s="159"/>
      <c r="H8" s="119"/>
      <c r="I8" s="142" t="str">
        <f aca="false">IF(D8="","",D8+90)</f>
        <v/>
      </c>
      <c r="J8" s="160" t="str">
        <f aca="true">IF(I8="","",I8-TODAY())</f>
        <v/>
      </c>
      <c r="K8" s="125" t="str">
        <f aca="false">IF(OR(C8="",F8=""),"",IF(AND(C8="Exit Review",H8="N"),"NO CREDIBLE PLAN — SELL WITHIN 30 DAYS",IF(AND(C8="Probationary Hold",F8&gt;=65),"RECOVERED — REMOVE FROM WATCH LIST",IF(AND(C8="Exit Review",F8&gt;=50),"RECOVERED — MOVE TO PROBATIONARY HOLD",IF(J8&lt;0,"DEADLINE PASSED — SELL WITHIN 30 DAYS",IF(J8&lt;=14,"DEADLINE APPROACHING","ON TRACK"))))))</f>
        <v/>
      </c>
      <c r="L8" s="119"/>
    </row>
    <row r="9" customFormat="false" ht="15" hidden="false" customHeight="true" outlineLevel="0" collapsed="false">
      <c r="A9" s="119"/>
      <c r="B9" s="119"/>
      <c r="C9" s="119"/>
      <c r="D9" s="159"/>
      <c r="E9" s="119"/>
      <c r="F9" s="119"/>
      <c r="G9" s="159"/>
      <c r="H9" s="119"/>
      <c r="I9" s="142" t="str">
        <f aca="false">IF(D9="","",D9+90)</f>
        <v/>
      </c>
      <c r="J9" s="160" t="str">
        <f aca="true">IF(I9="","",I9-TODAY())</f>
        <v/>
      </c>
      <c r="K9" s="125" t="str">
        <f aca="false">IF(OR(C9="",F9=""),"",IF(AND(C9="Exit Review",H9="N"),"NO CREDIBLE PLAN — SELL WITHIN 30 DAYS",IF(AND(C9="Probationary Hold",F9&gt;=65),"RECOVERED — REMOVE FROM WATCH LIST",IF(AND(C9="Exit Review",F9&gt;=50),"RECOVERED — MOVE TO PROBATIONARY HOLD",IF(J9&lt;0,"DEADLINE PASSED — SELL WITHIN 30 DAYS",IF(J9&lt;=14,"DEADLINE APPROACHING","ON TRACK"))))))</f>
        <v/>
      </c>
      <c r="L9" s="119"/>
    </row>
    <row r="10" customFormat="false" ht="15" hidden="false" customHeight="true" outlineLevel="0" collapsed="false">
      <c r="A10" s="119"/>
      <c r="B10" s="119"/>
      <c r="C10" s="119"/>
      <c r="D10" s="159"/>
      <c r="E10" s="119"/>
      <c r="F10" s="119"/>
      <c r="G10" s="159"/>
      <c r="H10" s="119"/>
      <c r="I10" s="142" t="str">
        <f aca="false">IF(D10="","",D10+90)</f>
        <v/>
      </c>
      <c r="J10" s="160" t="str">
        <f aca="true">IF(I10="","",I10-TODAY())</f>
        <v/>
      </c>
      <c r="K10" s="125" t="str">
        <f aca="false">IF(OR(C10="",F10=""),"",IF(AND(C10="Exit Review",H10="N"),"NO CREDIBLE PLAN — SELL WITHIN 30 DAYS",IF(AND(C10="Probationary Hold",F10&gt;=65),"RECOVERED — REMOVE FROM WATCH LIST",IF(AND(C10="Exit Review",F10&gt;=50),"RECOVERED — MOVE TO PROBATIONARY HOLD",IF(J10&lt;0,"DEADLINE PASSED — SELL WITHIN 30 DAYS",IF(J10&lt;=14,"DEADLINE APPROACHING","ON TRACK"))))))</f>
        <v/>
      </c>
      <c r="L10" s="119"/>
    </row>
    <row r="11" customFormat="false" ht="15" hidden="false" customHeight="true" outlineLevel="0" collapsed="false">
      <c r="A11" s="119"/>
      <c r="B11" s="119"/>
      <c r="C11" s="119"/>
      <c r="D11" s="159"/>
      <c r="E11" s="119"/>
      <c r="F11" s="119"/>
      <c r="G11" s="159"/>
      <c r="H11" s="119"/>
      <c r="I11" s="142" t="str">
        <f aca="false">IF(D11="","",D11+90)</f>
        <v/>
      </c>
      <c r="J11" s="160" t="str">
        <f aca="true">IF(I11="","",I11-TODAY())</f>
        <v/>
      </c>
      <c r="K11" s="125" t="str">
        <f aca="false">IF(OR(C11="",F11=""),"",IF(AND(C11="Exit Review",H11="N"),"NO CREDIBLE PLAN — SELL WITHIN 30 DAYS",IF(AND(C11="Probationary Hold",F11&gt;=65),"RECOVERED — REMOVE FROM WATCH LIST",IF(AND(C11="Exit Review",F11&gt;=50),"RECOVERED — MOVE TO PROBATIONARY HOLD",IF(J11&lt;0,"DEADLINE PASSED — SELL WITHIN 30 DAYS",IF(J11&lt;=14,"DEADLINE APPROACHING","ON TRACK"))))))</f>
        <v/>
      </c>
      <c r="L11" s="119"/>
    </row>
    <row r="12" customFormat="false" ht="15" hidden="false" customHeight="true" outlineLevel="0" collapsed="false">
      <c r="A12" s="119"/>
      <c r="B12" s="119"/>
      <c r="C12" s="119"/>
      <c r="D12" s="159"/>
      <c r="E12" s="119"/>
      <c r="F12" s="119"/>
      <c r="G12" s="159"/>
      <c r="H12" s="119"/>
      <c r="I12" s="142" t="str">
        <f aca="false">IF(D12="","",D12+90)</f>
        <v/>
      </c>
      <c r="J12" s="160" t="str">
        <f aca="true">IF(I12="","",I12-TODAY())</f>
        <v/>
      </c>
      <c r="K12" s="125" t="str">
        <f aca="false">IF(OR(C12="",F12=""),"",IF(AND(C12="Exit Review",H12="N"),"NO CREDIBLE PLAN — SELL WITHIN 30 DAYS",IF(AND(C12="Probationary Hold",F12&gt;=65),"RECOVERED — REMOVE FROM WATCH LIST",IF(AND(C12="Exit Review",F12&gt;=50),"RECOVERED — MOVE TO PROBATIONARY HOLD",IF(J12&lt;0,"DEADLINE PASSED — SELL WITHIN 30 DAYS",IF(J12&lt;=14,"DEADLINE APPROACHING","ON TRACK"))))))</f>
        <v/>
      </c>
      <c r="L12" s="119"/>
    </row>
    <row r="13" customFormat="false" ht="15" hidden="false" customHeight="true" outlineLevel="0" collapsed="false">
      <c r="A13" s="119"/>
      <c r="B13" s="119"/>
      <c r="C13" s="119"/>
      <c r="D13" s="159"/>
      <c r="E13" s="119"/>
      <c r="F13" s="119"/>
      <c r="G13" s="159"/>
      <c r="H13" s="119"/>
      <c r="I13" s="142" t="str">
        <f aca="false">IF(D13="","",D13+90)</f>
        <v/>
      </c>
      <c r="J13" s="160" t="str">
        <f aca="true">IF(I13="","",I13-TODAY())</f>
        <v/>
      </c>
      <c r="K13" s="125" t="str">
        <f aca="false">IF(OR(C13="",F13=""),"",IF(AND(C13="Exit Review",H13="N"),"NO CREDIBLE PLAN — SELL WITHIN 30 DAYS",IF(AND(C13="Probationary Hold",F13&gt;=65),"RECOVERED — REMOVE FROM WATCH LIST",IF(AND(C13="Exit Review",F13&gt;=50),"RECOVERED — MOVE TO PROBATIONARY HOLD",IF(J13&lt;0,"DEADLINE PASSED — SELL WITHIN 30 DAYS",IF(J13&lt;=14,"DEADLINE APPROACHING","ON TRACK"))))))</f>
        <v/>
      </c>
      <c r="L13" s="119"/>
    </row>
    <row r="14" customFormat="false" ht="15" hidden="false" customHeight="true" outlineLevel="0" collapsed="false">
      <c r="A14" s="119"/>
      <c r="B14" s="119"/>
      <c r="C14" s="119"/>
      <c r="D14" s="159"/>
      <c r="E14" s="119"/>
      <c r="F14" s="119"/>
      <c r="G14" s="159"/>
      <c r="H14" s="119"/>
      <c r="I14" s="142" t="str">
        <f aca="false">IF(D14="","",D14+90)</f>
        <v/>
      </c>
      <c r="J14" s="160" t="str">
        <f aca="true">IF(I14="","",I14-TODAY())</f>
        <v/>
      </c>
      <c r="K14" s="125" t="str">
        <f aca="false">IF(OR(C14="",F14=""),"",IF(AND(C14="Exit Review",H14="N"),"NO CREDIBLE PLAN — SELL WITHIN 30 DAYS",IF(AND(C14="Probationary Hold",F14&gt;=65),"RECOVERED — REMOVE FROM WATCH LIST",IF(AND(C14="Exit Review",F14&gt;=50),"RECOVERED — MOVE TO PROBATIONARY HOLD",IF(J14&lt;0,"DEADLINE PASSED — SELL WITHIN 30 DAYS",IF(J14&lt;=14,"DEADLINE APPROACHING","ON TRACK"))))))</f>
        <v/>
      </c>
      <c r="L14" s="119"/>
    </row>
    <row r="15" customFormat="false" ht="15" hidden="false" customHeight="true" outlineLevel="0" collapsed="false">
      <c r="A15" s="119"/>
      <c r="B15" s="119"/>
      <c r="C15" s="119"/>
      <c r="D15" s="159"/>
      <c r="E15" s="119"/>
      <c r="F15" s="119"/>
      <c r="G15" s="159"/>
      <c r="H15" s="119"/>
      <c r="I15" s="142" t="str">
        <f aca="false">IF(D15="","",D15+90)</f>
        <v/>
      </c>
      <c r="J15" s="160" t="str">
        <f aca="true">IF(I15="","",I15-TODAY())</f>
        <v/>
      </c>
      <c r="K15" s="125" t="str">
        <f aca="false">IF(OR(C15="",F15=""),"",IF(AND(C15="Exit Review",H15="N"),"NO CREDIBLE PLAN — SELL WITHIN 30 DAYS",IF(AND(C15="Probationary Hold",F15&gt;=65),"RECOVERED — REMOVE FROM WATCH LIST",IF(AND(C15="Exit Review",F15&gt;=50),"RECOVERED — MOVE TO PROBATIONARY HOLD",IF(J15&lt;0,"DEADLINE PASSED — SELL WITHIN 30 DAYS",IF(J15&lt;=14,"DEADLINE APPROACHING","ON TRACK"))))))</f>
        <v/>
      </c>
      <c r="L15" s="119"/>
    </row>
    <row r="16" customFormat="false" ht="15" hidden="false" customHeight="true" outlineLevel="0" collapsed="false">
      <c r="A16" s="119"/>
      <c r="B16" s="119"/>
      <c r="C16" s="119"/>
      <c r="D16" s="159"/>
      <c r="E16" s="119"/>
      <c r="F16" s="119"/>
      <c r="G16" s="159"/>
      <c r="H16" s="119"/>
      <c r="I16" s="142" t="str">
        <f aca="false">IF(D16="","",D16+90)</f>
        <v/>
      </c>
      <c r="J16" s="160" t="str">
        <f aca="true">IF(I16="","",I16-TODAY())</f>
        <v/>
      </c>
      <c r="K16" s="125" t="str">
        <f aca="false">IF(OR(C16="",F16=""),"",IF(AND(C16="Exit Review",H16="N"),"NO CREDIBLE PLAN — SELL WITHIN 30 DAYS",IF(AND(C16="Probationary Hold",F16&gt;=65),"RECOVERED — REMOVE FROM WATCH LIST",IF(AND(C16="Exit Review",F16&gt;=50),"RECOVERED — MOVE TO PROBATIONARY HOLD",IF(J16&lt;0,"DEADLINE PASSED — SELL WITHIN 30 DAYS",IF(J16&lt;=14,"DEADLINE APPROACHING","ON TRACK"))))))</f>
        <v/>
      </c>
      <c r="L16" s="119"/>
    </row>
    <row r="17" customFormat="false" ht="15" hidden="false" customHeight="true" outlineLevel="0" collapsed="false">
      <c r="A17" s="119"/>
      <c r="B17" s="119"/>
      <c r="C17" s="119"/>
      <c r="D17" s="159"/>
      <c r="E17" s="119"/>
      <c r="F17" s="119"/>
      <c r="G17" s="159"/>
      <c r="H17" s="119"/>
      <c r="I17" s="142" t="str">
        <f aca="false">IF(D17="","",D17+90)</f>
        <v/>
      </c>
      <c r="J17" s="160" t="str">
        <f aca="true">IF(I17="","",I17-TODAY())</f>
        <v/>
      </c>
      <c r="K17" s="125" t="str">
        <f aca="false">IF(OR(C17="",F17=""),"",IF(AND(C17="Exit Review",H17="N"),"NO CREDIBLE PLAN — SELL WITHIN 30 DAYS",IF(AND(C17="Probationary Hold",F17&gt;=65),"RECOVERED — REMOVE FROM WATCH LIST",IF(AND(C17="Exit Review",F17&gt;=50),"RECOVERED — MOVE TO PROBATIONARY HOLD",IF(J17&lt;0,"DEADLINE PASSED — SELL WITHIN 30 DAYS",IF(J17&lt;=14,"DEADLINE APPROACHING","ON TRACK"))))))</f>
        <v/>
      </c>
      <c r="L17" s="119"/>
    </row>
    <row r="18" customFormat="false" ht="15" hidden="false" customHeight="true" outlineLevel="0" collapsed="false">
      <c r="A18" s="119"/>
      <c r="B18" s="119"/>
      <c r="C18" s="119"/>
      <c r="D18" s="159"/>
      <c r="E18" s="119"/>
      <c r="F18" s="119"/>
      <c r="G18" s="159"/>
      <c r="H18" s="119"/>
      <c r="I18" s="142" t="str">
        <f aca="false">IF(D18="","",D18+90)</f>
        <v/>
      </c>
      <c r="J18" s="160" t="str">
        <f aca="true">IF(I18="","",I18-TODAY())</f>
        <v/>
      </c>
      <c r="K18" s="125" t="str">
        <f aca="false">IF(OR(C18="",F18=""),"",IF(AND(C18="Exit Review",H18="N"),"NO CREDIBLE PLAN — SELL WITHIN 30 DAYS",IF(AND(C18="Probationary Hold",F18&gt;=65),"RECOVERED — REMOVE FROM WATCH LIST",IF(AND(C18="Exit Review",F18&gt;=50),"RECOVERED — MOVE TO PROBATIONARY HOLD",IF(J18&lt;0,"DEADLINE PASSED — SELL WITHIN 30 DAYS",IF(J18&lt;=14,"DEADLINE APPROACHING","ON TRACK"))))))</f>
        <v/>
      </c>
      <c r="L18" s="119"/>
    </row>
    <row r="19" customFormat="false" ht="15" hidden="false" customHeight="true" outlineLevel="0" collapsed="false">
      <c r="A19" s="119"/>
      <c r="B19" s="119"/>
      <c r="C19" s="119"/>
      <c r="D19" s="159"/>
      <c r="E19" s="119"/>
      <c r="F19" s="119"/>
      <c r="G19" s="159"/>
      <c r="H19" s="119"/>
      <c r="I19" s="142" t="str">
        <f aca="false">IF(D19="","",D19+90)</f>
        <v/>
      </c>
      <c r="J19" s="160" t="str">
        <f aca="true">IF(I19="","",I19-TODAY())</f>
        <v/>
      </c>
      <c r="K19" s="125" t="str">
        <f aca="false">IF(OR(C19="",F19=""),"",IF(AND(C19="Exit Review",H19="N"),"NO CREDIBLE PLAN — SELL WITHIN 30 DAYS",IF(AND(C19="Probationary Hold",F19&gt;=65),"RECOVERED — REMOVE FROM WATCH LIST",IF(AND(C19="Exit Review",F19&gt;=50),"RECOVERED — MOVE TO PROBATIONARY HOLD",IF(J19&lt;0,"DEADLINE PASSED — SELL WITHIN 30 DAYS",IF(J19&lt;=14,"DEADLINE APPROACHING","ON TRACK"))))))</f>
        <v/>
      </c>
      <c r="L19" s="119"/>
    </row>
    <row r="20" customFormat="false" ht="15" hidden="false" customHeight="true" outlineLevel="0" collapsed="false">
      <c r="A20" s="119"/>
      <c r="B20" s="119"/>
      <c r="C20" s="119"/>
      <c r="D20" s="159"/>
      <c r="E20" s="119"/>
      <c r="F20" s="119"/>
      <c r="G20" s="159"/>
      <c r="H20" s="119"/>
      <c r="I20" s="142" t="str">
        <f aca="false">IF(D20="","",D20+90)</f>
        <v/>
      </c>
      <c r="J20" s="160" t="str">
        <f aca="true">IF(I20="","",I20-TODAY())</f>
        <v/>
      </c>
      <c r="K20" s="125" t="str">
        <f aca="false">IF(OR(C20="",F20=""),"",IF(AND(C20="Exit Review",H20="N"),"NO CREDIBLE PLAN — SELL WITHIN 30 DAYS",IF(AND(C20="Probationary Hold",F20&gt;=65),"RECOVERED — REMOVE FROM WATCH LIST",IF(AND(C20="Exit Review",F20&gt;=50),"RECOVERED — MOVE TO PROBATIONARY HOLD",IF(J20&lt;0,"DEADLINE PASSED — SELL WITHIN 30 DAYS",IF(J20&lt;=14,"DEADLINE APPROACHING","ON TRACK"))))))</f>
        <v/>
      </c>
      <c r="L20" s="119"/>
    </row>
    <row r="21" customFormat="false" ht="15" hidden="false" customHeight="true" outlineLevel="0" collapsed="false">
      <c r="A21" s="119"/>
      <c r="B21" s="119"/>
      <c r="C21" s="119"/>
      <c r="D21" s="159"/>
      <c r="E21" s="119"/>
      <c r="F21" s="119"/>
      <c r="G21" s="159"/>
      <c r="H21" s="119"/>
      <c r="I21" s="142" t="str">
        <f aca="false">IF(D21="","",D21+90)</f>
        <v/>
      </c>
      <c r="J21" s="160" t="str">
        <f aca="true">IF(I21="","",I21-TODAY())</f>
        <v/>
      </c>
      <c r="K21" s="125" t="str">
        <f aca="false">IF(OR(C21="",F21=""),"",IF(AND(C21="Exit Review",H21="N"),"NO CREDIBLE PLAN — SELL WITHIN 30 DAYS",IF(AND(C21="Probationary Hold",F21&gt;=65),"RECOVERED — REMOVE FROM WATCH LIST",IF(AND(C21="Exit Review",F21&gt;=50),"RECOVERED — MOVE TO PROBATIONARY HOLD",IF(J21&lt;0,"DEADLINE PASSED — SELL WITHIN 30 DAYS",IF(J21&lt;=14,"DEADLINE APPROACHING","ON TRACK"))))))</f>
        <v/>
      </c>
      <c r="L21" s="119"/>
    </row>
    <row r="22" customFormat="false" ht="15" hidden="false" customHeight="true" outlineLevel="0" collapsed="false">
      <c r="A22" s="119"/>
      <c r="B22" s="119"/>
      <c r="C22" s="119"/>
      <c r="D22" s="159"/>
      <c r="E22" s="119"/>
      <c r="F22" s="119"/>
      <c r="G22" s="159"/>
      <c r="H22" s="119"/>
      <c r="I22" s="142" t="str">
        <f aca="false">IF(D22="","",D22+90)</f>
        <v/>
      </c>
      <c r="J22" s="160" t="str">
        <f aca="true">IF(I22="","",I22-TODAY())</f>
        <v/>
      </c>
      <c r="K22" s="125" t="str">
        <f aca="false">IF(OR(C22="",F22=""),"",IF(AND(C22="Exit Review",H22="N"),"NO CREDIBLE PLAN — SELL WITHIN 30 DAYS",IF(AND(C22="Probationary Hold",F22&gt;=65),"RECOVERED — REMOVE FROM WATCH LIST",IF(AND(C22="Exit Review",F22&gt;=50),"RECOVERED — MOVE TO PROBATIONARY HOLD",IF(J22&lt;0,"DEADLINE PASSED — SELL WITHIN 30 DAYS",IF(J22&lt;=14,"DEADLINE APPROACHING","ON TRACK"))))))</f>
        <v/>
      </c>
      <c r="L22" s="119"/>
    </row>
  </sheetData>
  <conditionalFormatting sqref="K3:K22">
    <cfRule type="expression" priority="2" aboveAverage="0" equalAverage="0" bottom="0" percent="0" rank="0" text="" dxfId="17">
      <formula>ISNUMBER(SEARCH("RECOVERED",K3))</formula>
    </cfRule>
    <cfRule type="expression" priority="3" aboveAverage="0" equalAverage="0" bottom="0" percent="0" rank="0" text="" dxfId="17">
      <formula>ISNUMBER(SEARCH("ON TRACK",K3))</formula>
    </cfRule>
    <cfRule type="expression" priority="4" aboveAverage="0" equalAverage="0" bottom="0" percent="0" rank="0" text="" dxfId="19">
      <formula>ISNUMBER(SEARCH("DEADLINE APPROACHING",K3))</formula>
    </cfRule>
    <cfRule type="expression" priority="5" aboveAverage="0" equalAverage="0" bottom="0" percent="0" rank="0" text="" dxfId="0">
      <formula>ISNUMBER(SEARCH("SELL WITHIN 30 DAYS",K3))</formula>
    </cfRule>
  </conditionalFormatting>
  <dataValidations count="2">
    <dataValidation allowBlank="true" errorStyle="stop" operator="between" showDropDown="false" showErrorMessage="false" showInputMessage="false" sqref="C3:C22" type="list">
      <formula1>"Probationary Hold,Exit Review"</formula1>
      <formula2>0</formula2>
    </dataValidation>
    <dataValidation allowBlank="true" errorStyle="stop" operator="between" showDropDown="false" showErrorMessage="false" showInputMessage="false" sqref="H3:H22" type="list">
      <formula1>"Y,N"</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F42" activeCellId="0" sqref="F42"/>
    </sheetView>
  </sheetViews>
  <sheetFormatPr defaultColWidth="8.66796875" defaultRowHeight="14.25" customHeight="false" zeroHeight="false" outlineLevelRow="0" outlineLevelCol="0"/>
  <cols>
    <col collapsed="false" customWidth="true" hidden="false" outlineLevel="0" max="1" min="1" style="162" width="8"/>
    <col collapsed="false" customWidth="true" hidden="false" outlineLevel="0" max="2" min="2" style="1" width="14"/>
    <col collapsed="false" customWidth="true" hidden="false" outlineLevel="0" max="21" min="3" style="1" width="9.56"/>
  </cols>
  <sheetData>
    <row r="1" customFormat="false" ht="25.5" hidden="false" customHeight="true" outlineLevel="0" collapsed="false">
      <c r="A1" s="163" t="s">
        <v>479</v>
      </c>
      <c r="B1" s="158"/>
      <c r="C1" s="158"/>
      <c r="D1" s="158"/>
      <c r="E1" s="158"/>
      <c r="F1" s="158"/>
      <c r="G1" s="158"/>
      <c r="H1" s="158"/>
      <c r="I1" s="158"/>
      <c r="J1" s="158"/>
      <c r="K1" s="158"/>
      <c r="L1" s="158"/>
      <c r="M1" s="158"/>
      <c r="N1" s="158"/>
      <c r="O1" s="158"/>
      <c r="P1" s="158"/>
      <c r="Q1" s="158"/>
      <c r="R1" s="158"/>
      <c r="S1" s="158"/>
      <c r="T1" s="158"/>
    </row>
    <row r="2" customFormat="false" ht="15.75" hidden="false" customHeight="true" outlineLevel="0" collapsed="false">
      <c r="D2" s="164" t="s">
        <v>480</v>
      </c>
      <c r="E2" s="164"/>
      <c r="F2" s="164"/>
      <c r="G2" s="164"/>
      <c r="H2" s="164"/>
      <c r="I2" s="165" t="s">
        <v>481</v>
      </c>
      <c r="J2" s="165"/>
      <c r="K2" s="165"/>
      <c r="L2" s="165"/>
      <c r="M2" s="165"/>
      <c r="N2" s="166" t="s">
        <v>482</v>
      </c>
      <c r="O2" s="166"/>
      <c r="P2" s="166"/>
      <c r="Q2" s="166"/>
      <c r="R2" s="166"/>
      <c r="S2" s="167" t="s">
        <v>483</v>
      </c>
      <c r="T2" s="167"/>
      <c r="U2" s="167"/>
    </row>
    <row r="3" customFormat="false" ht="42.75" hidden="false" customHeight="true" outlineLevel="0" collapsed="false">
      <c r="A3" s="111" t="s">
        <v>81</v>
      </c>
      <c r="B3" s="111" t="s">
        <v>279</v>
      </c>
      <c r="C3" s="111" t="s">
        <v>484</v>
      </c>
      <c r="D3" s="111" t="s">
        <v>485</v>
      </c>
      <c r="E3" s="111" t="s">
        <v>486</v>
      </c>
      <c r="F3" s="111" t="s">
        <v>487</v>
      </c>
      <c r="G3" s="111" t="s">
        <v>488</v>
      </c>
      <c r="H3" s="111" t="s">
        <v>489</v>
      </c>
      <c r="I3" s="111" t="s">
        <v>485</v>
      </c>
      <c r="J3" s="111" t="s">
        <v>486</v>
      </c>
      <c r="K3" s="111" t="s">
        <v>487</v>
      </c>
      <c r="L3" s="111" t="s">
        <v>488</v>
      </c>
      <c r="M3" s="111" t="s">
        <v>489</v>
      </c>
      <c r="N3" s="111" t="s">
        <v>485</v>
      </c>
      <c r="O3" s="111" t="s">
        <v>486</v>
      </c>
      <c r="P3" s="111" t="s">
        <v>487</v>
      </c>
      <c r="Q3" s="111" t="s">
        <v>488</v>
      </c>
      <c r="R3" s="111" t="s">
        <v>489</v>
      </c>
      <c r="S3" s="111" t="s">
        <v>490</v>
      </c>
      <c r="T3" s="111" t="s">
        <v>491</v>
      </c>
      <c r="U3" s="111" t="s">
        <v>492</v>
      </c>
    </row>
    <row r="4" customFormat="false" ht="15" hidden="false" customHeight="true" outlineLevel="0" collapsed="false">
      <c r="A4" s="62"/>
      <c r="B4" s="63"/>
      <c r="C4" s="67"/>
      <c r="D4" s="67"/>
      <c r="E4" s="168"/>
      <c r="F4" s="67"/>
      <c r="G4" s="68" t="str">
        <f aca="false">IF(OR(C4="",D4="",E4="",F4=""),"",IFERROR(((D4*E4+F4)/C4)^(1/5)-1,"n/a"))</f>
        <v/>
      </c>
      <c r="H4" s="63"/>
      <c r="I4" s="67"/>
      <c r="J4" s="168"/>
      <c r="K4" s="67"/>
      <c r="L4" s="68" t="str">
        <f aca="false">IF(OR(C4="",I4="",J4="",K4=""),"",IFERROR(((I4*J4+K4)/C4)^(1/5)-1,"n/a"))</f>
        <v/>
      </c>
      <c r="M4" s="63"/>
      <c r="N4" s="67"/>
      <c r="O4" s="168"/>
      <c r="P4" s="67"/>
      <c r="Q4" s="68" t="str">
        <f aca="false">IF(OR(C4="",N4="",O4="",P4=""),"",IFERROR(((N4*O4+P4)/C4)^(1/5)-1,"n/a"))</f>
        <v/>
      </c>
      <c r="R4" s="63"/>
      <c r="S4" s="72" t="str">
        <f aca="false">IF(G4="","",IF(G4&gt;0.1,"PASS","FAIL"))</f>
        <v/>
      </c>
      <c r="T4" s="72" t="str">
        <f aca="false">IF(L4="","",IF(L4&gt;=0,"PASS","FAIL"))</f>
        <v/>
      </c>
      <c r="U4" s="72" t="str">
        <f aca="false">IF(COUNTA(H4,M4,R4)=0,"",IF((COUNTIF(H4,"Likely")+COUNTIF(M4,"Likely")+COUNTIF(R4,"Likely"))=1,"OK","CHECK TAGS"))</f>
        <v/>
      </c>
    </row>
    <row r="5" customFormat="false" ht="15" hidden="false" customHeight="true" outlineLevel="0" collapsed="false">
      <c r="A5" s="62"/>
      <c r="B5" s="63"/>
      <c r="C5" s="67"/>
      <c r="D5" s="67"/>
      <c r="E5" s="168"/>
      <c r="F5" s="67"/>
      <c r="G5" s="68" t="str">
        <f aca="false">IF(OR(C5="",D5="",E5="",F5=""),"",IFERROR(((D5*E5+F5)/C5)^(1/5)-1,"n/a"))</f>
        <v/>
      </c>
      <c r="H5" s="63"/>
      <c r="I5" s="67"/>
      <c r="J5" s="168"/>
      <c r="K5" s="67"/>
      <c r="L5" s="68" t="str">
        <f aca="false">IF(OR(C5="",I5="",J5="",K5=""),"",IFERROR(((I5*J5+K5)/C5)^(1/5)-1,"n/a"))</f>
        <v/>
      </c>
      <c r="M5" s="63"/>
      <c r="N5" s="67"/>
      <c r="O5" s="168"/>
      <c r="P5" s="67"/>
      <c r="Q5" s="68" t="str">
        <f aca="false">IF(OR(C5="",N5="",O5="",P5=""),"",IFERROR(((N5*O5+P5)/C5)^(1/5)-1,"n/a"))</f>
        <v/>
      </c>
      <c r="R5" s="63"/>
      <c r="S5" s="72" t="str">
        <f aca="false">IF(G5="","",IF(G5&gt;0.1,"PASS","FAIL"))</f>
        <v/>
      </c>
      <c r="T5" s="72" t="str">
        <f aca="false">IF(L5="","",IF(L5&gt;=0,"PASS","FAIL"))</f>
        <v/>
      </c>
      <c r="U5" s="72" t="str">
        <f aca="false">IF(COUNTA(H5,M5,R5)=0,"",IF((COUNTIF(H5,"Likely")+COUNTIF(M5,"Likely")+COUNTIF(R5,"Likely"))=1,"OK","CHECK TAGS"))</f>
        <v/>
      </c>
    </row>
    <row r="6" customFormat="false" ht="15" hidden="false" customHeight="true" outlineLevel="0" collapsed="false">
      <c r="A6" s="62"/>
      <c r="B6" s="63"/>
      <c r="C6" s="67"/>
      <c r="D6" s="67"/>
      <c r="E6" s="168"/>
      <c r="F6" s="67"/>
      <c r="G6" s="68" t="str">
        <f aca="false">IF(OR(C6="",D6="",E6="",F6=""),"",IFERROR(((D6*E6+F6)/C6)^(1/5)-1,"n/a"))</f>
        <v/>
      </c>
      <c r="H6" s="63"/>
      <c r="I6" s="67"/>
      <c r="J6" s="168"/>
      <c r="K6" s="67"/>
      <c r="L6" s="68" t="str">
        <f aca="false">IF(OR(C6="",I6="",J6="",K6=""),"",IFERROR(((I6*J6+K6)/C6)^(1/5)-1,"n/a"))</f>
        <v/>
      </c>
      <c r="M6" s="63"/>
      <c r="N6" s="67"/>
      <c r="O6" s="168"/>
      <c r="P6" s="67"/>
      <c r="Q6" s="68" t="str">
        <f aca="false">IF(OR(C6="",N6="",O6="",P6=""),"",IFERROR(((N6*O6+P6)/C6)^(1/5)-1,"n/a"))</f>
        <v/>
      </c>
      <c r="R6" s="63"/>
      <c r="S6" s="72" t="str">
        <f aca="false">IF(G6="","",IF(G6&gt;0.1,"PASS","FAIL"))</f>
        <v/>
      </c>
      <c r="T6" s="72" t="str">
        <f aca="false">IF(L6="","",IF(L6&gt;=0,"PASS","FAIL"))</f>
        <v/>
      </c>
      <c r="U6" s="72" t="str">
        <f aca="false">IF(COUNTA(H6,M6,R6)=0,"",IF((COUNTIF(H6,"Likely")+COUNTIF(M6,"Likely")+COUNTIF(R6,"Likely"))=1,"OK","CHECK TAGS"))</f>
        <v/>
      </c>
    </row>
    <row r="7" customFormat="false" ht="15" hidden="false" customHeight="true" outlineLevel="0" collapsed="false">
      <c r="A7" s="62"/>
      <c r="B7" s="70"/>
      <c r="C7" s="67"/>
      <c r="D7" s="67"/>
      <c r="E7" s="168"/>
      <c r="F7" s="67"/>
      <c r="G7" s="68" t="str">
        <f aca="false">IF(OR(C7="",D7="",E7="",F7=""),"",IFERROR(((D7*E7+F7)/C7)^(1/5)-1,"n/a"))</f>
        <v/>
      </c>
      <c r="H7" s="63"/>
      <c r="I7" s="67"/>
      <c r="J7" s="168"/>
      <c r="K7" s="67"/>
      <c r="L7" s="68" t="str">
        <f aca="false">IF(OR(C7="",I7="",J7="",K7=""),"",IFERROR(((I7*J7+K7)/C7)^(1/5)-1,"n/a"))</f>
        <v/>
      </c>
      <c r="M7" s="63"/>
      <c r="N7" s="67"/>
      <c r="O7" s="168"/>
      <c r="P7" s="67"/>
      <c r="Q7" s="68" t="str">
        <f aca="false">IF(OR(C7="",N7="",O7="",P7=""),"",IFERROR(((N7*O7+P7)/C7)^(1/5)-1,"n/a"))</f>
        <v/>
      </c>
      <c r="R7" s="63"/>
      <c r="S7" s="72" t="str">
        <f aca="false">IF(G7="","",IF(G7&gt;0.1,"PASS","FAIL"))</f>
        <v/>
      </c>
      <c r="T7" s="72" t="str">
        <f aca="false">IF(L7="","",IF(L7&gt;=0,"PASS","FAIL"))</f>
        <v/>
      </c>
      <c r="U7" s="72" t="str">
        <f aca="false">IF(COUNTA(H7,M7,R7)=0,"",IF((COUNTIF(H7,"Likely")+COUNTIF(M7,"Likely")+COUNTIF(R7,"Likely"))=1,"OK","CHECK TAGS"))</f>
        <v/>
      </c>
    </row>
    <row r="8" customFormat="false" ht="15" hidden="false" customHeight="true" outlineLevel="0" collapsed="false">
      <c r="A8" s="62"/>
      <c r="B8" s="70"/>
      <c r="C8" s="67"/>
      <c r="D8" s="67"/>
      <c r="E8" s="168"/>
      <c r="F8" s="67"/>
      <c r="G8" s="68" t="str">
        <f aca="false">IF(OR(C8="",D8="",E8="",F8=""),"",IFERROR(((D8*E8+F8)/C8)^(1/5)-1,"n/a"))</f>
        <v/>
      </c>
      <c r="H8" s="63"/>
      <c r="I8" s="67"/>
      <c r="J8" s="168"/>
      <c r="K8" s="67"/>
      <c r="L8" s="68" t="str">
        <f aca="false">IF(OR(C8="",I8="",J8="",K8=""),"",IFERROR(((I8*J8+K8)/C8)^(1/5)-1,"n/a"))</f>
        <v/>
      </c>
      <c r="M8" s="63"/>
      <c r="N8" s="67"/>
      <c r="O8" s="168"/>
      <c r="P8" s="67"/>
      <c r="Q8" s="68" t="str">
        <f aca="false">IF(OR(C8="",N8="",O8="",P8=""),"",IFERROR(((N8*O8+P8)/C8)^(1/5)-1,"n/a"))</f>
        <v/>
      </c>
      <c r="R8" s="63"/>
      <c r="S8" s="72" t="str">
        <f aca="false">IF(G8="","",IF(G8&gt;0.1,"PASS","FAIL"))</f>
        <v/>
      </c>
      <c r="T8" s="72" t="str">
        <f aca="false">IF(L8="","",IF(L8&gt;=0,"PASS","FAIL"))</f>
        <v/>
      </c>
      <c r="U8" s="72" t="str">
        <f aca="false">IF(COUNTA(H8,M8,R8)=0,"",IF((COUNTIF(H8,"Likely")+COUNTIF(M8,"Likely")+COUNTIF(R8,"Likely"))=1,"OK","CHECK TAGS"))</f>
        <v/>
      </c>
    </row>
    <row r="9" customFormat="false" ht="15" hidden="false" customHeight="true" outlineLevel="0" collapsed="false">
      <c r="A9" s="62"/>
      <c r="B9" s="70"/>
      <c r="C9" s="67"/>
      <c r="D9" s="67"/>
      <c r="E9" s="168"/>
      <c r="F9" s="67"/>
      <c r="G9" s="68" t="str">
        <f aca="false">IF(OR(C9="",D9="",E9="",F9=""),"",IFERROR(((D9*E9+F9)/C9)^(1/5)-1,"n/a"))</f>
        <v/>
      </c>
      <c r="H9" s="63"/>
      <c r="I9" s="67"/>
      <c r="J9" s="168"/>
      <c r="K9" s="67"/>
      <c r="L9" s="68" t="str">
        <f aca="false">IF(OR(C9="",I9="",J9="",K9=""),"",IFERROR(((I9*J9+K9)/C9)^(1/5)-1,"n/a"))</f>
        <v/>
      </c>
      <c r="M9" s="63"/>
      <c r="N9" s="67"/>
      <c r="O9" s="168"/>
      <c r="P9" s="67"/>
      <c r="Q9" s="68" t="str">
        <f aca="false">IF(OR(C9="",N9="",O9="",P9=""),"",IFERROR(((N9*O9+P9)/C9)^(1/5)-1,"n/a"))</f>
        <v/>
      </c>
      <c r="R9" s="63"/>
      <c r="S9" s="72" t="str">
        <f aca="false">IF(G9="","",IF(G9&gt;0.1,"PASS","FAIL"))</f>
        <v/>
      </c>
      <c r="T9" s="72" t="str">
        <f aca="false">IF(L9="","",IF(L9&gt;=0,"PASS","FAIL"))</f>
        <v/>
      </c>
      <c r="U9" s="72" t="str">
        <f aca="false">IF(COUNTA(H9,M9,R9)=0,"",IF((COUNTIF(H9,"Likely")+COUNTIF(M9,"Likely")+COUNTIF(R9,"Likely"))=1,"OK","CHECK TAGS"))</f>
        <v/>
      </c>
    </row>
    <row r="10" customFormat="false" ht="15" hidden="false" customHeight="true" outlineLevel="0" collapsed="false">
      <c r="A10" s="62"/>
      <c r="B10" s="70"/>
      <c r="C10" s="67"/>
      <c r="D10" s="67"/>
      <c r="E10" s="168"/>
      <c r="F10" s="67"/>
      <c r="G10" s="68" t="str">
        <f aca="false">IF(OR(C10="",D10="",E10="",F10=""),"",IFERROR(((D10*E10+F10)/C10)^(1/5)-1,"n/a"))</f>
        <v/>
      </c>
      <c r="H10" s="63"/>
      <c r="I10" s="67"/>
      <c r="J10" s="168"/>
      <c r="K10" s="67"/>
      <c r="L10" s="68" t="str">
        <f aca="false">IF(OR(C10="",I10="",J10="",K10=""),"",IFERROR(((I10*J10+K10)/C10)^(1/5)-1,"n/a"))</f>
        <v/>
      </c>
      <c r="M10" s="63"/>
      <c r="N10" s="67"/>
      <c r="O10" s="168"/>
      <c r="P10" s="67"/>
      <c r="Q10" s="68" t="str">
        <f aca="false">IF(OR(C10="",N10="",O10="",P10=""),"",IFERROR(((N10*O10+P10)/C10)^(1/5)-1,"n/a"))</f>
        <v/>
      </c>
      <c r="R10" s="63"/>
      <c r="S10" s="72" t="str">
        <f aca="false">IF(G10="","",IF(G10&gt;0.1,"PASS","FAIL"))</f>
        <v/>
      </c>
      <c r="T10" s="72" t="str">
        <f aca="false">IF(L10="","",IF(L10&gt;=0,"PASS","FAIL"))</f>
        <v/>
      </c>
      <c r="U10" s="72" t="str">
        <f aca="false">IF(COUNTA(H10,M10,R10)=0,"",IF((COUNTIF(H10,"Likely")+COUNTIF(M10,"Likely")+COUNTIF(R10,"Likely"))=1,"OK","CHECK TAGS"))</f>
        <v/>
      </c>
    </row>
    <row r="11" customFormat="false" ht="15" hidden="false" customHeight="true" outlineLevel="0" collapsed="false">
      <c r="A11" s="62"/>
      <c r="B11" s="70"/>
      <c r="C11" s="67"/>
      <c r="D11" s="67"/>
      <c r="E11" s="168"/>
      <c r="F11" s="67"/>
      <c r="G11" s="68" t="str">
        <f aca="false">IF(OR(C11="",D11="",E11="",F11=""),"",IFERROR(((D11*E11+F11)/C11)^(1/5)-1,"n/a"))</f>
        <v/>
      </c>
      <c r="H11" s="63"/>
      <c r="I11" s="67"/>
      <c r="J11" s="168"/>
      <c r="K11" s="67"/>
      <c r="L11" s="68" t="str">
        <f aca="false">IF(OR(C11="",I11="",J11="",K11=""),"",IFERROR(((I11*J11+K11)/C11)^(1/5)-1,"n/a"))</f>
        <v/>
      </c>
      <c r="M11" s="63"/>
      <c r="N11" s="67"/>
      <c r="O11" s="168"/>
      <c r="P11" s="67"/>
      <c r="Q11" s="68" t="str">
        <f aca="false">IF(OR(C11="",N11="",O11="",P11=""),"",IFERROR(((N11*O11+P11)/C11)^(1/5)-1,"n/a"))</f>
        <v/>
      </c>
      <c r="R11" s="63"/>
      <c r="S11" s="72" t="str">
        <f aca="false">IF(G11="","",IF(G11&gt;0.1,"PASS","FAIL"))</f>
        <v/>
      </c>
      <c r="T11" s="72" t="str">
        <f aca="false">IF(L11="","",IF(L11&gt;=0,"PASS","FAIL"))</f>
        <v/>
      </c>
      <c r="U11" s="72" t="str">
        <f aca="false">IF(COUNTA(H11,M11,R11)=0,"",IF((COUNTIF(H11,"Likely")+COUNTIF(M11,"Likely")+COUNTIF(R11,"Likely"))=1,"OK","CHECK TAGS"))</f>
        <v/>
      </c>
    </row>
    <row r="12" customFormat="false" ht="15" hidden="false" customHeight="true" outlineLevel="0" collapsed="false">
      <c r="A12" s="62"/>
      <c r="B12" s="70"/>
      <c r="C12" s="67"/>
      <c r="D12" s="67"/>
      <c r="E12" s="168"/>
      <c r="F12" s="67"/>
      <c r="G12" s="68" t="str">
        <f aca="false">IF(OR(C12="",D12="",E12="",F12=""),"",IFERROR(((D12*E12+F12)/C12)^(1/5)-1,"n/a"))</f>
        <v/>
      </c>
      <c r="H12" s="63"/>
      <c r="I12" s="67"/>
      <c r="J12" s="168"/>
      <c r="K12" s="67"/>
      <c r="L12" s="68" t="str">
        <f aca="false">IF(OR(C12="",I12="",J12="",K12=""),"",IFERROR(((I12*J12+K12)/C12)^(1/5)-1,"n/a"))</f>
        <v/>
      </c>
      <c r="M12" s="63"/>
      <c r="N12" s="67"/>
      <c r="O12" s="168"/>
      <c r="P12" s="67"/>
      <c r="Q12" s="68" t="str">
        <f aca="false">IF(OR(C12="",N12="",O12="",P12=""),"",IFERROR(((N12*O12+P12)/C12)^(1/5)-1,"n/a"))</f>
        <v/>
      </c>
      <c r="R12" s="63"/>
      <c r="S12" s="72" t="str">
        <f aca="false">IF(G12="","",IF(G12&gt;0.1,"PASS","FAIL"))</f>
        <v/>
      </c>
      <c r="T12" s="72" t="str">
        <f aca="false">IF(L12="","",IF(L12&gt;=0,"PASS","FAIL"))</f>
        <v/>
      </c>
      <c r="U12" s="72" t="str">
        <f aca="false">IF(COUNTA(H12,M12,R12)=0,"",IF((COUNTIF(H12,"Likely")+COUNTIF(M12,"Likely")+COUNTIF(R12,"Likely"))=1,"OK","CHECK TAGS"))</f>
        <v/>
      </c>
    </row>
    <row r="13" customFormat="false" ht="15" hidden="false" customHeight="true" outlineLevel="0" collapsed="false">
      <c r="A13" s="62"/>
      <c r="B13" s="70"/>
      <c r="C13" s="67"/>
      <c r="D13" s="67"/>
      <c r="E13" s="168"/>
      <c r="F13" s="67"/>
      <c r="G13" s="68" t="str">
        <f aca="false">IF(OR(C13="",D13="",E13="",F13=""),"",IFERROR(((D13*E13+F13)/C13)^(1/5)-1,"n/a"))</f>
        <v/>
      </c>
      <c r="H13" s="63"/>
      <c r="I13" s="67"/>
      <c r="J13" s="168"/>
      <c r="K13" s="67"/>
      <c r="L13" s="68" t="str">
        <f aca="false">IF(OR(C13="",I13="",J13="",K13=""),"",IFERROR(((I13*J13+K13)/C13)^(1/5)-1,"n/a"))</f>
        <v/>
      </c>
      <c r="M13" s="63"/>
      <c r="N13" s="67"/>
      <c r="O13" s="168"/>
      <c r="P13" s="67"/>
      <c r="Q13" s="68" t="str">
        <f aca="false">IF(OR(C13="",N13="",O13="",P13=""),"",IFERROR(((N13*O13+P13)/C13)^(1/5)-1,"n/a"))</f>
        <v/>
      </c>
      <c r="R13" s="63"/>
      <c r="S13" s="72" t="str">
        <f aca="false">IF(G13="","",IF(G13&gt;0.1,"PASS","FAIL"))</f>
        <v/>
      </c>
      <c r="T13" s="72" t="str">
        <f aca="false">IF(L13="","",IF(L13&gt;=0,"PASS","FAIL"))</f>
        <v/>
      </c>
      <c r="U13" s="72" t="str">
        <f aca="false">IF(COUNTA(H13,M13,R13)=0,"",IF((COUNTIF(H13,"Likely")+COUNTIF(M13,"Likely")+COUNTIF(R13,"Likely"))=1,"OK","CHECK TAGS"))</f>
        <v/>
      </c>
    </row>
    <row r="14" customFormat="false" ht="15" hidden="false" customHeight="true" outlineLevel="0" collapsed="false">
      <c r="A14" s="62"/>
      <c r="B14" s="70"/>
      <c r="C14" s="67"/>
      <c r="D14" s="67"/>
      <c r="E14" s="168"/>
      <c r="F14" s="67"/>
      <c r="G14" s="68" t="str">
        <f aca="false">IF(OR(C14="",D14="",E14="",F14=""),"",IFERROR(((D14*E14+F14)/C14)^(1/5)-1,"n/a"))</f>
        <v/>
      </c>
      <c r="H14" s="63"/>
      <c r="I14" s="67"/>
      <c r="J14" s="168"/>
      <c r="K14" s="67"/>
      <c r="L14" s="68" t="str">
        <f aca="false">IF(OR(C14="",I14="",J14="",K14=""),"",IFERROR(((I14*J14+K14)/C14)^(1/5)-1,"n/a"))</f>
        <v/>
      </c>
      <c r="M14" s="63"/>
      <c r="N14" s="67"/>
      <c r="O14" s="168"/>
      <c r="P14" s="67"/>
      <c r="Q14" s="68" t="str">
        <f aca="false">IF(OR(C14="",N14="",O14="",P14=""),"",IFERROR(((N14*O14+P14)/C14)^(1/5)-1,"n/a"))</f>
        <v/>
      </c>
      <c r="R14" s="63"/>
      <c r="S14" s="72" t="str">
        <f aca="false">IF(G14="","",IF(G14&gt;0.1,"PASS","FAIL"))</f>
        <v/>
      </c>
      <c r="T14" s="72" t="str">
        <f aca="false">IF(L14="","",IF(L14&gt;=0,"PASS","FAIL"))</f>
        <v/>
      </c>
      <c r="U14" s="72" t="str">
        <f aca="false">IF(COUNTA(H14,M14,R14)=0,"",IF((COUNTIF(H14,"Likely")+COUNTIF(M14,"Likely")+COUNTIF(R14,"Likely"))=1,"OK","CHECK TAGS"))</f>
        <v/>
      </c>
    </row>
    <row r="15" customFormat="false" ht="15" hidden="false" customHeight="true" outlineLevel="0" collapsed="false">
      <c r="A15" s="62"/>
      <c r="B15" s="70"/>
      <c r="C15" s="67"/>
      <c r="D15" s="67"/>
      <c r="E15" s="168"/>
      <c r="F15" s="67"/>
      <c r="G15" s="68" t="str">
        <f aca="false">IF(OR(C15="",D15="",E15="",F15=""),"",IFERROR(((D15*E15+F15)/C15)^(1/5)-1,"n/a"))</f>
        <v/>
      </c>
      <c r="H15" s="63"/>
      <c r="I15" s="67"/>
      <c r="J15" s="168"/>
      <c r="K15" s="67"/>
      <c r="L15" s="68" t="str">
        <f aca="false">IF(OR(C15="",I15="",J15="",K15=""),"",IFERROR(((I15*J15+K15)/C15)^(1/5)-1,"n/a"))</f>
        <v/>
      </c>
      <c r="M15" s="63"/>
      <c r="N15" s="67"/>
      <c r="O15" s="168"/>
      <c r="P15" s="67"/>
      <c r="Q15" s="68" t="str">
        <f aca="false">IF(OR(C15="",N15="",O15="",P15=""),"",IFERROR(((N15*O15+P15)/C15)^(1/5)-1,"n/a"))</f>
        <v/>
      </c>
      <c r="R15" s="63"/>
      <c r="S15" s="72" t="str">
        <f aca="false">IF(G15="","",IF(G15&gt;0.1,"PASS","FAIL"))</f>
        <v/>
      </c>
      <c r="T15" s="72" t="str">
        <f aca="false">IF(L15="","",IF(L15&gt;=0,"PASS","FAIL"))</f>
        <v/>
      </c>
      <c r="U15" s="72" t="str">
        <f aca="false">IF(COUNTA(H15,M15,R15)=0,"",IF((COUNTIF(H15,"Likely")+COUNTIF(M15,"Likely")+COUNTIF(R15,"Likely"))=1,"OK","CHECK TAGS"))</f>
        <v/>
      </c>
    </row>
    <row r="16" customFormat="false" ht="15" hidden="false" customHeight="true" outlineLevel="0" collapsed="false">
      <c r="A16" s="62"/>
      <c r="B16" s="70"/>
      <c r="C16" s="67"/>
      <c r="D16" s="67"/>
      <c r="E16" s="168"/>
      <c r="F16" s="67"/>
      <c r="G16" s="68" t="str">
        <f aca="false">IF(OR(C16="",D16="",E16="",F16=""),"",IFERROR(((D16*E16+F16)/C16)^(1/5)-1,"n/a"))</f>
        <v/>
      </c>
      <c r="H16" s="63"/>
      <c r="I16" s="67"/>
      <c r="J16" s="168"/>
      <c r="K16" s="67"/>
      <c r="L16" s="68" t="str">
        <f aca="false">IF(OR(C16="",I16="",J16="",K16=""),"",IFERROR(((I16*J16+K16)/C16)^(1/5)-1,"n/a"))</f>
        <v/>
      </c>
      <c r="M16" s="63"/>
      <c r="N16" s="67"/>
      <c r="O16" s="168"/>
      <c r="P16" s="67"/>
      <c r="Q16" s="68" t="str">
        <f aca="false">IF(OR(C16="",N16="",O16="",P16=""),"",IFERROR(((N16*O16+P16)/C16)^(1/5)-1,"n/a"))</f>
        <v/>
      </c>
      <c r="R16" s="63"/>
      <c r="S16" s="72" t="str">
        <f aca="false">IF(G16="","",IF(G16&gt;0.1,"PASS","FAIL"))</f>
        <v/>
      </c>
      <c r="T16" s="72" t="str">
        <f aca="false">IF(L16="","",IF(L16&gt;=0,"PASS","FAIL"))</f>
        <v/>
      </c>
      <c r="U16" s="72" t="str">
        <f aca="false">IF(COUNTA(H16,M16,R16)=0,"",IF((COUNTIF(H16,"Likely")+COUNTIF(M16,"Likely")+COUNTIF(R16,"Likely"))=1,"OK","CHECK TAGS"))</f>
        <v/>
      </c>
    </row>
    <row r="17" customFormat="false" ht="15" hidden="false" customHeight="true" outlineLevel="0" collapsed="false">
      <c r="A17" s="62"/>
      <c r="B17" s="70"/>
      <c r="C17" s="67"/>
      <c r="D17" s="67"/>
      <c r="E17" s="168"/>
      <c r="F17" s="67"/>
      <c r="G17" s="68" t="str">
        <f aca="false">IF(OR(C17="",D17="",E17="",F17=""),"",IFERROR(((D17*E17+F17)/C17)^(1/5)-1,"n/a"))</f>
        <v/>
      </c>
      <c r="H17" s="63"/>
      <c r="I17" s="67"/>
      <c r="J17" s="168"/>
      <c r="K17" s="67"/>
      <c r="L17" s="68" t="str">
        <f aca="false">IF(OR(C17="",I17="",J17="",K17=""),"",IFERROR(((I17*J17+K17)/C17)^(1/5)-1,"n/a"))</f>
        <v/>
      </c>
      <c r="M17" s="63"/>
      <c r="N17" s="67"/>
      <c r="O17" s="168"/>
      <c r="P17" s="67"/>
      <c r="Q17" s="68" t="str">
        <f aca="false">IF(OR(C17="",N17="",O17="",P17=""),"",IFERROR(((N17*O17+P17)/C17)^(1/5)-1,"n/a"))</f>
        <v/>
      </c>
      <c r="R17" s="63"/>
      <c r="S17" s="72" t="str">
        <f aca="false">IF(G17="","",IF(G17&gt;0.1,"PASS","FAIL"))</f>
        <v/>
      </c>
      <c r="T17" s="72" t="str">
        <f aca="false">IF(L17="","",IF(L17&gt;=0,"PASS","FAIL"))</f>
        <v/>
      </c>
      <c r="U17" s="72" t="str">
        <f aca="false">IF(COUNTA(H17,M17,R17)=0,"",IF((COUNTIF(H17,"Likely")+COUNTIF(M17,"Likely")+COUNTIF(R17,"Likely"))=1,"OK","CHECK TAGS"))</f>
        <v/>
      </c>
    </row>
    <row r="18" customFormat="false" ht="15" hidden="false" customHeight="true" outlineLevel="0" collapsed="false">
      <c r="A18" s="62"/>
      <c r="B18" s="70"/>
      <c r="C18" s="67"/>
      <c r="D18" s="67"/>
      <c r="E18" s="168"/>
      <c r="F18" s="67"/>
      <c r="G18" s="68" t="str">
        <f aca="false">IF(OR(C18="",D18="",E18="",F18=""),"",IFERROR(((D18*E18+F18)/C18)^(1/5)-1,"n/a"))</f>
        <v/>
      </c>
      <c r="H18" s="63"/>
      <c r="I18" s="67"/>
      <c r="J18" s="168"/>
      <c r="K18" s="67"/>
      <c r="L18" s="68" t="str">
        <f aca="false">IF(OR(C18="",I18="",J18="",K18=""),"",IFERROR(((I18*J18+K18)/C18)^(1/5)-1,"n/a"))</f>
        <v/>
      </c>
      <c r="M18" s="63"/>
      <c r="N18" s="67"/>
      <c r="O18" s="168"/>
      <c r="P18" s="67"/>
      <c r="Q18" s="68" t="str">
        <f aca="false">IF(OR(C18="",N18="",O18="",P18=""),"",IFERROR(((N18*O18+P18)/C18)^(1/5)-1,"n/a"))</f>
        <v/>
      </c>
      <c r="R18" s="63"/>
      <c r="S18" s="72" t="str">
        <f aca="false">IF(G18="","",IF(G18&gt;0.1,"PASS","FAIL"))</f>
        <v/>
      </c>
      <c r="T18" s="72" t="str">
        <f aca="false">IF(L18="","",IF(L18&gt;=0,"PASS","FAIL"))</f>
        <v/>
      </c>
      <c r="U18" s="72" t="str">
        <f aca="false">IF(COUNTA(H18,M18,R18)=0,"",IF((COUNTIF(H18,"Likely")+COUNTIF(M18,"Likely")+COUNTIF(R18,"Likely"))=1,"OK","CHECK TAGS"))</f>
        <v/>
      </c>
    </row>
    <row r="19" customFormat="false" ht="15" hidden="false" customHeight="true" outlineLevel="0" collapsed="false">
      <c r="A19" s="62"/>
      <c r="B19" s="70"/>
      <c r="C19" s="67"/>
      <c r="D19" s="67"/>
      <c r="E19" s="168"/>
      <c r="F19" s="67"/>
      <c r="G19" s="68" t="str">
        <f aca="false">IF(OR(C19="",D19="",E19="",F19=""),"",IFERROR(((D19*E19+F19)/C19)^(1/5)-1,"n/a"))</f>
        <v/>
      </c>
      <c r="H19" s="63"/>
      <c r="I19" s="67"/>
      <c r="J19" s="168"/>
      <c r="K19" s="67"/>
      <c r="L19" s="68" t="str">
        <f aca="false">IF(OR(C19="",I19="",J19="",K19=""),"",IFERROR(((I19*J19+K19)/C19)^(1/5)-1,"n/a"))</f>
        <v/>
      </c>
      <c r="M19" s="63"/>
      <c r="N19" s="67"/>
      <c r="O19" s="168"/>
      <c r="P19" s="67"/>
      <c r="Q19" s="68" t="str">
        <f aca="false">IF(OR(C19="",N19="",O19="",P19=""),"",IFERROR(((N19*O19+P19)/C19)^(1/5)-1,"n/a"))</f>
        <v/>
      </c>
      <c r="R19" s="63"/>
      <c r="S19" s="72" t="str">
        <f aca="false">IF(G19="","",IF(G19&gt;0.1,"PASS","FAIL"))</f>
        <v/>
      </c>
      <c r="T19" s="72" t="str">
        <f aca="false">IF(L19="","",IF(L19&gt;=0,"PASS","FAIL"))</f>
        <v/>
      </c>
      <c r="U19" s="72" t="str">
        <f aca="false">IF(COUNTA(H19,M19,R19)=0,"",IF((COUNTIF(H19,"Likely")+COUNTIF(M19,"Likely")+COUNTIF(R19,"Likely"))=1,"OK","CHECK TAGS"))</f>
        <v/>
      </c>
    </row>
    <row r="20" customFormat="false" ht="15" hidden="false" customHeight="true" outlineLevel="0" collapsed="false">
      <c r="A20" s="62" t="s">
        <v>232</v>
      </c>
      <c r="B20" s="70" t="s">
        <v>493</v>
      </c>
      <c r="C20" s="67" t="n">
        <v>967.17</v>
      </c>
      <c r="D20" s="67" t="n">
        <v>23.11</v>
      </c>
      <c r="E20" s="168" t="n">
        <v>61.48</v>
      </c>
      <c r="F20" s="67" t="n">
        <v>32</v>
      </c>
      <c r="G20" s="68" t="n">
        <f aca="false">IF(OR(C20="",D20="",E20="",F20=""),"",IFERROR(((D20*E20+F20)/C20)^(1/5)-1,"n/a"))</f>
        <v>0.0847777537329333</v>
      </c>
      <c r="H20" s="63" t="s">
        <v>494</v>
      </c>
      <c r="I20" s="67" t="n">
        <v>19.14</v>
      </c>
      <c r="J20" s="168" t="n">
        <v>50</v>
      </c>
      <c r="K20" s="67" t="n">
        <v>28</v>
      </c>
      <c r="L20" s="68" t="n">
        <f aca="false">IF(OR(C20="",I20="",J20="",K20=""),"",IFERROR(((I20*J20+K20)/C20)^(1/5)-1,"n/a"))</f>
        <v>0.00366015400817998</v>
      </c>
      <c r="M20" s="63" t="s">
        <v>494</v>
      </c>
      <c r="N20" s="67" t="n">
        <v>26.51</v>
      </c>
      <c r="O20" s="168" t="n">
        <v>61.48</v>
      </c>
      <c r="P20" s="67" t="n">
        <v>35</v>
      </c>
      <c r="Q20" s="68" t="n">
        <f aca="false">IF(OR(C20="",N20="",O20="",P20=""),"",IFERROR(((N20*O20+P20)/C20)^(1/5)-1,"n/a"))</f>
        <v>0.114740206784953</v>
      </c>
      <c r="R20" s="63" t="s">
        <v>495</v>
      </c>
      <c r="S20" s="72" t="str">
        <f aca="false">IF(G20="","",IF(G20&gt;0.1,"PASS","FAIL"))</f>
        <v>FAIL</v>
      </c>
      <c r="T20" s="72" t="str">
        <f aca="false">IF(L20="","",IF(L20&gt;=0,"PASS","FAIL"))</f>
        <v>PASS</v>
      </c>
      <c r="U20" s="72" t="str">
        <f aca="false">IF(COUNTA(H20,M20,R20)=0,"",IF((COUNTIF(H20,"Likely")+COUNTIF(M20,"Likely")+COUNTIF(R20,"Likely"))=1,"OK","CHECK TAGS"))</f>
        <v>OK</v>
      </c>
    </row>
    <row r="21" customFormat="false" ht="15" hidden="false" customHeight="true" outlineLevel="0" collapsed="false">
      <c r="A21" s="62" t="s">
        <v>118</v>
      </c>
      <c r="B21" s="70" t="s">
        <v>119</v>
      </c>
      <c r="C21" s="67" t="n">
        <v>380.63</v>
      </c>
      <c r="D21" s="67" t="n">
        <v>17.84</v>
      </c>
      <c r="E21" s="168" t="n">
        <v>34.36</v>
      </c>
      <c r="F21" s="67" t="n">
        <v>16</v>
      </c>
      <c r="G21" s="68" t="n">
        <f aca="false">IF(OR(C21="",D21="",E21="",F21=""),"",IFERROR(((D21*E21+F21)/C21)^(1/5)-1,"n/a"))</f>
        <v>0.105673995986338</v>
      </c>
      <c r="H21" s="63" t="s">
        <v>495</v>
      </c>
      <c r="I21" s="67" t="n">
        <v>14.14</v>
      </c>
      <c r="J21" s="168" t="n">
        <v>28</v>
      </c>
      <c r="K21" s="67" t="n">
        <v>14</v>
      </c>
      <c r="L21" s="68" t="n">
        <f aca="false">IF(OR(C21="",I21="",J21="",K21=""),"",IFERROR(((I21*J21+K21)/C21)^(1/5)-1,"n/a"))</f>
        <v>0.0149373117952127</v>
      </c>
      <c r="M21" s="63" t="s">
        <v>494</v>
      </c>
      <c r="N21" s="67" t="n">
        <v>21.33</v>
      </c>
      <c r="O21" s="168" t="n">
        <v>38</v>
      </c>
      <c r="P21" s="67" t="n">
        <v>18</v>
      </c>
      <c r="Q21" s="68" t="n">
        <f aca="false">IF(OR(C21="",N21="",O21="",P21=""),"",IFERROR(((N21*O21+P21)/C21)^(1/5)-1,"n/a"))</f>
        <v>0.168320757920451</v>
      </c>
      <c r="R21" s="63" t="s">
        <v>494</v>
      </c>
      <c r="S21" s="72" t="str">
        <f aca="false">IF(G21="","",IF(G21&gt;0.1,"PASS","FAIL"))</f>
        <v>PASS</v>
      </c>
      <c r="T21" s="72" t="str">
        <f aca="false">IF(L21="","",IF(L21&gt;=0,"PASS","FAIL"))</f>
        <v>PASS</v>
      </c>
      <c r="U21" s="72" t="str">
        <f aca="false">IF(COUNTA(H21,M21,R21)=0,"",IF((COUNTIF(H21,"Likely")+COUNTIF(M21,"Likely")+COUNTIF(R21,"Likely"))=1,"OK","CHECK TAGS"))</f>
        <v>OK</v>
      </c>
    </row>
    <row r="22" customFormat="false" ht="15" hidden="false" customHeight="true" outlineLevel="0" collapsed="false">
      <c r="A22" s="62"/>
      <c r="B22" s="70"/>
      <c r="C22" s="67"/>
      <c r="D22" s="67"/>
      <c r="E22" s="168"/>
      <c r="F22" s="67"/>
      <c r="G22" s="68" t="str">
        <f aca="false">IF(OR(C22="",D22="",E22="",F22=""),"",IFERROR(((D22*E22+F22)/C22)^(1/5)-1,"n/a"))</f>
        <v/>
      </c>
      <c r="H22" s="63"/>
      <c r="I22" s="67"/>
      <c r="J22" s="168"/>
      <c r="K22" s="67"/>
      <c r="L22" s="68" t="str">
        <f aca="false">IF(OR(C22="",I22="",J22="",K22=""),"",IFERROR(((I22*J22+K22)/C22)^(1/5)-1,"n/a"))</f>
        <v/>
      </c>
      <c r="M22" s="63"/>
      <c r="N22" s="67"/>
      <c r="O22" s="168"/>
      <c r="P22" s="67"/>
      <c r="Q22" s="68" t="str">
        <f aca="false">IF(OR(C22="",N22="",O22="",P22=""),"",IFERROR(((N22*O22+P22)/C22)^(1/5)-1,"n/a"))</f>
        <v/>
      </c>
      <c r="R22" s="63"/>
      <c r="S22" s="72" t="str">
        <f aca="false">IF(G22="","",IF(G22&gt;0.1,"PASS","FAIL"))</f>
        <v/>
      </c>
      <c r="T22" s="72" t="str">
        <f aca="false">IF(L22="","",IF(L22&gt;=0,"PASS","FAIL"))</f>
        <v/>
      </c>
      <c r="U22" s="72" t="str">
        <f aca="false">IF(COUNTA(H22,M22,R22)=0,"",IF((COUNTIF(H22,"Likely")+COUNTIF(M22,"Likely")+COUNTIF(R22,"Likely"))=1,"OK","CHECK TAGS"))</f>
        <v/>
      </c>
    </row>
    <row r="23" customFormat="false" ht="15" hidden="false" customHeight="true" outlineLevel="0" collapsed="false">
      <c r="A23" s="62"/>
      <c r="B23" s="70"/>
      <c r="C23" s="67"/>
      <c r="D23" s="67"/>
      <c r="E23" s="168"/>
      <c r="F23" s="67"/>
      <c r="G23" s="68" t="str">
        <f aca="false">IF(OR(C23="",D23="",E23="",F23=""),"",IFERROR(((D23*E23+F23)/C23)^(1/5)-1,"n/a"))</f>
        <v/>
      </c>
      <c r="H23" s="63"/>
      <c r="I23" s="67"/>
      <c r="J23" s="168"/>
      <c r="K23" s="67"/>
      <c r="L23" s="68" t="str">
        <f aca="false">IF(OR(C23="",I23="",J23="",K23=""),"",IFERROR(((I23*J23+K23)/C23)^(1/5)-1,"n/a"))</f>
        <v/>
      </c>
      <c r="M23" s="63"/>
      <c r="N23" s="67"/>
      <c r="O23" s="168"/>
      <c r="P23" s="67"/>
      <c r="Q23" s="68" t="str">
        <f aca="false">IF(OR(C23="",N23="",O23="",P23=""),"",IFERROR(((N23*O23+P23)/C23)^(1/5)-1,"n/a"))</f>
        <v/>
      </c>
      <c r="R23" s="63"/>
      <c r="S23" s="72" t="str">
        <f aca="false">IF(G23="","",IF(G23&gt;0.1,"PASS","FAIL"))</f>
        <v/>
      </c>
      <c r="T23" s="72" t="str">
        <f aca="false">IF(L23="","",IF(L23&gt;=0,"PASS","FAIL"))</f>
        <v/>
      </c>
      <c r="U23" s="72" t="str">
        <f aca="false">IF(COUNTA(H23,M23,R23)=0,"",IF((COUNTIF(H23,"Likely")+COUNTIF(M23,"Likely")+COUNTIF(R23,"Likely"))=1,"OK","CHECK TAGS"))</f>
        <v/>
      </c>
    </row>
    <row r="24" customFormat="false" ht="15" hidden="false" customHeight="true" outlineLevel="0" collapsed="false">
      <c r="A24" s="169"/>
      <c r="B24" s="170"/>
      <c r="C24" s="171"/>
      <c r="D24" s="171"/>
      <c r="E24" s="172"/>
      <c r="F24" s="171"/>
      <c r="G24" s="173" t="str">
        <f aca="false">IF(OR(C24="",D24="",E24="",F24=""),"",IFERROR(((D24*E24+F24)/C24)^(1/5)-1,"n/a"))</f>
        <v/>
      </c>
      <c r="H24" s="174"/>
      <c r="I24" s="171"/>
      <c r="J24" s="172"/>
      <c r="K24" s="171"/>
      <c r="L24" s="173" t="str">
        <f aca="false">IF(OR(C24="",I24="",J24="",K24=""),"",IFERROR(((I24*J24+K24)/C24)^(1/5)-1,"n/a"))</f>
        <v/>
      </c>
      <c r="M24" s="174"/>
      <c r="N24" s="171"/>
      <c r="O24" s="172"/>
      <c r="P24" s="171"/>
      <c r="Q24" s="173" t="str">
        <f aca="false">IF(OR(C24="",N24="",O24="",P24=""),"",IFERROR(((N24*O24+P24)/C24)^(1/5)-1,"n/a"))</f>
        <v/>
      </c>
      <c r="R24" s="174"/>
      <c r="S24" s="1" t="str">
        <f aca="false">IF(G24="","",IF(G24&gt;0.1,"PASS","FAIL"))</f>
        <v/>
      </c>
      <c r="T24" s="1" t="str">
        <f aca="false">IF(L24="","",IF(L24&gt;=0,"PASS","FAIL"))</f>
        <v/>
      </c>
      <c r="U24" s="1" t="str">
        <f aca="false">IF(COUNTA(H24,M24,R24)=0,"",IF((COUNTIF(H24,"Likely")+COUNTIF(M24,"Likely")+COUNTIF(R24,"Likely"))=1,"OK","CHECK TAGS"))</f>
        <v/>
      </c>
    </row>
    <row r="25" customFormat="false" ht="15" hidden="false" customHeight="true" outlineLevel="0" collapsed="false">
      <c r="A25" s="169"/>
      <c r="B25" s="170"/>
      <c r="C25" s="171"/>
      <c r="D25" s="171"/>
      <c r="E25" s="172"/>
      <c r="F25" s="171"/>
      <c r="G25" s="173" t="str">
        <f aca="false">IF(OR(C25="",D25="",E25="",F25=""),"",IFERROR(((D25*E25+F25)/C25)^(1/5)-1,"n/a"))</f>
        <v/>
      </c>
      <c r="H25" s="174"/>
      <c r="I25" s="171"/>
      <c r="J25" s="172"/>
      <c r="K25" s="171"/>
      <c r="L25" s="173" t="str">
        <f aca="false">IF(OR(C25="",I25="",J25="",K25=""),"",IFERROR(((I25*J25+K25)/C25)^(1/5)-1,"n/a"))</f>
        <v/>
      </c>
      <c r="M25" s="174"/>
      <c r="N25" s="171"/>
      <c r="O25" s="172"/>
      <c r="P25" s="171"/>
      <c r="Q25" s="173" t="str">
        <f aca="false">IF(OR(C25="",N25="",O25="",P25=""),"",IFERROR(((N25*O25+P25)/C25)^(1/5)-1,"n/a"))</f>
        <v/>
      </c>
      <c r="R25" s="174"/>
      <c r="S25" s="1" t="str">
        <f aca="false">IF(G25="","",IF(G25&gt;0.1,"PASS","FAIL"))</f>
        <v/>
      </c>
      <c r="T25" s="1" t="str">
        <f aca="false">IF(L25="","",IF(L25&gt;=0,"PASS","FAIL"))</f>
        <v/>
      </c>
      <c r="U25" s="1" t="str">
        <f aca="false">IF(COUNTA(H25,M25,R25)=0,"",IF((COUNTIF(H25,"Likely")+COUNTIF(M25,"Likely")+COUNTIF(R25,"Likely"))=1,"OK","CHECK TAGS"))</f>
        <v/>
      </c>
    </row>
    <row r="26" customFormat="false" ht="15" hidden="false" customHeight="true" outlineLevel="0" collapsed="false">
      <c r="A26" s="169"/>
      <c r="B26" s="170"/>
      <c r="C26" s="171"/>
      <c r="D26" s="171"/>
      <c r="E26" s="172"/>
      <c r="F26" s="171"/>
      <c r="G26" s="173" t="str">
        <f aca="false">IF(OR(C26="",D26="",E26="",F26=""),"",IFERROR(((D26*E26+F26)/C26)^(1/5)-1,"n/a"))</f>
        <v/>
      </c>
      <c r="H26" s="174"/>
      <c r="I26" s="171"/>
      <c r="J26" s="172"/>
      <c r="K26" s="171"/>
      <c r="L26" s="173" t="str">
        <f aca="false">IF(OR(C26="",I26="",J26="",K26=""),"",IFERROR(((I26*J26+K26)/C26)^(1/5)-1,"n/a"))</f>
        <v/>
      </c>
      <c r="M26" s="174"/>
      <c r="N26" s="171"/>
      <c r="O26" s="172"/>
      <c r="P26" s="171"/>
      <c r="Q26" s="173" t="str">
        <f aca="false">IF(OR(C26="",N26="",O26="",P26=""),"",IFERROR(((N26*O26+P26)/C26)^(1/5)-1,"n/a"))</f>
        <v/>
      </c>
      <c r="R26" s="174"/>
      <c r="S26" s="1" t="str">
        <f aca="false">IF(G26="","",IF(G26&gt;0.1,"PASS","FAIL"))</f>
        <v/>
      </c>
      <c r="T26" s="1" t="str">
        <f aca="false">IF(L26="","",IF(L26&gt;=0,"PASS","FAIL"))</f>
        <v/>
      </c>
      <c r="U26" s="1" t="str">
        <f aca="false">IF(COUNTA(H26,M26,R26)=0,"",IF((COUNTIF(H26,"Likely")+COUNTIF(M26,"Likely")+COUNTIF(R26,"Likely"))=1,"OK","CHECK TAGS"))</f>
        <v/>
      </c>
    </row>
    <row r="27" customFormat="false" ht="15" hidden="false" customHeight="true" outlineLevel="0" collapsed="false">
      <c r="A27" s="169"/>
      <c r="B27" s="170"/>
      <c r="C27" s="171"/>
      <c r="D27" s="171"/>
      <c r="E27" s="172"/>
      <c r="F27" s="171"/>
      <c r="G27" s="173" t="str">
        <f aca="false">IF(OR(C27="",D27="",E27="",F27=""),"",IFERROR(((D27*E27+F27)/C27)^(1/5)-1,"n/a"))</f>
        <v/>
      </c>
      <c r="H27" s="174"/>
      <c r="I27" s="171"/>
      <c r="J27" s="172"/>
      <c r="K27" s="171"/>
      <c r="L27" s="173" t="str">
        <f aca="false">IF(OR(C27="",I27="",J27="",K27=""),"",IFERROR(((I27*J27+K27)/C27)^(1/5)-1,"n/a"))</f>
        <v/>
      </c>
      <c r="M27" s="174"/>
      <c r="N27" s="171"/>
      <c r="O27" s="172"/>
      <c r="P27" s="171"/>
      <c r="Q27" s="173" t="str">
        <f aca="false">IF(OR(C27="",N27="",O27="",P27=""),"",IFERROR(((N27*O27+P27)/C27)^(1/5)-1,"n/a"))</f>
        <v/>
      </c>
      <c r="R27" s="174"/>
      <c r="S27" s="1" t="str">
        <f aca="false">IF(G27="","",IF(G27&gt;0.1,"PASS","FAIL"))</f>
        <v/>
      </c>
      <c r="T27" s="1" t="str">
        <f aca="false">IF(L27="","",IF(L27&gt;=0,"PASS","FAIL"))</f>
        <v/>
      </c>
      <c r="U27" s="1" t="str">
        <f aca="false">IF(COUNTA(H27,M27,R27)=0,"",IF((COUNTIF(H27,"Likely")+COUNTIF(M27,"Likely")+COUNTIF(R27,"Likely"))=1,"OK","CHECK TAGS"))</f>
        <v/>
      </c>
    </row>
    <row r="28" customFormat="false" ht="15" hidden="false" customHeight="true" outlineLevel="0" collapsed="false">
      <c r="A28" s="169"/>
      <c r="B28" s="170"/>
      <c r="C28" s="171"/>
      <c r="D28" s="171"/>
      <c r="E28" s="172"/>
      <c r="F28" s="171"/>
      <c r="G28" s="173" t="str">
        <f aca="false">IF(OR(C28="",D28="",E28="",F28=""),"",IFERROR(((D28*E28+F28)/C28)^(1/5)-1,"n/a"))</f>
        <v/>
      </c>
      <c r="H28" s="174"/>
      <c r="I28" s="171"/>
      <c r="J28" s="172"/>
      <c r="K28" s="171"/>
      <c r="L28" s="173" t="str">
        <f aca="false">IF(OR(C28="",I28="",J28="",K28=""),"",IFERROR(((I28*J28+K28)/C28)^(1/5)-1,"n/a"))</f>
        <v/>
      </c>
      <c r="M28" s="174"/>
      <c r="N28" s="171"/>
      <c r="O28" s="172"/>
      <c r="P28" s="171"/>
      <c r="Q28" s="173" t="str">
        <f aca="false">IF(OR(C28="",N28="",O28="",P28=""),"",IFERROR(((N28*O28+P28)/C28)^(1/5)-1,"n/a"))</f>
        <v/>
      </c>
      <c r="R28" s="174"/>
      <c r="S28" s="1" t="str">
        <f aca="false">IF(G28="","",IF(G28&gt;0.1,"PASS","FAIL"))</f>
        <v/>
      </c>
      <c r="T28" s="1" t="str">
        <f aca="false">IF(L28="","",IF(L28&gt;=0,"PASS","FAIL"))</f>
        <v/>
      </c>
      <c r="U28" s="1" t="str">
        <f aca="false">IF(COUNTA(H28,M28,R28)=0,"",IF((COUNTIF(H28,"Likely")+COUNTIF(M28,"Likely")+COUNTIF(R28,"Likely"))=1,"OK","CHECK TAGS"))</f>
        <v/>
      </c>
    </row>
    <row r="29" customFormat="false" ht="15" hidden="false" customHeight="true" outlineLevel="0" collapsed="false">
      <c r="A29" s="169"/>
      <c r="B29" s="170"/>
      <c r="C29" s="171"/>
      <c r="D29" s="171"/>
      <c r="E29" s="172"/>
      <c r="F29" s="171"/>
      <c r="G29" s="173" t="str">
        <f aca="false">IF(OR(C29="",D29="",E29="",F29=""),"",IFERROR(((D29*E29+F29)/C29)^(1/5)-1,"n/a"))</f>
        <v/>
      </c>
      <c r="H29" s="174"/>
      <c r="I29" s="171"/>
      <c r="J29" s="172"/>
      <c r="K29" s="171"/>
      <c r="L29" s="173" t="str">
        <f aca="false">IF(OR(C29="",I29="",J29="",K29=""),"",IFERROR(((I29*J29+K29)/C29)^(1/5)-1,"n/a"))</f>
        <v/>
      </c>
      <c r="M29" s="174"/>
      <c r="N29" s="171"/>
      <c r="O29" s="172"/>
      <c r="P29" s="171"/>
      <c r="Q29" s="173" t="str">
        <f aca="false">IF(OR(C29="",N29="",O29="",P29=""),"",IFERROR(((N29*O29+P29)/C29)^(1/5)-1,"n/a"))</f>
        <v/>
      </c>
      <c r="R29" s="174"/>
      <c r="S29" s="1" t="str">
        <f aca="false">IF(G29="","",IF(G29&gt;0.1,"PASS","FAIL"))</f>
        <v/>
      </c>
      <c r="T29" s="1" t="str">
        <f aca="false">IF(L29="","",IF(L29&gt;=0,"PASS","FAIL"))</f>
        <v/>
      </c>
      <c r="U29" s="1" t="str">
        <f aca="false">IF(COUNTA(H29,M29,R29)=0,"",IF((COUNTIF(H29,"Likely")+COUNTIF(M29,"Likely")+COUNTIF(R29,"Likely"))=1,"OK","CHECK TAGS"))</f>
        <v/>
      </c>
    </row>
    <row r="30" customFormat="false" ht="15" hidden="false" customHeight="true" outlineLevel="0" collapsed="false">
      <c r="A30" s="169"/>
      <c r="B30" s="170"/>
      <c r="C30" s="171"/>
      <c r="D30" s="171"/>
      <c r="E30" s="172"/>
      <c r="F30" s="171"/>
      <c r="G30" s="173" t="str">
        <f aca="false">IF(OR(C30="",D30="",E30="",F30=""),"",IFERROR(((D30*E30+F30)/C30)^(1/5)-1,"n/a"))</f>
        <v/>
      </c>
      <c r="H30" s="174"/>
      <c r="I30" s="171"/>
      <c r="J30" s="172"/>
      <c r="K30" s="171"/>
      <c r="L30" s="173" t="str">
        <f aca="false">IF(OR(C30="",I30="",J30="",K30=""),"",IFERROR(((I30*J30+K30)/C30)^(1/5)-1,"n/a"))</f>
        <v/>
      </c>
      <c r="M30" s="174"/>
      <c r="N30" s="171"/>
      <c r="O30" s="172"/>
      <c r="P30" s="171"/>
      <c r="Q30" s="173" t="str">
        <f aca="false">IF(OR(C30="",N30="",O30="",P30=""),"",IFERROR(((N30*O30+P30)/C30)^(1/5)-1,"n/a"))</f>
        <v/>
      </c>
      <c r="R30" s="174"/>
      <c r="S30" s="1" t="str">
        <f aca="false">IF(G30="","",IF(G30&gt;0.1,"PASS","FAIL"))</f>
        <v/>
      </c>
      <c r="T30" s="1" t="str">
        <f aca="false">IF(L30="","",IF(L30&gt;=0,"PASS","FAIL"))</f>
        <v/>
      </c>
      <c r="U30" s="1" t="str">
        <f aca="false">IF(COUNTA(H30,M30,R30)=0,"",IF((COUNTIF(H30,"Likely")+COUNTIF(M30,"Likely")+COUNTIF(R30,"Likely"))=1,"OK","CHECK TAGS"))</f>
        <v/>
      </c>
    </row>
    <row r="31" customFormat="false" ht="15" hidden="false" customHeight="true" outlineLevel="0" collapsed="false">
      <c r="A31" s="169"/>
      <c r="B31" s="170"/>
      <c r="C31" s="171"/>
      <c r="D31" s="171"/>
      <c r="E31" s="172"/>
      <c r="F31" s="171"/>
      <c r="G31" s="173" t="str">
        <f aca="false">IF(OR(C31="",D31="",E31="",F31=""),"",IFERROR(((D31*E31+F31)/C31)^(1/5)-1,"n/a"))</f>
        <v/>
      </c>
      <c r="H31" s="174"/>
      <c r="I31" s="171"/>
      <c r="J31" s="172"/>
      <c r="K31" s="171"/>
      <c r="L31" s="173" t="str">
        <f aca="false">IF(OR(C31="",I31="",J31="",K31=""),"",IFERROR(((I31*J31+K31)/C31)^(1/5)-1,"n/a"))</f>
        <v/>
      </c>
      <c r="M31" s="174"/>
      <c r="N31" s="171"/>
      <c r="O31" s="172"/>
      <c r="P31" s="171"/>
      <c r="Q31" s="173" t="str">
        <f aca="false">IF(OR(C31="",N31="",O31="",P31=""),"",IFERROR(((N31*O31+P31)/C31)^(1/5)-1,"n/a"))</f>
        <v/>
      </c>
      <c r="R31" s="174"/>
      <c r="S31" s="1" t="str">
        <f aca="false">IF(G31="","",IF(G31&gt;0.1,"PASS","FAIL"))</f>
        <v/>
      </c>
      <c r="T31" s="1" t="str">
        <f aca="false">IF(L31="","",IF(L31&gt;=0,"PASS","FAIL"))</f>
        <v/>
      </c>
      <c r="U31" s="1" t="str">
        <f aca="false">IF(COUNTA(H31,M31,R31)=0,"",IF((COUNTIF(H31,"Likely")+COUNTIF(M31,"Likely")+COUNTIF(R31,"Likely"))=1,"OK","CHECK TAGS"))</f>
        <v/>
      </c>
    </row>
    <row r="32" customFormat="false" ht="15" hidden="false" customHeight="true" outlineLevel="0" collapsed="false">
      <c r="A32" s="169"/>
      <c r="B32" s="170"/>
      <c r="C32" s="171"/>
      <c r="D32" s="171"/>
      <c r="E32" s="172"/>
      <c r="F32" s="171"/>
      <c r="G32" s="173" t="str">
        <f aca="false">IF(OR(C32="",D32="",E32="",F32=""),"",IFERROR(((D32*E32+F32)/C32)^(1/5)-1,"n/a"))</f>
        <v/>
      </c>
      <c r="H32" s="174"/>
      <c r="I32" s="171"/>
      <c r="J32" s="172"/>
      <c r="K32" s="171"/>
      <c r="L32" s="173" t="str">
        <f aca="false">IF(OR(C32="",I32="",J32="",K32=""),"",IFERROR(((I32*J32+K32)/C32)^(1/5)-1,"n/a"))</f>
        <v/>
      </c>
      <c r="M32" s="174"/>
      <c r="N32" s="171"/>
      <c r="O32" s="172"/>
      <c r="P32" s="171"/>
      <c r="Q32" s="173" t="str">
        <f aca="false">IF(OR(C32="",N32="",O32="",P32=""),"",IFERROR(((N32*O32+P32)/C32)^(1/5)-1,"n/a"))</f>
        <v/>
      </c>
      <c r="R32" s="174"/>
      <c r="S32" s="1" t="str">
        <f aca="false">IF(G32="","",IF(G32&gt;0.1,"PASS","FAIL"))</f>
        <v/>
      </c>
      <c r="T32" s="1" t="str">
        <f aca="false">IF(L32="","",IF(L32&gt;=0,"PASS","FAIL"))</f>
        <v/>
      </c>
      <c r="U32" s="1" t="str">
        <f aca="false">IF(COUNTA(H32,M32,R32)=0,"",IF((COUNTIF(H32,"Likely")+COUNTIF(M32,"Likely")+COUNTIF(R32,"Likely"))=1,"OK","CHECK TAGS"))</f>
        <v/>
      </c>
    </row>
    <row r="33" customFormat="false" ht="15" hidden="false" customHeight="true" outlineLevel="0" collapsed="false">
      <c r="A33" s="169"/>
      <c r="B33" s="170"/>
      <c r="C33" s="171"/>
      <c r="D33" s="171"/>
      <c r="E33" s="172"/>
      <c r="F33" s="171"/>
      <c r="G33" s="173" t="str">
        <f aca="false">IF(OR(C33="",D33="",E33="",F33=""),"",IFERROR(((D33*E33+F33)/C33)^(1/5)-1,"n/a"))</f>
        <v/>
      </c>
      <c r="H33" s="174"/>
      <c r="I33" s="171"/>
      <c r="J33" s="172"/>
      <c r="K33" s="171"/>
      <c r="L33" s="173" t="str">
        <f aca="false">IF(OR(C33="",I33="",J33="",K33=""),"",IFERROR(((I33*J33+K33)/C33)^(1/5)-1,"n/a"))</f>
        <v/>
      </c>
      <c r="M33" s="174"/>
      <c r="N33" s="171"/>
      <c r="O33" s="172"/>
      <c r="P33" s="171"/>
      <c r="Q33" s="173" t="str">
        <f aca="false">IF(OR(C33="",N33="",O33="",P33=""),"",IFERROR(((N33*O33+P33)/C33)^(1/5)-1,"n/a"))</f>
        <v/>
      </c>
      <c r="R33" s="174"/>
      <c r="S33" s="1" t="str">
        <f aca="false">IF(G33="","",IF(G33&gt;0.1,"PASS","FAIL"))</f>
        <v/>
      </c>
      <c r="T33" s="1" t="str">
        <f aca="false">IF(L33="","",IF(L33&gt;=0,"PASS","FAIL"))</f>
        <v/>
      </c>
      <c r="U33" s="1" t="str">
        <f aca="false">IF(COUNTA(H33,M33,R33)=0,"",IF((COUNTIF(H33,"Likely")+COUNTIF(M33,"Likely")+COUNTIF(R33,"Likely"))=1,"OK","CHECK TAGS"))</f>
        <v/>
      </c>
    </row>
    <row r="34" customFormat="false" ht="15" hidden="false" customHeight="true" outlineLevel="0" collapsed="false">
      <c r="A34" s="169"/>
      <c r="B34" s="170"/>
      <c r="C34" s="171"/>
      <c r="D34" s="171"/>
      <c r="E34" s="172"/>
      <c r="F34" s="171"/>
      <c r="G34" s="173" t="str">
        <f aca="false">IF(OR(C34="",D34="",E34="",F34=""),"",IFERROR(((D34*E34+F34)/C34)^(1/5)-1,"n/a"))</f>
        <v/>
      </c>
      <c r="H34" s="174"/>
      <c r="I34" s="171"/>
      <c r="J34" s="172"/>
      <c r="K34" s="171"/>
      <c r="L34" s="173" t="str">
        <f aca="false">IF(OR(C34="",I34="",J34="",K34=""),"",IFERROR(((I34*J34+K34)/C34)^(1/5)-1,"n/a"))</f>
        <v/>
      </c>
      <c r="M34" s="174"/>
      <c r="N34" s="171"/>
      <c r="O34" s="172"/>
      <c r="P34" s="171"/>
      <c r="Q34" s="173" t="str">
        <f aca="false">IF(OR(C34="",N34="",O34="",P34=""),"",IFERROR(((N34*O34+P34)/C34)^(1/5)-1,"n/a"))</f>
        <v/>
      </c>
      <c r="R34" s="174"/>
      <c r="S34" s="1" t="str">
        <f aca="false">IF(G34="","",IF(G34&gt;0.1,"PASS","FAIL"))</f>
        <v/>
      </c>
      <c r="T34" s="1" t="str">
        <f aca="false">IF(L34="","",IF(L34&gt;=0,"PASS","FAIL"))</f>
        <v/>
      </c>
      <c r="U34" s="1" t="str">
        <f aca="false">IF(COUNTA(H34,M34,R34)=0,"",IF((COUNTIF(H34,"Likely")+COUNTIF(M34,"Likely")+COUNTIF(R34,"Likely"))=1,"OK","CHECK TAGS"))</f>
        <v/>
      </c>
    </row>
    <row r="35" customFormat="false" ht="15" hidden="false" customHeight="true" outlineLevel="0" collapsed="false">
      <c r="A35" s="169"/>
      <c r="B35" s="170"/>
      <c r="C35" s="171"/>
      <c r="D35" s="171"/>
      <c r="E35" s="172"/>
      <c r="F35" s="171"/>
      <c r="G35" s="173" t="str">
        <f aca="false">IF(OR(C35="",D35="",E35="",F35=""),"",IFERROR(((D35*E35+F35)/C35)^(1/5)-1,"n/a"))</f>
        <v/>
      </c>
      <c r="H35" s="174"/>
      <c r="I35" s="171"/>
      <c r="J35" s="172"/>
      <c r="K35" s="171"/>
      <c r="L35" s="173" t="str">
        <f aca="false">IF(OR(C35="",I35="",J35="",K35=""),"",IFERROR(((I35*J35+K35)/C35)^(1/5)-1,"n/a"))</f>
        <v/>
      </c>
      <c r="M35" s="174"/>
      <c r="N35" s="171"/>
      <c r="O35" s="172"/>
      <c r="P35" s="171"/>
      <c r="Q35" s="173" t="str">
        <f aca="false">IF(OR(C35="",N35="",O35="",P35=""),"",IFERROR(((N35*O35+P35)/C35)^(1/5)-1,"n/a"))</f>
        <v/>
      </c>
      <c r="R35" s="174"/>
      <c r="S35" s="1" t="str">
        <f aca="false">IF(G35="","",IF(G35&gt;0.1,"PASS","FAIL"))</f>
        <v/>
      </c>
      <c r="T35" s="1" t="str">
        <f aca="false">IF(L35="","",IF(L35&gt;=0,"PASS","FAIL"))</f>
        <v/>
      </c>
      <c r="U35" s="1" t="str">
        <f aca="false">IF(COUNTA(H35,M35,R35)=0,"",IF((COUNTIF(H35,"Likely")+COUNTIF(M35,"Likely")+COUNTIF(R35,"Likely"))=1,"OK","CHECK TAGS"))</f>
        <v/>
      </c>
    </row>
    <row r="36" customFormat="false" ht="15" hidden="false" customHeight="true" outlineLevel="0" collapsed="false">
      <c r="A36" s="169"/>
      <c r="B36" s="170"/>
      <c r="C36" s="171"/>
      <c r="D36" s="171"/>
      <c r="E36" s="172"/>
      <c r="F36" s="171"/>
      <c r="G36" s="173" t="str">
        <f aca="false">IF(OR(C36="",D36="",E36="",F36=""),"",IFERROR(((D36*E36+F36)/C36)^(1/5)-1,"n/a"))</f>
        <v/>
      </c>
      <c r="H36" s="174"/>
      <c r="I36" s="171"/>
      <c r="J36" s="172"/>
      <c r="K36" s="171"/>
      <c r="L36" s="173" t="str">
        <f aca="false">IF(OR(C36="",I36="",J36="",K36=""),"",IFERROR(((I36*J36+K36)/C36)^(1/5)-1,"n/a"))</f>
        <v/>
      </c>
      <c r="M36" s="174"/>
      <c r="N36" s="171"/>
      <c r="O36" s="172"/>
      <c r="P36" s="171"/>
      <c r="Q36" s="173" t="str">
        <f aca="false">IF(OR(C36="",N36="",O36="",P36=""),"",IFERROR(((N36*O36+P36)/C36)^(1/5)-1,"n/a"))</f>
        <v/>
      </c>
      <c r="R36" s="174"/>
      <c r="S36" s="1" t="str">
        <f aca="false">IF(G36="","",IF(G36&gt;0.1,"PASS","FAIL"))</f>
        <v/>
      </c>
      <c r="T36" s="1" t="str">
        <f aca="false">IF(L36="","",IF(L36&gt;=0,"PASS","FAIL"))</f>
        <v/>
      </c>
      <c r="U36" s="1" t="str">
        <f aca="false">IF(COUNTA(H36,M36,R36)=0,"",IF((COUNTIF(H36,"Likely")+COUNTIF(M36,"Likely")+COUNTIF(R36,"Likely"))=1,"OK","CHECK TAGS"))</f>
        <v/>
      </c>
    </row>
    <row r="37" customFormat="false" ht="15" hidden="false" customHeight="true" outlineLevel="0" collapsed="false">
      <c r="A37" s="169"/>
      <c r="B37" s="170"/>
      <c r="C37" s="171"/>
      <c r="D37" s="171"/>
      <c r="E37" s="172"/>
      <c r="F37" s="171"/>
      <c r="G37" s="173" t="str">
        <f aca="false">IF(OR(C37="",D37="",E37="",F37=""),"",IFERROR(((D37*E37+F37)/C37)^(1/5)-1,"n/a"))</f>
        <v/>
      </c>
      <c r="H37" s="174"/>
      <c r="I37" s="171"/>
      <c r="J37" s="172"/>
      <c r="K37" s="171"/>
      <c r="L37" s="173" t="str">
        <f aca="false">IF(OR(C37="",I37="",J37="",K37=""),"",IFERROR(((I37*J37+K37)/C37)^(1/5)-1,"n/a"))</f>
        <v/>
      </c>
      <c r="M37" s="174"/>
      <c r="N37" s="171"/>
      <c r="O37" s="172"/>
      <c r="P37" s="171"/>
      <c r="Q37" s="173" t="str">
        <f aca="false">IF(OR(C37="",N37="",O37="",P37=""),"",IFERROR(((N37*O37+P37)/C37)^(1/5)-1,"n/a"))</f>
        <v/>
      </c>
      <c r="R37" s="174"/>
      <c r="S37" s="1" t="str">
        <f aca="false">IF(G37="","",IF(G37&gt;0.1,"PASS","FAIL"))</f>
        <v/>
      </c>
      <c r="T37" s="1" t="str">
        <f aca="false">IF(L37="","",IF(L37&gt;=0,"PASS","FAIL"))</f>
        <v/>
      </c>
      <c r="U37" s="1" t="str">
        <f aca="false">IF(COUNTA(H37,M37,R37)=0,"",IF((COUNTIF(H37,"Likely")+COUNTIF(M37,"Likely")+COUNTIF(R37,"Likely"))=1,"OK","CHECK TAGS"))</f>
        <v/>
      </c>
    </row>
    <row r="38" customFormat="false" ht="15" hidden="false" customHeight="true" outlineLevel="0" collapsed="false">
      <c r="A38" s="169"/>
      <c r="B38" s="170"/>
      <c r="C38" s="171"/>
      <c r="D38" s="171"/>
      <c r="E38" s="172"/>
      <c r="F38" s="171"/>
      <c r="G38" s="173" t="str">
        <f aca="false">IF(OR(C38="",D38="",E38="",F38=""),"",IFERROR(((D38*E38+F38)/C38)^(1/5)-1,"n/a"))</f>
        <v/>
      </c>
      <c r="H38" s="174"/>
      <c r="I38" s="171"/>
      <c r="J38" s="172"/>
      <c r="K38" s="171"/>
      <c r="L38" s="173" t="str">
        <f aca="false">IF(OR(C38="",I38="",J38="",K38=""),"",IFERROR(((I38*J38+K38)/C38)^(1/5)-1,"n/a"))</f>
        <v/>
      </c>
      <c r="M38" s="174"/>
      <c r="N38" s="171"/>
      <c r="O38" s="172"/>
      <c r="P38" s="171"/>
      <c r="Q38" s="173" t="str">
        <f aca="false">IF(OR(C38="",N38="",O38="",P38=""),"",IFERROR(((N38*O38+P38)/C38)^(1/5)-1,"n/a"))</f>
        <v/>
      </c>
      <c r="R38" s="174"/>
      <c r="S38" s="1" t="str">
        <f aca="false">IF(G38="","",IF(G38&gt;0.1,"PASS","FAIL"))</f>
        <v/>
      </c>
      <c r="T38" s="1" t="str">
        <f aca="false">IF(L38="","",IF(L38&gt;=0,"PASS","FAIL"))</f>
        <v/>
      </c>
      <c r="U38" s="1" t="str">
        <f aca="false">IF(COUNTA(H38,M38,R38)=0,"",IF((COUNTIF(H38,"Likely")+COUNTIF(M38,"Likely")+COUNTIF(R38,"Likely"))=1,"OK","CHECK TAGS"))</f>
        <v/>
      </c>
    </row>
    <row r="39" customFormat="false" ht="15" hidden="false" customHeight="true" outlineLevel="0" collapsed="false">
      <c r="A39" s="169"/>
      <c r="B39" s="170"/>
      <c r="C39" s="171"/>
      <c r="D39" s="171"/>
      <c r="E39" s="172"/>
      <c r="F39" s="171"/>
      <c r="G39" s="173" t="str">
        <f aca="false">IF(OR(C39="",D39="",E39="",F39=""),"",IFERROR(((D39*E39+F39)/C39)^(1/5)-1,"n/a"))</f>
        <v/>
      </c>
      <c r="H39" s="174"/>
      <c r="I39" s="171"/>
      <c r="J39" s="172"/>
      <c r="K39" s="171"/>
      <c r="L39" s="173" t="str">
        <f aca="false">IF(OR(C39="",I39="",J39="",K39=""),"",IFERROR(((I39*J39+K39)/C39)^(1/5)-1,"n/a"))</f>
        <v/>
      </c>
      <c r="M39" s="174"/>
      <c r="N39" s="171"/>
      <c r="O39" s="172"/>
      <c r="P39" s="171"/>
      <c r="Q39" s="173" t="str">
        <f aca="false">IF(OR(C39="",N39="",O39="",P39=""),"",IFERROR(((N39*O39+P39)/C39)^(1/5)-1,"n/a"))</f>
        <v/>
      </c>
      <c r="R39" s="174"/>
      <c r="S39" s="1" t="str">
        <f aca="false">IF(G39="","",IF(G39&gt;0.1,"PASS","FAIL"))</f>
        <v/>
      </c>
      <c r="T39" s="1" t="str">
        <f aca="false">IF(L39="","",IF(L39&gt;=0,"PASS","FAIL"))</f>
        <v/>
      </c>
      <c r="U39" s="1" t="str">
        <f aca="false">IF(COUNTA(H39,M39,R39)=0,"",IF((COUNTIF(H39,"Likely")+COUNTIF(M39,"Likely")+COUNTIF(R39,"Likely"))=1,"OK","CHECK TAGS"))</f>
        <v/>
      </c>
    </row>
    <row r="40" customFormat="false" ht="15" hidden="false" customHeight="true" outlineLevel="0" collapsed="false">
      <c r="A40" s="169"/>
      <c r="B40" s="170"/>
      <c r="C40" s="171"/>
      <c r="D40" s="171"/>
      <c r="E40" s="172"/>
      <c r="F40" s="171"/>
      <c r="G40" s="173" t="str">
        <f aca="false">IF(OR(C40="",D40="",E40="",F40=""),"",IFERROR(((D40*E40+F40)/C40)^(1/5)-1,"n/a"))</f>
        <v/>
      </c>
      <c r="H40" s="174"/>
      <c r="I40" s="171"/>
      <c r="J40" s="172"/>
      <c r="K40" s="171"/>
      <c r="L40" s="173" t="str">
        <f aca="false">IF(OR(C40="",I40="",J40="",K40=""),"",IFERROR(((I40*J40+K40)/C40)^(1/5)-1,"n/a"))</f>
        <v/>
      </c>
      <c r="M40" s="174"/>
      <c r="N40" s="171"/>
      <c r="O40" s="172"/>
      <c r="P40" s="171"/>
      <c r="Q40" s="173" t="str">
        <f aca="false">IF(OR(C40="",N40="",O40="",P40=""),"",IFERROR(((N40*O40+P40)/C40)^(1/5)-1,"n/a"))</f>
        <v/>
      </c>
      <c r="R40" s="174"/>
      <c r="S40" s="1" t="str">
        <f aca="false">IF(G40="","",IF(G40&gt;0.1,"PASS","FAIL"))</f>
        <v/>
      </c>
      <c r="T40" s="1" t="str">
        <f aca="false">IF(L40="","",IF(L40&gt;=0,"PASS","FAIL"))</f>
        <v/>
      </c>
      <c r="U40" s="1" t="str">
        <f aca="false">IF(COUNTA(H40,M40,R40)=0,"",IF((COUNTIF(H40,"Likely")+COUNTIF(M40,"Likely")+COUNTIF(R40,"Likely"))=1,"OK","CHECK TAGS"))</f>
        <v/>
      </c>
    </row>
    <row r="41" customFormat="false" ht="15" hidden="false" customHeight="true" outlineLevel="0" collapsed="false">
      <c r="A41" s="169"/>
      <c r="B41" s="170"/>
      <c r="C41" s="171"/>
      <c r="D41" s="171"/>
      <c r="E41" s="172"/>
      <c r="F41" s="171"/>
      <c r="G41" s="173" t="str">
        <f aca="false">IF(OR(C41="",D41="",E41="",F41=""),"",IFERROR(((D41*E41+F41)/C41)^(1/5)-1,"n/a"))</f>
        <v/>
      </c>
      <c r="H41" s="174"/>
      <c r="I41" s="171"/>
      <c r="J41" s="172"/>
      <c r="K41" s="171"/>
      <c r="L41" s="173" t="str">
        <f aca="false">IF(OR(C41="",I41="",J41="",K41=""),"",IFERROR(((I41*J41+K41)/C41)^(1/5)-1,"n/a"))</f>
        <v/>
      </c>
      <c r="M41" s="174"/>
      <c r="N41" s="171"/>
      <c r="O41" s="172"/>
      <c r="P41" s="171"/>
      <c r="Q41" s="173" t="str">
        <f aca="false">IF(OR(C41="",N41="",O41="",P41=""),"",IFERROR(((N41*O41+P41)/C41)^(1/5)-1,"n/a"))</f>
        <v/>
      </c>
      <c r="R41" s="174"/>
      <c r="S41" s="1" t="str">
        <f aca="false">IF(G41="","",IF(G41&gt;0.1,"PASS","FAIL"))</f>
        <v/>
      </c>
      <c r="T41" s="1" t="str">
        <f aca="false">IF(L41="","",IF(L41&gt;=0,"PASS","FAIL"))</f>
        <v/>
      </c>
      <c r="U41" s="1" t="str">
        <f aca="false">IF(COUNTA(H41,M41,R41)=0,"",IF((COUNTIF(H41,"Likely")+COUNTIF(M41,"Likely")+COUNTIF(R41,"Likely"))=1,"OK","CHECK TAGS"))</f>
        <v/>
      </c>
    </row>
    <row r="42" customFormat="false" ht="15" hidden="false" customHeight="true" outlineLevel="0" collapsed="false">
      <c r="A42" s="169"/>
      <c r="B42" s="170"/>
      <c r="C42" s="171"/>
      <c r="D42" s="171"/>
      <c r="E42" s="172"/>
      <c r="F42" s="171"/>
      <c r="G42" s="173" t="str">
        <f aca="false">IF(OR(C42="",D42="",E42="",F42=""),"",IFERROR(((D42*E42+F42)/C42)^(1/5)-1,"n/a"))</f>
        <v/>
      </c>
      <c r="H42" s="174"/>
      <c r="I42" s="171"/>
      <c r="J42" s="172"/>
      <c r="K42" s="171"/>
      <c r="L42" s="173" t="str">
        <f aca="false">IF(OR(C42="",I42="",J42="",K42=""),"",IFERROR(((I42*J42+K42)/C42)^(1/5)-1,"n/a"))</f>
        <v/>
      </c>
      <c r="M42" s="174"/>
      <c r="N42" s="171"/>
      <c r="O42" s="172"/>
      <c r="P42" s="171"/>
      <c r="Q42" s="173" t="str">
        <f aca="false">IF(OR(C42="",N42="",O42="",P42=""),"",IFERROR(((N42*O42+P42)/C42)^(1/5)-1,"n/a"))</f>
        <v/>
      </c>
      <c r="R42" s="174"/>
      <c r="S42" s="1" t="str">
        <f aca="false">IF(G42="","",IF(G42&gt;0.1,"PASS","FAIL"))</f>
        <v/>
      </c>
      <c r="T42" s="1" t="str">
        <f aca="false">IF(L42="","",IF(L42&gt;=0,"PASS","FAIL"))</f>
        <v/>
      </c>
      <c r="U42" s="1" t="str">
        <f aca="false">IF(COUNTA(H42,M42,R42)=0,"",IF((COUNTIF(H42,"Likely")+COUNTIF(M42,"Likely")+COUNTIF(R42,"Likely"))=1,"OK","CHECK TAGS"))</f>
        <v/>
      </c>
    </row>
    <row r="43" customFormat="false" ht="15" hidden="false" customHeight="true" outlineLevel="0" collapsed="false">
      <c r="A43" s="169"/>
      <c r="B43" s="170"/>
      <c r="C43" s="171"/>
      <c r="D43" s="171"/>
      <c r="E43" s="172"/>
      <c r="F43" s="171"/>
      <c r="G43" s="173" t="str">
        <f aca="false">IF(OR(C43="",D43="",E43="",F43=""),"",IFERROR(((D43*E43+F43)/C43)^(1/5)-1,"n/a"))</f>
        <v/>
      </c>
      <c r="H43" s="174"/>
      <c r="I43" s="171"/>
      <c r="J43" s="172"/>
      <c r="K43" s="171"/>
      <c r="L43" s="173" t="str">
        <f aca="false">IF(OR(C43="",I43="",J43="",K43=""),"",IFERROR(((I43*J43+K43)/C43)^(1/5)-1,"n/a"))</f>
        <v/>
      </c>
      <c r="M43" s="174"/>
      <c r="N43" s="171"/>
      <c r="O43" s="172"/>
      <c r="P43" s="171"/>
      <c r="Q43" s="173" t="str">
        <f aca="false">IF(OR(C43="",N43="",O43="",P43=""),"",IFERROR(((N43*O43+P43)/C43)^(1/5)-1,"n/a"))</f>
        <v/>
      </c>
      <c r="R43" s="174"/>
      <c r="S43" s="1" t="str">
        <f aca="false">IF(G43="","",IF(G43&gt;0.1,"PASS","FAIL"))</f>
        <v/>
      </c>
      <c r="T43" s="1" t="str">
        <f aca="false">IF(L43="","",IF(L43&gt;=0,"PASS","FAIL"))</f>
        <v/>
      </c>
      <c r="U43" s="1" t="str">
        <f aca="false">IF(COUNTA(H43,M43,R43)=0,"",IF((COUNTIF(H43,"Likely")+COUNTIF(M43,"Likely")+COUNTIF(R43,"Likely"))=1,"OK","CHECK TAGS"))</f>
        <v/>
      </c>
    </row>
    <row r="44" customFormat="false" ht="15" hidden="false" customHeight="true" outlineLevel="0" collapsed="false">
      <c r="A44" s="169"/>
      <c r="B44" s="170"/>
      <c r="C44" s="171"/>
      <c r="D44" s="171"/>
      <c r="E44" s="172"/>
      <c r="F44" s="171"/>
      <c r="G44" s="173" t="str">
        <f aca="false">IF(OR(C44="",D44="",E44="",F44=""),"",IFERROR(((D44*E44+F44)/C44)^(1/5)-1,"n/a"))</f>
        <v/>
      </c>
      <c r="H44" s="174"/>
      <c r="I44" s="171"/>
      <c r="J44" s="172"/>
      <c r="K44" s="171"/>
      <c r="L44" s="173" t="str">
        <f aca="false">IF(OR(C44="",I44="",J44="",K44=""),"",IFERROR(((I44*J44+K44)/C44)^(1/5)-1,"n/a"))</f>
        <v/>
      </c>
      <c r="M44" s="174"/>
      <c r="N44" s="171"/>
      <c r="O44" s="172"/>
      <c r="P44" s="171"/>
      <c r="Q44" s="173" t="str">
        <f aca="false">IF(OR(C44="",N44="",O44="",P44=""),"",IFERROR(((N44*O44+P44)/C44)^(1/5)-1,"n/a"))</f>
        <v/>
      </c>
      <c r="R44" s="174"/>
      <c r="S44" s="1" t="str">
        <f aca="false">IF(G44="","",IF(G44&gt;0.1,"PASS","FAIL"))</f>
        <v/>
      </c>
      <c r="T44" s="1" t="str">
        <f aca="false">IF(L44="","",IF(L44&gt;=0,"PASS","FAIL"))</f>
        <v/>
      </c>
      <c r="U44" s="1" t="str">
        <f aca="false">IF(COUNTA(H44,M44,R44)=0,"",IF((COUNTIF(H44,"Likely")+COUNTIF(M44,"Likely")+COUNTIF(R44,"Likely"))=1,"OK","CHECK TAGS"))</f>
        <v/>
      </c>
    </row>
    <row r="45" customFormat="false" ht="15" hidden="false" customHeight="true" outlineLevel="0" collapsed="false">
      <c r="A45" s="169"/>
      <c r="B45" s="170"/>
      <c r="C45" s="171"/>
      <c r="D45" s="171"/>
      <c r="E45" s="172"/>
      <c r="F45" s="171"/>
      <c r="G45" s="173" t="str">
        <f aca="false">IF(OR(C45="",D45="",E45="",F45=""),"",IFERROR(((D45*E45+F45)/C45)^(1/5)-1,"n/a"))</f>
        <v/>
      </c>
      <c r="H45" s="174"/>
      <c r="I45" s="171"/>
      <c r="J45" s="172"/>
      <c r="K45" s="171"/>
      <c r="L45" s="173" t="str">
        <f aca="false">IF(OR(C45="",I45="",J45="",K45=""),"",IFERROR(((I45*J45+K45)/C45)^(1/5)-1,"n/a"))</f>
        <v/>
      </c>
      <c r="M45" s="174"/>
      <c r="N45" s="171"/>
      <c r="O45" s="172"/>
      <c r="P45" s="171"/>
      <c r="Q45" s="173" t="str">
        <f aca="false">IF(OR(C45="",N45="",O45="",P45=""),"",IFERROR(((N45*O45+P45)/C45)^(1/5)-1,"n/a"))</f>
        <v/>
      </c>
      <c r="R45" s="174"/>
      <c r="S45" s="1" t="str">
        <f aca="false">IF(G45="","",IF(G45&gt;0.1,"PASS","FAIL"))</f>
        <v/>
      </c>
      <c r="T45" s="1" t="str">
        <f aca="false">IF(L45="","",IF(L45&gt;=0,"PASS","FAIL"))</f>
        <v/>
      </c>
      <c r="U45" s="1" t="str">
        <f aca="false">IF(COUNTA(H45,M45,R45)=0,"",IF((COUNTIF(H45,"Likely")+COUNTIF(M45,"Likely")+COUNTIF(R45,"Likely"))=1,"OK","CHECK TAGS"))</f>
        <v/>
      </c>
    </row>
    <row r="46" customFormat="false" ht="15" hidden="false" customHeight="true" outlineLevel="0" collapsed="false">
      <c r="A46" s="169"/>
      <c r="B46" s="170"/>
      <c r="C46" s="171"/>
      <c r="D46" s="171"/>
      <c r="E46" s="172"/>
      <c r="F46" s="171"/>
      <c r="G46" s="173" t="str">
        <f aca="false">IF(OR(C46="",D46="",E46="",F46=""),"",IFERROR(((D46*E46+F46)/C46)^(1/5)-1,"n/a"))</f>
        <v/>
      </c>
      <c r="H46" s="174"/>
      <c r="I46" s="171"/>
      <c r="J46" s="172"/>
      <c r="K46" s="171"/>
      <c r="L46" s="173" t="str">
        <f aca="false">IF(OR(C46="",I46="",J46="",K46=""),"",IFERROR(((I46*J46+K46)/C46)^(1/5)-1,"n/a"))</f>
        <v/>
      </c>
      <c r="M46" s="174"/>
      <c r="N46" s="171"/>
      <c r="O46" s="172"/>
      <c r="P46" s="171"/>
      <c r="Q46" s="173" t="str">
        <f aca="false">IF(OR(C46="",N46="",O46="",P46=""),"",IFERROR(((N46*O46+P46)/C46)^(1/5)-1,"n/a"))</f>
        <v/>
      </c>
      <c r="R46" s="174"/>
      <c r="S46" s="1" t="str">
        <f aca="false">IF(G46="","",IF(G46&gt;0.1,"PASS","FAIL"))</f>
        <v/>
      </c>
      <c r="T46" s="1" t="str">
        <f aca="false">IF(L46="","",IF(L46&gt;=0,"PASS","FAIL"))</f>
        <v/>
      </c>
      <c r="U46" s="1" t="str">
        <f aca="false">IF(COUNTA(H46,M46,R46)=0,"",IF((COUNTIF(H46,"Likely")+COUNTIF(M46,"Likely")+COUNTIF(R46,"Likely"))=1,"OK","CHECK TAGS"))</f>
        <v/>
      </c>
    </row>
    <row r="47" customFormat="false" ht="15" hidden="false" customHeight="true" outlineLevel="0" collapsed="false">
      <c r="A47" s="169"/>
      <c r="B47" s="170"/>
      <c r="C47" s="171"/>
      <c r="D47" s="171"/>
      <c r="E47" s="172"/>
      <c r="F47" s="171"/>
      <c r="G47" s="173" t="str">
        <f aca="false">IF(OR(C47="",D47="",E47="",F47=""),"",IFERROR(((D47*E47+F47)/C47)^(1/5)-1,"n/a"))</f>
        <v/>
      </c>
      <c r="H47" s="174"/>
      <c r="I47" s="171"/>
      <c r="J47" s="172"/>
      <c r="K47" s="171"/>
      <c r="L47" s="173" t="str">
        <f aca="false">IF(OR(C47="",I47="",J47="",K47=""),"",IFERROR(((I47*J47+K47)/C47)^(1/5)-1,"n/a"))</f>
        <v/>
      </c>
      <c r="M47" s="174"/>
      <c r="N47" s="171"/>
      <c r="O47" s="172"/>
      <c r="P47" s="171"/>
      <c r="Q47" s="173" t="str">
        <f aca="false">IF(OR(C47="",N47="",O47="",P47=""),"",IFERROR(((N47*O47+P47)/C47)^(1/5)-1,"n/a"))</f>
        <v/>
      </c>
      <c r="R47" s="174"/>
      <c r="S47" s="1" t="str">
        <f aca="false">IF(G47="","",IF(G47&gt;0.1,"PASS","FAIL"))</f>
        <v/>
      </c>
      <c r="T47" s="1" t="str">
        <f aca="false">IF(L47="","",IF(L47&gt;=0,"PASS","FAIL"))</f>
        <v/>
      </c>
      <c r="U47" s="1" t="str">
        <f aca="false">IF(COUNTA(H47,M47,R47)=0,"",IF((COUNTIF(H47,"Likely")+COUNTIF(M47,"Likely")+COUNTIF(R47,"Likely"))=1,"OK","CHECK TAGS"))</f>
        <v/>
      </c>
    </row>
    <row r="48" customFormat="false" ht="15" hidden="false" customHeight="true" outlineLevel="0" collapsed="false">
      <c r="A48" s="169"/>
      <c r="B48" s="170"/>
      <c r="C48" s="171"/>
      <c r="D48" s="171"/>
      <c r="E48" s="172"/>
      <c r="F48" s="171"/>
      <c r="G48" s="173" t="str">
        <f aca="false">IF(OR(C48="",D48="",E48="",F48=""),"",IFERROR(((D48*E48+F48)/C48)^(1/5)-1,"n/a"))</f>
        <v/>
      </c>
      <c r="H48" s="174"/>
      <c r="I48" s="171"/>
      <c r="J48" s="172"/>
      <c r="K48" s="171"/>
      <c r="L48" s="173" t="str">
        <f aca="false">IF(OR(C48="",I48="",J48="",K48=""),"",IFERROR(((I48*J48+K48)/C48)^(1/5)-1,"n/a"))</f>
        <v/>
      </c>
      <c r="M48" s="174"/>
      <c r="N48" s="171"/>
      <c r="O48" s="172"/>
      <c r="P48" s="171"/>
      <c r="Q48" s="173" t="str">
        <f aca="false">IF(OR(C48="",N48="",O48="",P48=""),"",IFERROR(((N48*O48+P48)/C48)^(1/5)-1,"n/a"))</f>
        <v/>
      </c>
      <c r="R48" s="174"/>
      <c r="S48" s="1" t="str">
        <f aca="false">IF(G48="","",IF(G48&gt;0.1,"PASS","FAIL"))</f>
        <v/>
      </c>
      <c r="T48" s="1" t="str">
        <f aca="false">IF(L48="","",IF(L48&gt;=0,"PASS","FAIL"))</f>
        <v/>
      </c>
      <c r="U48" s="1" t="str">
        <f aca="false">IF(COUNTA(H48,M48,R48)=0,"",IF((COUNTIF(H48,"Likely")+COUNTIF(M48,"Likely")+COUNTIF(R48,"Likely"))=1,"OK","CHECK TAGS"))</f>
        <v/>
      </c>
    </row>
    <row r="49" customFormat="false" ht="15" hidden="false" customHeight="true" outlineLevel="0" collapsed="false">
      <c r="A49" s="169"/>
      <c r="B49" s="170"/>
      <c r="C49" s="171"/>
      <c r="D49" s="171"/>
      <c r="E49" s="172"/>
      <c r="F49" s="171"/>
      <c r="G49" s="173" t="str">
        <f aca="false">IF(OR(C49="",D49="",E49="",F49=""),"",IFERROR(((D49*E49+F49)/C49)^(1/5)-1,"n/a"))</f>
        <v/>
      </c>
      <c r="H49" s="174"/>
      <c r="I49" s="171"/>
      <c r="J49" s="172"/>
      <c r="K49" s="171"/>
      <c r="L49" s="173" t="str">
        <f aca="false">IF(OR(C49="",I49="",J49="",K49=""),"",IFERROR(((I49*J49+K49)/C49)^(1/5)-1,"n/a"))</f>
        <v/>
      </c>
      <c r="M49" s="174"/>
      <c r="N49" s="171"/>
      <c r="O49" s="172"/>
      <c r="P49" s="171"/>
      <c r="Q49" s="173" t="str">
        <f aca="false">IF(OR(C49="",N49="",O49="",P49=""),"",IFERROR(((N49*O49+P49)/C49)^(1/5)-1,"n/a"))</f>
        <v/>
      </c>
      <c r="R49" s="174"/>
      <c r="S49" s="1" t="str">
        <f aca="false">IF(G49="","",IF(G49&gt;0.1,"PASS","FAIL"))</f>
        <v/>
      </c>
      <c r="T49" s="1" t="str">
        <f aca="false">IF(L49="","",IF(L49&gt;=0,"PASS","FAIL"))</f>
        <v/>
      </c>
      <c r="U49" s="1" t="str">
        <f aca="false">IF(COUNTA(H49,M49,R49)=0,"",IF((COUNTIF(H49,"Likely")+COUNTIF(M49,"Likely")+COUNTIF(R49,"Likely"))=1,"OK","CHECK TAGS"))</f>
        <v/>
      </c>
    </row>
    <row r="50" customFormat="false" ht="15" hidden="false" customHeight="true" outlineLevel="0" collapsed="false">
      <c r="A50" s="169"/>
      <c r="B50" s="170"/>
      <c r="C50" s="171"/>
      <c r="D50" s="171"/>
      <c r="E50" s="172"/>
      <c r="F50" s="171"/>
      <c r="G50" s="173" t="str">
        <f aca="false">IF(OR(C50="",D50="",E50="",F50=""),"",IFERROR(((D50*E50+F50)/C50)^(1/5)-1,"n/a"))</f>
        <v/>
      </c>
      <c r="H50" s="174"/>
      <c r="I50" s="171"/>
      <c r="J50" s="172"/>
      <c r="K50" s="171"/>
      <c r="L50" s="173" t="str">
        <f aca="false">IF(OR(C50="",I50="",J50="",K50=""),"",IFERROR(((I50*J50+K50)/C50)^(1/5)-1,"n/a"))</f>
        <v/>
      </c>
      <c r="M50" s="174"/>
      <c r="N50" s="171"/>
      <c r="O50" s="172"/>
      <c r="P50" s="171"/>
      <c r="Q50" s="173" t="str">
        <f aca="false">IF(OR(C50="",N50="",O50="",P50=""),"",IFERROR(((N50*O50+P50)/C50)^(1/5)-1,"n/a"))</f>
        <v/>
      </c>
      <c r="R50" s="174"/>
      <c r="S50" s="1" t="str">
        <f aca="false">IF(G50="","",IF(G50&gt;0.1,"PASS","FAIL"))</f>
        <v/>
      </c>
      <c r="T50" s="1" t="str">
        <f aca="false">IF(L50="","",IF(L50&gt;=0,"PASS","FAIL"))</f>
        <v/>
      </c>
      <c r="U50" s="1" t="str">
        <f aca="false">IF(COUNTA(H50,M50,R50)=0,"",IF((COUNTIF(H50,"Likely")+COUNTIF(M50,"Likely")+COUNTIF(R50,"Likely"))=1,"OK","CHECK TAGS"))</f>
        <v/>
      </c>
    </row>
  </sheetData>
  <mergeCells count="4">
    <mergeCell ref="D2:H2"/>
    <mergeCell ref="I2:M2"/>
    <mergeCell ref="N2:R2"/>
    <mergeCell ref="S2:U2"/>
  </mergeCells>
  <conditionalFormatting sqref="S4:T50">
    <cfRule type="cellIs" priority="2" operator="equal" aboveAverage="0" equalAverage="0" bottom="0" percent="0" rank="0" text="" dxfId="17">
      <formula>"PASS"</formula>
    </cfRule>
    <cfRule type="cellIs" priority="3" operator="equal" aboveAverage="0" equalAverage="0" bottom="0" percent="0" rank="0" text="" dxfId="0">
      <formula>"FAIL"</formula>
    </cfRule>
  </conditionalFormatting>
  <conditionalFormatting sqref="U4:U50">
    <cfRule type="cellIs" priority="4" operator="equal" aboveAverage="0" equalAverage="0" bottom="0" percent="0" rank="0" text="" dxfId="17">
      <formula>"OK"</formula>
    </cfRule>
    <cfRule type="cellIs" priority="5" operator="equal" aboveAverage="0" equalAverage="0" bottom="0" percent="0" rank="0" text="" dxfId="0">
      <formula>"CHECK TAGS"</formula>
    </cfRule>
  </conditionalFormatting>
  <dataValidations count="1">
    <dataValidation allowBlank="true" errorStyle="stop" operator="between" showDropDown="false" showErrorMessage="false" showInputMessage="false" sqref="H4:H23 M4:M23 R4:R23" type="list">
      <formula1>"Likely,Possible,Unlikely"</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E15" activeCellId="0" sqref="E15"/>
    </sheetView>
  </sheetViews>
  <sheetFormatPr defaultColWidth="8.66796875" defaultRowHeight="14.25" customHeight="false"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25" min="3" style="1" width="9"/>
    <col collapsed="false" customWidth="true" hidden="false" outlineLevel="0" max="26" min="26" style="1" width="8"/>
    <col collapsed="false" customWidth="true" hidden="false" outlineLevel="0" max="27" min="27" style="1" width="9"/>
    <col collapsed="false" customWidth="true" hidden="false" outlineLevel="0" max="28" min="28" style="1" width="20"/>
  </cols>
  <sheetData>
    <row r="1" customFormat="false" ht="30" hidden="false" customHeight="true" outlineLevel="0" collapsed="false">
      <c r="A1" s="175" t="s">
        <v>496</v>
      </c>
      <c r="B1" s="175"/>
      <c r="C1" s="175"/>
      <c r="D1" s="175"/>
      <c r="E1" s="175"/>
      <c r="F1" s="175"/>
      <c r="G1" s="175"/>
      <c r="H1" s="175"/>
      <c r="I1" s="175"/>
      <c r="J1" s="175"/>
      <c r="K1" s="175"/>
      <c r="L1" s="175"/>
      <c r="M1" s="175"/>
      <c r="N1" s="175"/>
      <c r="O1" s="175"/>
      <c r="P1" s="175"/>
      <c r="Q1" s="175"/>
      <c r="R1" s="175"/>
      <c r="S1" s="175"/>
      <c r="T1" s="175"/>
      <c r="U1" s="176"/>
      <c r="V1" s="176"/>
    </row>
    <row r="2" customFormat="false" ht="25.5" hidden="false" customHeight="true" outlineLevel="0" collapsed="false">
      <c r="E2" s="107" t="s">
        <v>497</v>
      </c>
      <c r="F2" s="107"/>
      <c r="G2" s="107"/>
      <c r="H2" s="107"/>
      <c r="I2" s="107"/>
      <c r="J2" s="107"/>
      <c r="K2" s="107"/>
      <c r="L2" s="107"/>
      <c r="M2" s="107"/>
      <c r="N2" s="107"/>
      <c r="O2" s="107"/>
      <c r="P2" s="107"/>
      <c r="Q2" s="107"/>
      <c r="R2" s="107"/>
      <c r="S2" s="107"/>
      <c r="T2" s="177" t="s">
        <v>498</v>
      </c>
      <c r="U2" s="177"/>
      <c r="V2" s="177"/>
      <c r="W2" s="177"/>
      <c r="X2" s="177"/>
      <c r="Y2" s="177"/>
      <c r="Z2" s="177"/>
    </row>
    <row r="3" customFormat="false" ht="54" hidden="false" customHeight="true" outlineLevel="0" collapsed="false">
      <c r="A3" s="109" t="s">
        <v>81</v>
      </c>
      <c r="B3" s="109" t="s">
        <v>279</v>
      </c>
      <c r="C3" s="109" t="s">
        <v>499</v>
      </c>
      <c r="D3" s="109" t="s">
        <v>500</v>
      </c>
      <c r="E3" s="109" t="s">
        <v>501</v>
      </c>
      <c r="F3" s="109" t="s">
        <v>502</v>
      </c>
      <c r="G3" s="109" t="s">
        <v>503</v>
      </c>
      <c r="H3" s="109" t="s">
        <v>504</v>
      </c>
      <c r="I3" s="109" t="s">
        <v>505</v>
      </c>
      <c r="J3" s="109" t="s">
        <v>503</v>
      </c>
      <c r="K3" s="109" t="s">
        <v>506</v>
      </c>
      <c r="L3" s="109" t="s">
        <v>507</v>
      </c>
      <c r="M3" s="109" t="s">
        <v>503</v>
      </c>
      <c r="N3" s="109" t="s">
        <v>508</v>
      </c>
      <c r="O3" s="109" t="s">
        <v>509</v>
      </c>
      <c r="P3" s="109" t="s">
        <v>503</v>
      </c>
      <c r="Q3" s="109" t="s">
        <v>510</v>
      </c>
      <c r="R3" s="109" t="s">
        <v>511</v>
      </c>
      <c r="S3" s="109" t="s">
        <v>503</v>
      </c>
      <c r="T3" s="109" t="s">
        <v>512</v>
      </c>
      <c r="U3" s="109" t="s">
        <v>513</v>
      </c>
      <c r="V3" s="109" t="s">
        <v>514</v>
      </c>
      <c r="W3" s="109" t="s">
        <v>515</v>
      </c>
      <c r="X3" s="109" t="s">
        <v>516</v>
      </c>
      <c r="Y3" s="109" t="s">
        <v>517</v>
      </c>
      <c r="Z3" s="109" t="s">
        <v>518</v>
      </c>
      <c r="AA3" s="109" t="s">
        <v>519</v>
      </c>
      <c r="AB3" s="109" t="s">
        <v>474</v>
      </c>
    </row>
    <row r="4" customFormat="false" ht="15" hidden="false" customHeight="true" outlineLevel="0" collapsed="false">
      <c r="A4" s="178"/>
      <c r="B4" s="118"/>
      <c r="C4" s="179"/>
      <c r="D4" s="179"/>
      <c r="E4" s="118"/>
      <c r="F4" s="118"/>
      <c r="G4" s="180" t="str">
        <f aca="false">IF(OR(E4="",F4=""),"",IF(AND(E4&lt;=2,F4&lt;=2),"TRIGGER","OK"))</f>
        <v/>
      </c>
      <c r="H4" s="118"/>
      <c r="I4" s="118"/>
      <c r="J4" s="180" t="str">
        <f aca="false">IF(OR(H4="",I4=""),"",IF(AND(H4&lt;=2,I4&lt;=2),"TRIGGER","OK"))</f>
        <v/>
      </c>
      <c r="K4" s="118"/>
      <c r="L4" s="118"/>
      <c r="M4" s="180" t="str">
        <f aca="false">IF(OR(K4="",L4=""),"",IF(AND(K4&lt;=2,L4&lt;=2),"TRIGGER","OK"))</f>
        <v/>
      </c>
      <c r="N4" s="118"/>
      <c r="O4" s="118"/>
      <c r="P4" s="180" t="str">
        <f aca="false">IF(OR(N4="",O4=""),"",IF(AND(N4&lt;=2,O4&lt;=2),"TRIGGER","OK"))</f>
        <v/>
      </c>
      <c r="Q4" s="118"/>
      <c r="R4" s="118"/>
      <c r="S4" s="180" t="str">
        <f aca="false">IF(OR(Q4="",R4=""),"",IF(AND(Q4&lt;=2,R4&lt;=2),"TRIGGER","OK"))</f>
        <v/>
      </c>
      <c r="T4" s="181"/>
      <c r="U4" s="181"/>
      <c r="V4" s="179"/>
      <c r="W4" s="179"/>
      <c r="X4" s="118"/>
      <c r="Y4" s="118"/>
      <c r="Z4" s="180" t="str">
        <f aca="false">IF(TRIM(IF(AND(T4&lt;&gt;"",T4&gt;6),"Debt/FCF&gt;6x; ","")&amp;IF(AND(U4&lt;&gt;"",V4&lt;&gt;"",U4&gt;50,V4&lt;0.15),"P/FCF&gt;50x+low growth; ","")&amp;IF(AND(W4&lt;&gt;"",W4&lt;0.07),"Implied return&lt;7%; ","")&amp;IF(AND(C4&lt;&gt;"",D4&lt;&gt;"",C4&gt;D4),"Position&gt;max; ","")&amp;IF(AND(X4&lt;&gt;"",Y4&lt;&gt;"",X4&lt;&gt;Y4,OR(Y4="Strong Buy",Y4="Buy")),"Tier downgraded; ",""))="","OK",TRIM(IF(AND(T4&lt;&gt;"",T4&gt;6),"Debt/FCF&gt;6x; ","")&amp;IF(AND(U4&lt;&gt;"",V4&lt;&gt;"",U4&gt;50,V4&lt;0.15),"P/FCF&gt;50x+low growth; ","")&amp;IF(AND(W4&lt;&gt;"",W4&lt;0.07),"Implied return&lt;7%; ","")&amp;IF(AND(C4&lt;&gt;"",D4&lt;&gt;"",C4&gt;D4),"Position&gt;max; ","")&amp;IF(AND(X4&lt;&gt;"",Y4&lt;&gt;"",X4&lt;&gt;Y4,OR(Y4="Strong Buy",Y4="Buy")),"Tier downgraded; ","")))</f>
        <v>OK</v>
      </c>
      <c r="AA4" s="118"/>
      <c r="AB4" s="123" t="str">
        <f aca="false">IF(COUNTA(G4,J4,M4,P4,S4)=0,"",IF(AA4="Y","Hold Through applies — monitor only",IF(OR((COUNTIF(G4,"TRIGGER")+COUNTIF(J4,"TRIGGER")+COUNTIF(M4,"TRIGGER")+COUNTIF(P4,"TRIGGER")+COUNTIF(S4,"TRIGGER"))&gt;0,Z4&lt;&gt;"OK"),"ACTION REQUIRED WITHIN 30 DAYS","OK — no active trigger")))</f>
        <v>OK — no active trigger</v>
      </c>
    </row>
    <row r="5" customFormat="false" ht="15" hidden="false" customHeight="true" outlineLevel="0" collapsed="false">
      <c r="A5" s="178"/>
      <c r="B5" s="118"/>
      <c r="C5" s="179"/>
      <c r="D5" s="179"/>
      <c r="E5" s="118"/>
      <c r="F5" s="118"/>
      <c r="G5" s="180" t="str">
        <f aca="false">IF(OR(E5="",F5=""),"",IF(AND(E5&lt;=2,F5&lt;=2),"TRIGGER","OK"))</f>
        <v/>
      </c>
      <c r="H5" s="118"/>
      <c r="I5" s="118"/>
      <c r="J5" s="180" t="str">
        <f aca="false">IF(OR(H5="",I5=""),"",IF(AND(H5&lt;=2,I5&lt;=2),"TRIGGER","OK"))</f>
        <v/>
      </c>
      <c r="K5" s="118"/>
      <c r="L5" s="118"/>
      <c r="M5" s="180" t="str">
        <f aca="false">IF(OR(K5="",L5=""),"",IF(AND(K5&lt;=2,L5&lt;=2),"TRIGGER","OK"))</f>
        <v/>
      </c>
      <c r="N5" s="118"/>
      <c r="O5" s="118"/>
      <c r="P5" s="180" t="str">
        <f aca="false">IF(OR(N5="",O5=""),"",IF(AND(N5&lt;=2,O5&lt;=2),"TRIGGER","OK"))</f>
        <v/>
      </c>
      <c r="Q5" s="118"/>
      <c r="R5" s="118"/>
      <c r="S5" s="180" t="str">
        <f aca="false">IF(OR(Q5="",R5=""),"",IF(AND(Q5&lt;=2,R5&lt;=2),"TRIGGER","OK"))</f>
        <v/>
      </c>
      <c r="T5" s="181"/>
      <c r="U5" s="181"/>
      <c r="V5" s="179"/>
      <c r="W5" s="179"/>
      <c r="X5" s="118"/>
      <c r="Y5" s="118"/>
      <c r="Z5" s="180" t="str">
        <f aca="false">IF(TRIM(IF(AND(T5&lt;&gt;"",T5&gt;6),"Debt/FCF&gt;6x; ","")&amp;IF(AND(U5&lt;&gt;"",V5&lt;&gt;"",U5&gt;50,V5&lt;0.15),"P/FCF&gt;50x+low growth; ","")&amp;IF(AND(W5&lt;&gt;"",W5&lt;0.07),"Implied return&lt;7%; ","")&amp;IF(AND(C5&lt;&gt;"",D5&lt;&gt;"",C5&gt;D5),"Position&gt;max; ","")&amp;IF(AND(X5&lt;&gt;"",Y5&lt;&gt;"",X5&lt;&gt;Y5,OR(Y5="Strong Buy",Y5="Buy")),"Tier downgraded; ",""))="","OK",TRIM(IF(AND(T5&lt;&gt;"",T5&gt;6),"Debt/FCF&gt;6x; ","")&amp;IF(AND(U5&lt;&gt;"",V5&lt;&gt;"",U5&gt;50,V5&lt;0.15),"P/FCF&gt;50x+low growth; ","")&amp;IF(AND(W5&lt;&gt;"",W5&lt;0.07),"Implied return&lt;7%; ","")&amp;IF(AND(C5&lt;&gt;"",D5&lt;&gt;"",C5&gt;D5),"Position&gt;max; ","")&amp;IF(AND(X5&lt;&gt;"",Y5&lt;&gt;"",X5&lt;&gt;Y5,OR(Y5="Strong Buy",Y5="Buy")),"Tier downgraded; ","")))</f>
        <v>OK</v>
      </c>
      <c r="AA5" s="118"/>
      <c r="AB5" s="123" t="str">
        <f aca="false">IF(COUNTA(G5,J5,M5,P5,S5)=0,"",IF(AA5="Y","Hold Through applies — monitor only",IF(OR((COUNTIF(G5,"TRIGGER")+COUNTIF(J5,"TRIGGER")+COUNTIF(M5,"TRIGGER")+COUNTIF(P5,"TRIGGER")+COUNTIF(S5,"TRIGGER"))&gt;0,Z5&lt;&gt;"OK"),"ACTION REQUIRED WITHIN 30 DAYS","OK — no active trigger")))</f>
        <v>OK — no active trigger</v>
      </c>
    </row>
    <row r="6" customFormat="false" ht="15" hidden="false" customHeight="true" outlineLevel="0" collapsed="false">
      <c r="A6" s="178"/>
      <c r="B6" s="118"/>
      <c r="C6" s="179"/>
      <c r="D6" s="179"/>
      <c r="E6" s="118"/>
      <c r="F6" s="118"/>
      <c r="G6" s="180" t="str">
        <f aca="false">IF(OR(E6="",F6=""),"",IF(AND(E6&lt;=2,F6&lt;=2),"TRIGGER","OK"))</f>
        <v/>
      </c>
      <c r="H6" s="118"/>
      <c r="I6" s="118"/>
      <c r="J6" s="180" t="str">
        <f aca="false">IF(OR(H6="",I6=""),"",IF(AND(H6&lt;=2,I6&lt;=2),"TRIGGER","OK"))</f>
        <v/>
      </c>
      <c r="K6" s="118"/>
      <c r="L6" s="118"/>
      <c r="M6" s="180" t="str">
        <f aca="false">IF(OR(K6="",L6=""),"",IF(AND(K6&lt;=2,L6&lt;=2),"TRIGGER","OK"))</f>
        <v/>
      </c>
      <c r="N6" s="118"/>
      <c r="O6" s="118"/>
      <c r="P6" s="180" t="str">
        <f aca="false">IF(OR(N6="",O6=""),"",IF(AND(N6&lt;=2,O6&lt;=2),"TRIGGER","OK"))</f>
        <v/>
      </c>
      <c r="Q6" s="118"/>
      <c r="R6" s="118"/>
      <c r="S6" s="180" t="str">
        <f aca="false">IF(OR(Q6="",R6=""),"",IF(AND(Q6&lt;=2,R6&lt;=2),"TRIGGER","OK"))</f>
        <v/>
      </c>
      <c r="T6" s="181"/>
      <c r="U6" s="181"/>
      <c r="V6" s="179"/>
      <c r="W6" s="179"/>
      <c r="X6" s="118"/>
      <c r="Y6" s="118"/>
      <c r="Z6" s="180" t="str">
        <f aca="false">IF(TRIM(IF(AND(T6&lt;&gt;"",T6&gt;6),"Debt/FCF&gt;6x; ","")&amp;IF(AND(U6&lt;&gt;"",V6&lt;&gt;"",U6&gt;50,V6&lt;0.15),"P/FCF&gt;50x+low growth; ","")&amp;IF(AND(W6&lt;&gt;"",W6&lt;0.07),"Implied return&lt;7%; ","")&amp;IF(AND(C6&lt;&gt;"",D6&lt;&gt;"",C6&gt;D6),"Position&gt;max; ","")&amp;IF(AND(X6&lt;&gt;"",Y6&lt;&gt;"",X6&lt;&gt;Y6,OR(Y6="Strong Buy",Y6="Buy")),"Tier downgraded; ",""))="","OK",TRIM(IF(AND(T6&lt;&gt;"",T6&gt;6),"Debt/FCF&gt;6x; ","")&amp;IF(AND(U6&lt;&gt;"",V6&lt;&gt;"",U6&gt;50,V6&lt;0.15),"P/FCF&gt;50x+low growth; ","")&amp;IF(AND(W6&lt;&gt;"",W6&lt;0.07),"Implied return&lt;7%; ","")&amp;IF(AND(C6&lt;&gt;"",D6&lt;&gt;"",C6&gt;D6),"Position&gt;max; ","")&amp;IF(AND(X6&lt;&gt;"",Y6&lt;&gt;"",X6&lt;&gt;Y6,OR(Y6="Strong Buy",Y6="Buy")),"Tier downgraded; ","")))</f>
        <v>OK</v>
      </c>
      <c r="AA6" s="118"/>
      <c r="AB6" s="123" t="str">
        <f aca="false">IF(COUNTA(G6,J6,M6,P6,S6)=0,"",IF(AA6="Y","Hold Through applies — monitor only",IF(OR((COUNTIF(G6,"TRIGGER")+COUNTIF(J6,"TRIGGER")+COUNTIF(M6,"TRIGGER")+COUNTIF(P6,"TRIGGER")+COUNTIF(S6,"TRIGGER"))&gt;0,Z6&lt;&gt;"OK"),"ACTION REQUIRED WITHIN 30 DAYS","OK — no active trigger")))</f>
        <v>OK — no active trigger</v>
      </c>
    </row>
    <row r="7" customFormat="false" ht="15" hidden="false" customHeight="true" outlineLevel="0" collapsed="false">
      <c r="A7" s="178"/>
      <c r="B7" s="118"/>
      <c r="C7" s="179"/>
      <c r="D7" s="179"/>
      <c r="E7" s="118"/>
      <c r="F7" s="118"/>
      <c r="G7" s="180" t="str">
        <f aca="false">IF(OR(E7="",F7=""),"",IF(AND(E7&lt;=2,F7&lt;=2),"TRIGGER","OK"))</f>
        <v/>
      </c>
      <c r="H7" s="118"/>
      <c r="I7" s="118"/>
      <c r="J7" s="180" t="str">
        <f aca="false">IF(OR(H7="",I7=""),"",IF(AND(H7&lt;=2,I7&lt;=2),"TRIGGER","OK"))</f>
        <v/>
      </c>
      <c r="K7" s="118"/>
      <c r="L7" s="118"/>
      <c r="M7" s="180" t="str">
        <f aca="false">IF(OR(K7="",L7=""),"",IF(AND(K7&lt;=2,L7&lt;=2),"TRIGGER","OK"))</f>
        <v/>
      </c>
      <c r="N7" s="118"/>
      <c r="O7" s="118"/>
      <c r="P7" s="180" t="str">
        <f aca="false">IF(OR(N7="",O7=""),"",IF(AND(N7&lt;=2,O7&lt;=2),"TRIGGER","OK"))</f>
        <v/>
      </c>
      <c r="Q7" s="118"/>
      <c r="R7" s="118"/>
      <c r="S7" s="180" t="str">
        <f aca="false">IF(OR(Q7="",R7=""),"",IF(AND(Q7&lt;=2,R7&lt;=2),"TRIGGER","OK"))</f>
        <v/>
      </c>
      <c r="T7" s="181"/>
      <c r="U7" s="181"/>
      <c r="V7" s="179"/>
      <c r="W7" s="179"/>
      <c r="X7" s="118"/>
      <c r="Y7" s="118"/>
      <c r="Z7" s="180" t="str">
        <f aca="false">IF(TRIM(IF(AND(T7&lt;&gt;"",T7&gt;6),"Debt/FCF&gt;6x; ","")&amp;IF(AND(U7&lt;&gt;"",V7&lt;&gt;"",U7&gt;50,V7&lt;0.15),"P/FCF&gt;50x+low growth; ","")&amp;IF(AND(W7&lt;&gt;"",W7&lt;0.07),"Implied return&lt;7%; ","")&amp;IF(AND(C7&lt;&gt;"",D7&lt;&gt;"",C7&gt;D7),"Position&gt;max; ","")&amp;IF(AND(X7&lt;&gt;"",Y7&lt;&gt;"",X7&lt;&gt;Y7,OR(Y7="Strong Buy",Y7="Buy")),"Tier downgraded; ",""))="","OK",TRIM(IF(AND(T7&lt;&gt;"",T7&gt;6),"Debt/FCF&gt;6x; ","")&amp;IF(AND(U7&lt;&gt;"",V7&lt;&gt;"",U7&gt;50,V7&lt;0.15),"P/FCF&gt;50x+low growth; ","")&amp;IF(AND(W7&lt;&gt;"",W7&lt;0.07),"Implied return&lt;7%; ","")&amp;IF(AND(C7&lt;&gt;"",D7&lt;&gt;"",C7&gt;D7),"Position&gt;max; ","")&amp;IF(AND(X7&lt;&gt;"",Y7&lt;&gt;"",X7&lt;&gt;Y7,OR(Y7="Strong Buy",Y7="Buy")),"Tier downgraded; ","")))</f>
        <v>OK</v>
      </c>
      <c r="AA7" s="118"/>
      <c r="AB7" s="123" t="str">
        <f aca="false">IF(COUNTA(G7,J7,M7,P7,S7)=0,"",IF(AA7="Y","Hold Through applies — monitor only",IF(OR((COUNTIF(G7,"TRIGGER")+COUNTIF(J7,"TRIGGER")+COUNTIF(M7,"TRIGGER")+COUNTIF(P7,"TRIGGER")+COUNTIF(S7,"TRIGGER"))&gt;0,Z7&lt;&gt;"OK"),"ACTION REQUIRED WITHIN 30 DAYS","OK — no active trigger")))</f>
        <v>OK — no active trigger</v>
      </c>
    </row>
    <row r="8" customFormat="false" ht="15" hidden="false" customHeight="true" outlineLevel="0" collapsed="false">
      <c r="A8" s="178"/>
      <c r="B8" s="118"/>
      <c r="C8" s="179"/>
      <c r="D8" s="179"/>
      <c r="E8" s="118"/>
      <c r="F8" s="118"/>
      <c r="G8" s="180" t="str">
        <f aca="false">IF(OR(E8="",F8=""),"",IF(AND(E8&lt;=2,F8&lt;=2),"TRIGGER","OK"))</f>
        <v/>
      </c>
      <c r="H8" s="118"/>
      <c r="I8" s="118"/>
      <c r="J8" s="180" t="str">
        <f aca="false">IF(OR(H8="",I8=""),"",IF(AND(H8&lt;=2,I8&lt;=2),"TRIGGER","OK"))</f>
        <v/>
      </c>
      <c r="K8" s="118"/>
      <c r="L8" s="118"/>
      <c r="M8" s="180" t="str">
        <f aca="false">IF(OR(K8="",L8=""),"",IF(AND(K8&lt;=2,L8&lt;=2),"TRIGGER","OK"))</f>
        <v/>
      </c>
      <c r="N8" s="118"/>
      <c r="O8" s="118"/>
      <c r="P8" s="180" t="str">
        <f aca="false">IF(OR(N8="",O8=""),"",IF(AND(N8&lt;=2,O8&lt;=2),"TRIGGER","OK"))</f>
        <v/>
      </c>
      <c r="Q8" s="118"/>
      <c r="R8" s="118"/>
      <c r="S8" s="180" t="str">
        <f aca="false">IF(OR(Q8="",R8=""),"",IF(AND(Q8&lt;=2,R8&lt;=2),"TRIGGER","OK"))</f>
        <v/>
      </c>
      <c r="T8" s="181"/>
      <c r="U8" s="181"/>
      <c r="V8" s="179"/>
      <c r="W8" s="179"/>
      <c r="X8" s="118"/>
      <c r="Y8" s="118"/>
      <c r="Z8" s="180" t="str">
        <f aca="false">IF(TRIM(IF(AND(T8&lt;&gt;"",T8&gt;6),"Debt/FCF&gt;6x; ","")&amp;IF(AND(U8&lt;&gt;"",V8&lt;&gt;"",U8&gt;50,V8&lt;0.15),"P/FCF&gt;50x+low growth; ","")&amp;IF(AND(W8&lt;&gt;"",W8&lt;0.07),"Implied return&lt;7%; ","")&amp;IF(AND(C8&lt;&gt;"",D8&lt;&gt;"",C8&gt;D8),"Position&gt;max; ","")&amp;IF(AND(X8&lt;&gt;"",Y8&lt;&gt;"",X8&lt;&gt;Y8,OR(Y8="Strong Buy",Y8="Buy")),"Tier downgraded; ",""))="","OK",TRIM(IF(AND(T8&lt;&gt;"",T8&gt;6),"Debt/FCF&gt;6x; ","")&amp;IF(AND(U8&lt;&gt;"",V8&lt;&gt;"",U8&gt;50,V8&lt;0.15),"P/FCF&gt;50x+low growth; ","")&amp;IF(AND(W8&lt;&gt;"",W8&lt;0.07),"Implied return&lt;7%; ","")&amp;IF(AND(C8&lt;&gt;"",D8&lt;&gt;"",C8&gt;D8),"Position&gt;max; ","")&amp;IF(AND(X8&lt;&gt;"",Y8&lt;&gt;"",X8&lt;&gt;Y8,OR(Y8="Strong Buy",Y8="Buy")),"Tier downgraded; ","")))</f>
        <v>OK</v>
      </c>
      <c r="AA8" s="118"/>
      <c r="AB8" s="123" t="str">
        <f aca="false">IF(COUNTA(G8,J8,M8,P8,S8)=0,"",IF(AA8="Y","Hold Through applies — monitor only",IF(OR((COUNTIF(G8,"TRIGGER")+COUNTIF(J8,"TRIGGER")+COUNTIF(M8,"TRIGGER")+COUNTIF(P8,"TRIGGER")+COUNTIF(S8,"TRIGGER"))&gt;0,Z8&lt;&gt;"OK"),"ACTION REQUIRED WITHIN 30 DAYS","OK — no active trigger")))</f>
        <v>OK — no active trigger</v>
      </c>
    </row>
    <row r="9" customFormat="false" ht="15" hidden="false" customHeight="true" outlineLevel="0" collapsed="false">
      <c r="A9" s="178"/>
      <c r="B9" s="118"/>
      <c r="C9" s="179"/>
      <c r="D9" s="179"/>
      <c r="E9" s="118"/>
      <c r="F9" s="118"/>
      <c r="G9" s="180" t="str">
        <f aca="false">IF(OR(E9="",F9=""),"",IF(AND(E9&lt;=2,F9&lt;=2),"TRIGGER","OK"))</f>
        <v/>
      </c>
      <c r="H9" s="118"/>
      <c r="I9" s="118"/>
      <c r="J9" s="180" t="str">
        <f aca="false">IF(OR(H9="",I9=""),"",IF(AND(H9&lt;=2,I9&lt;=2),"TRIGGER","OK"))</f>
        <v/>
      </c>
      <c r="K9" s="118"/>
      <c r="L9" s="118"/>
      <c r="M9" s="180" t="str">
        <f aca="false">IF(OR(K9="",L9=""),"",IF(AND(K9&lt;=2,L9&lt;=2),"TRIGGER","OK"))</f>
        <v/>
      </c>
      <c r="N9" s="118"/>
      <c r="O9" s="118"/>
      <c r="P9" s="180" t="str">
        <f aca="false">IF(OR(N9="",O9=""),"",IF(AND(N9&lt;=2,O9&lt;=2),"TRIGGER","OK"))</f>
        <v/>
      </c>
      <c r="Q9" s="118"/>
      <c r="R9" s="118"/>
      <c r="S9" s="180" t="str">
        <f aca="false">IF(OR(Q9="",R9=""),"",IF(AND(Q9&lt;=2,R9&lt;=2),"TRIGGER","OK"))</f>
        <v/>
      </c>
      <c r="T9" s="181"/>
      <c r="U9" s="181"/>
      <c r="V9" s="179"/>
      <c r="W9" s="179"/>
      <c r="X9" s="118"/>
      <c r="Y9" s="118"/>
      <c r="Z9" s="180" t="str">
        <f aca="false">IF(TRIM(IF(AND(T9&lt;&gt;"",T9&gt;6),"Debt/FCF&gt;6x; ","")&amp;IF(AND(U9&lt;&gt;"",V9&lt;&gt;"",U9&gt;50,V9&lt;0.15),"P/FCF&gt;50x+low growth; ","")&amp;IF(AND(W9&lt;&gt;"",W9&lt;0.07),"Implied return&lt;7%; ","")&amp;IF(AND(C9&lt;&gt;"",D9&lt;&gt;"",C9&gt;D9),"Position&gt;max; ","")&amp;IF(AND(X9&lt;&gt;"",Y9&lt;&gt;"",X9&lt;&gt;Y9,OR(Y9="Strong Buy",Y9="Buy")),"Tier downgraded; ",""))="","OK",TRIM(IF(AND(T9&lt;&gt;"",T9&gt;6),"Debt/FCF&gt;6x; ","")&amp;IF(AND(U9&lt;&gt;"",V9&lt;&gt;"",U9&gt;50,V9&lt;0.15),"P/FCF&gt;50x+low growth; ","")&amp;IF(AND(W9&lt;&gt;"",W9&lt;0.07),"Implied return&lt;7%; ","")&amp;IF(AND(C9&lt;&gt;"",D9&lt;&gt;"",C9&gt;D9),"Position&gt;max; ","")&amp;IF(AND(X9&lt;&gt;"",Y9&lt;&gt;"",X9&lt;&gt;Y9,OR(Y9="Strong Buy",Y9="Buy")),"Tier downgraded; ","")))</f>
        <v>OK</v>
      </c>
      <c r="AA9" s="118"/>
      <c r="AB9" s="123" t="str">
        <f aca="false">IF(COUNTA(G9,J9,M9,P9,S9)=0,"",IF(AA9="Y","Hold Through applies — monitor only",IF(OR((COUNTIF(G9,"TRIGGER")+COUNTIF(J9,"TRIGGER")+COUNTIF(M9,"TRIGGER")+COUNTIF(P9,"TRIGGER")+COUNTIF(S9,"TRIGGER"))&gt;0,Z9&lt;&gt;"OK"),"ACTION REQUIRED WITHIN 30 DAYS","OK — no active trigger")))</f>
        <v>OK — no active trigger</v>
      </c>
    </row>
    <row r="10" customFormat="false" ht="15" hidden="false" customHeight="true" outlineLevel="0" collapsed="false">
      <c r="A10" s="178"/>
      <c r="B10" s="118"/>
      <c r="C10" s="179"/>
      <c r="D10" s="179"/>
      <c r="E10" s="118"/>
      <c r="F10" s="118"/>
      <c r="G10" s="180" t="str">
        <f aca="false">IF(OR(E10="",F10=""),"",IF(AND(E10&lt;=2,F10&lt;=2),"TRIGGER","OK"))</f>
        <v/>
      </c>
      <c r="H10" s="118"/>
      <c r="I10" s="118"/>
      <c r="J10" s="180" t="str">
        <f aca="false">IF(OR(H10="",I10=""),"",IF(AND(H10&lt;=2,I10&lt;=2),"TRIGGER","OK"))</f>
        <v/>
      </c>
      <c r="K10" s="118"/>
      <c r="L10" s="118"/>
      <c r="M10" s="180" t="str">
        <f aca="false">IF(OR(K10="",L10=""),"",IF(AND(K10&lt;=2,L10&lt;=2),"TRIGGER","OK"))</f>
        <v/>
      </c>
      <c r="N10" s="118"/>
      <c r="O10" s="118"/>
      <c r="P10" s="180" t="str">
        <f aca="false">IF(OR(N10="",O10=""),"",IF(AND(N10&lt;=2,O10&lt;=2),"TRIGGER","OK"))</f>
        <v/>
      </c>
      <c r="Q10" s="118"/>
      <c r="R10" s="118"/>
      <c r="S10" s="180" t="str">
        <f aca="false">IF(OR(Q10="",R10=""),"",IF(AND(Q10&lt;=2,R10&lt;=2),"TRIGGER","OK"))</f>
        <v/>
      </c>
      <c r="T10" s="181"/>
      <c r="U10" s="181"/>
      <c r="V10" s="179"/>
      <c r="W10" s="179"/>
      <c r="X10" s="118"/>
      <c r="Y10" s="118"/>
      <c r="Z10" s="180" t="str">
        <f aca="false">IF(TRIM(IF(AND(T10&lt;&gt;"",T10&gt;6),"Debt/FCF&gt;6x; ","")&amp;IF(AND(U10&lt;&gt;"",V10&lt;&gt;"",U10&gt;50,V10&lt;0.15),"P/FCF&gt;50x+low growth; ","")&amp;IF(AND(W10&lt;&gt;"",W10&lt;0.07),"Implied return&lt;7%; ","")&amp;IF(AND(C10&lt;&gt;"",D10&lt;&gt;"",C10&gt;D10),"Position&gt;max; ","")&amp;IF(AND(X10&lt;&gt;"",Y10&lt;&gt;"",X10&lt;&gt;Y10,OR(Y10="Strong Buy",Y10="Buy")),"Tier downgraded; ",""))="","OK",TRIM(IF(AND(T10&lt;&gt;"",T10&gt;6),"Debt/FCF&gt;6x; ","")&amp;IF(AND(U10&lt;&gt;"",V10&lt;&gt;"",U10&gt;50,V10&lt;0.15),"P/FCF&gt;50x+low growth; ","")&amp;IF(AND(W10&lt;&gt;"",W10&lt;0.07),"Implied return&lt;7%; ","")&amp;IF(AND(C10&lt;&gt;"",D10&lt;&gt;"",C10&gt;D10),"Position&gt;max; ","")&amp;IF(AND(X10&lt;&gt;"",Y10&lt;&gt;"",X10&lt;&gt;Y10,OR(Y10="Strong Buy",Y10="Buy")),"Tier downgraded; ","")))</f>
        <v>OK</v>
      </c>
      <c r="AA10" s="118"/>
      <c r="AB10" s="123" t="str">
        <f aca="false">IF(COUNTA(G10,J10,M10,P10,S10)=0,"",IF(AA10="Y","Hold Through applies — monitor only",IF(OR((COUNTIF(G10,"TRIGGER")+COUNTIF(J10,"TRIGGER")+COUNTIF(M10,"TRIGGER")+COUNTIF(P10,"TRIGGER")+COUNTIF(S10,"TRIGGER"))&gt;0,Z10&lt;&gt;"OK"),"ACTION REQUIRED WITHIN 30 DAYS","OK — no active trigger")))</f>
        <v>OK — no active trigger</v>
      </c>
    </row>
    <row r="11" customFormat="false" ht="15" hidden="false" customHeight="true" outlineLevel="0" collapsed="false">
      <c r="A11" s="178"/>
      <c r="B11" s="118"/>
      <c r="C11" s="179"/>
      <c r="D11" s="179"/>
      <c r="E11" s="118"/>
      <c r="F11" s="118"/>
      <c r="G11" s="180" t="str">
        <f aca="false">IF(OR(E11="",F11=""),"",IF(AND(E11&lt;=2,F11&lt;=2),"TRIGGER","OK"))</f>
        <v/>
      </c>
      <c r="H11" s="118"/>
      <c r="I11" s="118"/>
      <c r="J11" s="180" t="str">
        <f aca="false">IF(OR(H11="",I11=""),"",IF(AND(H11&lt;=2,I11&lt;=2),"TRIGGER","OK"))</f>
        <v/>
      </c>
      <c r="K11" s="118"/>
      <c r="L11" s="118"/>
      <c r="M11" s="180" t="str">
        <f aca="false">IF(OR(K11="",L11=""),"",IF(AND(K11&lt;=2,L11&lt;=2),"TRIGGER","OK"))</f>
        <v/>
      </c>
      <c r="N11" s="118"/>
      <c r="O11" s="118"/>
      <c r="P11" s="180" t="str">
        <f aca="false">IF(OR(N11="",O11=""),"",IF(AND(N11&lt;=2,O11&lt;=2),"TRIGGER","OK"))</f>
        <v/>
      </c>
      <c r="Q11" s="118"/>
      <c r="R11" s="118"/>
      <c r="S11" s="180" t="str">
        <f aca="false">IF(OR(Q11="",R11=""),"",IF(AND(Q11&lt;=2,R11&lt;=2),"TRIGGER","OK"))</f>
        <v/>
      </c>
      <c r="T11" s="181"/>
      <c r="U11" s="181"/>
      <c r="V11" s="179"/>
      <c r="W11" s="179"/>
      <c r="X11" s="118"/>
      <c r="Y11" s="118"/>
      <c r="Z11" s="180" t="str">
        <f aca="false">IF(TRIM(IF(AND(T11&lt;&gt;"",T11&gt;6),"Debt/FCF&gt;6x; ","")&amp;IF(AND(U11&lt;&gt;"",V11&lt;&gt;"",U11&gt;50,V11&lt;0.15),"P/FCF&gt;50x+low growth; ","")&amp;IF(AND(W11&lt;&gt;"",W11&lt;0.07),"Implied return&lt;7%; ","")&amp;IF(AND(C11&lt;&gt;"",D11&lt;&gt;"",C11&gt;D11),"Position&gt;max; ","")&amp;IF(AND(X11&lt;&gt;"",Y11&lt;&gt;"",X11&lt;&gt;Y11,OR(Y11="Strong Buy",Y11="Buy")),"Tier downgraded; ",""))="","OK",TRIM(IF(AND(T11&lt;&gt;"",T11&gt;6),"Debt/FCF&gt;6x; ","")&amp;IF(AND(U11&lt;&gt;"",V11&lt;&gt;"",U11&gt;50,V11&lt;0.15),"P/FCF&gt;50x+low growth; ","")&amp;IF(AND(W11&lt;&gt;"",W11&lt;0.07),"Implied return&lt;7%; ","")&amp;IF(AND(C11&lt;&gt;"",D11&lt;&gt;"",C11&gt;D11),"Position&gt;max; ","")&amp;IF(AND(X11&lt;&gt;"",Y11&lt;&gt;"",X11&lt;&gt;Y11,OR(Y11="Strong Buy",Y11="Buy")),"Tier downgraded; ","")))</f>
        <v>OK</v>
      </c>
      <c r="AA11" s="118"/>
      <c r="AB11" s="123" t="str">
        <f aca="false">IF(COUNTA(G11,J11,M11,P11,S11)=0,"",IF(AA11="Y","Hold Through applies — monitor only",IF(OR((COUNTIF(G11,"TRIGGER")+COUNTIF(J11,"TRIGGER")+COUNTIF(M11,"TRIGGER")+COUNTIF(P11,"TRIGGER")+COUNTIF(S11,"TRIGGER"))&gt;0,Z11&lt;&gt;"OK"),"ACTION REQUIRED WITHIN 30 DAYS","OK — no active trigger")))</f>
        <v>OK — no active trigger</v>
      </c>
    </row>
    <row r="12" customFormat="false" ht="15" hidden="false" customHeight="true" outlineLevel="0" collapsed="false">
      <c r="A12" s="178"/>
      <c r="B12" s="118"/>
      <c r="C12" s="179"/>
      <c r="D12" s="179"/>
      <c r="E12" s="118"/>
      <c r="F12" s="118"/>
      <c r="G12" s="180" t="str">
        <f aca="false">IF(OR(E12="",F12=""),"",IF(AND(E12&lt;=2,F12&lt;=2),"TRIGGER","OK"))</f>
        <v/>
      </c>
      <c r="H12" s="118"/>
      <c r="I12" s="118"/>
      <c r="J12" s="180" t="str">
        <f aca="false">IF(OR(H12="",I12=""),"",IF(AND(H12&lt;=2,I12&lt;=2),"TRIGGER","OK"))</f>
        <v/>
      </c>
      <c r="K12" s="118"/>
      <c r="L12" s="118"/>
      <c r="M12" s="180" t="str">
        <f aca="false">IF(OR(K12="",L12=""),"",IF(AND(K12&lt;=2,L12&lt;=2),"TRIGGER","OK"))</f>
        <v/>
      </c>
      <c r="N12" s="118"/>
      <c r="O12" s="118"/>
      <c r="P12" s="180" t="str">
        <f aca="false">IF(OR(N12="",O12=""),"",IF(AND(N12&lt;=2,O12&lt;=2),"TRIGGER","OK"))</f>
        <v/>
      </c>
      <c r="Q12" s="118"/>
      <c r="R12" s="118"/>
      <c r="S12" s="180" t="str">
        <f aca="false">IF(OR(Q12="",R12=""),"",IF(AND(Q12&lt;=2,R12&lt;=2),"TRIGGER","OK"))</f>
        <v/>
      </c>
      <c r="T12" s="181"/>
      <c r="U12" s="181"/>
      <c r="V12" s="179"/>
      <c r="W12" s="179"/>
      <c r="X12" s="118"/>
      <c r="Y12" s="118"/>
      <c r="Z12" s="180" t="str">
        <f aca="false">IF(TRIM(IF(AND(T12&lt;&gt;"",T12&gt;6),"Debt/FCF&gt;6x; ","")&amp;IF(AND(U12&lt;&gt;"",V12&lt;&gt;"",U12&gt;50,V12&lt;0.15),"P/FCF&gt;50x+low growth; ","")&amp;IF(AND(W12&lt;&gt;"",W12&lt;0.07),"Implied return&lt;7%; ","")&amp;IF(AND(C12&lt;&gt;"",D12&lt;&gt;"",C12&gt;D12),"Position&gt;max; ","")&amp;IF(AND(X12&lt;&gt;"",Y12&lt;&gt;"",X12&lt;&gt;Y12,OR(Y12="Strong Buy",Y12="Buy")),"Tier downgraded; ",""))="","OK",TRIM(IF(AND(T12&lt;&gt;"",T12&gt;6),"Debt/FCF&gt;6x; ","")&amp;IF(AND(U12&lt;&gt;"",V12&lt;&gt;"",U12&gt;50,V12&lt;0.15),"P/FCF&gt;50x+low growth; ","")&amp;IF(AND(W12&lt;&gt;"",W12&lt;0.07),"Implied return&lt;7%; ","")&amp;IF(AND(C12&lt;&gt;"",D12&lt;&gt;"",C12&gt;D12),"Position&gt;max; ","")&amp;IF(AND(X12&lt;&gt;"",Y12&lt;&gt;"",X12&lt;&gt;Y12,OR(Y12="Strong Buy",Y12="Buy")),"Tier downgraded; ","")))</f>
        <v>OK</v>
      </c>
      <c r="AA12" s="118"/>
      <c r="AB12" s="123" t="str">
        <f aca="false">IF(COUNTA(G12,J12,M12,P12,S12)=0,"",IF(AA12="Y","Hold Through applies — monitor only",IF(OR((COUNTIF(G12,"TRIGGER")+COUNTIF(J12,"TRIGGER")+COUNTIF(M12,"TRIGGER")+COUNTIF(P12,"TRIGGER")+COUNTIF(S12,"TRIGGER"))&gt;0,Z12&lt;&gt;"OK"),"ACTION REQUIRED WITHIN 30 DAYS","OK — no active trigger")))</f>
        <v>OK — no active trigger</v>
      </c>
    </row>
    <row r="13" customFormat="false" ht="15" hidden="false" customHeight="true" outlineLevel="0" collapsed="false">
      <c r="A13" s="178"/>
      <c r="B13" s="118"/>
      <c r="C13" s="179"/>
      <c r="D13" s="179"/>
      <c r="E13" s="118"/>
      <c r="F13" s="118"/>
      <c r="G13" s="180" t="str">
        <f aca="false">IF(OR(E13="",F13=""),"",IF(AND(E13&lt;=2,F13&lt;=2),"TRIGGER","OK"))</f>
        <v/>
      </c>
      <c r="H13" s="118"/>
      <c r="I13" s="118"/>
      <c r="J13" s="180" t="str">
        <f aca="false">IF(OR(H13="",I13=""),"",IF(AND(H13&lt;=2,I13&lt;=2),"TRIGGER","OK"))</f>
        <v/>
      </c>
      <c r="K13" s="118"/>
      <c r="L13" s="118"/>
      <c r="M13" s="180" t="str">
        <f aca="false">IF(OR(K13="",L13=""),"",IF(AND(K13&lt;=2,L13&lt;=2),"TRIGGER","OK"))</f>
        <v/>
      </c>
      <c r="N13" s="118"/>
      <c r="O13" s="118"/>
      <c r="P13" s="180" t="str">
        <f aca="false">IF(OR(N13="",O13=""),"",IF(AND(N13&lt;=2,O13&lt;=2),"TRIGGER","OK"))</f>
        <v/>
      </c>
      <c r="Q13" s="118"/>
      <c r="R13" s="118"/>
      <c r="S13" s="180" t="str">
        <f aca="false">IF(OR(Q13="",R13=""),"",IF(AND(Q13&lt;=2,R13&lt;=2),"TRIGGER","OK"))</f>
        <v/>
      </c>
      <c r="T13" s="181"/>
      <c r="U13" s="181"/>
      <c r="V13" s="179"/>
      <c r="W13" s="179"/>
      <c r="X13" s="118"/>
      <c r="Y13" s="118"/>
      <c r="Z13" s="180" t="str">
        <f aca="false">IF(TRIM(IF(AND(T13&lt;&gt;"",T13&gt;6),"Debt/FCF&gt;6x; ","")&amp;IF(AND(U13&lt;&gt;"",V13&lt;&gt;"",U13&gt;50,V13&lt;0.15),"P/FCF&gt;50x+low growth; ","")&amp;IF(AND(W13&lt;&gt;"",W13&lt;0.07),"Implied return&lt;7%; ","")&amp;IF(AND(C13&lt;&gt;"",D13&lt;&gt;"",C13&gt;D13),"Position&gt;max; ","")&amp;IF(AND(X13&lt;&gt;"",Y13&lt;&gt;"",X13&lt;&gt;Y13,OR(Y13="Strong Buy",Y13="Buy")),"Tier downgraded; ",""))="","OK",TRIM(IF(AND(T13&lt;&gt;"",T13&gt;6),"Debt/FCF&gt;6x; ","")&amp;IF(AND(U13&lt;&gt;"",V13&lt;&gt;"",U13&gt;50,V13&lt;0.15),"P/FCF&gt;50x+low growth; ","")&amp;IF(AND(W13&lt;&gt;"",W13&lt;0.07),"Implied return&lt;7%; ","")&amp;IF(AND(C13&lt;&gt;"",D13&lt;&gt;"",C13&gt;D13),"Position&gt;max; ","")&amp;IF(AND(X13&lt;&gt;"",Y13&lt;&gt;"",X13&lt;&gt;Y13,OR(Y13="Strong Buy",Y13="Buy")),"Tier downgraded; ","")))</f>
        <v>OK</v>
      </c>
      <c r="AA13" s="118"/>
      <c r="AB13" s="123" t="str">
        <f aca="false">IF(COUNTA(G13,J13,M13,P13,S13)=0,"",IF(AA13="Y","Hold Through applies — monitor only",IF(OR((COUNTIF(G13,"TRIGGER")+COUNTIF(J13,"TRIGGER")+COUNTIF(M13,"TRIGGER")+COUNTIF(P13,"TRIGGER")+COUNTIF(S13,"TRIGGER"))&gt;0,Z13&lt;&gt;"OK"),"ACTION REQUIRED WITHIN 30 DAYS","OK — no active trigger")))</f>
        <v>OK — no active trigger</v>
      </c>
    </row>
    <row r="14" customFormat="false" ht="15" hidden="false" customHeight="true" outlineLevel="0" collapsed="false">
      <c r="A14" s="178"/>
      <c r="B14" s="118"/>
      <c r="C14" s="179"/>
      <c r="D14" s="179"/>
      <c r="E14" s="118"/>
      <c r="F14" s="118"/>
      <c r="G14" s="180" t="str">
        <f aca="false">IF(OR(E14="",F14=""),"",IF(AND(E14&lt;=2,F14&lt;=2),"TRIGGER","OK"))</f>
        <v/>
      </c>
      <c r="H14" s="118"/>
      <c r="I14" s="118"/>
      <c r="J14" s="180" t="str">
        <f aca="false">IF(OR(H14="",I14=""),"",IF(AND(H14&lt;=2,I14&lt;=2),"TRIGGER","OK"))</f>
        <v/>
      </c>
      <c r="K14" s="118"/>
      <c r="L14" s="118"/>
      <c r="M14" s="180" t="str">
        <f aca="false">IF(OR(K14="",L14=""),"",IF(AND(K14&lt;=2,L14&lt;=2),"TRIGGER","OK"))</f>
        <v/>
      </c>
      <c r="N14" s="118"/>
      <c r="O14" s="118"/>
      <c r="P14" s="180" t="str">
        <f aca="false">IF(OR(N14="",O14=""),"",IF(AND(N14&lt;=2,O14&lt;=2),"TRIGGER","OK"))</f>
        <v/>
      </c>
      <c r="Q14" s="118"/>
      <c r="R14" s="118"/>
      <c r="S14" s="180" t="str">
        <f aca="false">IF(OR(Q14="",R14=""),"",IF(AND(Q14&lt;=2,R14&lt;=2),"TRIGGER","OK"))</f>
        <v/>
      </c>
      <c r="T14" s="181"/>
      <c r="U14" s="181"/>
      <c r="V14" s="179"/>
      <c r="W14" s="179"/>
      <c r="X14" s="118"/>
      <c r="Y14" s="118"/>
      <c r="Z14" s="180" t="str">
        <f aca="false">IF(TRIM(IF(AND(T14&lt;&gt;"",T14&gt;6),"Debt/FCF&gt;6x; ","")&amp;IF(AND(U14&lt;&gt;"",V14&lt;&gt;"",U14&gt;50,V14&lt;0.15),"P/FCF&gt;50x+low growth; ","")&amp;IF(AND(W14&lt;&gt;"",W14&lt;0.07),"Implied return&lt;7%; ","")&amp;IF(AND(C14&lt;&gt;"",D14&lt;&gt;"",C14&gt;D14),"Position&gt;max; ","")&amp;IF(AND(X14&lt;&gt;"",Y14&lt;&gt;"",X14&lt;&gt;Y14,OR(Y14="Strong Buy",Y14="Buy")),"Tier downgraded; ",""))="","OK",TRIM(IF(AND(T14&lt;&gt;"",T14&gt;6),"Debt/FCF&gt;6x; ","")&amp;IF(AND(U14&lt;&gt;"",V14&lt;&gt;"",U14&gt;50,V14&lt;0.15),"P/FCF&gt;50x+low growth; ","")&amp;IF(AND(W14&lt;&gt;"",W14&lt;0.07),"Implied return&lt;7%; ","")&amp;IF(AND(C14&lt;&gt;"",D14&lt;&gt;"",C14&gt;D14),"Position&gt;max; ","")&amp;IF(AND(X14&lt;&gt;"",Y14&lt;&gt;"",X14&lt;&gt;Y14,OR(Y14="Strong Buy",Y14="Buy")),"Tier downgraded; ","")))</f>
        <v>OK</v>
      </c>
      <c r="AA14" s="118"/>
      <c r="AB14" s="123" t="str">
        <f aca="false">IF(COUNTA(G14,J14,M14,P14,S14)=0,"",IF(AA14="Y","Hold Through applies — monitor only",IF(OR((COUNTIF(G14,"TRIGGER")+COUNTIF(J14,"TRIGGER")+COUNTIF(M14,"TRIGGER")+COUNTIF(P14,"TRIGGER")+COUNTIF(S14,"TRIGGER"))&gt;0,Z14&lt;&gt;"OK"),"ACTION REQUIRED WITHIN 30 DAYS","OK — no active trigger")))</f>
        <v>OK — no active trigger</v>
      </c>
    </row>
    <row r="15" customFormat="false" ht="15" hidden="false" customHeight="true" outlineLevel="0" collapsed="false">
      <c r="A15" s="178"/>
      <c r="B15" s="118"/>
      <c r="C15" s="179"/>
      <c r="D15" s="179"/>
      <c r="E15" s="118"/>
      <c r="F15" s="118"/>
      <c r="G15" s="180" t="str">
        <f aca="false">IF(OR(E15="",F15=""),"",IF(AND(E15&lt;=2,F15&lt;=2),"TRIGGER","OK"))</f>
        <v/>
      </c>
      <c r="H15" s="118"/>
      <c r="I15" s="118"/>
      <c r="J15" s="180" t="str">
        <f aca="false">IF(OR(H15="",I15=""),"",IF(AND(H15&lt;=2,I15&lt;=2),"TRIGGER","OK"))</f>
        <v/>
      </c>
      <c r="K15" s="118"/>
      <c r="L15" s="118"/>
      <c r="M15" s="180" t="str">
        <f aca="false">IF(OR(K15="",L15=""),"",IF(AND(K15&lt;=2,L15&lt;=2),"TRIGGER","OK"))</f>
        <v/>
      </c>
      <c r="N15" s="118"/>
      <c r="O15" s="118"/>
      <c r="P15" s="180" t="str">
        <f aca="false">IF(OR(N15="",O15=""),"",IF(AND(N15&lt;=2,O15&lt;=2),"TRIGGER","OK"))</f>
        <v/>
      </c>
      <c r="Q15" s="118"/>
      <c r="R15" s="118"/>
      <c r="S15" s="180" t="str">
        <f aca="false">IF(OR(Q15="",R15=""),"",IF(AND(Q15&lt;=2,R15&lt;=2),"TRIGGER","OK"))</f>
        <v/>
      </c>
      <c r="T15" s="181"/>
      <c r="U15" s="181"/>
      <c r="V15" s="179"/>
      <c r="W15" s="179"/>
      <c r="X15" s="118"/>
      <c r="Y15" s="118"/>
      <c r="Z15" s="180" t="str">
        <f aca="false">IF(TRIM(IF(AND(T15&lt;&gt;"",T15&gt;6),"Debt/FCF&gt;6x; ","")&amp;IF(AND(U15&lt;&gt;"",V15&lt;&gt;"",U15&gt;50,V15&lt;0.15),"P/FCF&gt;50x+low growth; ","")&amp;IF(AND(W15&lt;&gt;"",W15&lt;0.07),"Implied return&lt;7%; ","")&amp;IF(AND(C15&lt;&gt;"",D15&lt;&gt;"",C15&gt;D15),"Position&gt;max; ","")&amp;IF(AND(X15&lt;&gt;"",Y15&lt;&gt;"",X15&lt;&gt;Y15,OR(Y15="Strong Buy",Y15="Buy")),"Tier downgraded; ",""))="","OK",TRIM(IF(AND(T15&lt;&gt;"",T15&gt;6),"Debt/FCF&gt;6x; ","")&amp;IF(AND(U15&lt;&gt;"",V15&lt;&gt;"",U15&gt;50,V15&lt;0.15),"P/FCF&gt;50x+low growth; ","")&amp;IF(AND(W15&lt;&gt;"",W15&lt;0.07),"Implied return&lt;7%; ","")&amp;IF(AND(C15&lt;&gt;"",D15&lt;&gt;"",C15&gt;D15),"Position&gt;max; ","")&amp;IF(AND(X15&lt;&gt;"",Y15&lt;&gt;"",X15&lt;&gt;Y15,OR(Y15="Strong Buy",Y15="Buy")),"Tier downgraded; ","")))</f>
        <v>OK</v>
      </c>
      <c r="AA15" s="118"/>
      <c r="AB15" s="123" t="str">
        <f aca="false">IF(COUNTA(G15,J15,M15,P15,S15)=0,"",IF(AA15="Y","Hold Through applies — monitor only",IF(OR((COUNTIF(G15,"TRIGGER")+COUNTIF(J15,"TRIGGER")+COUNTIF(M15,"TRIGGER")+COUNTIF(P15,"TRIGGER")+COUNTIF(S15,"TRIGGER"))&gt;0,Z15&lt;&gt;"OK"),"ACTION REQUIRED WITHIN 30 DAYS","OK — no active trigger")))</f>
        <v>OK — no active trigger</v>
      </c>
    </row>
    <row r="16" customFormat="false" ht="15" hidden="false" customHeight="true" outlineLevel="0" collapsed="false">
      <c r="A16" s="178"/>
      <c r="B16" s="118"/>
      <c r="C16" s="179"/>
      <c r="D16" s="179"/>
      <c r="E16" s="118"/>
      <c r="F16" s="118"/>
      <c r="G16" s="180" t="str">
        <f aca="false">IF(OR(E16="",F16=""),"",IF(AND(E16&lt;=2,F16&lt;=2),"TRIGGER","OK"))</f>
        <v/>
      </c>
      <c r="H16" s="118"/>
      <c r="I16" s="118"/>
      <c r="J16" s="180" t="str">
        <f aca="false">IF(OR(H16="",I16=""),"",IF(AND(H16&lt;=2,I16&lt;=2),"TRIGGER","OK"))</f>
        <v/>
      </c>
      <c r="K16" s="118"/>
      <c r="L16" s="118"/>
      <c r="M16" s="180" t="str">
        <f aca="false">IF(OR(K16="",L16=""),"",IF(AND(K16&lt;=2,L16&lt;=2),"TRIGGER","OK"))</f>
        <v/>
      </c>
      <c r="N16" s="118"/>
      <c r="O16" s="118"/>
      <c r="P16" s="180" t="str">
        <f aca="false">IF(OR(N16="",O16=""),"",IF(AND(N16&lt;=2,O16&lt;=2),"TRIGGER","OK"))</f>
        <v/>
      </c>
      <c r="Q16" s="118"/>
      <c r="R16" s="118"/>
      <c r="S16" s="180" t="str">
        <f aca="false">IF(OR(Q16="",R16=""),"",IF(AND(Q16&lt;=2,R16&lt;=2),"TRIGGER","OK"))</f>
        <v/>
      </c>
      <c r="T16" s="181"/>
      <c r="U16" s="181"/>
      <c r="V16" s="179"/>
      <c r="W16" s="179"/>
      <c r="X16" s="118"/>
      <c r="Y16" s="118"/>
      <c r="Z16" s="180" t="str">
        <f aca="false">IF(TRIM(IF(AND(T16&lt;&gt;"",T16&gt;6),"Debt/FCF&gt;6x; ","")&amp;IF(AND(U16&lt;&gt;"",V16&lt;&gt;"",U16&gt;50,V16&lt;0.15),"P/FCF&gt;50x+low growth; ","")&amp;IF(AND(W16&lt;&gt;"",W16&lt;0.07),"Implied return&lt;7%; ","")&amp;IF(AND(C16&lt;&gt;"",D16&lt;&gt;"",C16&gt;D16),"Position&gt;max; ","")&amp;IF(AND(X16&lt;&gt;"",Y16&lt;&gt;"",X16&lt;&gt;Y16,OR(Y16="Strong Buy",Y16="Buy")),"Tier downgraded; ",""))="","OK",TRIM(IF(AND(T16&lt;&gt;"",T16&gt;6),"Debt/FCF&gt;6x; ","")&amp;IF(AND(U16&lt;&gt;"",V16&lt;&gt;"",U16&gt;50,V16&lt;0.15),"P/FCF&gt;50x+low growth; ","")&amp;IF(AND(W16&lt;&gt;"",W16&lt;0.07),"Implied return&lt;7%; ","")&amp;IF(AND(C16&lt;&gt;"",D16&lt;&gt;"",C16&gt;D16),"Position&gt;max; ","")&amp;IF(AND(X16&lt;&gt;"",Y16&lt;&gt;"",X16&lt;&gt;Y16,OR(Y16="Strong Buy",Y16="Buy")),"Tier downgraded; ","")))</f>
        <v>OK</v>
      </c>
      <c r="AA16" s="118"/>
      <c r="AB16" s="123" t="str">
        <f aca="false">IF(COUNTA(G16,J16,M16,P16,S16)=0,"",IF(AA16="Y","Hold Through applies — monitor only",IF(OR((COUNTIF(G16,"TRIGGER")+COUNTIF(J16,"TRIGGER")+COUNTIF(M16,"TRIGGER")+COUNTIF(P16,"TRIGGER")+COUNTIF(S16,"TRIGGER"))&gt;0,Z16&lt;&gt;"OK"),"ACTION REQUIRED WITHIN 30 DAYS","OK — no active trigger")))</f>
        <v>OK — no active trigger</v>
      </c>
    </row>
    <row r="17" customFormat="false" ht="15" hidden="false" customHeight="true" outlineLevel="0" collapsed="false">
      <c r="A17" s="178"/>
      <c r="B17" s="118"/>
      <c r="C17" s="179"/>
      <c r="D17" s="179"/>
      <c r="E17" s="118"/>
      <c r="F17" s="118"/>
      <c r="G17" s="180" t="str">
        <f aca="false">IF(OR(E17="",F17=""),"",IF(AND(E17&lt;=2,F17&lt;=2),"TRIGGER","OK"))</f>
        <v/>
      </c>
      <c r="H17" s="118"/>
      <c r="I17" s="118"/>
      <c r="J17" s="180" t="str">
        <f aca="false">IF(OR(H17="",I17=""),"",IF(AND(H17&lt;=2,I17&lt;=2),"TRIGGER","OK"))</f>
        <v/>
      </c>
      <c r="K17" s="118"/>
      <c r="L17" s="118"/>
      <c r="M17" s="180" t="str">
        <f aca="false">IF(OR(K17="",L17=""),"",IF(AND(K17&lt;=2,L17&lt;=2),"TRIGGER","OK"))</f>
        <v/>
      </c>
      <c r="N17" s="118"/>
      <c r="O17" s="118"/>
      <c r="P17" s="180" t="str">
        <f aca="false">IF(OR(N17="",O17=""),"",IF(AND(N17&lt;=2,O17&lt;=2),"TRIGGER","OK"))</f>
        <v/>
      </c>
      <c r="Q17" s="118"/>
      <c r="R17" s="118"/>
      <c r="S17" s="180" t="str">
        <f aca="false">IF(OR(Q17="",R17=""),"",IF(AND(Q17&lt;=2,R17&lt;=2),"TRIGGER","OK"))</f>
        <v/>
      </c>
      <c r="T17" s="181"/>
      <c r="U17" s="181"/>
      <c r="V17" s="179"/>
      <c r="W17" s="179"/>
      <c r="X17" s="118"/>
      <c r="Y17" s="118"/>
      <c r="Z17" s="180" t="str">
        <f aca="false">IF(TRIM(IF(AND(T17&lt;&gt;"",T17&gt;6),"Debt/FCF&gt;6x; ","")&amp;IF(AND(U17&lt;&gt;"",V17&lt;&gt;"",U17&gt;50,V17&lt;0.15),"P/FCF&gt;50x+low growth; ","")&amp;IF(AND(W17&lt;&gt;"",W17&lt;0.07),"Implied return&lt;7%; ","")&amp;IF(AND(C17&lt;&gt;"",D17&lt;&gt;"",C17&gt;D17),"Position&gt;max; ","")&amp;IF(AND(X17&lt;&gt;"",Y17&lt;&gt;"",X17&lt;&gt;Y17,OR(Y17="Strong Buy",Y17="Buy")),"Tier downgraded; ",""))="","OK",TRIM(IF(AND(T17&lt;&gt;"",T17&gt;6),"Debt/FCF&gt;6x; ","")&amp;IF(AND(U17&lt;&gt;"",V17&lt;&gt;"",U17&gt;50,V17&lt;0.15),"P/FCF&gt;50x+low growth; ","")&amp;IF(AND(W17&lt;&gt;"",W17&lt;0.07),"Implied return&lt;7%; ","")&amp;IF(AND(C17&lt;&gt;"",D17&lt;&gt;"",C17&gt;D17),"Position&gt;max; ","")&amp;IF(AND(X17&lt;&gt;"",Y17&lt;&gt;"",X17&lt;&gt;Y17,OR(Y17="Strong Buy",Y17="Buy")),"Tier downgraded; ","")))</f>
        <v>OK</v>
      </c>
      <c r="AA17" s="118"/>
      <c r="AB17" s="123" t="str">
        <f aca="false">IF(COUNTA(G17,J17,M17,P17,S17)=0,"",IF(AA17="Y","Hold Through applies — monitor only",IF(OR((COUNTIF(G17,"TRIGGER")+COUNTIF(J17,"TRIGGER")+COUNTIF(M17,"TRIGGER")+COUNTIF(P17,"TRIGGER")+COUNTIF(S17,"TRIGGER"))&gt;0,Z17&lt;&gt;"OK"),"ACTION REQUIRED WITHIN 30 DAYS","OK — no active trigger")))</f>
        <v>OK — no active trigger</v>
      </c>
    </row>
    <row r="18" customFormat="false" ht="15" hidden="false" customHeight="true" outlineLevel="0" collapsed="false">
      <c r="A18" s="178"/>
      <c r="B18" s="118"/>
      <c r="C18" s="179"/>
      <c r="D18" s="179"/>
      <c r="E18" s="118"/>
      <c r="F18" s="118"/>
      <c r="G18" s="180" t="str">
        <f aca="false">IF(OR(E18="",F18=""),"",IF(AND(E18&lt;=2,F18&lt;=2),"TRIGGER","OK"))</f>
        <v/>
      </c>
      <c r="H18" s="118"/>
      <c r="I18" s="118"/>
      <c r="J18" s="180" t="str">
        <f aca="false">IF(OR(H18="",I18=""),"",IF(AND(H18&lt;=2,I18&lt;=2),"TRIGGER","OK"))</f>
        <v/>
      </c>
      <c r="K18" s="118"/>
      <c r="L18" s="118"/>
      <c r="M18" s="180" t="str">
        <f aca="false">IF(OR(K18="",L18=""),"",IF(AND(K18&lt;=2,L18&lt;=2),"TRIGGER","OK"))</f>
        <v/>
      </c>
      <c r="N18" s="118"/>
      <c r="O18" s="118"/>
      <c r="P18" s="180" t="str">
        <f aca="false">IF(OR(N18="",O18=""),"",IF(AND(N18&lt;=2,O18&lt;=2),"TRIGGER","OK"))</f>
        <v/>
      </c>
      <c r="Q18" s="118"/>
      <c r="R18" s="118"/>
      <c r="S18" s="180" t="str">
        <f aca="false">IF(OR(Q18="",R18=""),"",IF(AND(Q18&lt;=2,R18&lt;=2),"TRIGGER","OK"))</f>
        <v/>
      </c>
      <c r="T18" s="181"/>
      <c r="U18" s="181"/>
      <c r="V18" s="179"/>
      <c r="W18" s="179"/>
      <c r="X18" s="118"/>
      <c r="Y18" s="118"/>
      <c r="Z18" s="180" t="str">
        <f aca="false">IF(TRIM(IF(AND(T18&lt;&gt;"",T18&gt;6),"Debt/FCF&gt;6x; ","")&amp;IF(AND(U18&lt;&gt;"",V18&lt;&gt;"",U18&gt;50,V18&lt;0.15),"P/FCF&gt;50x+low growth; ","")&amp;IF(AND(W18&lt;&gt;"",W18&lt;0.07),"Implied return&lt;7%; ","")&amp;IF(AND(C18&lt;&gt;"",D18&lt;&gt;"",C18&gt;D18),"Position&gt;max; ","")&amp;IF(AND(X18&lt;&gt;"",Y18&lt;&gt;"",X18&lt;&gt;Y18,OR(Y18="Strong Buy",Y18="Buy")),"Tier downgraded; ",""))="","OK",TRIM(IF(AND(T18&lt;&gt;"",T18&gt;6),"Debt/FCF&gt;6x; ","")&amp;IF(AND(U18&lt;&gt;"",V18&lt;&gt;"",U18&gt;50,V18&lt;0.15),"P/FCF&gt;50x+low growth; ","")&amp;IF(AND(W18&lt;&gt;"",W18&lt;0.07),"Implied return&lt;7%; ","")&amp;IF(AND(C18&lt;&gt;"",D18&lt;&gt;"",C18&gt;D18),"Position&gt;max; ","")&amp;IF(AND(X18&lt;&gt;"",Y18&lt;&gt;"",X18&lt;&gt;Y18,OR(Y18="Strong Buy",Y18="Buy")),"Tier downgraded; ","")))</f>
        <v>OK</v>
      </c>
      <c r="AA18" s="118"/>
      <c r="AB18" s="123" t="str">
        <f aca="false">IF(COUNTA(G18,J18,M18,P18,S18)=0,"",IF(AA18="Y","Hold Through applies — monitor only",IF(OR((COUNTIF(G18,"TRIGGER")+COUNTIF(J18,"TRIGGER")+COUNTIF(M18,"TRIGGER")+COUNTIF(P18,"TRIGGER")+COUNTIF(S18,"TRIGGER"))&gt;0,Z18&lt;&gt;"OK"),"ACTION REQUIRED WITHIN 30 DAYS","OK — no active trigger")))</f>
        <v>OK — no active trigger</v>
      </c>
    </row>
    <row r="19" customFormat="false" ht="15" hidden="false" customHeight="true" outlineLevel="0" collapsed="false">
      <c r="A19" s="178"/>
      <c r="B19" s="118"/>
      <c r="C19" s="179"/>
      <c r="D19" s="179"/>
      <c r="E19" s="118"/>
      <c r="F19" s="118"/>
      <c r="G19" s="180" t="str">
        <f aca="false">IF(OR(E19="",F19=""),"",IF(AND(E19&lt;=2,F19&lt;=2),"TRIGGER","OK"))</f>
        <v/>
      </c>
      <c r="H19" s="118"/>
      <c r="I19" s="118"/>
      <c r="J19" s="180" t="str">
        <f aca="false">IF(OR(H19="",I19=""),"",IF(AND(H19&lt;=2,I19&lt;=2),"TRIGGER","OK"))</f>
        <v/>
      </c>
      <c r="K19" s="118"/>
      <c r="L19" s="118"/>
      <c r="M19" s="180" t="str">
        <f aca="false">IF(OR(K19="",L19=""),"",IF(AND(K19&lt;=2,L19&lt;=2),"TRIGGER","OK"))</f>
        <v/>
      </c>
      <c r="N19" s="118"/>
      <c r="O19" s="118"/>
      <c r="P19" s="180" t="str">
        <f aca="false">IF(OR(N19="",O19=""),"",IF(AND(N19&lt;=2,O19&lt;=2),"TRIGGER","OK"))</f>
        <v/>
      </c>
      <c r="Q19" s="118"/>
      <c r="R19" s="118"/>
      <c r="S19" s="180" t="str">
        <f aca="false">IF(OR(Q19="",R19=""),"",IF(AND(Q19&lt;=2,R19&lt;=2),"TRIGGER","OK"))</f>
        <v/>
      </c>
      <c r="T19" s="181"/>
      <c r="U19" s="181"/>
      <c r="V19" s="179"/>
      <c r="W19" s="179"/>
      <c r="X19" s="118"/>
      <c r="Y19" s="118"/>
      <c r="Z19" s="180" t="str">
        <f aca="false">IF(TRIM(IF(AND(T19&lt;&gt;"",T19&gt;6),"Debt/FCF&gt;6x; ","")&amp;IF(AND(U19&lt;&gt;"",V19&lt;&gt;"",U19&gt;50,V19&lt;0.15),"P/FCF&gt;50x+low growth; ","")&amp;IF(AND(W19&lt;&gt;"",W19&lt;0.07),"Implied return&lt;7%; ","")&amp;IF(AND(C19&lt;&gt;"",D19&lt;&gt;"",C19&gt;D19),"Position&gt;max; ","")&amp;IF(AND(X19&lt;&gt;"",Y19&lt;&gt;"",X19&lt;&gt;Y19,OR(Y19="Strong Buy",Y19="Buy")),"Tier downgraded; ",""))="","OK",TRIM(IF(AND(T19&lt;&gt;"",T19&gt;6),"Debt/FCF&gt;6x; ","")&amp;IF(AND(U19&lt;&gt;"",V19&lt;&gt;"",U19&gt;50,V19&lt;0.15),"P/FCF&gt;50x+low growth; ","")&amp;IF(AND(W19&lt;&gt;"",W19&lt;0.07),"Implied return&lt;7%; ","")&amp;IF(AND(C19&lt;&gt;"",D19&lt;&gt;"",C19&gt;D19),"Position&gt;max; ","")&amp;IF(AND(X19&lt;&gt;"",Y19&lt;&gt;"",X19&lt;&gt;Y19,OR(Y19="Strong Buy",Y19="Buy")),"Tier downgraded; ","")))</f>
        <v>OK</v>
      </c>
      <c r="AA19" s="118"/>
      <c r="AB19" s="123" t="str">
        <f aca="false">IF(COUNTA(G19,J19,M19,P19,S19)=0,"",IF(AA19="Y","Hold Through applies — monitor only",IF(OR((COUNTIF(G19,"TRIGGER")+COUNTIF(J19,"TRIGGER")+COUNTIF(M19,"TRIGGER")+COUNTIF(P19,"TRIGGER")+COUNTIF(S19,"TRIGGER"))&gt;0,Z19&lt;&gt;"OK"),"ACTION REQUIRED WITHIN 30 DAYS","OK — no active trigger")))</f>
        <v>OK — no active trigger</v>
      </c>
    </row>
    <row r="20" customFormat="false" ht="15" hidden="false" customHeight="true" outlineLevel="0" collapsed="false">
      <c r="A20" s="178"/>
      <c r="B20" s="118"/>
      <c r="C20" s="179"/>
      <c r="D20" s="179"/>
      <c r="E20" s="118"/>
      <c r="F20" s="118"/>
      <c r="G20" s="180" t="str">
        <f aca="false">IF(OR(E20="",F20=""),"",IF(AND(E20&lt;=2,F20&lt;=2),"TRIGGER","OK"))</f>
        <v/>
      </c>
      <c r="H20" s="118"/>
      <c r="I20" s="118"/>
      <c r="J20" s="180" t="str">
        <f aca="false">IF(OR(H20="",I20=""),"",IF(AND(H20&lt;=2,I20&lt;=2),"TRIGGER","OK"))</f>
        <v/>
      </c>
      <c r="K20" s="118"/>
      <c r="L20" s="118"/>
      <c r="M20" s="180" t="str">
        <f aca="false">IF(OR(K20="",L20=""),"",IF(AND(K20&lt;=2,L20&lt;=2),"TRIGGER","OK"))</f>
        <v/>
      </c>
      <c r="N20" s="118"/>
      <c r="O20" s="118"/>
      <c r="P20" s="180" t="str">
        <f aca="false">IF(OR(N20="",O20=""),"",IF(AND(N20&lt;=2,O20&lt;=2),"TRIGGER","OK"))</f>
        <v/>
      </c>
      <c r="Q20" s="118"/>
      <c r="R20" s="118"/>
      <c r="S20" s="180" t="str">
        <f aca="false">IF(OR(Q20="",R20=""),"",IF(AND(Q20&lt;=2,R20&lt;=2),"TRIGGER","OK"))</f>
        <v/>
      </c>
      <c r="T20" s="181"/>
      <c r="U20" s="181"/>
      <c r="V20" s="179"/>
      <c r="W20" s="179"/>
      <c r="X20" s="118"/>
      <c r="Y20" s="118"/>
      <c r="Z20" s="180" t="str">
        <f aca="false">IF(TRIM(IF(AND(T20&lt;&gt;"",T20&gt;6),"Debt/FCF&gt;6x; ","")&amp;IF(AND(U20&lt;&gt;"",V20&lt;&gt;"",U20&gt;50,V20&lt;0.15),"P/FCF&gt;50x+low growth; ","")&amp;IF(AND(W20&lt;&gt;"",W20&lt;0.07),"Implied return&lt;7%; ","")&amp;IF(AND(C20&lt;&gt;"",D20&lt;&gt;"",C20&gt;D20),"Position&gt;max; ","")&amp;IF(AND(X20&lt;&gt;"",Y20&lt;&gt;"",X20&lt;&gt;Y20,OR(Y20="Strong Buy",Y20="Buy")),"Tier downgraded; ",""))="","OK",TRIM(IF(AND(T20&lt;&gt;"",T20&gt;6),"Debt/FCF&gt;6x; ","")&amp;IF(AND(U20&lt;&gt;"",V20&lt;&gt;"",U20&gt;50,V20&lt;0.15),"P/FCF&gt;50x+low growth; ","")&amp;IF(AND(W20&lt;&gt;"",W20&lt;0.07),"Implied return&lt;7%; ","")&amp;IF(AND(C20&lt;&gt;"",D20&lt;&gt;"",C20&gt;D20),"Position&gt;max; ","")&amp;IF(AND(X20&lt;&gt;"",Y20&lt;&gt;"",X20&lt;&gt;Y20,OR(Y20="Strong Buy",Y20="Buy")),"Tier downgraded; ","")))</f>
        <v>OK</v>
      </c>
      <c r="AA20" s="118"/>
      <c r="AB20" s="123" t="str">
        <f aca="false">IF(COUNTA(G20,J20,M20,P20,S20)=0,"",IF(AA20="Y","Hold Through applies — monitor only",IF(OR((COUNTIF(G20,"TRIGGER")+COUNTIF(J20,"TRIGGER")+COUNTIF(M20,"TRIGGER")+COUNTIF(P20,"TRIGGER")+COUNTIF(S20,"TRIGGER"))&gt;0,Z20&lt;&gt;"OK"),"ACTION REQUIRED WITHIN 30 DAYS","OK — no active trigger")))</f>
        <v>OK — no active trigger</v>
      </c>
    </row>
    <row r="21" customFormat="false" ht="15" hidden="false" customHeight="true" outlineLevel="0" collapsed="false">
      <c r="A21" s="178"/>
      <c r="B21" s="118"/>
      <c r="C21" s="179"/>
      <c r="D21" s="179"/>
      <c r="E21" s="118"/>
      <c r="F21" s="118"/>
      <c r="G21" s="180" t="str">
        <f aca="false">IF(OR(E21="",F21=""),"",IF(AND(E21&lt;=2,F21&lt;=2),"TRIGGER","OK"))</f>
        <v/>
      </c>
      <c r="H21" s="118"/>
      <c r="I21" s="118"/>
      <c r="J21" s="180" t="str">
        <f aca="false">IF(OR(H21="",I21=""),"",IF(AND(H21&lt;=2,I21&lt;=2),"TRIGGER","OK"))</f>
        <v/>
      </c>
      <c r="K21" s="118"/>
      <c r="L21" s="118"/>
      <c r="M21" s="180" t="str">
        <f aca="false">IF(OR(K21="",L21=""),"",IF(AND(K21&lt;=2,L21&lt;=2),"TRIGGER","OK"))</f>
        <v/>
      </c>
      <c r="N21" s="118"/>
      <c r="O21" s="118"/>
      <c r="P21" s="180" t="str">
        <f aca="false">IF(OR(N21="",O21=""),"",IF(AND(N21&lt;=2,O21&lt;=2),"TRIGGER","OK"))</f>
        <v/>
      </c>
      <c r="Q21" s="118"/>
      <c r="R21" s="118"/>
      <c r="S21" s="180" t="str">
        <f aca="false">IF(OR(Q21="",R21=""),"",IF(AND(Q21&lt;=2,R21&lt;=2),"TRIGGER","OK"))</f>
        <v/>
      </c>
      <c r="T21" s="181"/>
      <c r="U21" s="181"/>
      <c r="V21" s="179"/>
      <c r="W21" s="179"/>
      <c r="X21" s="118"/>
      <c r="Y21" s="118"/>
      <c r="Z21" s="180" t="str">
        <f aca="false">IF(TRIM(IF(AND(T21&lt;&gt;"",T21&gt;6),"Debt/FCF&gt;6x; ","")&amp;IF(AND(U21&lt;&gt;"",V21&lt;&gt;"",U21&gt;50,V21&lt;0.15),"P/FCF&gt;50x+low growth; ","")&amp;IF(AND(W21&lt;&gt;"",W21&lt;0.07),"Implied return&lt;7%; ","")&amp;IF(AND(C21&lt;&gt;"",D21&lt;&gt;"",C21&gt;D21),"Position&gt;max; ","")&amp;IF(AND(X21&lt;&gt;"",Y21&lt;&gt;"",X21&lt;&gt;Y21,OR(Y21="Strong Buy",Y21="Buy")),"Tier downgraded; ",""))="","OK",TRIM(IF(AND(T21&lt;&gt;"",T21&gt;6),"Debt/FCF&gt;6x; ","")&amp;IF(AND(U21&lt;&gt;"",V21&lt;&gt;"",U21&gt;50,V21&lt;0.15),"P/FCF&gt;50x+low growth; ","")&amp;IF(AND(W21&lt;&gt;"",W21&lt;0.07),"Implied return&lt;7%; ","")&amp;IF(AND(C21&lt;&gt;"",D21&lt;&gt;"",C21&gt;D21),"Position&gt;max; ","")&amp;IF(AND(X21&lt;&gt;"",Y21&lt;&gt;"",X21&lt;&gt;Y21,OR(Y21="Strong Buy",Y21="Buy")),"Tier downgraded; ","")))</f>
        <v>OK</v>
      </c>
      <c r="AA21" s="118"/>
      <c r="AB21" s="123" t="str">
        <f aca="false">IF(COUNTA(G21,J21,M21,P21,S21)=0,"",IF(AA21="Y","Hold Through applies — monitor only",IF(OR((COUNTIF(G21,"TRIGGER")+COUNTIF(J21,"TRIGGER")+COUNTIF(M21,"TRIGGER")+COUNTIF(P21,"TRIGGER")+COUNTIF(S21,"TRIGGER"))&gt;0,Z21&lt;&gt;"OK"),"ACTION REQUIRED WITHIN 30 DAYS","OK — no active trigger")))</f>
        <v>OK — no active trigger</v>
      </c>
    </row>
    <row r="22" customFormat="false" ht="15" hidden="false" customHeight="true" outlineLevel="0" collapsed="false">
      <c r="A22" s="178"/>
      <c r="B22" s="118"/>
      <c r="C22" s="179"/>
      <c r="D22" s="179"/>
      <c r="E22" s="118"/>
      <c r="F22" s="118"/>
      <c r="G22" s="180" t="str">
        <f aca="false">IF(OR(E22="",F22=""),"",IF(AND(E22&lt;=2,F22&lt;=2),"TRIGGER","OK"))</f>
        <v/>
      </c>
      <c r="H22" s="118"/>
      <c r="I22" s="118"/>
      <c r="J22" s="180" t="str">
        <f aca="false">IF(OR(H22="",I22=""),"",IF(AND(H22&lt;=2,I22&lt;=2),"TRIGGER","OK"))</f>
        <v/>
      </c>
      <c r="K22" s="118"/>
      <c r="L22" s="118"/>
      <c r="M22" s="180" t="str">
        <f aca="false">IF(OR(K22="",L22=""),"",IF(AND(K22&lt;=2,L22&lt;=2),"TRIGGER","OK"))</f>
        <v/>
      </c>
      <c r="N22" s="118"/>
      <c r="O22" s="118"/>
      <c r="P22" s="180" t="str">
        <f aca="false">IF(OR(N22="",O22=""),"",IF(AND(N22&lt;=2,O22&lt;=2),"TRIGGER","OK"))</f>
        <v/>
      </c>
      <c r="Q22" s="118"/>
      <c r="R22" s="118"/>
      <c r="S22" s="180" t="str">
        <f aca="false">IF(OR(Q22="",R22=""),"",IF(AND(Q22&lt;=2,R22&lt;=2),"TRIGGER","OK"))</f>
        <v/>
      </c>
      <c r="T22" s="181"/>
      <c r="U22" s="181"/>
      <c r="V22" s="179"/>
      <c r="W22" s="179"/>
      <c r="X22" s="118"/>
      <c r="Y22" s="118"/>
      <c r="Z22" s="180" t="str">
        <f aca="false">IF(TRIM(IF(AND(T22&lt;&gt;"",T22&gt;6),"Debt/FCF&gt;6x; ","")&amp;IF(AND(U22&lt;&gt;"",V22&lt;&gt;"",U22&gt;50,V22&lt;0.15),"P/FCF&gt;50x+low growth; ","")&amp;IF(AND(W22&lt;&gt;"",W22&lt;0.07),"Implied return&lt;7%; ","")&amp;IF(AND(C22&lt;&gt;"",D22&lt;&gt;"",C22&gt;D22),"Position&gt;max; ","")&amp;IF(AND(X22&lt;&gt;"",Y22&lt;&gt;"",X22&lt;&gt;Y22,OR(Y22="Strong Buy",Y22="Buy")),"Tier downgraded; ",""))="","OK",TRIM(IF(AND(T22&lt;&gt;"",T22&gt;6),"Debt/FCF&gt;6x; ","")&amp;IF(AND(U22&lt;&gt;"",V22&lt;&gt;"",U22&gt;50,V22&lt;0.15),"P/FCF&gt;50x+low growth; ","")&amp;IF(AND(W22&lt;&gt;"",W22&lt;0.07),"Implied return&lt;7%; ","")&amp;IF(AND(C22&lt;&gt;"",D22&lt;&gt;"",C22&gt;D22),"Position&gt;max; ","")&amp;IF(AND(X22&lt;&gt;"",Y22&lt;&gt;"",X22&lt;&gt;Y22,OR(Y22="Strong Buy",Y22="Buy")),"Tier downgraded; ","")))</f>
        <v>OK</v>
      </c>
      <c r="AA22" s="118"/>
      <c r="AB22" s="123" t="str">
        <f aca="false">IF(COUNTA(G22,J22,M22,P22,S22)=0,"",IF(AA22="Y","Hold Through applies — monitor only",IF(OR((COUNTIF(G22,"TRIGGER")+COUNTIF(J22,"TRIGGER")+COUNTIF(M22,"TRIGGER")+COUNTIF(P22,"TRIGGER")+COUNTIF(S22,"TRIGGER"))&gt;0,Z22&lt;&gt;"OK"),"ACTION REQUIRED WITHIN 30 DAYS","OK — no active trigger")))</f>
        <v>OK — no active trigger</v>
      </c>
    </row>
    <row r="23" customFormat="false" ht="15" hidden="false" customHeight="true" outlineLevel="0" collapsed="false">
      <c r="A23" s="178"/>
      <c r="B23" s="118"/>
      <c r="C23" s="179"/>
      <c r="D23" s="179"/>
      <c r="E23" s="118"/>
      <c r="F23" s="118"/>
      <c r="G23" s="180" t="str">
        <f aca="false">IF(OR(E23="",F23=""),"",IF(AND(E23&lt;=2,F23&lt;=2),"TRIGGER","OK"))</f>
        <v/>
      </c>
      <c r="H23" s="118"/>
      <c r="I23" s="118"/>
      <c r="J23" s="180" t="str">
        <f aca="false">IF(OR(H23="",I23=""),"",IF(AND(H23&lt;=2,I23&lt;=2),"TRIGGER","OK"))</f>
        <v/>
      </c>
      <c r="K23" s="118"/>
      <c r="L23" s="118"/>
      <c r="M23" s="180" t="str">
        <f aca="false">IF(OR(K23="",L23=""),"",IF(AND(K23&lt;=2,L23&lt;=2),"TRIGGER","OK"))</f>
        <v/>
      </c>
      <c r="N23" s="118"/>
      <c r="O23" s="118"/>
      <c r="P23" s="180" t="str">
        <f aca="false">IF(OR(N23="",O23=""),"",IF(AND(N23&lt;=2,O23&lt;=2),"TRIGGER","OK"))</f>
        <v/>
      </c>
      <c r="Q23" s="118"/>
      <c r="R23" s="118"/>
      <c r="S23" s="180" t="str">
        <f aca="false">IF(OR(Q23="",R23=""),"",IF(AND(Q23&lt;=2,R23&lt;=2),"TRIGGER","OK"))</f>
        <v/>
      </c>
      <c r="T23" s="181"/>
      <c r="U23" s="181"/>
      <c r="V23" s="179"/>
      <c r="W23" s="179"/>
      <c r="X23" s="118"/>
      <c r="Y23" s="118"/>
      <c r="Z23" s="180" t="str">
        <f aca="false">IF(TRIM(IF(AND(T23&lt;&gt;"",T23&gt;6),"Debt/FCF&gt;6x; ","")&amp;IF(AND(U23&lt;&gt;"",V23&lt;&gt;"",U23&gt;50,V23&lt;0.15),"P/FCF&gt;50x+low growth; ","")&amp;IF(AND(W23&lt;&gt;"",W23&lt;0.07),"Implied return&lt;7%; ","")&amp;IF(AND(C23&lt;&gt;"",D23&lt;&gt;"",C23&gt;D23),"Position&gt;max; ","")&amp;IF(AND(X23&lt;&gt;"",Y23&lt;&gt;"",X23&lt;&gt;Y23,OR(Y23="Strong Buy",Y23="Buy")),"Tier downgraded; ",""))="","OK",TRIM(IF(AND(T23&lt;&gt;"",T23&gt;6),"Debt/FCF&gt;6x; ","")&amp;IF(AND(U23&lt;&gt;"",V23&lt;&gt;"",U23&gt;50,V23&lt;0.15),"P/FCF&gt;50x+low growth; ","")&amp;IF(AND(W23&lt;&gt;"",W23&lt;0.07),"Implied return&lt;7%; ","")&amp;IF(AND(C23&lt;&gt;"",D23&lt;&gt;"",C23&gt;D23),"Position&gt;max; ","")&amp;IF(AND(X23&lt;&gt;"",Y23&lt;&gt;"",X23&lt;&gt;Y23,OR(Y23="Strong Buy",Y23="Buy")),"Tier downgraded; ","")))</f>
        <v>OK</v>
      </c>
      <c r="AA23" s="118"/>
      <c r="AB23" s="123" t="str">
        <f aca="false">IF(COUNTA(G23,J23,M23,P23,S23)=0,"",IF(AA23="Y","Hold Through applies — monitor only",IF(OR((COUNTIF(G23,"TRIGGER")+COUNTIF(J23,"TRIGGER")+COUNTIF(M23,"TRIGGER")+COUNTIF(P23,"TRIGGER")+COUNTIF(S23,"TRIGGER"))&gt;0,Z23&lt;&gt;"OK"),"ACTION REQUIRED WITHIN 30 DAYS","OK — no active trigger")))</f>
        <v>OK — no active trigger</v>
      </c>
    </row>
  </sheetData>
  <mergeCells count="3">
    <mergeCell ref="A1:T1"/>
    <mergeCell ref="E2:S2"/>
    <mergeCell ref="T2:Z2"/>
  </mergeCells>
  <conditionalFormatting sqref="G4:G23">
    <cfRule type="cellIs" priority="2" operator="equal" aboveAverage="0" equalAverage="0" bottom="0" percent="0" rank="0" text="" dxfId="0">
      <formula>"TRIGGER"</formula>
    </cfRule>
    <cfRule type="cellIs" priority="3" operator="equal" aboveAverage="0" equalAverage="0" bottom="0" percent="0" rank="0" text="" dxfId="21">
      <formula>"OK"</formula>
    </cfRule>
  </conditionalFormatting>
  <conditionalFormatting sqref="J4:J23">
    <cfRule type="cellIs" priority="4" operator="equal" aboveAverage="0" equalAverage="0" bottom="0" percent="0" rank="0" text="" dxfId="0">
      <formula>"TRIGGER"</formula>
    </cfRule>
    <cfRule type="cellIs" priority="5" operator="equal" aboveAverage="0" equalAverage="0" bottom="0" percent="0" rank="0" text="" dxfId="21">
      <formula>"OK"</formula>
    </cfRule>
  </conditionalFormatting>
  <conditionalFormatting sqref="M4:M23">
    <cfRule type="cellIs" priority="6" operator="equal" aboveAverage="0" equalAverage="0" bottom="0" percent="0" rank="0" text="" dxfId="0">
      <formula>"TRIGGER"</formula>
    </cfRule>
    <cfRule type="cellIs" priority="7" operator="equal" aboveAverage="0" equalAverage="0" bottom="0" percent="0" rank="0" text="" dxfId="21">
      <formula>"OK"</formula>
    </cfRule>
  </conditionalFormatting>
  <conditionalFormatting sqref="P4:P23">
    <cfRule type="cellIs" priority="8" operator="equal" aboveAverage="0" equalAverage="0" bottom="0" percent="0" rank="0" text="" dxfId="0">
      <formula>"TRIGGER"</formula>
    </cfRule>
    <cfRule type="cellIs" priority="9" operator="equal" aboveAverage="0" equalAverage="0" bottom="0" percent="0" rank="0" text="" dxfId="21">
      <formula>"OK"</formula>
    </cfRule>
  </conditionalFormatting>
  <conditionalFormatting sqref="S4:S23">
    <cfRule type="cellIs" priority="10" operator="equal" aboveAverage="0" equalAverage="0" bottom="0" percent="0" rank="0" text="" dxfId="0">
      <formula>"TRIGGER"</formula>
    </cfRule>
    <cfRule type="cellIs" priority="11" operator="equal" aboveAverage="0" equalAverage="0" bottom="0" percent="0" rank="0" text="" dxfId="21">
      <formula>"OK"</formula>
    </cfRule>
  </conditionalFormatting>
  <conditionalFormatting sqref="Z4:Z23">
    <cfRule type="expression" priority="12" aboveAverage="0" equalAverage="0" bottom="0" percent="0" rank="0" text="" dxfId="0">
      <formula>Z4&lt;&gt;"OK"</formula>
    </cfRule>
  </conditionalFormatting>
  <conditionalFormatting sqref="AB4:AB23">
    <cfRule type="expression" priority="13" aboveAverage="0" equalAverage="0" bottom="0" percent="0" rank="0" text="" dxfId="0">
      <formula>ISNUMBER(SEARCH("ACTION REQUIRED",AB4))</formula>
    </cfRule>
    <cfRule type="expression" priority="14" aboveAverage="0" equalAverage="0" bottom="0" percent="0" rank="0" text="" dxfId="17">
      <formula>ISNUMBER(SEARCH("OK",AB4))</formula>
    </cfRule>
    <cfRule type="expression" priority="15" aboveAverage="0" equalAverage="0" bottom="0" percent="0" rank="0" text="" dxfId="19">
      <formula>ISNUMBER(SEARCH("Hold Through",AB4))</formula>
    </cfRule>
  </conditionalFormatting>
  <dataValidations count="2">
    <dataValidation allowBlank="true" errorStyle="stop" operator="between" showDropDown="false" showErrorMessage="false" showInputMessage="false" sqref="AA4:AA23" type="list">
      <formula1>"Y,N"</formula1>
      <formula2>0</formula2>
    </dataValidation>
    <dataValidation allowBlank="true" errorStyle="stop" operator="between" showDropDown="false" showErrorMessage="false" showInputMessage="false" sqref="X4:Y23" type="list">
      <formula1>"Strong Buy,Buy,Watch List,Avoid,Pass"</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E6" activeCellId="0" sqref="E6"/>
    </sheetView>
  </sheetViews>
  <sheetFormatPr defaultColWidth="8.66796875" defaultRowHeight="14.25" customHeight="false"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11"/>
    <col collapsed="false" customWidth="true" hidden="false" outlineLevel="0" max="4" min="4" style="1" width="9"/>
    <col collapsed="false" customWidth="true" hidden="false" outlineLevel="0" max="5" min="5" style="1" width="8"/>
    <col collapsed="false" customWidth="true" hidden="false" outlineLevel="0" max="6" min="6" style="1" width="9.67"/>
    <col collapsed="false" customWidth="true" hidden="false" outlineLevel="0" max="7" min="7" style="1" width="12"/>
    <col collapsed="false" customWidth="true" hidden="false" outlineLevel="0" max="8" min="8" style="1" width="10"/>
    <col collapsed="false" customWidth="true" hidden="false" outlineLevel="0" max="10" min="9" style="1" width="11"/>
    <col collapsed="false" customWidth="true" hidden="false" outlineLevel="0" max="11" min="11" style="1" width="9"/>
    <col collapsed="false" customWidth="true" hidden="false" outlineLevel="0" max="12" min="12" style="1" width="20"/>
    <col collapsed="false" customWidth="true" hidden="false" outlineLevel="0" max="14" min="13" style="1" width="11"/>
    <col collapsed="false" customWidth="true" hidden="false" outlineLevel="0" max="16" min="15" style="1" width="12"/>
    <col collapsed="false" customWidth="true" hidden="false" outlineLevel="0" max="17" min="17" style="1" width="11"/>
  </cols>
  <sheetData>
    <row r="1" customFormat="false" ht="62.25" hidden="false" customHeight="true" outlineLevel="0" collapsed="false">
      <c r="A1" s="182" t="s">
        <v>520</v>
      </c>
      <c r="B1" s="182"/>
      <c r="C1" s="182"/>
      <c r="D1" s="182"/>
      <c r="E1" s="182"/>
      <c r="F1" s="182"/>
      <c r="G1" s="182"/>
      <c r="H1" s="182"/>
      <c r="I1" s="182"/>
      <c r="J1" s="182"/>
      <c r="K1" s="182"/>
      <c r="L1" s="182"/>
      <c r="M1" s="182"/>
      <c r="N1" s="182"/>
      <c r="O1" s="182"/>
      <c r="P1" s="182"/>
      <c r="Q1" s="176"/>
    </row>
    <row r="2" customFormat="false" ht="42.75" hidden="false" customHeight="true" outlineLevel="0" collapsed="false">
      <c r="A2" s="59" t="s">
        <v>81</v>
      </c>
      <c r="B2" s="59" t="s">
        <v>279</v>
      </c>
      <c r="C2" s="59" t="s">
        <v>521</v>
      </c>
      <c r="D2" s="59" t="s">
        <v>522</v>
      </c>
      <c r="E2" s="59" t="s">
        <v>468</v>
      </c>
      <c r="F2" s="59" t="s">
        <v>523</v>
      </c>
      <c r="G2" s="59" t="s">
        <v>524</v>
      </c>
      <c r="H2" s="59" t="s">
        <v>525</v>
      </c>
      <c r="I2" s="59" t="s">
        <v>526</v>
      </c>
      <c r="J2" s="59" t="s">
        <v>527</v>
      </c>
      <c r="K2" s="59" t="s">
        <v>528</v>
      </c>
      <c r="L2" s="59" t="s">
        <v>529</v>
      </c>
      <c r="M2" s="59" t="s">
        <v>530</v>
      </c>
      <c r="N2" s="59" t="s">
        <v>531</v>
      </c>
      <c r="O2" s="59" t="s">
        <v>532</v>
      </c>
      <c r="P2" s="59" t="s">
        <v>533</v>
      </c>
      <c r="Q2" s="59" t="s">
        <v>534</v>
      </c>
    </row>
    <row r="3" customFormat="false" ht="15" hidden="false" customHeight="true" outlineLevel="0" collapsed="false">
      <c r="A3" s="178" t="s">
        <v>95</v>
      </c>
      <c r="B3" s="118" t="s">
        <v>96</v>
      </c>
      <c r="C3" s="183" t="n">
        <v>46241</v>
      </c>
      <c r="D3" s="184" t="n">
        <v>266.38</v>
      </c>
      <c r="E3" s="118" t="n">
        <v>85.8</v>
      </c>
      <c r="F3" s="118" t="s">
        <v>330</v>
      </c>
      <c r="G3" s="118" t="s">
        <v>535</v>
      </c>
      <c r="H3" s="184" t="n">
        <v>773.26</v>
      </c>
      <c r="I3" s="118" t="s">
        <v>536</v>
      </c>
      <c r="J3" s="183"/>
      <c r="K3" s="184"/>
      <c r="L3" s="118"/>
      <c r="M3" s="184" t="n">
        <v>259.32</v>
      </c>
      <c r="N3" s="184" t="n">
        <v>765.04</v>
      </c>
      <c r="O3" s="185" t="n">
        <f aca="false">IF(OR(D3="",M3=""),"",M3/D3-1)</f>
        <v>-0.026503491253097</v>
      </c>
      <c r="P3" s="186" t="n">
        <f aca="false">IF(OR(H3="",N3=""),"",N3/H3-1)</f>
        <v>-0.0106303183922614</v>
      </c>
      <c r="Q3" s="185" t="n">
        <f aca="false">IF(OR(O3="",P3=""),"",O3-P3)</f>
        <v>-0.0158731728608357</v>
      </c>
    </row>
    <row r="4" customFormat="false" ht="15" hidden="false" customHeight="true" outlineLevel="0" collapsed="false">
      <c r="A4" s="178" t="s">
        <v>167</v>
      </c>
      <c r="B4" s="118" t="s">
        <v>168</v>
      </c>
      <c r="C4" s="183" t="n">
        <v>46241</v>
      </c>
      <c r="D4" s="184" t="n">
        <v>488.77</v>
      </c>
      <c r="E4" s="118" t="n">
        <v>75.6</v>
      </c>
      <c r="F4" s="118" t="s">
        <v>330</v>
      </c>
      <c r="G4" s="118" t="s">
        <v>537</v>
      </c>
      <c r="H4" s="184" t="n">
        <v>773.26</v>
      </c>
      <c r="I4" s="118" t="s">
        <v>536</v>
      </c>
      <c r="J4" s="183"/>
      <c r="K4" s="184"/>
      <c r="L4" s="118"/>
      <c r="M4" s="184" t="n">
        <v>478.7</v>
      </c>
      <c r="N4" s="184" t="n">
        <v>765.04</v>
      </c>
      <c r="O4" s="185" t="n">
        <f aca="false">IF(OR(D4="",M4=""),"",M4/D4-1)</f>
        <v>-0.0206027374838881</v>
      </c>
      <c r="P4" s="186" t="n">
        <f aca="false">IF(OR(H4="",N4=""),"",N4/H4-1)</f>
        <v>-0.0106303183922614</v>
      </c>
      <c r="Q4" s="185" t="n">
        <f aca="false">IF(OR(O4="",P4=""),"",O4-P4)</f>
        <v>-0.00997241909162672</v>
      </c>
    </row>
    <row r="5" customFormat="false" ht="15" hidden="false" customHeight="true" outlineLevel="0" collapsed="false">
      <c r="A5" s="178" t="s">
        <v>170</v>
      </c>
      <c r="B5" s="118" t="s">
        <v>336</v>
      </c>
      <c r="C5" s="183" t="n">
        <v>46241</v>
      </c>
      <c r="D5" s="184" t="n">
        <v>139.92</v>
      </c>
      <c r="E5" s="118" t="n">
        <v>82</v>
      </c>
      <c r="F5" s="118" t="s">
        <v>330</v>
      </c>
      <c r="G5" s="118" t="s">
        <v>535</v>
      </c>
      <c r="H5" s="184" t="n">
        <v>773.26</v>
      </c>
      <c r="I5" s="118" t="s">
        <v>536</v>
      </c>
      <c r="J5" s="183"/>
      <c r="K5" s="184"/>
      <c r="L5" s="118"/>
      <c r="M5" s="184" t="n">
        <v>139.06</v>
      </c>
      <c r="N5" s="184" t="n">
        <v>765.04</v>
      </c>
      <c r="O5" s="185" t="n">
        <f aca="false">IF(OR(D5="",M5=""),"",M5/D5-1)</f>
        <v>-0.00614636935391644</v>
      </c>
      <c r="P5" s="186" t="n">
        <f aca="false">IF(OR(H5="",N5=""),"",N5/H5-1)</f>
        <v>-0.0106303183922614</v>
      </c>
      <c r="Q5" s="185" t="n">
        <f aca="false">IF(OR(O5="",P5=""),"",O5-P5)</f>
        <v>0.00448394903834493</v>
      </c>
    </row>
    <row r="6" customFormat="false" ht="15" hidden="false" customHeight="true" outlineLevel="0" collapsed="false">
      <c r="A6" s="178" t="s">
        <v>118</v>
      </c>
      <c r="B6" s="118" t="s">
        <v>119</v>
      </c>
      <c r="C6" s="183" t="n">
        <v>46273</v>
      </c>
      <c r="D6" s="184" t="n">
        <v>368.97</v>
      </c>
      <c r="E6" s="118" t="n">
        <v>86.4</v>
      </c>
      <c r="F6" s="118" t="s">
        <v>330</v>
      </c>
      <c r="G6" s="118" t="s">
        <v>535</v>
      </c>
      <c r="H6" s="184" t="n">
        <v>767.53</v>
      </c>
      <c r="I6" s="118" t="s">
        <v>536</v>
      </c>
      <c r="J6" s="183"/>
      <c r="K6" s="184"/>
      <c r="L6" s="118"/>
      <c r="M6" s="184" t="n">
        <v>367.68</v>
      </c>
      <c r="N6" s="184" t="n">
        <v>767.53</v>
      </c>
      <c r="O6" s="185" t="n">
        <f aca="false">IF(OR(D6="",M6=""),"",M6/D6-1)</f>
        <v>-0.00349621920481347</v>
      </c>
      <c r="P6" s="186" t="n">
        <f aca="false">IF(OR(H6="",N6=""),"",N6/H6-1)</f>
        <v>0</v>
      </c>
      <c r="Q6" s="185" t="n">
        <f aca="false">IF(OR(O6="",P6=""),"",O6-P6)</f>
        <v>-0.00349621920481347</v>
      </c>
    </row>
    <row r="7" customFormat="false" ht="15" hidden="false" customHeight="true" outlineLevel="0" collapsed="false">
      <c r="A7" s="178" t="s">
        <v>140</v>
      </c>
      <c r="B7" s="118" t="s">
        <v>141</v>
      </c>
      <c r="C7" s="183" t="n">
        <v>46295</v>
      </c>
      <c r="D7" s="184" t="n">
        <v>314.71</v>
      </c>
      <c r="E7" s="118" t="n">
        <v>84.2</v>
      </c>
      <c r="F7" s="118" t="s">
        <v>330</v>
      </c>
      <c r="G7" s="118" t="s">
        <v>535</v>
      </c>
      <c r="H7" s="184" t="n">
        <v>766.29</v>
      </c>
      <c r="I7" s="118" t="s">
        <v>536</v>
      </c>
      <c r="J7" s="183"/>
      <c r="K7" s="184"/>
      <c r="L7" s="118"/>
      <c r="M7" s="184" t="n">
        <v>314.71</v>
      </c>
      <c r="N7" s="184" t="n">
        <v>766.29</v>
      </c>
      <c r="O7" s="185" t="n">
        <f aca="false">IF(OR(D7="",M7=""),"",M7/D7-1)</f>
        <v>0</v>
      </c>
      <c r="P7" s="186" t="n">
        <f aca="false">IF(OR(H7="",N7=""),"",N7/H7-1)</f>
        <v>0</v>
      </c>
      <c r="Q7" s="185" t="n">
        <f aca="false">IF(OR(O7="",P7=""),"",O7-P7)</f>
        <v>0</v>
      </c>
    </row>
    <row r="8" customFormat="false" ht="15" hidden="false" customHeight="true" outlineLevel="0" collapsed="false">
      <c r="A8" s="178" t="s">
        <v>143</v>
      </c>
      <c r="B8" s="118" t="s">
        <v>144</v>
      </c>
      <c r="C8" s="183" t="n">
        <v>46295</v>
      </c>
      <c r="D8" s="184" t="n">
        <v>69.795</v>
      </c>
      <c r="E8" s="118" t="n">
        <v>83.8</v>
      </c>
      <c r="F8" s="118" t="s">
        <v>330</v>
      </c>
      <c r="G8" s="118" t="s">
        <v>535</v>
      </c>
      <c r="H8" s="184" t="n">
        <v>766.29</v>
      </c>
      <c r="I8" s="118" t="s">
        <v>536</v>
      </c>
      <c r="J8" s="183"/>
      <c r="K8" s="184"/>
      <c r="L8" s="118"/>
      <c r="M8" s="184" t="n">
        <v>69.795</v>
      </c>
      <c r="N8" s="184" t="n">
        <v>766.29</v>
      </c>
      <c r="O8" s="185" t="n">
        <f aca="false">IF(OR(D8="",M8=""),"",M8/D8-1)</f>
        <v>0</v>
      </c>
      <c r="P8" s="186" t="n">
        <f aca="false">IF(OR(H8="",N8=""),"",N8/H8-1)</f>
        <v>0</v>
      </c>
      <c r="Q8" s="185" t="n">
        <f aca="false">IF(OR(O8="",P8=""),"",O8-P8)</f>
        <v>0</v>
      </c>
    </row>
    <row r="9" customFormat="false" ht="15" hidden="false" customHeight="true" outlineLevel="0" collapsed="false">
      <c r="A9" s="178"/>
      <c r="B9" s="118"/>
      <c r="C9" s="183"/>
      <c r="D9" s="184"/>
      <c r="E9" s="118"/>
      <c r="F9" s="118"/>
      <c r="G9" s="118"/>
      <c r="H9" s="184"/>
      <c r="I9" s="118"/>
      <c r="J9" s="183"/>
      <c r="K9" s="184"/>
      <c r="L9" s="118"/>
      <c r="M9" s="184"/>
      <c r="N9" s="184"/>
      <c r="O9" s="185" t="str">
        <f aca="false">IF(OR(D9="",M9=""),"",M9/D9-1)</f>
        <v/>
      </c>
      <c r="P9" s="186" t="str">
        <f aca="false">IF(OR(H9="",N9=""),"",N9/H9-1)</f>
        <v/>
      </c>
      <c r="Q9" s="185" t="str">
        <f aca="false">IF(OR(O9="",P9=""),"",O9-P9)</f>
        <v/>
      </c>
    </row>
    <row r="10" customFormat="false" ht="15" hidden="false" customHeight="true" outlineLevel="0" collapsed="false">
      <c r="A10" s="178"/>
      <c r="B10" s="118"/>
      <c r="C10" s="183"/>
      <c r="D10" s="184"/>
      <c r="E10" s="118"/>
      <c r="F10" s="118"/>
      <c r="G10" s="118"/>
      <c r="H10" s="184"/>
      <c r="I10" s="118"/>
      <c r="J10" s="183"/>
      <c r="K10" s="184"/>
      <c r="L10" s="118"/>
      <c r="M10" s="184"/>
      <c r="N10" s="184"/>
      <c r="O10" s="185" t="str">
        <f aca="false">IF(OR(D10="",M10=""),"",M10/D10-1)</f>
        <v/>
      </c>
      <c r="P10" s="186" t="str">
        <f aca="false">IF(OR(H10="",N10=""),"",N10/H10-1)</f>
        <v/>
      </c>
      <c r="Q10" s="185" t="str">
        <f aca="false">IF(OR(O10="",P10=""),"",O10-P10)</f>
        <v/>
      </c>
    </row>
    <row r="11" customFormat="false" ht="15" hidden="false" customHeight="true" outlineLevel="0" collapsed="false">
      <c r="A11" s="178"/>
      <c r="B11" s="118"/>
      <c r="C11" s="183"/>
      <c r="D11" s="184"/>
      <c r="E11" s="118"/>
      <c r="F11" s="118"/>
      <c r="G11" s="118"/>
      <c r="H11" s="184"/>
      <c r="I11" s="118"/>
      <c r="J11" s="183"/>
      <c r="K11" s="184"/>
      <c r="L11" s="118"/>
      <c r="M11" s="184"/>
      <c r="N11" s="184"/>
      <c r="O11" s="185" t="str">
        <f aca="false">IF(OR(D11="",M11=""),"",M11/D11-1)</f>
        <v/>
      </c>
      <c r="P11" s="186" t="str">
        <f aca="false">IF(OR(H11="",N11=""),"",N11/H11-1)</f>
        <v/>
      </c>
      <c r="Q11" s="185" t="str">
        <f aca="false">IF(OR(O11="",P11=""),"",O11-P11)</f>
        <v/>
      </c>
    </row>
    <row r="12" customFormat="false" ht="15" hidden="false" customHeight="true" outlineLevel="0" collapsed="false">
      <c r="A12" s="178"/>
      <c r="B12" s="118"/>
      <c r="C12" s="183"/>
      <c r="D12" s="184"/>
      <c r="E12" s="118"/>
      <c r="F12" s="118"/>
      <c r="G12" s="118"/>
      <c r="H12" s="184"/>
      <c r="I12" s="118"/>
      <c r="J12" s="183"/>
      <c r="K12" s="184"/>
      <c r="L12" s="118"/>
      <c r="M12" s="184"/>
      <c r="N12" s="184"/>
      <c r="O12" s="185" t="str">
        <f aca="false">IF(OR(D12="",M12=""),"",M12/D12-1)</f>
        <v/>
      </c>
      <c r="P12" s="186" t="str">
        <f aca="false">IF(OR(H12="",N12=""),"",N12/H12-1)</f>
        <v/>
      </c>
      <c r="Q12" s="185" t="str">
        <f aca="false">IF(OR(O12="",P12=""),"",O12-P12)</f>
        <v/>
      </c>
    </row>
    <row r="13" customFormat="false" ht="15" hidden="false" customHeight="true" outlineLevel="0" collapsed="false">
      <c r="A13" s="178"/>
      <c r="B13" s="118"/>
      <c r="C13" s="183"/>
      <c r="D13" s="184"/>
      <c r="E13" s="118"/>
      <c r="F13" s="118"/>
      <c r="G13" s="118"/>
      <c r="H13" s="184"/>
      <c r="I13" s="118"/>
      <c r="J13" s="183"/>
      <c r="K13" s="184"/>
      <c r="L13" s="118"/>
      <c r="M13" s="184"/>
      <c r="N13" s="184"/>
      <c r="O13" s="185" t="str">
        <f aca="false">IF(OR(D13="",M13=""),"",M13/D13-1)</f>
        <v/>
      </c>
      <c r="P13" s="186" t="str">
        <f aca="false">IF(OR(H13="",N13=""),"",N13/H13-1)</f>
        <v/>
      </c>
      <c r="Q13" s="185" t="str">
        <f aca="false">IF(OR(O13="",P13=""),"",O13-P13)</f>
        <v/>
      </c>
    </row>
    <row r="14" customFormat="false" ht="15" hidden="false" customHeight="true" outlineLevel="0" collapsed="false">
      <c r="A14" s="178"/>
      <c r="B14" s="118"/>
      <c r="C14" s="183"/>
      <c r="D14" s="184"/>
      <c r="E14" s="118"/>
      <c r="F14" s="118"/>
      <c r="G14" s="118"/>
      <c r="H14" s="184"/>
      <c r="I14" s="118"/>
      <c r="J14" s="183"/>
      <c r="K14" s="184"/>
      <c r="L14" s="118"/>
      <c r="M14" s="184"/>
      <c r="N14" s="184"/>
      <c r="O14" s="185" t="str">
        <f aca="false">IF(OR(D14="",M14=""),"",M14/D14-1)</f>
        <v/>
      </c>
      <c r="P14" s="186" t="str">
        <f aca="false">IF(OR(H14="",N14=""),"",N14/H14-1)</f>
        <v/>
      </c>
      <c r="Q14" s="185" t="str">
        <f aca="false">IF(OR(O14="",P14=""),"",O14-P14)</f>
        <v/>
      </c>
    </row>
    <row r="15" customFormat="false" ht="15" hidden="false" customHeight="true" outlineLevel="0" collapsed="false">
      <c r="A15" s="178"/>
      <c r="B15" s="118"/>
      <c r="C15" s="183"/>
      <c r="D15" s="184"/>
      <c r="E15" s="118"/>
      <c r="F15" s="118"/>
      <c r="G15" s="118"/>
      <c r="H15" s="184"/>
      <c r="I15" s="118"/>
      <c r="J15" s="183"/>
      <c r="K15" s="184"/>
      <c r="L15" s="118"/>
      <c r="M15" s="184"/>
      <c r="N15" s="184"/>
      <c r="O15" s="185" t="str">
        <f aca="false">IF(OR(D15="",M15=""),"",M15/D15-1)</f>
        <v/>
      </c>
      <c r="P15" s="186" t="str">
        <f aca="false">IF(OR(H15="",N15=""),"",N15/H15-1)</f>
        <v/>
      </c>
      <c r="Q15" s="185" t="str">
        <f aca="false">IF(OR(O15="",P15=""),"",O15-P15)</f>
        <v/>
      </c>
    </row>
    <row r="16" customFormat="false" ht="15" hidden="false" customHeight="true" outlineLevel="0" collapsed="false">
      <c r="A16" s="178"/>
      <c r="B16" s="118"/>
      <c r="C16" s="183"/>
      <c r="D16" s="184"/>
      <c r="E16" s="118"/>
      <c r="F16" s="118"/>
      <c r="G16" s="118"/>
      <c r="H16" s="184"/>
      <c r="I16" s="118"/>
      <c r="J16" s="183"/>
      <c r="K16" s="184"/>
      <c r="L16" s="118"/>
      <c r="M16" s="184"/>
      <c r="N16" s="184"/>
      <c r="O16" s="185" t="str">
        <f aca="false">IF(OR(D16="",M16=""),"",M16/D16-1)</f>
        <v/>
      </c>
      <c r="P16" s="186" t="str">
        <f aca="false">IF(OR(H16="",N16=""),"",N16/H16-1)</f>
        <v/>
      </c>
      <c r="Q16" s="185" t="str">
        <f aca="false">IF(OR(O16="",P16=""),"",O16-P16)</f>
        <v/>
      </c>
    </row>
    <row r="17" customFormat="false" ht="15" hidden="false" customHeight="true" outlineLevel="0" collapsed="false">
      <c r="A17" s="178"/>
      <c r="B17" s="118"/>
      <c r="C17" s="183"/>
      <c r="D17" s="184"/>
      <c r="E17" s="118"/>
      <c r="F17" s="118"/>
      <c r="G17" s="118"/>
      <c r="H17" s="184"/>
      <c r="I17" s="118"/>
      <c r="J17" s="183"/>
      <c r="K17" s="184"/>
      <c r="L17" s="118"/>
      <c r="M17" s="184"/>
      <c r="N17" s="184"/>
      <c r="O17" s="185" t="str">
        <f aca="false">IF(OR(D17="",M17=""),"",M17/D17-1)</f>
        <v/>
      </c>
      <c r="P17" s="186" t="str">
        <f aca="false">IF(OR(H17="",N17=""),"",N17/H17-1)</f>
        <v/>
      </c>
      <c r="Q17" s="185" t="str">
        <f aca="false">IF(OR(O17="",P17=""),"",O17-P17)</f>
        <v/>
      </c>
    </row>
    <row r="18" customFormat="false" ht="15" hidden="false" customHeight="true" outlineLevel="0" collapsed="false">
      <c r="A18" s="178"/>
      <c r="B18" s="118"/>
      <c r="C18" s="183"/>
      <c r="D18" s="184"/>
      <c r="E18" s="118"/>
      <c r="F18" s="118"/>
      <c r="G18" s="118"/>
      <c r="H18" s="184"/>
      <c r="I18" s="118"/>
      <c r="J18" s="183"/>
      <c r="K18" s="184"/>
      <c r="L18" s="118"/>
      <c r="M18" s="184"/>
      <c r="N18" s="184"/>
      <c r="O18" s="185" t="str">
        <f aca="false">IF(OR(D18="",M18=""),"",M18/D18-1)</f>
        <v/>
      </c>
      <c r="P18" s="186" t="str">
        <f aca="false">IF(OR(H18="",N18=""),"",N18/H18-1)</f>
        <v/>
      </c>
      <c r="Q18" s="185" t="str">
        <f aca="false">IF(OR(O18="",P18=""),"",O18-P18)</f>
        <v/>
      </c>
    </row>
    <row r="19" customFormat="false" ht="15" hidden="false" customHeight="true" outlineLevel="0" collapsed="false">
      <c r="A19" s="178"/>
      <c r="B19" s="118"/>
      <c r="C19" s="183"/>
      <c r="D19" s="184"/>
      <c r="E19" s="118"/>
      <c r="F19" s="118"/>
      <c r="G19" s="118"/>
      <c r="H19" s="184"/>
      <c r="I19" s="118"/>
      <c r="J19" s="183"/>
      <c r="K19" s="184"/>
      <c r="L19" s="118"/>
      <c r="M19" s="184"/>
      <c r="N19" s="184"/>
      <c r="O19" s="185" t="str">
        <f aca="false">IF(OR(D19="",M19=""),"",M19/D19-1)</f>
        <v/>
      </c>
      <c r="P19" s="186" t="str">
        <f aca="false">IF(OR(H19="",N19=""),"",N19/H19-1)</f>
        <v/>
      </c>
      <c r="Q19" s="185" t="str">
        <f aca="false">IF(OR(O19="",P19=""),"",O19-P19)</f>
        <v/>
      </c>
    </row>
    <row r="20" customFormat="false" ht="15" hidden="false" customHeight="true" outlineLevel="0" collapsed="false">
      <c r="A20" s="178"/>
      <c r="B20" s="118"/>
      <c r="C20" s="183"/>
      <c r="D20" s="184"/>
      <c r="E20" s="118"/>
      <c r="F20" s="118"/>
      <c r="G20" s="118"/>
      <c r="H20" s="184"/>
      <c r="I20" s="118"/>
      <c r="J20" s="183"/>
      <c r="K20" s="184"/>
      <c r="L20" s="118"/>
      <c r="M20" s="184"/>
      <c r="N20" s="184"/>
      <c r="O20" s="185" t="str">
        <f aca="false">IF(OR(D20="",M20=""),"",M20/D20-1)</f>
        <v/>
      </c>
      <c r="P20" s="186" t="str">
        <f aca="false">IF(OR(H20="",N20=""),"",N20/H20-1)</f>
        <v/>
      </c>
      <c r="Q20" s="185" t="str">
        <f aca="false">IF(OR(O20="",P20=""),"",O20-P20)</f>
        <v/>
      </c>
    </row>
    <row r="21" customFormat="false" ht="15" hidden="false" customHeight="true" outlineLevel="0" collapsed="false">
      <c r="A21" s="178"/>
      <c r="B21" s="118"/>
      <c r="C21" s="183"/>
      <c r="D21" s="184"/>
      <c r="E21" s="118"/>
      <c r="F21" s="118"/>
      <c r="G21" s="118"/>
      <c r="H21" s="184"/>
      <c r="I21" s="118"/>
      <c r="J21" s="183"/>
      <c r="K21" s="184"/>
      <c r="L21" s="118"/>
      <c r="M21" s="184"/>
      <c r="N21" s="184"/>
      <c r="O21" s="185" t="str">
        <f aca="false">IF(OR(D21="",M21=""),"",M21/D21-1)</f>
        <v/>
      </c>
      <c r="P21" s="186" t="str">
        <f aca="false">IF(OR(H21="",N21=""),"",N21/H21-1)</f>
        <v/>
      </c>
      <c r="Q21" s="185" t="str">
        <f aca="false">IF(OR(O21="",P21=""),"",O21-P21)</f>
        <v/>
      </c>
    </row>
    <row r="22" customFormat="false" ht="15" hidden="false" customHeight="true" outlineLevel="0" collapsed="false">
      <c r="A22" s="178"/>
      <c r="B22" s="118"/>
      <c r="C22" s="183"/>
      <c r="D22" s="184"/>
      <c r="E22" s="118"/>
      <c r="F22" s="118"/>
      <c r="G22" s="118"/>
      <c r="H22" s="184"/>
      <c r="I22" s="118"/>
      <c r="J22" s="183"/>
      <c r="K22" s="184"/>
      <c r="L22" s="118"/>
      <c r="M22" s="184"/>
      <c r="N22" s="184"/>
      <c r="O22" s="185" t="str">
        <f aca="false">IF(OR(D22="",M22=""),"",M22/D22-1)</f>
        <v/>
      </c>
      <c r="P22" s="186" t="str">
        <f aca="false">IF(OR(H22="",N22=""),"",N22/H22-1)</f>
        <v/>
      </c>
      <c r="Q22" s="185" t="str">
        <f aca="false">IF(OR(O22="",P22=""),"",O22-P22)</f>
        <v/>
      </c>
    </row>
    <row r="23" customFormat="false" ht="15" hidden="false" customHeight="true" outlineLevel="0" collapsed="false">
      <c r="A23" s="178"/>
      <c r="B23" s="118"/>
      <c r="C23" s="183"/>
      <c r="D23" s="184"/>
      <c r="E23" s="118"/>
      <c r="F23" s="118"/>
      <c r="G23" s="118"/>
      <c r="H23" s="184"/>
      <c r="I23" s="118"/>
      <c r="J23" s="183"/>
      <c r="K23" s="184"/>
      <c r="L23" s="118"/>
      <c r="M23" s="184"/>
      <c r="N23" s="184"/>
      <c r="O23" s="185" t="str">
        <f aca="false">IF(OR(D23="",M23=""),"",M23/D23-1)</f>
        <v/>
      </c>
      <c r="P23" s="186" t="str">
        <f aca="false">IF(OR(H23="",N23=""),"",N23/H23-1)</f>
        <v/>
      </c>
      <c r="Q23" s="185" t="str">
        <f aca="false">IF(OR(O23="",P23=""),"",O23-P23)</f>
        <v/>
      </c>
    </row>
    <row r="24" customFormat="false" ht="15" hidden="false" customHeight="true" outlineLevel="0" collapsed="false">
      <c r="A24" s="178"/>
      <c r="B24" s="118"/>
      <c r="C24" s="183"/>
      <c r="D24" s="184"/>
      <c r="E24" s="118"/>
      <c r="F24" s="118"/>
      <c r="G24" s="118"/>
      <c r="H24" s="184"/>
      <c r="I24" s="118"/>
      <c r="J24" s="183"/>
      <c r="K24" s="184"/>
      <c r="L24" s="118"/>
      <c r="M24" s="184"/>
      <c r="N24" s="184"/>
      <c r="O24" s="185" t="str">
        <f aca="false">IF(OR(D24="",M24=""),"",M24/D24-1)</f>
        <v/>
      </c>
      <c r="P24" s="186" t="str">
        <f aca="false">IF(OR(H24="",N24=""),"",N24/H24-1)</f>
        <v/>
      </c>
      <c r="Q24" s="185" t="str">
        <f aca="false">IF(OR(O24="",P24=""),"",O24-P24)</f>
        <v/>
      </c>
    </row>
    <row r="25" customFormat="false" ht="15" hidden="false" customHeight="true" outlineLevel="0" collapsed="false">
      <c r="A25" s="178"/>
      <c r="B25" s="118"/>
      <c r="C25" s="183"/>
      <c r="D25" s="184"/>
      <c r="E25" s="118"/>
      <c r="F25" s="118"/>
      <c r="G25" s="118"/>
      <c r="H25" s="184"/>
      <c r="I25" s="118"/>
      <c r="J25" s="183"/>
      <c r="K25" s="184"/>
      <c r="L25" s="118"/>
      <c r="M25" s="184"/>
      <c r="N25" s="184"/>
      <c r="O25" s="185" t="str">
        <f aca="false">IF(OR(D25="",M25=""),"",M25/D25-1)</f>
        <v/>
      </c>
      <c r="P25" s="186" t="str">
        <f aca="false">IF(OR(H25="",N25=""),"",N25/H25-1)</f>
        <v/>
      </c>
      <c r="Q25" s="185" t="str">
        <f aca="false">IF(OR(O25="",P25=""),"",O25-P25)</f>
        <v/>
      </c>
    </row>
    <row r="26" customFormat="false" ht="15" hidden="false" customHeight="true" outlineLevel="0" collapsed="false">
      <c r="A26" s="178"/>
      <c r="B26" s="118"/>
      <c r="C26" s="183"/>
      <c r="D26" s="184"/>
      <c r="E26" s="118"/>
      <c r="F26" s="118"/>
      <c r="G26" s="118"/>
      <c r="H26" s="184"/>
      <c r="I26" s="118"/>
      <c r="J26" s="183"/>
      <c r="K26" s="184"/>
      <c r="L26" s="118"/>
      <c r="M26" s="184"/>
      <c r="N26" s="184"/>
      <c r="O26" s="185" t="str">
        <f aca="false">IF(OR(D26="",M26=""),"",M26/D26-1)</f>
        <v/>
      </c>
      <c r="P26" s="186" t="str">
        <f aca="false">IF(OR(H26="",N26=""),"",N26/H26-1)</f>
        <v/>
      </c>
      <c r="Q26" s="185" t="str">
        <f aca="false">IF(OR(O26="",P26=""),"",O26-P26)</f>
        <v/>
      </c>
    </row>
    <row r="27" customFormat="false" ht="15" hidden="false" customHeight="true" outlineLevel="0" collapsed="false">
      <c r="A27" s="178"/>
      <c r="B27" s="118"/>
      <c r="C27" s="183"/>
      <c r="D27" s="184"/>
      <c r="E27" s="118"/>
      <c r="F27" s="118"/>
      <c r="G27" s="118"/>
      <c r="H27" s="184"/>
      <c r="I27" s="118"/>
      <c r="J27" s="183"/>
      <c r="K27" s="184"/>
      <c r="L27" s="118"/>
      <c r="M27" s="184"/>
      <c r="N27" s="184"/>
      <c r="O27" s="185" t="str">
        <f aca="false">IF(OR(D27="",M27=""),"",M27/D27-1)</f>
        <v/>
      </c>
      <c r="P27" s="186" t="str">
        <f aca="false">IF(OR(H27="",N27=""),"",N27/H27-1)</f>
        <v/>
      </c>
      <c r="Q27" s="185" t="str">
        <f aca="false">IF(OR(O27="",P27=""),"",O27-P27)</f>
        <v/>
      </c>
    </row>
    <row r="28" customFormat="false" ht="15" hidden="false" customHeight="true" outlineLevel="0" collapsed="false">
      <c r="A28" s="178"/>
      <c r="B28" s="118"/>
      <c r="C28" s="183"/>
      <c r="D28" s="184"/>
      <c r="E28" s="118"/>
      <c r="F28" s="118"/>
      <c r="G28" s="118"/>
      <c r="H28" s="184"/>
      <c r="I28" s="118"/>
      <c r="J28" s="183"/>
      <c r="K28" s="184"/>
      <c r="L28" s="118"/>
      <c r="M28" s="184"/>
      <c r="N28" s="184"/>
      <c r="O28" s="185" t="str">
        <f aca="false">IF(OR(D28="",M28=""),"",M28/D28-1)</f>
        <v/>
      </c>
      <c r="P28" s="186" t="str">
        <f aca="false">IF(OR(H28="",N28=""),"",N28/H28-1)</f>
        <v/>
      </c>
      <c r="Q28" s="185" t="str">
        <f aca="false">IF(OR(O28="",P28=""),"",O28-P28)</f>
        <v/>
      </c>
    </row>
    <row r="29" customFormat="false" ht="15" hidden="false" customHeight="true" outlineLevel="0" collapsed="false">
      <c r="A29" s="178"/>
      <c r="B29" s="118"/>
      <c r="C29" s="183"/>
      <c r="D29" s="184"/>
      <c r="E29" s="118"/>
      <c r="F29" s="118"/>
      <c r="G29" s="118"/>
      <c r="H29" s="184"/>
      <c r="I29" s="118"/>
      <c r="J29" s="183"/>
      <c r="K29" s="184"/>
      <c r="L29" s="118"/>
      <c r="M29" s="184"/>
      <c r="N29" s="184"/>
      <c r="O29" s="185" t="str">
        <f aca="false">IF(OR(D29="",M29=""),"",M29/D29-1)</f>
        <v/>
      </c>
      <c r="P29" s="186" t="str">
        <f aca="false">IF(OR(H29="",N29=""),"",N29/H29-1)</f>
        <v/>
      </c>
      <c r="Q29" s="185" t="str">
        <f aca="false">IF(OR(O29="",P29=""),"",O29-P29)</f>
        <v/>
      </c>
    </row>
    <row r="30" customFormat="false" ht="15" hidden="false" customHeight="true" outlineLevel="0" collapsed="false">
      <c r="A30" s="178"/>
      <c r="B30" s="118"/>
      <c r="C30" s="183"/>
      <c r="D30" s="184"/>
      <c r="E30" s="118"/>
      <c r="F30" s="118"/>
      <c r="G30" s="118"/>
      <c r="H30" s="184"/>
      <c r="I30" s="118"/>
      <c r="J30" s="183"/>
      <c r="K30" s="184"/>
      <c r="L30" s="118"/>
      <c r="M30" s="184"/>
      <c r="N30" s="184"/>
      <c r="O30" s="185" t="str">
        <f aca="false">IF(OR(D30="",M30=""),"",M30/D30-1)</f>
        <v/>
      </c>
      <c r="P30" s="186" t="str">
        <f aca="false">IF(OR(H30="",N30=""),"",N30/H30-1)</f>
        <v/>
      </c>
      <c r="Q30" s="185" t="str">
        <f aca="false">IF(OR(O30="",P30=""),"",O30-P30)</f>
        <v/>
      </c>
    </row>
    <row r="31" customFormat="false" ht="15" hidden="false" customHeight="true" outlineLevel="0" collapsed="false">
      <c r="A31" s="178"/>
      <c r="B31" s="118"/>
      <c r="C31" s="183"/>
      <c r="D31" s="184"/>
      <c r="E31" s="118"/>
      <c r="F31" s="118"/>
      <c r="G31" s="118"/>
      <c r="H31" s="184"/>
      <c r="I31" s="118"/>
      <c r="J31" s="183"/>
      <c r="K31" s="184"/>
      <c r="L31" s="118"/>
      <c r="M31" s="184"/>
      <c r="N31" s="184"/>
      <c r="O31" s="185" t="str">
        <f aca="false">IF(OR(D31="",M31=""),"",M31/D31-1)</f>
        <v/>
      </c>
      <c r="P31" s="186" t="str">
        <f aca="false">IF(OR(H31="",N31=""),"",N31/H31-1)</f>
        <v/>
      </c>
      <c r="Q31" s="185" t="str">
        <f aca="false">IF(OR(O31="",P31=""),"",O31-P31)</f>
        <v/>
      </c>
    </row>
    <row r="32" customFormat="false" ht="15" hidden="false" customHeight="true" outlineLevel="0" collapsed="false">
      <c r="A32" s="178"/>
      <c r="B32" s="118"/>
      <c r="C32" s="183"/>
      <c r="D32" s="184"/>
      <c r="E32" s="118"/>
      <c r="F32" s="118"/>
      <c r="G32" s="118"/>
      <c r="H32" s="184"/>
      <c r="I32" s="118"/>
      <c r="J32" s="183"/>
      <c r="K32" s="184"/>
      <c r="L32" s="118"/>
      <c r="M32" s="184"/>
      <c r="N32" s="184"/>
      <c r="O32" s="185" t="str">
        <f aca="false">IF(OR(D32="",M32=""),"",M32/D32-1)</f>
        <v/>
      </c>
      <c r="P32" s="186" t="str">
        <f aca="false">IF(OR(H32="",N32=""),"",N32/H32-1)</f>
        <v/>
      </c>
      <c r="Q32" s="185" t="str">
        <f aca="false">IF(OR(O32="",P32=""),"",O32-P32)</f>
        <v/>
      </c>
    </row>
    <row r="34" customFormat="false" ht="25.5" hidden="false" customHeight="true" outlineLevel="0" collapsed="false">
      <c r="A34" s="187" t="s">
        <v>538</v>
      </c>
      <c r="B34" s="187"/>
      <c r="C34" s="187"/>
      <c r="D34" s="187"/>
      <c r="E34" s="187"/>
      <c r="F34" s="187"/>
      <c r="G34" s="187"/>
      <c r="H34" s="187"/>
      <c r="I34" s="187"/>
      <c r="J34" s="187"/>
      <c r="K34" s="187"/>
      <c r="L34" s="187"/>
      <c r="M34" s="187"/>
      <c r="N34" s="187"/>
      <c r="O34" s="187"/>
      <c r="P34" s="187"/>
      <c r="Q34" s="187"/>
    </row>
  </sheetData>
  <mergeCells count="2">
    <mergeCell ref="A1:P1"/>
    <mergeCell ref="A34:Q34"/>
  </mergeCells>
  <conditionalFormatting sqref="Q3:Q32">
    <cfRule type="cellIs" priority="2" operator="greaterThan" aboveAverage="0" equalAverage="0" bottom="0" percent="0" rank="0" text="" dxfId="17">
      <formula>0</formula>
    </cfRule>
    <cfRule type="cellIs" priority="3" operator="lessThan" aboveAverage="0" equalAverage="0" bottom="0" percent="0" rank="0" text="" dxfId="0">
      <formula>0</formula>
    </cfRule>
  </conditionalFormatting>
  <dataValidations count="2">
    <dataValidation allowBlank="true" errorStyle="stop" operator="between" showDropDown="false" showErrorMessage="false" showInputMessage="false" sqref="I3:I32" type="list">
      <formula1>"Held,Exited"</formula1>
      <formula2>0</formula2>
    </dataValidation>
    <dataValidation allowBlank="true" errorStyle="stop" operator="between" showDropDown="false" showErrorMessage="false" showInputMessage="false" sqref="G3:G32" type="list">
      <formula1>"Strong Buy,Buy"</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50" activePane="bottomLeft" state="frozen"/>
      <selection pane="topLeft" activeCell="A1" activeCellId="0" sqref="A1"/>
      <selection pane="bottomLeft" activeCell="C55" activeCellId="0" sqref="C55"/>
    </sheetView>
  </sheetViews>
  <sheetFormatPr defaultColWidth="8.66796875" defaultRowHeight="14.25" customHeight="false" zeroHeight="false" outlineLevelRow="0" outlineLevelCol="0"/>
  <cols>
    <col collapsed="false" customWidth="true" hidden="false" outlineLevel="0" max="1" min="1" style="188" width="8.76"/>
    <col collapsed="false" customWidth="true" hidden="false" outlineLevel="0" max="2" min="2" style="188" width="15.33"/>
    <col collapsed="false" customWidth="true" hidden="false" outlineLevel="0" max="3" min="3" style="1" width="98.56"/>
  </cols>
  <sheetData>
    <row r="1" customFormat="false" ht="27.75" hidden="false" customHeight="true" outlineLevel="0" collapsed="false">
      <c r="A1" s="189" t="s">
        <v>539</v>
      </c>
      <c r="B1" s="189"/>
      <c r="C1" s="189"/>
    </row>
    <row r="2" customFormat="false" ht="18" hidden="false" customHeight="true" outlineLevel="0" collapsed="false">
      <c r="A2" s="141" t="s">
        <v>457</v>
      </c>
      <c r="B2" s="141" t="s">
        <v>81</v>
      </c>
      <c r="C2" s="141" t="s">
        <v>209</v>
      </c>
    </row>
    <row r="3" customFormat="false" ht="23.25" hidden="false" customHeight="true" outlineLevel="0" collapsed="false">
      <c r="A3" s="190" t="n">
        <v>46241</v>
      </c>
      <c r="B3" s="191" t="s">
        <v>173</v>
      </c>
      <c r="C3" s="192" t="s">
        <v>540</v>
      </c>
    </row>
    <row r="4" customFormat="false" ht="23.25" hidden="false" customHeight="true" outlineLevel="0" collapsed="false">
      <c r="A4" s="190" t="n">
        <v>46241</v>
      </c>
      <c r="B4" s="191" t="s">
        <v>176</v>
      </c>
      <c r="C4" s="192" t="s">
        <v>541</v>
      </c>
    </row>
    <row r="5" customFormat="false" ht="14.25" hidden="false" customHeight="true" outlineLevel="0" collapsed="false">
      <c r="A5" s="190" t="n">
        <v>46241</v>
      </c>
      <c r="B5" s="191" t="s">
        <v>184</v>
      </c>
      <c r="C5" s="192" t="s">
        <v>542</v>
      </c>
    </row>
    <row r="6" customFormat="false" ht="34.5" hidden="false" customHeight="true" outlineLevel="0" collapsed="false">
      <c r="A6" s="190" t="n">
        <v>46241</v>
      </c>
      <c r="B6" s="191" t="s">
        <v>167</v>
      </c>
      <c r="C6" s="192" t="s">
        <v>543</v>
      </c>
    </row>
    <row r="7" customFormat="false" ht="23.25" hidden="false" customHeight="true" outlineLevel="0" collapsed="false">
      <c r="A7" s="190" t="n">
        <v>46241</v>
      </c>
      <c r="B7" s="191" t="s">
        <v>544</v>
      </c>
      <c r="C7" s="192" t="s">
        <v>545</v>
      </c>
    </row>
    <row r="8" customFormat="false" ht="23.25" hidden="false" customHeight="true" outlineLevel="0" collapsed="false">
      <c r="A8" s="190" t="n">
        <v>46241</v>
      </c>
      <c r="B8" s="191" t="s">
        <v>544</v>
      </c>
      <c r="C8" s="192" t="s">
        <v>546</v>
      </c>
    </row>
    <row r="9" customFormat="false" ht="23.25" hidden="false" customHeight="true" outlineLevel="0" collapsed="false">
      <c r="A9" s="190" t="n">
        <v>46241</v>
      </c>
      <c r="B9" s="191" t="s">
        <v>547</v>
      </c>
      <c r="C9" s="192" t="s">
        <v>548</v>
      </c>
    </row>
    <row r="10" customFormat="false" ht="23.25" hidden="false" customHeight="true" outlineLevel="0" collapsed="false">
      <c r="A10" s="190" t="n">
        <v>46241</v>
      </c>
      <c r="B10" s="191" t="s">
        <v>549</v>
      </c>
      <c r="C10" s="192" t="s">
        <v>550</v>
      </c>
    </row>
    <row r="11" customFormat="false" ht="23.25" hidden="false" customHeight="true" outlineLevel="0" collapsed="false">
      <c r="A11" s="190" t="n">
        <v>46241</v>
      </c>
      <c r="B11" s="191" t="s">
        <v>129</v>
      </c>
      <c r="C11" s="192" t="s">
        <v>551</v>
      </c>
    </row>
    <row r="12" customFormat="false" ht="79.5" hidden="false" customHeight="true" outlineLevel="0" collapsed="false">
      <c r="A12" s="190" t="n">
        <v>46273</v>
      </c>
      <c r="B12" s="193" t="s">
        <v>552</v>
      </c>
      <c r="C12" s="192" t="s">
        <v>553</v>
      </c>
    </row>
    <row r="13" customFormat="false" ht="57" hidden="false" customHeight="true" outlineLevel="0" collapsed="false">
      <c r="A13" s="190" t="n">
        <v>46295</v>
      </c>
      <c r="B13" s="193" t="s">
        <v>554</v>
      </c>
      <c r="C13" s="192" t="s">
        <v>555</v>
      </c>
    </row>
    <row r="14" customFormat="false" ht="90.75" hidden="false" customHeight="true" outlineLevel="0" collapsed="false">
      <c r="A14" s="190" t="n">
        <v>46302</v>
      </c>
      <c r="B14" s="193" t="s">
        <v>556</v>
      </c>
      <c r="C14" s="192" t="s">
        <v>557</v>
      </c>
    </row>
    <row r="15" customFormat="false" ht="135.75" hidden="false" customHeight="true" outlineLevel="0" collapsed="false">
      <c r="A15" s="190" t="n">
        <v>46320</v>
      </c>
      <c r="B15" s="193" t="s">
        <v>558</v>
      </c>
      <c r="C15" s="192" t="s">
        <v>559</v>
      </c>
    </row>
    <row r="16" customFormat="false" ht="68.25" hidden="false" customHeight="true" outlineLevel="0" collapsed="false">
      <c r="A16" s="190" t="n">
        <v>46335</v>
      </c>
      <c r="B16" s="191" t="s">
        <v>560</v>
      </c>
      <c r="C16" s="192" t="s">
        <v>561</v>
      </c>
    </row>
    <row r="17" customFormat="false" ht="102" hidden="false" customHeight="true" outlineLevel="0" collapsed="false">
      <c r="A17" s="190" t="n">
        <v>46387</v>
      </c>
      <c r="B17" s="193" t="s">
        <v>562</v>
      </c>
      <c r="C17" s="192" t="s">
        <v>563</v>
      </c>
    </row>
    <row r="18" customFormat="false" ht="135.75" hidden="false" customHeight="true" outlineLevel="0" collapsed="false">
      <c r="A18" s="190" t="n">
        <v>46412</v>
      </c>
      <c r="B18" s="193" t="s">
        <v>564</v>
      </c>
      <c r="C18" s="192" t="s">
        <v>565</v>
      </c>
    </row>
    <row r="19" customFormat="false" ht="79.5" hidden="false" customHeight="true" outlineLevel="0" collapsed="false">
      <c r="A19" s="190" t="n">
        <v>46252</v>
      </c>
      <c r="B19" s="193" t="s">
        <v>566</v>
      </c>
      <c r="C19" s="192" t="s">
        <v>567</v>
      </c>
    </row>
    <row r="20" customFormat="false" ht="68.25" hidden="false" customHeight="true" outlineLevel="0" collapsed="false">
      <c r="A20" s="190" t="n">
        <v>46258</v>
      </c>
      <c r="B20" s="193" t="s">
        <v>568</v>
      </c>
      <c r="C20" s="192" t="s">
        <v>569</v>
      </c>
    </row>
    <row r="21" customFormat="false" ht="147" hidden="false" customHeight="true" outlineLevel="0" collapsed="false">
      <c r="A21" s="190" t="n">
        <v>46260</v>
      </c>
      <c r="B21" s="193" t="s">
        <v>570</v>
      </c>
      <c r="C21" s="192" t="s">
        <v>571</v>
      </c>
    </row>
    <row r="22" customFormat="false" ht="113.25" hidden="false" customHeight="true" outlineLevel="0" collapsed="false">
      <c r="A22" s="190" t="n">
        <v>46272</v>
      </c>
      <c r="B22" s="193" t="s">
        <v>572</v>
      </c>
      <c r="C22" s="192" t="s">
        <v>573</v>
      </c>
    </row>
    <row r="23" customFormat="false" ht="113.25" hidden="false" customHeight="true" outlineLevel="0" collapsed="false">
      <c r="A23" s="190" t="n">
        <v>46302</v>
      </c>
      <c r="B23" s="193" t="s">
        <v>574</v>
      </c>
      <c r="C23" s="192" t="s">
        <v>575</v>
      </c>
    </row>
    <row r="24" customFormat="false" ht="135.75" hidden="false" customHeight="true" outlineLevel="0" collapsed="false">
      <c r="A24" s="190" t="n">
        <v>46310</v>
      </c>
      <c r="B24" s="193" t="s">
        <v>576</v>
      </c>
      <c r="C24" s="192" t="s">
        <v>575</v>
      </c>
    </row>
    <row r="25" customFormat="false" ht="147" hidden="false" customHeight="true" outlineLevel="0" collapsed="false">
      <c r="A25" s="190" t="n">
        <v>46335</v>
      </c>
      <c r="B25" s="193" t="s">
        <v>577</v>
      </c>
      <c r="C25" s="192" t="s">
        <v>575</v>
      </c>
    </row>
    <row r="26" customFormat="false" ht="135.75" hidden="false" customHeight="true" outlineLevel="0" collapsed="false">
      <c r="A26" s="190" t="n">
        <v>46342</v>
      </c>
      <c r="B26" s="193" t="s">
        <v>578</v>
      </c>
      <c r="C26" s="192" t="s">
        <v>575</v>
      </c>
    </row>
    <row r="27" customFormat="false" ht="258.75" hidden="false" customHeight="true" outlineLevel="0" collapsed="false">
      <c r="A27" s="190" t="n">
        <v>46363</v>
      </c>
      <c r="B27" s="193" t="s">
        <v>579</v>
      </c>
      <c r="C27" s="192" t="s">
        <v>575</v>
      </c>
    </row>
    <row r="28" customFormat="false" ht="45.75" hidden="false" customHeight="true" outlineLevel="0" collapsed="false">
      <c r="A28" s="190" t="n">
        <v>46371</v>
      </c>
      <c r="B28" s="191" t="s">
        <v>580</v>
      </c>
      <c r="C28" s="192" t="s">
        <v>575</v>
      </c>
    </row>
    <row r="29" customFormat="false" ht="23.25" hidden="false" customHeight="true" outlineLevel="0" collapsed="false">
      <c r="A29" s="190" t="n">
        <v>46394</v>
      </c>
      <c r="B29" s="193" t="s">
        <v>581</v>
      </c>
      <c r="C29" s="192" t="s">
        <v>575</v>
      </c>
    </row>
    <row r="30" customFormat="false" ht="57" hidden="false" customHeight="true" outlineLevel="0" collapsed="false">
      <c r="A30" s="190" t="n">
        <v>46402</v>
      </c>
      <c r="B30" s="191" t="s">
        <v>582</v>
      </c>
      <c r="C30" s="192" t="s">
        <v>575</v>
      </c>
    </row>
    <row r="31" customFormat="false" ht="45.75" hidden="false" customHeight="true" outlineLevel="0" collapsed="false">
      <c r="A31" s="190" t="n">
        <v>46426</v>
      </c>
      <c r="B31" s="193" t="s">
        <v>583</v>
      </c>
      <c r="C31" s="192" t="s">
        <v>575</v>
      </c>
    </row>
    <row r="32" customFormat="false" ht="34.5" hidden="false" customHeight="true" outlineLevel="0" collapsed="false">
      <c r="A32" s="190" t="n">
        <v>46434</v>
      </c>
      <c r="B32" s="193" t="s">
        <v>584</v>
      </c>
      <c r="C32" s="192" t="s">
        <v>575</v>
      </c>
    </row>
    <row r="33" customFormat="false" ht="45.75" hidden="false" customHeight="true" outlineLevel="0" collapsed="false">
      <c r="A33" s="190" t="n">
        <v>46454</v>
      </c>
      <c r="B33" s="193" t="s">
        <v>585</v>
      </c>
      <c r="C33" s="192" t="s">
        <v>575</v>
      </c>
    </row>
    <row r="34" customFormat="false" ht="14.25" hidden="false" customHeight="true" outlineLevel="0" collapsed="false">
      <c r="A34" s="190" t="n">
        <v>46461</v>
      </c>
      <c r="B34" s="193" t="s">
        <v>586</v>
      </c>
      <c r="C34" s="192" t="s">
        <v>587</v>
      </c>
    </row>
    <row r="35" customFormat="false" ht="79.5" hidden="false" customHeight="true" outlineLevel="0" collapsed="false">
      <c r="A35" s="190" t="n">
        <v>46273</v>
      </c>
      <c r="B35" s="191" t="s">
        <v>588</v>
      </c>
      <c r="C35" s="192" t="s">
        <v>589</v>
      </c>
    </row>
    <row r="36" customFormat="false" ht="45.75" hidden="false" customHeight="true" outlineLevel="0" collapsed="false">
      <c r="A36" s="190" t="n">
        <v>46276</v>
      </c>
      <c r="B36" s="191" t="s">
        <v>590</v>
      </c>
      <c r="C36" s="192" t="s">
        <v>591</v>
      </c>
    </row>
    <row r="37" customFormat="false" ht="45.75" hidden="false" customHeight="true" outlineLevel="0" collapsed="false">
      <c r="A37" s="190" t="n">
        <v>46276</v>
      </c>
      <c r="B37" s="193" t="s">
        <v>592</v>
      </c>
      <c r="C37" s="192" t="s">
        <v>593</v>
      </c>
    </row>
    <row r="38" customFormat="false" ht="23.25" hidden="false" customHeight="true" outlineLevel="0" collapsed="false">
      <c r="A38" s="190" t="n">
        <v>46276</v>
      </c>
      <c r="B38" s="193" t="s">
        <v>594</v>
      </c>
      <c r="C38" s="192" t="s">
        <v>595</v>
      </c>
    </row>
    <row r="39" customFormat="false" ht="45.75" hidden="false" customHeight="true" outlineLevel="0" collapsed="false">
      <c r="A39" s="190" t="n">
        <v>46276</v>
      </c>
      <c r="B39" s="193" t="s">
        <v>596</v>
      </c>
      <c r="C39" s="192" t="s">
        <v>597</v>
      </c>
    </row>
    <row r="40" customFormat="false" ht="23.25" hidden="false" customHeight="true" outlineLevel="0" collapsed="false">
      <c r="A40" s="190" t="n">
        <v>46276</v>
      </c>
      <c r="B40" s="193" t="s">
        <v>596</v>
      </c>
      <c r="C40" s="192" t="s">
        <v>598</v>
      </c>
    </row>
    <row r="41" customFormat="false" ht="45.75" hidden="false" customHeight="true" outlineLevel="0" collapsed="false">
      <c r="A41" s="190" t="n">
        <v>46276</v>
      </c>
      <c r="B41" s="193" t="s">
        <v>167</v>
      </c>
      <c r="C41" s="192" t="s">
        <v>599</v>
      </c>
    </row>
    <row r="42" customFormat="false" ht="14.25" hidden="false" customHeight="true" outlineLevel="0" collapsed="false">
      <c r="A42" s="190" t="n">
        <v>46276</v>
      </c>
      <c r="B42" s="193" t="s">
        <v>596</v>
      </c>
      <c r="C42" s="192" t="s">
        <v>600</v>
      </c>
    </row>
    <row r="43" customFormat="false" ht="45.75" hidden="false" customHeight="true" outlineLevel="0" collapsed="false">
      <c r="A43" s="190" t="n">
        <v>46276</v>
      </c>
      <c r="B43" s="193" t="s">
        <v>601</v>
      </c>
      <c r="C43" s="192" t="s">
        <v>602</v>
      </c>
    </row>
    <row r="44" customFormat="false" ht="14.25" hidden="false" customHeight="true" outlineLevel="0" collapsed="false">
      <c r="A44" s="190" t="n">
        <v>46276</v>
      </c>
      <c r="B44" s="193" t="s">
        <v>603</v>
      </c>
      <c r="C44" s="192" t="s">
        <v>604</v>
      </c>
    </row>
    <row r="45" customFormat="false" ht="23.25" hidden="false" customHeight="true" outlineLevel="0" collapsed="false">
      <c r="A45" s="190" t="n">
        <v>46295</v>
      </c>
      <c r="B45" s="191" t="s">
        <v>605</v>
      </c>
      <c r="C45" s="192" t="s">
        <v>606</v>
      </c>
    </row>
    <row r="46" customFormat="false" ht="45.75" hidden="false" customHeight="true" outlineLevel="0" collapsed="false">
      <c r="A46" s="190" t="n">
        <v>46302</v>
      </c>
      <c r="B46" s="193" t="s">
        <v>607</v>
      </c>
      <c r="C46" s="192" t="s">
        <v>608</v>
      </c>
    </row>
    <row r="47" customFormat="false" ht="23.25" hidden="false" customHeight="true" outlineLevel="0" collapsed="false">
      <c r="A47" s="190" t="n">
        <v>46317</v>
      </c>
      <c r="B47" s="193" t="s">
        <v>609</v>
      </c>
      <c r="C47" s="192" t="s">
        <v>610</v>
      </c>
    </row>
    <row r="48" customFormat="false" ht="45.75" hidden="false" customHeight="true" outlineLevel="0" collapsed="false">
      <c r="A48" s="190" t="n">
        <v>46335</v>
      </c>
      <c r="B48" s="193" t="s">
        <v>611</v>
      </c>
      <c r="C48" s="192" t="s">
        <v>612</v>
      </c>
    </row>
    <row r="49" customFormat="false" ht="57" hidden="false" customHeight="true" outlineLevel="0" collapsed="false">
      <c r="A49" s="190" t="n">
        <v>46349</v>
      </c>
      <c r="B49" s="191" t="s">
        <v>613</v>
      </c>
      <c r="C49" s="192" t="s">
        <v>614</v>
      </c>
    </row>
    <row r="50" customFormat="false" ht="45.75" hidden="false" customHeight="true" outlineLevel="0" collapsed="false">
      <c r="A50" s="190" t="n">
        <v>46363</v>
      </c>
      <c r="B50" s="193" t="s">
        <v>615</v>
      </c>
      <c r="C50" s="192" t="s">
        <v>610</v>
      </c>
    </row>
    <row r="51" customFormat="false" ht="45.75" hidden="false" customHeight="true" outlineLevel="0" collapsed="false">
      <c r="A51" s="190" t="n">
        <v>46378</v>
      </c>
      <c r="B51" s="193" t="s">
        <v>616</v>
      </c>
      <c r="C51" s="192" t="s">
        <v>610</v>
      </c>
    </row>
    <row r="52" customFormat="false" ht="45.75" hidden="false" customHeight="true" outlineLevel="0" collapsed="false">
      <c r="A52" s="190" t="n">
        <v>46394</v>
      </c>
      <c r="B52" s="193" t="s">
        <v>617</v>
      </c>
      <c r="C52" s="192" t="s">
        <v>618</v>
      </c>
    </row>
    <row r="53" customFormat="false" ht="45.75" hidden="false" customHeight="true" outlineLevel="0" collapsed="false">
      <c r="A53" s="190" t="n">
        <v>46276</v>
      </c>
      <c r="B53" s="193" t="s">
        <v>619</v>
      </c>
      <c r="C53" s="192" t="s">
        <v>620</v>
      </c>
    </row>
    <row r="54" customFormat="false" ht="14.25" hidden="false" customHeight="true" outlineLevel="0" collapsed="false">
      <c r="A54" s="190" t="n">
        <v>46278</v>
      </c>
      <c r="B54" s="191" t="s">
        <v>621</v>
      </c>
      <c r="C54" s="192" t="s">
        <v>622</v>
      </c>
    </row>
    <row r="55" customFormat="false" ht="14.25" hidden="false" customHeight="true" outlineLevel="0" collapsed="false">
      <c r="A55" s="190" t="n">
        <v>46278</v>
      </c>
      <c r="B55" s="191" t="s">
        <v>623</v>
      </c>
      <c r="C55" s="192" t="s">
        <v>624</v>
      </c>
    </row>
    <row r="56" customFormat="false" ht="14.25" hidden="false" customHeight="true" outlineLevel="0" collapsed="false">
      <c r="A56" s="190" t="n">
        <v>46278</v>
      </c>
      <c r="B56" s="191" t="s">
        <v>625</v>
      </c>
      <c r="C56" s="192" t="s">
        <v>626</v>
      </c>
    </row>
    <row r="57" customFormat="false" ht="14.25" hidden="false" customHeight="true" outlineLevel="0" collapsed="false">
      <c r="A57" s="190" t="n">
        <v>46278</v>
      </c>
      <c r="B57" s="191" t="s">
        <v>627</v>
      </c>
      <c r="C57" s="192" t="s">
        <v>628</v>
      </c>
    </row>
    <row r="58" customFormat="false" ht="14.25" hidden="false" customHeight="true" outlineLevel="0" collapsed="false">
      <c r="A58" s="190" t="n">
        <v>46278</v>
      </c>
      <c r="B58" s="191" t="s">
        <v>629</v>
      </c>
      <c r="C58" s="192" t="s">
        <v>630</v>
      </c>
    </row>
    <row r="59" customFormat="false" ht="14.25" hidden="false" customHeight="true" outlineLevel="0" collapsed="false">
      <c r="A59" s="190" t="n">
        <v>46278</v>
      </c>
      <c r="B59" s="191" t="s">
        <v>631</v>
      </c>
      <c r="C59" s="192" t="s">
        <v>632</v>
      </c>
    </row>
    <row r="60" customFormat="false" ht="14.25" hidden="false" customHeight="true" outlineLevel="0" collapsed="false">
      <c r="A60" s="190" t="n">
        <v>46278</v>
      </c>
      <c r="B60" s="191" t="s">
        <v>633</v>
      </c>
      <c r="C60" s="192" t="s">
        <v>634</v>
      </c>
    </row>
    <row r="61" customFormat="false" ht="14.25" hidden="false" customHeight="true" outlineLevel="0" collapsed="false">
      <c r="A61" s="190" t="n">
        <v>46278</v>
      </c>
      <c r="B61" s="191" t="s">
        <v>635</v>
      </c>
      <c r="C61" s="192" t="s">
        <v>636</v>
      </c>
    </row>
    <row r="62" customFormat="false" ht="14.25" hidden="false" customHeight="true" outlineLevel="0" collapsed="false">
      <c r="A62" s="190" t="n">
        <v>46294</v>
      </c>
      <c r="B62" s="191" t="s">
        <v>637</v>
      </c>
      <c r="C62" s="192" t="s">
        <v>638</v>
      </c>
    </row>
    <row r="63" customFormat="false" ht="14.25" hidden="false" customHeight="true" outlineLevel="0" collapsed="false">
      <c r="A63" s="190" t="n">
        <v>46294</v>
      </c>
      <c r="B63" s="191" t="s">
        <v>639</v>
      </c>
      <c r="C63" s="192" t="s">
        <v>640</v>
      </c>
    </row>
    <row r="64" customFormat="false" ht="14.25" hidden="false" customHeight="true" outlineLevel="0" collapsed="false">
      <c r="A64" s="190" t="n">
        <v>46295</v>
      </c>
      <c r="B64" s="191" t="s">
        <v>605</v>
      </c>
      <c r="C64" s="192" t="s">
        <v>641</v>
      </c>
    </row>
    <row r="65" customFormat="false" ht="14.25" hidden="false" customHeight="true" outlineLevel="0" collapsed="false">
      <c r="A65" s="190" t="n">
        <v>46295</v>
      </c>
      <c r="B65" s="191" t="s">
        <v>642</v>
      </c>
      <c r="C65" s="192" t="s">
        <v>643</v>
      </c>
    </row>
    <row r="66" customFormat="false" ht="14.25" hidden="false" customHeight="true" outlineLevel="0" collapsed="false">
      <c r="A66" s="190" t="n">
        <v>46295</v>
      </c>
      <c r="B66" s="191" t="s">
        <v>95</v>
      </c>
      <c r="C66" s="192" t="s">
        <v>644</v>
      </c>
    </row>
    <row r="67" customFormat="false" ht="14.25" hidden="false" customHeight="true" outlineLevel="0" collapsed="false">
      <c r="A67" s="190" t="n">
        <v>46295</v>
      </c>
      <c r="B67" s="191"/>
      <c r="C67" s="192" t="s">
        <v>645</v>
      </c>
    </row>
    <row r="68" customFormat="false" ht="14.25" hidden="false" customHeight="true" outlineLevel="0" collapsed="false">
      <c r="A68" s="190"/>
      <c r="B68" s="191"/>
      <c r="C68" s="192"/>
    </row>
    <row r="69" customFormat="false" ht="14.25" hidden="false" customHeight="true" outlineLevel="0" collapsed="false">
      <c r="A69" s="190"/>
      <c r="B69" s="191"/>
      <c r="C69" s="192"/>
    </row>
    <row r="70" customFormat="false" ht="14.25" hidden="false" customHeight="true" outlineLevel="0" collapsed="false">
      <c r="A70" s="190"/>
      <c r="B70" s="191"/>
      <c r="C70" s="192"/>
    </row>
    <row r="71" customFormat="false" ht="14.25" hidden="false" customHeight="true" outlineLevel="0" collapsed="false">
      <c r="A71" s="190"/>
      <c r="B71" s="191"/>
      <c r="C71" s="192"/>
    </row>
    <row r="72" customFormat="false" ht="14.25" hidden="false" customHeight="true" outlineLevel="0" collapsed="false">
      <c r="A72" s="190"/>
      <c r="B72" s="191"/>
      <c r="C72" s="192"/>
    </row>
    <row r="73" customFormat="false" ht="14.25" hidden="false" customHeight="true" outlineLevel="0" collapsed="false">
      <c r="A73" s="190"/>
      <c r="B73" s="191"/>
      <c r="C73" s="192"/>
    </row>
    <row r="74" customFormat="false" ht="14.25" hidden="false" customHeight="true" outlineLevel="0" collapsed="false">
      <c r="A74" s="190"/>
      <c r="B74" s="191"/>
      <c r="C74" s="192"/>
    </row>
    <row r="75" customFormat="false" ht="14.25" hidden="false" customHeight="true" outlineLevel="0" collapsed="false">
      <c r="A75" s="190"/>
      <c r="B75" s="191"/>
      <c r="C75" s="192"/>
    </row>
    <row r="76" customFormat="false" ht="14.25" hidden="false" customHeight="true" outlineLevel="0" collapsed="false">
      <c r="A76" s="190"/>
      <c r="B76" s="191"/>
      <c r="C76" s="192"/>
    </row>
    <row r="77" customFormat="false" ht="14.25" hidden="false" customHeight="true" outlineLevel="0" collapsed="false">
      <c r="A77" s="190"/>
      <c r="B77" s="191"/>
      <c r="C77" s="192"/>
    </row>
    <row r="78" customFormat="false" ht="14.25" hidden="false" customHeight="true" outlineLevel="0" collapsed="false">
      <c r="A78" s="190"/>
      <c r="B78" s="191"/>
      <c r="C78" s="192"/>
    </row>
    <row r="79" customFormat="false" ht="14.25" hidden="false" customHeight="true" outlineLevel="0" collapsed="false">
      <c r="A79" s="190"/>
      <c r="B79" s="191"/>
      <c r="C79" s="192"/>
    </row>
    <row r="80" customFormat="false" ht="14.25" hidden="false" customHeight="true" outlineLevel="0" collapsed="false">
      <c r="A80" s="190"/>
      <c r="B80" s="191"/>
      <c r="C80" s="192"/>
    </row>
    <row r="81" customFormat="false" ht="14.25" hidden="false" customHeight="true" outlineLevel="0" collapsed="false">
      <c r="A81" s="190"/>
      <c r="B81" s="191"/>
      <c r="C81" s="192"/>
    </row>
    <row r="82" customFormat="false" ht="14.25" hidden="false" customHeight="true" outlineLevel="0" collapsed="false">
      <c r="A82" s="190"/>
      <c r="B82" s="191"/>
      <c r="C82" s="192"/>
    </row>
    <row r="83" customFormat="false" ht="14.25" hidden="false" customHeight="true" outlineLevel="0" collapsed="false">
      <c r="A83" s="190"/>
      <c r="B83" s="191"/>
      <c r="C83" s="192"/>
    </row>
    <row r="84" customFormat="false" ht="14.25" hidden="false" customHeight="true" outlineLevel="0" collapsed="false">
      <c r="A84" s="190"/>
      <c r="B84" s="191"/>
      <c r="C84" s="192"/>
    </row>
    <row r="85" customFormat="false" ht="14.25" hidden="false" customHeight="true" outlineLevel="0" collapsed="false">
      <c r="A85" s="190"/>
      <c r="B85" s="191"/>
      <c r="C85" s="192"/>
    </row>
    <row r="86" customFormat="false" ht="14.25" hidden="false" customHeight="true" outlineLevel="0" collapsed="false">
      <c r="A86" s="190"/>
      <c r="B86" s="191"/>
      <c r="C86" s="192"/>
    </row>
    <row r="87" customFormat="false" ht="14.25" hidden="false" customHeight="true" outlineLevel="0" collapsed="false">
      <c r="A87" s="190"/>
      <c r="B87" s="191"/>
      <c r="C87" s="192"/>
    </row>
    <row r="88" customFormat="false" ht="14.25" hidden="false" customHeight="true" outlineLevel="0" collapsed="false">
      <c r="A88" s="190"/>
      <c r="B88" s="191"/>
      <c r="C88" s="192"/>
    </row>
    <row r="89" customFormat="false" ht="14.25" hidden="false" customHeight="true" outlineLevel="0" collapsed="false">
      <c r="A89" s="190"/>
      <c r="B89" s="191"/>
      <c r="C89" s="192"/>
    </row>
    <row r="90" customFormat="false" ht="14.25" hidden="false" customHeight="true" outlineLevel="0" collapsed="false">
      <c r="A90" s="190"/>
      <c r="B90" s="191"/>
      <c r="C90" s="192"/>
    </row>
    <row r="91" customFormat="false" ht="14.25" hidden="false" customHeight="true" outlineLevel="0" collapsed="false">
      <c r="A91" s="190"/>
      <c r="B91" s="191"/>
      <c r="C91" s="192"/>
    </row>
    <row r="92" customFormat="false" ht="14.25" hidden="false" customHeight="true" outlineLevel="0" collapsed="false">
      <c r="A92" s="190"/>
      <c r="B92" s="191"/>
      <c r="C92" s="192"/>
    </row>
    <row r="93" customFormat="false" ht="14.25" hidden="false" customHeight="true" outlineLevel="0" collapsed="false">
      <c r="A93" s="190"/>
      <c r="B93" s="191"/>
      <c r="C93" s="192"/>
    </row>
    <row r="94" customFormat="false" ht="14.25" hidden="false" customHeight="true" outlineLevel="0" collapsed="false">
      <c r="A94" s="190"/>
      <c r="B94" s="191"/>
      <c r="C94" s="192"/>
    </row>
    <row r="95" customFormat="false" ht="14.25" hidden="false" customHeight="true" outlineLevel="0" collapsed="false">
      <c r="A95" s="190"/>
      <c r="B95" s="191"/>
      <c r="C95" s="192"/>
    </row>
    <row r="96" customFormat="false" ht="14.25" hidden="false" customHeight="true" outlineLevel="0" collapsed="false">
      <c r="A96" s="190"/>
      <c r="B96" s="191"/>
      <c r="C96" s="192"/>
    </row>
    <row r="97" customFormat="false" ht="14.25" hidden="false" customHeight="true" outlineLevel="0" collapsed="false">
      <c r="A97" s="190"/>
      <c r="B97" s="191"/>
      <c r="C97" s="192"/>
    </row>
    <row r="98" customFormat="false" ht="14.25" hidden="false" customHeight="true" outlineLevel="0" collapsed="false">
      <c r="A98" s="190"/>
      <c r="B98" s="191"/>
      <c r="C98" s="192"/>
    </row>
    <row r="99" customFormat="false" ht="14.25" hidden="false" customHeight="true" outlineLevel="0" collapsed="false">
      <c r="A99" s="190"/>
      <c r="B99" s="191"/>
      <c r="C99" s="192"/>
    </row>
    <row r="100" customFormat="false" ht="14.25" hidden="false" customHeight="true" outlineLevel="0" collapsed="false">
      <c r="A100" s="190"/>
      <c r="B100" s="191"/>
      <c r="C100" s="192"/>
    </row>
    <row r="101" customFormat="false" ht="14.25" hidden="false" customHeight="true" outlineLevel="0" collapsed="false">
      <c r="A101" s="190"/>
      <c r="B101" s="191"/>
      <c r="C101" s="192"/>
    </row>
    <row r="102" customFormat="false" ht="14.25" hidden="false" customHeight="true" outlineLevel="0" collapsed="false">
      <c r="A102" s="190"/>
      <c r="B102" s="191"/>
      <c r="C102" s="192"/>
    </row>
    <row r="103" customFormat="false" ht="14.25" hidden="false" customHeight="true" outlineLevel="0" collapsed="false">
      <c r="A103" s="190"/>
      <c r="B103" s="191"/>
      <c r="C103" s="192"/>
    </row>
    <row r="104" customFormat="false" ht="14.25" hidden="false" customHeight="true" outlineLevel="0" collapsed="false">
      <c r="A104" s="190"/>
      <c r="B104" s="191"/>
      <c r="C104" s="192"/>
    </row>
    <row r="105" customFormat="false" ht="14.25" hidden="false" customHeight="true" outlineLevel="0" collapsed="false">
      <c r="A105" s="190"/>
      <c r="B105" s="191"/>
      <c r="C105" s="192"/>
    </row>
    <row r="106" customFormat="false" ht="14.25" hidden="false" customHeight="true" outlineLevel="0" collapsed="false">
      <c r="A106" s="190"/>
      <c r="B106" s="191"/>
      <c r="C106" s="192"/>
    </row>
    <row r="107" customFormat="false" ht="14.25" hidden="false" customHeight="true" outlineLevel="0" collapsed="false">
      <c r="A107" s="190"/>
      <c r="B107" s="191"/>
      <c r="C107" s="192"/>
    </row>
    <row r="108" customFormat="false" ht="14.25" hidden="false" customHeight="true" outlineLevel="0" collapsed="false">
      <c r="A108" s="190"/>
      <c r="B108" s="191"/>
      <c r="C108" s="192"/>
    </row>
    <row r="109" customFormat="false" ht="14.25" hidden="false" customHeight="true" outlineLevel="0" collapsed="false">
      <c r="A109" s="190"/>
      <c r="B109" s="191"/>
      <c r="C109" s="192"/>
    </row>
    <row r="110" customFormat="false" ht="14.25" hidden="false" customHeight="true" outlineLevel="0" collapsed="false">
      <c r="A110" s="190"/>
      <c r="B110" s="191"/>
      <c r="C110" s="192"/>
    </row>
    <row r="111" customFormat="false" ht="14.25" hidden="false" customHeight="true" outlineLevel="0" collapsed="false">
      <c r="A111" s="190"/>
      <c r="B111" s="191"/>
      <c r="C111" s="192"/>
    </row>
    <row r="112" customFormat="false" ht="14.25" hidden="false" customHeight="true" outlineLevel="0" collapsed="false">
      <c r="A112" s="190"/>
      <c r="B112" s="191"/>
      <c r="C112" s="192"/>
    </row>
    <row r="113" customFormat="false" ht="14.25" hidden="false" customHeight="true" outlineLevel="0" collapsed="false">
      <c r="A113" s="190"/>
      <c r="B113" s="191"/>
      <c r="C113" s="192"/>
    </row>
    <row r="114" customFormat="false" ht="14.25" hidden="false" customHeight="true" outlineLevel="0" collapsed="false">
      <c r="A114" s="190"/>
      <c r="B114" s="191"/>
      <c r="C114" s="192"/>
    </row>
    <row r="115" customFormat="false" ht="14.25" hidden="false" customHeight="true" outlineLevel="0" collapsed="false">
      <c r="A115" s="190"/>
      <c r="B115" s="191"/>
      <c r="C115" s="192"/>
    </row>
    <row r="116" customFormat="false" ht="14.25" hidden="false" customHeight="true" outlineLevel="0" collapsed="false">
      <c r="A116" s="190"/>
      <c r="B116" s="191"/>
      <c r="C116" s="192"/>
    </row>
    <row r="117" customFormat="false" ht="14.25" hidden="false" customHeight="true" outlineLevel="0" collapsed="false">
      <c r="A117" s="190"/>
      <c r="B117" s="191"/>
      <c r="C117" s="192"/>
    </row>
    <row r="118" customFormat="false" ht="14.25" hidden="false" customHeight="true" outlineLevel="0" collapsed="false">
      <c r="A118" s="190"/>
      <c r="B118" s="191"/>
      <c r="C118" s="192"/>
    </row>
    <row r="119" customFormat="false" ht="14.25" hidden="false" customHeight="true" outlineLevel="0" collapsed="false">
      <c r="A119" s="190"/>
      <c r="B119" s="191"/>
      <c r="C119" s="192"/>
    </row>
    <row r="120" customFormat="false" ht="14.25" hidden="false" customHeight="true" outlineLevel="0" collapsed="false">
      <c r="A120" s="190"/>
      <c r="B120" s="191"/>
      <c r="C120" s="192"/>
    </row>
    <row r="121" customFormat="false" ht="14.25" hidden="false" customHeight="true" outlineLevel="0" collapsed="false">
      <c r="A121" s="190"/>
      <c r="B121" s="191"/>
      <c r="C121" s="192"/>
    </row>
    <row r="122" customFormat="false" ht="14.25" hidden="false" customHeight="true" outlineLevel="0" collapsed="false">
      <c r="A122" s="190"/>
      <c r="B122" s="191"/>
      <c r="C122" s="192"/>
    </row>
    <row r="123" customFormat="false" ht="14.25" hidden="false" customHeight="true" outlineLevel="0" collapsed="false">
      <c r="A123" s="190"/>
      <c r="B123" s="191"/>
      <c r="C123" s="192"/>
    </row>
    <row r="124" customFormat="false" ht="14.25" hidden="false" customHeight="true" outlineLevel="0" collapsed="false">
      <c r="A124" s="190"/>
      <c r="B124" s="191"/>
      <c r="C124" s="192"/>
    </row>
    <row r="125" customFormat="false" ht="14.25" hidden="false" customHeight="true" outlineLevel="0" collapsed="false">
      <c r="A125" s="190"/>
      <c r="B125" s="191"/>
      <c r="C125" s="192"/>
    </row>
    <row r="126" customFormat="false" ht="14.25" hidden="false" customHeight="true" outlineLevel="0" collapsed="false">
      <c r="A126" s="190"/>
      <c r="B126" s="191"/>
      <c r="C126" s="192"/>
    </row>
    <row r="127" customFormat="false" ht="14.25" hidden="false" customHeight="true" outlineLevel="0" collapsed="false">
      <c r="A127" s="190"/>
      <c r="B127" s="191"/>
      <c r="C127" s="192"/>
    </row>
    <row r="128" customFormat="false" ht="14.25" hidden="false" customHeight="true" outlineLevel="0" collapsed="false">
      <c r="A128" s="190"/>
      <c r="B128" s="191"/>
      <c r="C128" s="192"/>
    </row>
    <row r="129" customFormat="false" ht="14.25" hidden="false" customHeight="true" outlineLevel="0" collapsed="false">
      <c r="A129" s="190"/>
      <c r="B129" s="191"/>
      <c r="C129" s="192"/>
    </row>
    <row r="130" customFormat="false" ht="14.25" hidden="false" customHeight="true" outlineLevel="0" collapsed="false">
      <c r="A130" s="190"/>
      <c r="B130" s="191"/>
      <c r="C130" s="192"/>
    </row>
    <row r="131" customFormat="false" ht="14.25" hidden="false" customHeight="true" outlineLevel="0" collapsed="false">
      <c r="A131" s="190"/>
      <c r="B131" s="191"/>
      <c r="C131" s="192"/>
    </row>
    <row r="132" customFormat="false" ht="14.25" hidden="false" customHeight="true" outlineLevel="0" collapsed="false">
      <c r="A132" s="190"/>
      <c r="B132" s="191"/>
      <c r="C132" s="192"/>
    </row>
    <row r="133" customFormat="false" ht="14.25" hidden="false" customHeight="true" outlineLevel="0" collapsed="false">
      <c r="A133" s="190"/>
      <c r="B133" s="191"/>
      <c r="C133" s="192"/>
    </row>
    <row r="134" customFormat="false" ht="14.25" hidden="false" customHeight="true" outlineLevel="0" collapsed="false">
      <c r="A134" s="190"/>
      <c r="B134" s="191"/>
      <c r="C134" s="192"/>
    </row>
    <row r="135" customFormat="false" ht="14.25" hidden="false" customHeight="true" outlineLevel="0" collapsed="false">
      <c r="A135" s="190"/>
      <c r="B135" s="191"/>
      <c r="C135" s="192"/>
    </row>
    <row r="136" customFormat="false" ht="14.25" hidden="false" customHeight="true" outlineLevel="0" collapsed="false">
      <c r="A136" s="190"/>
      <c r="B136" s="191"/>
      <c r="C136" s="192"/>
    </row>
    <row r="137" customFormat="false" ht="14.25" hidden="false" customHeight="true" outlineLevel="0" collapsed="false">
      <c r="A137" s="190"/>
      <c r="B137" s="191"/>
      <c r="C137" s="192"/>
    </row>
    <row r="138" customFormat="false" ht="14.25" hidden="false" customHeight="true" outlineLevel="0" collapsed="false">
      <c r="A138" s="190"/>
      <c r="B138" s="191"/>
      <c r="C138" s="192"/>
    </row>
    <row r="139" customFormat="false" ht="14.25" hidden="false" customHeight="true" outlineLevel="0" collapsed="false">
      <c r="A139" s="190"/>
      <c r="B139" s="191"/>
      <c r="C139" s="192"/>
    </row>
    <row r="140" customFormat="false" ht="14.25" hidden="false" customHeight="true" outlineLevel="0" collapsed="false">
      <c r="A140" s="190"/>
      <c r="B140" s="191"/>
      <c r="C140" s="192"/>
    </row>
    <row r="141" customFormat="false" ht="14.25" hidden="false" customHeight="true" outlineLevel="0" collapsed="false">
      <c r="A141" s="190"/>
      <c r="B141" s="191"/>
      <c r="C141" s="192"/>
    </row>
    <row r="142" customFormat="false" ht="14.25" hidden="false" customHeight="true" outlineLevel="0" collapsed="false">
      <c r="A142" s="190"/>
      <c r="B142" s="191"/>
      <c r="C142" s="192"/>
    </row>
    <row r="143" customFormat="false" ht="14.25" hidden="false" customHeight="true" outlineLevel="0" collapsed="false">
      <c r="A143" s="190"/>
      <c r="B143" s="191"/>
      <c r="C143" s="192"/>
    </row>
    <row r="144" customFormat="false" ht="14.25" hidden="false" customHeight="true" outlineLevel="0" collapsed="false">
      <c r="A144" s="190"/>
      <c r="B144" s="191"/>
      <c r="C144" s="192"/>
    </row>
    <row r="145" customFormat="false" ht="14.25" hidden="false" customHeight="true" outlineLevel="0" collapsed="false">
      <c r="A145" s="190"/>
      <c r="B145" s="191"/>
      <c r="C145" s="192"/>
    </row>
    <row r="146" customFormat="false" ht="14.25" hidden="false" customHeight="true" outlineLevel="0" collapsed="false">
      <c r="A146" s="190"/>
      <c r="B146" s="191"/>
      <c r="C146" s="192"/>
    </row>
    <row r="147" customFormat="false" ht="14.25" hidden="false" customHeight="true" outlineLevel="0" collapsed="false">
      <c r="A147" s="190"/>
      <c r="B147" s="191"/>
      <c r="C147" s="192"/>
    </row>
    <row r="148" customFormat="false" ht="14.25" hidden="false" customHeight="true" outlineLevel="0" collapsed="false">
      <c r="A148" s="190"/>
      <c r="B148" s="191"/>
      <c r="C148" s="192"/>
    </row>
    <row r="149" customFormat="false" ht="14.25" hidden="false" customHeight="true" outlineLevel="0" collapsed="false">
      <c r="A149" s="190"/>
      <c r="B149" s="191"/>
      <c r="C149" s="192"/>
    </row>
    <row r="150" customFormat="false" ht="14.25" hidden="false" customHeight="true" outlineLevel="0" collapsed="false">
      <c r="A150" s="190"/>
      <c r="B150" s="191"/>
      <c r="C150" s="192"/>
    </row>
    <row r="151" customFormat="false" ht="14.25" hidden="false" customHeight="true" outlineLevel="0" collapsed="false">
      <c r="A151" s="190"/>
      <c r="B151" s="191"/>
      <c r="C151" s="192"/>
    </row>
    <row r="152" customFormat="false" ht="14.25" hidden="false" customHeight="true" outlineLevel="0" collapsed="false">
      <c r="A152" s="190"/>
      <c r="B152" s="191"/>
      <c r="C152" s="192"/>
    </row>
    <row r="153" customFormat="false" ht="14.25" hidden="false" customHeight="true" outlineLevel="0" collapsed="false">
      <c r="A153" s="190"/>
      <c r="B153" s="191"/>
      <c r="C153" s="192"/>
    </row>
    <row r="154" customFormat="false" ht="14.25" hidden="false" customHeight="true" outlineLevel="0" collapsed="false">
      <c r="A154" s="190"/>
      <c r="B154" s="191"/>
      <c r="C154" s="192"/>
    </row>
    <row r="155" customFormat="false" ht="14.25" hidden="false" customHeight="true" outlineLevel="0" collapsed="false">
      <c r="A155" s="190"/>
      <c r="B155" s="191"/>
      <c r="C155" s="192"/>
    </row>
    <row r="156" customFormat="false" ht="14.25" hidden="false" customHeight="true" outlineLevel="0" collapsed="false">
      <c r="A156" s="190"/>
      <c r="B156" s="191"/>
      <c r="C156" s="192"/>
    </row>
    <row r="157" customFormat="false" ht="14.25" hidden="false" customHeight="true" outlineLevel="0" collapsed="false">
      <c r="A157" s="190"/>
      <c r="B157" s="191"/>
      <c r="C157" s="192"/>
    </row>
    <row r="158" customFormat="false" ht="14.25" hidden="false" customHeight="true" outlineLevel="0" collapsed="false">
      <c r="A158" s="190"/>
      <c r="B158" s="191"/>
      <c r="C158" s="192"/>
    </row>
    <row r="159" customFormat="false" ht="14.25" hidden="false" customHeight="true" outlineLevel="0" collapsed="false">
      <c r="A159" s="190"/>
      <c r="B159" s="191"/>
      <c r="C159" s="192"/>
    </row>
    <row r="160" customFormat="false" ht="14.25" hidden="false" customHeight="true" outlineLevel="0" collapsed="false">
      <c r="A160" s="190"/>
      <c r="B160" s="191"/>
      <c r="C160" s="192"/>
    </row>
    <row r="161" customFormat="false" ht="14.25" hidden="false" customHeight="true" outlineLevel="0" collapsed="false">
      <c r="A161" s="190"/>
      <c r="B161" s="191"/>
      <c r="C161" s="192"/>
    </row>
    <row r="162" customFormat="false" ht="14.25" hidden="false" customHeight="true" outlineLevel="0" collapsed="false">
      <c r="A162" s="190"/>
      <c r="B162" s="191"/>
      <c r="C162" s="192"/>
    </row>
    <row r="163" customFormat="false" ht="14.25" hidden="false" customHeight="true" outlineLevel="0" collapsed="false">
      <c r="A163" s="190"/>
      <c r="B163" s="191"/>
      <c r="C163" s="192"/>
    </row>
    <row r="164" customFormat="false" ht="14.25" hidden="false" customHeight="true" outlineLevel="0" collapsed="false">
      <c r="A164" s="190"/>
      <c r="B164" s="191"/>
      <c r="C164" s="192"/>
    </row>
    <row r="165" customFormat="false" ht="14.25" hidden="false" customHeight="true" outlineLevel="0" collapsed="false">
      <c r="A165" s="190"/>
      <c r="B165" s="191"/>
      <c r="C165" s="192"/>
    </row>
    <row r="166" customFormat="false" ht="14.25" hidden="false" customHeight="true" outlineLevel="0" collapsed="false">
      <c r="A166" s="190"/>
      <c r="B166" s="191"/>
      <c r="C166" s="192"/>
    </row>
    <row r="167" customFormat="false" ht="14.25" hidden="false" customHeight="true" outlineLevel="0" collapsed="false">
      <c r="A167" s="190"/>
      <c r="B167" s="191"/>
      <c r="C167" s="192"/>
    </row>
    <row r="168" customFormat="false" ht="14.25" hidden="false" customHeight="true" outlineLevel="0" collapsed="false">
      <c r="A168" s="190"/>
      <c r="B168" s="191"/>
      <c r="C168" s="192"/>
    </row>
    <row r="169" customFormat="false" ht="14.25" hidden="false" customHeight="true" outlineLevel="0" collapsed="false">
      <c r="A169" s="190"/>
      <c r="B169" s="191"/>
      <c r="C169" s="192"/>
    </row>
    <row r="170" customFormat="false" ht="14.25" hidden="false" customHeight="true" outlineLevel="0" collapsed="false">
      <c r="A170" s="190"/>
      <c r="B170" s="191"/>
      <c r="C170" s="192"/>
    </row>
    <row r="171" customFormat="false" ht="14.25" hidden="false" customHeight="true" outlineLevel="0" collapsed="false">
      <c r="A171" s="190"/>
      <c r="B171" s="191"/>
      <c r="C171" s="192"/>
    </row>
    <row r="172" customFormat="false" ht="14.25" hidden="false" customHeight="true" outlineLevel="0" collapsed="false">
      <c r="A172" s="190"/>
      <c r="B172" s="191"/>
      <c r="C172" s="192"/>
    </row>
    <row r="173" customFormat="false" ht="14.25" hidden="false" customHeight="true" outlineLevel="0" collapsed="false">
      <c r="A173" s="190"/>
      <c r="B173" s="191"/>
      <c r="C173" s="192"/>
    </row>
    <row r="174" customFormat="false" ht="14.25" hidden="false" customHeight="true" outlineLevel="0" collapsed="false">
      <c r="A174" s="190"/>
      <c r="B174" s="191"/>
      <c r="C174" s="192"/>
    </row>
    <row r="175" customFormat="false" ht="14.25" hidden="false" customHeight="true" outlineLevel="0" collapsed="false">
      <c r="A175" s="190"/>
      <c r="B175" s="191"/>
      <c r="C175" s="192"/>
    </row>
    <row r="176" customFormat="false" ht="14.25" hidden="false" customHeight="true" outlineLevel="0" collapsed="false">
      <c r="A176" s="190"/>
      <c r="B176" s="191"/>
      <c r="C176" s="192"/>
    </row>
    <row r="177" customFormat="false" ht="14.25" hidden="false" customHeight="true" outlineLevel="0" collapsed="false">
      <c r="A177" s="190"/>
      <c r="B177" s="191"/>
      <c r="C177" s="192"/>
    </row>
    <row r="178" customFormat="false" ht="14.25" hidden="false" customHeight="true" outlineLevel="0" collapsed="false">
      <c r="A178" s="190"/>
      <c r="B178" s="191"/>
      <c r="C178" s="192"/>
    </row>
    <row r="179" customFormat="false" ht="14.25" hidden="false" customHeight="true" outlineLevel="0" collapsed="false">
      <c r="A179" s="190"/>
      <c r="B179" s="191"/>
      <c r="C179" s="192"/>
    </row>
    <row r="180" customFormat="false" ht="14.25" hidden="false" customHeight="true" outlineLevel="0" collapsed="false">
      <c r="A180" s="190"/>
      <c r="B180" s="191"/>
      <c r="C180" s="192"/>
    </row>
    <row r="181" customFormat="false" ht="14.25" hidden="false" customHeight="true" outlineLevel="0" collapsed="false">
      <c r="A181" s="190"/>
      <c r="B181" s="191"/>
      <c r="C181" s="192"/>
    </row>
    <row r="182" customFormat="false" ht="14.25" hidden="false" customHeight="true" outlineLevel="0" collapsed="false">
      <c r="A182" s="190"/>
      <c r="B182" s="191"/>
      <c r="C182" s="192"/>
    </row>
    <row r="183" customFormat="false" ht="14.25" hidden="false" customHeight="true" outlineLevel="0" collapsed="false">
      <c r="A183" s="190"/>
      <c r="B183" s="191"/>
      <c r="C183" s="192"/>
    </row>
    <row r="184" customFormat="false" ht="14.25" hidden="false" customHeight="true" outlineLevel="0" collapsed="false">
      <c r="A184" s="190"/>
      <c r="B184" s="191"/>
      <c r="C184" s="192"/>
    </row>
    <row r="185" customFormat="false" ht="14.25" hidden="false" customHeight="true" outlineLevel="0" collapsed="false">
      <c r="A185" s="190"/>
      <c r="B185" s="191"/>
      <c r="C185" s="192"/>
    </row>
    <row r="186" customFormat="false" ht="14.25" hidden="false" customHeight="true" outlineLevel="0" collapsed="false">
      <c r="A186" s="190"/>
      <c r="B186" s="191"/>
      <c r="C186" s="192"/>
    </row>
    <row r="187" customFormat="false" ht="14.25" hidden="false" customHeight="true" outlineLevel="0" collapsed="false">
      <c r="A187" s="190"/>
      <c r="B187" s="191"/>
      <c r="C187" s="192"/>
    </row>
    <row r="188" customFormat="false" ht="14.25" hidden="false" customHeight="true" outlineLevel="0" collapsed="false">
      <c r="A188" s="190"/>
      <c r="B188" s="191"/>
      <c r="C188" s="192"/>
    </row>
    <row r="189" customFormat="false" ht="14.25" hidden="false" customHeight="true" outlineLevel="0" collapsed="false">
      <c r="A189" s="190"/>
      <c r="B189" s="191"/>
      <c r="C189" s="192"/>
    </row>
    <row r="190" customFormat="false" ht="14.25" hidden="false" customHeight="true" outlineLevel="0" collapsed="false">
      <c r="A190" s="190"/>
      <c r="B190" s="191"/>
      <c r="C190" s="192"/>
    </row>
    <row r="191" customFormat="false" ht="14.25" hidden="false" customHeight="true" outlineLevel="0" collapsed="false">
      <c r="A191" s="190"/>
      <c r="B191" s="191"/>
      <c r="C191" s="192"/>
    </row>
    <row r="192" customFormat="false" ht="14.25" hidden="false" customHeight="true" outlineLevel="0" collapsed="false">
      <c r="A192" s="190"/>
      <c r="B192" s="191"/>
      <c r="C192" s="192"/>
    </row>
    <row r="193" customFormat="false" ht="14.25" hidden="false" customHeight="true" outlineLevel="0" collapsed="false">
      <c r="A193" s="190"/>
      <c r="B193" s="191"/>
      <c r="C193" s="192"/>
    </row>
    <row r="194" customFormat="false" ht="14.25" hidden="false" customHeight="true" outlineLevel="0" collapsed="false">
      <c r="A194" s="190"/>
      <c r="B194" s="191"/>
      <c r="C194" s="192"/>
    </row>
    <row r="195" customFormat="false" ht="14.25" hidden="false" customHeight="true" outlineLevel="0" collapsed="false">
      <c r="A195" s="190"/>
      <c r="B195" s="191"/>
      <c r="C195" s="192"/>
    </row>
    <row r="196" customFormat="false" ht="14.25" hidden="false" customHeight="true" outlineLevel="0" collapsed="false">
      <c r="A196" s="190"/>
      <c r="B196" s="191"/>
      <c r="C196" s="192"/>
    </row>
    <row r="197" customFormat="false" ht="14.25" hidden="false" customHeight="true" outlineLevel="0" collapsed="false">
      <c r="A197" s="190"/>
      <c r="B197" s="191"/>
      <c r="C197" s="192"/>
    </row>
    <row r="198" customFormat="false" ht="14.25" hidden="false" customHeight="true" outlineLevel="0" collapsed="false">
      <c r="A198" s="190"/>
      <c r="B198" s="191"/>
      <c r="C198" s="192"/>
    </row>
    <row r="199" customFormat="false" ht="14.25" hidden="false" customHeight="true" outlineLevel="0" collapsed="false">
      <c r="A199" s="190"/>
      <c r="B199" s="191"/>
      <c r="C199" s="192"/>
    </row>
    <row r="200" customFormat="false" ht="14.25" hidden="false" customHeight="true" outlineLevel="0" collapsed="false">
      <c r="A200" s="190"/>
      <c r="B200" s="191"/>
      <c r="C200" s="192"/>
    </row>
    <row r="201" customFormat="false" ht="14.25" hidden="false" customHeight="true" outlineLevel="0" collapsed="false">
      <c r="A201" s="190"/>
      <c r="B201" s="191"/>
      <c r="C201" s="192"/>
    </row>
    <row r="202" customFormat="false" ht="14.25" hidden="false" customHeight="true" outlineLevel="0" collapsed="false">
      <c r="A202" s="190"/>
      <c r="B202" s="191"/>
      <c r="C202" s="192"/>
    </row>
    <row r="203" customFormat="false" ht="14.25" hidden="false" customHeight="true" outlineLevel="0" collapsed="false">
      <c r="A203" s="190"/>
      <c r="B203" s="191"/>
      <c r="C203" s="192"/>
    </row>
    <row r="204" customFormat="false" ht="14.25" hidden="false" customHeight="true" outlineLevel="0" collapsed="false">
      <c r="A204" s="190"/>
      <c r="B204" s="191"/>
      <c r="C204" s="192"/>
    </row>
    <row r="205" customFormat="false" ht="14.25" hidden="false" customHeight="true" outlineLevel="0" collapsed="false">
      <c r="A205" s="190"/>
      <c r="B205" s="191"/>
      <c r="C205" s="192"/>
    </row>
    <row r="206" customFormat="false" ht="14.25" hidden="false" customHeight="true" outlineLevel="0" collapsed="false">
      <c r="A206" s="190"/>
      <c r="B206" s="191"/>
      <c r="C206" s="192"/>
    </row>
    <row r="207" customFormat="false" ht="14.25" hidden="false" customHeight="true" outlineLevel="0" collapsed="false">
      <c r="A207" s="190"/>
      <c r="B207" s="191"/>
      <c r="C207" s="192"/>
    </row>
    <row r="208" customFormat="false" ht="14.25" hidden="false" customHeight="true" outlineLevel="0" collapsed="false">
      <c r="A208" s="190"/>
      <c r="B208" s="191"/>
      <c r="C208" s="192"/>
    </row>
    <row r="209" customFormat="false" ht="14.25" hidden="false" customHeight="true" outlineLevel="0" collapsed="false">
      <c r="A209" s="190"/>
      <c r="B209" s="191"/>
      <c r="C209" s="192"/>
    </row>
    <row r="210" customFormat="false" ht="14.25" hidden="false" customHeight="true" outlineLevel="0" collapsed="false">
      <c r="A210" s="190"/>
      <c r="B210" s="191"/>
      <c r="C210" s="192"/>
    </row>
    <row r="211" customFormat="false" ht="14.25" hidden="false" customHeight="true" outlineLevel="0" collapsed="false">
      <c r="A211" s="190"/>
      <c r="B211" s="191"/>
      <c r="C211" s="192"/>
    </row>
    <row r="212" customFormat="false" ht="14.25" hidden="false" customHeight="true" outlineLevel="0" collapsed="false">
      <c r="A212" s="190"/>
      <c r="B212" s="191"/>
      <c r="C212" s="192"/>
    </row>
    <row r="213" customFormat="false" ht="14.25" hidden="false" customHeight="true" outlineLevel="0" collapsed="false">
      <c r="A213" s="190"/>
      <c r="B213" s="191"/>
      <c r="C213" s="192"/>
    </row>
    <row r="214" customFormat="false" ht="14.25" hidden="false" customHeight="true" outlineLevel="0" collapsed="false">
      <c r="A214" s="190"/>
      <c r="B214" s="191"/>
      <c r="C214" s="192"/>
    </row>
    <row r="215" customFormat="false" ht="14.25" hidden="false" customHeight="true" outlineLevel="0" collapsed="false">
      <c r="A215" s="190"/>
      <c r="B215" s="191"/>
      <c r="C215" s="192"/>
    </row>
    <row r="216" customFormat="false" ht="14.25" hidden="false" customHeight="true" outlineLevel="0" collapsed="false">
      <c r="A216" s="190"/>
      <c r="B216" s="191"/>
      <c r="C216" s="192"/>
    </row>
    <row r="217" customFormat="false" ht="14.25" hidden="false" customHeight="true" outlineLevel="0" collapsed="false">
      <c r="A217" s="190"/>
      <c r="B217" s="191"/>
      <c r="C217" s="192"/>
    </row>
    <row r="218" customFormat="false" ht="14.25" hidden="false" customHeight="true" outlineLevel="0" collapsed="false">
      <c r="A218" s="190"/>
      <c r="B218" s="191"/>
      <c r="C218" s="192"/>
    </row>
    <row r="219" customFormat="false" ht="14.25" hidden="false" customHeight="true" outlineLevel="0" collapsed="false">
      <c r="A219" s="190"/>
      <c r="B219" s="191"/>
      <c r="C219" s="192"/>
    </row>
    <row r="220" customFormat="false" ht="14.25" hidden="false" customHeight="true" outlineLevel="0" collapsed="false">
      <c r="A220" s="190"/>
      <c r="B220" s="191"/>
      <c r="C220" s="192"/>
    </row>
    <row r="221" customFormat="false" ht="14.25" hidden="false" customHeight="true" outlineLevel="0" collapsed="false">
      <c r="A221" s="190"/>
      <c r="B221" s="191"/>
      <c r="C221" s="192"/>
    </row>
    <row r="222" customFormat="false" ht="14.25" hidden="false" customHeight="true" outlineLevel="0" collapsed="false">
      <c r="A222" s="190"/>
      <c r="B222" s="191"/>
      <c r="C222" s="192"/>
    </row>
    <row r="223" customFormat="false" ht="14.25" hidden="false" customHeight="true" outlineLevel="0" collapsed="false">
      <c r="A223" s="190"/>
      <c r="B223" s="191"/>
      <c r="C223" s="192"/>
    </row>
    <row r="224" customFormat="false" ht="14.25" hidden="false" customHeight="true" outlineLevel="0" collapsed="false">
      <c r="A224" s="190"/>
      <c r="B224" s="191"/>
      <c r="C224" s="192"/>
    </row>
    <row r="225" customFormat="false" ht="14.25" hidden="false" customHeight="true" outlineLevel="0" collapsed="false">
      <c r="A225" s="190"/>
      <c r="B225" s="191"/>
      <c r="C225" s="192"/>
    </row>
    <row r="226" customFormat="false" ht="14.25" hidden="false" customHeight="true" outlineLevel="0" collapsed="false">
      <c r="A226" s="190"/>
      <c r="B226" s="191"/>
      <c r="C226" s="192"/>
    </row>
    <row r="227" customFormat="false" ht="14.25" hidden="false" customHeight="true" outlineLevel="0" collapsed="false">
      <c r="A227" s="190"/>
      <c r="B227" s="191"/>
      <c r="C227" s="192"/>
    </row>
    <row r="228" customFormat="false" ht="14.25" hidden="false" customHeight="true" outlineLevel="0" collapsed="false">
      <c r="A228" s="190"/>
      <c r="B228" s="191"/>
      <c r="C228" s="192"/>
    </row>
    <row r="229" customFormat="false" ht="14.25" hidden="false" customHeight="true" outlineLevel="0" collapsed="false">
      <c r="A229" s="190"/>
      <c r="B229" s="191"/>
      <c r="C229" s="192"/>
    </row>
    <row r="230" customFormat="false" ht="14.25" hidden="false" customHeight="true" outlineLevel="0" collapsed="false">
      <c r="A230" s="190"/>
      <c r="B230" s="191"/>
      <c r="C230" s="192"/>
    </row>
    <row r="231" customFormat="false" ht="14.25" hidden="false" customHeight="true" outlineLevel="0" collapsed="false">
      <c r="A231" s="190"/>
      <c r="B231" s="191"/>
      <c r="C231" s="192"/>
    </row>
    <row r="232" customFormat="false" ht="14.25" hidden="false" customHeight="true" outlineLevel="0" collapsed="false">
      <c r="A232" s="190"/>
      <c r="B232" s="191"/>
      <c r="C232" s="192"/>
    </row>
    <row r="233" customFormat="false" ht="14.25" hidden="false" customHeight="true" outlineLevel="0" collapsed="false">
      <c r="A233" s="190"/>
      <c r="B233" s="191"/>
      <c r="C233" s="192"/>
    </row>
    <row r="234" customFormat="false" ht="14.25" hidden="false" customHeight="true" outlineLevel="0" collapsed="false">
      <c r="A234" s="190"/>
      <c r="B234" s="191"/>
      <c r="C234" s="192"/>
    </row>
    <row r="235" customFormat="false" ht="14.25" hidden="false" customHeight="true" outlineLevel="0" collapsed="false">
      <c r="A235" s="190"/>
      <c r="B235" s="191"/>
      <c r="C235" s="192"/>
    </row>
    <row r="236" customFormat="false" ht="14.25" hidden="false" customHeight="true" outlineLevel="0" collapsed="false">
      <c r="A236" s="190"/>
      <c r="B236" s="191"/>
      <c r="C236" s="192"/>
    </row>
    <row r="237" customFormat="false" ht="14.25" hidden="false" customHeight="true" outlineLevel="0" collapsed="false">
      <c r="A237" s="190"/>
      <c r="B237" s="191"/>
      <c r="C237" s="192"/>
    </row>
    <row r="238" customFormat="false" ht="14.25" hidden="false" customHeight="true" outlineLevel="0" collapsed="false">
      <c r="A238" s="190"/>
      <c r="B238" s="191"/>
      <c r="C238" s="192"/>
    </row>
    <row r="239" customFormat="false" ht="14.25" hidden="false" customHeight="true" outlineLevel="0" collapsed="false">
      <c r="A239" s="190"/>
      <c r="B239" s="191"/>
      <c r="C239" s="192"/>
    </row>
    <row r="240" customFormat="false" ht="14.25" hidden="false" customHeight="true" outlineLevel="0" collapsed="false">
      <c r="A240" s="190"/>
      <c r="B240" s="191"/>
      <c r="C240" s="192"/>
    </row>
    <row r="241" customFormat="false" ht="14.25" hidden="false" customHeight="true" outlineLevel="0" collapsed="false">
      <c r="A241" s="190"/>
      <c r="B241" s="191"/>
      <c r="C241" s="192"/>
    </row>
    <row r="242" customFormat="false" ht="14.25" hidden="false" customHeight="true" outlineLevel="0" collapsed="false">
      <c r="A242" s="190"/>
      <c r="B242" s="191"/>
      <c r="C242" s="192"/>
    </row>
    <row r="243" customFormat="false" ht="14.25" hidden="false" customHeight="true" outlineLevel="0" collapsed="false">
      <c r="A243" s="190"/>
      <c r="B243" s="191"/>
      <c r="C243" s="192"/>
    </row>
    <row r="244" customFormat="false" ht="14.25" hidden="false" customHeight="true" outlineLevel="0" collapsed="false">
      <c r="A244" s="190"/>
      <c r="B244" s="191"/>
      <c r="C244" s="192"/>
    </row>
    <row r="245" customFormat="false" ht="14.25" hidden="false" customHeight="true" outlineLevel="0" collapsed="false">
      <c r="A245" s="190"/>
      <c r="B245" s="191"/>
      <c r="C245" s="192"/>
    </row>
    <row r="246" customFormat="false" ht="14.25" hidden="false" customHeight="true" outlineLevel="0" collapsed="false">
      <c r="A246" s="190"/>
      <c r="B246" s="191"/>
      <c r="C246" s="192"/>
    </row>
    <row r="247" customFormat="false" ht="14.25" hidden="false" customHeight="true" outlineLevel="0" collapsed="false">
      <c r="A247" s="190"/>
      <c r="B247" s="191"/>
      <c r="C247" s="192"/>
    </row>
    <row r="248" customFormat="false" ht="14.25" hidden="false" customHeight="true" outlineLevel="0" collapsed="false">
      <c r="A248" s="190"/>
      <c r="B248" s="191"/>
      <c r="C248" s="192"/>
    </row>
    <row r="249" customFormat="false" ht="14.25" hidden="false" customHeight="true" outlineLevel="0" collapsed="false">
      <c r="A249" s="190"/>
      <c r="B249" s="191"/>
      <c r="C249" s="192"/>
    </row>
    <row r="250" customFormat="false" ht="14.25" hidden="false" customHeight="true" outlineLevel="0" collapsed="false">
      <c r="A250" s="190"/>
      <c r="B250" s="191"/>
      <c r="C250" s="192"/>
    </row>
    <row r="251" customFormat="false" ht="14.25" hidden="false" customHeight="true" outlineLevel="0" collapsed="false">
      <c r="A251" s="190"/>
      <c r="B251" s="191"/>
      <c r="C251" s="192"/>
    </row>
    <row r="252" customFormat="false" ht="14.25" hidden="false" customHeight="true" outlineLevel="0" collapsed="false">
      <c r="A252" s="190"/>
      <c r="B252" s="191"/>
      <c r="C252" s="192"/>
    </row>
    <row r="253" customFormat="false" ht="14.25" hidden="false" customHeight="true" outlineLevel="0" collapsed="false">
      <c r="A253" s="190"/>
      <c r="B253" s="191"/>
      <c r="C253" s="192"/>
    </row>
    <row r="254" customFormat="false" ht="14.25" hidden="false" customHeight="true" outlineLevel="0" collapsed="false">
      <c r="A254" s="190"/>
      <c r="B254" s="191"/>
      <c r="C254" s="192"/>
    </row>
    <row r="255" customFormat="false" ht="14.25" hidden="false" customHeight="true" outlineLevel="0" collapsed="false">
      <c r="A255" s="190"/>
      <c r="B255" s="191"/>
      <c r="C255" s="192"/>
    </row>
    <row r="256" customFormat="false" ht="14.25" hidden="false" customHeight="true" outlineLevel="0" collapsed="false">
      <c r="A256" s="190"/>
      <c r="B256" s="191"/>
      <c r="C256" s="192"/>
    </row>
    <row r="257" customFormat="false" ht="14.25" hidden="false" customHeight="true" outlineLevel="0" collapsed="false">
      <c r="A257" s="190"/>
      <c r="B257" s="191"/>
      <c r="C257" s="192"/>
    </row>
    <row r="258" customFormat="false" ht="14.25" hidden="false" customHeight="true" outlineLevel="0" collapsed="false">
      <c r="A258" s="190"/>
      <c r="B258" s="191"/>
      <c r="C258" s="192"/>
    </row>
    <row r="259" customFormat="false" ht="14.25" hidden="false" customHeight="true" outlineLevel="0" collapsed="false">
      <c r="A259" s="190"/>
      <c r="B259" s="191"/>
      <c r="C259" s="192"/>
    </row>
    <row r="260" customFormat="false" ht="14.25" hidden="false" customHeight="true" outlineLevel="0" collapsed="false">
      <c r="A260" s="190"/>
      <c r="B260" s="191"/>
      <c r="C260" s="192"/>
    </row>
    <row r="261" customFormat="false" ht="14.25" hidden="false" customHeight="true" outlineLevel="0" collapsed="false">
      <c r="A261" s="190"/>
      <c r="B261" s="191"/>
      <c r="C261" s="192"/>
    </row>
    <row r="262" customFormat="false" ht="14.25" hidden="false" customHeight="true" outlineLevel="0" collapsed="false">
      <c r="A262" s="190"/>
      <c r="B262" s="191"/>
      <c r="C262" s="192"/>
    </row>
    <row r="263" customFormat="false" ht="14.25" hidden="false" customHeight="true" outlineLevel="0" collapsed="false">
      <c r="A263" s="190"/>
      <c r="B263" s="191"/>
      <c r="C263" s="192"/>
    </row>
    <row r="264" customFormat="false" ht="14.25" hidden="false" customHeight="true" outlineLevel="0" collapsed="false">
      <c r="A264" s="190"/>
      <c r="B264" s="191"/>
      <c r="C264" s="192"/>
    </row>
    <row r="265" customFormat="false" ht="14.25" hidden="false" customHeight="true" outlineLevel="0" collapsed="false">
      <c r="A265" s="190"/>
      <c r="B265" s="191"/>
      <c r="C265" s="192"/>
    </row>
    <row r="266" customFormat="false" ht="14.25" hidden="false" customHeight="true" outlineLevel="0" collapsed="false">
      <c r="A266" s="190"/>
      <c r="B266" s="191"/>
      <c r="C266" s="192"/>
    </row>
    <row r="267" customFormat="false" ht="14.25" hidden="false" customHeight="true" outlineLevel="0" collapsed="false">
      <c r="A267" s="190"/>
      <c r="B267" s="191"/>
      <c r="C267" s="192"/>
    </row>
    <row r="268" customFormat="false" ht="14.25" hidden="false" customHeight="true" outlineLevel="0" collapsed="false">
      <c r="A268" s="190"/>
      <c r="B268" s="191"/>
      <c r="C268" s="192"/>
    </row>
    <row r="269" customFormat="false" ht="14.25" hidden="false" customHeight="true" outlineLevel="0" collapsed="false">
      <c r="A269" s="190"/>
      <c r="B269" s="191"/>
      <c r="C269" s="192"/>
    </row>
    <row r="270" customFormat="false" ht="14.25" hidden="false" customHeight="true" outlineLevel="0" collapsed="false">
      <c r="A270" s="190"/>
      <c r="B270" s="191"/>
      <c r="C270" s="192"/>
    </row>
    <row r="271" customFormat="false" ht="14.25" hidden="false" customHeight="true" outlineLevel="0" collapsed="false">
      <c r="A271" s="190"/>
      <c r="B271" s="191"/>
      <c r="C271" s="192"/>
    </row>
    <row r="272" customFormat="false" ht="14.25" hidden="false" customHeight="true" outlineLevel="0" collapsed="false">
      <c r="A272" s="190"/>
      <c r="B272" s="191"/>
      <c r="C272" s="192"/>
    </row>
    <row r="273" customFormat="false" ht="14.25" hidden="false" customHeight="true" outlineLevel="0" collapsed="false">
      <c r="A273" s="190"/>
      <c r="B273" s="191"/>
      <c r="C273" s="192"/>
    </row>
    <row r="274" customFormat="false" ht="14.25" hidden="false" customHeight="true" outlineLevel="0" collapsed="false">
      <c r="A274" s="190"/>
      <c r="B274" s="191"/>
      <c r="C274" s="192"/>
    </row>
    <row r="275" customFormat="false" ht="14.25" hidden="false" customHeight="true" outlineLevel="0" collapsed="false">
      <c r="A275" s="190"/>
      <c r="B275" s="191"/>
      <c r="C275" s="192"/>
    </row>
    <row r="276" customFormat="false" ht="14.25" hidden="false" customHeight="true" outlineLevel="0" collapsed="false">
      <c r="A276" s="190"/>
      <c r="B276" s="191"/>
      <c r="C276" s="192"/>
    </row>
    <row r="277" customFormat="false" ht="14.25" hidden="false" customHeight="true" outlineLevel="0" collapsed="false">
      <c r="A277" s="190"/>
      <c r="B277" s="191"/>
      <c r="C277" s="192"/>
    </row>
    <row r="278" customFormat="false" ht="14.25" hidden="false" customHeight="true" outlineLevel="0" collapsed="false">
      <c r="A278" s="190"/>
      <c r="B278" s="191"/>
      <c r="C278" s="192"/>
    </row>
    <row r="279" customFormat="false" ht="14.25" hidden="false" customHeight="true" outlineLevel="0" collapsed="false">
      <c r="A279" s="190"/>
      <c r="B279" s="191"/>
      <c r="C279" s="192"/>
    </row>
    <row r="280" customFormat="false" ht="14.25" hidden="false" customHeight="true" outlineLevel="0" collapsed="false">
      <c r="A280" s="190"/>
      <c r="B280" s="191"/>
      <c r="C280" s="192"/>
    </row>
    <row r="281" customFormat="false" ht="14.25" hidden="false" customHeight="true" outlineLevel="0" collapsed="false">
      <c r="A281" s="190"/>
      <c r="B281" s="191"/>
      <c r="C281" s="192"/>
    </row>
    <row r="282" customFormat="false" ht="14.25" hidden="false" customHeight="true" outlineLevel="0" collapsed="false">
      <c r="A282" s="190"/>
      <c r="B282" s="191"/>
      <c r="C282" s="192"/>
    </row>
    <row r="283" customFormat="false" ht="14.25" hidden="false" customHeight="true" outlineLevel="0" collapsed="false">
      <c r="A283" s="190"/>
      <c r="B283" s="191"/>
      <c r="C283" s="192"/>
    </row>
    <row r="284" customFormat="false" ht="14.25" hidden="false" customHeight="true" outlineLevel="0" collapsed="false">
      <c r="A284" s="190"/>
      <c r="B284" s="191"/>
      <c r="C284" s="192"/>
    </row>
    <row r="285" customFormat="false" ht="14.25" hidden="false" customHeight="true" outlineLevel="0" collapsed="false">
      <c r="A285" s="190"/>
      <c r="B285" s="191"/>
      <c r="C285" s="192"/>
    </row>
    <row r="286" customFormat="false" ht="14.25" hidden="false" customHeight="true" outlineLevel="0" collapsed="false">
      <c r="A286" s="190"/>
      <c r="B286" s="191"/>
      <c r="C286" s="192"/>
    </row>
    <row r="287" customFormat="false" ht="14.25" hidden="false" customHeight="true" outlineLevel="0" collapsed="false">
      <c r="A287" s="190"/>
      <c r="B287" s="191"/>
      <c r="C287" s="192"/>
    </row>
    <row r="288" customFormat="false" ht="14.25" hidden="false" customHeight="true" outlineLevel="0" collapsed="false">
      <c r="A288" s="190"/>
      <c r="B288" s="191"/>
      <c r="C288" s="192"/>
    </row>
    <row r="289" customFormat="false" ht="14.25" hidden="false" customHeight="true" outlineLevel="0" collapsed="false">
      <c r="A289" s="190"/>
      <c r="B289" s="191"/>
      <c r="C289" s="192"/>
    </row>
    <row r="290" customFormat="false" ht="14.25" hidden="false" customHeight="true" outlineLevel="0" collapsed="false">
      <c r="A290" s="190"/>
      <c r="B290" s="191"/>
      <c r="C290" s="192"/>
    </row>
    <row r="291" customFormat="false" ht="14.25" hidden="false" customHeight="true" outlineLevel="0" collapsed="false">
      <c r="A291" s="190"/>
      <c r="B291" s="191"/>
      <c r="C291" s="192"/>
    </row>
    <row r="292" customFormat="false" ht="14.25" hidden="false" customHeight="true" outlineLevel="0" collapsed="false">
      <c r="A292" s="190"/>
      <c r="B292" s="191"/>
      <c r="C292" s="192"/>
    </row>
    <row r="293" customFormat="false" ht="14.25" hidden="false" customHeight="true" outlineLevel="0" collapsed="false">
      <c r="A293" s="190"/>
      <c r="B293" s="191"/>
      <c r="C293" s="192"/>
    </row>
    <row r="294" customFormat="false" ht="14.25" hidden="false" customHeight="true" outlineLevel="0" collapsed="false">
      <c r="A294" s="190"/>
      <c r="B294" s="191"/>
      <c r="C294" s="192"/>
    </row>
    <row r="295" customFormat="false" ht="14.25" hidden="false" customHeight="true" outlineLevel="0" collapsed="false">
      <c r="A295" s="190"/>
      <c r="B295" s="191"/>
      <c r="C295" s="192"/>
    </row>
    <row r="296" customFormat="false" ht="14.25" hidden="false" customHeight="true" outlineLevel="0" collapsed="false">
      <c r="A296" s="190"/>
      <c r="B296" s="191"/>
      <c r="C296" s="192"/>
    </row>
    <row r="297" customFormat="false" ht="14.25" hidden="false" customHeight="true" outlineLevel="0" collapsed="false">
      <c r="A297" s="190"/>
      <c r="B297" s="191"/>
      <c r="C297" s="192"/>
    </row>
    <row r="298" customFormat="false" ht="14.25" hidden="false" customHeight="true" outlineLevel="0" collapsed="false">
      <c r="A298" s="190"/>
      <c r="B298" s="191"/>
      <c r="C298" s="192"/>
    </row>
    <row r="299" customFormat="false" ht="14.25" hidden="false" customHeight="true" outlineLevel="0" collapsed="false">
      <c r="A299" s="190"/>
      <c r="B299" s="191"/>
      <c r="C299" s="192"/>
    </row>
    <row r="300" customFormat="false" ht="14.25" hidden="false" customHeight="true" outlineLevel="0" collapsed="false">
      <c r="A300" s="190"/>
      <c r="B300" s="191"/>
      <c r="C300" s="192"/>
    </row>
    <row r="301" customFormat="false" ht="14.25" hidden="false" customHeight="true" outlineLevel="0" collapsed="false">
      <c r="A301" s="190"/>
      <c r="B301" s="191"/>
      <c r="C301" s="192"/>
    </row>
    <row r="302" customFormat="false" ht="14.25" hidden="false" customHeight="true" outlineLevel="0" collapsed="false">
      <c r="A302" s="190"/>
      <c r="B302" s="191"/>
      <c r="C302" s="192"/>
    </row>
  </sheetData>
  <mergeCells count="1">
    <mergeCell ref="A1:C1"/>
  </mergeCells>
  <printOptions headings="false" gridLines="false" gridLinesSet="true" horizontalCentered="false" verticalCentered="false"/>
  <pageMargins left="0.25" right="0.25" top="0.3" bottom="0.4" header="0.511811023622047" footer="0.170138888888889"/>
  <pageSetup paperSize="1" scale="100" fitToWidth="1" fitToHeight="0"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95"/>
    <col collapsed="false" customWidth="true" hidden="false" outlineLevel="0" max="3" min="3" style="1" width="10"/>
    <col collapsed="false" customWidth="true" hidden="false" outlineLevel="0" max="4" min="4" style="1" width="12"/>
    <col collapsed="false" customWidth="true" hidden="false" outlineLevel="0" max="5" min="5" style="1" width="13"/>
    <col collapsed="false" customWidth="true" hidden="false" outlineLevel="0" max="6" min="6" style="1" width="11"/>
  </cols>
  <sheetData>
    <row r="1" customFormat="false" ht="23.25" hidden="false" customHeight="true" outlineLevel="0" collapsed="false">
      <c r="A1" s="194" t="s">
        <v>646</v>
      </c>
      <c r="B1" s="194"/>
      <c r="C1" s="194"/>
      <c r="D1" s="194"/>
      <c r="E1" s="194"/>
      <c r="F1" s="194"/>
    </row>
    <row r="2" customFormat="false" ht="15" hidden="false" customHeight="true" outlineLevel="0" collapsed="false">
      <c r="A2" s="148" t="s">
        <v>647</v>
      </c>
      <c r="C2" s="195" t="n">
        <f aca="false">COUNTIF(F5:F500,"OVERDUE")</f>
        <v>0</v>
      </c>
    </row>
    <row r="4" customFormat="false" ht="27.75" hidden="false" customHeight="true" outlineLevel="0" collapsed="false">
      <c r="A4" s="150" t="s">
        <v>648</v>
      </c>
      <c r="B4" s="150" t="s">
        <v>649</v>
      </c>
      <c r="C4" s="150" t="s">
        <v>650</v>
      </c>
      <c r="D4" s="150" t="s">
        <v>651</v>
      </c>
      <c r="E4" s="150" t="s">
        <v>652</v>
      </c>
      <c r="F4" s="150" t="s">
        <v>461</v>
      </c>
    </row>
    <row r="5" customFormat="false" ht="15" hidden="false" customHeight="true" outlineLevel="0" collapsed="false">
      <c r="A5" s="154" t="s">
        <v>554</v>
      </c>
      <c r="B5" s="196" t="s">
        <v>653</v>
      </c>
      <c r="C5" s="154"/>
      <c r="D5" s="154"/>
      <c r="E5" s="197" t="n">
        <f aca="false">IFERROR(INDEX(Journal!$A:$A,MATCH($A5,Journal!$B:$B,0)),"")</f>
        <v>46295</v>
      </c>
      <c r="F5" s="154" t="str">
        <f aca="true">IF(C5="Y","Done",IF(AND(E5&lt;&gt;"",TODAY()&gt;E5),"OVERDUE","Pending"))</f>
        <v>Pending</v>
      </c>
    </row>
    <row r="6" customFormat="false" ht="15" hidden="false" customHeight="true" outlineLevel="0" collapsed="false">
      <c r="A6" s="154" t="s">
        <v>554</v>
      </c>
      <c r="B6" s="196" t="s">
        <v>654</v>
      </c>
      <c r="C6" s="154"/>
      <c r="D6" s="154"/>
      <c r="E6" s="197" t="n">
        <f aca="false">IFERROR(INDEX(Journal!$A:$A,MATCH($A6,Journal!$B:$B,0)),"")</f>
        <v>46295</v>
      </c>
      <c r="F6" s="154" t="str">
        <f aca="true">IF(C6="Y","Done",IF(AND(E6&lt;&gt;"",TODAY()&gt;E6),"OVERDUE","Pending"))</f>
        <v>Pending</v>
      </c>
    </row>
    <row r="7" customFormat="false" ht="15" hidden="false" customHeight="true" outlineLevel="0" collapsed="false">
      <c r="A7" s="154" t="s">
        <v>554</v>
      </c>
      <c r="B7" s="196" t="s">
        <v>655</v>
      </c>
      <c r="C7" s="154"/>
      <c r="D7" s="154"/>
      <c r="E7" s="197" t="n">
        <f aca="false">IFERROR(INDEX(Journal!$A:$A,MATCH($A7,Journal!$B:$B,0)),"")</f>
        <v>46295</v>
      </c>
      <c r="F7" s="154" t="str">
        <f aca="true">IF(C7="Y","Done",IF(AND(E7&lt;&gt;"",TODAY()&gt;E7),"OVERDUE","Pending"))</f>
        <v>Pending</v>
      </c>
    </row>
    <row r="8" customFormat="false" ht="34.5" hidden="false" customHeight="true" outlineLevel="0" collapsed="false">
      <c r="A8" s="154" t="s">
        <v>554</v>
      </c>
      <c r="B8" s="196" t="s">
        <v>656</v>
      </c>
      <c r="C8" s="154"/>
      <c r="D8" s="154"/>
      <c r="E8" s="197" t="n">
        <f aca="false">IFERROR(INDEX(Journal!$A:$A,MATCH($A8,Journal!$B:$B,0)),"")</f>
        <v>46295</v>
      </c>
      <c r="F8" s="154" t="str">
        <f aca="true">IF(C8="Y","Done",IF(AND(E8&lt;&gt;"",TODAY()&gt;E8),"OVERDUE","Pending"))</f>
        <v>Pending</v>
      </c>
    </row>
    <row r="9" customFormat="false" ht="15" hidden="false" customHeight="true" outlineLevel="0" collapsed="false">
      <c r="A9" s="154" t="s">
        <v>554</v>
      </c>
      <c r="B9" s="196" t="s">
        <v>657</v>
      </c>
      <c r="C9" s="154"/>
      <c r="D9" s="154"/>
      <c r="E9" s="197" t="n">
        <f aca="false">IFERROR(INDEX(Journal!$A:$A,MATCH($A9,Journal!$B:$B,0)),"")</f>
        <v>46295</v>
      </c>
      <c r="F9" s="154" t="str">
        <f aca="true">IF(C9="Y","Done",IF(AND(E9&lt;&gt;"",TODAY()&gt;E9),"OVERDUE","Pending"))</f>
        <v>Pending</v>
      </c>
    </row>
    <row r="10" customFormat="false" ht="15" hidden="false" customHeight="true" outlineLevel="0" collapsed="false">
      <c r="A10" s="154" t="s">
        <v>554</v>
      </c>
      <c r="B10" s="196" t="s">
        <v>658</v>
      </c>
      <c r="C10" s="154"/>
      <c r="D10" s="154"/>
      <c r="E10" s="197" t="n">
        <f aca="false">IFERROR(INDEX(Journal!$A:$A,MATCH($A10,Journal!$B:$B,0)),"")</f>
        <v>46295</v>
      </c>
      <c r="F10" s="154" t="str">
        <f aca="true">IF(C10="Y","Done",IF(AND(E10&lt;&gt;"",TODAY()&gt;E10),"OVERDUE","Pending"))</f>
        <v>Pending</v>
      </c>
    </row>
    <row r="11" customFormat="false" ht="15" hidden="false" customHeight="true" outlineLevel="0" collapsed="false">
      <c r="A11" s="154" t="s">
        <v>554</v>
      </c>
      <c r="B11" s="196" t="s">
        <v>659</v>
      </c>
      <c r="C11" s="154"/>
      <c r="D11" s="154"/>
      <c r="E11" s="197" t="n">
        <f aca="false">IFERROR(INDEX(Journal!$A:$A,MATCH($A11,Journal!$B:$B,0)),"")</f>
        <v>46295</v>
      </c>
      <c r="F11" s="154" t="str">
        <f aca="true">IF(C11="Y","Done",IF(AND(E11&lt;&gt;"",TODAY()&gt;E11),"OVERDUE","Pending"))</f>
        <v>Pending</v>
      </c>
    </row>
    <row r="12" customFormat="false" ht="23.25" hidden="false" customHeight="true" outlineLevel="0" collapsed="false">
      <c r="A12" s="154" t="s">
        <v>558</v>
      </c>
      <c r="B12" s="196" t="s">
        <v>660</v>
      </c>
      <c r="C12" s="154"/>
      <c r="D12" s="154"/>
      <c r="E12" s="197" t="n">
        <f aca="false">IFERROR(INDEX(Journal!$A:$A,MATCH($A12,Journal!$B:$B,0)),"")</f>
        <v>46320</v>
      </c>
      <c r="F12" s="154" t="str">
        <f aca="true">IF(C12="Y","Done",IF(AND(E12&lt;&gt;"",TODAY()&gt;E12),"OVERDUE","Pending"))</f>
        <v>Pending</v>
      </c>
    </row>
    <row r="13" customFormat="false" ht="15" hidden="false" customHeight="true" outlineLevel="0" collapsed="false">
      <c r="A13" s="154" t="s">
        <v>558</v>
      </c>
      <c r="B13" s="196" t="s">
        <v>661</v>
      </c>
      <c r="C13" s="154"/>
      <c r="D13" s="154"/>
      <c r="E13" s="197" t="n">
        <f aca="false">IFERROR(INDEX(Journal!$A:$A,MATCH($A13,Journal!$B:$B,0)),"")</f>
        <v>46320</v>
      </c>
      <c r="F13" s="154" t="str">
        <f aca="true">IF(C13="Y","Done",IF(AND(E13&lt;&gt;"",TODAY()&gt;E13),"OVERDUE","Pending"))</f>
        <v>Pending</v>
      </c>
    </row>
    <row r="14" customFormat="false" ht="23.25" hidden="false" customHeight="true" outlineLevel="0" collapsed="false">
      <c r="A14" s="154" t="s">
        <v>558</v>
      </c>
      <c r="B14" s="196" t="s">
        <v>662</v>
      </c>
      <c r="C14" s="154"/>
      <c r="D14" s="154"/>
      <c r="E14" s="197" t="n">
        <f aca="false">IFERROR(INDEX(Journal!$A:$A,MATCH($A14,Journal!$B:$B,0)),"")</f>
        <v>46320</v>
      </c>
      <c r="F14" s="154" t="str">
        <f aca="true">IF(C14="Y","Done",IF(AND(E14&lt;&gt;"",TODAY()&gt;E14),"OVERDUE","Pending"))</f>
        <v>Pending</v>
      </c>
    </row>
    <row r="15" customFormat="false" ht="34.5" hidden="false" customHeight="true" outlineLevel="0" collapsed="false">
      <c r="A15" s="154" t="s">
        <v>558</v>
      </c>
      <c r="B15" s="196" t="s">
        <v>656</v>
      </c>
      <c r="C15" s="154"/>
      <c r="D15" s="154"/>
      <c r="E15" s="197" t="n">
        <f aca="false">IFERROR(INDEX(Journal!$A:$A,MATCH($A15,Journal!$B:$B,0)),"")</f>
        <v>46320</v>
      </c>
      <c r="F15" s="154" t="str">
        <f aca="true">IF(C15="Y","Done",IF(AND(E15&lt;&gt;"",TODAY()&gt;E15),"OVERDUE","Pending"))</f>
        <v>Pending</v>
      </c>
    </row>
    <row r="16" customFormat="false" ht="15" hidden="false" customHeight="true" outlineLevel="0" collapsed="false">
      <c r="A16" s="154" t="s">
        <v>558</v>
      </c>
      <c r="B16" s="196" t="s">
        <v>657</v>
      </c>
      <c r="C16" s="154"/>
      <c r="D16" s="154"/>
      <c r="E16" s="197" t="n">
        <f aca="false">IFERROR(INDEX(Journal!$A:$A,MATCH($A16,Journal!$B:$B,0)),"")</f>
        <v>46320</v>
      </c>
      <c r="F16" s="154" t="str">
        <f aca="true">IF(C16="Y","Done",IF(AND(E16&lt;&gt;"",TODAY()&gt;E16),"OVERDUE","Pending"))</f>
        <v>Pending</v>
      </c>
    </row>
    <row r="17" customFormat="false" ht="15" hidden="false" customHeight="true" outlineLevel="0" collapsed="false">
      <c r="A17" s="154" t="s">
        <v>558</v>
      </c>
      <c r="B17" s="196" t="s">
        <v>658</v>
      </c>
      <c r="C17" s="154"/>
      <c r="D17" s="154"/>
      <c r="E17" s="197" t="n">
        <f aca="false">IFERROR(INDEX(Journal!$A:$A,MATCH($A17,Journal!$B:$B,0)),"")</f>
        <v>46320</v>
      </c>
      <c r="F17" s="154" t="str">
        <f aca="true">IF(C17="Y","Done",IF(AND(E17&lt;&gt;"",TODAY()&gt;E17),"OVERDUE","Pending"))</f>
        <v>Pending</v>
      </c>
    </row>
    <row r="18" customFormat="false" ht="15" hidden="false" customHeight="true" outlineLevel="0" collapsed="false">
      <c r="A18" s="154" t="s">
        <v>558</v>
      </c>
      <c r="B18" s="196" t="s">
        <v>659</v>
      </c>
      <c r="C18" s="154"/>
      <c r="D18" s="154"/>
      <c r="E18" s="197" t="n">
        <f aca="false">IFERROR(INDEX(Journal!$A:$A,MATCH($A18,Journal!$B:$B,0)),"")</f>
        <v>46320</v>
      </c>
      <c r="F18" s="154" t="str">
        <f aca="true">IF(C18="Y","Done",IF(AND(E18&lt;&gt;"",TODAY()&gt;E18),"OVERDUE","Pending"))</f>
        <v>Pending</v>
      </c>
    </row>
    <row r="19" customFormat="false" ht="15" hidden="false" customHeight="true" outlineLevel="0" collapsed="false">
      <c r="A19" s="154" t="s">
        <v>562</v>
      </c>
      <c r="B19" s="196" t="s">
        <v>653</v>
      </c>
      <c r="C19" s="154"/>
      <c r="D19" s="154"/>
      <c r="E19" s="197" t="n">
        <f aca="false">IFERROR(INDEX(Journal!$A:$A,MATCH($A19,Journal!$B:$B,0)),"")</f>
        <v>46387</v>
      </c>
      <c r="F19" s="154" t="str">
        <f aca="true">IF(C19="Y","Done",IF(AND(E19&lt;&gt;"",TODAY()&gt;E19),"OVERDUE","Pending"))</f>
        <v>Pending</v>
      </c>
    </row>
    <row r="20" customFormat="false" ht="15" hidden="false" customHeight="true" outlineLevel="0" collapsed="false">
      <c r="A20" s="154" t="s">
        <v>562</v>
      </c>
      <c r="B20" s="196" t="s">
        <v>654</v>
      </c>
      <c r="C20" s="154"/>
      <c r="D20" s="154"/>
      <c r="E20" s="197" t="n">
        <f aca="false">IFERROR(INDEX(Journal!$A:$A,MATCH($A20,Journal!$B:$B,0)),"")</f>
        <v>46387</v>
      </c>
      <c r="F20" s="154" t="str">
        <f aca="true">IF(C20="Y","Done",IF(AND(E20&lt;&gt;"",TODAY()&gt;E20),"OVERDUE","Pending"))</f>
        <v>Pending</v>
      </c>
    </row>
    <row r="21" customFormat="false" ht="15" hidden="false" customHeight="true" outlineLevel="0" collapsed="false">
      <c r="A21" s="154" t="s">
        <v>562</v>
      </c>
      <c r="B21" s="196" t="s">
        <v>655</v>
      </c>
      <c r="C21" s="154"/>
      <c r="D21" s="154"/>
      <c r="E21" s="197" t="n">
        <f aca="false">IFERROR(INDEX(Journal!$A:$A,MATCH($A21,Journal!$B:$B,0)),"")</f>
        <v>46387</v>
      </c>
      <c r="F21" s="154" t="str">
        <f aca="true">IF(C21="Y","Done",IF(AND(E21&lt;&gt;"",TODAY()&gt;E21),"OVERDUE","Pending"))</f>
        <v>Pending</v>
      </c>
    </row>
    <row r="22" customFormat="false" ht="34.5" hidden="false" customHeight="true" outlineLevel="0" collapsed="false">
      <c r="A22" s="154" t="s">
        <v>562</v>
      </c>
      <c r="B22" s="196" t="s">
        <v>656</v>
      </c>
      <c r="C22" s="154"/>
      <c r="D22" s="154"/>
      <c r="E22" s="197" t="n">
        <f aca="false">IFERROR(INDEX(Journal!$A:$A,MATCH($A22,Journal!$B:$B,0)),"")</f>
        <v>46387</v>
      </c>
      <c r="F22" s="154" t="str">
        <f aca="true">IF(C22="Y","Done",IF(AND(E22&lt;&gt;"",TODAY()&gt;E22),"OVERDUE","Pending"))</f>
        <v>Pending</v>
      </c>
    </row>
    <row r="23" customFormat="false" ht="15" hidden="false" customHeight="true" outlineLevel="0" collapsed="false">
      <c r="A23" s="154" t="s">
        <v>562</v>
      </c>
      <c r="B23" s="196" t="s">
        <v>657</v>
      </c>
      <c r="C23" s="154"/>
      <c r="D23" s="154"/>
      <c r="E23" s="197" t="n">
        <f aca="false">IFERROR(INDEX(Journal!$A:$A,MATCH($A23,Journal!$B:$B,0)),"")</f>
        <v>46387</v>
      </c>
      <c r="F23" s="154" t="str">
        <f aca="true">IF(C23="Y","Done",IF(AND(E23&lt;&gt;"",TODAY()&gt;E23),"OVERDUE","Pending"))</f>
        <v>Pending</v>
      </c>
    </row>
    <row r="24" customFormat="false" ht="15" hidden="false" customHeight="true" outlineLevel="0" collapsed="false">
      <c r="A24" s="154" t="s">
        <v>562</v>
      </c>
      <c r="B24" s="196" t="s">
        <v>658</v>
      </c>
      <c r="C24" s="154"/>
      <c r="D24" s="154"/>
      <c r="E24" s="197" t="n">
        <f aca="false">IFERROR(INDEX(Journal!$A:$A,MATCH($A24,Journal!$B:$B,0)),"")</f>
        <v>46387</v>
      </c>
      <c r="F24" s="154" t="str">
        <f aca="true">IF(C24="Y","Done",IF(AND(E24&lt;&gt;"",TODAY()&gt;E24),"OVERDUE","Pending"))</f>
        <v>Pending</v>
      </c>
    </row>
    <row r="25" customFormat="false" ht="15" hidden="false" customHeight="true" outlineLevel="0" collapsed="false">
      <c r="A25" s="154" t="s">
        <v>562</v>
      </c>
      <c r="B25" s="196" t="s">
        <v>659</v>
      </c>
      <c r="C25" s="154"/>
      <c r="D25" s="154"/>
      <c r="E25" s="197" t="n">
        <f aca="false">IFERROR(INDEX(Journal!$A:$A,MATCH($A25,Journal!$B:$B,0)),"")</f>
        <v>46387</v>
      </c>
      <c r="F25" s="154" t="str">
        <f aca="true">IF(C25="Y","Done",IF(AND(E25&lt;&gt;"",TODAY()&gt;E25),"OVERDUE","Pending"))</f>
        <v>Pending</v>
      </c>
    </row>
    <row r="26" customFormat="false" ht="15" hidden="false" customHeight="true" outlineLevel="0" collapsed="false">
      <c r="A26" s="154" t="s">
        <v>564</v>
      </c>
      <c r="B26" s="196" t="s">
        <v>663</v>
      </c>
      <c r="C26" s="154"/>
      <c r="D26" s="154"/>
      <c r="E26" s="197" t="n">
        <f aca="false">IFERROR(INDEX(Journal!$A:$A,MATCH($A26,Journal!$B:$B,0)),"")</f>
        <v>46412</v>
      </c>
      <c r="F26" s="154" t="str">
        <f aca="true">IF(C26="Y","Done",IF(AND(E26&lt;&gt;"",TODAY()&gt;E26),"OVERDUE","Pending"))</f>
        <v>Pending</v>
      </c>
    </row>
    <row r="27" customFormat="false" ht="23.25" hidden="false" customHeight="true" outlineLevel="0" collapsed="false">
      <c r="A27" s="154" t="s">
        <v>564</v>
      </c>
      <c r="B27" s="196" t="s">
        <v>664</v>
      </c>
      <c r="C27" s="154"/>
      <c r="D27" s="154"/>
      <c r="E27" s="197" t="n">
        <f aca="false">IFERROR(INDEX(Journal!$A:$A,MATCH($A27,Journal!$B:$B,0)),"")</f>
        <v>46412</v>
      </c>
      <c r="F27" s="154" t="str">
        <f aca="true">IF(C27="Y","Done",IF(AND(E27&lt;&gt;"",TODAY()&gt;E27),"OVERDUE","Pending"))</f>
        <v>Pending</v>
      </c>
    </row>
    <row r="28" customFormat="false" ht="34.5" hidden="false" customHeight="true" outlineLevel="0" collapsed="false">
      <c r="A28" s="154" t="s">
        <v>564</v>
      </c>
      <c r="B28" s="196" t="s">
        <v>656</v>
      </c>
      <c r="C28" s="154"/>
      <c r="D28" s="154"/>
      <c r="E28" s="197" t="n">
        <f aca="false">IFERROR(INDEX(Journal!$A:$A,MATCH($A28,Journal!$B:$B,0)),"")</f>
        <v>46412</v>
      </c>
      <c r="F28" s="154" t="str">
        <f aca="true">IF(C28="Y","Done",IF(AND(E28&lt;&gt;"",TODAY()&gt;E28),"OVERDUE","Pending"))</f>
        <v>Pending</v>
      </c>
    </row>
    <row r="29" customFormat="false" ht="15" hidden="false" customHeight="true" outlineLevel="0" collapsed="false">
      <c r="A29" s="154" t="s">
        <v>564</v>
      </c>
      <c r="B29" s="196" t="s">
        <v>657</v>
      </c>
      <c r="C29" s="154"/>
      <c r="D29" s="154"/>
      <c r="E29" s="197" t="n">
        <f aca="false">IFERROR(INDEX(Journal!$A:$A,MATCH($A29,Journal!$B:$B,0)),"")</f>
        <v>46412</v>
      </c>
      <c r="F29" s="154" t="str">
        <f aca="true">IF(C29="Y","Done",IF(AND(E29&lt;&gt;"",TODAY()&gt;E29),"OVERDUE","Pending"))</f>
        <v>Pending</v>
      </c>
    </row>
    <row r="30" customFormat="false" ht="15" hidden="false" customHeight="true" outlineLevel="0" collapsed="false">
      <c r="A30" s="154" t="s">
        <v>564</v>
      </c>
      <c r="B30" s="196" t="s">
        <v>658</v>
      </c>
      <c r="C30" s="154"/>
      <c r="D30" s="154"/>
      <c r="E30" s="197" t="n">
        <f aca="false">IFERROR(INDEX(Journal!$A:$A,MATCH($A30,Journal!$B:$B,0)),"")</f>
        <v>46412</v>
      </c>
      <c r="F30" s="154" t="str">
        <f aca="true">IF(C30="Y","Done",IF(AND(E30&lt;&gt;"",TODAY()&gt;E30),"OVERDUE","Pending"))</f>
        <v>Pending</v>
      </c>
    </row>
    <row r="31" customFormat="false" ht="15" hidden="false" customHeight="true" outlineLevel="0" collapsed="false">
      <c r="A31" s="154" t="s">
        <v>564</v>
      </c>
      <c r="B31" s="196" t="s">
        <v>659</v>
      </c>
      <c r="C31" s="154"/>
      <c r="D31" s="154"/>
      <c r="E31" s="197" t="n">
        <f aca="false">IFERROR(INDEX(Journal!$A:$A,MATCH($A31,Journal!$B:$B,0)),"")</f>
        <v>46412</v>
      </c>
      <c r="F31" s="154" t="str">
        <f aca="true">IF(C31="Y","Done",IF(AND(E31&lt;&gt;"",TODAY()&gt;E31),"OVERDUE","Pending"))</f>
        <v>Pending</v>
      </c>
    </row>
    <row r="32" customFormat="false" ht="15" hidden="false" customHeight="true" outlineLevel="0" collapsed="false">
      <c r="A32" s="154" t="s">
        <v>605</v>
      </c>
      <c r="B32" s="196" t="s">
        <v>665</v>
      </c>
      <c r="C32" s="154" t="s">
        <v>213</v>
      </c>
      <c r="D32" s="198" t="n">
        <v>46295</v>
      </c>
      <c r="E32" s="197" t="n">
        <f aca="false">IFERROR(INDEX(Journal!$A:$A,MATCH($A32,Journal!$B:$B,0)),"")</f>
        <v>46295</v>
      </c>
      <c r="F32" s="154" t="str">
        <f aca="true">IF(C32="Y","Done",IF(AND(E32&lt;&gt;"",TODAY()&gt;E32),"OVERDUE","Pending"))</f>
        <v>Done</v>
      </c>
    </row>
    <row r="33" customFormat="false" ht="15" hidden="false" customHeight="true" outlineLevel="0" collapsed="false">
      <c r="A33" s="154" t="s">
        <v>605</v>
      </c>
      <c r="B33" s="196" t="s">
        <v>666</v>
      </c>
      <c r="C33" s="154" t="s">
        <v>213</v>
      </c>
      <c r="D33" s="198" t="n">
        <v>46295</v>
      </c>
      <c r="E33" s="197" t="n">
        <f aca="false">IFERROR(INDEX(Journal!$A:$A,MATCH($A33,Journal!$B:$B,0)),"")</f>
        <v>46295</v>
      </c>
      <c r="F33" s="154" t="str">
        <f aca="true">IF(C33="Y","Done",IF(AND(E33&lt;&gt;"",TODAY()&gt;E33),"OVERDUE","Pending"))</f>
        <v>Done</v>
      </c>
    </row>
    <row r="34" customFormat="false" ht="45.75" hidden="false" customHeight="true" outlineLevel="0" collapsed="false">
      <c r="A34" s="154" t="s">
        <v>605</v>
      </c>
      <c r="B34" s="196" t="s">
        <v>667</v>
      </c>
      <c r="C34" s="154" t="s">
        <v>213</v>
      </c>
      <c r="D34" s="198" t="n">
        <v>46295</v>
      </c>
      <c r="E34" s="197" t="n">
        <f aca="false">IFERROR(INDEX(Journal!$A:$A,MATCH($A34,Journal!$B:$B,0)),"")</f>
        <v>46295</v>
      </c>
      <c r="F34" s="154" t="str">
        <f aca="true">IF(C34="Y","Done",IF(AND(E34&lt;&gt;"",TODAY()&gt;E34),"OVERDUE","Pending"))</f>
        <v>Done</v>
      </c>
    </row>
    <row r="35" customFormat="false" ht="15" hidden="false" customHeight="true" outlineLevel="0" collapsed="false">
      <c r="A35" s="154" t="s">
        <v>605</v>
      </c>
      <c r="B35" s="196" t="s">
        <v>668</v>
      </c>
      <c r="C35" s="154" t="s">
        <v>213</v>
      </c>
      <c r="D35" s="198" t="n">
        <v>46295</v>
      </c>
      <c r="E35" s="197" t="n">
        <f aca="false">IFERROR(INDEX(Journal!$A:$A,MATCH($A35,Journal!$B:$B,0)),"")</f>
        <v>46295</v>
      </c>
      <c r="F35" s="154" t="str">
        <f aca="true">IF(C35="Y","Done",IF(AND(E35&lt;&gt;"",TODAY()&gt;E35),"OVERDUE","Pending"))</f>
        <v>Done</v>
      </c>
    </row>
    <row r="36" customFormat="false" ht="34.5" hidden="false" customHeight="true" outlineLevel="0" collapsed="false">
      <c r="A36" s="154" t="s">
        <v>605</v>
      </c>
      <c r="B36" s="196" t="s">
        <v>669</v>
      </c>
      <c r="C36" s="154" t="s">
        <v>213</v>
      </c>
      <c r="D36" s="198" t="n">
        <v>46295</v>
      </c>
      <c r="E36" s="197" t="n">
        <f aca="false">IFERROR(INDEX(Journal!$A:$A,MATCH($A36,Journal!$B:$B,0)),"")</f>
        <v>46295</v>
      </c>
      <c r="F36" s="154" t="str">
        <f aca="true">IF(C36="Y","Done",IF(AND(E36&lt;&gt;"",TODAY()&gt;E36),"OVERDUE","Pending"))</f>
        <v>Done</v>
      </c>
    </row>
    <row r="37" customFormat="false" ht="15" hidden="false" customHeight="true" outlineLevel="0" collapsed="false">
      <c r="A37" s="154" t="s">
        <v>605</v>
      </c>
      <c r="B37" s="196" t="s">
        <v>670</v>
      </c>
      <c r="C37" s="154" t="s">
        <v>213</v>
      </c>
      <c r="D37" s="198" t="n">
        <v>46295</v>
      </c>
      <c r="E37" s="197" t="n">
        <f aca="false">IFERROR(INDEX(Journal!$A:$A,MATCH($A37,Journal!$B:$B,0)),"")</f>
        <v>46295</v>
      </c>
      <c r="F37" s="154" t="str">
        <f aca="true">IF(C37="Y","Done",IF(AND(E37&lt;&gt;"",TODAY()&gt;E37),"OVERDUE","Pending"))</f>
        <v>Done</v>
      </c>
    </row>
    <row r="38" customFormat="false" ht="15" hidden="false" customHeight="true" outlineLevel="0" collapsed="false">
      <c r="A38" s="154" t="s">
        <v>605</v>
      </c>
      <c r="B38" s="196" t="s">
        <v>657</v>
      </c>
      <c r="C38" s="154" t="s">
        <v>213</v>
      </c>
      <c r="D38" s="198" t="n">
        <v>46295</v>
      </c>
      <c r="E38" s="197" t="n">
        <f aca="false">IFERROR(INDEX(Journal!$A:$A,MATCH($A38,Journal!$B:$B,0)),"")</f>
        <v>46295</v>
      </c>
      <c r="F38" s="154" t="str">
        <f aca="true">IF(C38="Y","Done",IF(AND(E38&lt;&gt;"",TODAY()&gt;E38),"OVERDUE","Pending"))</f>
        <v>Done</v>
      </c>
    </row>
    <row r="39" customFormat="false" ht="15" hidden="false" customHeight="true" outlineLevel="0" collapsed="false">
      <c r="A39" s="154" t="s">
        <v>605</v>
      </c>
      <c r="B39" s="196" t="s">
        <v>658</v>
      </c>
      <c r="C39" s="154" t="s">
        <v>213</v>
      </c>
      <c r="D39" s="198" t="n">
        <v>46295</v>
      </c>
      <c r="E39" s="197" t="n">
        <f aca="false">IFERROR(INDEX(Journal!$A:$A,MATCH($A39,Journal!$B:$B,0)),"")</f>
        <v>46295</v>
      </c>
      <c r="F39" s="154" t="str">
        <f aca="true">IF(C39="Y","Done",IF(AND(E39&lt;&gt;"",TODAY()&gt;E39),"OVERDUE","Pending"))</f>
        <v>Done</v>
      </c>
    </row>
    <row r="40" customFormat="false" ht="15" hidden="false" customHeight="true" outlineLevel="0" collapsed="false">
      <c r="A40" s="154" t="s">
        <v>605</v>
      </c>
      <c r="B40" s="196" t="s">
        <v>659</v>
      </c>
      <c r="C40" s="154" t="s">
        <v>213</v>
      </c>
      <c r="D40" s="198" t="n">
        <v>46295</v>
      </c>
      <c r="E40" s="197" t="n">
        <f aca="false">IFERROR(INDEX(Journal!$A:$A,MATCH($A40,Journal!$B:$B,0)),"")</f>
        <v>46295</v>
      </c>
      <c r="F40" s="154" t="str">
        <f aca="true">IF(C40="Y","Done",IF(AND(E40&lt;&gt;"",TODAY()&gt;E40),"OVERDUE","Pending"))</f>
        <v>Done</v>
      </c>
    </row>
    <row r="41" customFormat="false" ht="15" hidden="false" customHeight="true" outlineLevel="0" collapsed="false">
      <c r="A41" s="154" t="s">
        <v>607</v>
      </c>
      <c r="B41" s="196" t="s">
        <v>665</v>
      </c>
      <c r="C41" s="154"/>
      <c r="D41" s="154"/>
      <c r="E41" s="197" t="n">
        <f aca="false">IFERROR(INDEX(Journal!$A:$A,MATCH($A41,Journal!$B:$B,0)),"")</f>
        <v>46302</v>
      </c>
      <c r="F41" s="154" t="str">
        <f aca="true">IF(C41="Y","Done",IF(AND(E41&lt;&gt;"",TODAY()&gt;E41),"OVERDUE","Pending"))</f>
        <v>Pending</v>
      </c>
    </row>
    <row r="42" customFormat="false" ht="15" hidden="false" customHeight="true" outlineLevel="0" collapsed="false">
      <c r="A42" s="154" t="s">
        <v>607</v>
      </c>
      <c r="B42" s="196" t="s">
        <v>666</v>
      </c>
      <c r="C42" s="154"/>
      <c r="D42" s="154"/>
      <c r="E42" s="197" t="n">
        <f aca="false">IFERROR(INDEX(Journal!$A:$A,MATCH($A42,Journal!$B:$B,0)),"")</f>
        <v>46302</v>
      </c>
      <c r="F42" s="154" t="str">
        <f aca="true">IF(C42="Y","Done",IF(AND(E42&lt;&gt;"",TODAY()&gt;E42),"OVERDUE","Pending"))</f>
        <v>Pending</v>
      </c>
    </row>
    <row r="43" customFormat="false" ht="45.75" hidden="false" customHeight="true" outlineLevel="0" collapsed="false">
      <c r="A43" s="154" t="s">
        <v>607</v>
      </c>
      <c r="B43" s="196" t="s">
        <v>667</v>
      </c>
      <c r="C43" s="154"/>
      <c r="D43" s="154"/>
      <c r="E43" s="197" t="n">
        <f aca="false">IFERROR(INDEX(Journal!$A:$A,MATCH($A43,Journal!$B:$B,0)),"")</f>
        <v>46302</v>
      </c>
      <c r="F43" s="154" t="str">
        <f aca="true">IF(C43="Y","Done",IF(AND(E43&lt;&gt;"",TODAY()&gt;E43),"OVERDUE","Pending"))</f>
        <v>Pending</v>
      </c>
    </row>
    <row r="44" customFormat="false" ht="15" hidden="false" customHeight="true" outlineLevel="0" collapsed="false">
      <c r="A44" s="154" t="s">
        <v>607</v>
      </c>
      <c r="B44" s="196" t="s">
        <v>668</v>
      </c>
      <c r="C44" s="154"/>
      <c r="D44" s="154"/>
      <c r="E44" s="197" t="n">
        <f aca="false">IFERROR(INDEX(Journal!$A:$A,MATCH($A44,Journal!$B:$B,0)),"")</f>
        <v>46302</v>
      </c>
      <c r="F44" s="154" t="str">
        <f aca="true">IF(C44="Y","Done",IF(AND(E44&lt;&gt;"",TODAY()&gt;E44),"OVERDUE","Pending"))</f>
        <v>Pending</v>
      </c>
    </row>
    <row r="45" customFormat="false" ht="34.5" hidden="false" customHeight="true" outlineLevel="0" collapsed="false">
      <c r="A45" s="154" t="s">
        <v>607</v>
      </c>
      <c r="B45" s="196" t="s">
        <v>669</v>
      </c>
      <c r="C45" s="154"/>
      <c r="D45" s="154"/>
      <c r="E45" s="197" t="n">
        <f aca="false">IFERROR(INDEX(Journal!$A:$A,MATCH($A45,Journal!$B:$B,0)),"")</f>
        <v>46302</v>
      </c>
      <c r="F45" s="154" t="str">
        <f aca="true">IF(C45="Y","Done",IF(AND(E45&lt;&gt;"",TODAY()&gt;E45),"OVERDUE","Pending"))</f>
        <v>Pending</v>
      </c>
    </row>
    <row r="46" customFormat="false" ht="34.5" hidden="false" customHeight="true" outlineLevel="0" collapsed="false">
      <c r="A46" s="154" t="s">
        <v>607</v>
      </c>
      <c r="B46" s="196" t="s">
        <v>671</v>
      </c>
      <c r="C46" s="154"/>
      <c r="D46" s="154"/>
      <c r="E46" s="197" t="n">
        <f aca="false">IFERROR(INDEX(Journal!$A:$A,MATCH($A46,Journal!$B:$B,0)),"")</f>
        <v>46302</v>
      </c>
      <c r="F46" s="154" t="str">
        <f aca="true">IF(C46="Y","Done",IF(AND(E46&lt;&gt;"",TODAY()&gt;E46),"OVERDUE","Pending"))</f>
        <v>Pending</v>
      </c>
    </row>
    <row r="47" customFormat="false" ht="34.5" hidden="false" customHeight="true" outlineLevel="0" collapsed="false">
      <c r="A47" s="154" t="s">
        <v>607</v>
      </c>
      <c r="B47" s="196" t="s">
        <v>672</v>
      </c>
      <c r="C47" s="154"/>
      <c r="D47" s="154"/>
      <c r="E47" s="197" t="n">
        <f aca="false">IFERROR(INDEX(Journal!$A:$A,MATCH($A47,Journal!$B:$B,0)),"")</f>
        <v>46302</v>
      </c>
      <c r="F47" s="154" t="str">
        <f aca="true">IF(C47="Y","Done",IF(AND(E47&lt;&gt;"",TODAY()&gt;E47),"OVERDUE","Pending"))</f>
        <v>Pending</v>
      </c>
    </row>
    <row r="48" customFormat="false" ht="15" hidden="false" customHeight="true" outlineLevel="0" collapsed="false">
      <c r="A48" s="154" t="s">
        <v>607</v>
      </c>
      <c r="B48" s="196" t="s">
        <v>670</v>
      </c>
      <c r="C48" s="154"/>
      <c r="D48" s="154"/>
      <c r="E48" s="197" t="n">
        <f aca="false">IFERROR(INDEX(Journal!$A:$A,MATCH($A48,Journal!$B:$B,0)),"")</f>
        <v>46302</v>
      </c>
      <c r="F48" s="154" t="str">
        <f aca="true">IF(C48="Y","Done",IF(AND(E48&lt;&gt;"",TODAY()&gt;E48),"OVERDUE","Pending"))</f>
        <v>Pending</v>
      </c>
    </row>
    <row r="49" customFormat="false" ht="15" hidden="false" customHeight="true" outlineLevel="0" collapsed="false">
      <c r="A49" s="154" t="s">
        <v>607</v>
      </c>
      <c r="B49" s="196" t="s">
        <v>657</v>
      </c>
      <c r="C49" s="154"/>
      <c r="D49" s="154"/>
      <c r="E49" s="197" t="n">
        <f aca="false">IFERROR(INDEX(Journal!$A:$A,MATCH($A49,Journal!$B:$B,0)),"")</f>
        <v>46302</v>
      </c>
      <c r="F49" s="154" t="str">
        <f aca="true">IF(C49="Y","Done",IF(AND(E49&lt;&gt;"",TODAY()&gt;E49),"OVERDUE","Pending"))</f>
        <v>Pending</v>
      </c>
    </row>
    <row r="50" customFormat="false" ht="15" hidden="false" customHeight="true" outlineLevel="0" collapsed="false">
      <c r="A50" s="154" t="s">
        <v>607</v>
      </c>
      <c r="B50" s="196" t="s">
        <v>658</v>
      </c>
      <c r="C50" s="154"/>
      <c r="D50" s="154"/>
      <c r="E50" s="197" t="n">
        <f aca="false">IFERROR(INDEX(Journal!$A:$A,MATCH($A50,Journal!$B:$B,0)),"")</f>
        <v>46302</v>
      </c>
      <c r="F50" s="154" t="str">
        <f aca="true">IF(C50="Y","Done",IF(AND(E50&lt;&gt;"",TODAY()&gt;E50),"OVERDUE","Pending"))</f>
        <v>Pending</v>
      </c>
    </row>
    <row r="51" customFormat="false" ht="15" hidden="false" customHeight="true" outlineLevel="0" collapsed="false">
      <c r="A51" s="154" t="s">
        <v>607</v>
      </c>
      <c r="B51" s="196" t="s">
        <v>659</v>
      </c>
      <c r="C51" s="154"/>
      <c r="D51" s="154"/>
      <c r="E51" s="197" t="n">
        <f aca="false">IFERROR(INDEX(Journal!$A:$A,MATCH($A51,Journal!$B:$B,0)),"")</f>
        <v>46302</v>
      </c>
      <c r="F51" s="154" t="str">
        <f aca="true">IF(C51="Y","Done",IF(AND(E51&lt;&gt;"",TODAY()&gt;E51),"OVERDUE","Pending"))</f>
        <v>Pending</v>
      </c>
    </row>
    <row r="52" customFormat="false" ht="15" hidden="false" customHeight="true" outlineLevel="0" collapsed="false">
      <c r="A52" s="154" t="s">
        <v>609</v>
      </c>
      <c r="B52" s="196" t="s">
        <v>665</v>
      </c>
      <c r="C52" s="154"/>
      <c r="D52" s="154"/>
      <c r="E52" s="197" t="n">
        <f aca="false">IFERROR(INDEX(Journal!$A:$A,MATCH($A52,Journal!$B:$B,0)),"")</f>
        <v>46317</v>
      </c>
      <c r="F52" s="154" t="str">
        <f aca="true">IF(C52="Y","Done",IF(AND(E52&lt;&gt;"",TODAY()&gt;E52),"OVERDUE","Pending"))</f>
        <v>Pending</v>
      </c>
    </row>
    <row r="53" customFormat="false" ht="15" hidden="false" customHeight="true" outlineLevel="0" collapsed="false">
      <c r="A53" s="154" t="s">
        <v>609</v>
      </c>
      <c r="B53" s="196" t="s">
        <v>666</v>
      </c>
      <c r="C53" s="154"/>
      <c r="D53" s="154"/>
      <c r="E53" s="197" t="n">
        <f aca="false">IFERROR(INDEX(Journal!$A:$A,MATCH($A53,Journal!$B:$B,0)),"")</f>
        <v>46317</v>
      </c>
      <c r="F53" s="154" t="str">
        <f aca="true">IF(C53="Y","Done",IF(AND(E53&lt;&gt;"",TODAY()&gt;E53),"OVERDUE","Pending"))</f>
        <v>Pending</v>
      </c>
    </row>
    <row r="54" customFormat="false" ht="45.75" hidden="false" customHeight="true" outlineLevel="0" collapsed="false">
      <c r="A54" s="154" t="s">
        <v>609</v>
      </c>
      <c r="B54" s="196" t="s">
        <v>667</v>
      </c>
      <c r="C54" s="154"/>
      <c r="D54" s="154"/>
      <c r="E54" s="197" t="n">
        <f aca="false">IFERROR(INDEX(Journal!$A:$A,MATCH($A54,Journal!$B:$B,0)),"")</f>
        <v>46317</v>
      </c>
      <c r="F54" s="154" t="str">
        <f aca="true">IF(C54="Y","Done",IF(AND(E54&lt;&gt;"",TODAY()&gt;E54),"OVERDUE","Pending"))</f>
        <v>Pending</v>
      </c>
    </row>
    <row r="55" customFormat="false" ht="15" hidden="false" customHeight="true" outlineLevel="0" collapsed="false">
      <c r="A55" s="154" t="s">
        <v>609</v>
      </c>
      <c r="B55" s="196" t="s">
        <v>668</v>
      </c>
      <c r="C55" s="154"/>
      <c r="D55" s="154"/>
      <c r="E55" s="197" t="n">
        <f aca="false">IFERROR(INDEX(Journal!$A:$A,MATCH($A55,Journal!$B:$B,0)),"")</f>
        <v>46317</v>
      </c>
      <c r="F55" s="154" t="str">
        <f aca="true">IF(C55="Y","Done",IF(AND(E55&lt;&gt;"",TODAY()&gt;E55),"OVERDUE","Pending"))</f>
        <v>Pending</v>
      </c>
    </row>
    <row r="56" customFormat="false" ht="34.5" hidden="false" customHeight="true" outlineLevel="0" collapsed="false">
      <c r="A56" s="154" t="s">
        <v>609</v>
      </c>
      <c r="B56" s="196" t="s">
        <v>669</v>
      </c>
      <c r="C56" s="154"/>
      <c r="D56" s="154"/>
      <c r="E56" s="197" t="n">
        <f aca="false">IFERROR(INDEX(Journal!$A:$A,MATCH($A56,Journal!$B:$B,0)),"")</f>
        <v>46317</v>
      </c>
      <c r="F56" s="154" t="str">
        <f aca="true">IF(C56="Y","Done",IF(AND(E56&lt;&gt;"",TODAY()&gt;E56),"OVERDUE","Pending"))</f>
        <v>Pending</v>
      </c>
    </row>
    <row r="57" customFormat="false" ht="34.5" hidden="false" customHeight="true" outlineLevel="0" collapsed="false">
      <c r="A57" s="154" t="s">
        <v>609</v>
      </c>
      <c r="B57" s="196" t="s">
        <v>671</v>
      </c>
      <c r="C57" s="154"/>
      <c r="D57" s="154"/>
      <c r="E57" s="197" t="n">
        <f aca="false">IFERROR(INDEX(Journal!$A:$A,MATCH($A57,Journal!$B:$B,0)),"")</f>
        <v>46317</v>
      </c>
      <c r="F57" s="154" t="str">
        <f aca="true">IF(C57="Y","Done",IF(AND(E57&lt;&gt;"",TODAY()&gt;E57),"OVERDUE","Pending"))</f>
        <v>Pending</v>
      </c>
    </row>
    <row r="58" customFormat="false" ht="34.5" hidden="false" customHeight="true" outlineLevel="0" collapsed="false">
      <c r="A58" s="154" t="s">
        <v>609</v>
      </c>
      <c r="B58" s="196" t="s">
        <v>672</v>
      </c>
      <c r="C58" s="154"/>
      <c r="D58" s="154"/>
      <c r="E58" s="197" t="n">
        <f aca="false">IFERROR(INDEX(Journal!$A:$A,MATCH($A58,Journal!$B:$B,0)),"")</f>
        <v>46317</v>
      </c>
      <c r="F58" s="154" t="str">
        <f aca="true">IF(C58="Y","Done",IF(AND(E58&lt;&gt;"",TODAY()&gt;E58),"OVERDUE","Pending"))</f>
        <v>Pending</v>
      </c>
    </row>
    <row r="59" customFormat="false" ht="15" hidden="false" customHeight="true" outlineLevel="0" collapsed="false">
      <c r="A59" s="154" t="s">
        <v>609</v>
      </c>
      <c r="B59" s="196" t="s">
        <v>670</v>
      </c>
      <c r="C59" s="154"/>
      <c r="D59" s="154"/>
      <c r="E59" s="197" t="n">
        <f aca="false">IFERROR(INDEX(Journal!$A:$A,MATCH($A59,Journal!$B:$B,0)),"")</f>
        <v>46317</v>
      </c>
      <c r="F59" s="154" t="str">
        <f aca="true">IF(C59="Y","Done",IF(AND(E59&lt;&gt;"",TODAY()&gt;E59),"OVERDUE","Pending"))</f>
        <v>Pending</v>
      </c>
    </row>
    <row r="60" customFormat="false" ht="15" hidden="false" customHeight="true" outlineLevel="0" collapsed="false">
      <c r="A60" s="154" t="s">
        <v>609</v>
      </c>
      <c r="B60" s="196" t="s">
        <v>657</v>
      </c>
      <c r="C60" s="154"/>
      <c r="D60" s="154"/>
      <c r="E60" s="197" t="n">
        <f aca="false">IFERROR(INDEX(Journal!$A:$A,MATCH($A60,Journal!$B:$B,0)),"")</f>
        <v>46317</v>
      </c>
      <c r="F60" s="154" t="str">
        <f aca="true">IF(C60="Y","Done",IF(AND(E60&lt;&gt;"",TODAY()&gt;E60),"OVERDUE","Pending"))</f>
        <v>Pending</v>
      </c>
    </row>
    <row r="61" customFormat="false" ht="15" hidden="false" customHeight="true" outlineLevel="0" collapsed="false">
      <c r="A61" s="154" t="s">
        <v>609</v>
      </c>
      <c r="B61" s="196" t="s">
        <v>658</v>
      </c>
      <c r="C61" s="154"/>
      <c r="D61" s="154"/>
      <c r="E61" s="197" t="n">
        <f aca="false">IFERROR(INDEX(Journal!$A:$A,MATCH($A61,Journal!$B:$B,0)),"")</f>
        <v>46317</v>
      </c>
      <c r="F61" s="154" t="str">
        <f aca="true">IF(C61="Y","Done",IF(AND(E61&lt;&gt;"",TODAY()&gt;E61),"OVERDUE","Pending"))</f>
        <v>Pending</v>
      </c>
    </row>
    <row r="62" customFormat="false" ht="15" hidden="false" customHeight="true" outlineLevel="0" collapsed="false">
      <c r="A62" s="154" t="s">
        <v>609</v>
      </c>
      <c r="B62" s="196" t="s">
        <v>659</v>
      </c>
      <c r="C62" s="154"/>
      <c r="D62" s="154"/>
      <c r="E62" s="197" t="n">
        <f aca="false">IFERROR(INDEX(Journal!$A:$A,MATCH($A62,Journal!$B:$B,0)),"")</f>
        <v>46317</v>
      </c>
      <c r="F62" s="154" t="str">
        <f aca="true">IF(C62="Y","Done",IF(AND(E62&lt;&gt;"",TODAY()&gt;E62),"OVERDUE","Pending"))</f>
        <v>Pending</v>
      </c>
    </row>
    <row r="63" customFormat="false" ht="15" hidden="false" customHeight="true" outlineLevel="0" collapsed="false">
      <c r="A63" s="154" t="s">
        <v>611</v>
      </c>
      <c r="B63" s="196" t="s">
        <v>665</v>
      </c>
      <c r="C63" s="154"/>
      <c r="D63" s="154"/>
      <c r="E63" s="197" t="n">
        <f aca="false">IFERROR(INDEX(Journal!$A:$A,MATCH($A63,Journal!$B:$B,0)),"")</f>
        <v>46335</v>
      </c>
      <c r="F63" s="154" t="str">
        <f aca="true">IF(C63="Y","Done",IF(AND(E63&lt;&gt;"",TODAY()&gt;E63),"OVERDUE","Pending"))</f>
        <v>Pending</v>
      </c>
    </row>
    <row r="64" customFormat="false" ht="15" hidden="false" customHeight="true" outlineLevel="0" collapsed="false">
      <c r="A64" s="154" t="s">
        <v>611</v>
      </c>
      <c r="B64" s="196" t="s">
        <v>666</v>
      </c>
      <c r="C64" s="154"/>
      <c r="D64" s="154"/>
      <c r="E64" s="197" t="n">
        <f aca="false">IFERROR(INDEX(Journal!$A:$A,MATCH($A64,Journal!$B:$B,0)),"")</f>
        <v>46335</v>
      </c>
      <c r="F64" s="154" t="str">
        <f aca="true">IF(C64="Y","Done",IF(AND(E64&lt;&gt;"",TODAY()&gt;E64),"OVERDUE","Pending"))</f>
        <v>Pending</v>
      </c>
    </row>
    <row r="65" customFormat="false" ht="45.75" hidden="false" customHeight="true" outlineLevel="0" collapsed="false">
      <c r="A65" s="154" t="s">
        <v>611</v>
      </c>
      <c r="B65" s="196" t="s">
        <v>667</v>
      </c>
      <c r="C65" s="154"/>
      <c r="D65" s="154"/>
      <c r="E65" s="197" t="n">
        <f aca="false">IFERROR(INDEX(Journal!$A:$A,MATCH($A65,Journal!$B:$B,0)),"")</f>
        <v>46335</v>
      </c>
      <c r="F65" s="154" t="str">
        <f aca="true">IF(C65="Y","Done",IF(AND(E65&lt;&gt;"",TODAY()&gt;E65),"OVERDUE","Pending"))</f>
        <v>Pending</v>
      </c>
    </row>
    <row r="66" customFormat="false" ht="15" hidden="false" customHeight="true" outlineLevel="0" collapsed="false">
      <c r="A66" s="154" t="s">
        <v>611</v>
      </c>
      <c r="B66" s="196" t="s">
        <v>668</v>
      </c>
      <c r="C66" s="154"/>
      <c r="D66" s="154"/>
      <c r="E66" s="197" t="n">
        <f aca="false">IFERROR(INDEX(Journal!$A:$A,MATCH($A66,Journal!$B:$B,0)),"")</f>
        <v>46335</v>
      </c>
      <c r="F66" s="154" t="str">
        <f aca="true">IF(C66="Y","Done",IF(AND(E66&lt;&gt;"",TODAY()&gt;E66),"OVERDUE","Pending"))</f>
        <v>Pending</v>
      </c>
    </row>
    <row r="67" customFormat="false" ht="34.5" hidden="false" customHeight="true" outlineLevel="0" collapsed="false">
      <c r="A67" s="154" t="s">
        <v>611</v>
      </c>
      <c r="B67" s="196" t="s">
        <v>669</v>
      </c>
      <c r="C67" s="154"/>
      <c r="D67" s="154"/>
      <c r="E67" s="197" t="n">
        <f aca="false">IFERROR(INDEX(Journal!$A:$A,MATCH($A67,Journal!$B:$B,0)),"")</f>
        <v>46335</v>
      </c>
      <c r="F67" s="154" t="str">
        <f aca="true">IF(C67="Y","Done",IF(AND(E67&lt;&gt;"",TODAY()&gt;E67),"OVERDUE","Pending"))</f>
        <v>Pending</v>
      </c>
    </row>
    <row r="68" customFormat="false" ht="34.5" hidden="false" customHeight="true" outlineLevel="0" collapsed="false">
      <c r="A68" s="154" t="s">
        <v>611</v>
      </c>
      <c r="B68" s="196" t="s">
        <v>671</v>
      </c>
      <c r="C68" s="154"/>
      <c r="D68" s="154"/>
      <c r="E68" s="197" t="n">
        <f aca="false">IFERROR(INDEX(Journal!$A:$A,MATCH($A68,Journal!$B:$B,0)),"")</f>
        <v>46335</v>
      </c>
      <c r="F68" s="154" t="str">
        <f aca="true">IF(C68="Y","Done",IF(AND(E68&lt;&gt;"",TODAY()&gt;E68),"OVERDUE","Pending"))</f>
        <v>Pending</v>
      </c>
    </row>
    <row r="69" customFormat="false" ht="34.5" hidden="false" customHeight="true" outlineLevel="0" collapsed="false">
      <c r="A69" s="154" t="s">
        <v>611</v>
      </c>
      <c r="B69" s="196" t="s">
        <v>672</v>
      </c>
      <c r="C69" s="154"/>
      <c r="D69" s="154"/>
      <c r="E69" s="197" t="n">
        <f aca="false">IFERROR(INDEX(Journal!$A:$A,MATCH($A69,Journal!$B:$B,0)),"")</f>
        <v>46335</v>
      </c>
      <c r="F69" s="154" t="str">
        <f aca="true">IF(C69="Y","Done",IF(AND(E69&lt;&gt;"",TODAY()&gt;E69),"OVERDUE","Pending"))</f>
        <v>Pending</v>
      </c>
    </row>
    <row r="70" customFormat="false" ht="15" hidden="false" customHeight="true" outlineLevel="0" collapsed="false">
      <c r="A70" s="154" t="s">
        <v>611</v>
      </c>
      <c r="B70" s="196" t="s">
        <v>670</v>
      </c>
      <c r="C70" s="154"/>
      <c r="D70" s="154"/>
      <c r="E70" s="197" t="n">
        <f aca="false">IFERROR(INDEX(Journal!$A:$A,MATCH($A70,Journal!$B:$B,0)),"")</f>
        <v>46335</v>
      </c>
      <c r="F70" s="154" t="str">
        <f aca="true">IF(C70="Y","Done",IF(AND(E70&lt;&gt;"",TODAY()&gt;E70),"OVERDUE","Pending"))</f>
        <v>Pending</v>
      </c>
    </row>
    <row r="71" customFormat="false" ht="15" hidden="false" customHeight="true" outlineLevel="0" collapsed="false">
      <c r="A71" s="154" t="s">
        <v>611</v>
      </c>
      <c r="B71" s="196" t="s">
        <v>657</v>
      </c>
      <c r="C71" s="154"/>
      <c r="D71" s="154"/>
      <c r="E71" s="197" t="n">
        <f aca="false">IFERROR(INDEX(Journal!$A:$A,MATCH($A71,Journal!$B:$B,0)),"")</f>
        <v>46335</v>
      </c>
      <c r="F71" s="154" t="str">
        <f aca="true">IF(C71="Y","Done",IF(AND(E71&lt;&gt;"",TODAY()&gt;E71),"OVERDUE","Pending"))</f>
        <v>Pending</v>
      </c>
    </row>
    <row r="72" customFormat="false" ht="15" hidden="false" customHeight="true" outlineLevel="0" collapsed="false">
      <c r="A72" s="154" t="s">
        <v>611</v>
      </c>
      <c r="B72" s="196" t="s">
        <v>658</v>
      </c>
      <c r="C72" s="154"/>
      <c r="D72" s="154"/>
      <c r="E72" s="197" t="n">
        <f aca="false">IFERROR(INDEX(Journal!$A:$A,MATCH($A72,Journal!$B:$B,0)),"")</f>
        <v>46335</v>
      </c>
      <c r="F72" s="154" t="str">
        <f aca="true">IF(C72="Y","Done",IF(AND(E72&lt;&gt;"",TODAY()&gt;E72),"OVERDUE","Pending"))</f>
        <v>Pending</v>
      </c>
    </row>
    <row r="73" customFormat="false" ht="15" hidden="false" customHeight="true" outlineLevel="0" collapsed="false">
      <c r="A73" s="154" t="s">
        <v>611</v>
      </c>
      <c r="B73" s="196" t="s">
        <v>659</v>
      </c>
      <c r="C73" s="154"/>
      <c r="D73" s="154"/>
      <c r="E73" s="197" t="n">
        <f aca="false">IFERROR(INDEX(Journal!$A:$A,MATCH($A73,Journal!$B:$B,0)),"")</f>
        <v>46335</v>
      </c>
      <c r="F73" s="154" t="str">
        <f aca="true">IF(C73="Y","Done",IF(AND(E73&lt;&gt;"",TODAY()&gt;E73),"OVERDUE","Pending"))</f>
        <v>Pending</v>
      </c>
    </row>
    <row r="74" customFormat="false" ht="15" hidden="false" customHeight="true" outlineLevel="0" collapsed="false">
      <c r="A74" s="154" t="s">
        <v>613</v>
      </c>
      <c r="B74" s="196" t="s">
        <v>665</v>
      </c>
      <c r="C74" s="154"/>
      <c r="D74" s="154"/>
      <c r="E74" s="197" t="n">
        <f aca="false">IFERROR(INDEX(Journal!$A:$A,MATCH($A74,Journal!$B:$B,0)),"")</f>
        <v>46349</v>
      </c>
      <c r="F74" s="154" t="str">
        <f aca="true">IF(C74="Y","Done",IF(AND(E74&lt;&gt;"",TODAY()&gt;E74),"OVERDUE","Pending"))</f>
        <v>Pending</v>
      </c>
    </row>
    <row r="75" customFormat="false" ht="15" hidden="false" customHeight="true" outlineLevel="0" collapsed="false">
      <c r="A75" s="154" t="s">
        <v>613</v>
      </c>
      <c r="B75" s="196" t="s">
        <v>666</v>
      </c>
      <c r="C75" s="154"/>
      <c r="D75" s="154"/>
      <c r="E75" s="197" t="n">
        <f aca="false">IFERROR(INDEX(Journal!$A:$A,MATCH($A75,Journal!$B:$B,0)),"")</f>
        <v>46349</v>
      </c>
      <c r="F75" s="154" t="str">
        <f aca="true">IF(C75="Y","Done",IF(AND(E75&lt;&gt;"",TODAY()&gt;E75),"OVERDUE","Pending"))</f>
        <v>Pending</v>
      </c>
    </row>
    <row r="76" customFormat="false" ht="45.75" hidden="false" customHeight="true" outlineLevel="0" collapsed="false">
      <c r="A76" s="154" t="s">
        <v>613</v>
      </c>
      <c r="B76" s="196" t="s">
        <v>667</v>
      </c>
      <c r="C76" s="154"/>
      <c r="D76" s="154"/>
      <c r="E76" s="197" t="n">
        <f aca="false">IFERROR(INDEX(Journal!$A:$A,MATCH($A76,Journal!$B:$B,0)),"")</f>
        <v>46349</v>
      </c>
      <c r="F76" s="154" t="str">
        <f aca="true">IF(C76="Y","Done",IF(AND(E76&lt;&gt;"",TODAY()&gt;E76),"OVERDUE","Pending"))</f>
        <v>Pending</v>
      </c>
    </row>
    <row r="77" customFormat="false" ht="15" hidden="false" customHeight="true" outlineLevel="0" collapsed="false">
      <c r="A77" s="154" t="s">
        <v>613</v>
      </c>
      <c r="B77" s="196" t="s">
        <v>668</v>
      </c>
      <c r="C77" s="154"/>
      <c r="D77" s="154"/>
      <c r="E77" s="197" t="n">
        <f aca="false">IFERROR(INDEX(Journal!$A:$A,MATCH($A77,Journal!$B:$B,0)),"")</f>
        <v>46349</v>
      </c>
      <c r="F77" s="154" t="str">
        <f aca="true">IF(C77="Y","Done",IF(AND(E77&lt;&gt;"",TODAY()&gt;E77),"OVERDUE","Pending"))</f>
        <v>Pending</v>
      </c>
    </row>
    <row r="78" customFormat="false" ht="34.5" hidden="false" customHeight="true" outlineLevel="0" collapsed="false">
      <c r="A78" s="154" t="s">
        <v>613</v>
      </c>
      <c r="B78" s="196" t="s">
        <v>669</v>
      </c>
      <c r="C78" s="154"/>
      <c r="D78" s="154"/>
      <c r="E78" s="197" t="n">
        <f aca="false">IFERROR(INDEX(Journal!$A:$A,MATCH($A78,Journal!$B:$B,0)),"")</f>
        <v>46349</v>
      </c>
      <c r="F78" s="154" t="str">
        <f aca="true">IF(C78="Y","Done",IF(AND(E78&lt;&gt;"",TODAY()&gt;E78),"OVERDUE","Pending"))</f>
        <v>Pending</v>
      </c>
    </row>
    <row r="79" customFormat="false" ht="34.5" hidden="false" customHeight="true" outlineLevel="0" collapsed="false">
      <c r="A79" s="154" t="s">
        <v>613</v>
      </c>
      <c r="B79" s="196" t="s">
        <v>671</v>
      </c>
      <c r="C79" s="154"/>
      <c r="D79" s="154"/>
      <c r="E79" s="197" t="n">
        <f aca="false">IFERROR(INDEX(Journal!$A:$A,MATCH($A79,Journal!$B:$B,0)),"")</f>
        <v>46349</v>
      </c>
      <c r="F79" s="154" t="str">
        <f aca="true">IF(C79="Y","Done",IF(AND(E79&lt;&gt;"",TODAY()&gt;E79),"OVERDUE","Pending"))</f>
        <v>Pending</v>
      </c>
    </row>
    <row r="80" customFormat="false" ht="34.5" hidden="false" customHeight="true" outlineLevel="0" collapsed="false">
      <c r="A80" s="154" t="s">
        <v>613</v>
      </c>
      <c r="B80" s="196" t="s">
        <v>672</v>
      </c>
      <c r="C80" s="154"/>
      <c r="D80" s="154"/>
      <c r="E80" s="197" t="n">
        <f aca="false">IFERROR(INDEX(Journal!$A:$A,MATCH($A80,Journal!$B:$B,0)),"")</f>
        <v>46349</v>
      </c>
      <c r="F80" s="154" t="str">
        <f aca="true">IF(C80="Y","Done",IF(AND(E80&lt;&gt;"",TODAY()&gt;E80),"OVERDUE","Pending"))</f>
        <v>Pending</v>
      </c>
    </row>
    <row r="81" customFormat="false" ht="15" hidden="false" customHeight="true" outlineLevel="0" collapsed="false">
      <c r="A81" s="154" t="s">
        <v>613</v>
      </c>
      <c r="B81" s="196" t="s">
        <v>670</v>
      </c>
      <c r="C81" s="154"/>
      <c r="D81" s="154"/>
      <c r="E81" s="197" t="n">
        <f aca="false">IFERROR(INDEX(Journal!$A:$A,MATCH($A81,Journal!$B:$B,0)),"")</f>
        <v>46349</v>
      </c>
      <c r="F81" s="154" t="str">
        <f aca="true">IF(C81="Y","Done",IF(AND(E81&lt;&gt;"",TODAY()&gt;E81),"OVERDUE","Pending"))</f>
        <v>Pending</v>
      </c>
    </row>
    <row r="82" customFormat="false" ht="15" hidden="false" customHeight="true" outlineLevel="0" collapsed="false">
      <c r="A82" s="154" t="s">
        <v>613</v>
      </c>
      <c r="B82" s="196" t="s">
        <v>657</v>
      </c>
      <c r="C82" s="154"/>
      <c r="D82" s="154"/>
      <c r="E82" s="197" t="n">
        <f aca="false">IFERROR(INDEX(Journal!$A:$A,MATCH($A82,Journal!$B:$B,0)),"")</f>
        <v>46349</v>
      </c>
      <c r="F82" s="154" t="str">
        <f aca="true">IF(C82="Y","Done",IF(AND(E82&lt;&gt;"",TODAY()&gt;E82),"OVERDUE","Pending"))</f>
        <v>Pending</v>
      </c>
    </row>
    <row r="83" customFormat="false" ht="15" hidden="false" customHeight="true" outlineLevel="0" collapsed="false">
      <c r="A83" s="154" t="s">
        <v>613</v>
      </c>
      <c r="B83" s="196" t="s">
        <v>658</v>
      </c>
      <c r="C83" s="154"/>
      <c r="D83" s="154"/>
      <c r="E83" s="197" t="n">
        <f aca="false">IFERROR(INDEX(Journal!$A:$A,MATCH($A83,Journal!$B:$B,0)),"")</f>
        <v>46349</v>
      </c>
      <c r="F83" s="154" t="str">
        <f aca="true">IF(C83="Y","Done",IF(AND(E83&lt;&gt;"",TODAY()&gt;E83),"OVERDUE","Pending"))</f>
        <v>Pending</v>
      </c>
    </row>
    <row r="84" customFormat="false" ht="15" hidden="false" customHeight="true" outlineLevel="0" collapsed="false">
      <c r="A84" s="154" t="s">
        <v>613</v>
      </c>
      <c r="B84" s="196" t="s">
        <v>659</v>
      </c>
      <c r="C84" s="154"/>
      <c r="D84" s="154"/>
      <c r="E84" s="197" t="n">
        <f aca="false">IFERROR(INDEX(Journal!$A:$A,MATCH($A84,Journal!$B:$B,0)),"")</f>
        <v>46349</v>
      </c>
      <c r="F84" s="154" t="str">
        <f aca="true">IF(C84="Y","Done",IF(AND(E84&lt;&gt;"",TODAY()&gt;E84),"OVERDUE","Pending"))</f>
        <v>Pending</v>
      </c>
    </row>
    <row r="85" customFormat="false" ht="15" hidden="false" customHeight="true" outlineLevel="0" collapsed="false">
      <c r="A85" s="154" t="s">
        <v>615</v>
      </c>
      <c r="B85" s="196" t="s">
        <v>665</v>
      </c>
      <c r="C85" s="154"/>
      <c r="D85" s="154"/>
      <c r="E85" s="197" t="n">
        <f aca="false">IFERROR(INDEX(Journal!$A:$A,MATCH($A85,Journal!$B:$B,0)),"")</f>
        <v>46363</v>
      </c>
      <c r="F85" s="154" t="str">
        <f aca="true">IF(C85="Y","Done",IF(AND(E85&lt;&gt;"",TODAY()&gt;E85),"OVERDUE","Pending"))</f>
        <v>Pending</v>
      </c>
    </row>
    <row r="86" customFormat="false" ht="15" hidden="false" customHeight="true" outlineLevel="0" collapsed="false">
      <c r="A86" s="154" t="s">
        <v>615</v>
      </c>
      <c r="B86" s="196" t="s">
        <v>666</v>
      </c>
      <c r="C86" s="154"/>
      <c r="D86" s="154"/>
      <c r="E86" s="197" t="n">
        <f aca="false">IFERROR(INDEX(Journal!$A:$A,MATCH($A86,Journal!$B:$B,0)),"")</f>
        <v>46363</v>
      </c>
      <c r="F86" s="154" t="str">
        <f aca="true">IF(C86="Y","Done",IF(AND(E86&lt;&gt;"",TODAY()&gt;E86),"OVERDUE","Pending"))</f>
        <v>Pending</v>
      </c>
    </row>
    <row r="87" customFormat="false" ht="45.75" hidden="false" customHeight="true" outlineLevel="0" collapsed="false">
      <c r="A87" s="154" t="s">
        <v>615</v>
      </c>
      <c r="B87" s="196" t="s">
        <v>667</v>
      </c>
      <c r="C87" s="154"/>
      <c r="D87" s="154"/>
      <c r="E87" s="197" t="n">
        <f aca="false">IFERROR(INDEX(Journal!$A:$A,MATCH($A87,Journal!$B:$B,0)),"")</f>
        <v>46363</v>
      </c>
      <c r="F87" s="154" t="str">
        <f aca="true">IF(C87="Y","Done",IF(AND(E87&lt;&gt;"",TODAY()&gt;E87),"OVERDUE","Pending"))</f>
        <v>Pending</v>
      </c>
    </row>
    <row r="88" customFormat="false" ht="15" hidden="false" customHeight="true" outlineLevel="0" collapsed="false">
      <c r="A88" s="154" t="s">
        <v>615</v>
      </c>
      <c r="B88" s="196" t="s">
        <v>668</v>
      </c>
      <c r="C88" s="154"/>
      <c r="D88" s="154"/>
      <c r="E88" s="197" t="n">
        <f aca="false">IFERROR(INDEX(Journal!$A:$A,MATCH($A88,Journal!$B:$B,0)),"")</f>
        <v>46363</v>
      </c>
      <c r="F88" s="154" t="str">
        <f aca="true">IF(C88="Y","Done",IF(AND(E88&lt;&gt;"",TODAY()&gt;E88),"OVERDUE","Pending"))</f>
        <v>Pending</v>
      </c>
    </row>
    <row r="89" customFormat="false" ht="34.5" hidden="false" customHeight="true" outlineLevel="0" collapsed="false">
      <c r="A89" s="154" t="s">
        <v>615</v>
      </c>
      <c r="B89" s="196" t="s">
        <v>669</v>
      </c>
      <c r="C89" s="154"/>
      <c r="D89" s="154"/>
      <c r="E89" s="197" t="n">
        <f aca="false">IFERROR(INDEX(Journal!$A:$A,MATCH($A89,Journal!$B:$B,0)),"")</f>
        <v>46363</v>
      </c>
      <c r="F89" s="154" t="str">
        <f aca="true">IF(C89="Y","Done",IF(AND(E89&lt;&gt;"",TODAY()&gt;E89),"OVERDUE","Pending"))</f>
        <v>Pending</v>
      </c>
    </row>
    <row r="90" customFormat="false" ht="34.5" hidden="false" customHeight="true" outlineLevel="0" collapsed="false">
      <c r="A90" s="154" t="s">
        <v>615</v>
      </c>
      <c r="B90" s="196" t="s">
        <v>671</v>
      </c>
      <c r="C90" s="154"/>
      <c r="D90" s="154"/>
      <c r="E90" s="197" t="n">
        <f aca="false">IFERROR(INDEX(Journal!$A:$A,MATCH($A90,Journal!$B:$B,0)),"")</f>
        <v>46363</v>
      </c>
      <c r="F90" s="154" t="str">
        <f aca="true">IF(C90="Y","Done",IF(AND(E90&lt;&gt;"",TODAY()&gt;E90),"OVERDUE","Pending"))</f>
        <v>Pending</v>
      </c>
    </row>
    <row r="91" customFormat="false" ht="34.5" hidden="false" customHeight="true" outlineLevel="0" collapsed="false">
      <c r="A91" s="154" t="s">
        <v>615</v>
      </c>
      <c r="B91" s="196" t="s">
        <v>672</v>
      </c>
      <c r="C91" s="154"/>
      <c r="D91" s="154"/>
      <c r="E91" s="197" t="n">
        <f aca="false">IFERROR(INDEX(Journal!$A:$A,MATCH($A91,Journal!$B:$B,0)),"")</f>
        <v>46363</v>
      </c>
      <c r="F91" s="154" t="str">
        <f aca="true">IF(C91="Y","Done",IF(AND(E91&lt;&gt;"",TODAY()&gt;E91),"OVERDUE","Pending"))</f>
        <v>Pending</v>
      </c>
    </row>
    <row r="92" customFormat="false" ht="15" hidden="false" customHeight="true" outlineLevel="0" collapsed="false">
      <c r="A92" s="154" t="s">
        <v>615</v>
      </c>
      <c r="B92" s="196" t="s">
        <v>670</v>
      </c>
      <c r="C92" s="154"/>
      <c r="D92" s="154"/>
      <c r="E92" s="197" t="n">
        <f aca="false">IFERROR(INDEX(Journal!$A:$A,MATCH($A92,Journal!$B:$B,0)),"")</f>
        <v>46363</v>
      </c>
      <c r="F92" s="154" t="str">
        <f aca="true">IF(C92="Y","Done",IF(AND(E92&lt;&gt;"",TODAY()&gt;E92),"OVERDUE","Pending"))</f>
        <v>Pending</v>
      </c>
    </row>
    <row r="93" customFormat="false" ht="15" hidden="false" customHeight="true" outlineLevel="0" collapsed="false">
      <c r="A93" s="154" t="s">
        <v>615</v>
      </c>
      <c r="B93" s="196" t="s">
        <v>657</v>
      </c>
      <c r="C93" s="154"/>
      <c r="D93" s="154"/>
      <c r="E93" s="197" t="n">
        <f aca="false">IFERROR(INDEX(Journal!$A:$A,MATCH($A93,Journal!$B:$B,0)),"")</f>
        <v>46363</v>
      </c>
      <c r="F93" s="154" t="str">
        <f aca="true">IF(C93="Y","Done",IF(AND(E93&lt;&gt;"",TODAY()&gt;E93),"OVERDUE","Pending"))</f>
        <v>Pending</v>
      </c>
    </row>
    <row r="94" customFormat="false" ht="15" hidden="false" customHeight="true" outlineLevel="0" collapsed="false">
      <c r="A94" s="154" t="s">
        <v>615</v>
      </c>
      <c r="B94" s="196" t="s">
        <v>658</v>
      </c>
      <c r="C94" s="154"/>
      <c r="D94" s="154"/>
      <c r="E94" s="197" t="n">
        <f aca="false">IFERROR(INDEX(Journal!$A:$A,MATCH($A94,Journal!$B:$B,0)),"")</f>
        <v>46363</v>
      </c>
      <c r="F94" s="154" t="str">
        <f aca="true">IF(C94="Y","Done",IF(AND(E94&lt;&gt;"",TODAY()&gt;E94),"OVERDUE","Pending"))</f>
        <v>Pending</v>
      </c>
    </row>
    <row r="95" customFormat="false" ht="15" hidden="false" customHeight="true" outlineLevel="0" collapsed="false">
      <c r="A95" s="154" t="s">
        <v>615</v>
      </c>
      <c r="B95" s="196" t="s">
        <v>659</v>
      </c>
      <c r="C95" s="154"/>
      <c r="D95" s="154"/>
      <c r="E95" s="197" t="n">
        <f aca="false">IFERROR(INDEX(Journal!$A:$A,MATCH($A95,Journal!$B:$B,0)),"")</f>
        <v>46363</v>
      </c>
      <c r="F95" s="154" t="str">
        <f aca="true">IF(C95="Y","Done",IF(AND(E95&lt;&gt;"",TODAY()&gt;E95),"OVERDUE","Pending"))</f>
        <v>Pending</v>
      </c>
    </row>
    <row r="96" customFormat="false" ht="15" hidden="false" customHeight="true" outlineLevel="0" collapsed="false">
      <c r="A96" s="154" t="s">
        <v>616</v>
      </c>
      <c r="B96" s="196" t="s">
        <v>665</v>
      </c>
      <c r="C96" s="154"/>
      <c r="D96" s="154"/>
      <c r="E96" s="197" t="n">
        <f aca="false">IFERROR(INDEX(Journal!$A:$A,MATCH($A96,Journal!$B:$B,0)),"")</f>
        <v>46378</v>
      </c>
      <c r="F96" s="154" t="str">
        <f aca="true">IF(C96="Y","Done",IF(AND(E96&lt;&gt;"",TODAY()&gt;E96),"OVERDUE","Pending"))</f>
        <v>Pending</v>
      </c>
    </row>
    <row r="97" customFormat="false" ht="15" hidden="false" customHeight="true" outlineLevel="0" collapsed="false">
      <c r="A97" s="154" t="s">
        <v>616</v>
      </c>
      <c r="B97" s="196" t="s">
        <v>666</v>
      </c>
      <c r="C97" s="154"/>
      <c r="D97" s="154"/>
      <c r="E97" s="197" t="n">
        <f aca="false">IFERROR(INDEX(Journal!$A:$A,MATCH($A97,Journal!$B:$B,0)),"")</f>
        <v>46378</v>
      </c>
      <c r="F97" s="154" t="str">
        <f aca="true">IF(C97="Y","Done",IF(AND(E97&lt;&gt;"",TODAY()&gt;E97),"OVERDUE","Pending"))</f>
        <v>Pending</v>
      </c>
    </row>
    <row r="98" customFormat="false" ht="45.75" hidden="false" customHeight="true" outlineLevel="0" collapsed="false">
      <c r="A98" s="154" t="s">
        <v>616</v>
      </c>
      <c r="B98" s="196" t="s">
        <v>667</v>
      </c>
      <c r="C98" s="154"/>
      <c r="D98" s="154"/>
      <c r="E98" s="197" t="n">
        <f aca="false">IFERROR(INDEX(Journal!$A:$A,MATCH($A98,Journal!$B:$B,0)),"")</f>
        <v>46378</v>
      </c>
      <c r="F98" s="154" t="str">
        <f aca="true">IF(C98="Y","Done",IF(AND(E98&lt;&gt;"",TODAY()&gt;E98),"OVERDUE","Pending"))</f>
        <v>Pending</v>
      </c>
    </row>
    <row r="99" customFormat="false" ht="15" hidden="false" customHeight="true" outlineLevel="0" collapsed="false">
      <c r="A99" s="154" t="s">
        <v>616</v>
      </c>
      <c r="B99" s="196" t="s">
        <v>668</v>
      </c>
      <c r="C99" s="154"/>
      <c r="D99" s="154"/>
      <c r="E99" s="197" t="n">
        <f aca="false">IFERROR(INDEX(Journal!$A:$A,MATCH($A99,Journal!$B:$B,0)),"")</f>
        <v>46378</v>
      </c>
      <c r="F99" s="154" t="str">
        <f aca="true">IF(C99="Y","Done",IF(AND(E99&lt;&gt;"",TODAY()&gt;E99),"OVERDUE","Pending"))</f>
        <v>Pending</v>
      </c>
    </row>
    <row r="100" customFormat="false" ht="34.5" hidden="false" customHeight="true" outlineLevel="0" collapsed="false">
      <c r="A100" s="154" t="s">
        <v>616</v>
      </c>
      <c r="B100" s="196" t="s">
        <v>669</v>
      </c>
      <c r="C100" s="154"/>
      <c r="D100" s="154"/>
      <c r="E100" s="197" t="n">
        <f aca="false">IFERROR(INDEX(Journal!$A:$A,MATCH($A100,Journal!$B:$B,0)),"")</f>
        <v>46378</v>
      </c>
      <c r="F100" s="154" t="str">
        <f aca="true">IF(C100="Y","Done",IF(AND(E100&lt;&gt;"",TODAY()&gt;E100),"OVERDUE","Pending"))</f>
        <v>Pending</v>
      </c>
    </row>
    <row r="101" customFormat="false" ht="34.5" hidden="false" customHeight="true" outlineLevel="0" collapsed="false">
      <c r="A101" s="154" t="s">
        <v>616</v>
      </c>
      <c r="B101" s="196" t="s">
        <v>671</v>
      </c>
      <c r="C101" s="154"/>
      <c r="D101" s="154"/>
      <c r="E101" s="197" t="n">
        <f aca="false">IFERROR(INDEX(Journal!$A:$A,MATCH($A101,Journal!$B:$B,0)),"")</f>
        <v>46378</v>
      </c>
      <c r="F101" s="154" t="str">
        <f aca="true">IF(C101="Y","Done",IF(AND(E101&lt;&gt;"",TODAY()&gt;E101),"OVERDUE","Pending"))</f>
        <v>Pending</v>
      </c>
    </row>
    <row r="102" customFormat="false" ht="34.5" hidden="false" customHeight="true" outlineLevel="0" collapsed="false">
      <c r="A102" s="154" t="s">
        <v>616</v>
      </c>
      <c r="B102" s="196" t="s">
        <v>672</v>
      </c>
      <c r="C102" s="154"/>
      <c r="D102" s="154"/>
      <c r="E102" s="197" t="n">
        <f aca="false">IFERROR(INDEX(Journal!$A:$A,MATCH($A102,Journal!$B:$B,0)),"")</f>
        <v>46378</v>
      </c>
      <c r="F102" s="154" t="str">
        <f aca="true">IF(C102="Y","Done",IF(AND(E102&lt;&gt;"",TODAY()&gt;E102),"OVERDUE","Pending"))</f>
        <v>Pending</v>
      </c>
    </row>
    <row r="103" customFormat="false" ht="15" hidden="false" customHeight="true" outlineLevel="0" collapsed="false">
      <c r="A103" s="154" t="s">
        <v>616</v>
      </c>
      <c r="B103" s="196" t="s">
        <v>670</v>
      </c>
      <c r="C103" s="154"/>
      <c r="D103" s="154"/>
      <c r="E103" s="197" t="n">
        <f aca="false">IFERROR(INDEX(Journal!$A:$A,MATCH($A103,Journal!$B:$B,0)),"")</f>
        <v>46378</v>
      </c>
      <c r="F103" s="154" t="str">
        <f aca="true">IF(C103="Y","Done",IF(AND(E103&lt;&gt;"",TODAY()&gt;E103),"OVERDUE","Pending"))</f>
        <v>Pending</v>
      </c>
    </row>
    <row r="104" customFormat="false" ht="15" hidden="false" customHeight="true" outlineLevel="0" collapsed="false">
      <c r="A104" s="154" t="s">
        <v>616</v>
      </c>
      <c r="B104" s="196" t="s">
        <v>657</v>
      </c>
      <c r="C104" s="154"/>
      <c r="D104" s="154"/>
      <c r="E104" s="197" t="n">
        <f aca="false">IFERROR(INDEX(Journal!$A:$A,MATCH($A104,Journal!$B:$B,0)),"")</f>
        <v>46378</v>
      </c>
      <c r="F104" s="154" t="str">
        <f aca="true">IF(C104="Y","Done",IF(AND(E104&lt;&gt;"",TODAY()&gt;E104),"OVERDUE","Pending"))</f>
        <v>Pending</v>
      </c>
    </row>
    <row r="105" customFormat="false" ht="15" hidden="false" customHeight="true" outlineLevel="0" collapsed="false">
      <c r="A105" s="154" t="s">
        <v>616</v>
      </c>
      <c r="B105" s="196" t="s">
        <v>658</v>
      </c>
      <c r="C105" s="154"/>
      <c r="D105" s="154"/>
      <c r="E105" s="197" t="n">
        <f aca="false">IFERROR(INDEX(Journal!$A:$A,MATCH($A105,Journal!$B:$B,0)),"")</f>
        <v>46378</v>
      </c>
      <c r="F105" s="154" t="str">
        <f aca="true">IF(C105="Y","Done",IF(AND(E105&lt;&gt;"",TODAY()&gt;E105),"OVERDUE","Pending"))</f>
        <v>Pending</v>
      </c>
    </row>
    <row r="106" customFormat="false" ht="15" hidden="false" customHeight="true" outlineLevel="0" collapsed="false">
      <c r="A106" s="154" t="s">
        <v>616</v>
      </c>
      <c r="B106" s="196" t="s">
        <v>659</v>
      </c>
      <c r="C106" s="154"/>
      <c r="D106" s="154"/>
      <c r="E106" s="197" t="n">
        <f aca="false">IFERROR(INDEX(Journal!$A:$A,MATCH($A106,Journal!$B:$B,0)),"")</f>
        <v>46378</v>
      </c>
      <c r="F106" s="154" t="str">
        <f aca="true">IF(C106="Y","Done",IF(AND(E106&lt;&gt;"",TODAY()&gt;E106),"OVERDUE","Pending"))</f>
        <v>Pending</v>
      </c>
    </row>
    <row r="107" customFormat="false" ht="15" hidden="false" customHeight="true" outlineLevel="0" collapsed="false">
      <c r="A107" s="154" t="s">
        <v>617</v>
      </c>
      <c r="B107" s="196" t="s">
        <v>665</v>
      </c>
      <c r="C107" s="154"/>
      <c r="D107" s="154"/>
      <c r="E107" s="197" t="n">
        <f aca="false">IFERROR(INDEX(Journal!$A:$A,MATCH($A107,Journal!$B:$B,0)),"")</f>
        <v>46394</v>
      </c>
      <c r="F107" s="154" t="str">
        <f aca="true">IF(C107="Y","Done",IF(AND(E107&lt;&gt;"",TODAY()&gt;E107),"OVERDUE","Pending"))</f>
        <v>Pending</v>
      </c>
    </row>
    <row r="108" customFormat="false" ht="15" hidden="false" customHeight="true" outlineLevel="0" collapsed="false">
      <c r="A108" s="154" t="s">
        <v>617</v>
      </c>
      <c r="B108" s="196" t="s">
        <v>666</v>
      </c>
      <c r="C108" s="154"/>
      <c r="D108" s="154"/>
      <c r="E108" s="197" t="n">
        <f aca="false">IFERROR(INDEX(Journal!$A:$A,MATCH($A108,Journal!$B:$B,0)),"")</f>
        <v>46394</v>
      </c>
      <c r="F108" s="154" t="str">
        <f aca="true">IF(C108="Y","Done",IF(AND(E108&lt;&gt;"",TODAY()&gt;E108),"OVERDUE","Pending"))</f>
        <v>Pending</v>
      </c>
    </row>
    <row r="109" customFormat="false" ht="45.75" hidden="false" customHeight="true" outlineLevel="0" collapsed="false">
      <c r="A109" s="154" t="s">
        <v>617</v>
      </c>
      <c r="B109" s="196" t="s">
        <v>667</v>
      </c>
      <c r="C109" s="154"/>
      <c r="D109" s="154"/>
      <c r="E109" s="197" t="n">
        <f aca="false">IFERROR(INDEX(Journal!$A:$A,MATCH($A109,Journal!$B:$B,0)),"")</f>
        <v>46394</v>
      </c>
      <c r="F109" s="154" t="str">
        <f aca="true">IF(C109="Y","Done",IF(AND(E109&lt;&gt;"",TODAY()&gt;E109),"OVERDUE","Pending"))</f>
        <v>Pending</v>
      </c>
    </row>
    <row r="110" customFormat="false" ht="15" hidden="false" customHeight="true" outlineLevel="0" collapsed="false">
      <c r="A110" s="154" t="s">
        <v>617</v>
      </c>
      <c r="B110" s="196" t="s">
        <v>668</v>
      </c>
      <c r="C110" s="154"/>
      <c r="D110" s="154"/>
      <c r="E110" s="197" t="n">
        <f aca="false">IFERROR(INDEX(Journal!$A:$A,MATCH($A110,Journal!$B:$B,0)),"")</f>
        <v>46394</v>
      </c>
      <c r="F110" s="154" t="str">
        <f aca="true">IF(C110="Y","Done",IF(AND(E110&lt;&gt;"",TODAY()&gt;E110),"OVERDUE","Pending"))</f>
        <v>Pending</v>
      </c>
    </row>
    <row r="111" customFormat="false" ht="34.5" hidden="false" customHeight="true" outlineLevel="0" collapsed="false">
      <c r="A111" s="154" t="s">
        <v>617</v>
      </c>
      <c r="B111" s="196" t="s">
        <v>669</v>
      </c>
      <c r="C111" s="154"/>
      <c r="D111" s="154"/>
      <c r="E111" s="197" t="n">
        <f aca="false">IFERROR(INDEX(Journal!$A:$A,MATCH($A111,Journal!$B:$B,0)),"")</f>
        <v>46394</v>
      </c>
      <c r="F111" s="154" t="str">
        <f aca="true">IF(C111="Y","Done",IF(AND(E111&lt;&gt;"",TODAY()&gt;E111),"OVERDUE","Pending"))</f>
        <v>Pending</v>
      </c>
    </row>
    <row r="112" customFormat="false" ht="34.5" hidden="false" customHeight="true" outlineLevel="0" collapsed="false">
      <c r="A112" s="154" t="s">
        <v>617</v>
      </c>
      <c r="B112" s="196" t="s">
        <v>671</v>
      </c>
      <c r="C112" s="154"/>
      <c r="D112" s="154"/>
      <c r="E112" s="197" t="n">
        <f aca="false">IFERROR(INDEX(Journal!$A:$A,MATCH($A112,Journal!$B:$B,0)),"")</f>
        <v>46394</v>
      </c>
      <c r="F112" s="154" t="str">
        <f aca="true">IF(C112="Y","Done",IF(AND(E112&lt;&gt;"",TODAY()&gt;E112),"OVERDUE","Pending"))</f>
        <v>Pending</v>
      </c>
    </row>
    <row r="113" customFormat="false" ht="34.5" hidden="false" customHeight="true" outlineLevel="0" collapsed="false">
      <c r="A113" s="154" t="s">
        <v>617</v>
      </c>
      <c r="B113" s="196" t="s">
        <v>672</v>
      </c>
      <c r="C113" s="154"/>
      <c r="D113" s="154"/>
      <c r="E113" s="197" t="n">
        <f aca="false">IFERROR(INDEX(Journal!$A:$A,MATCH($A113,Journal!$B:$B,0)),"")</f>
        <v>46394</v>
      </c>
      <c r="F113" s="154" t="str">
        <f aca="true">IF(C113="Y","Done",IF(AND(E113&lt;&gt;"",TODAY()&gt;E113),"OVERDUE","Pending"))</f>
        <v>Pending</v>
      </c>
    </row>
    <row r="114" customFormat="false" ht="15" hidden="false" customHeight="true" outlineLevel="0" collapsed="false">
      <c r="A114" s="154" t="s">
        <v>617</v>
      </c>
      <c r="B114" s="196" t="s">
        <v>670</v>
      </c>
      <c r="C114" s="154"/>
      <c r="D114" s="154"/>
      <c r="E114" s="197" t="n">
        <f aca="false">IFERROR(INDEX(Journal!$A:$A,MATCH($A114,Journal!$B:$B,0)),"")</f>
        <v>46394</v>
      </c>
      <c r="F114" s="154" t="str">
        <f aca="true">IF(C114="Y","Done",IF(AND(E114&lt;&gt;"",TODAY()&gt;E114),"OVERDUE","Pending"))</f>
        <v>Pending</v>
      </c>
    </row>
    <row r="115" customFormat="false" ht="15" hidden="false" customHeight="true" outlineLevel="0" collapsed="false">
      <c r="A115" s="154" t="s">
        <v>617</v>
      </c>
      <c r="B115" s="196" t="s">
        <v>657</v>
      </c>
      <c r="C115" s="154"/>
      <c r="D115" s="154"/>
      <c r="E115" s="197" t="n">
        <f aca="false">IFERROR(INDEX(Journal!$A:$A,MATCH($A115,Journal!$B:$B,0)),"")</f>
        <v>46394</v>
      </c>
      <c r="F115" s="154" t="str">
        <f aca="true">IF(C115="Y","Done",IF(AND(E115&lt;&gt;"",TODAY()&gt;E115),"OVERDUE","Pending"))</f>
        <v>Pending</v>
      </c>
    </row>
    <row r="116" customFormat="false" ht="15" hidden="false" customHeight="true" outlineLevel="0" collapsed="false">
      <c r="A116" s="154" t="s">
        <v>617</v>
      </c>
      <c r="B116" s="196" t="s">
        <v>658</v>
      </c>
      <c r="C116" s="154"/>
      <c r="D116" s="154"/>
      <c r="E116" s="197" t="n">
        <f aca="false">IFERROR(INDEX(Journal!$A:$A,MATCH($A116,Journal!$B:$B,0)),"")</f>
        <v>46394</v>
      </c>
      <c r="F116" s="154" t="str">
        <f aca="true">IF(C116="Y","Done",IF(AND(E116&lt;&gt;"",TODAY()&gt;E116),"OVERDUE","Pending"))</f>
        <v>Pending</v>
      </c>
    </row>
    <row r="117" customFormat="false" ht="15" hidden="false" customHeight="true" outlineLevel="0" collapsed="false">
      <c r="A117" s="154" t="s">
        <v>617</v>
      </c>
      <c r="B117" s="196" t="s">
        <v>659</v>
      </c>
      <c r="C117" s="154"/>
      <c r="D117" s="154"/>
      <c r="E117" s="197" t="n">
        <f aca="false">IFERROR(INDEX(Journal!$A:$A,MATCH($A117,Journal!$B:$B,0)),"")</f>
        <v>46394</v>
      </c>
      <c r="F117" s="154" t="str">
        <f aca="true">IF(C117="Y","Done",IF(AND(E117&lt;&gt;"",TODAY()&gt;E117),"OVERDUE","Pending"))</f>
        <v>Pending</v>
      </c>
    </row>
  </sheetData>
  <mergeCells count="1">
    <mergeCell ref="A1:F1"/>
  </mergeCells>
  <conditionalFormatting sqref="F5:F117">
    <cfRule type="cellIs" priority="2" operator="equal" aboveAverage="0" equalAverage="0" bottom="0" percent="0" rank="0" text="" dxfId="26">
      <formula>"OVERDUE"</formula>
    </cfRule>
    <cfRule type="cellIs" priority="3" operator="equal" aboveAverage="0" equalAverage="0" bottom="0" percent="0" rank="0" text="" dxfId="21">
      <formula>"Done"</formula>
    </cfRule>
  </conditionalFormatting>
  <conditionalFormatting sqref="C2">
    <cfRule type="cellIs" priority="4" operator="greaterThan" aboveAverage="0" equalAverage="0" bottom="0" percent="0" rank="0" text="" dxfId="26">
      <formula>0</formula>
    </cfRule>
  </conditionalFormatting>
  <printOptions headings="false" gridLines="false" gridLinesSet="true" horizontalCentered="false" verticalCentered="false"/>
  <pageMargins left="0.25" right="0.25" top="0.3" bottom="0.4" header="0.511811023622047" footer="0.170138888888889"/>
  <pageSetup paperSize="1"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legacyDrawing r:id="rId2"/>
  <tableParts>
    <tablePart r:id="rId3"/>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8" activePane="bottomRight" state="frozen"/>
      <selection pane="topLeft" activeCell="A1" activeCellId="0" sqref="A1"/>
      <selection pane="topRight" activeCell="B1" activeCellId="0" sqref="B1"/>
      <selection pane="bottomLeft" activeCell="A8" activeCellId="0" sqref="A8"/>
      <selection pane="bottomRight" activeCell="B5" activeCellId="0" sqref="B5"/>
    </sheetView>
  </sheetViews>
  <sheetFormatPr defaultColWidth="8.66796875" defaultRowHeight="14.25" customHeight="false" zeroHeight="false" outlineLevelRow="0" outlineLevelCol="0"/>
  <cols>
    <col collapsed="false" customWidth="true" hidden="false" outlineLevel="0" max="1" min="1" style="1" width="5"/>
    <col collapsed="false" customWidth="true" hidden="false" outlineLevel="0" max="2" min="2" style="1" width="80"/>
    <col collapsed="false" customWidth="true" hidden="false" outlineLevel="0" max="3" min="3" style="1" width="9"/>
    <col collapsed="false" customWidth="true" hidden="false" outlineLevel="0" max="4" min="4" style="1" width="12"/>
    <col collapsed="false" customWidth="true" hidden="false" outlineLevel="0" max="5" min="5" style="23" width="13"/>
    <col collapsed="false" customWidth="true" hidden="false" outlineLevel="0" max="6" min="6" style="1" width="35"/>
  </cols>
  <sheetData>
    <row r="1" customFormat="false" ht="27" hidden="false" customHeight="true" outlineLevel="0" collapsed="false">
      <c r="A1" s="194" t="s">
        <v>673</v>
      </c>
      <c r="B1" s="194"/>
      <c r="C1" s="194"/>
      <c r="D1" s="194"/>
      <c r="E1" s="194"/>
      <c r="F1" s="194"/>
    </row>
    <row r="2" customFormat="false" ht="14.25" hidden="false" customHeight="true" outlineLevel="0" collapsed="false">
      <c r="A2" s="148" t="s">
        <v>674</v>
      </c>
      <c r="C2" s="195" t="n">
        <f aca="false">SUMPRODUCT(($A$5:$A$200&lt;&gt;"")*($C$5:$C$200&lt;&gt;"Y"))</f>
        <v>9</v>
      </c>
    </row>
    <row r="3" customFormat="false" ht="4.5" hidden="false" customHeight="true" outlineLevel="0" collapsed="false"/>
    <row r="4" customFormat="false" ht="27.75" hidden="false" customHeight="true" outlineLevel="0" collapsed="false">
      <c r="A4" s="150" t="s">
        <v>675</v>
      </c>
      <c r="B4" s="150" t="s">
        <v>676</v>
      </c>
      <c r="C4" s="150" t="s">
        <v>650</v>
      </c>
      <c r="D4" s="150" t="s">
        <v>677</v>
      </c>
      <c r="E4" s="150" t="s">
        <v>678</v>
      </c>
      <c r="F4" s="150" t="s">
        <v>209</v>
      </c>
    </row>
    <row r="5" customFormat="false" ht="34.5" hidden="false" customHeight="true" outlineLevel="0" collapsed="false">
      <c r="A5" s="199" t="n">
        <v>1</v>
      </c>
      <c r="B5" s="200" t="s">
        <v>679</v>
      </c>
      <c r="C5" s="199" t="s">
        <v>213</v>
      </c>
      <c r="D5" s="201" t="n">
        <v>46276</v>
      </c>
      <c r="E5" s="201" t="n">
        <v>46276</v>
      </c>
      <c r="F5" s="200" t="s">
        <v>680</v>
      </c>
    </row>
    <row r="6" customFormat="false" ht="34.5" hidden="false" customHeight="true" outlineLevel="0" collapsed="false">
      <c r="A6" s="199" t="n">
        <v>2</v>
      </c>
      <c r="B6" s="200" t="s">
        <v>681</v>
      </c>
      <c r="C6" s="199" t="s">
        <v>213</v>
      </c>
      <c r="D6" s="201" t="n">
        <v>46276</v>
      </c>
      <c r="E6" s="201" t="n">
        <v>46276</v>
      </c>
      <c r="F6" s="200" t="s">
        <v>682</v>
      </c>
    </row>
    <row r="7" customFormat="false" ht="23.25" hidden="false" customHeight="true" outlineLevel="0" collapsed="false">
      <c r="A7" s="199" t="n">
        <v>3</v>
      </c>
      <c r="B7" s="200" t="s">
        <v>683</v>
      </c>
      <c r="C7" s="199" t="s">
        <v>213</v>
      </c>
      <c r="D7" s="201" t="n">
        <v>46260</v>
      </c>
      <c r="E7" s="201" t="n">
        <v>46278</v>
      </c>
      <c r="F7" s="200" t="s">
        <v>684</v>
      </c>
    </row>
    <row r="8" customFormat="false" ht="23.25" hidden="false" customHeight="true" outlineLevel="0" collapsed="false">
      <c r="A8" s="199" t="n">
        <v>4</v>
      </c>
      <c r="B8" s="200" t="s">
        <v>685</v>
      </c>
      <c r="C8" s="199"/>
      <c r="D8" s="201" t="n">
        <v>46273</v>
      </c>
      <c r="E8" s="201"/>
      <c r="F8" s="200"/>
    </row>
    <row r="9" customFormat="false" ht="23.25" hidden="false" customHeight="true" outlineLevel="0" collapsed="false">
      <c r="A9" s="199" t="n">
        <v>5</v>
      </c>
      <c r="B9" s="200" t="s">
        <v>686</v>
      </c>
      <c r="C9" s="199"/>
      <c r="D9" s="201" t="n">
        <v>46273</v>
      </c>
      <c r="E9" s="201"/>
      <c r="F9" s="200"/>
    </row>
    <row r="10" customFormat="false" ht="23.25" hidden="false" customHeight="true" outlineLevel="0" collapsed="false">
      <c r="A10" s="199" t="n">
        <v>6</v>
      </c>
      <c r="B10" s="200" t="s">
        <v>687</v>
      </c>
      <c r="C10" s="199"/>
      <c r="D10" s="201" t="n">
        <v>46273</v>
      </c>
      <c r="E10" s="201"/>
      <c r="F10" s="200"/>
    </row>
    <row r="11" customFormat="false" ht="23.25" hidden="false" customHeight="true" outlineLevel="0" collapsed="false">
      <c r="A11" s="199" t="n">
        <v>7</v>
      </c>
      <c r="B11" s="200" t="s">
        <v>688</v>
      </c>
      <c r="C11" s="199" t="s">
        <v>213</v>
      </c>
      <c r="D11" s="201" t="n">
        <v>46258</v>
      </c>
      <c r="E11" s="201" t="n">
        <v>46278</v>
      </c>
      <c r="F11" s="200" t="s">
        <v>689</v>
      </c>
    </row>
    <row r="12" customFormat="false" ht="23.25" hidden="false" customHeight="true" outlineLevel="0" collapsed="false">
      <c r="A12" s="199" t="n">
        <v>8</v>
      </c>
      <c r="B12" s="200" t="s">
        <v>690</v>
      </c>
      <c r="C12" s="199"/>
      <c r="D12" s="201" t="n">
        <v>46252</v>
      </c>
      <c r="E12" s="201"/>
      <c r="F12" s="200"/>
    </row>
    <row r="13" customFormat="false" ht="34.5" hidden="false" customHeight="true" outlineLevel="0" collapsed="false">
      <c r="A13" s="199" t="n">
        <v>9</v>
      </c>
      <c r="B13" s="200" t="s">
        <v>691</v>
      </c>
      <c r="C13" s="199"/>
      <c r="D13" s="201" t="n">
        <v>46276</v>
      </c>
      <c r="E13" s="201"/>
      <c r="F13" s="200" t="s">
        <v>692</v>
      </c>
    </row>
    <row r="14" customFormat="false" ht="23.25" hidden="false" customHeight="true" outlineLevel="0" collapsed="false">
      <c r="A14" s="199" t="n">
        <v>10</v>
      </c>
      <c r="B14" s="200" t="s">
        <v>693</v>
      </c>
      <c r="C14" s="199"/>
      <c r="D14" s="201" t="n">
        <v>46260</v>
      </c>
      <c r="E14" s="201"/>
      <c r="F14" s="200"/>
    </row>
    <row r="15" customFormat="false" ht="45.75" hidden="false" customHeight="true" outlineLevel="0" collapsed="false">
      <c r="A15" s="199" t="n">
        <v>11</v>
      </c>
      <c r="B15" s="200" t="s">
        <v>694</v>
      </c>
      <c r="C15" s="199"/>
      <c r="D15" s="201" t="n">
        <v>46276</v>
      </c>
      <c r="E15" s="199"/>
      <c r="F15" s="200" t="s">
        <v>695</v>
      </c>
    </row>
    <row r="16" customFormat="false" ht="14.25" hidden="false" customHeight="true" outlineLevel="0" collapsed="false">
      <c r="A16" s="202" t="n">
        <v>12</v>
      </c>
      <c r="B16" s="200" t="s">
        <v>696</v>
      </c>
      <c r="C16" s="203" t="s">
        <v>213</v>
      </c>
      <c r="D16" s="204" t="n">
        <v>46278</v>
      </c>
      <c r="E16" s="205" t="n">
        <v>46278</v>
      </c>
      <c r="F16" s="203" t="s">
        <v>697</v>
      </c>
    </row>
    <row r="17" customFormat="false" ht="14.25" hidden="false" customHeight="true" outlineLevel="0" collapsed="false">
      <c r="A17" s="202" t="n">
        <v>13</v>
      </c>
      <c r="B17" s="200" t="s">
        <v>698</v>
      </c>
      <c r="C17" s="203"/>
      <c r="D17" s="204" t="n">
        <v>46294</v>
      </c>
      <c r="E17" s="206"/>
      <c r="F17" s="203"/>
    </row>
    <row r="18" customFormat="false" ht="14.25" hidden="false" customHeight="true" outlineLevel="0" collapsed="false">
      <c r="A18" s="202" t="n">
        <v>14</v>
      </c>
      <c r="B18" s="200" t="s">
        <v>699</v>
      </c>
      <c r="C18" s="203"/>
      <c r="D18" s="204" t="n">
        <v>46295</v>
      </c>
      <c r="E18" s="206"/>
      <c r="F18" s="203" t="s">
        <v>700</v>
      </c>
    </row>
    <row r="19" customFormat="false" ht="14.25" hidden="false" customHeight="true" outlineLevel="0" collapsed="false">
      <c r="A19" s="203"/>
      <c r="B19" s="203"/>
      <c r="C19" s="203"/>
      <c r="D19" s="203"/>
      <c r="E19" s="206"/>
      <c r="F19" s="203"/>
    </row>
    <row r="20" customFormat="false" ht="14.25" hidden="false" customHeight="true" outlineLevel="0" collapsed="false">
      <c r="A20" s="203"/>
      <c r="B20" s="203"/>
      <c r="C20" s="203"/>
      <c r="D20" s="203"/>
      <c r="E20" s="206"/>
      <c r="F20" s="203"/>
    </row>
    <row r="21" customFormat="false" ht="14.25" hidden="false" customHeight="true" outlineLevel="0" collapsed="false">
      <c r="A21" s="203"/>
      <c r="B21" s="203"/>
      <c r="C21" s="203"/>
      <c r="D21" s="203"/>
      <c r="E21" s="206"/>
      <c r="F21" s="203"/>
    </row>
    <row r="22" customFormat="false" ht="14.25" hidden="false" customHeight="true" outlineLevel="0" collapsed="false">
      <c r="A22" s="203"/>
      <c r="B22" s="203"/>
      <c r="C22" s="203"/>
      <c r="D22" s="203"/>
      <c r="E22" s="206"/>
      <c r="F22" s="203"/>
    </row>
    <row r="23" customFormat="false" ht="14.25" hidden="false" customHeight="true" outlineLevel="0" collapsed="false">
      <c r="A23" s="203"/>
      <c r="B23" s="203"/>
      <c r="C23" s="203"/>
      <c r="D23" s="203"/>
      <c r="E23" s="206"/>
      <c r="F23" s="203"/>
    </row>
    <row r="24" customFormat="false" ht="14.25" hidden="false" customHeight="true" outlineLevel="0" collapsed="false">
      <c r="A24" s="203"/>
      <c r="B24" s="203"/>
      <c r="C24" s="203"/>
      <c r="D24" s="203"/>
      <c r="E24" s="206"/>
      <c r="F24" s="203"/>
    </row>
    <row r="25" customFormat="false" ht="14.25" hidden="false" customHeight="true" outlineLevel="0" collapsed="false">
      <c r="A25" s="203"/>
      <c r="B25" s="203"/>
      <c r="C25" s="203"/>
      <c r="D25" s="203"/>
      <c r="E25" s="206"/>
      <c r="F25" s="203"/>
    </row>
    <row r="26" customFormat="false" ht="14.25" hidden="false" customHeight="true" outlineLevel="0" collapsed="false">
      <c r="A26" s="203"/>
      <c r="B26" s="203"/>
      <c r="C26" s="203"/>
      <c r="D26" s="203"/>
      <c r="E26" s="206"/>
      <c r="F26" s="203"/>
    </row>
    <row r="27" customFormat="false" ht="14.25" hidden="false" customHeight="true" outlineLevel="0" collapsed="false">
      <c r="A27" s="203"/>
      <c r="B27" s="203"/>
      <c r="C27" s="203"/>
      <c r="D27" s="203"/>
      <c r="E27" s="206"/>
      <c r="F27" s="203"/>
    </row>
    <row r="28" customFormat="false" ht="14.25" hidden="false" customHeight="true" outlineLevel="0" collapsed="false">
      <c r="A28" s="203"/>
      <c r="B28" s="203"/>
      <c r="C28" s="203"/>
      <c r="D28" s="203"/>
      <c r="E28" s="206"/>
      <c r="F28" s="203"/>
    </row>
    <row r="29" customFormat="false" ht="14.25" hidden="false" customHeight="true" outlineLevel="0" collapsed="false">
      <c r="A29" s="203"/>
      <c r="B29" s="203"/>
      <c r="C29" s="203"/>
      <c r="D29" s="203"/>
      <c r="E29" s="206"/>
      <c r="F29" s="203"/>
    </row>
    <row r="30" customFormat="false" ht="14.25" hidden="false" customHeight="true" outlineLevel="0" collapsed="false">
      <c r="A30" s="203"/>
      <c r="B30" s="203"/>
      <c r="C30" s="203"/>
      <c r="D30" s="203"/>
      <c r="E30" s="206"/>
      <c r="F30" s="203"/>
    </row>
    <row r="31" customFormat="false" ht="14.25" hidden="false" customHeight="true" outlineLevel="0" collapsed="false">
      <c r="A31" s="203"/>
      <c r="B31" s="203"/>
      <c r="C31" s="203"/>
      <c r="D31" s="203"/>
      <c r="E31" s="206"/>
      <c r="F31" s="203"/>
    </row>
    <row r="32" customFormat="false" ht="14.25" hidden="false" customHeight="true" outlineLevel="0" collapsed="false">
      <c r="A32" s="203"/>
      <c r="B32" s="203"/>
      <c r="C32" s="203"/>
      <c r="D32" s="203"/>
      <c r="E32" s="206"/>
      <c r="F32" s="203"/>
    </row>
    <row r="33" customFormat="false" ht="14.25" hidden="false" customHeight="true" outlineLevel="0" collapsed="false">
      <c r="A33" s="203"/>
      <c r="B33" s="203"/>
      <c r="C33" s="203"/>
      <c r="D33" s="203"/>
      <c r="E33" s="206"/>
      <c r="F33" s="203"/>
    </row>
    <row r="34" customFormat="false" ht="14.25" hidden="false" customHeight="true" outlineLevel="0" collapsed="false">
      <c r="A34" s="203"/>
      <c r="B34" s="203"/>
      <c r="C34" s="203"/>
      <c r="D34" s="203"/>
      <c r="E34" s="206"/>
      <c r="F34" s="203"/>
    </row>
    <row r="35" customFormat="false" ht="14.25" hidden="false" customHeight="true" outlineLevel="0" collapsed="false">
      <c r="A35" s="203"/>
      <c r="B35" s="203"/>
      <c r="C35" s="203"/>
      <c r="D35" s="203"/>
      <c r="E35" s="206"/>
      <c r="F35" s="203"/>
    </row>
    <row r="36" customFormat="false" ht="14.25" hidden="false" customHeight="true" outlineLevel="0" collapsed="false">
      <c r="A36" s="203"/>
      <c r="B36" s="203"/>
      <c r="C36" s="203"/>
      <c r="D36" s="203"/>
      <c r="E36" s="206"/>
      <c r="F36" s="203"/>
    </row>
    <row r="37" customFormat="false" ht="14.25" hidden="false" customHeight="true" outlineLevel="0" collapsed="false">
      <c r="A37" s="203"/>
      <c r="B37" s="203"/>
      <c r="C37" s="203"/>
      <c r="D37" s="203"/>
      <c r="E37" s="206"/>
      <c r="F37" s="203"/>
    </row>
    <row r="38" customFormat="false" ht="14.25" hidden="false" customHeight="true" outlineLevel="0" collapsed="false">
      <c r="A38" s="203"/>
      <c r="B38" s="203"/>
      <c r="C38" s="203"/>
      <c r="D38" s="203"/>
      <c r="E38" s="206"/>
      <c r="F38" s="203"/>
    </row>
    <row r="39" customFormat="false" ht="14.25" hidden="false" customHeight="true" outlineLevel="0" collapsed="false">
      <c r="A39" s="203"/>
      <c r="B39" s="203"/>
      <c r="C39" s="203"/>
      <c r="D39" s="203"/>
      <c r="E39" s="206"/>
      <c r="F39" s="203"/>
    </row>
    <row r="40" customFormat="false" ht="14.25" hidden="false" customHeight="true" outlineLevel="0" collapsed="false">
      <c r="A40" s="203"/>
      <c r="B40" s="203"/>
      <c r="C40" s="203"/>
      <c r="D40" s="203"/>
      <c r="E40" s="206"/>
      <c r="F40" s="203"/>
    </row>
    <row r="41" customFormat="false" ht="14.25" hidden="false" customHeight="true" outlineLevel="0" collapsed="false">
      <c r="A41" s="203"/>
      <c r="B41" s="203"/>
      <c r="C41" s="203"/>
      <c r="D41" s="203"/>
      <c r="E41" s="206"/>
      <c r="F41" s="203"/>
    </row>
    <row r="42" customFormat="false" ht="14.25" hidden="false" customHeight="true" outlineLevel="0" collapsed="false">
      <c r="A42" s="203"/>
      <c r="B42" s="203"/>
      <c r="C42" s="203"/>
      <c r="D42" s="203"/>
      <c r="E42" s="206"/>
      <c r="F42" s="203"/>
    </row>
    <row r="43" customFormat="false" ht="14.25" hidden="false" customHeight="true" outlineLevel="0" collapsed="false">
      <c r="A43" s="203"/>
      <c r="B43" s="203"/>
      <c r="C43" s="203"/>
      <c r="D43" s="203"/>
      <c r="E43" s="206"/>
      <c r="F43" s="203"/>
    </row>
    <row r="44" customFormat="false" ht="14.25" hidden="false" customHeight="true" outlineLevel="0" collapsed="false">
      <c r="A44" s="203"/>
      <c r="B44" s="203"/>
      <c r="C44" s="203"/>
      <c r="D44" s="203"/>
      <c r="E44" s="206"/>
      <c r="F44" s="203"/>
    </row>
    <row r="45" customFormat="false" ht="14.25" hidden="false" customHeight="true" outlineLevel="0" collapsed="false">
      <c r="A45" s="203"/>
      <c r="B45" s="203"/>
      <c r="C45" s="203"/>
      <c r="D45" s="203"/>
      <c r="E45" s="206"/>
      <c r="F45" s="203"/>
    </row>
    <row r="46" customFormat="false" ht="14.25" hidden="false" customHeight="true" outlineLevel="0" collapsed="false">
      <c r="A46" s="203"/>
      <c r="B46" s="203"/>
      <c r="C46" s="203"/>
      <c r="D46" s="203"/>
      <c r="E46" s="206"/>
      <c r="F46" s="203"/>
    </row>
    <row r="47" customFormat="false" ht="14.25" hidden="false" customHeight="true" outlineLevel="0" collapsed="false">
      <c r="A47" s="203"/>
      <c r="B47" s="203"/>
      <c r="C47" s="203"/>
      <c r="D47" s="203"/>
      <c r="E47" s="206"/>
      <c r="F47" s="203"/>
    </row>
    <row r="48" customFormat="false" ht="14.25" hidden="false" customHeight="true" outlineLevel="0" collapsed="false">
      <c r="A48" s="203"/>
      <c r="B48" s="203"/>
      <c r="C48" s="203"/>
      <c r="D48" s="203"/>
      <c r="E48" s="206"/>
      <c r="F48" s="203"/>
    </row>
    <row r="49" customFormat="false" ht="14.25" hidden="false" customHeight="true" outlineLevel="0" collapsed="false">
      <c r="A49" s="203"/>
      <c r="B49" s="203"/>
      <c r="C49" s="203"/>
      <c r="D49" s="203"/>
      <c r="E49" s="206"/>
      <c r="F49" s="203"/>
    </row>
    <row r="50" customFormat="false" ht="14.25" hidden="false" customHeight="true" outlineLevel="0" collapsed="false">
      <c r="A50" s="203"/>
      <c r="B50" s="203"/>
      <c r="C50" s="203"/>
      <c r="D50" s="203"/>
      <c r="E50" s="206"/>
      <c r="F50" s="203"/>
    </row>
    <row r="51" customFormat="false" ht="14.25" hidden="false" customHeight="true" outlineLevel="0" collapsed="false">
      <c r="A51" s="203"/>
      <c r="B51" s="203"/>
      <c r="C51" s="203"/>
      <c r="D51" s="203"/>
      <c r="E51" s="206"/>
      <c r="F51" s="203"/>
    </row>
    <row r="52" customFormat="false" ht="14.25" hidden="false" customHeight="true" outlineLevel="0" collapsed="false">
      <c r="A52" s="203"/>
      <c r="B52" s="203"/>
      <c r="C52" s="203"/>
      <c r="D52" s="203"/>
      <c r="E52" s="206"/>
      <c r="F52" s="203"/>
    </row>
    <row r="53" customFormat="false" ht="14.25" hidden="false" customHeight="true" outlineLevel="0" collapsed="false">
      <c r="A53" s="203"/>
      <c r="B53" s="203"/>
      <c r="C53" s="203"/>
      <c r="D53" s="203"/>
      <c r="E53" s="206"/>
      <c r="F53" s="203"/>
    </row>
    <row r="54" customFormat="false" ht="14.25" hidden="false" customHeight="true" outlineLevel="0" collapsed="false">
      <c r="A54" s="203"/>
      <c r="B54" s="203"/>
      <c r="C54" s="203"/>
      <c r="D54" s="203"/>
      <c r="E54" s="206"/>
      <c r="F54" s="203"/>
    </row>
    <row r="55" customFormat="false" ht="14.25" hidden="false" customHeight="true" outlineLevel="0" collapsed="false">
      <c r="A55" s="203"/>
      <c r="B55" s="203"/>
      <c r="C55" s="203"/>
      <c r="D55" s="203"/>
      <c r="E55" s="206"/>
      <c r="F55" s="203"/>
    </row>
    <row r="56" customFormat="false" ht="14.25" hidden="false" customHeight="true" outlineLevel="0" collapsed="false">
      <c r="A56" s="203"/>
      <c r="B56" s="203"/>
      <c r="C56" s="203"/>
      <c r="D56" s="203"/>
      <c r="E56" s="206"/>
      <c r="F56" s="203"/>
    </row>
    <row r="57" customFormat="false" ht="14.25" hidden="false" customHeight="true" outlineLevel="0" collapsed="false">
      <c r="A57" s="203"/>
      <c r="B57" s="203"/>
      <c r="C57" s="203"/>
      <c r="D57" s="203"/>
      <c r="E57" s="206"/>
      <c r="F57" s="203"/>
    </row>
    <row r="58" customFormat="false" ht="14.25" hidden="false" customHeight="true" outlineLevel="0" collapsed="false">
      <c r="A58" s="203"/>
      <c r="B58" s="203"/>
      <c r="C58" s="203"/>
      <c r="D58" s="203"/>
      <c r="E58" s="206"/>
      <c r="F58" s="203"/>
    </row>
    <row r="59" customFormat="false" ht="14.25" hidden="false" customHeight="true" outlineLevel="0" collapsed="false">
      <c r="A59" s="203"/>
      <c r="B59" s="203"/>
      <c r="C59" s="203"/>
      <c r="D59" s="203"/>
      <c r="E59" s="206"/>
      <c r="F59" s="203"/>
    </row>
    <row r="60" customFormat="false" ht="14.25" hidden="false" customHeight="true" outlineLevel="0" collapsed="false">
      <c r="A60" s="203"/>
      <c r="B60" s="203"/>
      <c r="C60" s="203"/>
      <c r="D60" s="203"/>
      <c r="E60" s="206"/>
      <c r="F60" s="203"/>
    </row>
    <row r="61" customFormat="false" ht="14.25" hidden="false" customHeight="true" outlineLevel="0" collapsed="false">
      <c r="A61" s="203"/>
      <c r="B61" s="203"/>
      <c r="C61" s="203"/>
      <c r="D61" s="203"/>
      <c r="E61" s="206"/>
      <c r="F61" s="203"/>
    </row>
    <row r="62" customFormat="false" ht="14.25" hidden="false" customHeight="true" outlineLevel="0" collapsed="false">
      <c r="A62" s="203"/>
      <c r="B62" s="203"/>
      <c r="C62" s="203"/>
      <c r="D62" s="203"/>
      <c r="E62" s="206"/>
      <c r="F62" s="203"/>
    </row>
    <row r="63" customFormat="false" ht="14.25" hidden="false" customHeight="true" outlineLevel="0" collapsed="false">
      <c r="A63" s="203"/>
      <c r="B63" s="203"/>
      <c r="C63" s="203"/>
      <c r="D63" s="203"/>
      <c r="E63" s="206"/>
      <c r="F63" s="203"/>
    </row>
    <row r="64" customFormat="false" ht="14.25" hidden="false" customHeight="true" outlineLevel="0" collapsed="false">
      <c r="A64" s="203"/>
      <c r="B64" s="203"/>
      <c r="C64" s="203"/>
      <c r="D64" s="203"/>
      <c r="E64" s="206"/>
      <c r="F64" s="203"/>
    </row>
    <row r="65" customFormat="false" ht="14.25" hidden="false" customHeight="true" outlineLevel="0" collapsed="false">
      <c r="A65" s="203"/>
      <c r="B65" s="203"/>
      <c r="C65" s="203"/>
      <c r="D65" s="203"/>
      <c r="E65" s="206"/>
      <c r="F65" s="203"/>
    </row>
    <row r="66" customFormat="false" ht="14.25" hidden="false" customHeight="true" outlineLevel="0" collapsed="false">
      <c r="A66" s="203"/>
      <c r="B66" s="203"/>
      <c r="C66" s="203"/>
      <c r="D66" s="203"/>
      <c r="E66" s="206"/>
      <c r="F66" s="203"/>
    </row>
    <row r="67" customFormat="false" ht="14.25" hidden="false" customHeight="true" outlineLevel="0" collapsed="false">
      <c r="A67" s="203"/>
      <c r="B67" s="203"/>
      <c r="C67" s="203"/>
      <c r="D67" s="203"/>
      <c r="E67" s="206"/>
      <c r="F67" s="203"/>
    </row>
    <row r="68" customFormat="false" ht="14.25" hidden="false" customHeight="true" outlineLevel="0" collapsed="false">
      <c r="A68" s="203"/>
      <c r="B68" s="203"/>
      <c r="C68" s="203"/>
      <c r="D68" s="203"/>
      <c r="E68" s="206"/>
      <c r="F68" s="203"/>
    </row>
    <row r="69" customFormat="false" ht="14.25" hidden="false" customHeight="true" outlineLevel="0" collapsed="false">
      <c r="A69" s="203"/>
      <c r="B69" s="203"/>
      <c r="C69" s="203"/>
      <c r="D69" s="203"/>
      <c r="E69" s="206"/>
      <c r="F69" s="203"/>
    </row>
    <row r="70" customFormat="false" ht="14.25" hidden="false" customHeight="true" outlineLevel="0" collapsed="false">
      <c r="A70" s="203"/>
      <c r="B70" s="203"/>
      <c r="C70" s="203"/>
      <c r="D70" s="203"/>
      <c r="E70" s="206"/>
      <c r="F70" s="203"/>
    </row>
    <row r="71" customFormat="false" ht="14.25" hidden="false" customHeight="true" outlineLevel="0" collapsed="false">
      <c r="A71" s="203"/>
      <c r="B71" s="203"/>
      <c r="C71" s="203"/>
      <c r="D71" s="203"/>
      <c r="E71" s="206"/>
      <c r="F71" s="203"/>
    </row>
    <row r="72" customFormat="false" ht="14.25" hidden="false" customHeight="true" outlineLevel="0" collapsed="false">
      <c r="A72" s="203"/>
      <c r="B72" s="203"/>
      <c r="C72" s="203"/>
      <c r="D72" s="203"/>
      <c r="E72" s="206"/>
      <c r="F72" s="203"/>
    </row>
    <row r="73" customFormat="false" ht="14.25" hidden="false" customHeight="true" outlineLevel="0" collapsed="false">
      <c r="A73" s="203"/>
      <c r="B73" s="203"/>
      <c r="C73" s="203"/>
      <c r="D73" s="203"/>
      <c r="E73" s="206"/>
      <c r="F73" s="203"/>
    </row>
    <row r="74" customFormat="false" ht="14.25" hidden="false" customHeight="true" outlineLevel="0" collapsed="false">
      <c r="A74" s="203"/>
      <c r="B74" s="203"/>
      <c r="C74" s="203"/>
      <c r="D74" s="203"/>
      <c r="E74" s="206"/>
      <c r="F74" s="203"/>
    </row>
    <row r="75" customFormat="false" ht="14.25" hidden="false" customHeight="true" outlineLevel="0" collapsed="false">
      <c r="A75" s="203"/>
      <c r="B75" s="203"/>
      <c r="C75" s="203"/>
      <c r="D75" s="203"/>
      <c r="E75" s="206"/>
      <c r="F75" s="203"/>
    </row>
    <row r="76" customFormat="false" ht="14.25" hidden="false" customHeight="true" outlineLevel="0" collapsed="false">
      <c r="A76" s="203"/>
      <c r="B76" s="203"/>
      <c r="C76" s="203"/>
      <c r="D76" s="203"/>
      <c r="E76" s="206"/>
      <c r="F76" s="203"/>
    </row>
    <row r="77" customFormat="false" ht="14.25" hidden="false" customHeight="true" outlineLevel="0" collapsed="false">
      <c r="A77" s="203"/>
      <c r="B77" s="203"/>
      <c r="C77" s="203"/>
      <c r="D77" s="203"/>
      <c r="E77" s="206"/>
      <c r="F77" s="203"/>
    </row>
    <row r="78" customFormat="false" ht="14.25" hidden="false" customHeight="true" outlineLevel="0" collapsed="false">
      <c r="A78" s="203"/>
      <c r="B78" s="203"/>
      <c r="C78" s="203"/>
      <c r="D78" s="203"/>
      <c r="E78" s="206"/>
      <c r="F78" s="203"/>
    </row>
    <row r="79" customFormat="false" ht="14.25" hidden="false" customHeight="true" outlineLevel="0" collapsed="false">
      <c r="A79" s="203"/>
      <c r="B79" s="203"/>
      <c r="C79" s="203"/>
      <c r="D79" s="203"/>
      <c r="E79" s="206"/>
      <c r="F79" s="203"/>
    </row>
    <row r="80" customFormat="false" ht="14.25" hidden="false" customHeight="true" outlineLevel="0" collapsed="false">
      <c r="A80" s="203"/>
      <c r="B80" s="203"/>
      <c r="C80" s="203"/>
      <c r="D80" s="203"/>
      <c r="E80" s="206"/>
      <c r="F80" s="203"/>
    </row>
    <row r="81" customFormat="false" ht="14.25" hidden="false" customHeight="true" outlineLevel="0" collapsed="false">
      <c r="A81" s="203"/>
      <c r="B81" s="203"/>
      <c r="C81" s="203"/>
      <c r="D81" s="203"/>
      <c r="E81" s="206"/>
      <c r="F81" s="203"/>
    </row>
    <row r="82" customFormat="false" ht="14.25" hidden="false" customHeight="true" outlineLevel="0" collapsed="false">
      <c r="A82" s="203"/>
      <c r="B82" s="203"/>
      <c r="C82" s="203"/>
      <c r="D82" s="203"/>
      <c r="E82" s="206"/>
      <c r="F82" s="203"/>
    </row>
    <row r="83" customFormat="false" ht="14.25" hidden="false" customHeight="true" outlineLevel="0" collapsed="false">
      <c r="A83" s="203"/>
      <c r="B83" s="203"/>
      <c r="C83" s="203"/>
      <c r="D83" s="203"/>
      <c r="E83" s="206"/>
      <c r="F83" s="203"/>
    </row>
    <row r="84" customFormat="false" ht="14.25" hidden="false" customHeight="true" outlineLevel="0" collapsed="false">
      <c r="A84" s="203"/>
      <c r="B84" s="203"/>
      <c r="C84" s="203"/>
      <c r="D84" s="203"/>
      <c r="E84" s="206"/>
      <c r="F84" s="203"/>
    </row>
    <row r="85" customFormat="false" ht="14.25" hidden="false" customHeight="true" outlineLevel="0" collapsed="false">
      <c r="A85" s="203"/>
      <c r="B85" s="203"/>
      <c r="C85" s="203"/>
      <c r="D85" s="203"/>
      <c r="E85" s="206"/>
      <c r="F85" s="203"/>
    </row>
    <row r="86" customFormat="false" ht="14.25" hidden="false" customHeight="true" outlineLevel="0" collapsed="false">
      <c r="A86" s="203"/>
      <c r="B86" s="203"/>
      <c r="C86" s="203"/>
      <c r="D86" s="203"/>
      <c r="E86" s="206"/>
      <c r="F86" s="203"/>
    </row>
    <row r="87" customFormat="false" ht="14.25" hidden="false" customHeight="true" outlineLevel="0" collapsed="false">
      <c r="A87" s="203"/>
      <c r="B87" s="203"/>
      <c r="C87" s="203"/>
      <c r="D87" s="203"/>
      <c r="E87" s="206"/>
      <c r="F87" s="203"/>
    </row>
    <row r="88" customFormat="false" ht="14.25" hidden="false" customHeight="true" outlineLevel="0" collapsed="false">
      <c r="A88" s="203"/>
      <c r="B88" s="203"/>
      <c r="C88" s="203"/>
      <c r="D88" s="203"/>
      <c r="E88" s="206"/>
      <c r="F88" s="203"/>
    </row>
    <row r="89" customFormat="false" ht="14.25" hidden="false" customHeight="true" outlineLevel="0" collapsed="false">
      <c r="A89" s="203"/>
      <c r="B89" s="203"/>
      <c r="C89" s="203"/>
      <c r="D89" s="203"/>
      <c r="E89" s="206"/>
      <c r="F89" s="203"/>
    </row>
    <row r="90" customFormat="false" ht="14.25" hidden="false" customHeight="true" outlineLevel="0" collapsed="false">
      <c r="A90" s="203"/>
      <c r="B90" s="203"/>
      <c r="C90" s="203"/>
      <c r="D90" s="203"/>
      <c r="E90" s="206"/>
      <c r="F90" s="203"/>
    </row>
    <row r="91" customFormat="false" ht="14.25" hidden="false" customHeight="true" outlineLevel="0" collapsed="false">
      <c r="A91" s="203"/>
      <c r="B91" s="203"/>
      <c r="C91" s="203"/>
      <c r="D91" s="203"/>
      <c r="E91" s="206"/>
      <c r="F91" s="203"/>
    </row>
    <row r="92" customFormat="false" ht="14.25" hidden="false" customHeight="true" outlineLevel="0" collapsed="false">
      <c r="A92" s="203"/>
      <c r="B92" s="203"/>
      <c r="C92" s="203"/>
      <c r="D92" s="203"/>
      <c r="E92" s="206"/>
      <c r="F92" s="203"/>
    </row>
    <row r="93" customFormat="false" ht="14.25" hidden="false" customHeight="true" outlineLevel="0" collapsed="false">
      <c r="A93" s="203"/>
      <c r="B93" s="203"/>
      <c r="C93" s="203"/>
      <c r="D93" s="203"/>
      <c r="E93" s="206"/>
      <c r="F93" s="203"/>
    </row>
    <row r="94" customFormat="false" ht="14.25" hidden="false" customHeight="true" outlineLevel="0" collapsed="false">
      <c r="A94" s="203"/>
      <c r="B94" s="203"/>
      <c r="C94" s="203"/>
      <c r="D94" s="203"/>
      <c r="E94" s="206"/>
      <c r="F94" s="203"/>
    </row>
    <row r="95" customFormat="false" ht="14.25" hidden="false" customHeight="true" outlineLevel="0" collapsed="false">
      <c r="A95" s="203"/>
      <c r="B95" s="203"/>
      <c r="C95" s="203"/>
      <c r="D95" s="203"/>
      <c r="E95" s="206"/>
      <c r="F95" s="203"/>
    </row>
    <row r="96" customFormat="false" ht="14.25" hidden="false" customHeight="true" outlineLevel="0" collapsed="false">
      <c r="A96" s="203"/>
      <c r="B96" s="203"/>
      <c r="C96" s="203"/>
      <c r="D96" s="203"/>
      <c r="E96" s="206"/>
      <c r="F96" s="203"/>
    </row>
    <row r="97" customFormat="false" ht="14.25" hidden="false" customHeight="true" outlineLevel="0" collapsed="false">
      <c r="A97" s="203"/>
      <c r="B97" s="203"/>
      <c r="C97" s="203"/>
      <c r="D97" s="203"/>
      <c r="E97" s="206"/>
      <c r="F97" s="203"/>
    </row>
    <row r="98" customFormat="false" ht="14.25" hidden="false" customHeight="true" outlineLevel="0" collapsed="false">
      <c r="A98" s="203"/>
      <c r="B98" s="203"/>
      <c r="C98" s="203"/>
      <c r="D98" s="203"/>
      <c r="E98" s="206"/>
      <c r="F98" s="203"/>
    </row>
    <row r="99" customFormat="false" ht="14.25" hidden="false" customHeight="true" outlineLevel="0" collapsed="false">
      <c r="A99" s="203"/>
      <c r="B99" s="203"/>
      <c r="C99" s="203"/>
      <c r="D99" s="203"/>
      <c r="E99" s="206"/>
      <c r="F99" s="203"/>
    </row>
    <row r="100" customFormat="false" ht="14.25" hidden="false" customHeight="true" outlineLevel="0" collapsed="false">
      <c r="A100" s="203"/>
      <c r="B100" s="203"/>
      <c r="C100" s="203"/>
      <c r="D100" s="203"/>
      <c r="E100" s="206"/>
      <c r="F100" s="203"/>
    </row>
    <row r="101" customFormat="false" ht="14.25" hidden="false" customHeight="true" outlineLevel="0" collapsed="false">
      <c r="A101" s="203"/>
      <c r="B101" s="203"/>
      <c r="C101" s="203"/>
      <c r="D101" s="203"/>
      <c r="E101" s="206"/>
      <c r="F101" s="203"/>
    </row>
    <row r="102" customFormat="false" ht="14.25" hidden="false" customHeight="true" outlineLevel="0" collapsed="false">
      <c r="A102" s="203"/>
      <c r="B102" s="203"/>
      <c r="C102" s="203"/>
      <c r="D102" s="203"/>
      <c r="E102" s="206"/>
      <c r="F102" s="203"/>
    </row>
    <row r="103" customFormat="false" ht="14.25" hidden="false" customHeight="true" outlineLevel="0" collapsed="false">
      <c r="A103" s="203"/>
      <c r="B103" s="203"/>
      <c r="C103" s="203"/>
      <c r="D103" s="203"/>
      <c r="E103" s="206"/>
      <c r="F103" s="203"/>
    </row>
    <row r="104" customFormat="false" ht="14.25" hidden="false" customHeight="true" outlineLevel="0" collapsed="false">
      <c r="A104" s="203"/>
      <c r="B104" s="203"/>
      <c r="C104" s="203"/>
      <c r="D104" s="203"/>
      <c r="E104" s="206"/>
      <c r="F104" s="203"/>
    </row>
    <row r="105" customFormat="false" ht="14.25" hidden="false" customHeight="true" outlineLevel="0" collapsed="false">
      <c r="A105" s="203"/>
      <c r="B105" s="203"/>
      <c r="C105" s="203"/>
      <c r="D105" s="203"/>
      <c r="E105" s="206"/>
      <c r="F105" s="203"/>
    </row>
    <row r="106" customFormat="false" ht="14.25" hidden="false" customHeight="true" outlineLevel="0" collapsed="false">
      <c r="A106" s="203"/>
      <c r="B106" s="203"/>
      <c r="C106" s="203"/>
      <c r="D106" s="203"/>
      <c r="E106" s="206"/>
      <c r="F106" s="203"/>
    </row>
    <row r="107" customFormat="false" ht="14.25" hidden="false" customHeight="true" outlineLevel="0" collapsed="false">
      <c r="A107" s="203"/>
      <c r="B107" s="203"/>
      <c r="C107" s="203"/>
      <c r="D107" s="203"/>
      <c r="E107" s="206"/>
      <c r="F107" s="203"/>
    </row>
    <row r="108" customFormat="false" ht="14.25" hidden="false" customHeight="true" outlineLevel="0" collapsed="false">
      <c r="A108" s="203"/>
      <c r="B108" s="203"/>
      <c r="C108" s="203"/>
      <c r="D108" s="203"/>
      <c r="E108" s="206"/>
      <c r="F108" s="203"/>
    </row>
    <row r="109" customFormat="false" ht="14.25" hidden="false" customHeight="true" outlineLevel="0" collapsed="false">
      <c r="A109" s="203"/>
      <c r="B109" s="203"/>
      <c r="C109" s="203"/>
      <c r="D109" s="203"/>
      <c r="E109" s="206"/>
      <c r="F109" s="203"/>
    </row>
    <row r="110" customFormat="false" ht="14.25" hidden="false" customHeight="true" outlineLevel="0" collapsed="false">
      <c r="A110" s="203"/>
      <c r="B110" s="203"/>
      <c r="C110" s="203"/>
      <c r="D110" s="203"/>
      <c r="E110" s="206"/>
      <c r="F110" s="203"/>
    </row>
    <row r="111" customFormat="false" ht="14.25" hidden="false" customHeight="true" outlineLevel="0" collapsed="false">
      <c r="A111" s="203"/>
      <c r="B111" s="203"/>
      <c r="C111" s="203"/>
      <c r="D111" s="203"/>
      <c r="E111" s="206"/>
      <c r="F111" s="203"/>
    </row>
    <row r="112" customFormat="false" ht="14.25" hidden="false" customHeight="true" outlineLevel="0" collapsed="false">
      <c r="A112" s="203"/>
      <c r="B112" s="203"/>
      <c r="C112" s="203"/>
      <c r="D112" s="203"/>
      <c r="E112" s="206"/>
      <c r="F112" s="203"/>
    </row>
    <row r="113" customFormat="false" ht="14.25" hidden="false" customHeight="true" outlineLevel="0" collapsed="false">
      <c r="A113" s="203"/>
      <c r="B113" s="203"/>
      <c r="C113" s="203"/>
      <c r="D113" s="203"/>
      <c r="E113" s="206"/>
      <c r="F113" s="203"/>
    </row>
    <row r="114" customFormat="false" ht="14.25" hidden="false" customHeight="true" outlineLevel="0" collapsed="false">
      <c r="A114" s="203"/>
      <c r="B114" s="203"/>
      <c r="C114" s="203"/>
      <c r="D114" s="203"/>
      <c r="E114" s="206"/>
      <c r="F114" s="203"/>
    </row>
    <row r="115" customFormat="false" ht="14.25" hidden="false" customHeight="true" outlineLevel="0" collapsed="false">
      <c r="A115" s="203"/>
      <c r="B115" s="203"/>
      <c r="C115" s="203"/>
      <c r="D115" s="203"/>
      <c r="E115" s="206"/>
      <c r="F115" s="203"/>
    </row>
    <row r="116" customFormat="false" ht="14.25" hidden="false" customHeight="true" outlineLevel="0" collapsed="false">
      <c r="A116" s="203"/>
      <c r="B116" s="203"/>
      <c r="C116" s="203"/>
      <c r="D116" s="203"/>
      <c r="E116" s="206"/>
      <c r="F116" s="203"/>
    </row>
    <row r="117" customFormat="false" ht="14.25" hidden="false" customHeight="true" outlineLevel="0" collapsed="false">
      <c r="A117" s="203"/>
      <c r="B117" s="203"/>
      <c r="C117" s="203"/>
      <c r="D117" s="203"/>
      <c r="E117" s="206"/>
      <c r="F117" s="203"/>
    </row>
    <row r="118" customFormat="false" ht="14.25" hidden="false" customHeight="true" outlineLevel="0" collapsed="false">
      <c r="A118" s="203"/>
      <c r="B118" s="203"/>
      <c r="C118" s="203"/>
      <c r="D118" s="203"/>
      <c r="E118" s="206"/>
      <c r="F118" s="203"/>
    </row>
    <row r="119" customFormat="false" ht="14.25" hidden="false" customHeight="true" outlineLevel="0" collapsed="false">
      <c r="A119" s="203"/>
      <c r="B119" s="203"/>
      <c r="C119" s="203"/>
      <c r="D119" s="203"/>
      <c r="E119" s="206"/>
      <c r="F119" s="203"/>
    </row>
    <row r="120" customFormat="false" ht="14.25" hidden="false" customHeight="true" outlineLevel="0" collapsed="false">
      <c r="A120" s="203"/>
      <c r="B120" s="203"/>
      <c r="C120" s="203"/>
      <c r="D120" s="203"/>
      <c r="E120" s="206"/>
      <c r="F120" s="203"/>
    </row>
    <row r="121" customFormat="false" ht="14.25" hidden="false" customHeight="true" outlineLevel="0" collapsed="false">
      <c r="A121" s="203"/>
      <c r="B121" s="203"/>
      <c r="C121" s="203"/>
      <c r="D121" s="203"/>
      <c r="E121" s="206"/>
      <c r="F121" s="203"/>
    </row>
    <row r="122" customFormat="false" ht="14.25" hidden="false" customHeight="true" outlineLevel="0" collapsed="false">
      <c r="A122" s="203"/>
      <c r="B122" s="203"/>
      <c r="C122" s="203"/>
      <c r="D122" s="203"/>
      <c r="E122" s="206"/>
      <c r="F122" s="203"/>
    </row>
    <row r="123" customFormat="false" ht="14.25" hidden="false" customHeight="true" outlineLevel="0" collapsed="false">
      <c r="A123" s="203"/>
      <c r="B123" s="203"/>
      <c r="C123" s="203"/>
      <c r="D123" s="203"/>
      <c r="E123" s="206"/>
      <c r="F123" s="203"/>
    </row>
    <row r="124" customFormat="false" ht="14.25" hidden="false" customHeight="true" outlineLevel="0" collapsed="false">
      <c r="A124" s="203"/>
      <c r="B124" s="203"/>
      <c r="C124" s="203"/>
      <c r="D124" s="203"/>
      <c r="E124" s="206"/>
      <c r="F124" s="203"/>
    </row>
    <row r="125" customFormat="false" ht="14.25" hidden="false" customHeight="true" outlineLevel="0" collapsed="false">
      <c r="A125" s="203"/>
      <c r="B125" s="203"/>
      <c r="C125" s="203"/>
      <c r="D125" s="203"/>
      <c r="E125" s="206"/>
      <c r="F125" s="203"/>
    </row>
    <row r="126" customFormat="false" ht="14.25" hidden="false" customHeight="true" outlineLevel="0" collapsed="false">
      <c r="A126" s="203"/>
      <c r="B126" s="203"/>
      <c r="C126" s="203"/>
      <c r="D126" s="203"/>
      <c r="E126" s="206"/>
      <c r="F126" s="203"/>
    </row>
    <row r="127" customFormat="false" ht="14.25" hidden="false" customHeight="true" outlineLevel="0" collapsed="false">
      <c r="A127" s="203"/>
      <c r="B127" s="203"/>
      <c r="C127" s="203"/>
      <c r="D127" s="203"/>
      <c r="E127" s="206"/>
      <c r="F127" s="203"/>
    </row>
    <row r="128" customFormat="false" ht="14.25" hidden="false" customHeight="true" outlineLevel="0" collapsed="false">
      <c r="A128" s="203"/>
      <c r="B128" s="203"/>
      <c r="C128" s="203"/>
      <c r="D128" s="203"/>
      <c r="E128" s="206"/>
      <c r="F128" s="203"/>
    </row>
    <row r="129" customFormat="false" ht="14.25" hidden="false" customHeight="true" outlineLevel="0" collapsed="false">
      <c r="A129" s="203"/>
      <c r="B129" s="203"/>
      <c r="C129" s="203"/>
      <c r="D129" s="203"/>
      <c r="E129" s="206"/>
      <c r="F129" s="203"/>
    </row>
    <row r="130" customFormat="false" ht="14.25" hidden="false" customHeight="true" outlineLevel="0" collapsed="false">
      <c r="A130" s="203"/>
      <c r="B130" s="203"/>
      <c r="C130" s="203"/>
      <c r="D130" s="203"/>
      <c r="E130" s="206"/>
      <c r="F130" s="203"/>
    </row>
    <row r="131" customFormat="false" ht="14.25" hidden="false" customHeight="true" outlineLevel="0" collapsed="false">
      <c r="A131" s="203"/>
      <c r="B131" s="203"/>
      <c r="C131" s="203"/>
      <c r="D131" s="203"/>
      <c r="E131" s="206"/>
      <c r="F131" s="203"/>
    </row>
    <row r="132" customFormat="false" ht="14.25" hidden="false" customHeight="true" outlineLevel="0" collapsed="false">
      <c r="A132" s="203"/>
      <c r="B132" s="203"/>
      <c r="C132" s="203"/>
      <c r="D132" s="203"/>
      <c r="E132" s="206"/>
      <c r="F132" s="203"/>
    </row>
    <row r="133" customFormat="false" ht="14.25" hidden="false" customHeight="true" outlineLevel="0" collapsed="false">
      <c r="A133" s="203"/>
      <c r="B133" s="203"/>
      <c r="C133" s="203"/>
      <c r="D133" s="203"/>
      <c r="E133" s="206"/>
      <c r="F133" s="203"/>
    </row>
    <row r="134" customFormat="false" ht="14.25" hidden="false" customHeight="true" outlineLevel="0" collapsed="false">
      <c r="A134" s="203"/>
      <c r="B134" s="203"/>
      <c r="C134" s="203"/>
      <c r="D134" s="203"/>
      <c r="E134" s="206"/>
      <c r="F134" s="203"/>
    </row>
    <row r="135" customFormat="false" ht="14.25" hidden="false" customHeight="true" outlineLevel="0" collapsed="false">
      <c r="A135" s="203"/>
      <c r="B135" s="203"/>
      <c r="C135" s="203"/>
      <c r="D135" s="203"/>
      <c r="E135" s="206"/>
      <c r="F135" s="203"/>
    </row>
    <row r="136" customFormat="false" ht="14.25" hidden="false" customHeight="true" outlineLevel="0" collapsed="false">
      <c r="A136" s="203"/>
      <c r="B136" s="203"/>
      <c r="C136" s="203"/>
      <c r="D136" s="203"/>
      <c r="E136" s="206"/>
      <c r="F136" s="203"/>
    </row>
    <row r="137" customFormat="false" ht="14.25" hidden="false" customHeight="true" outlineLevel="0" collapsed="false">
      <c r="A137" s="203"/>
      <c r="B137" s="203"/>
      <c r="C137" s="203"/>
      <c r="D137" s="203"/>
      <c r="E137" s="206"/>
      <c r="F137" s="203"/>
    </row>
    <row r="138" customFormat="false" ht="14.25" hidden="false" customHeight="true" outlineLevel="0" collapsed="false">
      <c r="A138" s="203"/>
      <c r="B138" s="203"/>
      <c r="C138" s="203"/>
      <c r="D138" s="203"/>
      <c r="E138" s="206"/>
      <c r="F138" s="203"/>
    </row>
    <row r="139" customFormat="false" ht="14.25" hidden="false" customHeight="true" outlineLevel="0" collapsed="false">
      <c r="A139" s="203"/>
      <c r="B139" s="203"/>
      <c r="C139" s="203"/>
      <c r="D139" s="203"/>
      <c r="E139" s="206"/>
      <c r="F139" s="203"/>
    </row>
    <row r="140" customFormat="false" ht="14.25" hidden="false" customHeight="true" outlineLevel="0" collapsed="false">
      <c r="A140" s="203"/>
      <c r="B140" s="203"/>
      <c r="C140" s="203"/>
      <c r="D140" s="203"/>
      <c r="E140" s="206"/>
      <c r="F140" s="203"/>
    </row>
    <row r="141" customFormat="false" ht="14.25" hidden="false" customHeight="true" outlineLevel="0" collapsed="false">
      <c r="A141" s="203"/>
      <c r="B141" s="203"/>
      <c r="C141" s="203"/>
      <c r="D141" s="203"/>
      <c r="E141" s="206"/>
      <c r="F141" s="203"/>
    </row>
    <row r="142" customFormat="false" ht="14.25" hidden="false" customHeight="true" outlineLevel="0" collapsed="false">
      <c r="A142" s="203"/>
      <c r="B142" s="203"/>
      <c r="C142" s="203"/>
      <c r="D142" s="203"/>
      <c r="E142" s="206"/>
      <c r="F142" s="203"/>
    </row>
    <row r="143" customFormat="false" ht="14.25" hidden="false" customHeight="true" outlineLevel="0" collapsed="false">
      <c r="A143" s="203"/>
      <c r="B143" s="203"/>
      <c r="C143" s="203"/>
      <c r="D143" s="203"/>
      <c r="E143" s="206"/>
      <c r="F143" s="203"/>
    </row>
    <row r="144" customFormat="false" ht="14.25" hidden="false" customHeight="true" outlineLevel="0" collapsed="false">
      <c r="A144" s="203"/>
      <c r="B144" s="203"/>
      <c r="C144" s="203"/>
      <c r="D144" s="203"/>
      <c r="E144" s="206"/>
      <c r="F144" s="203"/>
    </row>
    <row r="145" customFormat="false" ht="14.25" hidden="false" customHeight="true" outlineLevel="0" collapsed="false">
      <c r="A145" s="203"/>
      <c r="B145" s="203"/>
      <c r="C145" s="203"/>
      <c r="D145" s="203"/>
      <c r="E145" s="206"/>
      <c r="F145" s="203"/>
    </row>
    <row r="146" customFormat="false" ht="14.25" hidden="false" customHeight="true" outlineLevel="0" collapsed="false">
      <c r="A146" s="203"/>
      <c r="B146" s="203"/>
      <c r="C146" s="203"/>
      <c r="D146" s="203"/>
      <c r="E146" s="206"/>
      <c r="F146" s="203"/>
    </row>
    <row r="147" customFormat="false" ht="14.25" hidden="false" customHeight="true" outlineLevel="0" collapsed="false">
      <c r="A147" s="203"/>
      <c r="B147" s="203"/>
      <c r="C147" s="203"/>
      <c r="D147" s="203"/>
      <c r="E147" s="206"/>
      <c r="F147" s="203"/>
    </row>
    <row r="148" customFormat="false" ht="14.25" hidden="false" customHeight="true" outlineLevel="0" collapsed="false">
      <c r="A148" s="203"/>
      <c r="B148" s="203"/>
      <c r="C148" s="203"/>
      <c r="D148" s="203"/>
      <c r="E148" s="206"/>
      <c r="F148" s="203"/>
    </row>
    <row r="149" customFormat="false" ht="14.25" hidden="false" customHeight="true" outlineLevel="0" collapsed="false">
      <c r="A149" s="203"/>
      <c r="B149" s="203"/>
      <c r="C149" s="203"/>
      <c r="D149" s="203"/>
      <c r="E149" s="206"/>
      <c r="F149" s="203"/>
    </row>
    <row r="150" customFormat="false" ht="14.25" hidden="false" customHeight="true" outlineLevel="0" collapsed="false">
      <c r="A150" s="203"/>
      <c r="B150" s="203"/>
      <c r="C150" s="203"/>
      <c r="D150" s="203"/>
      <c r="E150" s="206"/>
      <c r="F150" s="203"/>
    </row>
    <row r="151" customFormat="false" ht="14.25" hidden="false" customHeight="true" outlineLevel="0" collapsed="false">
      <c r="A151" s="203"/>
      <c r="B151" s="203"/>
      <c r="C151" s="203"/>
      <c r="D151" s="203"/>
      <c r="E151" s="206"/>
      <c r="F151" s="203"/>
    </row>
    <row r="152" customFormat="false" ht="14.25" hidden="false" customHeight="true" outlineLevel="0" collapsed="false">
      <c r="A152" s="203"/>
      <c r="B152" s="203"/>
      <c r="C152" s="203"/>
      <c r="D152" s="203"/>
      <c r="E152" s="206"/>
      <c r="F152" s="203"/>
    </row>
    <row r="153" customFormat="false" ht="14.25" hidden="false" customHeight="true" outlineLevel="0" collapsed="false">
      <c r="A153" s="203"/>
      <c r="B153" s="203"/>
      <c r="C153" s="203"/>
      <c r="D153" s="203"/>
      <c r="E153" s="206"/>
      <c r="F153" s="203"/>
    </row>
    <row r="154" customFormat="false" ht="14.25" hidden="false" customHeight="true" outlineLevel="0" collapsed="false">
      <c r="A154" s="203"/>
      <c r="B154" s="203"/>
      <c r="C154" s="203"/>
      <c r="D154" s="203"/>
      <c r="E154" s="206"/>
      <c r="F154" s="203"/>
    </row>
    <row r="155" customFormat="false" ht="14.25" hidden="false" customHeight="true" outlineLevel="0" collapsed="false">
      <c r="A155" s="203"/>
      <c r="B155" s="203"/>
      <c r="C155" s="203"/>
      <c r="D155" s="203"/>
      <c r="E155" s="206"/>
      <c r="F155" s="203"/>
    </row>
    <row r="156" customFormat="false" ht="14.25" hidden="false" customHeight="true" outlineLevel="0" collapsed="false">
      <c r="A156" s="203"/>
      <c r="B156" s="203"/>
      <c r="C156" s="203"/>
      <c r="D156" s="203"/>
      <c r="E156" s="206"/>
      <c r="F156" s="203"/>
    </row>
    <row r="157" customFormat="false" ht="14.25" hidden="false" customHeight="true" outlineLevel="0" collapsed="false">
      <c r="A157" s="203"/>
      <c r="B157" s="203"/>
      <c r="C157" s="203"/>
      <c r="D157" s="203"/>
      <c r="E157" s="206"/>
      <c r="F157" s="203"/>
    </row>
    <row r="158" customFormat="false" ht="14.25" hidden="false" customHeight="true" outlineLevel="0" collapsed="false">
      <c r="A158" s="203"/>
      <c r="B158" s="203"/>
      <c r="C158" s="203"/>
      <c r="D158" s="203"/>
      <c r="E158" s="206"/>
      <c r="F158" s="203"/>
    </row>
    <row r="159" customFormat="false" ht="14.25" hidden="false" customHeight="true" outlineLevel="0" collapsed="false">
      <c r="A159" s="203"/>
      <c r="B159" s="203"/>
      <c r="C159" s="203"/>
      <c r="D159" s="203"/>
      <c r="E159" s="206"/>
      <c r="F159" s="203"/>
    </row>
    <row r="160" customFormat="false" ht="14.25" hidden="false" customHeight="true" outlineLevel="0" collapsed="false">
      <c r="A160" s="203"/>
      <c r="B160" s="203"/>
      <c r="C160" s="203"/>
      <c r="D160" s="203"/>
      <c r="E160" s="206"/>
      <c r="F160" s="203"/>
    </row>
    <row r="161" customFormat="false" ht="14.25" hidden="false" customHeight="true" outlineLevel="0" collapsed="false">
      <c r="A161" s="203"/>
      <c r="B161" s="203"/>
      <c r="C161" s="203"/>
      <c r="D161" s="203"/>
      <c r="E161" s="206"/>
      <c r="F161" s="203"/>
    </row>
    <row r="162" customFormat="false" ht="14.25" hidden="false" customHeight="true" outlineLevel="0" collapsed="false">
      <c r="A162" s="203"/>
      <c r="B162" s="203"/>
      <c r="C162" s="203"/>
      <c r="D162" s="203"/>
      <c r="E162" s="206"/>
      <c r="F162" s="203"/>
    </row>
    <row r="163" customFormat="false" ht="14.25" hidden="false" customHeight="true" outlineLevel="0" collapsed="false">
      <c r="A163" s="203"/>
      <c r="B163" s="203"/>
      <c r="C163" s="203"/>
      <c r="D163" s="203"/>
      <c r="E163" s="206"/>
      <c r="F163" s="203"/>
    </row>
    <row r="164" customFormat="false" ht="14.25" hidden="false" customHeight="true" outlineLevel="0" collapsed="false">
      <c r="A164" s="203"/>
      <c r="B164" s="203"/>
      <c r="C164" s="203"/>
      <c r="D164" s="203"/>
      <c r="E164" s="206"/>
      <c r="F164" s="203"/>
    </row>
    <row r="165" customFormat="false" ht="14.25" hidden="false" customHeight="true" outlineLevel="0" collapsed="false">
      <c r="A165" s="203"/>
      <c r="B165" s="203"/>
      <c r="C165" s="203"/>
      <c r="D165" s="203"/>
      <c r="E165" s="206"/>
      <c r="F165" s="203"/>
    </row>
    <row r="166" customFormat="false" ht="14.25" hidden="false" customHeight="true" outlineLevel="0" collapsed="false">
      <c r="A166" s="203"/>
      <c r="B166" s="203"/>
      <c r="C166" s="203"/>
      <c r="D166" s="203"/>
      <c r="E166" s="206"/>
      <c r="F166" s="203"/>
    </row>
    <row r="167" customFormat="false" ht="14.25" hidden="false" customHeight="true" outlineLevel="0" collapsed="false">
      <c r="A167" s="203"/>
      <c r="B167" s="203"/>
      <c r="C167" s="203"/>
      <c r="D167" s="203"/>
      <c r="E167" s="206"/>
      <c r="F167" s="203"/>
    </row>
    <row r="168" customFormat="false" ht="14.25" hidden="false" customHeight="true" outlineLevel="0" collapsed="false">
      <c r="A168" s="203"/>
      <c r="B168" s="203"/>
      <c r="C168" s="203"/>
      <c r="D168" s="203"/>
      <c r="E168" s="206"/>
      <c r="F168" s="203"/>
    </row>
    <row r="169" customFormat="false" ht="14.25" hidden="false" customHeight="true" outlineLevel="0" collapsed="false">
      <c r="A169" s="203"/>
      <c r="B169" s="203"/>
      <c r="C169" s="203"/>
      <c r="D169" s="203"/>
      <c r="E169" s="206"/>
      <c r="F169" s="203"/>
    </row>
    <row r="170" customFormat="false" ht="14.25" hidden="false" customHeight="true" outlineLevel="0" collapsed="false">
      <c r="A170" s="203"/>
      <c r="B170" s="203"/>
      <c r="C170" s="203"/>
      <c r="D170" s="203"/>
      <c r="E170" s="206"/>
      <c r="F170" s="203"/>
    </row>
    <row r="171" customFormat="false" ht="14.25" hidden="false" customHeight="true" outlineLevel="0" collapsed="false">
      <c r="A171" s="203"/>
      <c r="B171" s="203"/>
      <c r="C171" s="203"/>
      <c r="D171" s="203"/>
      <c r="E171" s="206"/>
      <c r="F171" s="203"/>
    </row>
    <row r="172" customFormat="false" ht="14.25" hidden="false" customHeight="true" outlineLevel="0" collapsed="false">
      <c r="A172" s="203"/>
      <c r="B172" s="203"/>
      <c r="C172" s="203"/>
      <c r="D172" s="203"/>
      <c r="E172" s="206"/>
      <c r="F172" s="203"/>
    </row>
    <row r="173" customFormat="false" ht="14.25" hidden="false" customHeight="true" outlineLevel="0" collapsed="false">
      <c r="A173" s="203"/>
      <c r="B173" s="203"/>
      <c r="C173" s="203"/>
      <c r="D173" s="203"/>
      <c r="E173" s="206"/>
      <c r="F173" s="203"/>
    </row>
    <row r="174" customFormat="false" ht="14.25" hidden="false" customHeight="true" outlineLevel="0" collapsed="false">
      <c r="A174" s="203"/>
      <c r="B174" s="203"/>
      <c r="C174" s="203"/>
      <c r="D174" s="203"/>
      <c r="E174" s="206"/>
      <c r="F174" s="203"/>
    </row>
    <row r="175" customFormat="false" ht="14.25" hidden="false" customHeight="true" outlineLevel="0" collapsed="false">
      <c r="A175" s="203"/>
      <c r="B175" s="203"/>
      <c r="C175" s="203"/>
      <c r="D175" s="203"/>
      <c r="E175" s="206"/>
      <c r="F175" s="203"/>
    </row>
    <row r="176" customFormat="false" ht="14.25" hidden="false" customHeight="true" outlineLevel="0" collapsed="false">
      <c r="A176" s="203"/>
      <c r="B176" s="203"/>
      <c r="C176" s="203"/>
      <c r="D176" s="203"/>
      <c r="E176" s="206"/>
      <c r="F176" s="203"/>
    </row>
    <row r="177" customFormat="false" ht="14.25" hidden="false" customHeight="true" outlineLevel="0" collapsed="false">
      <c r="A177" s="203"/>
      <c r="B177" s="203"/>
      <c r="C177" s="203"/>
      <c r="D177" s="203"/>
      <c r="E177" s="206"/>
      <c r="F177" s="203"/>
    </row>
    <row r="178" customFormat="false" ht="14.25" hidden="false" customHeight="true" outlineLevel="0" collapsed="false">
      <c r="A178" s="203"/>
      <c r="B178" s="203"/>
      <c r="C178" s="203"/>
      <c r="D178" s="203"/>
      <c r="E178" s="206"/>
      <c r="F178" s="203"/>
    </row>
    <row r="179" customFormat="false" ht="14.25" hidden="false" customHeight="true" outlineLevel="0" collapsed="false">
      <c r="A179" s="203"/>
      <c r="B179" s="203"/>
      <c r="C179" s="203"/>
      <c r="D179" s="203"/>
      <c r="E179" s="206"/>
      <c r="F179" s="203"/>
    </row>
    <row r="180" customFormat="false" ht="14.25" hidden="false" customHeight="true" outlineLevel="0" collapsed="false">
      <c r="A180" s="203"/>
      <c r="B180" s="203"/>
      <c r="C180" s="203"/>
      <c r="D180" s="203"/>
      <c r="E180" s="206"/>
      <c r="F180" s="203"/>
    </row>
    <row r="181" customFormat="false" ht="14.25" hidden="false" customHeight="true" outlineLevel="0" collapsed="false">
      <c r="A181" s="203"/>
      <c r="B181" s="203"/>
      <c r="C181" s="203"/>
      <c r="D181" s="203"/>
      <c r="E181" s="206"/>
      <c r="F181" s="203"/>
    </row>
    <row r="182" customFormat="false" ht="14.25" hidden="false" customHeight="true" outlineLevel="0" collapsed="false">
      <c r="A182" s="203"/>
      <c r="B182" s="203"/>
      <c r="C182" s="203"/>
      <c r="D182" s="203"/>
      <c r="E182" s="206"/>
      <c r="F182" s="203"/>
    </row>
    <row r="183" customFormat="false" ht="14.25" hidden="false" customHeight="true" outlineLevel="0" collapsed="false">
      <c r="A183" s="203"/>
      <c r="B183" s="203"/>
      <c r="C183" s="203"/>
      <c r="D183" s="203"/>
      <c r="E183" s="206"/>
      <c r="F183" s="203"/>
    </row>
    <row r="184" customFormat="false" ht="14.25" hidden="false" customHeight="true" outlineLevel="0" collapsed="false">
      <c r="A184" s="203"/>
      <c r="B184" s="203"/>
      <c r="C184" s="203"/>
      <c r="D184" s="203"/>
      <c r="E184" s="206"/>
      <c r="F184" s="203"/>
    </row>
    <row r="185" customFormat="false" ht="14.25" hidden="false" customHeight="true" outlineLevel="0" collapsed="false">
      <c r="A185" s="203"/>
      <c r="B185" s="203"/>
      <c r="C185" s="203"/>
      <c r="D185" s="203"/>
      <c r="E185" s="206"/>
      <c r="F185" s="203"/>
    </row>
    <row r="186" customFormat="false" ht="14.25" hidden="false" customHeight="true" outlineLevel="0" collapsed="false">
      <c r="A186" s="203"/>
      <c r="B186" s="203"/>
      <c r="C186" s="203"/>
      <c r="D186" s="203"/>
      <c r="E186" s="206"/>
      <c r="F186" s="203"/>
    </row>
    <row r="187" customFormat="false" ht="14.25" hidden="false" customHeight="true" outlineLevel="0" collapsed="false">
      <c r="A187" s="203"/>
      <c r="B187" s="203"/>
      <c r="C187" s="203"/>
      <c r="D187" s="203"/>
      <c r="E187" s="206"/>
      <c r="F187" s="203"/>
    </row>
    <row r="188" customFormat="false" ht="14.25" hidden="false" customHeight="true" outlineLevel="0" collapsed="false">
      <c r="A188" s="203"/>
      <c r="B188" s="203"/>
      <c r="C188" s="203"/>
      <c r="D188" s="203"/>
      <c r="E188" s="206"/>
      <c r="F188" s="203"/>
    </row>
    <row r="189" customFormat="false" ht="14.25" hidden="false" customHeight="true" outlineLevel="0" collapsed="false">
      <c r="A189" s="203"/>
      <c r="B189" s="203"/>
      <c r="C189" s="203"/>
      <c r="D189" s="203"/>
      <c r="E189" s="206"/>
      <c r="F189" s="203"/>
    </row>
    <row r="190" customFormat="false" ht="14.25" hidden="false" customHeight="true" outlineLevel="0" collapsed="false">
      <c r="A190" s="203"/>
      <c r="B190" s="203"/>
      <c r="C190" s="203"/>
      <c r="D190" s="203"/>
      <c r="E190" s="206"/>
      <c r="F190" s="203"/>
    </row>
    <row r="191" customFormat="false" ht="14.25" hidden="false" customHeight="true" outlineLevel="0" collapsed="false">
      <c r="A191" s="203"/>
      <c r="B191" s="203"/>
      <c r="C191" s="203"/>
      <c r="D191" s="203"/>
      <c r="E191" s="206"/>
      <c r="F191" s="203"/>
    </row>
    <row r="192" customFormat="false" ht="14.25" hidden="false" customHeight="true" outlineLevel="0" collapsed="false">
      <c r="A192" s="203"/>
      <c r="B192" s="203"/>
      <c r="C192" s="203"/>
      <c r="D192" s="203"/>
      <c r="E192" s="206"/>
      <c r="F192" s="203"/>
    </row>
    <row r="193" customFormat="false" ht="14.25" hidden="false" customHeight="true" outlineLevel="0" collapsed="false">
      <c r="A193" s="203"/>
      <c r="B193" s="203"/>
      <c r="C193" s="203"/>
      <c r="D193" s="203"/>
      <c r="E193" s="206"/>
      <c r="F193" s="203"/>
    </row>
    <row r="194" customFormat="false" ht="14.25" hidden="false" customHeight="true" outlineLevel="0" collapsed="false">
      <c r="A194" s="203"/>
      <c r="B194" s="203"/>
      <c r="C194" s="203"/>
      <c r="D194" s="203"/>
      <c r="E194" s="206"/>
      <c r="F194" s="203"/>
    </row>
    <row r="195" customFormat="false" ht="14.25" hidden="false" customHeight="true" outlineLevel="0" collapsed="false">
      <c r="A195" s="203"/>
      <c r="B195" s="203"/>
      <c r="C195" s="203"/>
      <c r="D195" s="203"/>
      <c r="E195" s="206"/>
      <c r="F195" s="203"/>
    </row>
    <row r="196" customFormat="false" ht="14.25" hidden="false" customHeight="true" outlineLevel="0" collapsed="false">
      <c r="A196" s="203"/>
      <c r="B196" s="203"/>
      <c r="C196" s="203"/>
      <c r="D196" s="203"/>
      <c r="E196" s="206"/>
      <c r="F196" s="203"/>
    </row>
    <row r="197" customFormat="false" ht="14.25" hidden="false" customHeight="true" outlineLevel="0" collapsed="false">
      <c r="A197" s="203"/>
      <c r="B197" s="203"/>
      <c r="C197" s="203"/>
      <c r="D197" s="203"/>
      <c r="E197" s="206"/>
      <c r="F197" s="203"/>
    </row>
    <row r="198" customFormat="false" ht="14.25" hidden="false" customHeight="true" outlineLevel="0" collapsed="false">
      <c r="A198" s="203"/>
      <c r="B198" s="203"/>
      <c r="C198" s="203"/>
      <c r="D198" s="203"/>
      <c r="E198" s="206"/>
      <c r="F198" s="203"/>
    </row>
    <row r="199" customFormat="false" ht="14.25" hidden="false" customHeight="true" outlineLevel="0" collapsed="false">
      <c r="A199" s="203"/>
      <c r="B199" s="203"/>
      <c r="C199" s="203"/>
      <c r="D199" s="203"/>
      <c r="E199" s="206"/>
      <c r="F199" s="203"/>
    </row>
    <row r="200" customFormat="false" ht="14.25" hidden="false" customHeight="true" outlineLevel="0" collapsed="false">
      <c r="A200" s="203"/>
      <c r="B200" s="203"/>
      <c r="C200" s="203"/>
      <c r="D200" s="203"/>
      <c r="E200" s="206"/>
      <c r="F200" s="203"/>
    </row>
    <row r="201" customFormat="false" ht="14.25" hidden="false" customHeight="true" outlineLevel="0" collapsed="false">
      <c r="A201" s="203"/>
      <c r="B201" s="203"/>
      <c r="C201" s="203"/>
      <c r="D201" s="203"/>
      <c r="E201" s="206"/>
      <c r="F201" s="203"/>
    </row>
    <row r="202" customFormat="false" ht="14.25" hidden="false" customHeight="true" outlineLevel="0" collapsed="false">
      <c r="A202" s="203"/>
      <c r="B202" s="203"/>
      <c r="C202" s="203"/>
      <c r="D202" s="203"/>
      <c r="E202" s="206"/>
      <c r="F202" s="203"/>
    </row>
    <row r="203" customFormat="false" ht="14.25" hidden="false" customHeight="true" outlineLevel="0" collapsed="false">
      <c r="A203" s="203"/>
      <c r="B203" s="203"/>
      <c r="C203" s="203"/>
      <c r="D203" s="203"/>
      <c r="E203" s="206"/>
      <c r="F203" s="203"/>
    </row>
    <row r="204" customFormat="false" ht="14.25" hidden="false" customHeight="true" outlineLevel="0" collapsed="false">
      <c r="A204" s="203"/>
      <c r="B204" s="203"/>
      <c r="C204" s="203"/>
      <c r="D204" s="203"/>
      <c r="E204" s="206"/>
      <c r="F204" s="203"/>
    </row>
    <row r="205" customFormat="false" ht="14.25" hidden="false" customHeight="true" outlineLevel="0" collapsed="false">
      <c r="A205" s="203"/>
      <c r="B205" s="203"/>
      <c r="C205" s="203"/>
      <c r="D205" s="203"/>
      <c r="E205" s="206"/>
      <c r="F205" s="203"/>
    </row>
    <row r="206" customFormat="false" ht="14.25" hidden="false" customHeight="true" outlineLevel="0" collapsed="false">
      <c r="A206" s="203"/>
      <c r="B206" s="203"/>
      <c r="C206" s="203"/>
      <c r="D206" s="203"/>
      <c r="E206" s="206"/>
      <c r="F206" s="203"/>
    </row>
    <row r="207" customFormat="false" ht="14.25" hidden="false" customHeight="true" outlineLevel="0" collapsed="false">
      <c r="A207" s="203"/>
      <c r="B207" s="203"/>
      <c r="C207" s="203"/>
      <c r="D207" s="203"/>
      <c r="E207" s="206"/>
      <c r="F207" s="203"/>
    </row>
    <row r="208" customFormat="false" ht="14.25" hidden="false" customHeight="true" outlineLevel="0" collapsed="false">
      <c r="A208" s="203"/>
      <c r="B208" s="203"/>
      <c r="C208" s="203"/>
      <c r="D208" s="203"/>
      <c r="E208" s="206"/>
      <c r="F208" s="203"/>
    </row>
    <row r="209" customFormat="false" ht="14.25" hidden="false" customHeight="true" outlineLevel="0" collapsed="false">
      <c r="A209" s="203"/>
      <c r="B209" s="203"/>
      <c r="C209" s="203"/>
      <c r="D209" s="203"/>
      <c r="E209" s="206"/>
      <c r="F209" s="203"/>
    </row>
    <row r="210" customFormat="false" ht="14.25" hidden="false" customHeight="true" outlineLevel="0" collapsed="false">
      <c r="A210" s="203"/>
      <c r="B210" s="203"/>
      <c r="C210" s="203"/>
      <c r="D210" s="203"/>
      <c r="E210" s="206"/>
      <c r="F210" s="203"/>
    </row>
    <row r="211" customFormat="false" ht="14.25" hidden="false" customHeight="true" outlineLevel="0" collapsed="false">
      <c r="A211" s="203"/>
      <c r="B211" s="203"/>
      <c r="C211" s="203"/>
      <c r="D211" s="203"/>
      <c r="E211" s="206"/>
      <c r="F211" s="203"/>
    </row>
    <row r="212" customFormat="false" ht="14.25" hidden="false" customHeight="true" outlineLevel="0" collapsed="false">
      <c r="A212" s="203"/>
      <c r="B212" s="203"/>
      <c r="C212" s="203"/>
      <c r="D212" s="203"/>
      <c r="E212" s="206"/>
      <c r="F212" s="203"/>
    </row>
    <row r="213" customFormat="false" ht="14.25" hidden="false" customHeight="true" outlineLevel="0" collapsed="false">
      <c r="A213" s="203"/>
      <c r="B213" s="203"/>
      <c r="C213" s="203"/>
      <c r="D213" s="203"/>
      <c r="E213" s="206"/>
      <c r="F213" s="203"/>
    </row>
    <row r="214" customFormat="false" ht="14.25" hidden="false" customHeight="true" outlineLevel="0" collapsed="false">
      <c r="A214" s="203"/>
      <c r="B214" s="203"/>
      <c r="C214" s="203"/>
      <c r="D214" s="203"/>
      <c r="E214" s="206"/>
      <c r="F214" s="203"/>
    </row>
    <row r="215" customFormat="false" ht="14.25" hidden="false" customHeight="true" outlineLevel="0" collapsed="false">
      <c r="A215" s="203"/>
      <c r="B215" s="203"/>
      <c r="C215" s="203"/>
      <c r="D215" s="203"/>
      <c r="E215" s="206"/>
      <c r="F215" s="203"/>
    </row>
    <row r="216" customFormat="false" ht="14.25" hidden="false" customHeight="true" outlineLevel="0" collapsed="false">
      <c r="A216" s="203"/>
      <c r="B216" s="203"/>
      <c r="C216" s="203"/>
      <c r="D216" s="203"/>
      <c r="E216" s="206"/>
      <c r="F216" s="203"/>
    </row>
    <row r="217" customFormat="false" ht="14.25" hidden="false" customHeight="true" outlineLevel="0" collapsed="false">
      <c r="A217" s="203"/>
      <c r="B217" s="203"/>
      <c r="C217" s="203"/>
      <c r="D217" s="203"/>
      <c r="E217" s="206"/>
      <c r="F217" s="203"/>
    </row>
    <row r="218" customFormat="false" ht="14.25" hidden="false" customHeight="true" outlineLevel="0" collapsed="false">
      <c r="A218" s="203"/>
      <c r="B218" s="203"/>
      <c r="C218" s="203"/>
      <c r="D218" s="203"/>
      <c r="E218" s="206"/>
      <c r="F218" s="203"/>
    </row>
    <row r="219" customFormat="false" ht="14.25" hidden="false" customHeight="true" outlineLevel="0" collapsed="false">
      <c r="A219" s="203"/>
      <c r="B219" s="203"/>
      <c r="C219" s="203"/>
      <c r="D219" s="203"/>
      <c r="E219" s="206"/>
      <c r="F219" s="203"/>
    </row>
    <row r="220" customFormat="false" ht="14.25" hidden="false" customHeight="true" outlineLevel="0" collapsed="false">
      <c r="A220" s="203"/>
      <c r="B220" s="203"/>
      <c r="C220" s="203"/>
      <c r="D220" s="203"/>
      <c r="E220" s="206"/>
      <c r="F220" s="203"/>
    </row>
    <row r="221" customFormat="false" ht="14.25" hidden="false" customHeight="true" outlineLevel="0" collapsed="false">
      <c r="A221" s="203"/>
      <c r="B221" s="203"/>
      <c r="C221" s="203"/>
      <c r="D221" s="203"/>
      <c r="E221" s="206"/>
      <c r="F221" s="203"/>
    </row>
    <row r="222" customFormat="false" ht="14.25" hidden="false" customHeight="true" outlineLevel="0" collapsed="false">
      <c r="A222" s="203"/>
      <c r="B222" s="203"/>
      <c r="C222" s="203"/>
      <c r="D222" s="203"/>
      <c r="E222" s="206"/>
      <c r="F222" s="203"/>
    </row>
    <row r="223" customFormat="false" ht="14.25" hidden="false" customHeight="true" outlineLevel="0" collapsed="false">
      <c r="A223" s="203"/>
      <c r="B223" s="203"/>
      <c r="C223" s="203"/>
      <c r="D223" s="203"/>
      <c r="E223" s="206"/>
      <c r="F223" s="203"/>
    </row>
    <row r="224" customFormat="false" ht="14.25" hidden="false" customHeight="true" outlineLevel="0" collapsed="false">
      <c r="A224" s="203"/>
      <c r="B224" s="203"/>
      <c r="C224" s="203"/>
      <c r="D224" s="203"/>
      <c r="E224" s="206"/>
      <c r="F224" s="203"/>
    </row>
    <row r="225" customFormat="false" ht="14.25" hidden="false" customHeight="true" outlineLevel="0" collapsed="false">
      <c r="A225" s="203"/>
      <c r="B225" s="203"/>
      <c r="C225" s="203"/>
      <c r="D225" s="203"/>
      <c r="E225" s="206"/>
      <c r="F225" s="203"/>
    </row>
    <row r="226" customFormat="false" ht="14.25" hidden="false" customHeight="true" outlineLevel="0" collapsed="false">
      <c r="A226" s="203"/>
      <c r="B226" s="203"/>
      <c r="C226" s="203"/>
      <c r="D226" s="203"/>
      <c r="E226" s="206"/>
      <c r="F226" s="203"/>
    </row>
    <row r="227" customFormat="false" ht="14.25" hidden="false" customHeight="true" outlineLevel="0" collapsed="false">
      <c r="A227" s="203"/>
      <c r="B227" s="203"/>
      <c r="C227" s="203"/>
      <c r="D227" s="203"/>
      <c r="E227" s="206"/>
      <c r="F227" s="203"/>
    </row>
    <row r="228" customFormat="false" ht="14.25" hidden="false" customHeight="true" outlineLevel="0" collapsed="false">
      <c r="A228" s="203"/>
      <c r="B228" s="203"/>
      <c r="C228" s="203"/>
      <c r="D228" s="203"/>
      <c r="E228" s="206"/>
      <c r="F228" s="203"/>
    </row>
    <row r="229" customFormat="false" ht="14.25" hidden="false" customHeight="true" outlineLevel="0" collapsed="false">
      <c r="A229" s="203"/>
      <c r="B229" s="203"/>
      <c r="C229" s="203"/>
      <c r="D229" s="203"/>
      <c r="E229" s="206"/>
      <c r="F229" s="203"/>
    </row>
    <row r="230" customFormat="false" ht="14.25" hidden="false" customHeight="true" outlineLevel="0" collapsed="false">
      <c r="A230" s="203"/>
      <c r="B230" s="203"/>
      <c r="C230" s="203"/>
      <c r="D230" s="203"/>
      <c r="E230" s="206"/>
      <c r="F230" s="203"/>
    </row>
    <row r="231" customFormat="false" ht="14.25" hidden="false" customHeight="true" outlineLevel="0" collapsed="false">
      <c r="A231" s="203"/>
      <c r="B231" s="203"/>
      <c r="C231" s="203"/>
      <c r="D231" s="203"/>
      <c r="E231" s="206"/>
      <c r="F231" s="203"/>
    </row>
    <row r="232" customFormat="false" ht="14.25" hidden="false" customHeight="true" outlineLevel="0" collapsed="false">
      <c r="A232" s="203"/>
      <c r="B232" s="203"/>
      <c r="C232" s="203"/>
      <c r="D232" s="203"/>
      <c r="E232" s="206"/>
      <c r="F232" s="203"/>
    </row>
    <row r="233" customFormat="false" ht="14.25" hidden="false" customHeight="true" outlineLevel="0" collapsed="false">
      <c r="A233" s="203"/>
      <c r="B233" s="203"/>
      <c r="C233" s="203"/>
      <c r="D233" s="203"/>
      <c r="E233" s="206"/>
      <c r="F233" s="203"/>
    </row>
    <row r="234" customFormat="false" ht="14.25" hidden="false" customHeight="true" outlineLevel="0" collapsed="false">
      <c r="A234" s="203"/>
      <c r="B234" s="203"/>
      <c r="C234" s="203"/>
      <c r="D234" s="203"/>
      <c r="E234" s="206"/>
      <c r="F234" s="203"/>
    </row>
    <row r="235" customFormat="false" ht="14.25" hidden="false" customHeight="true" outlineLevel="0" collapsed="false">
      <c r="A235" s="203"/>
      <c r="B235" s="203"/>
      <c r="C235" s="203"/>
      <c r="D235" s="203"/>
      <c r="E235" s="206"/>
      <c r="F235" s="203"/>
    </row>
    <row r="236" customFormat="false" ht="14.25" hidden="false" customHeight="true" outlineLevel="0" collapsed="false">
      <c r="A236" s="203"/>
      <c r="B236" s="203"/>
      <c r="C236" s="203"/>
      <c r="D236" s="203"/>
      <c r="E236" s="206"/>
      <c r="F236" s="203"/>
    </row>
    <row r="237" customFormat="false" ht="14.25" hidden="false" customHeight="true" outlineLevel="0" collapsed="false">
      <c r="A237" s="203"/>
      <c r="B237" s="203"/>
      <c r="C237" s="203"/>
      <c r="D237" s="203"/>
      <c r="E237" s="206"/>
      <c r="F237" s="203"/>
    </row>
    <row r="238" customFormat="false" ht="14.25" hidden="false" customHeight="true" outlineLevel="0" collapsed="false">
      <c r="A238" s="203"/>
      <c r="B238" s="203"/>
      <c r="C238" s="203"/>
      <c r="D238" s="203"/>
      <c r="E238" s="206"/>
      <c r="F238" s="203"/>
    </row>
    <row r="239" customFormat="false" ht="14.25" hidden="false" customHeight="true" outlineLevel="0" collapsed="false">
      <c r="A239" s="203"/>
      <c r="B239" s="203"/>
      <c r="C239" s="203"/>
      <c r="D239" s="203"/>
      <c r="E239" s="206"/>
      <c r="F239" s="203"/>
    </row>
    <row r="240" customFormat="false" ht="14.25" hidden="false" customHeight="true" outlineLevel="0" collapsed="false">
      <c r="A240" s="203"/>
      <c r="B240" s="203"/>
      <c r="C240" s="203"/>
      <c r="D240" s="203"/>
      <c r="E240" s="206"/>
      <c r="F240" s="203"/>
    </row>
    <row r="241" customFormat="false" ht="14.25" hidden="false" customHeight="true" outlineLevel="0" collapsed="false">
      <c r="A241" s="203"/>
      <c r="B241" s="203"/>
      <c r="C241" s="203"/>
      <c r="D241" s="203"/>
      <c r="E241" s="206"/>
      <c r="F241" s="203"/>
    </row>
    <row r="242" customFormat="false" ht="14.25" hidden="false" customHeight="true" outlineLevel="0" collapsed="false">
      <c r="A242" s="203"/>
      <c r="B242" s="203"/>
      <c r="C242" s="203"/>
      <c r="D242" s="203"/>
      <c r="E242" s="206"/>
      <c r="F242" s="203"/>
    </row>
    <row r="243" customFormat="false" ht="14.25" hidden="false" customHeight="true" outlineLevel="0" collapsed="false">
      <c r="A243" s="203"/>
      <c r="B243" s="203"/>
      <c r="C243" s="203"/>
      <c r="D243" s="203"/>
      <c r="E243" s="206"/>
      <c r="F243" s="203"/>
    </row>
    <row r="244" customFormat="false" ht="14.25" hidden="false" customHeight="true" outlineLevel="0" collapsed="false">
      <c r="A244" s="203"/>
      <c r="B244" s="203"/>
      <c r="C244" s="203"/>
      <c r="D244" s="203"/>
      <c r="E244" s="206"/>
      <c r="F244" s="203"/>
    </row>
    <row r="245" customFormat="false" ht="14.25" hidden="false" customHeight="true" outlineLevel="0" collapsed="false">
      <c r="A245" s="203"/>
      <c r="B245" s="203"/>
      <c r="C245" s="203"/>
      <c r="D245" s="203"/>
      <c r="E245" s="206"/>
      <c r="F245" s="203"/>
    </row>
    <row r="246" customFormat="false" ht="14.25" hidden="false" customHeight="true" outlineLevel="0" collapsed="false">
      <c r="A246" s="203"/>
      <c r="B246" s="203"/>
      <c r="C246" s="203"/>
      <c r="D246" s="203"/>
      <c r="E246" s="206"/>
      <c r="F246" s="203"/>
    </row>
    <row r="247" customFormat="false" ht="14.25" hidden="false" customHeight="true" outlineLevel="0" collapsed="false">
      <c r="A247" s="203"/>
      <c r="B247" s="203"/>
      <c r="C247" s="203"/>
      <c r="D247" s="203"/>
      <c r="E247" s="206"/>
      <c r="F247" s="203"/>
    </row>
    <row r="248" customFormat="false" ht="14.25" hidden="false" customHeight="true" outlineLevel="0" collapsed="false">
      <c r="A248" s="203"/>
      <c r="B248" s="203"/>
      <c r="C248" s="203"/>
      <c r="D248" s="203"/>
      <c r="E248" s="206"/>
      <c r="F248" s="203"/>
    </row>
    <row r="249" customFormat="false" ht="14.25" hidden="false" customHeight="true" outlineLevel="0" collapsed="false">
      <c r="A249" s="203"/>
      <c r="B249" s="203"/>
      <c r="C249" s="203"/>
      <c r="D249" s="203"/>
      <c r="E249" s="206"/>
      <c r="F249" s="203"/>
    </row>
    <row r="250" customFormat="false" ht="14.25" hidden="false" customHeight="true" outlineLevel="0" collapsed="false">
      <c r="A250" s="203"/>
      <c r="B250" s="203"/>
      <c r="C250" s="203"/>
      <c r="D250" s="203"/>
      <c r="E250" s="206"/>
      <c r="F250" s="203"/>
    </row>
    <row r="251" customFormat="false" ht="14.25" hidden="false" customHeight="true" outlineLevel="0" collapsed="false">
      <c r="A251" s="203"/>
      <c r="B251" s="203"/>
      <c r="C251" s="203"/>
      <c r="D251" s="203"/>
      <c r="E251" s="206"/>
      <c r="F251" s="203"/>
    </row>
    <row r="252" customFormat="false" ht="14.25" hidden="false" customHeight="true" outlineLevel="0" collapsed="false">
      <c r="A252" s="203"/>
      <c r="B252" s="203"/>
      <c r="C252" s="203"/>
      <c r="D252" s="203"/>
      <c r="E252" s="206"/>
      <c r="F252" s="203"/>
    </row>
    <row r="253" customFormat="false" ht="14.25" hidden="false" customHeight="true" outlineLevel="0" collapsed="false">
      <c r="A253" s="203"/>
      <c r="B253" s="203"/>
      <c r="C253" s="203"/>
      <c r="D253" s="203"/>
      <c r="E253" s="206"/>
      <c r="F253" s="203"/>
    </row>
    <row r="254" customFormat="false" ht="14.25" hidden="false" customHeight="true" outlineLevel="0" collapsed="false">
      <c r="A254" s="203"/>
      <c r="B254" s="203"/>
      <c r="C254" s="203"/>
      <c r="D254" s="203"/>
      <c r="E254" s="206"/>
      <c r="F254" s="203"/>
    </row>
    <row r="255" customFormat="false" ht="14.25" hidden="false" customHeight="true" outlineLevel="0" collapsed="false">
      <c r="A255" s="203"/>
      <c r="B255" s="203"/>
      <c r="C255" s="203"/>
      <c r="D255" s="203"/>
      <c r="E255" s="206"/>
      <c r="F255" s="203"/>
    </row>
    <row r="256" customFormat="false" ht="14.25" hidden="false" customHeight="true" outlineLevel="0" collapsed="false">
      <c r="A256" s="203"/>
      <c r="B256" s="203"/>
      <c r="C256" s="203"/>
      <c r="D256" s="203"/>
      <c r="E256" s="206"/>
      <c r="F256" s="203"/>
    </row>
    <row r="257" customFormat="false" ht="14.25" hidden="false" customHeight="true" outlineLevel="0" collapsed="false">
      <c r="A257" s="203"/>
      <c r="B257" s="203"/>
      <c r="C257" s="203"/>
      <c r="D257" s="203"/>
      <c r="E257" s="206"/>
      <c r="F257" s="203"/>
    </row>
    <row r="258" customFormat="false" ht="14.25" hidden="false" customHeight="true" outlineLevel="0" collapsed="false">
      <c r="A258" s="203"/>
      <c r="B258" s="203"/>
      <c r="C258" s="203"/>
      <c r="D258" s="203"/>
      <c r="E258" s="206"/>
      <c r="F258" s="203"/>
    </row>
    <row r="259" customFormat="false" ht="14.25" hidden="false" customHeight="true" outlineLevel="0" collapsed="false">
      <c r="A259" s="203"/>
      <c r="B259" s="203"/>
      <c r="C259" s="203"/>
      <c r="D259" s="203"/>
      <c r="E259" s="206"/>
      <c r="F259" s="203"/>
    </row>
    <row r="260" customFormat="false" ht="14.25" hidden="false" customHeight="true" outlineLevel="0" collapsed="false">
      <c r="A260" s="203"/>
      <c r="B260" s="203"/>
      <c r="C260" s="203"/>
      <c r="D260" s="203"/>
      <c r="E260" s="206"/>
      <c r="F260" s="203"/>
    </row>
    <row r="261" customFormat="false" ht="14.25" hidden="false" customHeight="true" outlineLevel="0" collapsed="false">
      <c r="A261" s="203"/>
      <c r="B261" s="203"/>
      <c r="C261" s="203"/>
      <c r="D261" s="203"/>
      <c r="E261" s="206"/>
      <c r="F261" s="203"/>
    </row>
    <row r="262" customFormat="false" ht="14.25" hidden="false" customHeight="true" outlineLevel="0" collapsed="false">
      <c r="A262" s="203"/>
      <c r="B262" s="203"/>
      <c r="C262" s="203"/>
      <c r="D262" s="203"/>
      <c r="E262" s="206"/>
      <c r="F262" s="203"/>
    </row>
    <row r="263" customFormat="false" ht="14.25" hidden="false" customHeight="true" outlineLevel="0" collapsed="false">
      <c r="A263" s="203"/>
      <c r="B263" s="203"/>
      <c r="C263" s="203"/>
      <c r="D263" s="203"/>
      <c r="E263" s="206"/>
      <c r="F263" s="203"/>
    </row>
    <row r="264" customFormat="false" ht="14.25" hidden="false" customHeight="true" outlineLevel="0" collapsed="false">
      <c r="A264" s="203"/>
      <c r="B264" s="203"/>
      <c r="C264" s="203"/>
      <c r="D264" s="203"/>
      <c r="E264" s="206"/>
      <c r="F264" s="203"/>
    </row>
    <row r="265" customFormat="false" ht="14.25" hidden="false" customHeight="true" outlineLevel="0" collapsed="false">
      <c r="A265" s="203"/>
      <c r="B265" s="203"/>
      <c r="C265" s="203"/>
      <c r="D265" s="203"/>
      <c r="E265" s="206"/>
      <c r="F265" s="203"/>
    </row>
    <row r="266" customFormat="false" ht="14.25" hidden="false" customHeight="true" outlineLevel="0" collapsed="false">
      <c r="A266" s="203"/>
      <c r="B266" s="203"/>
      <c r="C266" s="203"/>
      <c r="D266" s="203"/>
      <c r="E266" s="206"/>
      <c r="F266" s="203"/>
    </row>
    <row r="267" customFormat="false" ht="14.25" hidden="false" customHeight="true" outlineLevel="0" collapsed="false">
      <c r="A267" s="203"/>
      <c r="B267" s="203"/>
      <c r="C267" s="203"/>
      <c r="D267" s="203"/>
      <c r="E267" s="206"/>
      <c r="F267" s="203"/>
    </row>
    <row r="268" customFormat="false" ht="14.25" hidden="false" customHeight="true" outlineLevel="0" collapsed="false">
      <c r="A268" s="203"/>
      <c r="B268" s="203"/>
      <c r="C268" s="203"/>
      <c r="D268" s="203"/>
      <c r="E268" s="206"/>
      <c r="F268" s="203"/>
    </row>
    <row r="269" customFormat="false" ht="14.25" hidden="false" customHeight="true" outlineLevel="0" collapsed="false">
      <c r="A269" s="203"/>
      <c r="B269" s="203"/>
      <c r="C269" s="203"/>
      <c r="D269" s="203"/>
      <c r="E269" s="206"/>
      <c r="F269" s="203"/>
    </row>
    <row r="270" customFormat="false" ht="14.25" hidden="false" customHeight="true" outlineLevel="0" collapsed="false">
      <c r="A270" s="203"/>
      <c r="B270" s="203"/>
      <c r="C270" s="203"/>
      <c r="D270" s="203"/>
      <c r="E270" s="206"/>
      <c r="F270" s="203"/>
    </row>
    <row r="271" customFormat="false" ht="14.25" hidden="false" customHeight="true" outlineLevel="0" collapsed="false">
      <c r="A271" s="203"/>
      <c r="B271" s="203"/>
      <c r="C271" s="203"/>
      <c r="D271" s="203"/>
      <c r="E271" s="206"/>
      <c r="F271" s="203"/>
    </row>
    <row r="272" customFormat="false" ht="14.25" hidden="false" customHeight="true" outlineLevel="0" collapsed="false">
      <c r="A272" s="203"/>
      <c r="B272" s="203"/>
      <c r="C272" s="203"/>
      <c r="D272" s="203"/>
      <c r="E272" s="206"/>
      <c r="F272" s="203"/>
    </row>
    <row r="273" customFormat="false" ht="14.25" hidden="false" customHeight="true" outlineLevel="0" collapsed="false">
      <c r="A273" s="203"/>
      <c r="B273" s="203"/>
      <c r="C273" s="203"/>
      <c r="D273" s="203"/>
      <c r="E273" s="206"/>
      <c r="F273" s="203"/>
    </row>
    <row r="274" customFormat="false" ht="14.25" hidden="false" customHeight="true" outlineLevel="0" collapsed="false">
      <c r="A274" s="203"/>
      <c r="B274" s="203"/>
      <c r="C274" s="203"/>
      <c r="D274" s="203"/>
      <c r="E274" s="206"/>
      <c r="F274" s="203"/>
    </row>
    <row r="275" customFormat="false" ht="14.25" hidden="false" customHeight="true" outlineLevel="0" collapsed="false">
      <c r="A275" s="203"/>
      <c r="B275" s="203"/>
      <c r="C275" s="203"/>
      <c r="D275" s="203"/>
      <c r="E275" s="206"/>
      <c r="F275" s="203"/>
    </row>
    <row r="276" customFormat="false" ht="14.25" hidden="false" customHeight="true" outlineLevel="0" collapsed="false">
      <c r="A276" s="203"/>
      <c r="B276" s="203"/>
      <c r="C276" s="203"/>
      <c r="D276" s="203"/>
      <c r="E276" s="206"/>
      <c r="F276" s="203"/>
    </row>
    <row r="277" customFormat="false" ht="14.25" hidden="false" customHeight="true" outlineLevel="0" collapsed="false">
      <c r="A277" s="203"/>
      <c r="B277" s="203"/>
      <c r="C277" s="203"/>
      <c r="D277" s="203"/>
      <c r="E277" s="206"/>
      <c r="F277" s="203"/>
    </row>
    <row r="278" customFormat="false" ht="14.25" hidden="false" customHeight="true" outlineLevel="0" collapsed="false">
      <c r="A278" s="203"/>
      <c r="B278" s="203"/>
      <c r="C278" s="203"/>
      <c r="D278" s="203"/>
      <c r="E278" s="206"/>
      <c r="F278" s="203"/>
    </row>
    <row r="279" customFormat="false" ht="14.25" hidden="false" customHeight="true" outlineLevel="0" collapsed="false">
      <c r="A279" s="203"/>
      <c r="B279" s="203"/>
      <c r="C279" s="203"/>
      <c r="D279" s="203"/>
      <c r="E279" s="206"/>
      <c r="F279" s="203"/>
    </row>
    <row r="280" customFormat="false" ht="14.25" hidden="false" customHeight="true" outlineLevel="0" collapsed="false">
      <c r="A280" s="203"/>
      <c r="B280" s="203"/>
      <c r="C280" s="203"/>
      <c r="D280" s="203"/>
      <c r="E280" s="206"/>
      <c r="F280" s="203"/>
    </row>
    <row r="281" customFormat="false" ht="14.25" hidden="false" customHeight="true" outlineLevel="0" collapsed="false">
      <c r="A281" s="203"/>
      <c r="B281" s="203"/>
      <c r="C281" s="203"/>
      <c r="D281" s="203"/>
      <c r="E281" s="206"/>
      <c r="F281" s="203"/>
    </row>
    <row r="282" customFormat="false" ht="14.25" hidden="false" customHeight="true" outlineLevel="0" collapsed="false">
      <c r="A282" s="203"/>
      <c r="B282" s="203"/>
      <c r="C282" s="203"/>
      <c r="D282" s="203"/>
      <c r="E282" s="206"/>
      <c r="F282" s="203"/>
    </row>
    <row r="283" customFormat="false" ht="14.25" hidden="false" customHeight="true" outlineLevel="0" collapsed="false">
      <c r="A283" s="203"/>
      <c r="B283" s="203"/>
      <c r="C283" s="203"/>
      <c r="D283" s="203"/>
      <c r="E283" s="206"/>
      <c r="F283" s="203"/>
    </row>
    <row r="284" customFormat="false" ht="14.25" hidden="false" customHeight="true" outlineLevel="0" collapsed="false">
      <c r="A284" s="203"/>
      <c r="B284" s="203"/>
      <c r="C284" s="203"/>
      <c r="D284" s="203"/>
      <c r="E284" s="206"/>
      <c r="F284" s="203"/>
    </row>
    <row r="285" customFormat="false" ht="14.25" hidden="false" customHeight="true" outlineLevel="0" collapsed="false">
      <c r="A285" s="203"/>
      <c r="B285" s="203"/>
      <c r="C285" s="203"/>
      <c r="D285" s="203"/>
      <c r="E285" s="206"/>
      <c r="F285" s="203"/>
    </row>
    <row r="286" customFormat="false" ht="14.25" hidden="false" customHeight="true" outlineLevel="0" collapsed="false">
      <c r="A286" s="203"/>
      <c r="B286" s="203"/>
      <c r="C286" s="203"/>
      <c r="D286" s="203"/>
      <c r="E286" s="206"/>
      <c r="F286" s="203"/>
    </row>
    <row r="287" customFormat="false" ht="14.25" hidden="false" customHeight="true" outlineLevel="0" collapsed="false">
      <c r="A287" s="203"/>
      <c r="B287" s="203"/>
      <c r="C287" s="203"/>
      <c r="D287" s="203"/>
      <c r="E287" s="206"/>
      <c r="F287" s="203"/>
    </row>
    <row r="288" customFormat="false" ht="14.25" hidden="false" customHeight="true" outlineLevel="0" collapsed="false">
      <c r="A288" s="203"/>
      <c r="B288" s="203"/>
      <c r="C288" s="203"/>
      <c r="D288" s="203"/>
      <c r="E288" s="206"/>
      <c r="F288" s="203"/>
    </row>
    <row r="289" customFormat="false" ht="14.25" hidden="false" customHeight="true" outlineLevel="0" collapsed="false">
      <c r="A289" s="203"/>
      <c r="B289" s="203"/>
      <c r="C289" s="203"/>
      <c r="D289" s="203"/>
      <c r="E289" s="206"/>
      <c r="F289" s="203"/>
    </row>
    <row r="290" customFormat="false" ht="14.25" hidden="false" customHeight="true" outlineLevel="0" collapsed="false">
      <c r="A290" s="203"/>
      <c r="B290" s="203"/>
      <c r="C290" s="203"/>
      <c r="D290" s="203"/>
      <c r="E290" s="206"/>
      <c r="F290" s="203"/>
    </row>
    <row r="291" customFormat="false" ht="14.25" hidden="false" customHeight="true" outlineLevel="0" collapsed="false">
      <c r="A291" s="203"/>
      <c r="B291" s="203"/>
      <c r="C291" s="203"/>
      <c r="D291" s="203"/>
      <c r="E291" s="206"/>
      <c r="F291" s="203"/>
    </row>
    <row r="292" customFormat="false" ht="14.25" hidden="false" customHeight="true" outlineLevel="0" collapsed="false">
      <c r="A292" s="203"/>
      <c r="B292" s="203"/>
      <c r="C292" s="203"/>
      <c r="D292" s="203"/>
      <c r="E292" s="206"/>
      <c r="F292" s="203"/>
    </row>
    <row r="293" customFormat="false" ht="14.25" hidden="false" customHeight="true" outlineLevel="0" collapsed="false">
      <c r="A293" s="203"/>
      <c r="B293" s="203"/>
      <c r="C293" s="203"/>
      <c r="D293" s="203"/>
      <c r="E293" s="206"/>
      <c r="F293" s="203"/>
    </row>
    <row r="294" customFormat="false" ht="14.25" hidden="false" customHeight="true" outlineLevel="0" collapsed="false">
      <c r="A294" s="203"/>
      <c r="B294" s="203"/>
      <c r="C294" s="203"/>
      <c r="D294" s="203"/>
      <c r="E294" s="206"/>
      <c r="F294" s="203"/>
    </row>
    <row r="295" customFormat="false" ht="14.25" hidden="false" customHeight="true" outlineLevel="0" collapsed="false">
      <c r="A295" s="203"/>
      <c r="B295" s="203"/>
      <c r="C295" s="203"/>
      <c r="D295" s="203"/>
      <c r="E295" s="206"/>
      <c r="F295" s="203"/>
    </row>
    <row r="296" customFormat="false" ht="14.25" hidden="false" customHeight="true" outlineLevel="0" collapsed="false">
      <c r="A296" s="203"/>
      <c r="B296" s="203"/>
      <c r="C296" s="203"/>
      <c r="D296" s="203"/>
      <c r="E296" s="206"/>
      <c r="F296" s="203"/>
    </row>
    <row r="297" customFormat="false" ht="14.25" hidden="false" customHeight="true" outlineLevel="0" collapsed="false">
      <c r="A297" s="203"/>
      <c r="B297" s="203"/>
      <c r="C297" s="203"/>
      <c r="D297" s="203"/>
      <c r="E297" s="206"/>
      <c r="F297" s="203"/>
    </row>
    <row r="298" customFormat="false" ht="14.25" hidden="false" customHeight="true" outlineLevel="0" collapsed="false">
      <c r="A298" s="203"/>
      <c r="B298" s="203"/>
      <c r="C298" s="203"/>
      <c r="D298" s="203"/>
      <c r="E298" s="206"/>
      <c r="F298" s="203"/>
    </row>
    <row r="299" customFormat="false" ht="14.25" hidden="false" customHeight="true" outlineLevel="0" collapsed="false">
      <c r="A299" s="203"/>
      <c r="B299" s="203"/>
      <c r="C299" s="203"/>
      <c r="D299" s="203"/>
      <c r="E299" s="206"/>
      <c r="F299" s="203"/>
    </row>
    <row r="300" customFormat="false" ht="14.25" hidden="false" customHeight="true" outlineLevel="0" collapsed="false">
      <c r="A300" s="203"/>
      <c r="B300" s="203"/>
      <c r="C300" s="203"/>
      <c r="D300" s="203"/>
      <c r="E300" s="206"/>
      <c r="F300" s="203"/>
    </row>
    <row r="301" customFormat="false" ht="14.25" hidden="false" customHeight="true" outlineLevel="0" collapsed="false">
      <c r="A301" s="203"/>
      <c r="B301" s="203"/>
      <c r="C301" s="203"/>
      <c r="D301" s="203"/>
      <c r="E301" s="206"/>
      <c r="F301" s="203"/>
    </row>
    <row r="302" customFormat="false" ht="14.25" hidden="false" customHeight="true" outlineLevel="0" collapsed="false">
      <c r="A302" s="203"/>
      <c r="B302" s="203"/>
      <c r="C302" s="203"/>
      <c r="D302" s="203"/>
      <c r="E302" s="206"/>
      <c r="F302" s="203"/>
    </row>
    <row r="303" customFormat="false" ht="14.25" hidden="false" customHeight="true" outlineLevel="0" collapsed="false">
      <c r="A303" s="203"/>
      <c r="B303" s="203"/>
      <c r="C303" s="203"/>
      <c r="D303" s="203"/>
      <c r="E303" s="206"/>
      <c r="F303" s="203"/>
    </row>
    <row r="304" customFormat="false" ht="14.25" hidden="false" customHeight="true" outlineLevel="0" collapsed="false">
      <c r="A304" s="203"/>
      <c r="B304" s="203"/>
      <c r="C304" s="203"/>
      <c r="D304" s="203"/>
      <c r="E304" s="206"/>
      <c r="F304" s="203"/>
    </row>
    <row r="305" customFormat="false" ht="14.25" hidden="false" customHeight="true" outlineLevel="0" collapsed="false">
      <c r="A305" s="203"/>
      <c r="B305" s="203"/>
      <c r="C305" s="203"/>
      <c r="D305" s="203"/>
      <c r="E305" s="206"/>
      <c r="F305" s="203"/>
    </row>
  </sheetData>
  <mergeCells count="1">
    <mergeCell ref="A1:F1"/>
  </mergeCells>
  <conditionalFormatting sqref="C5:C14">
    <cfRule type="cellIs" priority="2" operator="equal" aboveAverage="0" equalAverage="0" bottom="0" percent="0" rank="0" text="" dxfId="21">
      <formula>"Y"</formula>
    </cfRule>
  </conditionalFormatting>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legacyDrawing r:id="rId2"/>
  <tableParts>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8"/>
  <sheetViews>
    <sheetView showFormulas="false" showGridLines="false" showRowColHeaders="true" showZeros="true" rightToLeft="false" tabSelected="false" showOutlineSymbols="true" defaultGridColor="true" view="normal" topLeftCell="A7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1" width="26"/>
    <col collapsed="false" customWidth="true" hidden="false" outlineLevel="0" max="2" min="2" style="1" width="45"/>
    <col collapsed="false" customWidth="true" hidden="false" outlineLevel="0" max="3" min="3" style="1" width="10"/>
    <col collapsed="false" customWidth="true" hidden="false" outlineLevel="0" max="4" min="4" style="1" width="55"/>
    <col collapsed="false" customWidth="true" hidden="false" outlineLevel="0" max="5" min="5" style="1" width="1"/>
  </cols>
  <sheetData>
    <row r="1" customFormat="false" ht="15" hidden="false" customHeight="true" outlineLevel="0" collapsed="false">
      <c r="A1" s="207" t="s">
        <v>701</v>
      </c>
      <c r="B1" s="207"/>
      <c r="C1" s="207"/>
      <c r="D1" s="207"/>
      <c r="E1" s="207"/>
      <c r="F1" s="207"/>
    </row>
    <row r="2" customFormat="false" ht="15" hidden="false" customHeight="true" outlineLevel="0" collapsed="false">
      <c r="A2" s="208" t="s">
        <v>702</v>
      </c>
      <c r="B2" s="208"/>
      <c r="C2" s="208"/>
      <c r="D2" s="208"/>
      <c r="E2" s="208"/>
      <c r="F2" s="208"/>
    </row>
    <row r="4" customFormat="false" ht="15" hidden="false" customHeight="true" outlineLevel="0" collapsed="false">
      <c r="A4" s="209" t="s">
        <v>703</v>
      </c>
      <c r="B4" s="209"/>
      <c r="C4" s="209"/>
      <c r="D4" s="209"/>
      <c r="E4" s="209"/>
      <c r="F4" s="209"/>
    </row>
    <row r="5" customFormat="false" ht="15" hidden="false" customHeight="true" outlineLevel="0" collapsed="false">
      <c r="A5" s="210" t="s">
        <v>704</v>
      </c>
      <c r="B5" s="210" t="s">
        <v>705</v>
      </c>
      <c r="C5" s="210" t="s">
        <v>706</v>
      </c>
      <c r="D5" s="210" t="s">
        <v>707</v>
      </c>
    </row>
    <row r="6" customFormat="false" ht="15" hidden="false" customHeight="true" outlineLevel="0" collapsed="false">
      <c r="A6" s="211" t="s">
        <v>708</v>
      </c>
      <c r="B6" s="211" t="s">
        <v>709</v>
      </c>
      <c r="C6" s="211" t="s">
        <v>709</v>
      </c>
      <c r="D6" s="212" t="s">
        <v>710</v>
      </c>
      <c r="E6" s="212"/>
      <c r="F6" s="212"/>
    </row>
    <row r="8" customFormat="false" ht="15" hidden="false" customHeight="true" outlineLevel="0" collapsed="false">
      <c r="A8" s="209" t="s">
        <v>711</v>
      </c>
      <c r="B8" s="209"/>
      <c r="C8" s="209"/>
      <c r="D8" s="209"/>
      <c r="E8" s="209"/>
      <c r="F8" s="209"/>
    </row>
    <row r="9" customFormat="false" ht="15" hidden="false" customHeight="true" outlineLevel="0" collapsed="false">
      <c r="A9" s="210" t="s">
        <v>704</v>
      </c>
      <c r="B9" s="210" t="s">
        <v>705</v>
      </c>
      <c r="C9" s="210" t="s">
        <v>706</v>
      </c>
      <c r="D9" s="210" t="s">
        <v>707</v>
      </c>
    </row>
    <row r="10" customFormat="false" ht="27.75" hidden="false" customHeight="true" outlineLevel="0" collapsed="false">
      <c r="A10" s="211" t="s">
        <v>712</v>
      </c>
      <c r="B10" s="211" t="s">
        <v>709</v>
      </c>
      <c r="C10" s="211" t="s">
        <v>713</v>
      </c>
      <c r="D10" s="212" t="s">
        <v>714</v>
      </c>
      <c r="E10" s="212"/>
      <c r="F10" s="212"/>
    </row>
    <row r="12" customFormat="false" ht="15" hidden="false" customHeight="true" outlineLevel="0" collapsed="false">
      <c r="A12" s="209" t="s">
        <v>715</v>
      </c>
      <c r="B12" s="209"/>
      <c r="C12" s="209"/>
      <c r="D12" s="209"/>
      <c r="E12" s="209"/>
      <c r="F12" s="209"/>
    </row>
    <row r="13" customFormat="false" ht="15" hidden="false" customHeight="true" outlineLevel="0" collapsed="false">
      <c r="A13" s="210" t="s">
        <v>704</v>
      </c>
      <c r="B13" s="210" t="s">
        <v>705</v>
      </c>
      <c r="C13" s="210" t="s">
        <v>706</v>
      </c>
      <c r="D13" s="210" t="s">
        <v>707</v>
      </c>
    </row>
    <row r="14" customFormat="false" ht="369" hidden="false" customHeight="true" outlineLevel="0" collapsed="false">
      <c r="A14" s="211" t="s">
        <v>716</v>
      </c>
      <c r="B14" s="211" t="s">
        <v>717</v>
      </c>
      <c r="C14" s="211" t="s">
        <v>718</v>
      </c>
      <c r="D14" s="212" t="s">
        <v>719</v>
      </c>
      <c r="E14" s="212"/>
      <c r="F14" s="212"/>
    </row>
    <row r="16" customFormat="false" ht="15" hidden="false" customHeight="true" outlineLevel="0" collapsed="false">
      <c r="A16" s="209" t="s">
        <v>720</v>
      </c>
      <c r="B16" s="209"/>
      <c r="C16" s="209"/>
      <c r="D16" s="209"/>
      <c r="E16" s="209"/>
      <c r="F16" s="209"/>
    </row>
    <row r="17" customFormat="false" ht="15" hidden="false" customHeight="true" outlineLevel="0" collapsed="false">
      <c r="A17" s="210" t="s">
        <v>704</v>
      </c>
      <c r="B17" s="210" t="s">
        <v>705</v>
      </c>
      <c r="C17" s="210" t="s">
        <v>706</v>
      </c>
      <c r="D17" s="210" t="s">
        <v>707</v>
      </c>
    </row>
    <row r="18" customFormat="false" ht="45.75" hidden="false" customHeight="true" outlineLevel="0" collapsed="false">
      <c r="A18" s="211" t="s">
        <v>716</v>
      </c>
      <c r="B18" s="211" t="s">
        <v>721</v>
      </c>
      <c r="C18" s="211" t="s">
        <v>722</v>
      </c>
      <c r="D18" s="212" t="s">
        <v>723</v>
      </c>
      <c r="E18" s="212"/>
      <c r="F18" s="212"/>
    </row>
    <row r="20" customFormat="false" ht="15" hidden="false" customHeight="true" outlineLevel="0" collapsed="false">
      <c r="A20" s="209" t="s">
        <v>724</v>
      </c>
      <c r="B20" s="209"/>
      <c r="C20" s="209"/>
      <c r="D20" s="209"/>
      <c r="E20" s="209"/>
      <c r="F20" s="209"/>
    </row>
    <row r="21" customFormat="false" ht="15" hidden="false" customHeight="true" outlineLevel="0" collapsed="false">
      <c r="A21" s="210" t="s">
        <v>704</v>
      </c>
      <c r="B21" s="210" t="s">
        <v>705</v>
      </c>
      <c r="C21" s="210" t="s">
        <v>706</v>
      </c>
      <c r="D21" s="210" t="s">
        <v>707</v>
      </c>
    </row>
    <row r="22" customFormat="false" ht="351" hidden="false" customHeight="true" outlineLevel="0" collapsed="false">
      <c r="A22" s="211" t="s">
        <v>725</v>
      </c>
      <c r="B22" s="211" t="s">
        <v>709</v>
      </c>
      <c r="C22" s="211" t="s">
        <v>726</v>
      </c>
      <c r="D22" s="212" t="s">
        <v>727</v>
      </c>
      <c r="E22" s="212"/>
      <c r="F22" s="212"/>
    </row>
    <row r="24" customFormat="false" ht="15" hidden="false" customHeight="true" outlineLevel="0" collapsed="false">
      <c r="A24" s="209" t="s">
        <v>728</v>
      </c>
      <c r="B24" s="209"/>
      <c r="C24" s="209"/>
      <c r="D24" s="209"/>
      <c r="E24" s="209"/>
      <c r="F24" s="209"/>
    </row>
    <row r="25" customFormat="false" ht="15" hidden="false" customHeight="true" outlineLevel="0" collapsed="false">
      <c r="A25" s="210" t="s">
        <v>704</v>
      </c>
      <c r="B25" s="210" t="s">
        <v>705</v>
      </c>
      <c r="C25" s="210" t="s">
        <v>706</v>
      </c>
      <c r="D25" s="210" t="s">
        <v>707</v>
      </c>
    </row>
    <row r="26" customFormat="false" ht="54.75" hidden="false" customHeight="true" outlineLevel="0" collapsed="false">
      <c r="A26" s="211" t="s">
        <v>716</v>
      </c>
      <c r="B26" s="211" t="s">
        <v>729</v>
      </c>
      <c r="C26" s="211" t="s">
        <v>730</v>
      </c>
      <c r="D26" s="212" t="s">
        <v>731</v>
      </c>
      <c r="E26" s="212"/>
      <c r="F26" s="212"/>
    </row>
    <row r="28" customFormat="false" ht="15" hidden="false" customHeight="true" outlineLevel="0" collapsed="false">
      <c r="A28" s="209" t="s">
        <v>732</v>
      </c>
      <c r="B28" s="209"/>
      <c r="C28" s="209"/>
      <c r="D28" s="209"/>
      <c r="E28" s="209"/>
      <c r="F28" s="209"/>
    </row>
    <row r="29" customFormat="false" ht="15" hidden="false" customHeight="true" outlineLevel="0" collapsed="false">
      <c r="A29" s="210" t="s">
        <v>704</v>
      </c>
      <c r="B29" s="210" t="s">
        <v>705</v>
      </c>
      <c r="C29" s="210" t="s">
        <v>706</v>
      </c>
      <c r="D29" s="210" t="s">
        <v>707</v>
      </c>
    </row>
    <row r="30" customFormat="false" ht="144.75" hidden="false" customHeight="true" outlineLevel="0" collapsed="false">
      <c r="A30" s="211" t="s">
        <v>733</v>
      </c>
      <c r="B30" s="211" t="s">
        <v>734</v>
      </c>
      <c r="C30" s="211" t="s">
        <v>735</v>
      </c>
      <c r="D30" s="212" t="s">
        <v>736</v>
      </c>
      <c r="E30" s="212"/>
      <c r="F30" s="212"/>
    </row>
    <row r="32" customFormat="false" ht="15" hidden="false" customHeight="true" outlineLevel="0" collapsed="false">
      <c r="A32" s="209" t="s">
        <v>737</v>
      </c>
      <c r="B32" s="209"/>
      <c r="C32" s="209"/>
      <c r="D32" s="209"/>
      <c r="E32" s="209"/>
      <c r="F32" s="209"/>
    </row>
    <row r="33" customFormat="false" ht="15" hidden="false" customHeight="true" outlineLevel="0" collapsed="false">
      <c r="A33" s="210" t="s">
        <v>704</v>
      </c>
      <c r="B33" s="210" t="s">
        <v>705</v>
      </c>
      <c r="C33" s="210" t="s">
        <v>706</v>
      </c>
      <c r="D33" s="210" t="s">
        <v>707</v>
      </c>
    </row>
    <row r="34" customFormat="false" ht="99.75" hidden="false" customHeight="true" outlineLevel="0" collapsed="false">
      <c r="A34" s="211" t="s">
        <v>716</v>
      </c>
      <c r="B34" s="211" t="s">
        <v>738</v>
      </c>
      <c r="C34" s="211" t="s">
        <v>739</v>
      </c>
      <c r="D34" s="212" t="s">
        <v>740</v>
      </c>
      <c r="E34" s="212"/>
      <c r="F34" s="212"/>
    </row>
    <row r="36" customFormat="false" ht="15" hidden="false" customHeight="true" outlineLevel="0" collapsed="false">
      <c r="A36" s="209" t="s">
        <v>741</v>
      </c>
      <c r="B36" s="209"/>
      <c r="C36" s="209"/>
      <c r="D36" s="209"/>
      <c r="E36" s="209"/>
      <c r="F36" s="209"/>
    </row>
    <row r="37" customFormat="false" ht="15" hidden="false" customHeight="true" outlineLevel="0" collapsed="false">
      <c r="A37" s="210" t="s">
        <v>704</v>
      </c>
      <c r="B37" s="210" t="s">
        <v>705</v>
      </c>
      <c r="C37" s="210" t="s">
        <v>706</v>
      </c>
      <c r="D37" s="210" t="s">
        <v>707</v>
      </c>
    </row>
    <row r="38" customFormat="false" ht="162" hidden="false" customHeight="true" outlineLevel="0" collapsed="false">
      <c r="A38" s="211" t="s">
        <v>725</v>
      </c>
      <c r="B38" s="211" t="s">
        <v>709</v>
      </c>
      <c r="C38" s="211" t="s">
        <v>742</v>
      </c>
      <c r="D38" s="212" t="s">
        <v>743</v>
      </c>
      <c r="E38" s="212"/>
      <c r="F38" s="212"/>
    </row>
    <row r="40" customFormat="false" ht="15" hidden="false" customHeight="true" outlineLevel="0" collapsed="false">
      <c r="A40" s="209" t="s">
        <v>744</v>
      </c>
      <c r="B40" s="209"/>
      <c r="C40" s="209"/>
      <c r="D40" s="209"/>
      <c r="E40" s="209"/>
      <c r="F40" s="209"/>
    </row>
    <row r="41" customFormat="false" ht="15" hidden="false" customHeight="true" outlineLevel="0" collapsed="false">
      <c r="A41" s="210" t="s">
        <v>704</v>
      </c>
      <c r="B41" s="210" t="s">
        <v>705</v>
      </c>
      <c r="C41" s="210" t="s">
        <v>706</v>
      </c>
      <c r="D41" s="210" t="s">
        <v>707</v>
      </c>
    </row>
    <row r="42" customFormat="false" ht="90.75" hidden="false" customHeight="true" outlineLevel="0" collapsed="false">
      <c r="A42" s="211" t="s">
        <v>745</v>
      </c>
      <c r="B42" s="211" t="s">
        <v>709</v>
      </c>
      <c r="C42" s="211" t="s">
        <v>746</v>
      </c>
      <c r="D42" s="212" t="s">
        <v>747</v>
      </c>
      <c r="E42" s="212"/>
      <c r="F42" s="212"/>
    </row>
    <row r="44" customFormat="false" ht="15" hidden="false" customHeight="true" outlineLevel="0" collapsed="false">
      <c r="A44" s="209" t="s">
        <v>748</v>
      </c>
      <c r="B44" s="209"/>
      <c r="C44" s="209"/>
      <c r="D44" s="209"/>
      <c r="E44" s="209"/>
      <c r="F44" s="209"/>
    </row>
    <row r="45" customFormat="false" ht="15" hidden="false" customHeight="true" outlineLevel="0" collapsed="false">
      <c r="A45" s="210" t="s">
        <v>704</v>
      </c>
      <c r="B45" s="210" t="s">
        <v>705</v>
      </c>
      <c r="C45" s="210" t="s">
        <v>706</v>
      </c>
      <c r="D45" s="210" t="s">
        <v>707</v>
      </c>
    </row>
    <row r="46" customFormat="false" ht="90.75" hidden="false" customHeight="true" outlineLevel="0" collapsed="false">
      <c r="A46" s="211" t="s">
        <v>749</v>
      </c>
      <c r="B46" s="211" t="s">
        <v>709</v>
      </c>
      <c r="C46" s="211" t="s">
        <v>750</v>
      </c>
      <c r="D46" s="212" t="s">
        <v>751</v>
      </c>
      <c r="E46" s="212"/>
      <c r="F46" s="212"/>
    </row>
    <row r="48" customFormat="false" ht="15" hidden="false" customHeight="true" outlineLevel="0" collapsed="false">
      <c r="A48" s="209" t="s">
        <v>752</v>
      </c>
      <c r="B48" s="209"/>
      <c r="C48" s="209"/>
      <c r="D48" s="209"/>
      <c r="E48" s="209"/>
      <c r="F48" s="209"/>
    </row>
    <row r="49" customFormat="false" ht="15" hidden="false" customHeight="true" outlineLevel="0" collapsed="false">
      <c r="A49" s="210" t="s">
        <v>704</v>
      </c>
      <c r="B49" s="210" t="s">
        <v>705</v>
      </c>
      <c r="C49" s="210" t="s">
        <v>706</v>
      </c>
      <c r="D49" s="210" t="s">
        <v>707</v>
      </c>
    </row>
    <row r="50" customFormat="false" ht="81.75" hidden="false" customHeight="true" outlineLevel="0" collapsed="false">
      <c r="A50" s="211" t="s">
        <v>716</v>
      </c>
      <c r="B50" s="211" t="s">
        <v>753</v>
      </c>
      <c r="C50" s="211" t="s">
        <v>754</v>
      </c>
      <c r="D50" s="212" t="s">
        <v>755</v>
      </c>
      <c r="E50" s="212"/>
      <c r="F50" s="212"/>
    </row>
    <row r="52" customFormat="false" ht="15" hidden="false" customHeight="true" outlineLevel="0" collapsed="false">
      <c r="A52" s="209" t="s">
        <v>756</v>
      </c>
      <c r="B52" s="209"/>
      <c r="C52" s="209"/>
      <c r="D52" s="209"/>
      <c r="E52" s="209"/>
      <c r="F52" s="209"/>
    </row>
    <row r="53" customFormat="false" ht="15" hidden="false" customHeight="true" outlineLevel="0" collapsed="false">
      <c r="A53" s="210" t="s">
        <v>704</v>
      </c>
      <c r="B53" s="210" t="s">
        <v>705</v>
      </c>
      <c r="C53" s="210" t="s">
        <v>706</v>
      </c>
      <c r="D53" s="210" t="s">
        <v>707</v>
      </c>
    </row>
    <row r="54" customFormat="false" ht="27.75" hidden="false" customHeight="true" outlineLevel="0" collapsed="false">
      <c r="A54" s="211" t="s">
        <v>716</v>
      </c>
      <c r="B54" s="211" t="s">
        <v>757</v>
      </c>
      <c r="C54" s="211" t="s">
        <v>758</v>
      </c>
      <c r="D54" s="212" t="s">
        <v>759</v>
      </c>
      <c r="E54" s="212"/>
      <c r="F54" s="212"/>
    </row>
    <row r="56" customFormat="false" ht="15" hidden="false" customHeight="true" outlineLevel="0" collapsed="false">
      <c r="A56" s="209" t="s">
        <v>760</v>
      </c>
      <c r="B56" s="209"/>
      <c r="C56" s="209"/>
      <c r="D56" s="209"/>
      <c r="E56" s="209"/>
      <c r="F56" s="209"/>
    </row>
    <row r="57" customFormat="false" ht="15" hidden="false" customHeight="true" outlineLevel="0" collapsed="false">
      <c r="A57" s="210" t="s">
        <v>704</v>
      </c>
      <c r="B57" s="210" t="s">
        <v>705</v>
      </c>
      <c r="C57" s="210" t="s">
        <v>706</v>
      </c>
      <c r="D57" s="210" t="s">
        <v>707</v>
      </c>
    </row>
    <row r="58" customFormat="false" ht="333" hidden="false" customHeight="true" outlineLevel="0" collapsed="false">
      <c r="A58" s="211" t="s">
        <v>733</v>
      </c>
      <c r="B58" s="211" t="s">
        <v>761</v>
      </c>
      <c r="C58" s="211" t="s">
        <v>762</v>
      </c>
      <c r="D58" s="212" t="s">
        <v>763</v>
      </c>
      <c r="E58" s="212"/>
      <c r="F58" s="212"/>
    </row>
    <row r="60" customFormat="false" ht="15" hidden="false" customHeight="true" outlineLevel="0" collapsed="false">
      <c r="A60" s="209" t="s">
        <v>764</v>
      </c>
      <c r="B60" s="209"/>
      <c r="C60" s="209"/>
      <c r="D60" s="209"/>
      <c r="E60" s="209"/>
      <c r="F60" s="209"/>
    </row>
    <row r="61" customFormat="false" ht="15" hidden="false" customHeight="true" outlineLevel="0" collapsed="false">
      <c r="A61" s="210" t="s">
        <v>704</v>
      </c>
      <c r="B61" s="210" t="s">
        <v>705</v>
      </c>
      <c r="C61" s="210" t="s">
        <v>706</v>
      </c>
      <c r="D61" s="210" t="s">
        <v>707</v>
      </c>
    </row>
    <row r="62" customFormat="false" ht="409.5" hidden="false" customHeight="true" outlineLevel="0" collapsed="false">
      <c r="A62" s="211" t="s">
        <v>733</v>
      </c>
      <c r="B62" s="211" t="s">
        <v>765</v>
      </c>
      <c r="C62" s="211" t="s">
        <v>766</v>
      </c>
      <c r="D62" s="212" t="s">
        <v>767</v>
      </c>
      <c r="E62" s="212"/>
      <c r="F62" s="212"/>
    </row>
    <row r="64" customFormat="false" ht="15" hidden="false" customHeight="true" outlineLevel="0" collapsed="false">
      <c r="A64" s="209" t="s">
        <v>768</v>
      </c>
      <c r="B64" s="209"/>
      <c r="C64" s="209"/>
      <c r="D64" s="209"/>
      <c r="E64" s="209"/>
      <c r="F64" s="209"/>
    </row>
    <row r="65" customFormat="false" ht="15" hidden="false" customHeight="true" outlineLevel="0" collapsed="false">
      <c r="A65" s="210" t="s">
        <v>704</v>
      </c>
      <c r="B65" s="210" t="s">
        <v>705</v>
      </c>
      <c r="C65" s="210" t="s">
        <v>706</v>
      </c>
      <c r="D65" s="210" t="s">
        <v>707</v>
      </c>
    </row>
    <row r="66" customFormat="false" ht="45.75" hidden="false" customHeight="true" outlineLevel="0" collapsed="false">
      <c r="A66" s="211" t="s">
        <v>716</v>
      </c>
      <c r="B66" s="211" t="s">
        <v>769</v>
      </c>
      <c r="C66" s="211" t="s">
        <v>770</v>
      </c>
      <c r="D66" s="212" t="s">
        <v>771</v>
      </c>
      <c r="E66" s="212"/>
      <c r="F66" s="212"/>
    </row>
    <row r="68" customFormat="false" ht="15" hidden="false" customHeight="true" outlineLevel="0" collapsed="false">
      <c r="A68" s="209" t="s">
        <v>772</v>
      </c>
      <c r="B68" s="209"/>
      <c r="C68" s="209"/>
      <c r="D68" s="209"/>
      <c r="E68" s="209"/>
      <c r="F68" s="209"/>
    </row>
    <row r="69" customFormat="false" ht="15" hidden="false" customHeight="true" outlineLevel="0" collapsed="false">
      <c r="A69" s="210" t="s">
        <v>704</v>
      </c>
      <c r="B69" s="210" t="s">
        <v>705</v>
      </c>
      <c r="C69" s="210" t="s">
        <v>706</v>
      </c>
      <c r="D69" s="210" t="s">
        <v>707</v>
      </c>
    </row>
    <row r="70" customFormat="false" ht="15" hidden="false" customHeight="true" outlineLevel="0" collapsed="false">
      <c r="A70" s="211" t="s">
        <v>716</v>
      </c>
      <c r="B70" s="211" t="s">
        <v>773</v>
      </c>
      <c r="C70" s="211" t="s">
        <v>774</v>
      </c>
      <c r="D70" s="212" t="s">
        <v>775</v>
      </c>
      <c r="E70" s="212"/>
      <c r="F70" s="212"/>
    </row>
    <row r="72" customFormat="false" ht="15" hidden="false" customHeight="true" outlineLevel="0" collapsed="false">
      <c r="A72" s="209" t="s">
        <v>776</v>
      </c>
      <c r="B72" s="209"/>
      <c r="C72" s="209"/>
      <c r="D72" s="209"/>
      <c r="E72" s="209"/>
      <c r="F72" s="209"/>
    </row>
    <row r="73" customFormat="false" ht="15" hidden="false" customHeight="true" outlineLevel="0" collapsed="false">
      <c r="A73" s="210" t="s">
        <v>704</v>
      </c>
      <c r="B73" s="210" t="s">
        <v>705</v>
      </c>
      <c r="C73" s="210" t="s">
        <v>706</v>
      </c>
      <c r="D73" s="210" t="s">
        <v>707</v>
      </c>
    </row>
    <row r="74" customFormat="false" ht="117.75" hidden="false" customHeight="true" outlineLevel="0" collapsed="false">
      <c r="A74" s="211" t="s">
        <v>716</v>
      </c>
      <c r="B74" s="211" t="s">
        <v>777</v>
      </c>
      <c r="C74" s="211" t="s">
        <v>778</v>
      </c>
      <c r="D74" s="212" t="s">
        <v>779</v>
      </c>
      <c r="E74" s="212"/>
      <c r="F74" s="212"/>
    </row>
    <row r="76" customFormat="false" ht="15" hidden="false" customHeight="true" outlineLevel="0" collapsed="false">
      <c r="A76" s="209" t="s">
        <v>780</v>
      </c>
      <c r="B76" s="209"/>
      <c r="C76" s="209"/>
      <c r="D76" s="209"/>
      <c r="E76" s="209"/>
      <c r="F76" s="209"/>
    </row>
    <row r="77" customFormat="false" ht="15" hidden="false" customHeight="true" outlineLevel="0" collapsed="false">
      <c r="A77" s="210" t="s">
        <v>704</v>
      </c>
      <c r="B77" s="210" t="s">
        <v>705</v>
      </c>
      <c r="C77" s="210" t="s">
        <v>706</v>
      </c>
      <c r="D77" s="210" t="s">
        <v>707</v>
      </c>
    </row>
    <row r="78" customFormat="false" ht="135.75" hidden="false" customHeight="true" outlineLevel="0" collapsed="false">
      <c r="A78" s="211" t="s">
        <v>716</v>
      </c>
      <c r="B78" s="211" t="s">
        <v>781</v>
      </c>
      <c r="C78" s="211" t="s">
        <v>782</v>
      </c>
      <c r="D78" s="212" t="s">
        <v>783</v>
      </c>
      <c r="E78" s="212"/>
      <c r="F78" s="212"/>
    </row>
  </sheetData>
  <mergeCells count="40">
    <mergeCell ref="A1:F1"/>
    <mergeCell ref="A2:F2"/>
    <mergeCell ref="A4:F4"/>
    <mergeCell ref="D6:F6"/>
    <mergeCell ref="A8:F8"/>
    <mergeCell ref="D10:F10"/>
    <mergeCell ref="A12:F12"/>
    <mergeCell ref="D14:F14"/>
    <mergeCell ref="A16:F16"/>
    <mergeCell ref="D18:F18"/>
    <mergeCell ref="A20:F20"/>
    <mergeCell ref="D22:F22"/>
    <mergeCell ref="A24:F24"/>
    <mergeCell ref="D26:F26"/>
    <mergeCell ref="A28:F28"/>
    <mergeCell ref="D30:F30"/>
    <mergeCell ref="A32:F32"/>
    <mergeCell ref="D34:F34"/>
    <mergeCell ref="A36:F36"/>
    <mergeCell ref="D38:F38"/>
    <mergeCell ref="A40:F40"/>
    <mergeCell ref="D42:F42"/>
    <mergeCell ref="A44:F44"/>
    <mergeCell ref="D46:F46"/>
    <mergeCell ref="A48:F48"/>
    <mergeCell ref="D50:F50"/>
    <mergeCell ref="A52:F52"/>
    <mergeCell ref="D54:F54"/>
    <mergeCell ref="A56:F56"/>
    <mergeCell ref="D58:F58"/>
    <mergeCell ref="A60:F60"/>
    <mergeCell ref="D62:F62"/>
    <mergeCell ref="A64:F64"/>
    <mergeCell ref="D66:F66"/>
    <mergeCell ref="A68:F68"/>
    <mergeCell ref="D70:F70"/>
    <mergeCell ref="A72:F72"/>
    <mergeCell ref="D74:F74"/>
    <mergeCell ref="A76:F76"/>
    <mergeCell ref="D78:F78"/>
  </mergeCell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7" activeCellId="0" sqref="F7"/>
    </sheetView>
  </sheetViews>
  <sheetFormatPr defaultColWidth="10.6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05555555556"/>
  <pageSetup paperSize="1" scale="100" fitToWidth="1" fitToHeight="1" pageOrder="downThenOver" orientation="portrait" blackAndWhite="false" draft="false" cellComments="none" horizontalDpi="300" verticalDpi="300" copies="1"/>
  <headerFooter differentFirst="false" differentOddEven="false">
    <oddHeader/>
    <oddFooter>&amp;L&amp;"Arial Narrow,Regular"&amp;8 &amp;F&amp;C&amp;"Arial Narrow,Regular"&amp;8 &amp;A - &amp;D &amp;T&amp;R&amp;"Arial,Regular"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2026-08-05T19:31:08Z</dcterms:created>
  <dc:creator>openpyxl</dc:creator>
  <dc:description/>
  <dc:language>en-US</dc:language>
  <cp:lastModifiedBy/>
  <cp:lastPrinted>2026-09-13T01:05:49Z</cp:lastPrinted>
  <dcterms:modified xsi:type="dcterms:W3CDTF">2026-09-30T15:27:52Z</dcterms:modified>
  <cp:revision>173</cp:revision>
  <dc:subject/>
  <dc:title/>
</cp:coreProperties>
</file>

<file path=docProps/custom.xml><?xml version="1.0" encoding="utf-8"?>
<Properties xmlns="http://schemas.openxmlformats.org/officeDocument/2006/custom-properties" xmlns:vt="http://schemas.openxmlformats.org/officeDocument/2006/docPropsVTypes"/>
</file>