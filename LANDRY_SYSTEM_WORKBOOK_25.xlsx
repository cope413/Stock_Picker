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<sst xmlns="http://schemas.openxmlformats.org/spreadsheetml/2006/main" count="1885" uniqueCount="734">
  <si>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</si>
  <si>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</si>
  <si>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</si>
  <si>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</si>
  <si>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</si>
  <si>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</si>
  <si>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</si>
  <si>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</si>
  <si>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</si>
  <si>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</si>
  <si>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</si>
  <si>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</si>
  <si>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</si>
  <si>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</si>
  <si>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</si>
  <si>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</si>
  <si>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</si>
  <si>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</si>
  <si>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</si>
  <si>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</si>
  <si>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</si>
  <si>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</si>
  <si>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</si>
  <si>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</si>
  <si>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</si>
  <si>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</si>
  <si>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</si>
  <si>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</si>
  <si>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</si>
  <si>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</si>
  <si>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</si>
  <si>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</si>
  <si>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</si>
  <si>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</si>
  <si>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</si>
  <si>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</si>
  <si>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</si>
  <si>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</si>
  <si>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</si>
  <si>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</si>
  <si>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</si>
  <si>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</si>
  <si>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</si>
  <si>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</si>
  <si>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</si>
  <si>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</si>
  <si>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</si>
  <si>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</si>
  <si>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</si>
  <si>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</si>
  <si>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</si>
  <si>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</si>
  <si>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</si>
  <si>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</si>
  <si>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</si>
  <si>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</si>
  <si>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</si>
  <si>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</si>
  <si>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</si>
  <si>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</si>
  <si>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</si>
  <si>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</si>
  <si>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</si>
  <si>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</si>
  <si>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</si>
  <si>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</si>
  <si>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</si>
  <si>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</si>
  <si>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</si>
  <si>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</si>
  <si>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</si>
  <si>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</si>
  <si>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</si>
  <si>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</si>
  <si>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</si>
  <si>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</si>
  <si>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</si>
  <si>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</si>
  <si>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</si>
  <si>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</si>
  <si>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</si>
  <si>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</si>
  <si>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</si>
  <si>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</si>
  <si>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</si>
  <si>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</si>
  <si>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</si>
  <si>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</si>
  <si>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</si>
  <si>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</si>
  <si>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</si>
  <si>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</si>
  <si>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</si>
  <si>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</si>
  <si>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</si>
  <si>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</si>
  <si>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</si>
  <si>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</si>
  <si>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</si>
  <si>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</si>
  <si>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</si>
  <si>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</si>
  <si>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</si>
  <si>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</si>
  <si>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</si>
  <si>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</si>
  <si>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</si>
  <si>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</si>
  <si>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</si>
  <si>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</si>
  <si>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</si>
  <si>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</si>
  <si>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</si>
  <si>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</si>
  <si>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</si>
  <si>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</si>
  <si>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</si>
  <si>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</si>
  <si>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</si>
  <si>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</si>
  <si>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</si>
  <si>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</si>
  <si>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</si>
  <si>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</si>
  <si>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</si>
  <si>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</si>
  <si>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</si>
  <si>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</si>
  <si>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</si>
  <si>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</si>
  <si>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</si>
  <si>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</si>
  <si>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</si>
  <si>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</si>
  <si>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</si>
  <si>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</si>
  <si>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</si>
  <si>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</si>
  <si>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</si>
  <si>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</si>
  <si>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</si>
  <si>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</si>
  <si>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</si>
  <si>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</si>
  <si>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</si>
  <si>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</si>
  <si>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</si>
  <si>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</si>
  <si>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</si>
  <si>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</si>
  <si>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</si>
  <si>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</si>
  <si>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</si>
  <si>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</si>
  <si>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</si>
  <si>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</si>
  <si>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</si>
  <si>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</si>
  <si>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</si>
  <si>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</si>
  <si>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</si>
  <si>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</si>
  <si>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</si>
  <si>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</si>
  <si>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</si>
  <si>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</si>
  <si>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</si>
  <si>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</si>
  <si>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</si>
  <si>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</si>
  <si>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</si>
  <si>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</si>
  <si>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</si>
  <si>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</si>
  <si>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</si>
  <si>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</si>
  <si>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</si>
  <si>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</si>
  <si>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</si>
  <si>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</si>
  <si>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</si>
  <si>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</si>
  <si>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</si>
  <si>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</si>
  <si>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</si>
  <si>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</si>
  <si>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</si>
  <si>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</si>
  <si>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</si>
  <si>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</si>
  <si>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</si>
  <si>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</si>
  <si>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</si>
  <si>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</si>
  <si>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</si>
  <si>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</si>
  <si>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</si>
  <si>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</si>
  <si>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</si>
  <si>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</si>
  <si>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</si>
  <si>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</si>
  <si>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</si>
  <si>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</si>
  <si>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</si>
  <si>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</si>
  <si>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</si>
  <si>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</si>
  <si>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</si>
  <si>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</si>
  <si>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</si>
  <si>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</si>
  <si>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</si>
  <si>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</si>
  <si>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</si>
  <si>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</si>
  <si>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</si>
  <si>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</si>
  <si>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</si>
  <si>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</si>
  <si>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</si>
  <si>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</si>
  <si>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</si>
  <si>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</si>
  <si>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</si>
  <si>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</si>
  <si>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</si>
  <si>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</si>
  <si>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</si>
  <si>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</si>
  <si>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</si>
  <si>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</si>
  <si>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</si>
  <si>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</si>
  <si>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</si>
  <si>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</si>
  <si>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</si>
  <si>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</si>
  <si>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</si>
  <si>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</si>
  <si>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</si>
  <si>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</si>
  <si>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</si>
  <si>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</si>
  <si>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</si>
  <si>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</si>
  <si>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</si>
  <si>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</si>
  <si>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</si>
  <si>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</si>
  <si>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</si>
  <si>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</si>
  <si>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</si>
  <si>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</si>
  <si>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</si>
  <si>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</si>
  <si>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</si>
  <si>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</si>
  <si>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</si>
  <si>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</si>
  <si>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</si>
  <si>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</si>
  <si>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</si>
  <si>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</si>
  <si>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</si>
  <si>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</si>
  <si>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</si>
  <si>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</si>
  <si>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</si>
  <si>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</si>
  <si>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</si>
  <si>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</si>
  <si>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</si>
  <si>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</si>
  <si>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</si>
  <si>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</si>
  <si>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</si>
  <si>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</si>
  <si>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</si>
  <si>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</si>
  <si>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</si>
  <si>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</si>
  <si>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</si>
  <si>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</si>
  <si>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</si>
  <si>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</si>
  <si>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</si>
  <si>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</si>
  <si>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</si>
  <si>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</si>
  <si>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</si>
  <si>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</si>
  <si>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</si>
  <si>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</si>
  <si>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</si>
  <si>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</si>
  <si>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</si>
  <si>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</si>
  <si>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</si>
  <si>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</si>
  <si>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</si>
  <si>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</si>
  <si>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</si>
  <si>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</si>
  <si>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</si>
  <si>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</si>
  <si>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</si>
  <si>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</si>
  <si>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</si>
  <si>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</si>
  <si>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</si>
  <si>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</si>
  <si>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</si>
  <si>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</si>
  <si>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</si>
  <si>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</si>
  <si>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</si>
  <si>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</si>
  <si>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</si>
  <si>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</si>
  <si>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</si>
  <si>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</si>
  <si>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</si>
  <si>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</si>
  <si>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</si>
  <si>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</si>
  <si>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</si>
  <si>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</si>
  <si>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</si>
  <si>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</si>
  <si>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</si>
  <si>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</si>
  <si>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</si>
  <si>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</si>
  <si>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</si>
  <si>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</si>
  <si>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</si>
  <si>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</si>
  <si>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</si>
  <si>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</si>
  <si>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</si>
  <si>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</si>
  <si>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</si>
  <si>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</si>
  <si>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</si>
  <si>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</si>
  <si>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</si>
  <si>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</si>
  <si>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</si>
  <si>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</si>
  <si>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</si>
  <si>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</si>
  <si>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</si>
  <si>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</si>
  <si>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</si>
  <si>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</si>
  <si>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</si>
  <si>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</si>
  <si>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</si>
  <si>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</si>
  <si>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</si>
  <si>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</si>
  <si>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</si>
  <si>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</si>
  <si>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</si>
  <si>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</si>
  <si>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</si>
  <si>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</si>
  <si>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</si>
  <si>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</si>
  <si>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</si>
  <si>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</si>
  <si>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</si>
  <si>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</si>
  <si>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</si>
  <si>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</si>
  <si>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</si>
  <si>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</si>
  <si>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</si>
  <si>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</si>
  <si>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</si>
  <si>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</si>
  <si>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</si>
  <si>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</si>
  <si>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</si>
  <si>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</si>
  <si>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</si>
  <si>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</si>
  <si>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</si>
  <si>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</si>
  <si>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</si>
  <si>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</si>
  <si>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</si>
  <si>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</si>
  <si>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</si>
  <si>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</si>
  <si>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</si>
  <si>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</si>
  <si>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</si>
  <si>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</si>
  <si>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</si>
  <si>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</si>
  <si>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</si>
  <si>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</si>
  <si>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</si>
  <si>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</si>
  <si>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</si>
  <si>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</si>
  <si>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</si>
  <si>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</si>
  <si>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</si>
  <si>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</si>
  <si>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</si>
  <si>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</si>
  <si>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</si>
  <si>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</si>
  <si>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</si>
  <si>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</si>
  <si>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</si>
  <si>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</si>
  <si>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</si>
  <si>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</si>
  <si>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</si>
  <si>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</si>
  <si>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</si>
  <si>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</si>
  <si>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</si>
  <si>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</si>
  <si>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</si>
  <si>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</si>
  <si>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</si>
  <si>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</si>
  <si>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</si>
  <si>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</si>
  <si>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</si>
  <si>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</si>
  <si>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</si>
  <si>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</si>
  <si>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</si>
  <si>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</si>
  <si>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</si>
  <si>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</si>
  <si>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</si>
  <si>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</si>
  <si>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</si>
  <si>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</si>
  <si>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</si>
  <si>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</si>
  <si>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</si>
  <si>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</si>
  <si>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</si>
  <si>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</si>
  <si>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</si>
  <si>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</si>
  <si>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</si>
  <si>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</si>
  <si>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</si>
  <si>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</si>
  <si>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</si>
  <si>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</si>
  <si>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</si>
  <si>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</si>
  <si>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</si>
  <si>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</si>
  <si>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</si>
  <si>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</si>
  <si>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</si>
  <si>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</si>
  <si>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</si>
  <si>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</si>
  <si>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</si>
  <si>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</si>
  <si>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</si>
  <si>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</si>
  <si>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</si>
  <si>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</si>
  <si>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</si>
  <si>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</si>
  <si>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</si>
  <si>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</si>
  <si>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</si>
  <si>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</si>
  <si>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</si>
  <si>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</si>
  <si>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</si>
  <si>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</si>
  <si>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</si>
  <si>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</si>
  <si>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</si>
  <si>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</si>
  <si>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</si>
  <si>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</si>
  <si>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</si>
  <si>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</si>
  <si>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</si>
  <si>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</si>
  <si>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</si>
  <si>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</si>
  <si>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</si>
  <si>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</si>
  <si>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</si>
  <si>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</si>
  <si>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</si>
  <si>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</si>
  <si>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</si>
  <si>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</si>
  <si>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</si>
  <si>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</si>
  <si>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</si>
  <si>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</si>
  <si>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</si>
  <si>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</si>
  <si>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</si>
  <si>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</si>
  <si>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</si>
  <si>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</si>
  <si>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</si>
  <si>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</si>
  <si>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</si>
  <si>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</si>
  <si>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</si>
  <si>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</si>
  <si>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</si>
  <si>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</si>
  <si>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</si>
  <si>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</si>
  <si>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</si>
  <si>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</si>
  <si>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</si>
  <si>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</si>
  <si>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</si>
  <si>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</si>
  <si>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</si>
  <si>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</si>
  <si>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</si>
  <si>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</si>
  <si>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</si>
  <si>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</si>
  <si>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</si>
  <si>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</si>
  <si>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</si>
  <si>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</si>
  <si>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</si>
  <si>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</si>
  <si>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</si>
  <si>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</si>
  <si>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</si>
  <si>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</si>
  <si>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</si>
  <si>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</si>
  <si>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</si>
  <si>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</si>
  <si>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</si>
  <si>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</si>
  <si>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</si>
  <si>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</si>
  <si>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</si>
  <si>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</si>
  <si>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</si>
  <si>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</si>
  <si>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</si>
  <si>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</si>
  <si>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</si>
  <si>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</si>
  <si>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</si>
  <si>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</si>
  <si>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</si>
  <si>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</si>
  <si>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</si>
  <si>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</si>
  <si>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</si>
  <si>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</si>
  <si>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</si>
  <si>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</si>
  <si>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</si>
  <si>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</si>
  <si>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</si>
  <si>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</si>
  <si>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</si>
  <si>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</si>
  <si>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</si>
  <si>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</si>
  <si>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</si>
  <si>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</si>
  <si>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</si>
  <si>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</si>
  <si>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</si>
  <si>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</si>
  <si>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</si>
  <si>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</si>
  <si>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</si>
  <si>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</si>
  <si>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</si>
  <si>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</si>
  <si>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</si>
  <si>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</si>
  <si>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</si>
  <si>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</si>
  <si>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</si>
  <si>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</si>
  <si>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</si>
  <si>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</si>
  <si>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</si>
  <si>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</si>
  <si>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</si>
  <si>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</si>
  <si>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</si>
  <si>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</si>
  <si>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</si>
  <si>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</si>
  <si>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</si>
  <si>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</si>
  <si>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</si>
  <si>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</si>
  <si>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</si>
  <si>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</si>
  <si>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</si>
  <si>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</si>
  <si>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</si>
  <si>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</si>
  <si>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</si>
  <si>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</si>
  <si>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</si>
  <si>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</si>
  <si>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</si>
  <si>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</si>
  <si>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</si>
  <si>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</si>
  <si>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</si>
  <si>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</si>
  <si>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</si>
  <si>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</si>
  <si>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</si>
  <si>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</si>
  <si>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</si>
  <si>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</si>
  <si>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</si>
  <si>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</si>
  <si>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</si>
  <si>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</si>
  <si>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</si>
  <si>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</si>
  <si>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</si>
  <si>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</si>
  <si>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</si>
  <si>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</si>
  <si>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</si>
  <si>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</si>
  <si>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</si>
  <si>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</si>
  <si>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</si>
  <si>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</si>
  <si>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</si>
  <si>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</si>
  <si>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</si>
  <si>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</si>
  <si>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</si>
  <si>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</si>
  <si>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</si>
  <si>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</si>
  <si>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</si>
  <si>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</si>
  <si>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</si>
  <si>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</si>
  <si>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</si>
  <si>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</si>
  <si>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</si>
  <si>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</si>
  <si>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</si>
  <si>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</si>
  <si>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</si>
  <si>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</si>
  <si>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</si>
  <si>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</si>
  <si>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</si>
  <si>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</si>
  <si>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</si>
  <si>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</si>
  <si>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</si>
  <si>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</si>
  <si>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</si>
  <si>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</si>
  <si>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</si>
  <si>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</si>
  <si>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</si>
  <si>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</si>
  <si>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</si>
  <si>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</si>
  <si>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</si>
  <si>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</si>
  <si>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</si>
  <si>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</si>
  <si>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</si>
  <si>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</si>
  <si>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</si>
  <si>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</si>
  <si>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</si>
  <si>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</si>
  <si>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</si>
  <si>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</si>
  <si>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</si>
  <si>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</si>
  <si>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</si>
  <si>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</si>
  <si>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</si>
  <si>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</si>
  <si>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</si>
  <si>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</si>
  <si>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</si>
  <si>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</si>
  <si>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</si>
  <si>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</si>
  <si>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</si>
  <si>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</si>
  <si>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</si>
  <si>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</si>
  <si>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</si>
  <si>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</si>
  <si>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</si>
  <si>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</si>
  <si>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</si>
  <si>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</si>
  <si>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</si>
  <si>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</si>
  <si>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</si>
  <si>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</si>
  <si>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</si>
  <si>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</si>
  <si>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</si>
  <si>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</si>
  <si>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</si>
  <si>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</si>
  <si>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A4:F14 as of 2026-09-11 (10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</si>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</sst>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61838311"/>
        <c:axId val="6753975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66046089"/>
        <c:axId val="36742999"/>
      </c:lineChart>
      <c:dateAx>
        <c:axId val="618383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39751"/>
        <c:auto val="1"/>
        <c:lblOffset val="100"/>
        <c:baseTimeUnit val="days"/>
      </c:dateAx>
      <c:valAx>
        <c:axId val="675397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38311"/>
        <c:crosses val="autoZero"/>
        <c:crossBetween val="between"/>
      </c:valAx>
      <c:dateAx>
        <c:axId val="660460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742999"/>
        <c:auto val="1"/>
        <c:lblOffset val="100"/>
        <c:baseTimeUnit val="days"/>
      </c:dateAx>
      <c:valAx>
        <c:axId val="367429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0460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86883652"/>
        <c:axId val="56378872"/>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39737831"/>
        <c:axId val="5015582"/>
      </c:lineChart>
      <c:dateAx>
        <c:axId val="868836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78872"/>
        <c:auto val="1"/>
        <c:lblOffset val="100"/>
        <c:baseTimeUnit val="days"/>
      </c:dateAx>
      <c:valAx>
        <c:axId val="563788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83652"/>
        <c:crosses val="autoZero"/>
        <c:crossBetween val="between"/>
      </c:valAx>
      <c:dateAx>
        <c:axId val="397378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5582"/>
        <c:auto val="1"/>
        <c:lblOffset val="100"/>
        <c:baseTimeUnit val="days"/>
      </c:dateAx>
      <c:valAx>
        <c:axId val="50155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7378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90384864"/>
        <c:axId val="4511119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16312942"/>
        <c:axId val="47746817"/>
      </c:lineChart>
      <c:dateAx>
        <c:axId val="903848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11190"/>
        <c:auto val="1"/>
        <c:lblOffset val="100"/>
        <c:baseTimeUnit val="days"/>
      </c:dateAx>
      <c:valAx>
        <c:axId val="451111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84864"/>
        <c:crosses val="autoZero"/>
        <c:crossBetween val="between"/>
      </c:valAx>
      <c:dateAx>
        <c:axId val="163129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746817"/>
        <c:auto val="1"/>
        <c:lblOffset val="100"/>
        <c:baseTimeUnit val="days"/>
      </c:dateAx>
      <c:valAx>
        <c:axId val="477468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3129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53378985"/>
        <c:axId val="7395436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69293208"/>
        <c:axId val="51270285"/>
      </c:lineChart>
      <c:dateAx>
        <c:axId val="533789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54369"/>
        <c:auto val="1"/>
        <c:lblOffset val="100"/>
        <c:baseTimeUnit val="days"/>
      </c:dateAx>
      <c:valAx>
        <c:axId val="739543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378985"/>
        <c:crosses val="autoZero"/>
        <c:crossBetween val="between"/>
      </c:valAx>
      <c:dateAx>
        <c:axId val="692932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270285"/>
        <c:auto val="1"/>
        <c:lblOffset val="100"/>
        <c:baseTimeUnit val="days"/>
      </c:dateAx>
      <c:valAx>
        <c:axId val="512702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932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43037527"/>
        <c:axId val="4099511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28011595"/>
        <c:axId val="37909884"/>
      </c:lineChart>
      <c:dateAx>
        <c:axId val="430375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95111"/>
        <c:auto val="1"/>
        <c:lblOffset val="100"/>
        <c:baseTimeUnit val="days"/>
      </c:dateAx>
      <c:valAx>
        <c:axId val="409951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037527"/>
        <c:crosses val="autoZero"/>
        <c:crossBetween val="between"/>
      </c:valAx>
      <c:dateAx>
        <c:axId val="280115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09884"/>
        <c:auto val="1"/>
        <c:lblOffset val="100"/>
        <c:baseTimeUnit val="days"/>
      </c:dateAx>
      <c:valAx>
        <c:axId val="379098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115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29190756"/>
        <c:axId val="5659338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49122811"/>
        <c:axId val="14316131"/>
      </c:lineChart>
      <c:dateAx>
        <c:axId val="291907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593388"/>
        <c:auto val="1"/>
        <c:lblOffset val="100"/>
        <c:baseTimeUnit val="days"/>
      </c:dateAx>
      <c:valAx>
        <c:axId val="565933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90756"/>
        <c:crosses val="autoZero"/>
        <c:crossBetween val="between"/>
      </c:valAx>
      <c:dateAx>
        <c:axId val="491228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316131"/>
        <c:auto val="1"/>
        <c:lblOffset val="100"/>
        <c:baseTimeUnit val="days"/>
      </c:dateAx>
      <c:valAx>
        <c:axId val="143161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1228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99354634"/>
        <c:axId val="5952577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73578805"/>
        <c:axId val="52180551"/>
      </c:lineChart>
      <c:dateAx>
        <c:axId val="993546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525776"/>
        <c:auto val="1"/>
        <c:lblOffset val="100"/>
        <c:baseTimeUnit val="days"/>
      </c:dateAx>
      <c:valAx>
        <c:axId val="595257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54634"/>
        <c:crosses val="autoZero"/>
        <c:crossBetween val="between"/>
      </c:valAx>
      <c:dateAx>
        <c:axId val="735788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80551"/>
        <c:auto val="1"/>
        <c:lblOffset val="100"/>
        <c:baseTimeUnit val="days"/>
      </c:dateAx>
      <c:valAx>
        <c:axId val="521805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5788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10514112"/>
        <c:axId val="4724960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31304675"/>
        <c:axId val="90319264"/>
      </c:lineChart>
      <c:dateAx>
        <c:axId val="105141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49604"/>
        <c:auto val="1"/>
        <c:lblOffset val="100"/>
        <c:baseTimeUnit val="days"/>
      </c:dateAx>
      <c:valAx>
        <c:axId val="472496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14112"/>
        <c:crosses val="autoZero"/>
        <c:crossBetween val="between"/>
      </c:valAx>
      <c:dateAx>
        <c:axId val="313046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19264"/>
        <c:auto val="1"/>
        <c:lblOffset val="100"/>
        <c:baseTimeUnit val="days"/>
      </c:dateAx>
      <c:valAx>
        <c:axId val="903192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3046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91579301"/>
        <c:axId val="5297395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92030439"/>
        <c:axId val="88085627"/>
      </c:lineChart>
      <c:dateAx>
        <c:axId val="915793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73955"/>
        <c:auto val="1"/>
        <c:lblOffset val="100"/>
        <c:baseTimeUnit val="days"/>
      </c:dateAx>
      <c:valAx>
        <c:axId val="529739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579301"/>
        <c:crosses val="autoZero"/>
        <c:crossBetween val="between"/>
      </c:valAx>
      <c:dateAx>
        <c:axId val="920304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85627"/>
        <c:auto val="1"/>
        <c:lblOffset val="100"/>
        <c:baseTimeUnit val="days"/>
      </c:dateAx>
      <c:valAx>
        <c:axId val="880856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0304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69850690"/>
        <c:axId val="5801498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62281805"/>
        <c:axId val="26938192"/>
      </c:lineChart>
      <c:dateAx>
        <c:axId val="698506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14984"/>
        <c:auto val="1"/>
        <c:lblOffset val="100"/>
        <c:baseTimeUnit val="days"/>
      </c:dateAx>
      <c:valAx>
        <c:axId val="580149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850690"/>
        <c:crosses val="autoZero"/>
        <c:crossBetween val="between"/>
      </c:valAx>
      <c:dateAx>
        <c:axId val="622818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38192"/>
        <c:auto val="1"/>
        <c:lblOffset val="100"/>
        <c:baseTimeUnit val="days"/>
      </c:dateAx>
      <c:valAx>
        <c:axId val="269381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2818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82905680"/>
        <c:axId val="6682994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71018553"/>
        <c:axId val="82629866"/>
      </c:lineChart>
      <c:dateAx>
        <c:axId val="829056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29940"/>
        <c:auto val="1"/>
        <c:lblOffset val="100"/>
        <c:baseTimeUnit val="days"/>
      </c:dateAx>
      <c:valAx>
        <c:axId val="668299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05680"/>
        <c:crosses val="autoZero"/>
        <c:crossBetween val="between"/>
      </c:valAx>
      <c:dateAx>
        <c:axId val="710185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29866"/>
        <c:auto val="1"/>
        <c:lblOffset val="100"/>
        <c:baseTimeUnit val="days"/>
      </c:dateAx>
      <c:valAx>
        <c:axId val="826298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185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23740796"/>
        <c:axId val="9172342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76644294"/>
        <c:axId val="2164059"/>
      </c:lineChart>
      <c:dateAx>
        <c:axId val="237407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23429"/>
        <c:auto val="1"/>
        <c:lblOffset val="100"/>
        <c:baseTimeUnit val="days"/>
      </c:dateAx>
      <c:valAx>
        <c:axId val="917234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40796"/>
        <c:crosses val="autoZero"/>
        <c:crossBetween val="between"/>
      </c:valAx>
      <c:dateAx>
        <c:axId val="766442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64059"/>
        <c:auto val="1"/>
        <c:lblOffset val="100"/>
        <c:baseTimeUnit val="days"/>
      </c:dateAx>
      <c:valAx>
        <c:axId val="21640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442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40508155"/>
        <c:axId val="202174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11708080"/>
        <c:axId val="29147042"/>
      </c:lineChart>
      <c:dateAx>
        <c:axId val="405081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21743"/>
        <c:auto val="1"/>
        <c:lblOffset val="100"/>
        <c:baseTimeUnit val="days"/>
      </c:dateAx>
      <c:valAx>
        <c:axId val="20217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508155"/>
        <c:crosses val="autoZero"/>
        <c:crossBetween val="between"/>
      </c:valAx>
      <c:dateAx>
        <c:axId val="117080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47042"/>
        <c:auto val="1"/>
        <c:lblOffset val="100"/>
        <c:baseTimeUnit val="days"/>
      </c:dateAx>
      <c:valAx>
        <c:axId val="291470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080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45279226"/>
        <c:axId val="419079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32790277"/>
        <c:axId val="95999137"/>
      </c:lineChart>
      <c:dateAx>
        <c:axId val="452792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0797"/>
        <c:auto val="1"/>
        <c:lblOffset val="100"/>
        <c:baseTimeUnit val="days"/>
      </c:dateAx>
      <c:valAx>
        <c:axId val="41907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279226"/>
        <c:crosses val="autoZero"/>
        <c:crossBetween val="between"/>
      </c:valAx>
      <c:dateAx>
        <c:axId val="327902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999137"/>
        <c:auto val="1"/>
        <c:lblOffset val="100"/>
        <c:baseTimeUnit val="days"/>
      </c:dateAx>
      <c:valAx>
        <c:axId val="959991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7902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81871839"/>
        <c:axId val="7013904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53829256"/>
        <c:axId val="96149444"/>
      </c:lineChart>
      <c:dateAx>
        <c:axId val="818718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139045"/>
        <c:auto val="1"/>
        <c:lblOffset val="100"/>
        <c:baseTimeUnit val="days"/>
      </c:dateAx>
      <c:valAx>
        <c:axId val="701390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71839"/>
        <c:crosses val="autoZero"/>
        <c:crossBetween val="between"/>
      </c:valAx>
      <c:dateAx>
        <c:axId val="538292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49444"/>
        <c:auto val="1"/>
        <c:lblOffset val="100"/>
        <c:baseTimeUnit val="days"/>
      </c:dateAx>
      <c:valAx>
        <c:axId val="961494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292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3433043"/>
        <c:axId val="5688030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68911217"/>
        <c:axId val="19680902"/>
      </c:lineChart>
      <c:dateAx>
        <c:axId val="134330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80301"/>
        <c:auto val="1"/>
        <c:lblOffset val="100"/>
        <c:baseTimeUnit val="days"/>
      </c:dateAx>
      <c:valAx>
        <c:axId val="568803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33043"/>
        <c:crosses val="autoZero"/>
        <c:crossBetween val="between"/>
      </c:valAx>
      <c:dateAx>
        <c:axId val="689112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680902"/>
        <c:auto val="1"/>
        <c:lblOffset val="100"/>
        <c:baseTimeUnit val="days"/>
      </c:dateAx>
      <c:valAx>
        <c:axId val="196809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112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66792307"/>
        <c:axId val="1374365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12414469"/>
        <c:axId val="48241466"/>
      </c:lineChart>
      <c:dateAx>
        <c:axId val="667923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43652"/>
        <c:auto val="1"/>
        <c:lblOffset val="100"/>
        <c:baseTimeUnit val="days"/>
      </c:dateAx>
      <c:valAx>
        <c:axId val="137436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92307"/>
        <c:crosses val="autoZero"/>
        <c:crossBetween val="between"/>
      </c:valAx>
      <c:dateAx>
        <c:axId val="124144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41466"/>
        <c:auto val="1"/>
        <c:lblOffset val="100"/>
        <c:baseTimeUnit val="days"/>
      </c:dateAx>
      <c:valAx>
        <c:axId val="482414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4144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91734245"/>
        <c:axId val="7802357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37114515"/>
        <c:axId val="33840843"/>
      </c:lineChart>
      <c:dateAx>
        <c:axId val="917342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23578"/>
        <c:auto val="1"/>
        <c:lblOffset val="100"/>
        <c:baseTimeUnit val="days"/>
      </c:dateAx>
      <c:valAx>
        <c:axId val="780235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34245"/>
        <c:crosses val="autoZero"/>
        <c:crossBetween val="between"/>
      </c:valAx>
      <c:dateAx>
        <c:axId val="371145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40843"/>
        <c:auto val="1"/>
        <c:lblOffset val="100"/>
        <c:baseTimeUnit val="days"/>
      </c:dateAx>
      <c:valAx>
        <c:axId val="338408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1145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74585170"/>
        <c:axId val="22300485"/>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99974122"/>
        <c:axId val="70217631"/>
      </c:lineChart>
      <c:dateAx>
        <c:axId val="745851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00485"/>
        <c:auto val="1"/>
        <c:lblOffset val="100"/>
        <c:baseTimeUnit val="days"/>
      </c:dateAx>
      <c:valAx>
        <c:axId val="223004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85170"/>
        <c:crosses val="autoZero"/>
        <c:crossBetween val="between"/>
      </c:valAx>
      <c:dateAx>
        <c:axId val="999741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217631"/>
        <c:auto val="1"/>
        <c:lblOffset val="100"/>
        <c:baseTimeUnit val="days"/>
      </c:dateAx>
      <c:valAx>
        <c:axId val="702176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741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370800</xdr:colOff>
      <xdr:row>175</xdr:row>
      <xdr:rowOff>14040</xdr:rowOff>
    </xdr:to>
    <xdr:graphicFrame>
      <xdr:nvGraphicFramePr>
        <xdr:cNvPr id="1" name="Chart 1"/>
        <xdr:cNvGraphicFramePr/>
      </xdr:nvGraphicFramePr>
      <xdr:xfrm>
        <a:off x="0" y="31204080"/>
        <a:ext cx="2729160" cy="2300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392400</xdr:colOff>
      <xdr:row>175</xdr:row>
      <xdr:rowOff>14040</xdr:rowOff>
    </xdr:to>
    <xdr:graphicFrame>
      <xdr:nvGraphicFramePr>
        <xdr:cNvPr id="2" name="Chart 2"/>
        <xdr:cNvGraphicFramePr/>
      </xdr:nvGraphicFramePr>
      <xdr:xfrm>
        <a:off x="3554640" y="31204080"/>
        <a:ext cx="2386440" cy="2300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158400</xdr:colOff>
      <xdr:row>175</xdr:row>
      <xdr:rowOff>14040</xdr:rowOff>
    </xdr:to>
    <xdr:graphicFrame>
      <xdr:nvGraphicFramePr>
        <xdr:cNvPr id="3" name="Chart 3"/>
        <xdr:cNvGraphicFramePr/>
      </xdr:nvGraphicFramePr>
      <xdr:xfrm>
        <a:off x="6744960" y="31204080"/>
        <a:ext cx="2445840" cy="2300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410760</xdr:colOff>
      <xdr:row>175</xdr:row>
      <xdr:rowOff>14040</xdr:rowOff>
    </xdr:to>
    <xdr:graphicFrame>
      <xdr:nvGraphicFramePr>
        <xdr:cNvPr id="4" name="Chart 4"/>
        <xdr:cNvGraphicFramePr/>
      </xdr:nvGraphicFramePr>
      <xdr:xfrm>
        <a:off x="10464840" y="31204080"/>
        <a:ext cx="4708440" cy="2300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370800</xdr:colOff>
      <xdr:row>191</xdr:row>
      <xdr:rowOff>14040</xdr:rowOff>
    </xdr:to>
    <xdr:graphicFrame>
      <xdr:nvGraphicFramePr>
        <xdr:cNvPr id="5" name="Chart 5"/>
        <xdr:cNvGraphicFramePr/>
      </xdr:nvGraphicFramePr>
      <xdr:xfrm>
        <a:off x="0" y="34251840"/>
        <a:ext cx="2729160" cy="2300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392400</xdr:colOff>
      <xdr:row>191</xdr:row>
      <xdr:rowOff>14040</xdr:rowOff>
    </xdr:to>
    <xdr:graphicFrame>
      <xdr:nvGraphicFramePr>
        <xdr:cNvPr id="6" name="Chart 6"/>
        <xdr:cNvGraphicFramePr/>
      </xdr:nvGraphicFramePr>
      <xdr:xfrm>
        <a:off x="3554640" y="34251840"/>
        <a:ext cx="2386440" cy="23000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158400</xdr:colOff>
      <xdr:row>191</xdr:row>
      <xdr:rowOff>14040</xdr:rowOff>
    </xdr:to>
    <xdr:graphicFrame>
      <xdr:nvGraphicFramePr>
        <xdr:cNvPr id="7" name="Chart 7"/>
        <xdr:cNvGraphicFramePr/>
      </xdr:nvGraphicFramePr>
      <xdr:xfrm>
        <a:off x="6744960" y="34251840"/>
        <a:ext cx="2445840" cy="23000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410760</xdr:colOff>
      <xdr:row>191</xdr:row>
      <xdr:rowOff>14040</xdr:rowOff>
    </xdr:to>
    <xdr:graphicFrame>
      <xdr:nvGraphicFramePr>
        <xdr:cNvPr id="8" name="Chart 8"/>
        <xdr:cNvGraphicFramePr/>
      </xdr:nvGraphicFramePr>
      <xdr:xfrm>
        <a:off x="10464840" y="34251840"/>
        <a:ext cx="4708440" cy="2300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370800</xdr:colOff>
      <xdr:row>207</xdr:row>
      <xdr:rowOff>14040</xdr:rowOff>
    </xdr:to>
    <xdr:graphicFrame>
      <xdr:nvGraphicFramePr>
        <xdr:cNvPr id="9" name="Chart 9"/>
        <xdr:cNvGraphicFramePr/>
      </xdr:nvGraphicFramePr>
      <xdr:xfrm>
        <a:off x="0" y="37299960"/>
        <a:ext cx="2729160" cy="23000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392400</xdr:colOff>
      <xdr:row>207</xdr:row>
      <xdr:rowOff>14040</xdr:rowOff>
    </xdr:to>
    <xdr:graphicFrame>
      <xdr:nvGraphicFramePr>
        <xdr:cNvPr id="10" name="Chart 10"/>
        <xdr:cNvGraphicFramePr/>
      </xdr:nvGraphicFramePr>
      <xdr:xfrm>
        <a:off x="3554640" y="37299960"/>
        <a:ext cx="2386440" cy="23000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158400</xdr:colOff>
      <xdr:row>207</xdr:row>
      <xdr:rowOff>14040</xdr:rowOff>
    </xdr:to>
    <xdr:graphicFrame>
      <xdr:nvGraphicFramePr>
        <xdr:cNvPr id="11" name="Chart 11"/>
        <xdr:cNvGraphicFramePr/>
      </xdr:nvGraphicFramePr>
      <xdr:xfrm>
        <a:off x="6744960" y="37299960"/>
        <a:ext cx="2445840" cy="23000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410760</xdr:colOff>
      <xdr:row>207</xdr:row>
      <xdr:rowOff>14040</xdr:rowOff>
    </xdr:to>
    <xdr:graphicFrame>
      <xdr:nvGraphicFramePr>
        <xdr:cNvPr id="12" name="Chart 12"/>
        <xdr:cNvGraphicFramePr/>
      </xdr:nvGraphicFramePr>
      <xdr:xfrm>
        <a:off x="10464840" y="37299960"/>
        <a:ext cx="4708440" cy="2300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370800</xdr:colOff>
      <xdr:row>223</xdr:row>
      <xdr:rowOff>14040</xdr:rowOff>
    </xdr:to>
    <xdr:graphicFrame>
      <xdr:nvGraphicFramePr>
        <xdr:cNvPr id="13" name="Chart 13"/>
        <xdr:cNvGraphicFramePr/>
      </xdr:nvGraphicFramePr>
      <xdr:xfrm>
        <a:off x="0" y="40348080"/>
        <a:ext cx="2729160" cy="23000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392400</xdr:colOff>
      <xdr:row>223</xdr:row>
      <xdr:rowOff>14040</xdr:rowOff>
    </xdr:to>
    <xdr:graphicFrame>
      <xdr:nvGraphicFramePr>
        <xdr:cNvPr id="14" name="Chart 14"/>
        <xdr:cNvGraphicFramePr/>
      </xdr:nvGraphicFramePr>
      <xdr:xfrm>
        <a:off x="3554640" y="40348080"/>
        <a:ext cx="2386440" cy="23000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158400</xdr:colOff>
      <xdr:row>223</xdr:row>
      <xdr:rowOff>14040</xdr:rowOff>
    </xdr:to>
    <xdr:graphicFrame>
      <xdr:nvGraphicFramePr>
        <xdr:cNvPr id="15" name="Chart 15"/>
        <xdr:cNvGraphicFramePr/>
      </xdr:nvGraphicFramePr>
      <xdr:xfrm>
        <a:off x="6744960" y="40348080"/>
        <a:ext cx="2445840" cy="23000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410760</xdr:colOff>
      <xdr:row>223</xdr:row>
      <xdr:rowOff>14040</xdr:rowOff>
    </xdr:to>
    <xdr:graphicFrame>
      <xdr:nvGraphicFramePr>
        <xdr:cNvPr id="16" name="Chart 16"/>
        <xdr:cNvGraphicFramePr/>
      </xdr:nvGraphicFramePr>
      <xdr:xfrm>
        <a:off x="10464840" y="40348080"/>
        <a:ext cx="4708440" cy="23000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370800</xdr:colOff>
      <xdr:row>239</xdr:row>
      <xdr:rowOff>14040</xdr:rowOff>
    </xdr:to>
    <xdr:graphicFrame>
      <xdr:nvGraphicFramePr>
        <xdr:cNvPr id="17" name="Chart 17"/>
        <xdr:cNvGraphicFramePr/>
      </xdr:nvGraphicFramePr>
      <xdr:xfrm>
        <a:off x="0" y="43395840"/>
        <a:ext cx="2729160" cy="23000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392400</xdr:colOff>
      <xdr:row>239</xdr:row>
      <xdr:rowOff>14040</xdr:rowOff>
    </xdr:to>
    <xdr:graphicFrame>
      <xdr:nvGraphicFramePr>
        <xdr:cNvPr id="18" name="Chart 18"/>
        <xdr:cNvGraphicFramePr/>
      </xdr:nvGraphicFramePr>
      <xdr:xfrm>
        <a:off x="3554640" y="43395840"/>
        <a:ext cx="2386440" cy="23000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29520</xdr:colOff>
      <xdr:row>253</xdr:row>
      <xdr:rowOff>14040</xdr:rowOff>
    </xdr:to>
    <xdr:graphicFrame>
      <xdr:nvGraphicFramePr>
        <xdr:cNvPr id="19" name="Chart 19"/>
        <xdr:cNvGraphicFramePr/>
      </xdr:nvGraphicFramePr>
      <xdr:xfrm>
        <a:off x="0" y="46063080"/>
        <a:ext cx="2387880" cy="23000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2</v>
      </c>
      <c r="F32" s="12"/>
    </row>
    <row r="33" customFormat="false" ht="15" hidden="false" customHeight="true" outlineLevel="0" collapsed="false">
      <c r="A33" s="11" t="s">
        <v>78</v>
      </c>
      <c r="B33" s="11"/>
      <c r="C33" s="11"/>
      <c r="D33" s="11"/>
      <c r="E33" s="12" t="n">
        <f aca="false">COUNTIF(Scoring!AS3:AS60,"Increased")</f>
        <v>5</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5" t="n">
        <v>17525000000</v>
      </c>
      <c r="AO3" s="86" t="n">
        <v>8539000000</v>
      </c>
      <c r="AP3" s="80" t="str">
        <f aca="false">IF(OR(AN3="",AO3=""),"",IF(AN3&gt;AO3,"OK","LOW CONF"))</f>
        <v>OK</v>
      </c>
      <c r="AQ3" s="87" t="n">
        <v>9.159</v>
      </c>
      <c r="AR3" s="83" t="n">
        <v>115.76</v>
      </c>
      <c r="AS3" s="88" t="str">
        <f aca="false">IF(OR(AQ3="",AR3=""),"",IF(AQ3&lt;AR3,"Decreased",IF(AQ3&gt;AR3,"Increased","Flat")))</f>
        <v>Decreased</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8"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8"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8"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5" t="n">
        <v>3631400000</v>
      </c>
      <c r="AO7" s="86" t="n">
        <v>3953200000</v>
      </c>
      <c r="AP7" s="80" t="str">
        <f aca="false">IF(OR(AN7="",AO7=""),"",IF(AN7&gt;AO7,"OK","LOW CONF"))</f>
        <v>LOW CONF</v>
      </c>
      <c r="AQ7" s="87" t="n">
        <v>0.636</v>
      </c>
      <c r="AR7" s="83" t="n">
        <v>-1.784</v>
      </c>
      <c r="AS7" s="88" t="str">
        <f aca="false">IF(OR(AQ7="",AR7=""),"",IF(AQ7&lt;AR7,"Decreased",IF(AQ7&gt;AR7,"Increased","Flat")))</f>
        <v>Increased</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8"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5" t="n">
        <v>715998000</v>
      </c>
      <c r="AO9" s="86" t="n">
        <v>523670000</v>
      </c>
      <c r="AP9" s="80" t="str">
        <f aca="false">IF(OR(AN9="",AO9=""),"",IF(AN9&gt;AO9,"OK","LOW CONF"))</f>
        <v>OK</v>
      </c>
      <c r="AQ9" s="87" t="n">
        <v>4.155</v>
      </c>
      <c r="AR9" s="83" t="n">
        <v>4.048</v>
      </c>
      <c r="AS9" s="88"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5" t="n">
        <v>359500000</v>
      </c>
      <c r="AO10" s="86" t="n">
        <v>203700000</v>
      </c>
      <c r="AP10" s="80" t="str">
        <f aca="false">IF(OR(AN10="",AO10=""),"",IF(AN10&gt;AO10,"OK","LOW CONF"))</f>
        <v>OK</v>
      </c>
      <c r="AQ10" s="87" t="n">
        <v>1.857</v>
      </c>
      <c r="AR10" s="83" t="n">
        <v>0.78</v>
      </c>
      <c r="AS10" s="88"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5" t="n">
        <v>14747000000</v>
      </c>
      <c r="AO11" s="86" t="n">
        <v>3794000000</v>
      </c>
      <c r="AP11" s="80" t="str">
        <f aca="false">IF(OR(AN11="",AO11=""),"",IF(AN11&gt;AO11,"OK","LOW CONF"))</f>
        <v>OK</v>
      </c>
      <c r="AQ11" s="87" t="n">
        <v>2.366</v>
      </c>
      <c r="AR11" s="83" t="n">
        <v>3.804</v>
      </c>
      <c r="AS11" s="88"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8"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8"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8"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8"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5" t="n">
        <v>4143079000</v>
      </c>
      <c r="AO16" s="86" t="n">
        <v>4830771000</v>
      </c>
      <c r="AP16" s="80" t="str">
        <f aca="false">IF(OR(AN16="",AO16=""),"",IF(AN16&gt;AO16,"OK","LOW CONF"))</f>
        <v>LOW CONF</v>
      </c>
      <c r="AQ16" s="87" t="n">
        <v>1.633</v>
      </c>
      <c r="AR16" s="83" t="n">
        <v>1.625</v>
      </c>
      <c r="AS16" s="88" t="str">
        <f aca="false">IF(OR(AQ16="",AR16=""),"",IF(AQ16&lt;AR16,"Decreased",IF(AQ16&gt;AR16,"Increased","Flat")))</f>
        <v>Increased</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8"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5" t="n">
        <v>2113800000</v>
      </c>
      <c r="AO18" s="86" t="n">
        <v>1332800000</v>
      </c>
      <c r="AP18" s="80" t="str">
        <f aca="false">IF(OR(AN18="",AO18=""),"",IF(AN18&gt;AO18,"OK","LOW CONF"))</f>
        <v>OK</v>
      </c>
      <c r="AQ18" s="87" t="n">
        <v>1.71</v>
      </c>
      <c r="AR18" s="83" t="n">
        <v>2.771</v>
      </c>
      <c r="AS18" s="88" t="str">
        <f aca="false">IF(OR(AQ18="",AR18=""),"",IF(AQ18&lt;AR18,"Decreased",IF(AQ18&gt;AR18,"Increased","Flat")))</f>
        <v>Decreased</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8"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5" t="n">
        <v>23059000000</v>
      </c>
      <c r="AO20" s="86" t="n">
        <v>20058000000</v>
      </c>
      <c r="AP20" s="80" t="str">
        <f aca="false">IF(OR(AN20="",AO20=""),"",IF(AN20&gt;AO20,"OK","LOW CONF"))</f>
        <v>OK</v>
      </c>
      <c r="AQ20" s="87" t="n">
        <v>1.167</v>
      </c>
      <c r="AR20" s="83" t="n">
        <v>1.115</v>
      </c>
      <c r="AS20" s="88" t="str">
        <f aca="false">IF(OR(AQ20="",AR20=""),"",IF(AQ20&lt;AR20,"Decreased",IF(AQ20&gt;AR20,"Increased","Flat")))</f>
        <v>Increased</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8"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8"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8"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8"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8"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8"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8" t="str">
        <f aca="false">IF(OR(AQ27="",AR27=""),"",IF(AQ27&lt;AR27,"Decreased",IF(AQ27&gt;AR27,"Increased","Flat")))</f>
        <v/>
      </c>
    </row>
    <row r="28" customFormat="false" ht="15" hidden="false" customHeight="true" outlineLevel="0" collapsed="false">
      <c r="A28" s="34" t="s">
        <v>248</v>
      </c>
      <c r="B28" s="80" t="s">
        <v>365</v>
      </c>
      <c r="C28" s="89"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90" t="s">
        <v>361</v>
      </c>
      <c r="AM28" s="80" t="s">
        <v>366</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367</v>
      </c>
      <c r="C29" s="89"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334</v>
      </c>
      <c r="AM29" s="80" t="s">
        <v>368</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369</v>
      </c>
      <c r="C30" s="89"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334</v>
      </c>
      <c r="AM30" s="80" t="s">
        <v>370</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371</v>
      </c>
      <c r="C31" s="89"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334</v>
      </c>
      <c r="AM31" s="80" t="s">
        <v>372</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373</v>
      </c>
      <c r="C32" s="89"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334</v>
      </c>
      <c r="AM32" s="80" t="s">
        <v>370</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374</v>
      </c>
      <c r="C33" s="89"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336</v>
      </c>
      <c r="AM33" s="80" t="s">
        <v>375</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376</v>
      </c>
      <c r="C34" s="89"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336</v>
      </c>
      <c r="AM34" s="80" t="s">
        <v>375</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377</v>
      </c>
      <c r="C35" s="89"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336</v>
      </c>
      <c r="AM35" s="80" t="s">
        <v>375</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378</v>
      </c>
      <c r="C36" s="89"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336</v>
      </c>
      <c r="AM36" s="80" t="s">
        <v>375</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379</v>
      </c>
      <c r="C37" s="89"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336</v>
      </c>
      <c r="AM37" s="80" t="s">
        <v>337</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380</v>
      </c>
      <c r="C38" s="89"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336</v>
      </c>
      <c r="AM38" s="80" t="s">
        <v>381</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382</v>
      </c>
      <c r="C39" s="89"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336</v>
      </c>
      <c r="AM39" s="80" t="s">
        <v>381</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383</v>
      </c>
      <c r="C40" s="89"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336</v>
      </c>
      <c r="AM40" s="80" t="s">
        <v>384</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385</v>
      </c>
      <c r="C41" s="89"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336</v>
      </c>
      <c r="AM41" s="80" t="s">
        <v>386</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387</v>
      </c>
      <c r="C42" s="89"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336</v>
      </c>
      <c r="AM42" s="80" t="s">
        <v>386</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388</v>
      </c>
      <c r="C43" s="89"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343</v>
      </c>
      <c r="AM43" s="80" t="s">
        <v>389</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390</v>
      </c>
      <c r="C44" s="89"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343</v>
      </c>
      <c r="AM44" s="80" t="s">
        <v>391</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392</v>
      </c>
      <c r="C45" s="89"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343</v>
      </c>
      <c r="AM45" s="80" t="s">
        <v>391</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393</v>
      </c>
      <c r="C46" s="89"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394</v>
      </c>
      <c r="AM46" s="80" t="s">
        <v>395</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396</v>
      </c>
      <c r="C47" s="89"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394</v>
      </c>
      <c r="AM47" s="80" t="s">
        <v>395</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90"/>
      <c r="AM48" s="80"/>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26</v>
      </c>
      <c r="B62" s="92"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397</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274</v>
      </c>
      <c r="C2" s="94" t="s">
        <v>398</v>
      </c>
      <c r="D2" s="94" t="s">
        <v>399</v>
      </c>
      <c r="E2" s="94" t="s">
        <v>400</v>
      </c>
      <c r="F2" s="94" t="s">
        <v>401</v>
      </c>
      <c r="G2" s="94" t="s">
        <v>402</v>
      </c>
      <c r="H2" s="94" t="s">
        <v>403</v>
      </c>
      <c r="I2" s="94" t="s">
        <v>404</v>
      </c>
      <c r="J2" s="94" t="s">
        <v>405</v>
      </c>
      <c r="K2" s="94" t="s">
        <v>406</v>
      </c>
      <c r="L2" s="94" t="s">
        <v>407</v>
      </c>
      <c r="M2" s="94" t="s">
        <v>408</v>
      </c>
      <c r="N2" s="94" t="s">
        <v>409</v>
      </c>
      <c r="O2" s="94" t="s">
        <v>410</v>
      </c>
      <c r="P2" s="94" t="s">
        <v>411</v>
      </c>
      <c r="Q2" s="94" t="s">
        <v>412</v>
      </c>
      <c r="R2" s="94" t="s">
        <v>413</v>
      </c>
      <c r="S2" s="94" t="s">
        <v>414</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PASS</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415</v>
      </c>
      <c r="B1" s="96"/>
      <c r="C1" s="96"/>
      <c r="D1" s="96"/>
      <c r="E1" s="96"/>
      <c r="F1" s="96"/>
      <c r="G1" s="96"/>
      <c r="H1" s="96"/>
      <c r="I1" s="96"/>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7" t="n">
        <v>257.26</v>
      </c>
      <c r="D3" s="85" t="n">
        <v>5338194</v>
      </c>
      <c r="E3" s="98" t="n">
        <v>102260.9</v>
      </c>
      <c r="F3" s="99" t="n">
        <v>14.717392</v>
      </c>
      <c r="G3" s="97" t="n">
        <v>190.12</v>
      </c>
      <c r="H3" s="97" t="n">
        <v>370.86</v>
      </c>
      <c r="I3" s="87"/>
    </row>
    <row r="4" customFormat="false" ht="15" hidden="false" customHeight="true" outlineLevel="0" collapsed="false">
      <c r="A4" s="80" t="s">
        <v>101</v>
      </c>
      <c r="B4" s="80" t="s">
        <v>102</v>
      </c>
      <c r="C4" s="97" t="n">
        <v>194.96</v>
      </c>
      <c r="D4" s="85" t="n">
        <v>4693298</v>
      </c>
      <c r="E4" s="98" t="n">
        <v>245888.4</v>
      </c>
      <c r="F4" s="99" t="n">
        <v>61.6962</v>
      </c>
      <c r="G4" s="97" t="n">
        <v>114.52</v>
      </c>
      <c r="H4" s="97" t="n">
        <v>214.89</v>
      </c>
      <c r="I4" s="87"/>
    </row>
    <row r="5" customFormat="false" ht="15" hidden="false" customHeight="true" outlineLevel="0" collapsed="false">
      <c r="A5" s="80" t="s">
        <v>103</v>
      </c>
      <c r="B5" s="80" t="s">
        <v>104</v>
      </c>
      <c r="C5" s="97" t="n">
        <v>1764.85</v>
      </c>
      <c r="D5" s="85" t="n">
        <v>1345523</v>
      </c>
      <c r="E5" s="98" t="n">
        <v>677878.9</v>
      </c>
      <c r="F5" s="99" t="n">
        <v>59.825424</v>
      </c>
      <c r="G5" s="97" t="n">
        <v>791.02</v>
      </c>
      <c r="H5" s="97" t="n">
        <v>1999.96</v>
      </c>
      <c r="I5" s="87" t="n">
        <v>0.53</v>
      </c>
    </row>
    <row r="6" customFormat="false" ht="15" hidden="false" customHeight="true" outlineLevel="0" collapsed="false">
      <c r="A6" s="80" t="s">
        <v>160</v>
      </c>
      <c r="B6" s="80" t="s">
        <v>161</v>
      </c>
      <c r="C6" s="97" t="n">
        <v>368.56</v>
      </c>
      <c r="D6" s="85" t="n">
        <v>29838709</v>
      </c>
      <c r="E6" s="98" t="n">
        <v>1753453.8</v>
      </c>
      <c r="F6" s="99" t="n">
        <v>47.010204</v>
      </c>
      <c r="G6" s="97" t="n">
        <v>289.96</v>
      </c>
      <c r="H6" s="97" t="n">
        <v>495</v>
      </c>
      <c r="I6" s="87" t="n">
        <v>0.73</v>
      </c>
    </row>
    <row r="7" customFormat="false" ht="15" hidden="false" customHeight="true" outlineLevel="0" collapsed="false">
      <c r="A7" s="80" t="s">
        <v>151</v>
      </c>
      <c r="B7" s="80" t="s">
        <v>152</v>
      </c>
      <c r="C7" s="97" t="n">
        <v>125.32</v>
      </c>
      <c r="D7" s="85" t="n">
        <v>1210096</v>
      </c>
      <c r="E7" s="98"/>
      <c r="F7" s="99" t="n">
        <v>12.4454</v>
      </c>
      <c r="G7" s="97" t="n">
        <v>93.87</v>
      </c>
      <c r="H7" s="97" t="n">
        <v>129.05</v>
      </c>
      <c r="I7" s="87" t="n">
        <v>1.25</v>
      </c>
    </row>
    <row r="8" customFormat="false" ht="15" hidden="false" customHeight="true" outlineLevel="0" collapsed="false">
      <c r="A8" s="80" t="s">
        <v>226</v>
      </c>
      <c r="B8" s="80" t="s">
        <v>374</v>
      </c>
      <c r="C8" s="97" t="n">
        <v>36.96</v>
      </c>
      <c r="D8" s="85" t="n">
        <v>9787856</v>
      </c>
      <c r="E8" s="98" t="n">
        <v>46769.8</v>
      </c>
      <c r="F8" s="99" t="n">
        <v>34.22222</v>
      </c>
      <c r="G8" s="97" t="n">
        <v>28.04</v>
      </c>
      <c r="H8" s="97" t="n">
        <v>42.82</v>
      </c>
      <c r="I8" s="87"/>
    </row>
    <row r="9" customFormat="false" ht="15" hidden="false" customHeight="true" outlineLevel="0" collapsed="false">
      <c r="A9" s="80" t="s">
        <v>228</v>
      </c>
      <c r="B9" s="80" t="s">
        <v>345</v>
      </c>
      <c r="C9" s="97" t="n">
        <v>910.18</v>
      </c>
      <c r="D9" s="85" t="n">
        <v>2225742</v>
      </c>
      <c r="E9" s="98" t="n">
        <v>403645.5</v>
      </c>
      <c r="F9" s="99" t="n">
        <v>45.80674</v>
      </c>
      <c r="G9" s="97" t="n">
        <v>844.06</v>
      </c>
      <c r="H9" s="97" t="n">
        <v>1096.5</v>
      </c>
      <c r="I9" s="87" t="n">
        <v>0.64</v>
      </c>
    </row>
    <row r="10" customFormat="false" ht="15" hidden="false" customHeight="true" outlineLevel="0" collapsed="false">
      <c r="A10" s="80" t="s">
        <v>105</v>
      </c>
      <c r="B10" s="80" t="s">
        <v>106</v>
      </c>
      <c r="C10" s="97" t="n">
        <v>210.02</v>
      </c>
      <c r="D10" s="85" t="n">
        <v>7862445</v>
      </c>
      <c r="E10" s="98" t="n">
        <v>215046.8</v>
      </c>
      <c r="F10" s="99" t="n">
        <v>5250.5</v>
      </c>
      <c r="G10" s="97" t="n">
        <v>85.68</v>
      </c>
      <c r="H10" s="97" t="n">
        <v>233.88</v>
      </c>
      <c r="I10" s="87"/>
    </row>
    <row r="11" customFormat="false" ht="15" hidden="false" customHeight="true" outlineLevel="0" collapsed="false">
      <c r="A11" s="80" t="s">
        <v>233</v>
      </c>
      <c r="B11" s="80" t="s">
        <v>376</v>
      </c>
      <c r="C11" s="97" t="n">
        <v>335.41</v>
      </c>
      <c r="D11" s="85" t="n">
        <v>556220</v>
      </c>
      <c r="E11" s="98" t="n">
        <v>11095.9</v>
      </c>
      <c r="F11" s="99" t="n">
        <v>19.024958</v>
      </c>
      <c r="G11" s="97" t="n">
        <v>282</v>
      </c>
      <c r="H11" s="97" t="n">
        <v>464.23</v>
      </c>
      <c r="I11" s="87" t="n">
        <v>2.33</v>
      </c>
    </row>
    <row r="12" customFormat="false" ht="15" hidden="false" customHeight="true" outlineLevel="0" collapsed="false">
      <c r="A12" s="80" t="s">
        <v>127</v>
      </c>
      <c r="B12" s="80" t="s">
        <v>128</v>
      </c>
      <c r="C12" s="97" t="n">
        <v>163.31</v>
      </c>
      <c r="D12" s="85" t="n">
        <v>283983</v>
      </c>
      <c r="E12" s="98"/>
      <c r="F12" s="99" t="n">
        <v>15.530593</v>
      </c>
      <c r="G12" s="97" t="n">
        <v>137.16</v>
      </c>
      <c r="H12" s="97" t="n">
        <v>167.06</v>
      </c>
      <c r="I12" s="87" t="n">
        <v>3.24</v>
      </c>
    </row>
    <row r="13" customFormat="false" ht="15" hidden="false" customHeight="true" outlineLevel="0" collapsed="false">
      <c r="A13" s="80" t="s">
        <v>236</v>
      </c>
      <c r="B13" s="80" t="s">
        <v>355</v>
      </c>
      <c r="C13" s="97" t="n">
        <v>21.51</v>
      </c>
      <c r="D13" s="85" t="n">
        <v>6978880</v>
      </c>
      <c r="E13" s="98" t="n">
        <v>74065.4</v>
      </c>
      <c r="F13" s="99" t="n">
        <v>14.732877</v>
      </c>
      <c r="G13" s="97" t="n">
        <v>16.18</v>
      </c>
      <c r="H13" s="97" t="n">
        <v>21.77</v>
      </c>
      <c r="I13" s="87" t="n">
        <v>6.33</v>
      </c>
    </row>
    <row r="14" customFormat="false" ht="15" hidden="false" customHeight="true" outlineLevel="0" collapsed="false">
      <c r="A14" s="80" t="s">
        <v>238</v>
      </c>
      <c r="B14" s="80" t="s">
        <v>392</v>
      </c>
      <c r="C14" s="97" t="n">
        <v>422.13</v>
      </c>
      <c r="D14" s="85" t="n">
        <v>2032961</v>
      </c>
      <c r="E14" s="98" t="n">
        <v>163955.3</v>
      </c>
      <c r="F14" s="99" t="n">
        <v>42.986763</v>
      </c>
      <c r="G14" s="97" t="n">
        <v>311.92</v>
      </c>
      <c r="H14" s="97" t="n">
        <v>478</v>
      </c>
      <c r="I14" s="87" t="n">
        <v>1.07</v>
      </c>
    </row>
    <row r="15" customFormat="false" ht="15" hidden="false" customHeight="true" outlineLevel="0" collapsed="false">
      <c r="A15" s="80" t="s">
        <v>240</v>
      </c>
      <c r="B15" s="80" t="s">
        <v>387</v>
      </c>
      <c r="C15" s="97" t="n">
        <v>72.82</v>
      </c>
      <c r="D15" s="85" t="n">
        <v>4895271</v>
      </c>
      <c r="E15" s="98" t="n">
        <v>6683.5</v>
      </c>
      <c r="F15" s="99" t="n">
        <v>23.044304</v>
      </c>
      <c r="G15" s="97" t="n">
        <v>44</v>
      </c>
      <c r="H15" s="97" t="n">
        <v>87.974</v>
      </c>
      <c r="I15" s="87" t="n">
        <v>0.54</v>
      </c>
    </row>
    <row r="16" customFormat="false" ht="15" hidden="false" customHeight="true" outlineLevel="0" collapsed="false">
      <c r="A16" s="80" t="s">
        <v>242</v>
      </c>
      <c r="B16" s="80" t="s">
        <v>388</v>
      </c>
      <c r="C16" s="97" t="n">
        <v>334.91</v>
      </c>
      <c r="D16" s="85" t="n">
        <v>3059378</v>
      </c>
      <c r="E16" s="98" t="n">
        <v>347490.1</v>
      </c>
      <c r="F16" s="99" t="n">
        <v>39.401176</v>
      </c>
      <c r="G16" s="97" t="n">
        <v>268.91</v>
      </c>
      <c r="H16" s="97" t="n">
        <v>388.84</v>
      </c>
      <c r="I16" s="87" t="n">
        <v>0.56</v>
      </c>
    </row>
    <row r="17" customFormat="false" ht="15" hidden="false" customHeight="true" outlineLevel="0" collapsed="false">
      <c r="A17" s="80" t="s">
        <v>157</v>
      </c>
      <c r="B17" s="80" t="s">
        <v>158</v>
      </c>
      <c r="C17" s="97" t="n">
        <v>69.39</v>
      </c>
      <c r="D17" s="85" t="n">
        <v>203268</v>
      </c>
      <c r="E17" s="98"/>
      <c r="F17" s="99" t="n">
        <v>24.4576</v>
      </c>
      <c r="G17" s="97" t="n">
        <v>63.24</v>
      </c>
      <c r="H17" s="97" t="n">
        <v>70.23</v>
      </c>
      <c r="I17" s="87" t="n">
        <v>0.62</v>
      </c>
    </row>
    <row r="18" customFormat="false" ht="15" hidden="false" customHeight="true" outlineLevel="0" collapsed="false">
      <c r="A18" s="80" t="s">
        <v>182</v>
      </c>
      <c r="B18" s="80" t="s">
        <v>183</v>
      </c>
      <c r="C18" s="97" t="n">
        <v>56.87</v>
      </c>
      <c r="D18" s="85" t="n">
        <v>4759638</v>
      </c>
      <c r="E18" s="98"/>
      <c r="F18" s="99" t="n">
        <v>25.282299</v>
      </c>
      <c r="G18" s="97" t="n">
        <v>55.1</v>
      </c>
      <c r="H18" s="97" t="n">
        <v>59.9</v>
      </c>
      <c r="I18" s="87" t="n">
        <v>7.97</v>
      </c>
    </row>
    <row r="19" customFormat="false" ht="15" hidden="false" customHeight="true" outlineLevel="0" collapsed="false">
      <c r="A19" s="80" t="s">
        <v>147</v>
      </c>
      <c r="B19" s="80" t="s">
        <v>148</v>
      </c>
      <c r="C19" s="97" t="n">
        <v>59.85</v>
      </c>
      <c r="D19" s="85" t="n">
        <v>5120618</v>
      </c>
      <c r="E19" s="98" t="n">
        <v>225986.3</v>
      </c>
      <c r="F19" s="99" t="n">
        <v>28.95007</v>
      </c>
      <c r="G19" s="97" t="n">
        <v>53.51</v>
      </c>
      <c r="H19" s="97" t="n">
        <v>61.72</v>
      </c>
      <c r="I19" s="87" t="n">
        <v>10.84</v>
      </c>
    </row>
    <row r="20" customFormat="false" ht="15" hidden="false" customHeight="true" outlineLevel="0" collapsed="false">
      <c r="A20" s="80" t="s">
        <v>107</v>
      </c>
      <c r="B20" s="80" t="s">
        <v>108</v>
      </c>
      <c r="C20" s="97" t="n">
        <v>188.98</v>
      </c>
      <c r="D20" s="85" t="n">
        <v>12158445</v>
      </c>
      <c r="E20" s="98" t="n">
        <v>246911.2</v>
      </c>
      <c r="F20" s="99" t="n">
        <v>51.633877</v>
      </c>
      <c r="G20" s="97" t="n">
        <v>91.023</v>
      </c>
      <c r="H20" s="97" t="n">
        <v>307.37</v>
      </c>
      <c r="I20" s="87" t="n">
        <v>0.5</v>
      </c>
    </row>
    <row r="21" customFormat="false" ht="15" hidden="false" customHeight="true" outlineLevel="0" collapsed="false">
      <c r="A21" s="80" t="s">
        <v>248</v>
      </c>
      <c r="B21" s="80" t="s">
        <v>365</v>
      </c>
      <c r="C21" s="97" t="n">
        <v>468.38</v>
      </c>
      <c r="D21" s="85" t="n">
        <v>2533696</v>
      </c>
      <c r="E21" s="98" t="n">
        <v>215913.9</v>
      </c>
      <c r="F21" s="99" t="n">
        <v>30.179123</v>
      </c>
      <c r="G21" s="97" t="n">
        <v>387.78</v>
      </c>
      <c r="H21" s="97" t="n">
        <v>548.2</v>
      </c>
      <c r="I21" s="87" t="n">
        <v>1.34</v>
      </c>
    </row>
    <row r="22" customFormat="false" ht="15" hidden="false" customHeight="true" outlineLevel="0" collapsed="false">
      <c r="A22" s="80" t="s">
        <v>137</v>
      </c>
      <c r="B22" s="80" t="s">
        <v>138</v>
      </c>
      <c r="C22" s="97" t="n">
        <v>54.93</v>
      </c>
      <c r="D22" s="85" t="n">
        <v>350807</v>
      </c>
      <c r="E22" s="98"/>
      <c r="F22" s="99" t="n">
        <v>18.950302</v>
      </c>
      <c r="G22" s="97" t="n">
        <v>49.15</v>
      </c>
      <c r="H22" s="97" t="n">
        <v>58.47</v>
      </c>
      <c r="I22" s="87" t="n">
        <v>0.47</v>
      </c>
    </row>
    <row r="23" customFormat="false" ht="15" hidden="false" customHeight="true" outlineLevel="0" collapsed="false">
      <c r="A23" s="80" t="s">
        <v>109</v>
      </c>
      <c r="B23" s="80" t="s">
        <v>110</v>
      </c>
      <c r="C23" s="97" t="n">
        <v>1000.26</v>
      </c>
      <c r="D23" s="85" t="n">
        <v>26248193</v>
      </c>
      <c r="E23" s="98" t="n">
        <v>1129686.8</v>
      </c>
      <c r="F23" s="99" t="n">
        <v>22.62008</v>
      </c>
      <c r="G23" s="97" t="n">
        <v>131.56</v>
      </c>
      <c r="H23" s="97" t="n">
        <v>1255</v>
      </c>
      <c r="I23" s="87" t="n">
        <v>0.05</v>
      </c>
    </row>
    <row r="24" customFormat="false" ht="15" hidden="false" customHeight="true" outlineLevel="0" collapsed="false">
      <c r="A24" s="80" t="s">
        <v>251</v>
      </c>
      <c r="B24" s="80" t="s">
        <v>396</v>
      </c>
      <c r="C24" s="97" t="n">
        <v>76.77</v>
      </c>
      <c r="D24" s="85" t="n">
        <v>33613528</v>
      </c>
      <c r="E24" s="98" t="n">
        <v>319665.6</v>
      </c>
      <c r="F24" s="99" t="n">
        <v>24.141508</v>
      </c>
      <c r="G24" s="97" t="n">
        <v>65.08</v>
      </c>
      <c r="H24" s="97" t="n">
        <v>126.7</v>
      </c>
      <c r="I24" s="87" t="n">
        <v>0.79</v>
      </c>
    </row>
    <row r="25" customFormat="false" ht="15" hidden="false" customHeight="true" outlineLevel="0" collapsed="false">
      <c r="A25" s="80" t="s">
        <v>111</v>
      </c>
      <c r="B25" s="80" t="s">
        <v>112</v>
      </c>
      <c r="C25" s="97" t="n">
        <v>225.73</v>
      </c>
      <c r="D25" s="85" t="n">
        <v>118354258</v>
      </c>
      <c r="E25" s="98" t="n">
        <v>5450702</v>
      </c>
      <c r="F25" s="99" t="n">
        <v>28.573418</v>
      </c>
      <c r="G25" s="97" t="n">
        <v>164.27</v>
      </c>
      <c r="H25" s="97" t="n">
        <v>236.54</v>
      </c>
      <c r="I25" s="87" t="n">
        <v>0.43</v>
      </c>
    </row>
    <row r="26" customFormat="false" ht="15" hidden="false" customHeight="true" outlineLevel="0" collapsed="false">
      <c r="A26" s="80" t="s">
        <v>260</v>
      </c>
      <c r="B26" s="80" t="s">
        <v>373</v>
      </c>
      <c r="C26" s="97" t="n">
        <v>145.58</v>
      </c>
      <c r="D26" s="85" t="n">
        <v>6281928</v>
      </c>
      <c r="E26" s="98" t="n">
        <v>338134.7</v>
      </c>
      <c r="F26" s="99" t="n">
        <v>21.990936</v>
      </c>
      <c r="G26" s="97" t="n">
        <v>137.62</v>
      </c>
      <c r="H26" s="97" t="n">
        <v>167.25</v>
      </c>
      <c r="I26" s="87" t="n">
        <v>2.97</v>
      </c>
    </row>
    <row r="27" customFormat="false" ht="15" hidden="false" customHeight="true" outlineLevel="0" collapsed="false">
      <c r="A27" s="80" t="s">
        <v>262</v>
      </c>
      <c r="B27" s="80" t="s">
        <v>390</v>
      </c>
      <c r="C27" s="97" t="n">
        <v>955.87</v>
      </c>
      <c r="D27" s="85" t="n">
        <v>437579</v>
      </c>
      <c r="E27" s="98" t="n">
        <v>120485</v>
      </c>
      <c r="F27" s="99" t="n">
        <v>33.55107</v>
      </c>
      <c r="G27" s="97" t="n">
        <v>715.37</v>
      </c>
      <c r="H27" s="97" t="n">
        <v>1099.94</v>
      </c>
      <c r="I27" s="87" t="n">
        <v>0.83</v>
      </c>
    </row>
    <row r="28" customFormat="false" ht="15" hidden="false" customHeight="true" outlineLevel="0" collapsed="false">
      <c r="A28" s="100" t="s">
        <v>165</v>
      </c>
      <c r="B28" s="100" t="s">
        <v>331</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342</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378</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423</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424</v>
      </c>
      <c r="X2" s="108" t="s">
        <v>425</v>
      </c>
      <c r="Y2" s="108" t="s">
        <v>426</v>
      </c>
      <c r="Z2" s="108" t="s">
        <v>427</v>
      </c>
      <c r="AA2" s="108" t="s">
        <v>428</v>
      </c>
      <c r="AB2" s="108" t="s">
        <v>429</v>
      </c>
      <c r="AC2" s="108" t="s">
        <v>430</v>
      </c>
      <c r="AD2" s="108" t="s">
        <v>431</v>
      </c>
      <c r="AE2" s="108" t="s">
        <v>432</v>
      </c>
      <c r="AF2" s="108" t="s">
        <v>433</v>
      </c>
      <c r="AG2" s="108" t="s">
        <v>434</v>
      </c>
      <c r="AH2" s="108" t="s">
        <v>435</v>
      </c>
      <c r="AI2" s="108" t="s">
        <v>436</v>
      </c>
      <c r="AJ2" s="108" t="s">
        <v>437</v>
      </c>
      <c r="AK2" s="108" t="s">
        <v>438</v>
      </c>
      <c r="AL2" s="108" t="s">
        <v>439</v>
      </c>
      <c r="AM2" s="108" t="s">
        <v>440</v>
      </c>
      <c r="AN2" s="108" t="s">
        <v>441</v>
      </c>
      <c r="AO2" s="107" t="s">
        <v>442</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443</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444</v>
      </c>
      <c r="J2" s="114" t="n">
        <f aca="false">COUNTIF(AG6:AG26,"&gt;1")</f>
        <v>4</v>
      </c>
    </row>
    <row r="3" customFormat="false" ht="15" hidden="false" customHeight="true" outlineLevel="0" collapsed="false">
      <c r="A3" s="27" t="s">
        <v>445</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446</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447</v>
      </c>
      <c r="B1" s="120"/>
      <c r="C1" s="120"/>
      <c r="D1" s="120"/>
      <c r="E1" s="120"/>
      <c r="F1" s="120"/>
      <c r="G1" s="120"/>
      <c r="H1" s="120"/>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456</v>
      </c>
      <c r="B1" s="123"/>
      <c r="C1" s="123"/>
      <c r="D1" s="123"/>
      <c r="E1" s="123"/>
      <c r="F1" s="123"/>
      <c r="G1" s="123"/>
      <c r="H1" s="123"/>
      <c r="I1" s="123"/>
      <c r="J1" s="123"/>
      <c r="K1" s="123"/>
      <c r="L1" s="123"/>
      <c r="M1" s="123"/>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467</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468</v>
      </c>
      <c r="E2" s="126"/>
      <c r="F2" s="126"/>
      <c r="G2" s="126"/>
      <c r="H2" s="126"/>
      <c r="I2" s="127" t="s">
        <v>469</v>
      </c>
      <c r="J2" s="127"/>
      <c r="K2" s="127"/>
      <c r="L2" s="127"/>
      <c r="M2" s="127"/>
      <c r="N2" s="128" t="s">
        <v>470</v>
      </c>
      <c r="O2" s="128"/>
      <c r="P2" s="128"/>
      <c r="Q2" s="128"/>
      <c r="R2" s="128"/>
      <c r="S2" s="129" t="s">
        <v>471</v>
      </c>
      <c r="T2" s="129"/>
      <c r="U2" s="129"/>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30" t="n">
        <v>61.48</v>
      </c>
      <c r="F20" s="38" t="n">
        <v>32</v>
      </c>
      <c r="G20" s="39" t="n">
        <f aca="false">IF(OR(C20="",D20="",E20="",F20=""),"",IFERROR(((D20*E20+F20)/C20)^(1/5)-1,"n/a"))</f>
        <v>0.0847777537329333</v>
      </c>
      <c r="H20" s="35" t="s">
        <v>482</v>
      </c>
      <c r="I20" s="38" t="n">
        <v>19.14</v>
      </c>
      <c r="J20" s="130" t="n">
        <v>50</v>
      </c>
      <c r="K20" s="38" t="n">
        <v>28</v>
      </c>
      <c r="L20" s="39" t="n">
        <f aca="false">IF(OR(C20="",I20="",J20="",K20=""),"",IFERROR(((I20*J20+K20)/C20)^(1/5)-1,"n/a"))</f>
        <v>0.00366015400817998</v>
      </c>
      <c r="M20" s="35" t="s">
        <v>482</v>
      </c>
      <c r="N20" s="38" t="n">
        <v>26.51</v>
      </c>
      <c r="O20" s="130"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483</v>
      </c>
      <c r="I21" s="38" t="n">
        <v>14.14</v>
      </c>
      <c r="J21" s="130" t="n">
        <v>28</v>
      </c>
      <c r="K21" s="38" t="n">
        <v>14</v>
      </c>
      <c r="L21" s="39" t="n">
        <f aca="false">IF(OR(C21="",I21="",J21="",K21=""),"",IFERROR(((I21*J21+K21)/C21)^(1/5)-1,"n/a"))</f>
        <v>0.0149373117952127</v>
      </c>
      <c r="M21" s="35" t="s">
        <v>482</v>
      </c>
      <c r="N21" s="38" t="n">
        <v>21.33</v>
      </c>
      <c r="O21" s="130"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485</v>
      </c>
      <c r="F2" s="135"/>
      <c r="G2" s="135"/>
      <c r="H2" s="135"/>
      <c r="I2" s="135"/>
      <c r="J2" s="135"/>
      <c r="K2" s="135"/>
      <c r="L2" s="135"/>
      <c r="M2" s="135"/>
      <c r="N2" s="135"/>
      <c r="O2" s="135"/>
      <c r="P2" s="135"/>
      <c r="Q2" s="135"/>
      <c r="R2" s="135"/>
      <c r="S2" s="135"/>
      <c r="T2" s="136" t="s">
        <v>486</v>
      </c>
      <c r="U2" s="136"/>
      <c r="V2" s="136"/>
      <c r="W2" s="136"/>
      <c r="X2" s="136"/>
      <c r="Y2" s="136"/>
      <c r="Z2" s="136"/>
    </row>
    <row r="3" customFormat="false" ht="54" hidden="false" customHeight="true" outlineLevel="0" collapsed="false">
      <c r="A3" s="137" t="s">
        <v>82</v>
      </c>
      <c r="B3" s="137" t="s">
        <v>274</v>
      </c>
      <c r="C3" s="137" t="s">
        <v>487</v>
      </c>
      <c r="D3" s="137" t="s">
        <v>488</v>
      </c>
      <c r="E3" s="137" t="s">
        <v>489</v>
      </c>
      <c r="F3" s="137" t="s">
        <v>490</v>
      </c>
      <c r="G3" s="137" t="s">
        <v>491</v>
      </c>
      <c r="H3" s="137" t="s">
        <v>492</v>
      </c>
      <c r="I3" s="137" t="s">
        <v>493</v>
      </c>
      <c r="J3" s="137" t="s">
        <v>491</v>
      </c>
      <c r="K3" s="137" t="s">
        <v>494</v>
      </c>
      <c r="L3" s="137" t="s">
        <v>495</v>
      </c>
      <c r="M3" s="137" t="s">
        <v>491</v>
      </c>
      <c r="N3" s="137" t="s">
        <v>496</v>
      </c>
      <c r="O3" s="137" t="s">
        <v>497</v>
      </c>
      <c r="P3" s="137" t="s">
        <v>491</v>
      </c>
      <c r="Q3" s="137" t="s">
        <v>498</v>
      </c>
      <c r="R3" s="137" t="s">
        <v>499</v>
      </c>
      <c r="S3" s="137" t="s">
        <v>491</v>
      </c>
      <c r="T3" s="137" t="s">
        <v>500</v>
      </c>
      <c r="U3" s="137" t="s">
        <v>501</v>
      </c>
      <c r="V3" s="137" t="s">
        <v>502</v>
      </c>
      <c r="W3" s="137" t="s">
        <v>503</v>
      </c>
      <c r="X3" s="137" t="s">
        <v>504</v>
      </c>
      <c r="Y3" s="137" t="s">
        <v>505</v>
      </c>
      <c r="Z3" s="137" t="s">
        <v>506</v>
      </c>
      <c r="AA3" s="137" t="s">
        <v>507</v>
      </c>
      <c r="AB3" s="137" t="s">
        <v>465</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508</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1" t="s">
        <v>96</v>
      </c>
      <c r="B3" s="84" t="s">
        <v>97</v>
      </c>
      <c r="C3" s="142" t="n">
        <v>46241</v>
      </c>
      <c r="D3" s="143" t="n">
        <v>266.38</v>
      </c>
      <c r="E3" s="84" t="n">
        <v>85.8</v>
      </c>
      <c r="F3" s="84" t="s">
        <v>325</v>
      </c>
      <c r="G3" s="84" t="s">
        <v>523</v>
      </c>
      <c r="H3" s="143" t="n">
        <v>773.26</v>
      </c>
      <c r="I3" s="84" t="s">
        <v>524</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325</v>
      </c>
      <c r="G4" s="84" t="s">
        <v>525</v>
      </c>
      <c r="H4" s="143" t="n">
        <v>773.26</v>
      </c>
      <c r="I4" s="84" t="s">
        <v>524</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331</v>
      </c>
      <c r="C5" s="142" t="n">
        <v>46241</v>
      </c>
      <c r="D5" s="143" t="n">
        <v>139.92</v>
      </c>
      <c r="E5" s="84" t="n">
        <v>82</v>
      </c>
      <c r="F5" s="84" t="s">
        <v>325</v>
      </c>
      <c r="G5" s="84" t="s">
        <v>523</v>
      </c>
      <c r="H5" s="143" t="n">
        <v>773.26</v>
      </c>
      <c r="I5" s="84" t="s">
        <v>524</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325</v>
      </c>
      <c r="G6" s="84" t="s">
        <v>523</v>
      </c>
      <c r="H6" s="143" t="n">
        <v>767.53</v>
      </c>
      <c r="I6" s="84" t="s">
        <v>524</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526</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527</v>
      </c>
      <c r="B1" s="96"/>
      <c r="C1" s="96"/>
    </row>
    <row r="2" customFormat="false" ht="18" hidden="false" customHeight="true" outlineLevel="0" collapsed="false">
      <c r="A2" s="108" t="s">
        <v>448</v>
      </c>
      <c r="B2" s="108" t="s">
        <v>82</v>
      </c>
      <c r="C2" s="108" t="s">
        <v>205</v>
      </c>
    </row>
    <row r="3" customFormat="false" ht="15" hidden="false" customHeight="true" outlineLevel="0" collapsed="false">
      <c r="A3" s="81" t="n">
        <v>46241</v>
      </c>
      <c r="B3" s="80" t="s">
        <v>168</v>
      </c>
      <c r="C3" s="148" t="s">
        <v>528</v>
      </c>
    </row>
    <row r="4" customFormat="false" ht="15" hidden="false" customHeight="true" outlineLevel="0" collapsed="false">
      <c r="A4" s="81" t="n">
        <v>46241</v>
      </c>
      <c r="B4" s="80" t="s">
        <v>171</v>
      </c>
      <c r="C4" s="148" t="s">
        <v>529</v>
      </c>
    </row>
    <row r="5" customFormat="false" ht="15" hidden="false" customHeight="true" outlineLevel="0" collapsed="false">
      <c r="A5" s="81" t="n">
        <v>46241</v>
      </c>
      <c r="B5" s="80" t="s">
        <v>179</v>
      </c>
      <c r="C5" s="148" t="s">
        <v>530</v>
      </c>
    </row>
    <row r="6" customFormat="false" ht="27.75" hidden="false" customHeight="true" outlineLevel="0" collapsed="false">
      <c r="A6" s="81" t="n">
        <v>46241</v>
      </c>
      <c r="B6" s="80" t="s">
        <v>162</v>
      </c>
      <c r="C6" s="148" t="s">
        <v>531</v>
      </c>
    </row>
    <row r="7" customFormat="false" ht="30" hidden="false" customHeight="true" outlineLevel="0" collapsed="false">
      <c r="A7" s="81" t="n">
        <v>46241</v>
      </c>
      <c r="B7" s="80" t="s">
        <v>532</v>
      </c>
      <c r="C7" s="148" t="s">
        <v>533</v>
      </c>
    </row>
    <row r="8" customFormat="false" ht="28.5" hidden="false" customHeight="true" outlineLevel="0" collapsed="false">
      <c r="A8" s="81" t="n">
        <v>46241</v>
      </c>
      <c r="B8" s="80" t="s">
        <v>532</v>
      </c>
      <c r="C8" s="148" t="s">
        <v>534</v>
      </c>
    </row>
    <row r="9" customFormat="false" ht="30" hidden="false" customHeight="true" outlineLevel="0" collapsed="false">
      <c r="A9" s="81" t="n">
        <v>46241</v>
      </c>
      <c r="B9" s="80" t="s">
        <v>535</v>
      </c>
      <c r="C9" s="148" t="s">
        <v>536</v>
      </c>
    </row>
    <row r="10" customFormat="false" ht="28.5" hidden="false" customHeight="true" outlineLevel="0" collapsed="false">
      <c r="A10" s="81" t="n">
        <v>46241</v>
      </c>
      <c r="B10" s="80" t="s">
        <v>537</v>
      </c>
      <c r="C10" s="148" t="s">
        <v>538</v>
      </c>
    </row>
    <row r="11" customFormat="false" ht="28.5" hidden="false" customHeight="true" outlineLevel="0" collapsed="false">
      <c r="A11" s="81" t="n">
        <v>46241</v>
      </c>
      <c r="B11" s="80" t="s">
        <v>130</v>
      </c>
      <c r="C11" s="148" t="s">
        <v>539</v>
      </c>
    </row>
    <row r="12" customFormat="false" ht="75" hidden="false" customHeight="true" outlineLevel="0" collapsed="false">
      <c r="A12" s="81" t="n">
        <v>46273</v>
      </c>
      <c r="B12" s="80" t="s">
        <v>540</v>
      </c>
      <c r="C12" s="148" t="s">
        <v>541</v>
      </c>
    </row>
    <row r="13" customFormat="false" ht="60" hidden="false" customHeight="true" outlineLevel="0" collapsed="false">
      <c r="A13" s="81" t="n">
        <v>46295</v>
      </c>
      <c r="B13" s="80" t="s">
        <v>542</v>
      </c>
      <c r="C13" s="148" t="s">
        <v>543</v>
      </c>
    </row>
    <row r="14" customFormat="false" ht="57.75" hidden="false" customHeight="true" outlineLevel="0" collapsed="false">
      <c r="A14" s="81" t="n">
        <v>46302</v>
      </c>
      <c r="B14" s="80" t="s">
        <v>544</v>
      </c>
      <c r="C14" s="148" t="s">
        <v>545</v>
      </c>
    </row>
    <row r="15" customFormat="false" ht="105" hidden="false" customHeight="true" outlineLevel="0" collapsed="false">
      <c r="A15" s="81" t="n">
        <v>46320</v>
      </c>
      <c r="B15" s="80" t="s">
        <v>546</v>
      </c>
      <c r="C15" s="148" t="s">
        <v>547</v>
      </c>
    </row>
    <row r="16" customFormat="false" ht="30.75" hidden="false" customHeight="true" outlineLevel="0" collapsed="false">
      <c r="A16" s="81" t="n">
        <v>46335</v>
      </c>
      <c r="B16" s="80" t="s">
        <v>548</v>
      </c>
      <c r="C16" s="148" t="s">
        <v>549</v>
      </c>
    </row>
    <row r="17" customFormat="false" ht="30.75" hidden="false" customHeight="true" outlineLevel="0" collapsed="false">
      <c r="A17" s="81" t="n">
        <v>46387</v>
      </c>
      <c r="B17" s="80" t="s">
        <v>550</v>
      </c>
      <c r="C17" s="148" t="s">
        <v>551</v>
      </c>
    </row>
    <row r="18" customFormat="false" ht="86.25" hidden="false" customHeight="true" outlineLevel="0" collapsed="false">
      <c r="A18" s="81" t="n">
        <v>46412</v>
      </c>
      <c r="B18" s="80" t="s">
        <v>552</v>
      </c>
      <c r="C18" s="148" t="s">
        <v>553</v>
      </c>
    </row>
    <row r="19" customFormat="false" ht="100.5" hidden="false" customHeight="true" outlineLevel="0" collapsed="false">
      <c r="A19" s="81" t="n">
        <v>46252</v>
      </c>
      <c r="B19" s="149" t="s">
        <v>554</v>
      </c>
      <c r="C19" s="148" t="s">
        <v>555</v>
      </c>
    </row>
    <row r="20" customFormat="false" ht="75.75" hidden="false" customHeight="true" outlineLevel="0" collapsed="false">
      <c r="A20" s="81" t="n">
        <v>46258</v>
      </c>
      <c r="B20" s="149" t="s">
        <v>556</v>
      </c>
      <c r="C20" s="148" t="s">
        <v>557</v>
      </c>
    </row>
    <row r="21" customFormat="false" ht="15" hidden="false" customHeight="true" outlineLevel="0" collapsed="false">
      <c r="A21" s="81" t="n">
        <v>46260</v>
      </c>
      <c r="B21" s="80" t="s">
        <v>558</v>
      </c>
      <c r="C21" s="148" t="s">
        <v>559</v>
      </c>
    </row>
    <row r="22" customFormat="false" ht="15" hidden="false" customHeight="true" outlineLevel="0" collapsed="false">
      <c r="A22" s="81" t="n">
        <v>46272</v>
      </c>
      <c r="B22" s="80" t="s">
        <v>560</v>
      </c>
      <c r="C22" s="148" t="s">
        <v>561</v>
      </c>
    </row>
    <row r="23" customFormat="false" ht="15" hidden="false" customHeight="true" outlineLevel="0" collapsed="false">
      <c r="A23" s="81" t="n">
        <v>46302</v>
      </c>
      <c r="B23" s="80" t="s">
        <v>562</v>
      </c>
      <c r="C23" s="148" t="s">
        <v>563</v>
      </c>
    </row>
    <row r="24" customFormat="false" ht="15" hidden="false" customHeight="true" outlineLevel="0" collapsed="false">
      <c r="A24" s="81" t="n">
        <v>46310</v>
      </c>
      <c r="B24" s="80" t="s">
        <v>564</v>
      </c>
      <c r="C24" s="148" t="s">
        <v>563</v>
      </c>
    </row>
    <row r="25" customFormat="false" ht="15" hidden="false" customHeight="true" outlineLevel="0" collapsed="false">
      <c r="A25" s="81" t="n">
        <v>46335</v>
      </c>
      <c r="B25" s="80" t="s">
        <v>565</v>
      </c>
      <c r="C25" s="148" t="s">
        <v>563</v>
      </c>
    </row>
    <row r="26" customFormat="false" ht="15" hidden="false" customHeight="true" outlineLevel="0" collapsed="false">
      <c r="A26" s="81" t="n">
        <v>46342</v>
      </c>
      <c r="B26" s="80" t="s">
        <v>566</v>
      </c>
      <c r="C26" s="148" t="s">
        <v>563</v>
      </c>
    </row>
    <row r="27" customFormat="false" ht="15" hidden="false" customHeight="true" outlineLevel="0" collapsed="false">
      <c r="A27" s="81" t="n">
        <v>46363</v>
      </c>
      <c r="B27" s="80" t="s">
        <v>567</v>
      </c>
      <c r="C27" s="148" t="s">
        <v>563</v>
      </c>
    </row>
    <row r="28" customFormat="false" ht="15" hidden="false" customHeight="true" outlineLevel="0" collapsed="false">
      <c r="A28" s="81" t="n">
        <v>46371</v>
      </c>
      <c r="B28" s="80" t="s">
        <v>568</v>
      </c>
      <c r="C28" s="148" t="s">
        <v>563</v>
      </c>
    </row>
    <row r="29" customFormat="false" ht="15" hidden="false" customHeight="true" outlineLevel="0" collapsed="false">
      <c r="A29" s="81" t="n">
        <v>46394</v>
      </c>
      <c r="B29" s="80" t="s">
        <v>569</v>
      </c>
      <c r="C29" s="148" t="s">
        <v>563</v>
      </c>
    </row>
    <row r="30" customFormat="false" ht="15" hidden="false" customHeight="true" outlineLevel="0" collapsed="false">
      <c r="A30" s="81" t="n">
        <v>46402</v>
      </c>
      <c r="B30" s="80" t="s">
        <v>570</v>
      </c>
      <c r="C30" s="148" t="s">
        <v>563</v>
      </c>
    </row>
    <row r="31" customFormat="false" ht="15" hidden="false" customHeight="true" outlineLevel="0" collapsed="false">
      <c r="A31" s="81" t="n">
        <v>46426</v>
      </c>
      <c r="B31" s="80" t="s">
        <v>571</v>
      </c>
      <c r="C31" s="148" t="s">
        <v>563</v>
      </c>
    </row>
    <row r="32" customFormat="false" ht="15" hidden="false" customHeight="true" outlineLevel="0" collapsed="false">
      <c r="A32" s="81" t="n">
        <v>46434</v>
      </c>
      <c r="B32" s="80" t="s">
        <v>572</v>
      </c>
      <c r="C32" s="148" t="s">
        <v>563</v>
      </c>
    </row>
    <row r="33" customFormat="false" ht="15" hidden="false" customHeight="true" outlineLevel="0" collapsed="false">
      <c r="A33" s="81" t="n">
        <v>46454</v>
      </c>
      <c r="B33" s="80" t="s">
        <v>573</v>
      </c>
      <c r="C33" s="148" t="s">
        <v>563</v>
      </c>
    </row>
    <row r="34" customFormat="false" ht="15" hidden="false" customHeight="true" outlineLevel="0" collapsed="false">
      <c r="A34" s="81" t="n">
        <v>46461</v>
      </c>
      <c r="B34" s="80" t="s">
        <v>574</v>
      </c>
      <c r="C34" s="148" t="s">
        <v>575</v>
      </c>
    </row>
    <row r="35" customFormat="false" ht="15" hidden="false" customHeight="true" outlineLevel="0" collapsed="false">
      <c r="A35" s="81" t="n">
        <v>46273</v>
      </c>
      <c r="B35" s="80" t="s">
        <v>576</v>
      </c>
      <c r="C35" s="148" t="s">
        <v>577</v>
      </c>
    </row>
    <row r="36" customFormat="false" ht="15" hidden="false" customHeight="true" outlineLevel="0" collapsed="false">
      <c r="A36" s="81" t="n">
        <v>46276</v>
      </c>
      <c r="B36" s="80" t="s">
        <v>578</v>
      </c>
      <c r="C36" s="148" t="s">
        <v>579</v>
      </c>
    </row>
    <row r="37" customFormat="false" ht="15" hidden="false" customHeight="true" outlineLevel="0" collapsed="false">
      <c r="A37" s="81" t="n">
        <v>46276</v>
      </c>
      <c r="B37" s="80" t="s">
        <v>580</v>
      </c>
      <c r="C37" s="148" t="s">
        <v>581</v>
      </c>
    </row>
    <row r="38" customFormat="false" ht="15" hidden="false" customHeight="true" outlineLevel="0" collapsed="false">
      <c r="A38" s="81" t="n">
        <v>46276</v>
      </c>
      <c r="B38" s="80" t="s">
        <v>582</v>
      </c>
      <c r="C38" s="148" t="s">
        <v>583</v>
      </c>
    </row>
    <row r="39" customFormat="false" ht="15" hidden="false" customHeight="true" outlineLevel="0" collapsed="false">
      <c r="A39" s="81" t="n">
        <v>46276</v>
      </c>
      <c r="B39" s="80" t="s">
        <v>584</v>
      </c>
      <c r="C39" s="148" t="s">
        <v>585</v>
      </c>
    </row>
    <row r="40" customFormat="false" ht="15" hidden="false" customHeight="true" outlineLevel="0" collapsed="false">
      <c r="A40" s="81" t="n">
        <v>46276</v>
      </c>
      <c r="B40" s="80" t="s">
        <v>584</v>
      </c>
      <c r="C40" s="148" t="s">
        <v>586</v>
      </c>
    </row>
    <row r="41" customFormat="false" ht="15" hidden="false" customHeight="true" outlineLevel="0" collapsed="false">
      <c r="A41" s="81" t="n">
        <v>46276</v>
      </c>
      <c r="B41" s="80" t="s">
        <v>162</v>
      </c>
      <c r="C41" s="148" t="s">
        <v>587</v>
      </c>
    </row>
    <row r="42" customFormat="false" ht="15" hidden="false" customHeight="true" outlineLevel="0" collapsed="false">
      <c r="A42" s="81" t="n">
        <v>46276</v>
      </c>
      <c r="B42" s="80" t="s">
        <v>584</v>
      </c>
      <c r="C42" s="148" t="s">
        <v>588</v>
      </c>
    </row>
    <row r="43" customFormat="false" ht="15" hidden="false" customHeight="true" outlineLevel="0" collapsed="false">
      <c r="A43" s="81" t="n">
        <v>46276</v>
      </c>
      <c r="B43" s="80" t="s">
        <v>589</v>
      </c>
      <c r="C43" s="148" t="s">
        <v>590</v>
      </c>
    </row>
    <row r="44" customFormat="false" ht="15" hidden="false" customHeight="true" outlineLevel="0" collapsed="false">
      <c r="A44" s="81" t="n">
        <v>46276</v>
      </c>
      <c r="B44" s="80" t="s">
        <v>591</v>
      </c>
      <c r="C44" s="148" t="s">
        <v>592</v>
      </c>
    </row>
    <row r="45" customFormat="false" ht="15" hidden="false" customHeight="true" outlineLevel="0" collapsed="false">
      <c r="A45" s="81" t="n">
        <v>46295</v>
      </c>
      <c r="B45" s="80" t="s">
        <v>593</v>
      </c>
      <c r="C45" s="148" t="s">
        <v>594</v>
      </c>
    </row>
    <row r="46" customFormat="false" ht="15" hidden="false" customHeight="true" outlineLevel="0" collapsed="false">
      <c r="A46" s="81" t="n">
        <v>46302</v>
      </c>
      <c r="B46" s="80" t="s">
        <v>595</v>
      </c>
      <c r="C46" s="148" t="s">
        <v>596</v>
      </c>
    </row>
    <row r="47" customFormat="false" ht="15" hidden="false" customHeight="true" outlineLevel="0" collapsed="false">
      <c r="A47" s="81" t="n">
        <v>46317</v>
      </c>
      <c r="B47" s="80" t="s">
        <v>597</v>
      </c>
      <c r="C47" s="148" t="s">
        <v>598</v>
      </c>
    </row>
    <row r="48" customFormat="false" ht="15" hidden="false" customHeight="true" outlineLevel="0" collapsed="false">
      <c r="A48" s="81" t="n">
        <v>46335</v>
      </c>
      <c r="B48" s="80" t="s">
        <v>599</v>
      </c>
      <c r="C48" s="148" t="s">
        <v>600</v>
      </c>
    </row>
    <row r="49" customFormat="false" ht="15" hidden="false" customHeight="true" outlineLevel="0" collapsed="false">
      <c r="A49" s="81" t="n">
        <v>46349</v>
      </c>
      <c r="B49" s="80" t="s">
        <v>601</v>
      </c>
      <c r="C49" s="148" t="s">
        <v>602</v>
      </c>
    </row>
    <row r="50" customFormat="false" ht="15" hidden="false" customHeight="true" outlineLevel="0" collapsed="false">
      <c r="A50" s="81" t="n">
        <v>46363</v>
      </c>
      <c r="B50" s="80" t="s">
        <v>603</v>
      </c>
      <c r="C50" s="148" t="s">
        <v>598</v>
      </c>
    </row>
    <row r="51" customFormat="false" ht="15" hidden="false" customHeight="true" outlineLevel="0" collapsed="false">
      <c r="A51" s="81" t="n">
        <v>46378</v>
      </c>
      <c r="B51" s="80" t="s">
        <v>604</v>
      </c>
      <c r="C51" s="148" t="s">
        <v>598</v>
      </c>
    </row>
    <row r="52" customFormat="false" ht="15" hidden="false" customHeight="true" outlineLevel="0" collapsed="false">
      <c r="A52" s="81" t="n">
        <v>46394</v>
      </c>
      <c r="B52" s="80" t="s">
        <v>605</v>
      </c>
      <c r="C52" s="148" t="s">
        <v>606</v>
      </c>
    </row>
    <row r="53" customFormat="false" ht="15" hidden="false" customHeight="true" outlineLevel="0" collapsed="false">
      <c r="A53" s="81"/>
      <c r="B53" s="80"/>
      <c r="C53" s="148"/>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607</v>
      </c>
      <c r="B1" s="150"/>
      <c r="C1" s="150"/>
      <c r="D1" s="150"/>
      <c r="E1" s="150"/>
      <c r="F1" s="150"/>
    </row>
    <row r="2" customFormat="false" ht="15" hidden="false" customHeight="true" outlineLevel="0" collapsed="false">
      <c r="A2" s="27" t="s">
        <v>608</v>
      </c>
      <c r="C2" s="114" t="n">
        <f aca="false">COUNTIF(F5:F500,"OVERDUE")</f>
        <v>0</v>
      </c>
    </row>
    <row r="4" customFormat="false" ht="27.75" hidden="false" customHeight="true" outlineLevel="0" collapsed="false">
      <c r="A4" s="115" t="s">
        <v>609</v>
      </c>
      <c r="B4" s="115" t="s">
        <v>610</v>
      </c>
      <c r="C4" s="115" t="s">
        <v>611</v>
      </c>
      <c r="D4" s="115" t="s">
        <v>612</v>
      </c>
      <c r="E4" s="115" t="s">
        <v>613</v>
      </c>
      <c r="F4" s="115" t="s">
        <v>452</v>
      </c>
    </row>
    <row r="5" customFormat="false" ht="15" hidden="false" customHeight="true" outlineLevel="0" collapsed="false">
      <c r="A5" s="119" t="s">
        <v>542</v>
      </c>
      <c r="B5" s="151" t="s">
        <v>614</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542</v>
      </c>
      <c r="B6" s="151" t="s">
        <v>615</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542</v>
      </c>
      <c r="B7" s="151" t="s">
        <v>616</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542</v>
      </c>
      <c r="B8" s="151" t="s">
        <v>617</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542</v>
      </c>
      <c r="B9" s="151" t="s">
        <v>618</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542</v>
      </c>
      <c r="B10" s="151" t="s">
        <v>619</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546</v>
      </c>
      <c r="B11" s="151" t="s">
        <v>620</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546</v>
      </c>
      <c r="B12" s="151" t="s">
        <v>621</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546</v>
      </c>
      <c r="B13" s="151" t="s">
        <v>622</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546</v>
      </c>
      <c r="B14" s="151" t="s">
        <v>617</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546</v>
      </c>
      <c r="B15" s="151" t="s">
        <v>618</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546</v>
      </c>
      <c r="B16" s="151" t="s">
        <v>619</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550</v>
      </c>
      <c r="B17" s="151" t="s">
        <v>614</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550</v>
      </c>
      <c r="B18" s="151" t="s">
        <v>615</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550</v>
      </c>
      <c r="B19" s="151" t="s">
        <v>616</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550</v>
      </c>
      <c r="B20" s="151" t="s">
        <v>617</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550</v>
      </c>
      <c r="B21" s="151" t="s">
        <v>618</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550</v>
      </c>
      <c r="B22" s="151" t="s">
        <v>619</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552</v>
      </c>
      <c r="B23" s="151" t="s">
        <v>623</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552</v>
      </c>
      <c r="B24" s="151" t="s">
        <v>624</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552</v>
      </c>
      <c r="B25" s="151" t="s">
        <v>617</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552</v>
      </c>
      <c r="B26" s="151" t="s">
        <v>618</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552</v>
      </c>
      <c r="B27" s="151" t="s">
        <v>619</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593</v>
      </c>
      <c r="B28" s="151" t="s">
        <v>625</v>
      </c>
      <c r="C28" s="119"/>
      <c r="D28" s="119"/>
      <c r="E28" s="152" t="n">
        <f aca="false">IFERROR(INDEX(Journal!$A:$A,MATCH($A28,Journal!$B:$B,0)),"")</f>
        <v>46295</v>
      </c>
      <c r="F28" s="119" t="str">
        <f aca="true">IF(C28="Y","Done",IF(AND(E28&lt;&gt;"",TODAY()&gt;E28),"OVERDUE","Pending"))</f>
        <v>Pending</v>
      </c>
    </row>
    <row r="29" customFormat="false" ht="15" hidden="false" customHeight="true" outlineLevel="0" collapsed="false">
      <c r="A29" s="119" t="s">
        <v>593</v>
      </c>
      <c r="B29" s="151" t="s">
        <v>626</v>
      </c>
      <c r="C29" s="119"/>
      <c r="D29" s="119"/>
      <c r="E29" s="152" t="n">
        <f aca="false">IFERROR(INDEX(Journal!$A:$A,MATCH($A29,Journal!$B:$B,0)),"")</f>
        <v>46295</v>
      </c>
      <c r="F29" s="119" t="str">
        <f aca="true">IF(C29="Y","Done",IF(AND(E29&lt;&gt;"",TODAY()&gt;E29),"OVERDUE","Pending"))</f>
        <v>Pending</v>
      </c>
    </row>
    <row r="30" customFormat="false" ht="45.75" hidden="false" customHeight="true" outlineLevel="0" collapsed="false">
      <c r="A30" s="119" t="s">
        <v>593</v>
      </c>
      <c r="B30" s="151" t="s">
        <v>627</v>
      </c>
      <c r="C30" s="119"/>
      <c r="D30" s="119"/>
      <c r="E30" s="152" t="n">
        <f aca="false">IFERROR(INDEX(Journal!$A:$A,MATCH($A30,Journal!$B:$B,0)),"")</f>
        <v>46295</v>
      </c>
      <c r="F30" s="119" t="str">
        <f aca="true">IF(C30="Y","Done",IF(AND(E30&lt;&gt;"",TODAY()&gt;E30),"OVERDUE","Pending"))</f>
        <v>Pending</v>
      </c>
    </row>
    <row r="31" customFormat="false" ht="15" hidden="false" customHeight="true" outlineLevel="0" collapsed="false">
      <c r="A31" s="119" t="s">
        <v>593</v>
      </c>
      <c r="B31" s="151" t="s">
        <v>628</v>
      </c>
      <c r="C31" s="119"/>
      <c r="D31" s="119"/>
      <c r="E31" s="152" t="n">
        <f aca="false">IFERROR(INDEX(Journal!$A:$A,MATCH($A31,Journal!$B:$B,0)),"")</f>
        <v>46295</v>
      </c>
      <c r="F31" s="119" t="str">
        <f aca="true">IF(C31="Y","Done",IF(AND(E31&lt;&gt;"",TODAY()&gt;E31),"OVERDUE","Pending"))</f>
        <v>Pending</v>
      </c>
    </row>
    <row r="32" customFormat="false" ht="15" hidden="false" customHeight="true" outlineLevel="0" collapsed="false">
      <c r="A32" s="119" t="s">
        <v>593</v>
      </c>
      <c r="B32" s="151" t="s">
        <v>629</v>
      </c>
      <c r="C32" s="119"/>
      <c r="D32" s="119"/>
      <c r="E32" s="152" t="n">
        <f aca="false">IFERROR(INDEX(Journal!$A:$A,MATCH($A32,Journal!$B:$B,0)),"")</f>
        <v>46295</v>
      </c>
      <c r="F32" s="119" t="str">
        <f aca="true">IF(C32="Y","Done",IF(AND(E32&lt;&gt;"",TODAY()&gt;E32),"OVERDUE","Pending"))</f>
        <v>Pending</v>
      </c>
    </row>
    <row r="33" customFormat="false" ht="15" hidden="false" customHeight="true" outlineLevel="0" collapsed="false">
      <c r="A33" s="119" t="s">
        <v>593</v>
      </c>
      <c r="B33" s="151" t="s">
        <v>630</v>
      </c>
      <c r="C33" s="119"/>
      <c r="D33" s="119"/>
      <c r="E33" s="152" t="n">
        <f aca="false">IFERROR(INDEX(Journal!$A:$A,MATCH($A33,Journal!$B:$B,0)),"")</f>
        <v>46295</v>
      </c>
      <c r="F33" s="119" t="str">
        <f aca="true">IF(C33="Y","Done",IF(AND(E33&lt;&gt;"",TODAY()&gt;E33),"OVERDUE","Pending"))</f>
        <v>Pending</v>
      </c>
    </row>
    <row r="34" customFormat="false" ht="15" hidden="false" customHeight="true" outlineLevel="0" collapsed="false">
      <c r="A34" s="119" t="s">
        <v>593</v>
      </c>
      <c r="B34" s="151" t="s">
        <v>617</v>
      </c>
      <c r="C34" s="119"/>
      <c r="D34" s="119"/>
      <c r="E34" s="152" t="n">
        <f aca="false">IFERROR(INDEX(Journal!$A:$A,MATCH($A34,Journal!$B:$B,0)),"")</f>
        <v>46295</v>
      </c>
      <c r="F34" s="119" t="str">
        <f aca="true">IF(C34="Y","Done",IF(AND(E34&lt;&gt;"",TODAY()&gt;E34),"OVERDUE","Pending"))</f>
        <v>Pending</v>
      </c>
    </row>
    <row r="35" customFormat="false" ht="15" hidden="false" customHeight="true" outlineLevel="0" collapsed="false">
      <c r="A35" s="119" t="s">
        <v>593</v>
      </c>
      <c r="B35" s="151" t="s">
        <v>618</v>
      </c>
      <c r="C35" s="119"/>
      <c r="D35" s="119"/>
      <c r="E35" s="152" t="n">
        <f aca="false">IFERROR(INDEX(Journal!$A:$A,MATCH($A35,Journal!$B:$B,0)),"")</f>
        <v>46295</v>
      </c>
      <c r="F35" s="119" t="str">
        <f aca="true">IF(C35="Y","Done",IF(AND(E35&lt;&gt;"",TODAY()&gt;E35),"OVERDUE","Pending"))</f>
        <v>Pending</v>
      </c>
    </row>
    <row r="36" customFormat="false" ht="15" hidden="false" customHeight="true" outlineLevel="0" collapsed="false">
      <c r="A36" s="119" t="s">
        <v>593</v>
      </c>
      <c r="B36" s="151" t="s">
        <v>619</v>
      </c>
      <c r="C36" s="119"/>
      <c r="D36" s="119"/>
      <c r="E36" s="152" t="n">
        <f aca="false">IFERROR(INDEX(Journal!$A:$A,MATCH($A36,Journal!$B:$B,0)),"")</f>
        <v>46295</v>
      </c>
      <c r="F36" s="119" t="str">
        <f aca="true">IF(C36="Y","Done",IF(AND(E36&lt;&gt;"",TODAY()&gt;E36),"OVERDUE","Pending"))</f>
        <v>Pending</v>
      </c>
    </row>
    <row r="37" customFormat="false" ht="15" hidden="false" customHeight="true" outlineLevel="0" collapsed="false">
      <c r="A37" s="119" t="s">
        <v>595</v>
      </c>
      <c r="B37" s="151" t="s">
        <v>625</v>
      </c>
      <c r="C37" s="119"/>
      <c r="D37" s="119"/>
      <c r="E37" s="152" t="n">
        <f aca="false">IFERROR(INDEX(Journal!$A:$A,MATCH($A37,Journal!$B:$B,0)),"")</f>
        <v>46302</v>
      </c>
      <c r="F37" s="119" t="str">
        <f aca="true">IF(C37="Y","Done",IF(AND(E37&lt;&gt;"",TODAY()&gt;E37),"OVERDUE","Pending"))</f>
        <v>Pending</v>
      </c>
    </row>
    <row r="38" customFormat="false" ht="15" hidden="false" customHeight="true" outlineLevel="0" collapsed="false">
      <c r="A38" s="119" t="s">
        <v>595</v>
      </c>
      <c r="B38" s="151" t="s">
        <v>626</v>
      </c>
      <c r="C38" s="119"/>
      <c r="D38" s="119"/>
      <c r="E38" s="152" t="n">
        <f aca="false">IFERROR(INDEX(Journal!$A:$A,MATCH($A38,Journal!$B:$B,0)),"")</f>
        <v>46302</v>
      </c>
      <c r="F38" s="119" t="str">
        <f aca="true">IF(C38="Y","Done",IF(AND(E38&lt;&gt;"",TODAY()&gt;E38),"OVERDUE","Pending"))</f>
        <v>Pending</v>
      </c>
    </row>
    <row r="39" customFormat="false" ht="45.75" hidden="false" customHeight="true" outlineLevel="0" collapsed="false">
      <c r="A39" s="119" t="s">
        <v>595</v>
      </c>
      <c r="B39" s="151" t="s">
        <v>627</v>
      </c>
      <c r="C39" s="119"/>
      <c r="D39" s="119"/>
      <c r="E39" s="152" t="n">
        <f aca="false">IFERROR(INDEX(Journal!$A:$A,MATCH($A39,Journal!$B:$B,0)),"")</f>
        <v>46302</v>
      </c>
      <c r="F39" s="119" t="str">
        <f aca="true">IF(C39="Y","Done",IF(AND(E39&lt;&gt;"",TODAY()&gt;E39),"OVERDUE","Pending"))</f>
        <v>Pending</v>
      </c>
    </row>
    <row r="40" customFormat="false" ht="15" hidden="false" customHeight="true" outlineLevel="0" collapsed="false">
      <c r="A40" s="119" t="s">
        <v>595</v>
      </c>
      <c r="B40" s="151" t="s">
        <v>628</v>
      </c>
      <c r="C40" s="119"/>
      <c r="D40" s="119"/>
      <c r="E40" s="152" t="n">
        <f aca="false">IFERROR(INDEX(Journal!$A:$A,MATCH($A40,Journal!$B:$B,0)),"")</f>
        <v>46302</v>
      </c>
      <c r="F40" s="119" t="str">
        <f aca="true">IF(C40="Y","Done",IF(AND(E40&lt;&gt;"",TODAY()&gt;E40),"OVERDUE","Pending"))</f>
        <v>Pending</v>
      </c>
    </row>
    <row r="41" customFormat="false" ht="15" hidden="false" customHeight="true" outlineLevel="0" collapsed="false">
      <c r="A41" s="119" t="s">
        <v>595</v>
      </c>
      <c r="B41" s="151" t="s">
        <v>629</v>
      </c>
      <c r="C41" s="119"/>
      <c r="D41" s="119"/>
      <c r="E41" s="152" t="n">
        <f aca="false">IFERROR(INDEX(Journal!$A:$A,MATCH($A41,Journal!$B:$B,0)),"")</f>
        <v>46302</v>
      </c>
      <c r="F41" s="119" t="str">
        <f aca="true">IF(C41="Y","Done",IF(AND(E41&lt;&gt;"",TODAY()&gt;E41),"OVERDUE","Pending"))</f>
        <v>Pending</v>
      </c>
    </row>
    <row r="42" customFormat="false" ht="15" hidden="false" customHeight="true" outlineLevel="0" collapsed="false">
      <c r="A42" s="119" t="s">
        <v>595</v>
      </c>
      <c r="B42" s="151" t="s">
        <v>630</v>
      </c>
      <c r="C42" s="119"/>
      <c r="D42" s="119"/>
      <c r="E42" s="152" t="n">
        <f aca="false">IFERROR(INDEX(Journal!$A:$A,MATCH($A42,Journal!$B:$B,0)),"")</f>
        <v>46302</v>
      </c>
      <c r="F42" s="119" t="str">
        <f aca="true">IF(C42="Y","Done",IF(AND(E42&lt;&gt;"",TODAY()&gt;E42),"OVERDUE","Pending"))</f>
        <v>Pending</v>
      </c>
    </row>
    <row r="43" customFormat="false" ht="15" hidden="false" customHeight="true" outlineLevel="0" collapsed="false">
      <c r="A43" s="119" t="s">
        <v>595</v>
      </c>
      <c r="B43" s="151" t="s">
        <v>617</v>
      </c>
      <c r="C43" s="119"/>
      <c r="D43" s="119"/>
      <c r="E43" s="152" t="n">
        <f aca="false">IFERROR(INDEX(Journal!$A:$A,MATCH($A43,Journal!$B:$B,0)),"")</f>
        <v>46302</v>
      </c>
      <c r="F43" s="119" t="str">
        <f aca="true">IF(C43="Y","Done",IF(AND(E43&lt;&gt;"",TODAY()&gt;E43),"OVERDUE","Pending"))</f>
        <v>Pending</v>
      </c>
    </row>
    <row r="44" customFormat="false" ht="15" hidden="false" customHeight="true" outlineLevel="0" collapsed="false">
      <c r="A44" s="119" t="s">
        <v>595</v>
      </c>
      <c r="B44" s="151" t="s">
        <v>618</v>
      </c>
      <c r="C44" s="119"/>
      <c r="D44" s="119"/>
      <c r="E44" s="152" t="n">
        <f aca="false">IFERROR(INDEX(Journal!$A:$A,MATCH($A44,Journal!$B:$B,0)),"")</f>
        <v>46302</v>
      </c>
      <c r="F44" s="119" t="str">
        <f aca="true">IF(C44="Y","Done",IF(AND(E44&lt;&gt;"",TODAY()&gt;E44),"OVERDUE","Pending"))</f>
        <v>Pending</v>
      </c>
    </row>
    <row r="45" customFormat="false" ht="15" hidden="false" customHeight="true" outlineLevel="0" collapsed="false">
      <c r="A45" s="119" t="s">
        <v>595</v>
      </c>
      <c r="B45" s="151" t="s">
        <v>619</v>
      </c>
      <c r="C45" s="119"/>
      <c r="D45" s="119"/>
      <c r="E45" s="152" t="n">
        <f aca="false">IFERROR(INDEX(Journal!$A:$A,MATCH($A45,Journal!$B:$B,0)),"")</f>
        <v>46302</v>
      </c>
      <c r="F45" s="119" t="str">
        <f aca="true">IF(C45="Y","Done",IF(AND(E45&lt;&gt;"",TODAY()&gt;E45),"OVERDUE","Pending"))</f>
        <v>Pending</v>
      </c>
    </row>
    <row r="46" customFormat="false" ht="15" hidden="false" customHeight="true" outlineLevel="0" collapsed="false">
      <c r="A46" s="119" t="s">
        <v>597</v>
      </c>
      <c r="B46" s="151" t="s">
        <v>625</v>
      </c>
      <c r="C46" s="119"/>
      <c r="D46" s="119"/>
      <c r="E46" s="152" t="n">
        <f aca="false">IFERROR(INDEX(Journal!$A:$A,MATCH($A46,Journal!$B:$B,0)),"")</f>
        <v>46317</v>
      </c>
      <c r="F46" s="119" t="str">
        <f aca="true">IF(C46="Y","Done",IF(AND(E46&lt;&gt;"",TODAY()&gt;E46),"OVERDUE","Pending"))</f>
        <v>Pending</v>
      </c>
    </row>
    <row r="47" customFormat="false" ht="15" hidden="false" customHeight="true" outlineLevel="0" collapsed="false">
      <c r="A47" s="119" t="s">
        <v>597</v>
      </c>
      <c r="B47" s="151" t="s">
        <v>626</v>
      </c>
      <c r="C47" s="119"/>
      <c r="D47" s="119"/>
      <c r="E47" s="152" t="n">
        <f aca="false">IFERROR(INDEX(Journal!$A:$A,MATCH($A47,Journal!$B:$B,0)),"")</f>
        <v>46317</v>
      </c>
      <c r="F47" s="119" t="str">
        <f aca="true">IF(C47="Y","Done",IF(AND(E47&lt;&gt;"",TODAY()&gt;E47),"OVERDUE","Pending"))</f>
        <v>Pending</v>
      </c>
    </row>
    <row r="48" customFormat="false" ht="45.75" hidden="false" customHeight="true" outlineLevel="0" collapsed="false">
      <c r="A48" s="119" t="s">
        <v>597</v>
      </c>
      <c r="B48" s="151" t="s">
        <v>627</v>
      </c>
      <c r="C48" s="119"/>
      <c r="D48" s="119"/>
      <c r="E48" s="152" t="n">
        <f aca="false">IFERROR(INDEX(Journal!$A:$A,MATCH($A48,Journal!$B:$B,0)),"")</f>
        <v>46317</v>
      </c>
      <c r="F48" s="119" t="str">
        <f aca="true">IF(C48="Y","Done",IF(AND(E48&lt;&gt;"",TODAY()&gt;E48),"OVERDUE","Pending"))</f>
        <v>Pending</v>
      </c>
    </row>
    <row r="49" customFormat="false" ht="15" hidden="false" customHeight="true" outlineLevel="0" collapsed="false">
      <c r="A49" s="119" t="s">
        <v>597</v>
      </c>
      <c r="B49" s="151" t="s">
        <v>628</v>
      </c>
      <c r="C49" s="119"/>
      <c r="D49" s="119"/>
      <c r="E49" s="152" t="n">
        <f aca="false">IFERROR(INDEX(Journal!$A:$A,MATCH($A49,Journal!$B:$B,0)),"")</f>
        <v>46317</v>
      </c>
      <c r="F49" s="119" t="str">
        <f aca="true">IF(C49="Y","Done",IF(AND(E49&lt;&gt;"",TODAY()&gt;E49),"OVERDUE","Pending"))</f>
        <v>Pending</v>
      </c>
    </row>
    <row r="50" customFormat="false" ht="15" hidden="false" customHeight="true" outlineLevel="0" collapsed="false">
      <c r="A50" s="119" t="s">
        <v>597</v>
      </c>
      <c r="B50" s="151" t="s">
        <v>629</v>
      </c>
      <c r="C50" s="119"/>
      <c r="D50" s="119"/>
      <c r="E50" s="152" t="n">
        <f aca="false">IFERROR(INDEX(Journal!$A:$A,MATCH($A50,Journal!$B:$B,0)),"")</f>
        <v>46317</v>
      </c>
      <c r="F50" s="119" t="str">
        <f aca="true">IF(C50="Y","Done",IF(AND(E50&lt;&gt;"",TODAY()&gt;E50),"OVERDUE","Pending"))</f>
        <v>Pending</v>
      </c>
    </row>
    <row r="51" customFormat="false" ht="15" hidden="false" customHeight="true" outlineLevel="0" collapsed="false">
      <c r="A51" s="119" t="s">
        <v>597</v>
      </c>
      <c r="B51" s="151" t="s">
        <v>630</v>
      </c>
      <c r="C51" s="119"/>
      <c r="D51" s="119"/>
      <c r="E51" s="152" t="n">
        <f aca="false">IFERROR(INDEX(Journal!$A:$A,MATCH($A51,Journal!$B:$B,0)),"")</f>
        <v>46317</v>
      </c>
      <c r="F51" s="119" t="str">
        <f aca="true">IF(C51="Y","Done",IF(AND(E51&lt;&gt;"",TODAY()&gt;E51),"OVERDUE","Pending"))</f>
        <v>Pending</v>
      </c>
    </row>
    <row r="52" customFormat="false" ht="15" hidden="false" customHeight="true" outlineLevel="0" collapsed="false">
      <c r="A52" s="119" t="s">
        <v>597</v>
      </c>
      <c r="B52" s="151" t="s">
        <v>617</v>
      </c>
      <c r="C52" s="119"/>
      <c r="D52" s="119"/>
      <c r="E52" s="152" t="n">
        <f aca="false">IFERROR(INDEX(Journal!$A:$A,MATCH($A52,Journal!$B:$B,0)),"")</f>
        <v>46317</v>
      </c>
      <c r="F52" s="119" t="str">
        <f aca="true">IF(C52="Y","Done",IF(AND(E52&lt;&gt;"",TODAY()&gt;E52),"OVERDUE","Pending"))</f>
        <v>Pending</v>
      </c>
    </row>
    <row r="53" customFormat="false" ht="15" hidden="false" customHeight="true" outlineLevel="0" collapsed="false">
      <c r="A53" s="119" t="s">
        <v>597</v>
      </c>
      <c r="B53" s="151" t="s">
        <v>618</v>
      </c>
      <c r="C53" s="119"/>
      <c r="D53" s="119"/>
      <c r="E53" s="152" t="n">
        <f aca="false">IFERROR(INDEX(Journal!$A:$A,MATCH($A53,Journal!$B:$B,0)),"")</f>
        <v>46317</v>
      </c>
      <c r="F53" s="119" t="str">
        <f aca="true">IF(C53="Y","Done",IF(AND(E53&lt;&gt;"",TODAY()&gt;E53),"OVERDUE","Pending"))</f>
        <v>Pending</v>
      </c>
    </row>
    <row r="54" customFormat="false" ht="15" hidden="false" customHeight="true" outlineLevel="0" collapsed="false">
      <c r="A54" s="119" t="s">
        <v>597</v>
      </c>
      <c r="B54" s="151" t="s">
        <v>619</v>
      </c>
      <c r="C54" s="119"/>
      <c r="D54" s="119"/>
      <c r="E54" s="152" t="n">
        <f aca="false">IFERROR(INDEX(Journal!$A:$A,MATCH($A54,Journal!$B:$B,0)),"")</f>
        <v>46317</v>
      </c>
      <c r="F54" s="119" t="str">
        <f aca="true">IF(C54="Y","Done",IF(AND(E54&lt;&gt;"",TODAY()&gt;E54),"OVERDUE","Pending"))</f>
        <v>Pending</v>
      </c>
    </row>
    <row r="55" customFormat="false" ht="15" hidden="false" customHeight="true" outlineLevel="0" collapsed="false">
      <c r="A55" s="119" t="s">
        <v>599</v>
      </c>
      <c r="B55" s="151" t="s">
        <v>625</v>
      </c>
      <c r="C55" s="119"/>
      <c r="D55" s="119"/>
      <c r="E55" s="152" t="n">
        <f aca="false">IFERROR(INDEX(Journal!$A:$A,MATCH($A55,Journal!$B:$B,0)),"")</f>
        <v>46335</v>
      </c>
      <c r="F55" s="119" t="str">
        <f aca="true">IF(C55="Y","Done",IF(AND(E55&lt;&gt;"",TODAY()&gt;E55),"OVERDUE","Pending"))</f>
        <v>Pending</v>
      </c>
    </row>
    <row r="56" customFormat="false" ht="15" hidden="false" customHeight="true" outlineLevel="0" collapsed="false">
      <c r="A56" s="119" t="s">
        <v>599</v>
      </c>
      <c r="B56" s="151" t="s">
        <v>626</v>
      </c>
      <c r="C56" s="119"/>
      <c r="D56" s="119"/>
      <c r="E56" s="152" t="n">
        <f aca="false">IFERROR(INDEX(Journal!$A:$A,MATCH($A56,Journal!$B:$B,0)),"")</f>
        <v>46335</v>
      </c>
      <c r="F56" s="119" t="str">
        <f aca="true">IF(C56="Y","Done",IF(AND(E56&lt;&gt;"",TODAY()&gt;E56),"OVERDUE","Pending"))</f>
        <v>Pending</v>
      </c>
    </row>
    <row r="57" customFormat="false" ht="45.75" hidden="false" customHeight="true" outlineLevel="0" collapsed="false">
      <c r="A57" s="119" t="s">
        <v>599</v>
      </c>
      <c r="B57" s="151" t="s">
        <v>627</v>
      </c>
      <c r="C57" s="119"/>
      <c r="D57" s="119"/>
      <c r="E57" s="152" t="n">
        <f aca="false">IFERROR(INDEX(Journal!$A:$A,MATCH($A57,Journal!$B:$B,0)),"")</f>
        <v>46335</v>
      </c>
      <c r="F57" s="119" t="str">
        <f aca="true">IF(C57="Y","Done",IF(AND(E57&lt;&gt;"",TODAY()&gt;E57),"OVERDUE","Pending"))</f>
        <v>Pending</v>
      </c>
    </row>
    <row r="58" customFormat="false" ht="15" hidden="false" customHeight="true" outlineLevel="0" collapsed="false">
      <c r="A58" s="119" t="s">
        <v>599</v>
      </c>
      <c r="B58" s="151" t="s">
        <v>628</v>
      </c>
      <c r="C58" s="119"/>
      <c r="D58" s="119"/>
      <c r="E58" s="152" t="n">
        <f aca="false">IFERROR(INDEX(Journal!$A:$A,MATCH($A58,Journal!$B:$B,0)),"")</f>
        <v>46335</v>
      </c>
      <c r="F58" s="119" t="str">
        <f aca="true">IF(C58="Y","Done",IF(AND(E58&lt;&gt;"",TODAY()&gt;E58),"OVERDUE","Pending"))</f>
        <v>Pending</v>
      </c>
    </row>
    <row r="59" customFormat="false" ht="15" hidden="false" customHeight="true" outlineLevel="0" collapsed="false">
      <c r="A59" s="119" t="s">
        <v>599</v>
      </c>
      <c r="B59" s="151" t="s">
        <v>629</v>
      </c>
      <c r="C59" s="119"/>
      <c r="D59" s="119"/>
      <c r="E59" s="152" t="n">
        <f aca="false">IFERROR(INDEX(Journal!$A:$A,MATCH($A59,Journal!$B:$B,0)),"")</f>
        <v>46335</v>
      </c>
      <c r="F59" s="119" t="str">
        <f aca="true">IF(C59="Y","Done",IF(AND(E59&lt;&gt;"",TODAY()&gt;E59),"OVERDUE","Pending"))</f>
        <v>Pending</v>
      </c>
    </row>
    <row r="60" customFormat="false" ht="15" hidden="false" customHeight="true" outlineLevel="0" collapsed="false">
      <c r="A60" s="119" t="s">
        <v>599</v>
      </c>
      <c r="B60" s="151" t="s">
        <v>630</v>
      </c>
      <c r="C60" s="119"/>
      <c r="D60" s="119"/>
      <c r="E60" s="152" t="n">
        <f aca="false">IFERROR(INDEX(Journal!$A:$A,MATCH($A60,Journal!$B:$B,0)),"")</f>
        <v>46335</v>
      </c>
      <c r="F60" s="119" t="str">
        <f aca="true">IF(C60="Y","Done",IF(AND(E60&lt;&gt;"",TODAY()&gt;E60),"OVERDUE","Pending"))</f>
        <v>Pending</v>
      </c>
    </row>
    <row r="61" customFormat="false" ht="15" hidden="false" customHeight="true" outlineLevel="0" collapsed="false">
      <c r="A61" s="119" t="s">
        <v>599</v>
      </c>
      <c r="B61" s="151" t="s">
        <v>617</v>
      </c>
      <c r="C61" s="119"/>
      <c r="D61" s="119"/>
      <c r="E61" s="152" t="n">
        <f aca="false">IFERROR(INDEX(Journal!$A:$A,MATCH($A61,Journal!$B:$B,0)),"")</f>
        <v>46335</v>
      </c>
      <c r="F61" s="119" t="str">
        <f aca="true">IF(C61="Y","Done",IF(AND(E61&lt;&gt;"",TODAY()&gt;E61),"OVERDUE","Pending"))</f>
        <v>Pending</v>
      </c>
    </row>
    <row r="62" customFormat="false" ht="15" hidden="false" customHeight="true" outlineLevel="0" collapsed="false">
      <c r="A62" s="119" t="s">
        <v>599</v>
      </c>
      <c r="B62" s="151" t="s">
        <v>618</v>
      </c>
      <c r="C62" s="119"/>
      <c r="D62" s="119"/>
      <c r="E62" s="152" t="n">
        <f aca="false">IFERROR(INDEX(Journal!$A:$A,MATCH($A62,Journal!$B:$B,0)),"")</f>
        <v>46335</v>
      </c>
      <c r="F62" s="119" t="str">
        <f aca="true">IF(C62="Y","Done",IF(AND(E62&lt;&gt;"",TODAY()&gt;E62),"OVERDUE","Pending"))</f>
        <v>Pending</v>
      </c>
    </row>
    <row r="63" customFormat="false" ht="15" hidden="false" customHeight="true" outlineLevel="0" collapsed="false">
      <c r="A63" s="119" t="s">
        <v>599</v>
      </c>
      <c r="B63" s="151" t="s">
        <v>619</v>
      </c>
      <c r="C63" s="119"/>
      <c r="D63" s="119"/>
      <c r="E63" s="152" t="n">
        <f aca="false">IFERROR(INDEX(Journal!$A:$A,MATCH($A63,Journal!$B:$B,0)),"")</f>
        <v>46335</v>
      </c>
      <c r="F63" s="119" t="str">
        <f aca="true">IF(C63="Y","Done",IF(AND(E63&lt;&gt;"",TODAY()&gt;E63),"OVERDUE","Pending"))</f>
        <v>Pending</v>
      </c>
    </row>
    <row r="64" customFormat="false" ht="15" hidden="false" customHeight="true" outlineLevel="0" collapsed="false">
      <c r="A64" s="119" t="s">
        <v>601</v>
      </c>
      <c r="B64" s="151" t="s">
        <v>625</v>
      </c>
      <c r="C64" s="119"/>
      <c r="D64" s="119"/>
      <c r="E64" s="152" t="n">
        <f aca="false">IFERROR(INDEX(Journal!$A:$A,MATCH($A64,Journal!$B:$B,0)),"")</f>
        <v>46349</v>
      </c>
      <c r="F64" s="119" t="str">
        <f aca="true">IF(C64="Y","Done",IF(AND(E64&lt;&gt;"",TODAY()&gt;E64),"OVERDUE","Pending"))</f>
        <v>Pending</v>
      </c>
    </row>
    <row r="65" customFormat="false" ht="15" hidden="false" customHeight="true" outlineLevel="0" collapsed="false">
      <c r="A65" s="119" t="s">
        <v>601</v>
      </c>
      <c r="B65" s="151" t="s">
        <v>626</v>
      </c>
      <c r="C65" s="119"/>
      <c r="D65" s="119"/>
      <c r="E65" s="152" t="n">
        <f aca="false">IFERROR(INDEX(Journal!$A:$A,MATCH($A65,Journal!$B:$B,0)),"")</f>
        <v>46349</v>
      </c>
      <c r="F65" s="119" t="str">
        <f aca="true">IF(C65="Y","Done",IF(AND(E65&lt;&gt;"",TODAY()&gt;E65),"OVERDUE","Pending"))</f>
        <v>Pending</v>
      </c>
    </row>
    <row r="66" customFormat="false" ht="45.75" hidden="false" customHeight="true" outlineLevel="0" collapsed="false">
      <c r="A66" s="119" t="s">
        <v>601</v>
      </c>
      <c r="B66" s="151" t="s">
        <v>627</v>
      </c>
      <c r="C66" s="119"/>
      <c r="D66" s="119"/>
      <c r="E66" s="152" t="n">
        <f aca="false">IFERROR(INDEX(Journal!$A:$A,MATCH($A66,Journal!$B:$B,0)),"")</f>
        <v>46349</v>
      </c>
      <c r="F66" s="119" t="str">
        <f aca="true">IF(C66="Y","Done",IF(AND(E66&lt;&gt;"",TODAY()&gt;E66),"OVERDUE","Pending"))</f>
        <v>Pending</v>
      </c>
    </row>
    <row r="67" customFormat="false" ht="15" hidden="false" customHeight="true" outlineLevel="0" collapsed="false">
      <c r="A67" s="119" t="s">
        <v>601</v>
      </c>
      <c r="B67" s="151" t="s">
        <v>628</v>
      </c>
      <c r="C67" s="119"/>
      <c r="D67" s="119"/>
      <c r="E67" s="152" t="n">
        <f aca="false">IFERROR(INDEX(Journal!$A:$A,MATCH($A67,Journal!$B:$B,0)),"")</f>
        <v>46349</v>
      </c>
      <c r="F67" s="119" t="str">
        <f aca="true">IF(C67="Y","Done",IF(AND(E67&lt;&gt;"",TODAY()&gt;E67),"OVERDUE","Pending"))</f>
        <v>Pending</v>
      </c>
    </row>
    <row r="68" customFormat="false" ht="15" hidden="false" customHeight="true" outlineLevel="0" collapsed="false">
      <c r="A68" s="119" t="s">
        <v>601</v>
      </c>
      <c r="B68" s="151" t="s">
        <v>629</v>
      </c>
      <c r="C68" s="119"/>
      <c r="D68" s="119"/>
      <c r="E68" s="152" t="n">
        <f aca="false">IFERROR(INDEX(Journal!$A:$A,MATCH($A68,Journal!$B:$B,0)),"")</f>
        <v>46349</v>
      </c>
      <c r="F68" s="119" t="str">
        <f aca="true">IF(C68="Y","Done",IF(AND(E68&lt;&gt;"",TODAY()&gt;E68),"OVERDUE","Pending"))</f>
        <v>Pending</v>
      </c>
    </row>
    <row r="69" customFormat="false" ht="15" hidden="false" customHeight="true" outlineLevel="0" collapsed="false">
      <c r="A69" s="119" t="s">
        <v>601</v>
      </c>
      <c r="B69" s="151" t="s">
        <v>630</v>
      </c>
      <c r="C69" s="119"/>
      <c r="D69" s="119"/>
      <c r="E69" s="152" t="n">
        <f aca="false">IFERROR(INDEX(Journal!$A:$A,MATCH($A69,Journal!$B:$B,0)),"")</f>
        <v>46349</v>
      </c>
      <c r="F69" s="119" t="str">
        <f aca="true">IF(C69="Y","Done",IF(AND(E69&lt;&gt;"",TODAY()&gt;E69),"OVERDUE","Pending"))</f>
        <v>Pending</v>
      </c>
    </row>
    <row r="70" customFormat="false" ht="15" hidden="false" customHeight="true" outlineLevel="0" collapsed="false">
      <c r="A70" s="119" t="s">
        <v>601</v>
      </c>
      <c r="B70" s="151" t="s">
        <v>617</v>
      </c>
      <c r="C70" s="119"/>
      <c r="D70" s="119"/>
      <c r="E70" s="152" t="n">
        <f aca="false">IFERROR(INDEX(Journal!$A:$A,MATCH($A70,Journal!$B:$B,0)),"")</f>
        <v>46349</v>
      </c>
      <c r="F70" s="119" t="str">
        <f aca="true">IF(C70="Y","Done",IF(AND(E70&lt;&gt;"",TODAY()&gt;E70),"OVERDUE","Pending"))</f>
        <v>Pending</v>
      </c>
    </row>
    <row r="71" customFormat="false" ht="15" hidden="false" customHeight="true" outlineLevel="0" collapsed="false">
      <c r="A71" s="119" t="s">
        <v>601</v>
      </c>
      <c r="B71" s="151" t="s">
        <v>618</v>
      </c>
      <c r="C71" s="119"/>
      <c r="D71" s="119"/>
      <c r="E71" s="152" t="n">
        <f aca="false">IFERROR(INDEX(Journal!$A:$A,MATCH($A71,Journal!$B:$B,0)),"")</f>
        <v>46349</v>
      </c>
      <c r="F71" s="119" t="str">
        <f aca="true">IF(C71="Y","Done",IF(AND(E71&lt;&gt;"",TODAY()&gt;E71),"OVERDUE","Pending"))</f>
        <v>Pending</v>
      </c>
    </row>
    <row r="72" customFormat="false" ht="15" hidden="false" customHeight="true" outlineLevel="0" collapsed="false">
      <c r="A72" s="119" t="s">
        <v>601</v>
      </c>
      <c r="B72" s="151" t="s">
        <v>619</v>
      </c>
      <c r="C72" s="119"/>
      <c r="D72" s="119"/>
      <c r="E72" s="152" t="n">
        <f aca="false">IFERROR(INDEX(Journal!$A:$A,MATCH($A72,Journal!$B:$B,0)),"")</f>
        <v>46349</v>
      </c>
      <c r="F72" s="119" t="str">
        <f aca="true">IF(C72="Y","Done",IF(AND(E72&lt;&gt;"",TODAY()&gt;E72),"OVERDUE","Pending"))</f>
        <v>Pending</v>
      </c>
    </row>
    <row r="73" customFormat="false" ht="15" hidden="false" customHeight="true" outlineLevel="0" collapsed="false">
      <c r="A73" s="119" t="s">
        <v>603</v>
      </c>
      <c r="B73" s="151" t="s">
        <v>625</v>
      </c>
      <c r="C73" s="119"/>
      <c r="D73" s="119"/>
      <c r="E73" s="152" t="n">
        <f aca="false">IFERROR(INDEX(Journal!$A:$A,MATCH($A73,Journal!$B:$B,0)),"")</f>
        <v>46363</v>
      </c>
      <c r="F73" s="119" t="str">
        <f aca="true">IF(C73="Y","Done",IF(AND(E73&lt;&gt;"",TODAY()&gt;E73),"OVERDUE","Pending"))</f>
        <v>Pending</v>
      </c>
    </row>
    <row r="74" customFormat="false" ht="15" hidden="false" customHeight="true" outlineLevel="0" collapsed="false">
      <c r="A74" s="119" t="s">
        <v>603</v>
      </c>
      <c r="B74" s="151" t="s">
        <v>626</v>
      </c>
      <c r="C74" s="119"/>
      <c r="D74" s="119"/>
      <c r="E74" s="152" t="n">
        <f aca="false">IFERROR(INDEX(Journal!$A:$A,MATCH($A74,Journal!$B:$B,0)),"")</f>
        <v>46363</v>
      </c>
      <c r="F74" s="119" t="str">
        <f aca="true">IF(C74="Y","Done",IF(AND(E74&lt;&gt;"",TODAY()&gt;E74),"OVERDUE","Pending"))</f>
        <v>Pending</v>
      </c>
    </row>
    <row r="75" customFormat="false" ht="45.75" hidden="false" customHeight="true" outlineLevel="0" collapsed="false">
      <c r="A75" s="119" t="s">
        <v>603</v>
      </c>
      <c r="B75" s="151" t="s">
        <v>627</v>
      </c>
      <c r="C75" s="119"/>
      <c r="D75" s="119"/>
      <c r="E75" s="152" t="n">
        <f aca="false">IFERROR(INDEX(Journal!$A:$A,MATCH($A75,Journal!$B:$B,0)),"")</f>
        <v>46363</v>
      </c>
      <c r="F75" s="119" t="str">
        <f aca="true">IF(C75="Y","Done",IF(AND(E75&lt;&gt;"",TODAY()&gt;E75),"OVERDUE","Pending"))</f>
        <v>Pending</v>
      </c>
    </row>
    <row r="76" customFormat="false" ht="15" hidden="false" customHeight="true" outlineLevel="0" collapsed="false">
      <c r="A76" s="119" t="s">
        <v>603</v>
      </c>
      <c r="B76" s="151" t="s">
        <v>628</v>
      </c>
      <c r="C76" s="119"/>
      <c r="D76" s="119"/>
      <c r="E76" s="152" t="n">
        <f aca="false">IFERROR(INDEX(Journal!$A:$A,MATCH($A76,Journal!$B:$B,0)),"")</f>
        <v>46363</v>
      </c>
      <c r="F76" s="119" t="str">
        <f aca="true">IF(C76="Y","Done",IF(AND(E76&lt;&gt;"",TODAY()&gt;E76),"OVERDUE","Pending"))</f>
        <v>Pending</v>
      </c>
    </row>
    <row r="77" customFormat="false" ht="15" hidden="false" customHeight="true" outlineLevel="0" collapsed="false">
      <c r="A77" s="119" t="s">
        <v>603</v>
      </c>
      <c r="B77" s="151" t="s">
        <v>629</v>
      </c>
      <c r="C77" s="119"/>
      <c r="D77" s="119"/>
      <c r="E77" s="152" t="n">
        <f aca="false">IFERROR(INDEX(Journal!$A:$A,MATCH($A77,Journal!$B:$B,0)),"")</f>
        <v>46363</v>
      </c>
      <c r="F77" s="119" t="str">
        <f aca="true">IF(C77="Y","Done",IF(AND(E77&lt;&gt;"",TODAY()&gt;E77),"OVERDUE","Pending"))</f>
        <v>Pending</v>
      </c>
    </row>
    <row r="78" customFormat="false" ht="15" hidden="false" customHeight="true" outlineLevel="0" collapsed="false">
      <c r="A78" s="119" t="s">
        <v>603</v>
      </c>
      <c r="B78" s="151" t="s">
        <v>630</v>
      </c>
      <c r="C78" s="119"/>
      <c r="D78" s="119"/>
      <c r="E78" s="152" t="n">
        <f aca="false">IFERROR(INDEX(Journal!$A:$A,MATCH($A78,Journal!$B:$B,0)),"")</f>
        <v>46363</v>
      </c>
      <c r="F78" s="119" t="str">
        <f aca="true">IF(C78="Y","Done",IF(AND(E78&lt;&gt;"",TODAY()&gt;E78),"OVERDUE","Pending"))</f>
        <v>Pending</v>
      </c>
    </row>
    <row r="79" customFormat="false" ht="15" hidden="false" customHeight="true" outlineLevel="0" collapsed="false">
      <c r="A79" s="119" t="s">
        <v>603</v>
      </c>
      <c r="B79" s="151" t="s">
        <v>617</v>
      </c>
      <c r="C79" s="119"/>
      <c r="D79" s="119"/>
      <c r="E79" s="152" t="n">
        <f aca="false">IFERROR(INDEX(Journal!$A:$A,MATCH($A79,Journal!$B:$B,0)),"")</f>
        <v>46363</v>
      </c>
      <c r="F79" s="119" t="str">
        <f aca="true">IF(C79="Y","Done",IF(AND(E79&lt;&gt;"",TODAY()&gt;E79),"OVERDUE","Pending"))</f>
        <v>Pending</v>
      </c>
    </row>
    <row r="80" customFormat="false" ht="15" hidden="false" customHeight="true" outlineLevel="0" collapsed="false">
      <c r="A80" s="119" t="s">
        <v>603</v>
      </c>
      <c r="B80" s="151" t="s">
        <v>618</v>
      </c>
      <c r="C80" s="119"/>
      <c r="D80" s="119"/>
      <c r="E80" s="152" t="n">
        <f aca="false">IFERROR(INDEX(Journal!$A:$A,MATCH($A80,Journal!$B:$B,0)),"")</f>
        <v>46363</v>
      </c>
      <c r="F80" s="119" t="str">
        <f aca="true">IF(C80="Y","Done",IF(AND(E80&lt;&gt;"",TODAY()&gt;E80),"OVERDUE","Pending"))</f>
        <v>Pending</v>
      </c>
    </row>
    <row r="81" customFormat="false" ht="15" hidden="false" customHeight="true" outlineLevel="0" collapsed="false">
      <c r="A81" s="119" t="s">
        <v>603</v>
      </c>
      <c r="B81" s="151" t="s">
        <v>619</v>
      </c>
      <c r="C81" s="119"/>
      <c r="D81" s="119"/>
      <c r="E81" s="152" t="n">
        <f aca="false">IFERROR(INDEX(Journal!$A:$A,MATCH($A81,Journal!$B:$B,0)),"")</f>
        <v>46363</v>
      </c>
      <c r="F81" s="119" t="str">
        <f aca="true">IF(C81="Y","Done",IF(AND(E81&lt;&gt;"",TODAY()&gt;E81),"OVERDUE","Pending"))</f>
        <v>Pending</v>
      </c>
    </row>
    <row r="82" customFormat="false" ht="15" hidden="false" customHeight="true" outlineLevel="0" collapsed="false">
      <c r="A82" s="119" t="s">
        <v>604</v>
      </c>
      <c r="B82" s="151" t="s">
        <v>625</v>
      </c>
      <c r="C82" s="119"/>
      <c r="D82" s="119"/>
      <c r="E82" s="152" t="n">
        <f aca="false">IFERROR(INDEX(Journal!$A:$A,MATCH($A82,Journal!$B:$B,0)),"")</f>
        <v>46378</v>
      </c>
      <c r="F82" s="119" t="str">
        <f aca="true">IF(C82="Y","Done",IF(AND(E82&lt;&gt;"",TODAY()&gt;E82),"OVERDUE","Pending"))</f>
        <v>Pending</v>
      </c>
    </row>
    <row r="83" customFormat="false" ht="15" hidden="false" customHeight="true" outlineLevel="0" collapsed="false">
      <c r="A83" s="119" t="s">
        <v>604</v>
      </c>
      <c r="B83" s="151" t="s">
        <v>626</v>
      </c>
      <c r="C83" s="119"/>
      <c r="D83" s="119"/>
      <c r="E83" s="152" t="n">
        <f aca="false">IFERROR(INDEX(Journal!$A:$A,MATCH($A83,Journal!$B:$B,0)),"")</f>
        <v>46378</v>
      </c>
      <c r="F83" s="119" t="str">
        <f aca="true">IF(C83="Y","Done",IF(AND(E83&lt;&gt;"",TODAY()&gt;E83),"OVERDUE","Pending"))</f>
        <v>Pending</v>
      </c>
    </row>
    <row r="84" customFormat="false" ht="45.75" hidden="false" customHeight="true" outlineLevel="0" collapsed="false">
      <c r="A84" s="119" t="s">
        <v>604</v>
      </c>
      <c r="B84" s="151" t="s">
        <v>627</v>
      </c>
      <c r="C84" s="119"/>
      <c r="D84" s="119"/>
      <c r="E84" s="152" t="n">
        <f aca="false">IFERROR(INDEX(Journal!$A:$A,MATCH($A84,Journal!$B:$B,0)),"")</f>
        <v>46378</v>
      </c>
      <c r="F84" s="119" t="str">
        <f aca="true">IF(C84="Y","Done",IF(AND(E84&lt;&gt;"",TODAY()&gt;E84),"OVERDUE","Pending"))</f>
        <v>Pending</v>
      </c>
    </row>
    <row r="85" customFormat="false" ht="15" hidden="false" customHeight="true" outlineLevel="0" collapsed="false">
      <c r="A85" s="119" t="s">
        <v>604</v>
      </c>
      <c r="B85" s="151" t="s">
        <v>628</v>
      </c>
      <c r="C85" s="119"/>
      <c r="D85" s="119"/>
      <c r="E85" s="152" t="n">
        <f aca="false">IFERROR(INDEX(Journal!$A:$A,MATCH($A85,Journal!$B:$B,0)),"")</f>
        <v>46378</v>
      </c>
      <c r="F85" s="119" t="str">
        <f aca="true">IF(C85="Y","Done",IF(AND(E85&lt;&gt;"",TODAY()&gt;E85),"OVERDUE","Pending"))</f>
        <v>Pending</v>
      </c>
    </row>
    <row r="86" customFormat="false" ht="15" hidden="false" customHeight="true" outlineLevel="0" collapsed="false">
      <c r="A86" s="119" t="s">
        <v>604</v>
      </c>
      <c r="B86" s="151" t="s">
        <v>629</v>
      </c>
      <c r="C86" s="119"/>
      <c r="D86" s="119"/>
      <c r="E86" s="152" t="n">
        <f aca="false">IFERROR(INDEX(Journal!$A:$A,MATCH($A86,Journal!$B:$B,0)),"")</f>
        <v>46378</v>
      </c>
      <c r="F86" s="119" t="str">
        <f aca="true">IF(C86="Y","Done",IF(AND(E86&lt;&gt;"",TODAY()&gt;E86),"OVERDUE","Pending"))</f>
        <v>Pending</v>
      </c>
    </row>
    <row r="87" customFormat="false" ht="15" hidden="false" customHeight="true" outlineLevel="0" collapsed="false">
      <c r="A87" s="119" t="s">
        <v>604</v>
      </c>
      <c r="B87" s="151" t="s">
        <v>630</v>
      </c>
      <c r="C87" s="119"/>
      <c r="D87" s="119"/>
      <c r="E87" s="152" t="n">
        <f aca="false">IFERROR(INDEX(Journal!$A:$A,MATCH($A87,Journal!$B:$B,0)),"")</f>
        <v>46378</v>
      </c>
      <c r="F87" s="119" t="str">
        <f aca="true">IF(C87="Y","Done",IF(AND(E87&lt;&gt;"",TODAY()&gt;E87),"OVERDUE","Pending"))</f>
        <v>Pending</v>
      </c>
    </row>
    <row r="88" customFormat="false" ht="15" hidden="false" customHeight="true" outlineLevel="0" collapsed="false">
      <c r="A88" s="119" t="s">
        <v>604</v>
      </c>
      <c r="B88" s="151" t="s">
        <v>617</v>
      </c>
      <c r="C88" s="119"/>
      <c r="D88" s="119"/>
      <c r="E88" s="152" t="n">
        <f aca="false">IFERROR(INDEX(Journal!$A:$A,MATCH($A88,Journal!$B:$B,0)),"")</f>
        <v>46378</v>
      </c>
      <c r="F88" s="119" t="str">
        <f aca="true">IF(C88="Y","Done",IF(AND(E88&lt;&gt;"",TODAY()&gt;E88),"OVERDUE","Pending"))</f>
        <v>Pending</v>
      </c>
    </row>
    <row r="89" customFormat="false" ht="15" hidden="false" customHeight="true" outlineLevel="0" collapsed="false">
      <c r="A89" s="119" t="s">
        <v>604</v>
      </c>
      <c r="B89" s="151" t="s">
        <v>618</v>
      </c>
      <c r="C89" s="119"/>
      <c r="D89" s="119"/>
      <c r="E89" s="152" t="n">
        <f aca="false">IFERROR(INDEX(Journal!$A:$A,MATCH($A89,Journal!$B:$B,0)),"")</f>
        <v>46378</v>
      </c>
      <c r="F89" s="119" t="str">
        <f aca="true">IF(C89="Y","Done",IF(AND(E89&lt;&gt;"",TODAY()&gt;E89),"OVERDUE","Pending"))</f>
        <v>Pending</v>
      </c>
    </row>
    <row r="90" customFormat="false" ht="15" hidden="false" customHeight="true" outlineLevel="0" collapsed="false">
      <c r="A90" s="119" t="s">
        <v>604</v>
      </c>
      <c r="B90" s="151" t="s">
        <v>619</v>
      </c>
      <c r="C90" s="119"/>
      <c r="D90" s="119"/>
      <c r="E90" s="152" t="n">
        <f aca="false">IFERROR(INDEX(Journal!$A:$A,MATCH($A90,Journal!$B:$B,0)),"")</f>
        <v>46378</v>
      </c>
      <c r="F90" s="119" t="str">
        <f aca="true">IF(C90="Y","Done",IF(AND(E90&lt;&gt;"",TODAY()&gt;E90),"OVERDUE","Pending"))</f>
        <v>Pending</v>
      </c>
    </row>
    <row r="91" customFormat="false" ht="15" hidden="false" customHeight="true" outlineLevel="0" collapsed="false">
      <c r="A91" s="119" t="s">
        <v>605</v>
      </c>
      <c r="B91" s="151" t="s">
        <v>625</v>
      </c>
      <c r="C91" s="119"/>
      <c r="D91" s="119"/>
      <c r="E91" s="152" t="n">
        <f aca="false">IFERROR(INDEX(Journal!$A:$A,MATCH($A91,Journal!$B:$B,0)),"")</f>
        <v>46394</v>
      </c>
      <c r="F91" s="119" t="str">
        <f aca="true">IF(C91="Y","Done",IF(AND(E91&lt;&gt;"",TODAY()&gt;E91),"OVERDUE","Pending"))</f>
        <v>Pending</v>
      </c>
    </row>
    <row r="92" customFormat="false" ht="15" hidden="false" customHeight="true" outlineLevel="0" collapsed="false">
      <c r="A92" s="119" t="s">
        <v>605</v>
      </c>
      <c r="B92" s="151" t="s">
        <v>626</v>
      </c>
      <c r="C92" s="119"/>
      <c r="D92" s="119"/>
      <c r="E92" s="152" t="n">
        <f aca="false">IFERROR(INDEX(Journal!$A:$A,MATCH($A92,Journal!$B:$B,0)),"")</f>
        <v>46394</v>
      </c>
      <c r="F92" s="119" t="str">
        <f aca="true">IF(C92="Y","Done",IF(AND(E92&lt;&gt;"",TODAY()&gt;E92),"OVERDUE","Pending"))</f>
        <v>Pending</v>
      </c>
    </row>
    <row r="93" customFormat="false" ht="45.75" hidden="false" customHeight="true" outlineLevel="0" collapsed="false">
      <c r="A93" s="119" t="s">
        <v>605</v>
      </c>
      <c r="B93" s="151" t="s">
        <v>627</v>
      </c>
      <c r="C93" s="119"/>
      <c r="D93" s="119"/>
      <c r="E93" s="152" t="n">
        <f aca="false">IFERROR(INDEX(Journal!$A:$A,MATCH($A93,Journal!$B:$B,0)),"")</f>
        <v>46394</v>
      </c>
      <c r="F93" s="119" t="str">
        <f aca="true">IF(C93="Y","Done",IF(AND(E93&lt;&gt;"",TODAY()&gt;E93),"OVERDUE","Pending"))</f>
        <v>Pending</v>
      </c>
    </row>
    <row r="94" customFormat="false" ht="15" hidden="false" customHeight="true" outlineLevel="0" collapsed="false">
      <c r="A94" s="119" t="s">
        <v>605</v>
      </c>
      <c r="B94" s="151" t="s">
        <v>628</v>
      </c>
      <c r="C94" s="119"/>
      <c r="D94" s="119"/>
      <c r="E94" s="152" t="n">
        <f aca="false">IFERROR(INDEX(Journal!$A:$A,MATCH($A94,Journal!$B:$B,0)),"")</f>
        <v>46394</v>
      </c>
      <c r="F94" s="119" t="str">
        <f aca="true">IF(C94="Y","Done",IF(AND(E94&lt;&gt;"",TODAY()&gt;E94),"OVERDUE","Pending"))</f>
        <v>Pending</v>
      </c>
    </row>
    <row r="95" customFormat="false" ht="15" hidden="false" customHeight="true" outlineLevel="0" collapsed="false">
      <c r="A95" s="119" t="s">
        <v>605</v>
      </c>
      <c r="B95" s="151" t="s">
        <v>629</v>
      </c>
      <c r="C95" s="119"/>
      <c r="D95" s="119"/>
      <c r="E95" s="152" t="n">
        <f aca="false">IFERROR(INDEX(Journal!$A:$A,MATCH($A95,Journal!$B:$B,0)),"")</f>
        <v>46394</v>
      </c>
      <c r="F95" s="119" t="str">
        <f aca="true">IF(C95="Y","Done",IF(AND(E95&lt;&gt;"",TODAY()&gt;E95),"OVERDUE","Pending"))</f>
        <v>Pending</v>
      </c>
    </row>
    <row r="96" customFormat="false" ht="15" hidden="false" customHeight="true" outlineLevel="0" collapsed="false">
      <c r="A96" s="119" t="s">
        <v>605</v>
      </c>
      <c r="B96" s="151" t="s">
        <v>630</v>
      </c>
      <c r="C96" s="119"/>
      <c r="D96" s="119"/>
      <c r="E96" s="152" t="n">
        <f aca="false">IFERROR(INDEX(Journal!$A:$A,MATCH($A96,Journal!$B:$B,0)),"")</f>
        <v>46394</v>
      </c>
      <c r="F96" s="119" t="str">
        <f aca="true">IF(C96="Y","Done",IF(AND(E96&lt;&gt;"",TODAY()&gt;E96),"OVERDUE","Pending"))</f>
        <v>Pending</v>
      </c>
    </row>
    <row r="97" customFormat="false" ht="15" hidden="false" customHeight="true" outlineLevel="0" collapsed="false">
      <c r="A97" s="119" t="s">
        <v>605</v>
      </c>
      <c r="B97" s="151" t="s">
        <v>617</v>
      </c>
      <c r="C97" s="119"/>
      <c r="D97" s="119"/>
      <c r="E97" s="152" t="n">
        <f aca="false">IFERROR(INDEX(Journal!$A:$A,MATCH($A97,Journal!$B:$B,0)),"")</f>
        <v>46394</v>
      </c>
      <c r="F97" s="119" t="str">
        <f aca="true">IF(C97="Y","Done",IF(AND(E97&lt;&gt;"",TODAY()&gt;E97),"OVERDUE","Pending"))</f>
        <v>Pending</v>
      </c>
    </row>
    <row r="98" customFormat="false" ht="15" hidden="false" customHeight="true" outlineLevel="0" collapsed="false">
      <c r="A98" s="119" t="s">
        <v>605</v>
      </c>
      <c r="B98" s="151" t="s">
        <v>618</v>
      </c>
      <c r="C98" s="119"/>
      <c r="D98" s="119"/>
      <c r="E98" s="152" t="n">
        <f aca="false">IFERROR(INDEX(Journal!$A:$A,MATCH($A98,Journal!$B:$B,0)),"")</f>
        <v>46394</v>
      </c>
      <c r="F98" s="119" t="str">
        <f aca="true">IF(C98="Y","Done",IF(AND(E98&lt;&gt;"",TODAY()&gt;E98),"OVERDUE","Pending"))</f>
        <v>Pending</v>
      </c>
    </row>
    <row r="99" customFormat="false" ht="15" hidden="false" customHeight="true" outlineLevel="0" collapsed="false">
      <c r="A99" s="119" t="s">
        <v>605</v>
      </c>
      <c r="B99" s="151" t="s">
        <v>619</v>
      </c>
      <c r="C99" s="119"/>
      <c r="D99" s="119"/>
      <c r="E99" s="152" t="n">
        <f aca="false">IFERROR(INDEX(Journal!$A:$A,MATCH($A99,Journal!$B:$B,0)),"")</f>
        <v>46394</v>
      </c>
      <c r="F99" s="119" t="str">
        <f aca="true">IF(C99="Y","Done",IF(AND(E99&lt;&gt;"",TODAY()&gt;E99),"OVERDUE","Pending"))</f>
        <v>Pending</v>
      </c>
    </row>
  </sheetData>
  <mergeCells count="1">
    <mergeCell ref="A1:F1"/>
  </mergeCells>
  <conditionalFormatting sqref="F5:F99">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1" width="13"/>
    <col collapsed="false" customWidth="true" hidden="false" outlineLevel="0" max="6" min="6" style="1" width="35"/>
  </cols>
  <sheetData>
    <row r="1" customFormat="false" ht="23.25" hidden="false" customHeight="true" outlineLevel="0" collapsed="false">
      <c r="A1" s="150" t="s">
        <v>631</v>
      </c>
      <c r="B1" s="150"/>
      <c r="C1" s="150"/>
      <c r="D1" s="150"/>
      <c r="E1" s="150"/>
      <c r="F1" s="150"/>
    </row>
    <row r="2" customFormat="false" ht="15" hidden="false" customHeight="true" outlineLevel="0" collapsed="false">
      <c r="A2" s="27" t="s">
        <v>632</v>
      </c>
      <c r="C2" s="114" t="n">
        <f aca="false">SUMPRODUCT(($A$5:$A$200&lt;&gt;"")*($C$5:$C$200&lt;&gt;"Y"))</f>
        <v>8</v>
      </c>
    </row>
    <row r="4" customFormat="false" ht="27.75" hidden="false" customHeight="true" outlineLevel="0" collapsed="false">
      <c r="A4" s="115" t="s">
        <v>633</v>
      </c>
      <c r="B4" s="115" t="s">
        <v>634</v>
      </c>
      <c r="C4" s="115" t="s">
        <v>611</v>
      </c>
      <c r="D4" s="115" t="s">
        <v>635</v>
      </c>
      <c r="E4" s="115" t="s">
        <v>636</v>
      </c>
      <c r="F4" s="115" t="s">
        <v>205</v>
      </c>
    </row>
    <row r="5" customFormat="false" ht="23.25" hidden="false" customHeight="true" outlineLevel="0" collapsed="false">
      <c r="A5" s="153" t="n">
        <v>1</v>
      </c>
      <c r="B5" s="151" t="s">
        <v>637</v>
      </c>
      <c r="C5" s="153" t="s">
        <v>209</v>
      </c>
      <c r="D5" s="152" t="n">
        <v>46276</v>
      </c>
      <c r="E5" s="152" t="n">
        <v>46276</v>
      </c>
      <c r="F5" s="151" t="s">
        <v>638</v>
      </c>
    </row>
    <row r="6" customFormat="false" ht="23.25" hidden="false" customHeight="true" outlineLevel="0" collapsed="false">
      <c r="A6" s="153" t="n">
        <v>2</v>
      </c>
      <c r="B6" s="151" t="s">
        <v>639</v>
      </c>
      <c r="C6" s="153" t="s">
        <v>209</v>
      </c>
      <c r="D6" s="152" t="n">
        <v>46276</v>
      </c>
      <c r="E6" s="152" t="n">
        <v>46276</v>
      </c>
      <c r="F6" s="151" t="s">
        <v>640</v>
      </c>
    </row>
    <row r="7" customFormat="false" ht="23.25" hidden="false" customHeight="true" outlineLevel="0" collapsed="false">
      <c r="A7" s="153" t="n">
        <v>3</v>
      </c>
      <c r="B7" s="151" t="s">
        <v>641</v>
      </c>
      <c r="C7" s="153"/>
      <c r="D7" s="152" t="n">
        <v>46260</v>
      </c>
      <c r="E7" s="152"/>
      <c r="F7" s="151"/>
    </row>
    <row r="8" customFormat="false" ht="23.25" hidden="false" customHeight="true" outlineLevel="0" collapsed="false">
      <c r="A8" s="153" t="n">
        <v>4</v>
      </c>
      <c r="B8" s="151" t="s">
        <v>642</v>
      </c>
      <c r="C8" s="153"/>
      <c r="D8" s="152" t="n">
        <v>46273</v>
      </c>
      <c r="E8" s="152"/>
      <c r="F8" s="151"/>
    </row>
    <row r="9" customFormat="false" ht="23.25" hidden="false" customHeight="true" outlineLevel="0" collapsed="false">
      <c r="A9" s="153" t="n">
        <v>5</v>
      </c>
      <c r="B9" s="151" t="s">
        <v>643</v>
      </c>
      <c r="C9" s="153"/>
      <c r="D9" s="152" t="n">
        <v>46273</v>
      </c>
      <c r="E9" s="152"/>
      <c r="F9" s="151"/>
    </row>
    <row r="10" customFormat="false" ht="23.25" hidden="false" customHeight="true" outlineLevel="0" collapsed="false">
      <c r="A10" s="153" t="n">
        <v>6</v>
      </c>
      <c r="B10" s="151" t="s">
        <v>644</v>
      </c>
      <c r="C10" s="153"/>
      <c r="D10" s="152" t="n">
        <v>46273</v>
      </c>
      <c r="E10" s="152"/>
      <c r="F10" s="151"/>
    </row>
    <row r="11" customFormat="false" ht="23.25" hidden="false" customHeight="true" outlineLevel="0" collapsed="false">
      <c r="A11" s="153" t="n">
        <v>7</v>
      </c>
      <c r="B11" s="151" t="s">
        <v>645</v>
      </c>
      <c r="C11" s="153"/>
      <c r="D11" s="152" t="n">
        <v>46258</v>
      </c>
      <c r="E11" s="152"/>
      <c r="F11" s="151" t="s">
        <v>646</v>
      </c>
    </row>
    <row r="12" customFormat="false" ht="23.25" hidden="false" customHeight="true" outlineLevel="0" collapsed="false">
      <c r="A12" s="153" t="n">
        <v>8</v>
      </c>
      <c r="B12" s="151" t="s">
        <v>647</v>
      </c>
      <c r="C12" s="153"/>
      <c r="D12" s="152" t="n">
        <v>46252</v>
      </c>
      <c r="E12" s="152"/>
      <c r="F12" s="151"/>
    </row>
    <row r="13" customFormat="false" ht="34.5" hidden="false" customHeight="true" outlineLevel="0" collapsed="false">
      <c r="A13" s="153" t="n">
        <v>9</v>
      </c>
      <c r="B13" s="151" t="s">
        <v>648</v>
      </c>
      <c r="C13" s="153"/>
      <c r="D13" s="152" t="n">
        <v>46276</v>
      </c>
      <c r="E13" s="152"/>
      <c r="F13" s="151" t="s">
        <v>649</v>
      </c>
    </row>
    <row r="14" customFormat="false" ht="23.25" hidden="false" customHeight="true" outlineLevel="0" collapsed="false">
      <c r="A14" s="153" t="n">
        <v>10</v>
      </c>
      <c r="B14" s="151" t="s">
        <v>650</v>
      </c>
      <c r="C14" s="153"/>
      <c r="D14" s="152" t="n">
        <v>46260</v>
      </c>
      <c r="E14" s="152"/>
      <c r="F14" s="151"/>
    </row>
  </sheetData>
  <mergeCells count="1">
    <mergeCell ref="A1:F1"/>
  </mergeCells>
  <conditionalFormatting sqref="C5:C14">
    <cfRule type="cellIs" priority="2" operator="equal" aboveAverage="0" equalAverage="0" bottom="0" percent="0" rank="0" text="" dxfId="17">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651</v>
      </c>
      <c r="B1" s="8"/>
      <c r="C1" s="8"/>
      <c r="D1" s="8"/>
      <c r="E1" s="8"/>
      <c r="F1" s="8"/>
    </row>
    <row r="2" customFormat="false" ht="15" hidden="false" customHeight="true" outlineLevel="0" collapsed="false">
      <c r="A2" s="154" t="s">
        <v>652</v>
      </c>
      <c r="B2" s="154"/>
      <c r="C2" s="154"/>
      <c r="D2" s="154"/>
      <c r="E2" s="154"/>
      <c r="F2" s="154"/>
    </row>
    <row r="4" customFormat="false" ht="15" hidden="false" customHeight="true" outlineLevel="0" collapsed="false">
      <c r="A4" s="155" t="s">
        <v>653</v>
      </c>
      <c r="B4" s="155"/>
      <c r="C4" s="155"/>
      <c r="D4" s="155"/>
      <c r="E4" s="155"/>
      <c r="F4" s="155"/>
    </row>
    <row r="5" customFormat="false" ht="15" hidden="false" customHeight="true" outlineLevel="0" collapsed="false">
      <c r="A5" s="156" t="s">
        <v>654</v>
      </c>
      <c r="B5" s="156" t="s">
        <v>655</v>
      </c>
      <c r="C5" s="156" t="s">
        <v>656</v>
      </c>
      <c r="D5" s="156" t="s">
        <v>657</v>
      </c>
    </row>
    <row r="6" customFormat="false" ht="15" hidden="false" customHeight="true" outlineLevel="0" collapsed="false">
      <c r="A6" s="157" t="s">
        <v>658</v>
      </c>
      <c r="B6" s="157" t="s">
        <v>659</v>
      </c>
      <c r="C6" s="157" t="s">
        <v>659</v>
      </c>
      <c r="D6" s="158" t="s">
        <v>660</v>
      </c>
      <c r="E6" s="158"/>
      <c r="F6" s="158"/>
    </row>
    <row r="8" customFormat="false" ht="15" hidden="false" customHeight="true" outlineLevel="0" collapsed="false">
      <c r="A8" s="155" t="s">
        <v>661</v>
      </c>
      <c r="B8" s="155"/>
      <c r="C8" s="155"/>
      <c r="D8" s="155"/>
      <c r="E8" s="155"/>
      <c r="F8" s="155"/>
    </row>
    <row r="9" customFormat="false" ht="15" hidden="false" customHeight="true" outlineLevel="0" collapsed="false">
      <c r="A9" s="156" t="s">
        <v>654</v>
      </c>
      <c r="B9" s="156" t="s">
        <v>655</v>
      </c>
      <c r="C9" s="156" t="s">
        <v>656</v>
      </c>
      <c r="D9" s="156" t="s">
        <v>657</v>
      </c>
    </row>
    <row r="10" customFormat="false" ht="27.75" hidden="false" customHeight="true" outlineLevel="0" collapsed="false">
      <c r="A10" s="157" t="s">
        <v>662</v>
      </c>
      <c r="B10" s="157" t="s">
        <v>659</v>
      </c>
      <c r="C10" s="157" t="s">
        <v>663</v>
      </c>
      <c r="D10" s="158" t="s">
        <v>664</v>
      </c>
      <c r="E10" s="158"/>
      <c r="F10" s="158"/>
    </row>
    <row r="12" customFormat="false" ht="15" hidden="false" customHeight="true" outlineLevel="0" collapsed="false">
      <c r="A12" s="155" t="s">
        <v>665</v>
      </c>
      <c r="B12" s="155"/>
      <c r="C12" s="155"/>
      <c r="D12" s="155"/>
      <c r="E12" s="155"/>
      <c r="F12" s="155"/>
    </row>
    <row r="13" customFormat="false" ht="15" hidden="false" customHeight="true" outlineLevel="0" collapsed="false">
      <c r="A13" s="156" t="s">
        <v>654</v>
      </c>
      <c r="B13" s="156" t="s">
        <v>655</v>
      </c>
      <c r="C13" s="156" t="s">
        <v>656</v>
      </c>
      <c r="D13" s="156" t="s">
        <v>657</v>
      </c>
    </row>
    <row r="14" customFormat="false" ht="369" hidden="false" customHeight="true" outlineLevel="0" collapsed="false">
      <c r="A14" s="157" t="s">
        <v>666</v>
      </c>
      <c r="B14" s="157" t="s">
        <v>667</v>
      </c>
      <c r="C14" s="157" t="s">
        <v>668</v>
      </c>
      <c r="D14" s="158" t="s">
        <v>669</v>
      </c>
      <c r="E14" s="158"/>
      <c r="F14" s="158"/>
    </row>
    <row r="16" customFormat="false" ht="15" hidden="false" customHeight="true" outlineLevel="0" collapsed="false">
      <c r="A16" s="155" t="s">
        <v>670</v>
      </c>
      <c r="B16" s="155"/>
      <c r="C16" s="155"/>
      <c r="D16" s="155"/>
      <c r="E16" s="155"/>
      <c r="F16" s="155"/>
    </row>
    <row r="17" customFormat="false" ht="15" hidden="false" customHeight="true" outlineLevel="0" collapsed="false">
      <c r="A17" s="156" t="s">
        <v>654</v>
      </c>
      <c r="B17" s="156" t="s">
        <v>655</v>
      </c>
      <c r="C17" s="156" t="s">
        <v>656</v>
      </c>
      <c r="D17" s="156" t="s">
        <v>657</v>
      </c>
    </row>
    <row r="18" customFormat="false" ht="45.75" hidden="false" customHeight="true" outlineLevel="0" collapsed="false">
      <c r="A18" s="157" t="s">
        <v>666</v>
      </c>
      <c r="B18" s="157" t="s">
        <v>671</v>
      </c>
      <c r="C18" s="157" t="s">
        <v>672</v>
      </c>
      <c r="D18" s="158" t="s">
        <v>673</v>
      </c>
      <c r="E18" s="158"/>
      <c r="F18" s="158"/>
    </row>
    <row r="20" customFormat="false" ht="15" hidden="false" customHeight="true" outlineLevel="0" collapsed="false">
      <c r="A20" s="155" t="s">
        <v>674</v>
      </c>
      <c r="B20" s="155"/>
      <c r="C20" s="155"/>
      <c r="D20" s="155"/>
      <c r="E20" s="155"/>
      <c r="F20" s="155"/>
    </row>
    <row r="21" customFormat="false" ht="15" hidden="false" customHeight="true" outlineLevel="0" collapsed="false">
      <c r="A21" s="156" t="s">
        <v>654</v>
      </c>
      <c r="B21" s="156" t="s">
        <v>655</v>
      </c>
      <c r="C21" s="156" t="s">
        <v>656</v>
      </c>
      <c r="D21" s="156" t="s">
        <v>657</v>
      </c>
    </row>
    <row r="22" customFormat="false" ht="351" hidden="false" customHeight="true" outlineLevel="0" collapsed="false">
      <c r="A22" s="157" t="s">
        <v>675</v>
      </c>
      <c r="B22" s="157" t="s">
        <v>659</v>
      </c>
      <c r="C22" s="157" t="s">
        <v>676</v>
      </c>
      <c r="D22" s="158" t="s">
        <v>677</v>
      </c>
      <c r="E22" s="158"/>
      <c r="F22" s="158"/>
    </row>
    <row r="24" customFormat="false" ht="15" hidden="false" customHeight="true" outlineLevel="0" collapsed="false">
      <c r="A24" s="155" t="s">
        <v>678</v>
      </c>
      <c r="B24" s="155"/>
      <c r="C24" s="155"/>
      <c r="D24" s="155"/>
      <c r="E24" s="155"/>
      <c r="F24" s="155"/>
    </row>
    <row r="25" customFormat="false" ht="15" hidden="false" customHeight="true" outlineLevel="0" collapsed="false">
      <c r="A25" s="156" t="s">
        <v>654</v>
      </c>
      <c r="B25" s="156" t="s">
        <v>655</v>
      </c>
      <c r="C25" s="156" t="s">
        <v>656</v>
      </c>
      <c r="D25" s="156" t="s">
        <v>657</v>
      </c>
    </row>
    <row r="26" customFormat="false" ht="54.75" hidden="false" customHeight="true" outlineLevel="0" collapsed="false">
      <c r="A26" s="157" t="s">
        <v>666</v>
      </c>
      <c r="B26" s="157" t="s">
        <v>679</v>
      </c>
      <c r="C26" s="157" t="s">
        <v>680</v>
      </c>
      <c r="D26" s="158" t="s">
        <v>681</v>
      </c>
      <c r="E26" s="158"/>
      <c r="F26" s="158"/>
    </row>
    <row r="28" customFormat="false" ht="15" hidden="false" customHeight="true" outlineLevel="0" collapsed="false">
      <c r="A28" s="155" t="s">
        <v>682</v>
      </c>
      <c r="B28" s="155"/>
      <c r="C28" s="155"/>
      <c r="D28" s="155"/>
      <c r="E28" s="155"/>
      <c r="F28" s="155"/>
    </row>
    <row r="29" customFormat="false" ht="15" hidden="false" customHeight="true" outlineLevel="0" collapsed="false">
      <c r="A29" s="156" t="s">
        <v>654</v>
      </c>
      <c r="B29" s="156" t="s">
        <v>655</v>
      </c>
      <c r="C29" s="156" t="s">
        <v>656</v>
      </c>
      <c r="D29" s="156" t="s">
        <v>657</v>
      </c>
    </row>
    <row r="30" customFormat="false" ht="144.75" hidden="false" customHeight="true" outlineLevel="0" collapsed="false">
      <c r="A30" s="157" t="s">
        <v>683</v>
      </c>
      <c r="B30" s="157" t="s">
        <v>684</v>
      </c>
      <c r="C30" s="157" t="s">
        <v>685</v>
      </c>
      <c r="D30" s="158" t="s">
        <v>686</v>
      </c>
      <c r="E30" s="158"/>
      <c r="F30" s="158"/>
    </row>
    <row r="32" customFormat="false" ht="15" hidden="false" customHeight="true" outlineLevel="0" collapsed="false">
      <c r="A32" s="155" t="s">
        <v>687</v>
      </c>
      <c r="B32" s="155"/>
      <c r="C32" s="155"/>
      <c r="D32" s="155"/>
      <c r="E32" s="155"/>
      <c r="F32" s="155"/>
    </row>
    <row r="33" customFormat="false" ht="15" hidden="false" customHeight="true" outlineLevel="0" collapsed="false">
      <c r="A33" s="156" t="s">
        <v>654</v>
      </c>
      <c r="B33" s="156" t="s">
        <v>655</v>
      </c>
      <c r="C33" s="156" t="s">
        <v>656</v>
      </c>
      <c r="D33" s="156" t="s">
        <v>657</v>
      </c>
    </row>
    <row r="34" customFormat="false" ht="99.75" hidden="false" customHeight="true" outlineLevel="0" collapsed="false">
      <c r="A34" s="157" t="s">
        <v>666</v>
      </c>
      <c r="B34" s="157" t="s">
        <v>688</v>
      </c>
      <c r="C34" s="157" t="s">
        <v>689</v>
      </c>
      <c r="D34" s="158" t="s">
        <v>690</v>
      </c>
      <c r="E34" s="158"/>
      <c r="F34" s="158"/>
    </row>
    <row r="36" customFormat="false" ht="15" hidden="false" customHeight="true" outlineLevel="0" collapsed="false">
      <c r="A36" s="155" t="s">
        <v>691</v>
      </c>
      <c r="B36" s="155"/>
      <c r="C36" s="155"/>
      <c r="D36" s="155"/>
      <c r="E36" s="155"/>
      <c r="F36" s="155"/>
    </row>
    <row r="37" customFormat="false" ht="15" hidden="false" customHeight="true" outlineLevel="0" collapsed="false">
      <c r="A37" s="156" t="s">
        <v>654</v>
      </c>
      <c r="B37" s="156" t="s">
        <v>655</v>
      </c>
      <c r="C37" s="156" t="s">
        <v>656</v>
      </c>
      <c r="D37" s="156" t="s">
        <v>657</v>
      </c>
    </row>
    <row r="38" customFormat="false" ht="162" hidden="false" customHeight="true" outlineLevel="0" collapsed="false">
      <c r="A38" s="157" t="s">
        <v>675</v>
      </c>
      <c r="B38" s="157" t="s">
        <v>659</v>
      </c>
      <c r="C38" s="157" t="s">
        <v>692</v>
      </c>
      <c r="D38" s="158" t="s">
        <v>693</v>
      </c>
      <c r="E38" s="158"/>
      <c r="F38" s="158"/>
    </row>
    <row r="40" customFormat="false" ht="15" hidden="false" customHeight="true" outlineLevel="0" collapsed="false">
      <c r="A40" s="155" t="s">
        <v>694</v>
      </c>
      <c r="B40" s="155"/>
      <c r="C40" s="155"/>
      <c r="D40" s="155"/>
      <c r="E40" s="155"/>
      <c r="F40" s="155"/>
    </row>
    <row r="41" customFormat="false" ht="15" hidden="false" customHeight="true" outlineLevel="0" collapsed="false">
      <c r="A41" s="156" t="s">
        <v>654</v>
      </c>
      <c r="B41" s="156" t="s">
        <v>655</v>
      </c>
      <c r="C41" s="156" t="s">
        <v>656</v>
      </c>
      <c r="D41" s="156" t="s">
        <v>657</v>
      </c>
    </row>
    <row r="42" customFormat="false" ht="90.75" hidden="false" customHeight="true" outlineLevel="0" collapsed="false">
      <c r="A42" s="157" t="s">
        <v>695</v>
      </c>
      <c r="B42" s="157" t="s">
        <v>659</v>
      </c>
      <c r="C42" s="157" t="s">
        <v>696</v>
      </c>
      <c r="D42" s="158" t="s">
        <v>697</v>
      </c>
      <c r="E42" s="158"/>
      <c r="F42" s="158"/>
    </row>
    <row r="44" customFormat="false" ht="15" hidden="false" customHeight="true" outlineLevel="0" collapsed="false">
      <c r="A44" s="155" t="s">
        <v>698</v>
      </c>
      <c r="B44" s="155"/>
      <c r="C44" s="155"/>
      <c r="D44" s="155"/>
      <c r="E44" s="155"/>
      <c r="F44" s="155"/>
    </row>
    <row r="45" customFormat="false" ht="15" hidden="false" customHeight="true" outlineLevel="0" collapsed="false">
      <c r="A45" s="156" t="s">
        <v>654</v>
      </c>
      <c r="B45" s="156" t="s">
        <v>655</v>
      </c>
      <c r="C45" s="156" t="s">
        <v>656</v>
      </c>
      <c r="D45" s="156" t="s">
        <v>657</v>
      </c>
    </row>
    <row r="46" customFormat="false" ht="90.75" hidden="false" customHeight="true" outlineLevel="0" collapsed="false">
      <c r="A46" s="157" t="s">
        <v>699</v>
      </c>
      <c r="B46" s="157" t="s">
        <v>659</v>
      </c>
      <c r="C46" s="157" t="s">
        <v>700</v>
      </c>
      <c r="D46" s="158" t="s">
        <v>701</v>
      </c>
      <c r="E46" s="158"/>
      <c r="F46" s="158"/>
    </row>
    <row r="48" customFormat="false" ht="15" hidden="false" customHeight="true" outlineLevel="0" collapsed="false">
      <c r="A48" s="155" t="s">
        <v>702</v>
      </c>
      <c r="B48" s="155"/>
      <c r="C48" s="155"/>
      <c r="D48" s="155"/>
      <c r="E48" s="155"/>
      <c r="F48" s="155"/>
    </row>
    <row r="49" customFormat="false" ht="15" hidden="false" customHeight="true" outlineLevel="0" collapsed="false">
      <c r="A49" s="156" t="s">
        <v>654</v>
      </c>
      <c r="B49" s="156" t="s">
        <v>655</v>
      </c>
      <c r="C49" s="156" t="s">
        <v>656</v>
      </c>
      <c r="D49" s="156" t="s">
        <v>657</v>
      </c>
    </row>
    <row r="50" customFormat="false" ht="81.75" hidden="false" customHeight="true" outlineLevel="0" collapsed="false">
      <c r="A50" s="157" t="s">
        <v>666</v>
      </c>
      <c r="B50" s="157" t="s">
        <v>703</v>
      </c>
      <c r="C50" s="157" t="s">
        <v>704</v>
      </c>
      <c r="D50" s="158" t="s">
        <v>705</v>
      </c>
      <c r="E50" s="158"/>
      <c r="F50" s="158"/>
    </row>
    <row r="52" customFormat="false" ht="15" hidden="false" customHeight="true" outlineLevel="0" collapsed="false">
      <c r="A52" s="155" t="s">
        <v>706</v>
      </c>
      <c r="B52" s="155"/>
      <c r="C52" s="155"/>
      <c r="D52" s="155"/>
      <c r="E52" s="155"/>
      <c r="F52" s="155"/>
    </row>
    <row r="53" customFormat="false" ht="15" hidden="false" customHeight="true" outlineLevel="0" collapsed="false">
      <c r="A53" s="156" t="s">
        <v>654</v>
      </c>
      <c r="B53" s="156" t="s">
        <v>655</v>
      </c>
      <c r="C53" s="156" t="s">
        <v>656</v>
      </c>
      <c r="D53" s="156" t="s">
        <v>657</v>
      </c>
    </row>
    <row r="54" customFormat="false" ht="27.75" hidden="false" customHeight="true" outlineLevel="0" collapsed="false">
      <c r="A54" s="157" t="s">
        <v>666</v>
      </c>
      <c r="B54" s="157" t="s">
        <v>707</v>
      </c>
      <c r="C54" s="157" t="s">
        <v>708</v>
      </c>
      <c r="D54" s="158" t="s">
        <v>709</v>
      </c>
      <c r="E54" s="158"/>
      <c r="F54" s="158"/>
    </row>
    <row r="56" customFormat="false" ht="15" hidden="false" customHeight="true" outlineLevel="0" collapsed="false">
      <c r="A56" s="155" t="s">
        <v>710</v>
      </c>
      <c r="B56" s="155"/>
      <c r="C56" s="155"/>
      <c r="D56" s="155"/>
      <c r="E56" s="155"/>
      <c r="F56" s="155"/>
    </row>
    <row r="57" customFormat="false" ht="15" hidden="false" customHeight="true" outlineLevel="0" collapsed="false">
      <c r="A57" s="156" t="s">
        <v>654</v>
      </c>
      <c r="B57" s="156" t="s">
        <v>655</v>
      </c>
      <c r="C57" s="156" t="s">
        <v>656</v>
      </c>
      <c r="D57" s="156" t="s">
        <v>657</v>
      </c>
    </row>
    <row r="58" customFormat="false" ht="333" hidden="false" customHeight="true" outlineLevel="0" collapsed="false">
      <c r="A58" s="157" t="s">
        <v>683</v>
      </c>
      <c r="B58" s="157" t="s">
        <v>711</v>
      </c>
      <c r="C58" s="157" t="s">
        <v>712</v>
      </c>
      <c r="D58" s="158" t="s">
        <v>713</v>
      </c>
      <c r="E58" s="158"/>
      <c r="F58" s="158"/>
    </row>
    <row r="60" customFormat="false" ht="15" hidden="false" customHeight="true" outlineLevel="0" collapsed="false">
      <c r="A60" s="155" t="s">
        <v>714</v>
      </c>
      <c r="B60" s="155"/>
      <c r="C60" s="155"/>
      <c r="D60" s="155"/>
      <c r="E60" s="155"/>
      <c r="F60" s="155"/>
    </row>
    <row r="61" customFormat="false" ht="15" hidden="false" customHeight="true" outlineLevel="0" collapsed="false">
      <c r="A61" s="156" t="s">
        <v>654</v>
      </c>
      <c r="B61" s="156" t="s">
        <v>655</v>
      </c>
      <c r="C61" s="156" t="s">
        <v>656</v>
      </c>
      <c r="D61" s="156" t="s">
        <v>657</v>
      </c>
    </row>
    <row r="62" customFormat="false" ht="619.5" hidden="false" customHeight="true" outlineLevel="0" collapsed="false">
      <c r="A62" s="157" t="s">
        <v>683</v>
      </c>
      <c r="B62" s="157" t="s">
        <v>715</v>
      </c>
      <c r="C62" s="157" t="s">
        <v>716</v>
      </c>
      <c r="D62" s="158" t="s">
        <v>717</v>
      </c>
      <c r="E62" s="158"/>
      <c r="F62" s="158"/>
    </row>
    <row r="64" customFormat="false" ht="15" hidden="false" customHeight="true" outlineLevel="0" collapsed="false">
      <c r="A64" s="155" t="s">
        <v>718</v>
      </c>
      <c r="B64" s="155"/>
      <c r="C64" s="155"/>
      <c r="D64" s="155"/>
      <c r="E64" s="155"/>
      <c r="F64" s="155"/>
    </row>
    <row r="65" customFormat="false" ht="15" hidden="false" customHeight="true" outlineLevel="0" collapsed="false">
      <c r="A65" s="156" t="s">
        <v>654</v>
      </c>
      <c r="B65" s="156" t="s">
        <v>655</v>
      </c>
      <c r="C65" s="156" t="s">
        <v>656</v>
      </c>
      <c r="D65" s="156" t="s">
        <v>657</v>
      </c>
    </row>
    <row r="66" customFormat="false" ht="45.75" hidden="false" customHeight="true" outlineLevel="0" collapsed="false">
      <c r="A66" s="157" t="s">
        <v>666</v>
      </c>
      <c r="B66" s="157" t="s">
        <v>719</v>
      </c>
      <c r="C66" s="157" t="s">
        <v>720</v>
      </c>
      <c r="D66" s="158" t="s">
        <v>721</v>
      </c>
      <c r="E66" s="158"/>
      <c r="F66" s="158"/>
    </row>
    <row r="68" customFormat="false" ht="15" hidden="false" customHeight="true" outlineLevel="0" collapsed="false">
      <c r="A68" s="155" t="s">
        <v>722</v>
      </c>
      <c r="B68" s="155"/>
      <c r="C68" s="155"/>
      <c r="D68" s="155"/>
      <c r="E68" s="155"/>
      <c r="F68" s="155"/>
    </row>
    <row r="69" customFormat="false" ht="15" hidden="false" customHeight="true" outlineLevel="0" collapsed="false">
      <c r="A69" s="156" t="s">
        <v>654</v>
      </c>
      <c r="B69" s="156" t="s">
        <v>655</v>
      </c>
      <c r="C69" s="156" t="s">
        <v>656</v>
      </c>
      <c r="D69" s="156" t="s">
        <v>657</v>
      </c>
    </row>
    <row r="70" customFormat="false" ht="15" hidden="false" customHeight="true" outlineLevel="0" collapsed="false">
      <c r="A70" s="157" t="s">
        <v>666</v>
      </c>
      <c r="B70" s="157" t="s">
        <v>723</v>
      </c>
      <c r="C70" s="157" t="s">
        <v>724</v>
      </c>
      <c r="D70" s="158" t="s">
        <v>725</v>
      </c>
      <c r="E70" s="158"/>
      <c r="F70" s="158"/>
    </row>
    <row r="72" customFormat="false" ht="15" hidden="false" customHeight="true" outlineLevel="0" collapsed="false">
      <c r="A72" s="155" t="s">
        <v>726</v>
      </c>
      <c r="B72" s="155"/>
      <c r="C72" s="155"/>
      <c r="D72" s="155"/>
      <c r="E72" s="155"/>
      <c r="F72" s="155"/>
    </row>
    <row r="73" customFormat="false" ht="15" hidden="false" customHeight="true" outlineLevel="0" collapsed="false">
      <c r="A73" s="156" t="s">
        <v>654</v>
      </c>
      <c r="B73" s="156" t="s">
        <v>655</v>
      </c>
      <c r="C73" s="156" t="s">
        <v>656</v>
      </c>
      <c r="D73" s="156" t="s">
        <v>657</v>
      </c>
    </row>
    <row r="74" customFormat="false" ht="117.75" hidden="false" customHeight="true" outlineLevel="0" collapsed="false">
      <c r="A74" s="157" t="s">
        <v>666</v>
      </c>
      <c r="B74" s="157" t="s">
        <v>727</v>
      </c>
      <c r="C74" s="157" t="s">
        <v>728</v>
      </c>
      <c r="D74" s="158" t="s">
        <v>729</v>
      </c>
      <c r="E74" s="158"/>
      <c r="F74" s="158"/>
    </row>
    <row r="76" customFormat="false" ht="15" hidden="false" customHeight="true" outlineLevel="0" collapsed="false">
      <c r="A76" s="155" t="s">
        <v>730</v>
      </c>
      <c r="B76" s="155"/>
      <c r="C76" s="155"/>
      <c r="D76" s="155"/>
      <c r="E76" s="155"/>
      <c r="F76" s="155"/>
    </row>
    <row r="77" customFormat="false" ht="15" hidden="false" customHeight="true" outlineLevel="0" collapsed="false">
      <c r="A77" s="156" t="s">
        <v>654</v>
      </c>
      <c r="B77" s="156" t="s">
        <v>655</v>
      </c>
      <c r="C77" s="156" t="s">
        <v>656</v>
      </c>
      <c r="D77" s="156" t="s">
        <v>657</v>
      </c>
    </row>
    <row r="78" customFormat="false" ht="135.75" hidden="false" customHeight="true" outlineLevel="0" collapsed="false">
      <c r="A78" s="157" t="s">
        <v>666</v>
      </c>
      <c r="B78" s="157" t="s">
        <v>731</v>
      </c>
      <c r="C78" s="157" t="s">
        <v>732</v>
      </c>
      <c r="D78" s="158" t="s">
        <v>733</v>
      </c>
      <c r="E78" s="158"/>
      <c r="F78" s="15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2026-09-11T15:20:51Z</dcterms:modified>
  <cp:revision>117</cp:revision>
  <dc:subject/>
  <dc:title/>
</cp:coreProperties>
</file>

<file path=docProps/custom.xml><?xml version="1.0" encoding="utf-8"?>
<Properties xmlns="http://schemas.openxmlformats.org/officeDocument/2006/custom-properties" xmlns:vt="http://schemas.openxmlformats.org/officeDocument/2006/docPropsVTypes"/>
</file>