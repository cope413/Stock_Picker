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 function="false" hidden="false" name="MON_SignalsAsOf" vbProcedure="false">'Monitor &amp; Recheck Triggers'!$Q$1</definedName>
    <definedName function="false" hidden="false" name="PT_AsOf" vbProcedure="false">'Performance Tracking'!$D$63</definedName>
    <definedName function="false" hidden="false" name="PT_Inception" vbProcedure="false">'Performance Tracking'!$D$67</definedName>
    <definedName function="false" hidden="false" name="PT_SPY_0805" vbProcedure="false">'Performance Tracking'!$D$65</definedName>
    <definedName function="false" hidden="false" name="PT_SPY_1231" vbProcedure="false">'Performance Tracking'!$D$66</definedName>
    <definedName function="false" hidden="false" name="PT_SPY_Now" vbProcedure="false">'Performance Tracking'!$D$64</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<sst xmlns="http://schemas.openxmlformats.org/spreadsheetml/2006/main" count="2615" uniqueCount="1067">
  <si>
    <t xml:space="preserve">THE LANDRY FAMILY EQUITY INVESTMENT OPERATING SYSTEM — 
STOCK SCORING &amp; PORTFOLIO RISK WORKBOOK</t>
  </si>
  <si>
    <t xml:space="preserve">Companion workbook to Landry System v1.05. Aligned to: Version 1.05 (51 numbered Hard Rules, Parts 1–12, and the Part 6 Stop-Review Ladder).</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</si>
  <si>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</si>
  <si>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</si>
  <si>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</si>
  <si>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</si>
  <si>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</si>
  <si>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</si>
  <si>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</si>
  <si>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</si>
  <si>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filter it, never sort it (its rows mirror Scoring by formula).</t>
  </si>
  <si>
    <t xml:space="preserve">4. Price History / Returns (Calc) / Correlation Matrix tabs — enter weekly closing prices for current</t>
  </si>
  <si>
    <t xml:space="preserve">holdings (ex-cash-sweep); pairwise correlation and the Rule 38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</si>
  <si>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</si>
  <si>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</si>
  <si>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v1.05)</t>
  </si>
  <si>
    <t xml:space="preserve">Rules 1–4 (Part 3) — Tier 1 floor of 3.0, mandatory review of any Tier 1 score of 1, automatic Avoid if</t>
  </si>
  <si>
    <t xml:space="preserve">two or more Tier 1 indicators score 2.0 or below, Strong Buy capped when two or more are Low Confidence.</t>
  </si>
  <si>
    <t xml:space="preserve">Rule 5 (Part 3) — Relative Strength or Technical Trend scored 1: documented review before a Buy is relied on.</t>
  </si>
  <si>
    <t xml:space="preserve">Rule 16 (Part 5) — No sector above 25% of portfolio, measured at market value on direct holdings (v1.05).</t>
  </si>
  <si>
    <t xml:space="preserve">Rule 34 (Part 6) — Early Partial Trim: Probationary Hold, indicator reconfirmed unimproved: trim a third, up to 3x.</t>
  </si>
  <si>
    <t xml:space="preserve">Stop-Review Ladder (Part 6, v1.05) — 20% below cost + weak relative strength or under the 200-day average: no adds,</t>
  </si>
  <si>
    <t xml:space="preserve">re-underwrite in 10 trading days; 30% below + deterioration found: trim a third; 40% + 8 weeks under: Exit Review.</t>
  </si>
  <si>
    <t xml:space="preserve">Rule 38 (Part 7) — Correlation Cap: no position may carry pairwise correlation above 0.70 with more than one other holding.</t>
  </si>
  <si>
    <t xml:space="preserve">Rule 39 (Part 7) — Portfolio drawdown response levels apply automatically; only a documented Tier 1 re-score restores normal sizing.</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</si>
  <si>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</si>
  <si>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</si>
  <si>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</si>
  <si>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</si>
  <si>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</si>
  <si>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</si>
  <si>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</si>
  <si>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</si>
  <si>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</si>
  <si>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</si>
  <si>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</si>
  <si>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</si>
  <si>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12-14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</si>
  <si>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</si>
  <si>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</si>
  <si>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 -- one new lot row per purchase (landry.perf_tab.add_lot); prices and SPY refresh with the weekly run.</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</si>
  <si>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</si>
  <si>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each Saturday after the Friday close by `python -m landry weekly` (`landry market` on demand; the same run refreshes the Monitor tab's earnings dates, col J),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</si>
  <si>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</si>
  <si>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 Cols C-G (Last Score) mirror the Scoring row for every held position: stamp them at each re-score or Decision change with `python -m landry monitor stamp`; cols K-N (insider / analyst signals) are refreshed monthly with `python -m landry monitor refresh` and dated in Q1. `landry audit` fails when either lapses (Alan, 10/5/26: keep the Monitor tab monthly-current for held positions).</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</si>
  <si>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</si>
  <si>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</si>
  <si>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</si>
  <si>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</si>
  <si>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</si>
  <si>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</si>
  <si>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Scoring tab, Tier 1 FCF indicators -- basis (policy 10/5/26, Open Items #31, Journal row 94): the scores of record are drafted from fiscal-year statements. At each quarterly review, and before acting on any Rule 1 / Rule 3 trip, Watch List or Exit Review deadline or Part 6 sell trigger, run `python -m landry.sec_ttm --holdings` (one name: `python -m landry.sec_ttm TICKER`) to compare every US-filer holding with its latest 10-Q. Re-score on trailing 12-month windows only where a hard-rule outcome or Decision band differs, in either direction; ASML, TSM, REITs and anything the tool lists as BY HAND are checked from the filings. A Part 10 adjustment for a one-time item (an acquisition, say) is Alan's to approve and is recorded in landry_addbacks.json and the score's adaptation field.</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</si>
  <si>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</si>
  <si>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</si>
  <si>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32-36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</si>
  <si>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</si>
  <si>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</si>
  <si>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</si>
  <si>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22-31 (see Holding Monitor tab for detail)</t>
  </si>
  <si>
    <t xml:space="preserve">Holdings with action required within 30 days:</t>
  </si>
  <si>
    <t xml:space="preserve">Holdings under Hold Through (monitor only, no action):</t>
  </si>
  <si>
    <t xml:space="preserve">3. CORRELATION CAP — Rule 38 (see Correlation Matrix tab for detail)</t>
  </si>
  <si>
    <t xml:space="preserve">Rule 38 status:</t>
  </si>
  <si>
    <t xml:space="preserve">Positions exceeding cap:</t>
  </si>
  <si>
    <t xml:space="preserve">4. PORTFOLIO DRAWDOWN STATUS — Rule 39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</si>
  <si>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</si>
  <si>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</si>
  <si>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</si>
  <si>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</si>
  <si>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</si>
  <si>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Stocks flagged Avoid by Rule 3 (candidates and holdings):</t>
  </si>
  <si>
    <t xml:space="preserve">Candidates flagged for mandatory Tier 1 review (Rule 2):</t>
  </si>
  <si>
    <t xml:space="preserve">Candidates capped at Buy despite Strong Buy score (Rule 4):</t>
  </si>
  <si>
    <t xml:space="preserve">6. ENTRY AUTHORIZATION — Rules 6-14 (see Entry Checklist tab for detail)</t>
  </si>
  <si>
    <t xml:space="preserve">Candidates NOT authorized to enter (failing one or more Entry Rules):</t>
  </si>
  <si>
    <t xml:space="preserve">Candidates authorized, staged at reduced size (50%, per Rules 9-10):</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</si>
  <si>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</si>
  <si>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</si>
  <si>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</si>
  <si>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the 9/30/2026 statements (GE/NFLX bought 9/30, settled 10/1; prices refresh in Excel)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</si>
  <si>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</si>
  <si>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</si>
  <si>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</si>
  <si>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</si>
  <si>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</si>
  <si>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</si>
  <si>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</si>
  <si>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</si>
  <si>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</si>
  <si>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</si>
  <si>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</si>
  <si>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</si>
  <si>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</si>
  <si>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</si>
  <si>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</si>
  <si>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</si>
  <si>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</si>
  <si>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</si>
  <si>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</si>
  <si>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</si>
  <si>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</si>
  <si>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</si>
  <si>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</si>
  <si>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</si>
  <si>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</si>
  <si>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</si>
  <si>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</si>
  <si>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</si>
  <si>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</si>
  <si>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</si>
  <si>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</si>
  <si>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</si>
  <si>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</si>
  <si>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</si>
  <si>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</si>
  <si>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</si>
  <si>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</si>
  <si>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</si>
  <si>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</si>
  <si>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</si>
  <si>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</si>
  <si>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</si>
  <si>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</si>
  <si>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</si>
  <si>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</si>
  <si>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10/7/26: tied to the Fidelity 3711 history (10/2 $15,000 EFT, 10/1 NVDA dividend $38.75, the 9/30 GE/NFLX settlement that used FZFXX) and the 10/6 SPMO sale, less the 10/7 VEEV buy. Journal rows 101 and 104.</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</si>
  <si>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</si>
  <si>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</si>
  <si>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</si>
  <si>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</si>
  <si>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</si>
  <si>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</si>
  <si>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</si>
  <si>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</si>
  <si>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</si>
  <si>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</si>
  <si>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</si>
  <si>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</si>
  <si>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</si>
  <si>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</si>
  <si>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</si>
  <si>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</si>
  <si>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NEW to this account since 8/5/26 (already held in Self-Directed) -- cash/dry powder per Alan 9/7/26, not a scored Landry position. 10/6/26: sold 30 sh at $153.54 ($4,606.10) to fund DCA-CATCHUP-2. One tax lot (Alan), so the remaining 70 sh keep the same per-share basis; the sale realized about $197.</t>
  </si>
  <si>
    <t xml:space="preserve">GE</t>
  </si>
  <si>
    <t xml:space="preserve">GE Aerospace</t>
  </si>
  <si>
    <t xml:space="preserve">NEW position 9/30/26 -- DCA-CATCHUP-1, opened per Composite 84.2 STRONG BUY (rescored 9/13/26, reconfirmed fresh 9/29/26, zero Tier 1 drift). 75sh @ $314.71.</t>
  </si>
  <si>
    <t xml:space="preserve">NFLX</t>
  </si>
  <si>
    <t xml:space="preserve">Netflix, Inc.</t>
  </si>
  <si>
    <t xml:space="preserve">NEW position 9/30/26 -- DCA-CATCHUP-1, opened per Composite 83.8 STRONG BUY (rescored 9/13/26, reconfirmed fresh 9/29/26, zero Tier 1 drift). 300sh @ $69.795.</t>
  </si>
  <si>
    <t xml:space="preserve">VEEV</t>
  </si>
  <si>
    <t xml:space="preserve">Veeva Systems Class A</t>
  </si>
  <si>
    <t xml:space="preserve">DCA-CATCHUP-2, 10/7/26: 100 sh at $283.25 ($28,325.00). Composite 81.6 STRONG BUY (Moat 4); Entry Checklist row 51, Implied-Return row 52; Journal rows 100-104.</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</si>
  <si>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</si>
  <si>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</si>
  <si>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</si>
  <si>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</si>
  <si>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</si>
  <si>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</si>
  <si>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10/7/26: $27,966.40, confirmed by Alan from the Chase page (Vanguard Money Market Reserves, Federal Portfolio) = the 9/30 statement's $36,854.47 + about $111.93 of October dividend - $9,000 redeemed to the core sweep. Journal rows 104-105.</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</si>
  <si>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</si>
  <si>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</si>
  <si>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</si>
  <si>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</si>
  <si>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</si>
  <si>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</si>
  <si>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</si>
  <si>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</si>
  <si>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</si>
  <si>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</si>
  <si>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</si>
  <si>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</si>
  <si>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</si>
  <si>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</si>
  <si>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</si>
  <si>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</si>
  <si>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</si>
  <si>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</si>
  <si>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</si>
  <si>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</si>
  <si>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</si>
  <si>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</si>
  <si>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</si>
  <si>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</si>
  <si>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</si>
  <si>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</si>
  <si>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</si>
  <si>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</si>
  <si>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</si>
  <si>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</si>
  <si>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</si>
  <si>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</si>
  <si>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10/7/26: $20,408.02 = Chase's Cash &amp; Sweep balance, confirmed by Alan from the Chase page (the slate's 10/6 balance of $11,408.02 + the $9,000 redeemed from VMFXX, which stayed in the core sweep). Journal rows 104-105.</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</si>
  <si>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</si>
  <si>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</si>
  <si>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</si>
  <si>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</si>
  <si>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</si>
  <si>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</si>
  <si>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</si>
  <si>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</si>
  <si>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</si>
  <si>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
10/4/26: tied to the 9/30/26 statements (Fidelity X64-063711 $406,372.50; Chase 735-43693 $315,412.66). Every share count and cost basis already matched. Cash corrected: FZDXX 92,777.34 -&gt; 38,154.18 (statement 82,695.93 less the $44,541.75 GE/NFLX buy that settled 10/1), FZFXX 0 -&gt; 1,174.01, QACDS 1,853.89 -&gt; 10,849.71; cash cost basis set equal to value (cash has no gain/loss -- this also clears the understated combined unrealized G/L). The old FZDXX figure had ignored September's outflows ($36,519.99 withdrawn, $18,448.63 of Visa buys). Prices are still the workbook's own (refresh in Excel), which is why the combined total here still reads about $10.4K above the statements. See Journal row 81.</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</si>
  <si>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 For held positions, Last Score (cols C-G) mirrors the Scoring row -- `python -m landry monitor stamp` does it after any re-score or Decision change -- and the insider / analyst signals (K-N) are refreshed monthly with `python -m landry monitor refresh` (dated in Q1); `landry audit` holds both (Alan, 10/5/26).</t>
  </si>
  <si>
    <t xml:space="preserve">Insider / analyst signals refreshed</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</si>
  <si>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</si>
  <si>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</si>
  <si>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</si>
  <si>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</si>
  <si>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</si>
  <si>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</si>
  <si>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</si>
  <si>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</si>
  <si>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</si>
  <si>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</si>
  <si>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</si>
  <si>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</si>
  <si>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</si>
  <si>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</si>
  <si>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</si>
  <si>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</si>
  <si>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</si>
  <si>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</si>
  <si>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Y</t>
  </si>
  <si>
    <t xml:space="preserve">2026-09-18: NARAYEN SHANTANU (Chair and CEO) sold $2,091,376, 2% of holding (+11 more in last 30d)</t>
  </si>
  <si>
    <t xml:space="preserve">N</t>
  </si>
  <si>
    <t xml:space="preserve">2026-09-29: Ullal Jayshree (CEO and Chairperson) sold $1,891,569, 0% of holding (+33 more in last 30d)</t>
  </si>
  <si>
    <t xml:space="preserve">BUY</t>
  </si>
  <si>
    <t xml:space="preserve">AVOID</t>
  </si>
  <si>
    <t xml:space="preserve">2026-10-02: Sentonas Michael (PRESIDENT) sold $3,487,213, 1% of holding (+153 more in last 30d)</t>
  </si>
  <si>
    <t xml:space="preserve">2026-09-16: WALLACE RICHARD P (President and CEO) sold $12,378,626, 9% of holding</t>
  </si>
  <si>
    <t xml:space="preserve">2026-09-23: Teter Timothy S. (EVP, General Counsel and Sec) sold $2,773,638, 0% of holding (+14 more in last 30d)</t>
  </si>
  <si>
    <t xml:space="preserve">2026-09-17: Moore Alexander D. (Director) sold $222,702, 0% of holding (+5 more in last 30d)</t>
  </si>
  <si>
    <t xml:space="preserve">2026-09-09: Wu Yi-Huang (VP) bought $3,048, 33% of holding (+6 more in last 30d)</t>
  </si>
  <si>
    <t xml:space="preserve">2026-09-25: SAMUELI HENRY (Director) sold $8,025,864, 0% of holding (+15 more in last 30d)</t>
  </si>
  <si>
    <t xml:space="preserve">Re-scored 10/5/26 on the latest 10-Q figures (Journal row 92): Rule 3 cleared.</t>
  </si>
  <si>
    <t xml:space="preserve">Re-scored 8/7/26: original Avoid was bad source data, corrected. See Journal. Re-scored 10/5/26 on the latest 10-Q figures (Journal row 92): Rule 3 cleared.</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</si>
  <si>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</si>
  <si>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</si>
  <si>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</si>
  <si>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</si>
  <si>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</si>
  <si>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</si>
  <si>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</si>
  <si>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</si>
  <si>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</si>
  <si>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</si>
  <si>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</si>
  <si>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</si>
  <si>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</si>
  <si>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</si>
  <si>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</si>
  <si>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</si>
  <si>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</si>
  <si>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</si>
  <si>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</si>
  <si>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</si>
  <si>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</si>
  <si>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</si>
  <si>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</si>
  <si>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</si>
  <si>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</si>
  <si>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</si>
  <si>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</si>
  <si>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</si>
  <si>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</si>
  <si>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2026-09-10: BARTON RICHARD N (Director) sold $54,907, 23% of holding (+2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</si>
  <si>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</si>
  <si>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</si>
  <si>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</si>
  <si>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</si>
  <si>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</si>
  <si>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</si>
  <si>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</si>
  <si>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</si>
  <si>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</si>
  <si>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</si>
  <si>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</si>
  <si>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</si>
  <si>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</si>
  <si>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</si>
  <si>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2026-10-02: MCINERNEY RYAN (Chief Executive Officer) sold $2,108,009, 28% of holding (+1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</si>
  <si>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</si>
  <si>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</si>
  <si>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</si>
  <si>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</si>
  <si>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</si>
  <si>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</si>
  <si>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ABT</t>
  </si>
  <si>
    <t xml:space="preserve">Bench candidate (Healthcare / Medical Devices). Scored 9/13/26: BUY 70.8, Tier 1 avg 3.50. Relative Strength=1 -&gt; Rule 5 review before any purchase. Added to Monitor 10/4/26 (Open Items #28).</t>
  </si>
  <si>
    <t xml:space="preserve">SLB</t>
  </si>
  <si>
    <t xml:space="preserve">Bench candidate (Energy / Oil &amp; Gas Equipment &amp; Services). Scored 9/13/26: BUY 72.4, Tier 1 avg 3.50. Added to Monitor 10/4/26 (Open Items #28).</t>
  </si>
  <si>
    <t xml:space="preserve">2026-09-16: Schwenger Thomas D. (Pres. &amp; Chief Customer Officer) sold $265,200, 5% of holding (+1 more in last 30d)</t>
  </si>
  <si>
    <t xml:space="preserve">Owned since 10/7/26 (DCA-CATCHUP-2: 100 sh at $283.25, Fidelity JT ULTRA). Scored 10/2/26: STRONG BUY 81.6, Tier 1 avg 4.29; Moat 4 confirmed by Alan 10/6 (Open Items #24 closed); Rule 14 ruled on the trailing basis. New insider selling since 10/5: EVP Rizzo $1.34M (not 10b5-1) and a Form 144 for Schwenger, listed as a Former Officer (132,751 sh, about $37.1M) -- Journal row 104. Q3 earnings 11/18/26 (Fidelity; yfinance says 11/25) is the natural re-check point.</t>
  </si>
  <si>
    <t xml:space="preserve">Weekly closing price ($), week-ending Friday, dividend-adjusted so week-over-week changes are total returns (Rule 38: 24-month target, 12-month minimum, 36-month max). One column per held position (ex-cash sweeps): keep it current with `python -m landry prices` (status / append / rebuild / add TICKER).</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</si>
  <si>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</si>
  <si>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</si>
  <si>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</si>
  <si>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</si>
  <si>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</si>
  <si>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</si>
  <si>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</si>
  <si>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</si>
  <si>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</si>
  <si>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</si>
  <si>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</si>
  <si>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</si>
  <si>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</si>
  <si>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Do not sort this tab: Dashboard, Entry Checklist and Implied-Return read it by row.</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</si>
  <si>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</si>
  <si>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</si>
  <si>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</si>
  <si>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</si>
  <si>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</si>
  <si>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</si>
  <si>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DO NOT SORT
Company</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</si>
  <si>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</si>
  <si>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</si>
  <si>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</si>
  <si>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</si>
  <si>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</si>
  <si>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</si>
  <si>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</si>
  <si>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</si>
  <si>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</si>
  <si>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</si>
  <si>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</si>
  <si>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</si>
  <si>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</si>
  <si>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</si>
  <si>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</si>
  <si>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</si>
  <si>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</si>
  <si>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</si>
  <si>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</si>
  <si>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</si>
  <si>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</si>
  <si>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</si>
  <si>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</si>
  <si>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</si>
  <si>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</si>
  <si>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</si>
  <si>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</si>
  <si>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</si>
  <si>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</si>
  <si>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</si>
  <si>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</si>
  <si>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</si>
  <si>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</si>
  <si>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</si>
  <si>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</si>
  <si>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</si>
  <si>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</si>
  <si>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</si>
  <si>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</si>
  <si>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</si>
  <si>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</si>
  <si>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</si>
  <si>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</si>
  <si>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</si>
  <si>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</si>
  <si>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</si>
  <si>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</si>
  <si>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</si>
  <si>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</si>
  <si>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</si>
  <si>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</si>
  <si>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</si>
  <si>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</si>
  <si>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</si>
  <si>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</si>
  <si>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</si>
  <si>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</si>
  <si>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</si>
  <si>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</si>
  <si>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</si>
  <si>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</si>
  <si>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</si>
  <si>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</si>
  <si>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</si>
  <si>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</si>
  <si>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</si>
  <si>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</si>
  <si>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</si>
  <si>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</si>
  <si>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</si>
  <si>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</si>
  <si>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</si>
  <si>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</si>
  <si>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</si>
  <si>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</si>
  <si>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</si>
  <si>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</si>
  <si>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</si>
  <si>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</si>
  <si>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</si>
  <si>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</si>
  <si>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</si>
  <si>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</si>
  <si>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</si>
  <si>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</si>
  <si>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</si>
  <si>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</si>
  <si>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</si>
  <si>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</si>
  <si>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</si>
  <si>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</si>
  <si>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</si>
  <si>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</si>
  <si>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</si>
  <si>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</si>
  <si>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</si>
  <si>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</si>
  <si>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</si>
  <si>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</si>
  <si>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</si>
  <si>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</si>
  <si>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</si>
  <si>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</si>
  <si>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</si>
  <si>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Kodiak Gas Services, Inc.</t>
  </si>
  <si>
    <t xml:space="preserve">Abbott Laboratories</t>
  </si>
  <si>
    <t xml:space="preserve">Medical Devices</t>
  </si>
  <si>
    <t xml:space="preserve">SLB N.V.</t>
  </si>
  <si>
    <t xml:space="preserve">Veeva Systems Inc.</t>
  </si>
  <si>
    <t xml:space="preserve">Health Information Services</t>
  </si>
  <si>
    <t xml:space="preserve">Part 4 Entry Rules (6-11, 14). Rules 6-8 pull from the Scoring tab; Rules 12-13 pull from the Implied-Return Calculator; Rules 9-10-11-14 are entered here. Keep this tab's row order matching Scoring/Dashboard/Implied-Return Calculator for the same stock (row 3 = same stock across all four).</t>
  </si>
  <si>
    <t xml:space="preserve">Rule 6
Composite
≥65?</t>
  </si>
  <si>
    <t xml:space="preserve">Rule 7
Tier1
≥3.0?</t>
  </si>
  <si>
    <t xml:space="preserve">Rule 8
No Tier1
=1?</t>
  </si>
  <si>
    <t xml:space="preserve">Rule 9
Above / reclaimed
200-wk MA?
(Y/N)</t>
  </si>
  <si>
    <t xml:space="preserve">Rule 10
Monthly MACD
positive / turning?
(Y/N)</t>
  </si>
  <si>
    <t xml:space="preserve">Staging
Result
(Rules 9-10)</t>
  </si>
  <si>
    <t xml:space="preserve">Rule 11
Binary event
risk present?
(Y/N)</t>
  </si>
  <si>
    <t xml:space="preserve">Risk included
in thesis?
(Y/N)</t>
  </si>
  <si>
    <t xml:space="preserve">Rule 11
Result</t>
  </si>
  <si>
    <t xml:space="preserve">Base Case
&gt;10%?</t>
  </si>
  <si>
    <t xml:space="preserve">Rule 12
Bear Case
≥0%?</t>
  </si>
  <si>
    <t xml:space="preserve">Rule 13
Scenario tags
OK?</t>
  </si>
  <si>
    <t xml:space="preserve">P/FCF
(current)</t>
  </si>
  <si>
    <t xml:space="preserve">Consensus FCF
growth, 2-yr
annualized</t>
  </si>
  <si>
    <t xml:space="preserve">Rule 14
Valuation
Ceiling</t>
  </si>
  <si>
    <t xml:space="preserve">ENTRY
AUTHORIZED?</t>
  </si>
  <si>
    <t xml:space="preserve">Recommended Action</t>
  </si>
  <si>
    <t xml:space="preserve">Market Data -- Claude-populated via yfinance (landry.data_auto.market_snapshot), refreshed each Saturday by `python -m landry weekly`,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</si>
  <si>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</si>
  <si>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</si>
  <si>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</si>
  <si>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</si>
  <si>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</si>
  <si>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</si>
  <si>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</si>
  <si>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</si>
  <si>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</si>
  <si>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</si>
  <si>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</si>
  <si>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</si>
  <si>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</si>
  <si>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</si>
  <si>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</si>
  <si>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</si>
  <si>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</si>
  <si>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</si>
  <si>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</si>
  <si>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</si>
  <si>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</si>
  <si>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</si>
  <si>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</si>
  <si>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</si>
  <si>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</si>
  <si>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</si>
  <si>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</si>
  <si>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38, Part 7). Covers stocks and held ETFs together. Recalculate quarterly.</t>
  </si>
  <si>
    <t xml:space="preserve">Positions exceeding cap (correlated &gt;0.70 with 2+ other holdings):</t>
  </si>
  <si>
    <t xml:space="preserve">Rule 38 status (no position may exceed 0.70 with more than one other holding):</t>
  </si>
  <si>
    <t xml:space="preserve">Positions &gt;0.70 with</t>
  </si>
  <si>
    <t xml:space="preserve">Portfolio-level drawdown tracking (Part 7, Rules 38-39).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</si>
  <si>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</si>
  <si>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</si>
  <si>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</si>
  <si>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</si>
  <si>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</si>
  <si>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</si>
  <si>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</si>
  <si>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</si>
  <si>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Corrected 10/4/26 to the 9/30 statements, net of $20,019.99 external withdrawals (Part 7); was 776,662.72 -- see Journal row 81.</t>
  </si>
  <si>
    <t xml:space="preserve">DCA-CATCHUP-2 prerequisite check, 10/7/26 -- see Journal rows 101 and 103. Positions at the 10/6 closes plus real cash (Fidelity per the 3711 history, including the 10/6 SPMO sale proceeds of $4,606.10; Chase core cash per the slate; VMFXX at its 9/30 statement value) = $718,500.33, plus $35,019.99 of net external withdrawals added back (Part 7: 9/9 $16,500, 9/14 $20,000, 9/15 $19.99, 10/2 $15,000, less the $16,500 that entered Chase on 9/8).</t>
  </si>
  <si>
    <t xml:space="preserve">Tracks every holding in Probationary Hold (50-64) or Exit Review (35-49) per Part 6. The 90-day deadline and its consequence are calculated automatically — this tab is what makes Rules 32-36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</si>
  <si>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</si>
  <si>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</si>
  <si>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</si>
  <si>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</si>
  <si>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</si>
  <si>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</si>
  <si>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</si>
  <si>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</si>
  <si>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</si>
  <si>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</si>
  <si>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Trims Taken
(0-3, Rule 34)</t>
  </si>
  <si>
    <t xml:space="preserve">Exit Review</t>
  </si>
  <si>
    <t xml:space="preserve">Exit Review under Rule 3 (FCF Yield &amp; Trend and FCF Margin Trend both 2 at the 9/13/26 held-position re-score; applied as written 10/4/26, Journal row 89). DECISION (Alan, 10/5/26): no remediation plan, and the 30 days count from the 10/4 confirmation, so SELL BY 11/3/26 (not 10/13); his reason for the later date: Fidelity's charts look very strong. Re-checked 10/5 on trailing-12-month windows to the latest 10-Q (Journal row 92): still 2/2 (after-comp FCF $282M, 5.2% margin, yield 0.1%), so nothing changes the classification, and no new filing arrives before 11/3 (Q3 is expected 11/30). Lots: JT ULTRA/Fidelity 40 sh and Chase 45 sh -- choose by Part 8 (Rule 42) and confirm with the broker. No additions. Rule 34 (Early Partial Trim) covers Probationary Hold only; Trims Taken stays 0. ENTRY DATE re-dated 10/4/26 (was 9/13, the re-score) so the 30-day clock reads from the confirmation, as decided 10/5; the score and its date stay 9/13. Journal: CRWD-ENTRY-DATE.</t>
  </si>
  <si>
    <t xml:space="preserve">Standardized Implied-Return Methodology (Rule 12, Part 4): Expected annualized return = [(Year-5 equity value + cumulative distributions) ÷ current equity value]^(1/5) − 1. Run Base, Bear, and Bull cases together (Rule 13) — exactly one gets the Likely tag.</t>
  </si>
  <si>
    <t xml:space="preserve">BASE CASE</t>
  </si>
  <si>
    <t xml:space="preserve">BEAR CASE</t>
  </si>
  <si>
    <t xml:space="preserve">BULL CASE</t>
  </si>
  <si>
    <t xml:space="preserve">RULE 12 / 13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</si>
  <si>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</si>
  <si>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</si>
  <si>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</si>
  <si>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</si>
  <si>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</si>
  <si>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</si>
  <si>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</si>
  <si>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</si>
  <si>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</si>
  <si>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</si>
  <si>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</si>
  <si>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</si>
  <si>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22-31).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</si>
  <si>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22-26) — flags if declined 2 consecutive periods</t>
  </si>
  <si>
    <t xml:space="preserve">VALUATION / SIZING TRIGGERS (Rules 27-31)</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</si>
  <si>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</si>
  <si>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</si>
  <si>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</si>
  <si>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</si>
  <si>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</si>
  <si>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</si>
  <si>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</si>
  <si>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</si>
  <si>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</si>
  <si>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</si>
  <si>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</si>
  <si>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</si>
  <si>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</si>
  <si>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</si>
  <si>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</si>
  <si>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</si>
  <si>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</si>
  <si>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</si>
  <si>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</si>
  <si>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</si>
  <si>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</si>
  <si>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position, per Part 9 -- one row per purchase lot, held and sold (avoids the exit-only selection bias the System was built to prevent). Basis = System: the System's own purchases, with their real entry date, price, score, confidence, band and SPY at entry; only these feed the Rule-46 cohort review once 10+ entries in a decision band reach five years. Basis = Baseline: everything already held at the 8/5/26 first snapshot -- legacy stocks, the dry-powder ETFs, cash and money-market funds, the shares of ADBE / VRTX / PLD held before the System added to them, and the names sold 8/7/26 -- is measured as if held since the 8/5/26 close, against SPY's 8/5/26 close (a common baseline, not Alan's cost basis); Entry Score, Confidence and Band stay blank rather than guess. Type Stock / ETF / Cash: the ETFs and cash funds are Current Positions' Cash / Cash Equivalents (light-green Ticker, dark-green text) and are left out of every Subtotal. Shares follow Current Positions (a baseline lot = the ticker's quantity there less its System lots; the audit compares that with the 8/5 share count typed in Lot Shares, so a purchase not added as a System lot is flagged); Current Price follows Market Data; SPY is written by the weekly run. Price return only. The summary's by-source section splits the ledger into System lots only, Legacy stocks, Dry-powder ETFs and Cash (held + sold, each against SPY over its own period); the four add up to the Cumulative TOTAL, so the System's own record is on the tab without any trade to tidy it. (Agreed with Alan 2026-08-26; all holdings, lots, the 8/5 baseline, the summary and its by-source split 2026-10-05.)</t>
  </si>
  <si>
    <t xml:space="preserve">Entry
Date</t>
  </si>
  <si>
    <t xml:space="preserve">Entry
Price</t>
  </si>
  <si>
    <t xml:space="preserve">Entry
Confidence</t>
  </si>
  <si>
    <t xml:space="preserve">Entry
Decision Band</t>
  </si>
  <si>
    <t xml:space="preserve">SPY Price
at Entry</t>
  </si>
  <si>
    <t xml:space="preserve">Status
(Held / Exited)</t>
  </si>
  <si>
    <t xml:space="preserve">Exit
Date</t>
  </si>
  <si>
    <t xml:space="preserve">Exit
Price</t>
  </si>
  <si>
    <t xml:space="preserve">Exit
Reason</t>
  </si>
  <si>
    <t xml:space="preserve">Current /
Exit Price</t>
  </si>
  <si>
    <t xml:space="preserve">SPY Price
(current / exit)</t>
  </si>
  <si>
    <t xml:space="preserve">Total Return
Since Entry</t>
  </si>
  <si>
    <t xml:space="preserve">SPY Return
Same Period</t>
  </si>
  <si>
    <t xml:space="preserve">Excess
Return</t>
  </si>
  <si>
    <t xml:space="preserve">Type</t>
  </si>
  <si>
    <t xml:space="preserve">Basis</t>
  </si>
  <si>
    <t xml:space="preserve">Lot
Shares</t>
  </si>
  <si>
    <t xml:space="preserve">Shares</t>
  </si>
  <si>
    <t xml:space="preserve">Entry
Value</t>
  </si>
  <si>
    <t xml:space="preserve">Current /
Exit Value</t>
  </si>
  <si>
    <t xml:space="preserve">Gain /
(Loss)</t>
  </si>
  <si>
    <t xml:space="preserve">YTD Base
Price</t>
  </si>
  <si>
    <t xml:space="preserve">YTD Base
Value</t>
  </si>
  <si>
    <t xml:space="preserve">YTD Gain /
(Loss)</t>
  </si>
  <si>
    <t xml:space="preserve">YTD
Return</t>
  </si>
  <si>
    <t xml:space="preserve">SPY Gain
(same $)</t>
  </si>
  <si>
    <t xml:space="preserve">Strong Buy</t>
  </si>
  <si>
    <t xml:space="preserve">Held</t>
  </si>
  <si>
    <t xml:space="preserve">Stock</t>
  </si>
  <si>
    <t xml:space="preserve">System</t>
  </si>
  <si>
    <t xml:space="preserve">Buy</t>
  </si>
  <si>
    <t xml:space="preserve">Vertex (9/8 add)</t>
  </si>
  <si>
    <t xml:space="preserve">Adobe (pre-System)</t>
  </si>
  <si>
    <t xml:space="preserve">Baseline</t>
  </si>
  <si>
    <t xml:space="preserve">Vertex (pre-System)</t>
  </si>
  <si>
    <t xml:space="preserve">Prologis (pre-System)</t>
  </si>
  <si>
    <t xml:space="preserve">Avantis US Small Value</t>
  </si>
  <si>
    <t xml:space="preserve">ETF</t>
  </si>
  <si>
    <t xml:space="preserve">iShares Select Dividend</t>
  </si>
  <si>
    <t xml:space="preserve">JPMorgan Hedged Equity</t>
  </si>
  <si>
    <t xml:space="preserve">JPMorgan Equity Premium</t>
  </si>
  <si>
    <t xml:space="preserve">JPMorgan Nasdaq Equity</t>
  </si>
  <si>
    <t xml:space="preserve">NEOS MLP &amp; Energy Inc.</t>
  </si>
  <si>
    <t xml:space="preserve">Schwab US Dividend ETF</t>
  </si>
  <si>
    <t xml:space="preserve">S&amp;P 500 Momentum ETF</t>
  </si>
  <si>
    <t xml:space="preserve">VictoryShares FCF ETF</t>
  </si>
  <si>
    <t xml:space="preserve">Vanguard High Dividend</t>
  </si>
  <si>
    <t xml:space="preserve">Fidelity MM Premium</t>
  </si>
  <si>
    <t xml:space="preserve">Fidelity Core Money Mkt</t>
  </si>
  <si>
    <t xml:space="preserve">Exited</t>
  </si>
  <si>
    <t xml:space="preserve">Fund emptied at the 10/1 settlement of the 9/30 GE / NFLX buys (Fidelity history)</t>
  </si>
  <si>
    <t xml:space="preserve">Schwab Cash Features</t>
  </si>
  <si>
    <t xml:space="preserve">Vanguard Fed Money Mkt</t>
  </si>
  <si>
    <t xml:space="preserve">Pacer US Cash Cows ETF</t>
  </si>
  <si>
    <t xml:space="preserve">Consolidated into AVUV</t>
  </si>
  <si>
    <t xml:space="preserve">Rule 3 Avoid</t>
  </si>
  <si>
    <t xml:space="preserve">Rule 3 Avoid (2nd pass)</t>
  </si>
  <si>
    <t xml:space="preserve">Vanguard Info Tech ETF</t>
  </si>
  <si>
    <t xml:space="preserve">Worst correlation offender</t>
  </si>
  <si>
    <t xml:space="preserve">Sold at Fidelity to fund DCA-CATCHUP-2 (draw from SPMO first)</t>
  </si>
  <si>
    <t xml:space="preserve">Performance summary</t>
  </si>
  <si>
    <t xml:space="preserve">Basis ($)</t>
  </si>
  <si>
    <t xml:space="preserve">Value ($)</t>
  </si>
  <si>
    <t xml:space="preserve">Gain/(Loss) ($)</t>
  </si>
  <si>
    <t xml:space="preserve">Return</t>
  </si>
  <si>
    <t xml:space="preserve">SPY</t>
  </si>
  <si>
    <t xml:space="preserve">Excess</t>
  </si>
  <si>
    <t xml:space="preserve">How it is measured</t>
  </si>
  <si>
    <t xml:space="preserve">Subtotal</t>
  </si>
  <si>
    <t xml:space="preserve">stocks held now -- not the cash &amp; cash equivalents (green); each lot from its entry (8/5/26 close for baseline lots); SPY = the same dollars in SPY over each lot's own period</t>
  </si>
  <si>
    <t xml:space="preserve">TOTAL</t>
  </si>
  <si>
    <t xml:space="preserve">every position held now, cash &amp; cash equivalents included; Value ties to Current Positions' combined total</t>
  </si>
  <si>
    <t xml:space="preserve">YTD Subtotal</t>
  </si>
  <si>
    <t xml:space="preserve">stocks, held + sold; from the 12/31/25 close (System lots from their entry); SPY 12/31/25 -&gt; now</t>
  </si>
  <si>
    <t xml:space="preserve">YTD TOTAL</t>
  </si>
  <si>
    <t xml:space="preserve">every position, held + sold; Value includes the proceeds of the sold names</t>
  </si>
  <si>
    <t xml:space="preserve">Cumulative Subtotal</t>
  </si>
  <si>
    <t xml:space="preserve">stocks, held + sold, since inception 8/5/26 (System lots from their entry); SPY 8/5/26 -&gt; now</t>
  </si>
  <si>
    <t xml:space="preserve">Cumulative TOTAL (since inception 8/5)</t>
  </si>
  <si>
    <t xml:space="preserve">every position, held + sold; price return only -- no dividends, interest or cash flows</t>
  </si>
  <si>
    <t xml:space="preserve">Avg Annual Gain/(Loss)</t>
  </si>
  <si>
    <t xml:space="preserve">Cumulative TOTAL / years since 8/5/26, simple not compounded -- extrapolated from under a year, not a forecast</t>
  </si>
  <si>
    <t xml:space="preserve">By source (since 8/5; held + sold)</t>
  </si>
  <si>
    <t xml:space="preserve">System lots only (from entry)</t>
  </si>
  <si>
    <t xml:space="preserve">the System's own purchases (Basis = System), held + sold, from each entry date; SPY = the same dollars in SPY over each lot's own period</t>
  </si>
  <si>
    <t xml:space="preserve">Legacy stocks (from the 8/5 close)</t>
  </si>
  <si>
    <t xml:space="preserve">Basis = Baseline, stocks: held at the 8/5/26 snapshot (pre-System shares of ADBE / VRTX / PLD included) and sold 8/7/26; same SPY measure</t>
  </si>
  <si>
    <t xml:space="preserve">Dry-powder ETFs (from the 8/5 close)</t>
  </si>
  <si>
    <t xml:space="preserve">Basis = Baseline, ETFs: held at the 8/5/26 snapshot (and any sold since); same SPY measure</t>
  </si>
  <si>
    <t xml:space="preserve">Cash &amp; money funds</t>
  </si>
  <si>
    <t xml:space="preserve">Basis = Baseline, cash: money-market and sweep funds at $1.00 -- price return 0%, interest not captured</t>
  </si>
  <si>
    <t xml:space="preserve">All sources (= Cumulative TOTAL)</t>
  </si>
  <si>
    <t xml:space="preserve">Benchmark &amp; dates</t>
  </si>
  <si>
    <t xml:space="preserve">Prices as of</t>
  </si>
  <si>
    <t xml:space="preserve">written by `landry weekly` (the last close it saw)</t>
  </si>
  <si>
    <t xml:space="preserve">SPY current</t>
  </si>
  <si>
    <t xml:space="preserve">written by `landry weekly`</t>
  </si>
  <si>
    <t xml:space="preserve">SPY close at inception (8/5/26)</t>
  </si>
  <si>
    <t xml:space="preserve">typed; every baseline lot's SPY at Entry</t>
  </si>
  <si>
    <t xml:space="preserve">SPY close 12/31/25</t>
  </si>
  <si>
    <t xml:space="preserve">typed; the YTD benchmark's start</t>
  </si>
  <si>
    <t xml:space="preserve">Inception date</t>
  </si>
  <si>
    <t xml:space="preserve">typed; the first Current Positions snapshot</t>
  </si>
  <si>
    <t xml:space="preserve">Total Return Since Entry is a simple price return (excludes dividends unless you fold them into Current/Exit Price manually). At each annual review, snapshot the return here rather than trying to back-calculate historical 1/3/5-year prices Excel doesn't have. Current prices read Market Data and SPY is written by the weekly run, so both refresh every Saturday; sold lots keep their sale price; cash and money-market funds are carried at $1.00 (price return 0%, interest not captured). The summary lines are holdings-based -- today's shares measured from each lot's baseline -- so realized trades, deposits and withdrawals and the timing of post-8/5 purchases are not reflected; the Drawdown Log is the portfolio-value record. Add a position with landry.perf_tab.add_lot.</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</si>
  <si>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</si>
  <si>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</si>
  <si>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</si>
  <si>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</si>
  <si>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</si>
  <si>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</si>
  <si>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</si>
  <si>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</si>
  <si>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</si>
  <si>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</si>
  <si>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</si>
  <si>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</si>
  <si>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</si>
  <si>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</si>
  <si>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</si>
  <si>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</si>
  <si>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</si>
  <si>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</si>
  <si>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</si>
  <si>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</si>
  <si>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</si>
  <si>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</si>
  <si>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</si>
  <si>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</si>
  <si>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</si>
  <si>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</si>
  <si>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</si>
  <si>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</si>
  <si>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</si>
  <si>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</si>
  <si>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</si>
  <si>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</si>
  <si>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</si>
  <si>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</si>
  <si>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</si>
  <si>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</si>
  <si>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</si>
  <si>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</si>
  <si>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</si>
  <si>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</si>
  <si>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</si>
  <si>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</si>
  <si>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</si>
  <si>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</si>
  <si>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</si>
  <si>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</si>
  <si>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</si>
  <si>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</si>
  <si>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</si>
  <si>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</si>
  <si>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</si>
  <si>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</si>
  <si>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</si>
  <si>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</si>
  <si>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</si>
  <si>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</si>
  <si>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</si>
  <si>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</si>
  <si>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</si>
  <si>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</si>
  <si>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</si>
  <si>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</si>
  <si>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</si>
  <si>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</si>
  <si>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</si>
  <si>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</si>
  <si>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</si>
  <si>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</si>
  <si>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</si>
  <si>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</si>
  <si>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</si>
  <si>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</si>
  <si>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</si>
  <si>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</si>
  <si>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</si>
  <si>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</si>
  <si>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</si>
  <si>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</si>
  <si>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</si>
  <si>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</si>
  <si>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</si>
  <si>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</si>
  <si>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</si>
  <si>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</si>
  <si>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</si>
  <si>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</si>
  <si>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V,SCORING-VERIFICATION-AUDIT</t>
  </si>
  <si>
    <t xml:space="preserve">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</si>
  <si>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 xml:space="preserve">NVDA,SPMO-SEQUENCING</t>
  </si>
  <si>
    <t xml:space="preserve">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</si>
  <si>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 xml:space="preserve">VRTX,ANET,KLAC,CRWD,ADBE,PLD,PLTR,AVGO,ASML,TSM,VRT,MU</t>
  </si>
  <si>
    <t xml:space="preserve">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</si>
  <si>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 xml:space="preserve">RULE-33-EARLY-PARTIAL-TRIM</t>
  </si>
  <si>
    <t xml:space="preserve">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</si>
  <si>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 xml:space="preserve">PYPL,XRAY,GXO</t>
  </si>
  <si>
    <t xml:space="preserve">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</si>
  <si>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 xml:space="preserve">ABT,SLB,CCI,SCORING-EXPORT-BUGS</t>
  </si>
  <si>
    <t xml:space="preserve">Continued the Darryl-list screening round (2nd batch of 3 after PYPL/XRAY/GXO): one from each of the most underrepresented sectors -- Real Estate (CCI), Healthcare (ABT), Energy (SLB). SLB and ABT both cleared the Tier 1 floor and went through full research to Composite. CCI's headline Revenue Growth Consistency (-15.2% CAGR) turned out to be a mix of a deliberate fiber/small-cell divestiture (closed May 2026, $8.4B to Zayo/Arium) AND genuine unresolved litigation -- DISH allegedly defaulted on tower lease payments, Crown Castle terminated and is suing for over $3.5B, DISH counters with a force majeure claim already through an appeals court. A tower REIT's whole thesis depends on durable, visible lease revenue; this is live, unresolved uncertainty on exactly that, not an artifact more research would resolve. Rejected rather than scored further.
SLB: Moat=4 (undisputed #1 in oilfield services, $35.9B revenue ~$14B ahead of Halliburton; Delfi/Lumi digital platforms, ~30% share in drilling equipment; Digital segment ARR &gt;$1B, +15% YoY, 21% margin -- highest-margin segment in the company). Revenue Visibility=3 (capex-cycle-driven core, partially offset by growing Digital ARR and offshore backlogs). Management Quality=4 (3.5% dividend increase for 2026, &gt;$4B targeted shareholder returns, stable CEO tenure since 2019). Result: Composite 72.4, BUY. Scoring row 50.
ABT: Moat=5 (FreeStyle Libre ~40% global CGM share, $5.3B+ annual sales, 6M+ users -- genuine recurring consumables model with real switching costs; June 2026 Dexcom cross-licensing settlement removed a real patent-litigation overhang for a decade; diversified across 4 segments, 60% international revenue). Revenue Visibility=4 (recurring consumables plus diversification). Management Quality=5 (Dividend King, 54 consecutive years of increases, ~60% FCF payout ratio leaving real room, clearly articulated capital priorities). Note: raw Rev Growth Consistency score (2) is mechanically correct but driven by a 2023 COVID-testing-revenue rolloff inside the 3-year CAGR/CV window -- recent quarters (2025-2026) show clean, steady growth ($10.36B-&gt;$11.14B-&gt;$11.37B-&gt;$11.46B-&gt;$11.16B); left the raw score as computed rather than override it, flagged for context. Result: Composite 70.8, BUY. Scoring row 49.
Alan asked to validate/verify everything into and out of the Scoring tab while placing these two new tickers -- turned up four real, previously-unknown or unfixed bugs, not just the two new scores:
(1) landry/export.py's new-ticker placement logic treated the Scoring tab's SUBTOTAL ticker-count footer as if it were a real ticker (its column-A value is a bare number under data_only=True, but the formula TEXT ITSELF -- still a string -- under data_only=False, which export_workbook must use to avoid wiping every other formula in the workbook on save). This corrupted where ABT got placed (row 63, past the footer, no Company name) and silently dropped SLB entirely -- a second, independent bug in the same block only ever allowed exactly one new ticker to be appended per export call. Both fixed: excluded non-string AND formula-text values from the row-detection scan, and let the free-row counter increment per new ticker instead of capping at one.
(2) A genuine openpyxl gotcha cost real time diagnosing this: ws.cell(row=r, column=c, value=None) does NOT clear an existing cell -- the constructor only assigns a value when one is truthy/not-None, so this call is a silent no-op on a cell that already has content. Every 'clear' attempt using this pattern did nothing; the fix is explicit attribute assignment (cell = ws.cell(row, column); cell.value = None).
(3) landry/xlsx_io.py's read_scoring_tab (used by both `landry pending`/scoring and export.py's own import_scores) had NO max_row bound at all on main and only checked bare truthiness of column A -- meaning it was ALSO silently reading the SUBTOTAL footer as a real 49th ticker (literally named after whatever the current visible count was) on every single call, this whole session and presumably long before it. This is the third occurrence of the unbounded-reader-treats-a-footer-as-data bug class in this codebase's history -- CLAUDE.md already documented a max_row=60 fix for this exact function, but it was made on the abandoned db-migration-prep branch and never ported to main. Fixed properly this time with a content-based guard (exclude non-string values) rather than a hardcoded row bound, so it can't go stale as the tab grows the way a magic-number bound already has three times.
(4) Dashboard's row-by-row mirror formulas (=IF(Scoring!A47="","",Scoring!A47) pattern) only extended through Scoring row 47 (NFLX) -- KGS (added 9/11, row 48) was ALREADY invisible on Dashboard before today, and ABT/SLB would have been too. Extended Dashboard's mirror rows through Scoring row 50, moved its note and SUBTOTAL footer down to match, extended DashboardTable's Table ref (A1:J46-&gt;A1:J49, caught by `landry audit`'s table_ref check), and corrected Schema Reference's now-stale Dashboard row-range entry (also caught by audit). Verified rows 47-49 aren't accidentally row-hidden (unlike the 19 Rule-3-Avoid rows that are deliberately hidden elsewhere on that tab).
Full pytest suite run twice during this process: same 4 pre-existing, unrelated stale-test failures throughout, plus one NEW expected failure (test_import_seeds_store_and_reproduces_composite hardcodes NVDA's Composite as 93.2, its value before today's legitimate rescore to 89.2 -- test drift from real work, not a bug). None of the four fixes above caused any new failure. `landry audit` clean at the usual 2-pre-existing-plus-scoring-verification-baseline throughout, confirming CANDIDATES LIST.xlsx and the workbook itself both correctly reflect ABT/SLB/CCI's outcomes.</t>
  </si>
  <si>
    <t xml:space="preserve">DCA-CATCHUP-1-PREP</t>
  </si>
  <si>
    <t xml:space="preserve">Alan back from travel, ran the DCA-CATCHUP-1 prerequisite checklist a day early (due 9/30, he wanted to get ahead of it). Environment note: system Python was blocked by an unaccepted Xcode license (likely an OS/Xcode update during his travel-prep device refresh) -- fixed with a dedicated venv (/Users/Alan/.venvs/stock_picker), no action needed from Alan. See CLAUDE.md.
REAL CORRECTION: the '$1.55M portfolio, ETF sleeve = 21.7%' figures quoted to Alan on 9/13 (during the still-paused ETF-sleeve design conversation) were wrong -- an ad hoc inline script summed Current Positions market values without excluding zero-quantity legacy rows, landing at exactly double the real figure. Confirmed via the actual landry.xlsx_io.total_portfolio_value() library function: true total is $776,662.72, consistent with $751,223 on 9/7 plus Tranche 2's ~$26K and normal drift. The 10-ETF sleeve ($337,606) is therefore ~43.5% of the portfolio, not 21.7% -- a materially different starting point whenever the ETF-sleeve conversation resumes. Also found: Current Positions' own Price column can't be refreshed by this tooling at all (depends on an Excel-only STOCKHISTORY formula) -- Market Data (yfinance-refreshed) is the reliable source going forward. Both logged in CLAUDE.md.
Prerequisite checklist results: portfolio at a new high (~$777K vs $751K prior peak) -&gt; Drawdown regime Normal, full tranche proceeds. S&amp;P 500 -1.64% from ATH -&gt; baseline tier, no acceleration multiplier. Target stays $40,000-$50,000 per DCA-CATCHUP-PLAN-2.
NEW finding: landry refresh's Rule 36 cluster check flagged AVUV/DVY/SCHD/VFLO/VYM (5 of the 10 ETFs) at 20.76% aggregate exposure, over the docx's own 20% cluster cap (pairwise correlations 0.73-0.89 -- DVY/SCHD/VYM are the tightest at 0.86-0.89, essentially redundant large-cap dividend funds; AVUV/VFLO are more loosely tied at 0.73-0.79). Per the rule's own text this is a risk-review trigger requiring documentation of the shared risk driver (a common Value-factor tilt) and written approval to continue above 20%, not an automatic forced sale. Not yet resolved -- tied to the still-paused ETF-sleeve conversation. Logged as Open Items #13.
Diversifier headroom check: Alan's own read is that VRTX, PLD, AND ADBE (all three of the usual diversifier trio) have shown significant weakness over the past few weeks. Confirmed for VRTX via a fresh (unapproved) draft peek: FCF Yield and FCF Margin both now drafting lower (contracting on both), a real change from the 9/13 recheck -- PLD and ADBE not independently re-verified today, only Alan's observation. Given this, pulled the full field of qualified (Composite&gt;=65), not-yet-held candidates instead: GE (84.2, STRONG BUY) and NFLX (83.8, STRONG BUY) both re-verified fresh today with ZERO Tier 1 drift since 9/13 (genuinely stable), clean correlation (max 0.61 and 0.41 respectively, both vs SPMO), and zero current sector exposure (Industrials, Communication Services) -- COST (77.4) was available but its 8/11 score predates the pipeline maturity that caused ~70% of that same batch to fail on recheck, so not trusted without a fresh look; SLB/ABT (72.4, 70.8) are solid but lower-tier than GE/NFLX.
DECISION: split the tranche half-and-half between GE (~60-75sh at $334.91) and NFLX (~260-325sh at $76.77), roughly $20-25K each. Funding: SPMO first per the standing 9/13 sequencing decision (covers roughly half-to-two-thirds on its own, $26,491 combined); for the remainder, suggested drawing from DVY/SCHD/VYM specifically (the most redundant sub-cluster) as a way to also chip into the 20.76% cluster-cap breach above -- not yet confirmed by Alan, his call when he executes. Alan will execute at the broker 9/30 and report back actual fills for recording.
Not yet done, flagged for follow-up: a formal (approved, not just drafted) recheck of PLD and ADBE to match VRTX's fresh data point; VRTX/PLD/ADBE weren't touched beyond the one VRTX peek. See Open Items.</t>
  </si>
  <si>
    <t xml:space="preserve">PROCESS-CHECKLIST-FRESH-CHECK-STEP</t>
  </si>
  <si>
    <t xml:space="preserve">Agreed with Alan: starting with DCA-CATCHUP-2 (10/7, not retroactive to -1 which is already past prep), add a standing prep step -- before finalizing a tranche's buy target(s), run a fresh landry draft Tier 1 reread for every candidate under consideration, not just the usual diversifier names, and deprioritize anything showing new price-trend weakness or a stale (30+ day, or pre-8/18/26) Date Scored. Directly prompted by today's DCA-CATCHUP-1 prep (see row 62): VRTX/PLD/ADBE, the default trio, had all weakened since 9/13 with nothing flagging it, while GE/NFLX turned out stronger on a fresh check. Alan's own note: this kind of staleness tracking is exactly the sort of thing a real database would do more systematically -- not a request to resume DB migration work (still paused per Alan's standing instruction), just an observation for whenever that resumes.
Rebuilt Process Checklist to add this as a new step on DCA-CATCHUP-2 through -8 (each now 10 steps, was 9) -- DCA-CATCHUP-1 unchanged at 9. No Done=Y rows existed anywhere in the tab, so a full rebuild was safe (no completion data at risk). Schema Reference's row-range note updated to match (A4:F106, was A4:F99).</t>
  </si>
  <si>
    <t xml:space="preserve">DCA-CATCHUP-1 executed. GE (GE Aerospace) opened new, 75sh @ $314.71 ($23,603.25, JT ULTRA/Fidelity). NFLX (Netflix) opened new, 300sh @ $69.795 ($20,938.50, JT ULTRA/Fidelity). Total tranche $44,541.75, within the $40,000-$50,000 target (see DCA-CATCHUP-PLAN-2, 9/11/26) -- both names entered per the 9/29/26 prep decision (Composite 84.2 and 83.8, both STRONG BUY, both reconfirmed with zero Tier 1 drift on fresh data after VRTX/PLD/ADBE -- the usual diversifier trio -- all showed unflagged weakness). Both fill prices came in below the 9/29 estimate (GE $334.91-&gt;$314.71, NFLX $76.77-&gt;$69.795), a real ~6-9% overnight/next-day decline in both names, not a data error -- more shares bought for the same dollar target as a result. Recorded in Current Positions (rows 22-23, JT ULTRA block extended from 19 to 21 positions -- required inserting 2 rows and fixing every dependent subtotal/percentage formula across both the JT ULTRA and Chase blocks, since the block boundaries shifted; verified with a full self-reference scan after, one narrow collision caught and fixed where a row's old position number happened to equal the Chase block's own start boundary), Performance Tracking (new rows 7-8), and Monitor &amp; Recheck Triggers (Category Watch List -&gt; Owned for both). Funding: drawn from Fidelity cash, not an ETF sale -- FZFXX fully drained ($23, a residual balance) plus $44,518.75 from FZDXX ($137,296.09 -&gt; $92,777.34), covering the $44,541.75 tranche exactly. Portfolio total unchanged at $776,662.72 (a pure cash-to-equity reallocation) -- logged in Portfolio Drawdown Log row 5, still a new high vs. the $751,223 prior peak, regime Normal.</t>
  </si>
  <si>
    <t xml:space="preserve">VRTX,PLD,ADBE</t>
  </si>
  <si>
    <t xml:space="preserve">Fresh Tier 1 reconfirmation on VRTX/PLD/ADBE, following Alan's 9/29 observation that all three showed recent price-trend weakness. Result: zero drift on any of the three since the 9/13 recheck -- VRTX stays 3.14/66.6 BUY, PLD stays 3.93/76 BUY (still only revenue_growth_consistency auto-draftable, REIT limitation), ADBE stays 4.57/85.8 STRONG BUY. All reconfirmed and re-dated 9/30/26.
The actual picture is more specific than uniform weakness: ADBE is the real divergence case -- fundamentals unchanged across two checks now, but relative strength vs SPY has gotten worse (-30.1% on 9/13 -&gt; -35.6% now) and technicals are bearish. VRTX and PLD don't show much weakness on this fresh look at all -- VRTX's relative strength actually improved (+9.1%, bullish technicals), PLD is only mildly negative (-7.9%) with bullish technicals. Both are sitting at the lower BUY tier they already dropped to on 9/13, not declining further.</t>
  </si>
  <si>
    <t xml:space="preserve">Deep dive into ADBE's Moat Quality (currently 4/M) at Alan's request, prompted by the 9/30 reconfirmation finding zero Tier 1 drift alongside worsening relative strength (-35.6% vs SPY) -- "everything looks good, but it continues deteriorating; something we're not picking up." Research found a genuine leading-vs-trailing divergence: trailing financials (FCF Yield, Revenue Growth, Margin -- all Tier 1) still strong, but net-new-ARR is decelerating and RPO has declined sequentially, both leading indicators Tier 1's trailing-statement metrics can't see. Underlying narrative: competitive share pressure from Canva/Figma's freemium tier. Walked the system's own Moat Quality rubric (Part 2/3 -- 2-of-4 evidence gate for a 4/5 score: pricing power above CPI w/o volume loss, gross margin vs. industry median [confidence-tag only, doesn't count toward the gate], customer retention/switching-cost evidence, 3yr+ market share trend) together with Alan: only 1 of 3 substantive tests held up clearly, suggesting a possible drop to 3.
Alan's countervailing read: "nothing firsthand -- more a Wall Street narrative getting ahead of the real-world usage picture," and asked for a live chart read (Fidelity, authenticated, via Claude in Chrome) as a second data point. Chart (6-month daily) showed: price rolled over hard from ~$280-290 highs to an intraday low of $231.95 today before bouncing +3.11% to $240.34; Performance Index vs. SPY has run persistently negative for nearly the entire 6-month window (only a brief green patch near the highs that faded before the breakdown) -- a sustained-underperformance signature more consistent with a real repricing than a single-headline overreaction; MACD confirms a clean bearish crossover as price peaked in late August, bottoming most negative ~9/8-9/14 (Alan's own read, confirmed on zoom), now curling back up alongside today's bounce -- real dive, genuine but very early turn.
Decision (Alan's call): HOLD Moat Quality at 4/M -- no change. One day's bounce and an early MACD curl aren't evidence the system should act on absent something more concrete, and technicals can't independently adjudicate whether the ARR/RPO concern is real deterioration or overdone narrative -- they only confirm the market has genuinely committed to the move, not why. Flagged as an open watch item (Open Items #14) tied specifically to ADBE's next earnings report -- the first point real ARR/RPO data (not price action) would confirm or reverse the leading-indicator concern. Alan: stick with the time-tested rules/process absent genuine new evidence, "in spite of a little heartburn now and then."</t>
  </si>
  <si>
    <t xml:space="preserve">New standing practice: Fidelity info-tab scan added to Process Checklist, prompted by the ADBE Moat Quality deep-dive (row 66) and Open Items #14. For held positions under quarterly review or fundamental refresh (QTR-REVIEW-1/2, FUND-REFRESH-1/2), and for buy candidates during DCA tranche prep (DCA-CATCHUP-2 through -8, paired with the existing fresh-Tier-1-reread step), scan Fidelity's Overview, Dividends &amp; Earnings, Analyst Ratings, and Statistics/Comparisons tabs (via Claude in Chrome, Alan's authenticated session) -- confirmed earnings date, valuation-vs-industry (P/E, EPS growth), analyst sentiment split, multi-period price performance. This surfaces real context the yfinance-backed Tier 1 pipeline doesn't: on ADBE specifically it showed a P/E at roughly 1/4 the software industry average, EPS growth meaningfully lagging peers, a genuinely split (not uniformly bearish) analyst panel, and a multi-year price decline (-53% 2yr, -58% 5yr) -- none of which the existing pipeline would have caught.
DCA-CATCHUP-1 deliberately excluded (already executed/closed 9/30/26, same precedent as the 9/29 fresh-check-step addition skipping -1). Alan's explicit call: scope of application (which events, which tickers) is still being proven out over the next use or two -- default inclusive rather than narrow in the meantime, on the assumption the scan only adds/verifies signal rather than costing more than it's worth. Revisit the exact trigger list (e.g. whether to extend to Watch List Tracker entries specifically, or narrow back down) once there's a real pattern from 2-3 more uses.</t>
  </si>
  <si>
    <t xml:space="preserve">Built a dedicated Fidelity chart template, 'Landry_System_v1', set as the account default and favorited -- complements the info-tab scan practice logged above (row 67). Contains exactly 5 indicators: Volume, Supertrend (7,3), Time Fcst (14,C), Perf Idx (120,SPY), and MACD (12,26,9) -- built from Fidelity's own 'KEY INDICATORS_1' default plus MACD/Time Forecast (Alan's own regular picks) and Perf Idx vs SPY (proved genuinely useful in the ADBE Moat Quality read, row 66), with the more obscure/lower-value ones (W Acc Dist, Acc Swing, HHV, Darvas, PSY) dropped. Now loads automatically whenever a chart is pulled up in Fidelity, rather than the prior undifferentiated 'whatever Fidelity defaults to.'
Tried to automate the indicator cleanup via Claude in Chrome and hit real, repeated UI instability on this specific chart widget -- coordinate- and even element-reference-based clicks intermittently landed on the wrong target or triggered stray navigation (harmless -- menu opens, no trades/submissions -- but a real risk on a live account), most likely tied to the page's live/streaming quote re-rendering between actions. Stopped rather than keep guessing at a live account, and Alan completed the actual toggle-off + delete (two-step: toggle off, then the X becomes live) himself. Verified the final state directly afterward: exactly the 5 target indicators present and on, all 5 unwanted ones fully removed, template confirmed as both default (loads on fresh navigation) and favorited (starred in the saved-templates list).</t>
  </si>
  <si>
    <t xml:space="preserve">UNH,ACN</t>
  </si>
  <si>
    <t xml:space="preserve">Screened UNH and ACN off Darryl's list (2 this round, not the usual 3 -- explicitly to exercise the new Fidelity info-tab scan practice, added earlier today, on live cases). Both diverged sharply from their quant screen in opposite directions -- a good test of exactly what the new practice is for.
UNH: quant screen ~3.33 (no severe outlier, clears the floor). Fidelity scan surfaced a genuinely Bearish Equity Summary Score (1.5/10) and active litigation -- a judge denied in part UnitedHealth's motion to dismiss a CalPERS suit the same day. TTM EPS -32.67% vs industry +8.94% (real trailing decline), though the most recent single quarter beat and grew faster than industry (+61.5% vs +51.1%) -- a possible stabilization signal. None of the litigation or sentiment context would have shown up in the quant draft. Alan's call: flag to score further only after the situation settles -- not a floor-failure rejection like XRAY/GXO/CCI, just paused pending a clearer CalPERS resolution or the 10/13/26 Q3 print. Logged as Open Items #15.
ACN: quant screen ~2.875 (marginal, dragged down almost entirely by relative_strength=1, -34.7% blended vs SPY; otherwise fine -- fcf_yield 4, valuation 4 discount). Fidelity scan shows the opposite sentiment: Very Bullish Equity Summary Score (9.4/10), positive news flow, P/E ~40% of the IT-services industry average. GAAP EPS (TTM) and P/E both show '--', likely a large one-time charge distorting GAAP net income (adjusted quarterly EPS looks normal, consistent beats). Reports Q4 earnings 10/1/26 -- the very next trading day. Alan's call: hold open, no score or further screening until after that print. Logged as Open Items #16.
CANDIDATES LIST.xlsx Screen_Candidates tab updated for both (Status: 'Watch - Pending Litigation' for UNH, 'Watch - Pending Earnings' for ACN, both new status values -- no data validation on that column, confirmed before using them).</t>
  </si>
  <si>
    <t xml:space="preserve">SPOT,PFE,UPS</t>
  </si>
  <si>
    <t xml:space="preserve">Screened SPOT, PFE, and UPS off Darryl's list (last 3 before wrapping up for the day). Mixed outcome:
SPOT: quant screen ~3.67, strong across the board (FCF margin expanding, ROIC 44.6% vs WACC 11.1%, cheap valuation) with one severe outlier -- relative_strength=1, -29.7% blended vs SPY -- the same fundamentals-vs-price-action divergence pattern as ACN/ADBE/UNH this session. Ran the Fidelity scan on it specifically given that pattern. Unlike the other three, it reinforced the quant read rather than undercutting it: Bullish 7.2/10 consensus, zero Sell ratings across 6 firms, Evercore ISI raised its target to $700 on 9/29, short interest declining. The price weakness reads as giving back part of a large multi-year run (+32% 2yr, +121% 5yr) after a Q2 EPS miss, not a structural problem -- a genuinely different shape than ADBE's multi-year decline. Cleared to Ready for Tier 1 (full Tier 1-3 scoring is a separate pass).
PFE and UPS: both decisive floor failures, same territory as GXO. PFE has two indicators at the literal floor -- negative revenue CAGR (-14.8%) and ROIC actually below its own cost of capital (value-destroying, not just low). UPS also has two at the floor -- negative revenue CAGR (-4.0%) and broadly negative technicals across the board. Both rejected; neither warranted a Fidelity scan given how concrete and fundamental (not data-quality-artifact) the problems are.
CANDIDATES LIST.xlsx Screen_Candidates tab updated for all three. 17 Darryl names remain unscreened (20 before this round, minus these 3), plus UNH and ACN still sitting at Watch status from earlier today.</t>
  </si>
  <si>
    <t xml:space="preserve">NFLX deep-dive (prompted by Alan noticing a substantial decline the day after purchase, 9/30-&gt;10/1) and the new Hard Rule it produced.
Verified nothing was actually missed: relative_strength was explicitly scored 1 (the literal floor) and approved by Alan on 9/13, rationale on record as 'blended vs SPY -43.6% (6mo -34.8%, 12mo -52.4%)'. The Fidelity chart (Landry_System_v1 template) confirmed it -- Supertrend bearish for most of the past 6 months, MACD rolling into a fresh bearish crossover right at the purchase window. Today's specific move has a real catalyst too: Netflix's own CEO said on record that growth is 'not good enough' (same morning Guggenheim reaffirmed Buy, raised target to $80). Equity Summary Score Neutral (6/10), not bearish. Position down $409.50 (-1.96%) so far -- real but modest.
The actual gap: Rules 1-4 (Part 3) only ever scan the five Tier 1 columns. Relative Strength is Tier 2 (3% composite weight) -- a literal 1 there cannot trigger any existing hard rule and cannot meaningfully move an 83.8 Composite built on five Tier 1 scores of 4-5. Checked the actual docx text (not just the implementation-plan summary): Rules 1-4 are explicitly, deliberately Tier-1-scoped by their own wording, not a bug -- so this needed a genuinely new Hard Rule, not a formula tweak to an existing one, per Part 9's Change Control process.
Added Rule 5 (Part 3), Technical/Momentum Floor Review: any Relative Strength or Technical Trend indicator scored at 1 requires mandatory qualitative review before relying on a Buy/Strong Buy classification, new entry or existing holding alike. Scoped to just these two indicators (not all Tier 2/3) -- Valuation Multiples also showed literal-1 scores in the same dry-run (MU, ANET, CRWD, COST) but that's already governed by the existing Implied-Return Bear Case &gt;=0% gate, so including it would duplicate an existing safeguard rather than close a real gap. Dry-run also flagged ADBE (STRONG BUY, held) and ABT (BUY) for the same reason as NFLX.
Docx version bump: LANDRY_SYSTEM_v1-02_FINAL.docx -&gt; LANDRY_SYSTEM_v1-04_FINAL.docx (v1.04, 51 Hard Rules; v1.03 had been the current content version since 9/13 but the filename itself was never updated off v1-02 -- fixed in the same pass, per Alan noticing the drift). Rendered to PDF and verified visually, not just via the XML validator.
Significant side effect, found only by rendering: Hard Rule numbering is a single global auto-incrementing field spanning the whole docx. Inserting the new rule into Part 3 auto-numbered it as Rule 5, cascading every later rule's number by +1 -- Early Partial Trim 33-&gt;34, Correlation Cap 36-&gt;38, Portfolio Drawdown Response 37-&gt;39, Entry Checklist's Rules 5-13-&gt;6-14. Also surfaced that this exact problem already existed, unfixed, since Rule 33's own insertion on 9/13 -- the workbook's Instructions/Action Items quick-reference cheat sheet had been silently citing stale Rule 36/37 for weeks. Full sweep done this pass: the docx itself (Index + RULE REFERENCE section), and ~30 live workbook cells across Instructions, Action Items, Price History, Watch List Tracker, Entry Checklist (9 column headers), Correlation Matrix, Implied-Return Calculator, Process Checklist (8 rows), Open Items, and Schema Reference. Old historical Journal entries citing a rule by the number it had at the time they were written were deliberately left alone, same aging principle as everything else in this tab. Also fixed three long-stale LANDRY_SYSTEM_v1-01_final.docx filename references (README.md, LANDRY_IMPLEMENTATION_PLAN.md, landry/__init__.py) that predated even the v1-02 rename and had never been caught.
Alan raised, not yet decided: recalibrating to a decimal sub-rule scheme (e.g. Rule 2.1, 2.2) for new rules that elaborate an existing one, specifically to avoid this cascade recurring. Tonight's rule stays on plain integer numbering; the scheme question is deferred to its own discussion.</t>
  </si>
  <si>
    <t xml:space="preserve">Resumed the db-migration-prep re-validation (per the 9/30 plan: re-run python -m landry.migrate_to_db against main's current workbook before any other DB design work). Found a real, consequential data bug, not just a migration-script issue.
Price History had two rows both dated 9/4/26 -- row 158 (correct) and row 163. Row 163's ADBE/ANET/ASML matched row 158 exactly (stale carry-forward), but from AVGO onward the values looked column-shifted relative to row 158 (e.g. row 163's AVUV value equaled row 158's CRWD value), not a second legitimate week of data. Alan's read: almost certainly a leftover artifact from the original 3-year historical price migration he did by hand, possibly mis-corrected at some point since -- exact mechanism not reconstructable, not worth chasing further.
This wasn't inert: Returns (Calc) row 162 actively computes off Price History rows 162-&gt;163 (confirmed by reading the live formula), feeding into Correlation Matrix and the Rule 38 compliance check. Fixed expediently per Alan's direction -- cleared row 163's cells entirely rather than trying to reconstruct what it 'should' have been. Zero formula rewrites needed: Returns (Calc)'s formulas already wrap every Price History reference in ISNUMBER checks, so a blank row 163 correctly computes as blank rather than erroring, and the tab's own week-count footer (Price History!A165, =COUNT(A3:A163)) self-corrected from 161 to 160 with no manual fix -- already matching Schema Reference's existing 'Rows 3-162' documentation, which (unusually for this project) was already correct and didn't need updating.
Also fixed the code-level bug this surfaced: landry/xlsx_io.py's read_price_history (db-migration-prep branch) had no row bound at all and choked on the tab's 'NN Weeks' footer row -- the fifth occurrence of the same unbounded-reader-treats-a-footer-as-data class already hit in read_market_data, read_performance_tracking, read_entry_checklist, read_monitor_notes, and read_scoring_tab. Fixed with a content-based guard (real rows have a datetime in col A; the footer has a bare int) rather than a hardcoded max_row, consistent with how the others were fixed for real. Full migration re-run clean afterward: 48 tickers, 3,190 price_history rows, matches expectations.
DB sequencing decision (C-only vs. minimal-B) and Turso provisioning are still open -- this pass was explicitly just the re-validation step, not the cutover conversation.</t>
  </si>
  <si>
    <t xml:space="preserve">AZN,OKE,INTU</t>
  </si>
  <si>
    <t xml:space="preserve">Screened AZN, OKE, and INTU off Darryl's list to close out the day (17 remaining before this round, 14 after).
OKE: clean Rule 3 auto-Avoid -- two Tier 1 indicators at 2.0 (revenue growth consistency, inconsistent despite a decent headline CAGR; FCF margin trend, genuinely contracting). A real, rule-driven floor failure, same territory as GXO/PFE/UPS. No Fidelity scan needed.
AZN and INTU both triggered the new Rule 5 (Technical/Momentum Floor Review, added yesterday) -- the first live candidates to hit it since it was created, not a held position or an existing score like ADBE/NFLX. AZN: relative_strength=1 (-29.0% blended vs SPY) against otherwise solid fundamentals. INTU: relative_strength=1 AND technical_trend=1 simultaneously -- the first candidate to trip both Rule 5 indicators at once -- against genuinely excellent fundamentals (FCF yield 5, FCF margin 5, valuation 5, ROIC 5).
Pulled the Fidelity review for both, but the session logged out partway through (not a caching glitch this time -- a real session expiry) and wasn't re-authenticated, since that's Alan's login, not something to do unprompted. Equity Summary Score and Analyst Ratings weren't available for either as a result; price history, news, and earnings dates still were.
What that did surface: AZN's weakness looks genuinely milder on inspection -- still up +5.48% absolute over 1yr, badly lagging SPY rather than collapsing outright, with the real decline concentrated in the last two quarters (-16.83% 3mo, -20.04% 6mo) alongside a real sector headwind (weight-loss-drug competition heating up) and at least one offsetting positive analyst take (UBS on the Summit Therapeutics deal). INTU is a different order of concern entirely -- not a recent pullback, a sustained multi-year decline (YTD -57.31%, 1yr -58.59%, 2yr -54.46%, 5yr -47.59%), sitting just above its 52-week low against a high nearly 2.5x the current price, with a P/E of only 16.71 despite the pristine quant scores. The most severe fundamentals-vs-price divergence found all engagement -- more alarming than ADBE, NFLX, ACN, or SPOT, and explicitly not cleared the way SPOT was. Both held at Watch pending a fuller review once full Fidelity access is back. CANDIDATES LIST.xlsx Screen_Candidates updated for all three; Open Items #17 (AZN) and #18 (INTU) opened.</t>
  </si>
  <si>
    <t xml:space="preserve">AZN,INTU</t>
  </si>
  <si>
    <t xml:space="preserve">Follow-up to row 73: Alan logged back in (Fidelity's own 15-min post-close idle logout, not a bug) -- completed the AZN/INTU reviews that were partial.
AZN: confirmed it simply has no Equity Summary Score / analyst coverage on Fidelity at all -- not a gap from the earlier logout, a real absence of coverage for this ticker. Nothing changes from the partial read; held at Watch.
INTU: Equity Summary Score is a decisive Bearish 1.6/10, not neutral -- individual firms split 2 Sell/3 Neutral/3 Buy but the aggregate is clearly bearish. This confirms rather than just leaves unexplained the severe multi-year price divergence already found -- professional sentiment agreeing with the price action is materially stronger signal than price action alone. Still held at Watch, not escalated to anything firmer -- per Rule 5's own text this is a review requirement, not an automatic reclassification, so whether this should move beyond Watch is explicitly a call for Alan, not decided here. CANDIDATES LIST.xlsx updated for both.</t>
  </si>
  <si>
    <t xml:space="preserve">CANDIDATE-SCREENING-PRIORITY</t>
  </si>
  <si>
    <t xml:space="preserve">Standing policy for OPEN candidate screening (Alan, 10/2/26), replacing a simple sequence down the candidates list.
(1) Fill open spots first: choose the sector to screen next by how well it fills gaps in the portfolio -- sectors with little or no overlap with current holdings -- using the Sector Cap Headroom column already on CANDIDATES LIST.xlsx's Screen_Candidates tab (25% cap minus the sector's current weight), not list order.
(2) Sector search priority: before an open screen, first examine which sectors have delivered greater gains than the S&amp;P 500 (SPX) over roughly the last 30 years, and weight search effort toward them -- spend less time on sectors that are less inclined to beat the S&amp;P.
Exception: Darryl-list candidates are not subject to this and continue to be worked as before.
Not yet built: the 30-year sector-vs-SPX ranking (Open Items #19). Treat that ranking as a search-priority weighting only, not a sector verdict -- the Tier 1 gates and Hard Rules still decide every individual name.</t>
  </si>
  <si>
    <t xml:space="preserve">Observation (Alan, 10/2/26): NFLX bounced back up and turned positive just before the 10/1 close, after the post-purchase dip that prompted the Rule 5 work (row 71). The position (300 shares, bought 9/30) was held throughout: Rule 5 is a review requirement, not an exit trigger, and a price decline alone stays governed by Hold Through. Alan's read: the rules keep working as designed. First live Rule 5 case, so one data point only -- calibrate any change to the rule from a multi-case pattern, not from this one.</t>
  </si>
  <si>
    <t xml:space="preserve">DB-PHASE-C-SWITCH-ON</t>
  </si>
  <si>
    <t xml:space="preserve">Switched on (Alan, 10/2/26): the Journal and the Portfolio Drawdown Log are now generated from landry.db (LANDRY_DATABASE_DESIGN.md, Phase C steps 1-3). Entries for these two tabs are written ONLY with `python -m landry journal add|edit` and `drawdown add|edit` -- never by editing the tab. Each write refuses if Excel has the workbook open or if the database and the tab disagree (`python -m landry db status`; resolve with `db pull` when the workbook is right, `db regenerate` when the database is). Until Turso the committed workbook stays the source of truth and landry.db is a local, rebuildable cache.
This entry was the first write. Regenerating normalized the existing Journal rows: column-B wrap is on for every row and row heights are re-fit, so the compact one-line view on rows 54-74 is gone. The Drawdown Log's formulas, including the Part 7 band thresholds, now live in landry/generate.py -- change them there, not in the sheet. Every other tab is unchanged and is still edited directly.
Validated before switching on: a dry run on a scratch copy of the live workbook changed exactly the cells written (19 of 21 sheets identical, print setup identical on all 21) and the audit baseline did not move.</t>
  </si>
  <si>
    <t xml:space="preserve">BSX,MIR,SUNB</t>
  </si>
  <si>
    <t xml:space="preserve">Screened BSX, MIR, and SUNB off Darryl's list (14 remaining before this round, 11 after). Quant drafts first (pending in landry_scores.json, none approved), then the Fidelity info-tab scan on all three and a web check on why BSX and MIR fell. Dispositions were Claude's recommendation; Alan, shown the findings, asked for the write to go ahead and changed none of them.
BSX (Healthcare): quant-only Tier 1 ~4.33 (revenue CAGR 16.5%, FCF margin 15.5% and expanding, FCF yield 5.0%; max correlation +0.33 vs NFLX) but relative_strength=1 (-59.6% vs SPY) AND technical_trend=1 -- the second candidate after INTU to trip both Rule 5 indicators, and the first where the review found a concrete fundamental cause, not sentiment alone: U.S. electrophysiology stalled (+3% in Q2 vs +23% intl; Medtronic Sphere-9 taking share), Watchman stand-alone procedures fell low-teens after new clinical evidence, FY26 organic growth guide cut to 5-6% ('limited adjusted EPS growth in 2027'), and an 8/25/26 cyber incident disrupted manufacturing and shipping, after which Q3/FY26 guidance was reportedly pulled (hit unquantified). Secondary sources only (Yahoo Finance, TIKR, Motley Fool); Fidelity lists 8-Ks dated 8/26, 9/8 and 9/23, none read yet. Offsetting: Equity Summary Score Bullish 7.5/10 (mixed panel, not INTU's decisive 1.6), P/E 17.5 vs industry 39.8 (own 5-yr avg 64.9), TTM EPS +47% vs +10.5%, short interest 3.2%. Disposition: Watch - Pending Earnings -- Revenue Visibility can't be scored while guidance is withdrawn, so no judgment-indicator work until the 10/28/26 print (confirmed). Open Items #21.
MIR: quant-only ~3.44 (thin) with relative_strength=1 (-47.0% vs SPY, Rule 5) and roic_vs_wacc=1 (2.5% vs 9.7%). Fidelity confirms the weak price: independent-firm Equity Summary Score Bearish 1.4-1.6/10 against a 91% buy-equivalent sell-side; TTM EPS $0.10, last-quarter EPS growth 0.00% vs industry +86.5%; 1-yr -38% vs industry +63%; short interest 16.9% and rising. Growth is acquisition-led, ~$20M net insider selling. Rejected. SUNB: quant-only ~3.11, marginal (revenue flat $10.86B -&gt; $10.79B -&gt; $11.15B over FY24-26); Rule 5 couldn't be evaluated (NYSE-listed only since 3/2/26, ~150 price rows); Fidelity shows no sell-side coverage, a fair valuation (P/E 22.6 vs 23.5) and in-line EPS growth. Rejected; re-screen only if wanted after ~52 weeks of U.S. history (~Mar 2027) or via the AHT.L UK listing (GBP -- FX distorts relative strength).
CANDIDATES LIST.xlsx Screen_Candidates updated for all three; tab 2 rank/colors left for Alan. The quant drafts stay pending in landry_scores.json -- nothing approved or added to the Scoring tab.</t>
  </si>
  <si>
    <t xml:space="preserve">BAX,SWK,QXO,COLD,BE,SMR,CBRS,UBER,NTRA,VEEV,ICLR</t>
  </si>
  <si>
    <t xml:space="preserve">Finished the Darryl list: screened the last 11 names (BAX, SWK, QXO, COLD, BE, SMR, CBRS, UBER, NTRA, VEEV, ICLR) in one session. Quant drafts first (pending in landry_scores.json); Fidelity scan only for names clearing the floor. Dispositions approved by Alan 10/2 -- he downgraded ICLR from Ready to Rejected and decided UBER's sector. No Darryl names remain 'Needs Initial Screen'.
Tool bug found and fixed on the way: VEEV's draft silently lacked FCF yield, FCF margin and valuation (its yfinance cash-flow statement has a reported Free Cash Flow row but no Capital Expenditure row, and nothing warned). Now derives capex as CFO minus reported FCF, warns when no FCF series exists, and `landry draft` prints the warnings; 3 tests. Only PLD (a REIT) had the same gap among 46 scored tickers.
Rejected (8): BAX (Rule 3, three Tier 1 at 2, ~2.00); SWK (Rules 2+3, revenue CAGR -3.7%, ~2.56); QXO (Rule 3, revenue base reset by an acquisition, RS and trend both 1, ~2.44); COLD (three Tier 1 at 1, ~1.00; REIT with no AFFO adaptation, but revenue shrinking regardless); BE (~2.78, below the floor, FCF negative, RS +140% is momentum not fundamentals); SMR (pre-revenue, Rule 3, ~1.56); CBRS (~3.11 marginal, FCF margin -87%, no price history so Rule 5 untestable); ICLR (~3.89 only on a 6.1% FCF yield: revenue CAGR 2.1%, ROIC 3.3% vs 9.5% WACC, GAAP EPS -94%, a 60% Jan-Feb 2026 drop two-thirds retraced -- Alan: too weak).
Watch - Pending Earnings (2): UBER (~4.33, but relative_strength=1 at -33.9% vs SPY triggers Rule 5; Fidelity score Neutral, not bearish; robotaxi and driver-wage-litigation narrative; Q3 11/2). Alan ruled it counts as Industrials, not the Technology yfinance assigns, so headroom is +23.8% instead of -0.9%; if ever scored, set the Scoring tab's sector by hand. Open Items #22. NTRA (~3.44, +154% in a year, but independent-firm score Bearish 1.5, normalized FCF -$278M after SBC, no valuation anchor -- the INTU pattern; Q3 11/4). Open Items #23.
Ready for Tier 1 (1): VEEV (~4.22, no Rule 5 trigger, Fidelity score Bullish 8.2 with no bears, EPS growth ahead of industry; +0.51 correlation with ADBE despite the Healthcare bucket). Alan OK'd full Part 12 research. CANDIDATES LIST.xlsx updated for all 11, UBER's Sector/Industry corrected; tab 2 is Alan's. Darryl list totals: 33 Rejected, 15 Ready for Tier 1, 6 Watch - Pending Earnings, 1 Watch - Pending Litigation.</t>
  </si>
  <si>
    <t xml:space="preserve">VEEV fully scored (Part 12), the last Darryl name cleared for it: Composite 81.6, STRONG BUY, all hard rules OK. Judgment scores approved by Alan 10/2: Moat 4/M, Revenue Visibility 5/M, Management 4/M, plus the nine quant drafts (the three FCF-based ones carry an adaptation note: capex derived, since VEEV's statement has no capex row). Rationales with sources are in landry_scores.json.
Evidence in brief: subscription is 82.6% of Q2 FY27 revenue and 84.0% of FY26 (over the 80% line for a 5, narrowly); 12 of the top-20 biopharmas committed to Vault CRM, gross margin 75.5% and rising, top-10 customers a steady 28% of revenue; against that, Salesforce's competing life-sciences CRM has signed Novartis, AstraZeneca, Takeda, Pfizer and Chiesi, and management's own CRM share claim is 'over 70%'. Management: founder-CEO, no cash bonus, dual-class collapsed, independent chair, first buybacks ($170M FY26, $473M in H1 FY27), no named successor.
Alan leans conservative on Moat (3 -&gt; 78.6, BUY) and approved 4 on the explicit basis that it is re-evaluated at the purchase decision. The cross-check rule (2 of 4 evidenced) is only met if gross margin counts, which the rubric labels support-only; retention and pricing power aren't disclosed. STRONG BUY is knife-edge: it needs both Moat 4 and Visibility 5, and any single downgrade makes it BUY (all variants still clear the 65 entry floor). Open Items #24.
Mechanics: Scoring row 51 (pre-built formulas; company/sector/industry filled by hand, sector Healthcare per the candidates sheet), Dashboard mirror row 50, DashboardTable A1:J50, and the Dashboard colour rules carried from row 46 to row 50 (they had stopped at 46, so KGS/NFLX/ABT/SLB were uncoloured). Written with a VEEV-only call to export_workbook rather than `landry export --scores`, which would have re-stamped every approved ticker's Date Scored, rewritten other rows from the store, and overwritten Market Data from the 9/29 snapshot. The audit's bulk_import check was tightened to also require an empty or duplicated rationale (VEEV's three same-second manual approvals each have their own text and tripped the timestamp-only version; V's identical 'BACKFILLED' notes still flag). CANDIDATES LIST.xlsx updated.</t>
  </si>
  <si>
    <t xml:space="preserve">QTR-REVIEW-1,STATEMENTS</t>
  </si>
  <si>
    <t xml:space="preserve">Q3 month-end statements (9/30/26) reconciled against the workbook -- QTR-REVIEW-1 step 1. Fidelity X64-063711 $406,372.50 + Chase 735-43693 $315,412.66 = $721,785.16; the workbook and the 9/30 Drawdown Log entry said $776,662.72 (+$54,877.56).
Positions and cost basis: every share count and every cost basis matched the statements exactly (fractional-share rounding aside) -- no missing trades. The whole gap was cash and prices. Fidelity cash was never reduced for September's outflows ($36,519.99 of withdrawals, $18,448.63 of Visa buys, less income): the workbook carried $92.8K of FZDXX against $83.9K on the statement, which itself still held the $44,541.75 that paid for GE/NFLX (bought 9/30, settled 10/1, so not on the statement). Chase's sweep was $8,995.82 low (the 9/8 $16,500 deposit net of the VRTX buy). Prices were $10.4K stale against the 9/30 closes.
Why it mattered: the wrong 9/30 value had become the running peak in the Drawdown Log and would have overstated every later drawdown.
Decision (Alan, 10/4): Drawdown Log 9/30 = $741,557.65 = statements $721,785.16 - $247.50 (GE/NFLX closed 9/30 below their fills, unsettled) + $20,019.99 net external withdrawals added back, because Part 7 measures drawdown net of external deposits and withdrawals. External: $36,500 EFT'd from Fidelity to Chase bank ****7447 (9/9 $16,500, 9/14 $20,000) plus $19.99 PayPal; the $16,500 that came into Chase brokerage on 9/8 (ACH from the same bank) nets against them. Alan confirmed 7447 is outside the System. Result: -1.3% from the 9/4 peak of $751,223.12, regime Normal (the raw statement basis would have been -3.9%, also Normal). Whether the 8/11 and 9/4 entries handled flows the same way cannot be told from these two statements -- the August ones would be needed.
Current Positions: FZDXX 92,777.34 -&gt; 38,154.18, FZFXX 0 -&gt; 1,174.01, QACDS 1,853.89 -&gt; 10,849.71, cash cost basis set equal to value (also clears the understated combined unrealized G/L noted 10/2: now $59,880). Prices left as the workbook's own, so the combined total reads $732,209.39, about $10.4K above the statements until Excel refreshes them. QTR-REVIEW-1 step 1 ticked; steps 2-4 still wait on the Price History week-close update.</t>
  </si>
  <si>
    <t xml:space="preserve">PRICE-HISTORY-REPAIR</t>
  </si>
  <si>
    <t xml:space="preserve">Price History repaired and made one-command. Alan asked for the most efficient way to record week-end closes; looking at the tab showed it was itself broken.
Found: (1) the 10/2 row held interim prices up to 9% off the real Friday closes (KLAC +9.4%, VFLO -6.9%, ASML +5.4%). (2) Around 10/1, `landry export`'s Price History block -- which writes only the first 16 tickers alphabetically -- had rewritten the header: SPMO and V each appeared twice, VRT/VRTX/HELO lost their columns, JEPQ/VFLO and the duplicate SPMO/V columns were left five weeks out of alignment (their correlations with everything read ~0), eight held positions (GE, HELO, JEPI, MLPI, NFLX, VRT, VRTX, VYM) had no column at all, and the 19 charts on Returns (Calc) -- titled by ticker, reading columns by position -- plotted the wrong instruments (the CRWD chart showed AVUV). Rule 38's matrix was partly blind to the ETFs.
Repair: restored the documented layout (B-V = the original 19 tickers, with DVY and SCHD in the two free slots P and U), rebuilt every close from one dividend-adjusted pull (which also replaces the 10/2 row with the true closes), and added VYM, MLPI, JEPI, GE and NFLX at W-AA, extending Returns (Calc) (cols AP-AT, since its W-AO hold the chart trend block) and the Correlation Matrix to 26x26. Verified: Returns (Calc) matches an independent recomputation to 5e-16, all 676 matrix cells match a pandas CORREL, and all 19 charts title the ticker they plot again.
Tooling: new `python -m landry prices status|append|rebuild|add` (landry/prices.py, 24 tests). It appends only completed Fridays; refuses unfinished weeks, moves over 35% and provider gaps; extends Returns (Calc) one row ahead, moves the footer and the charts; never reorders or drops a column. Basis is dividend-adjusted (weekly total returns, per Rule 38): append weekly, `rebuild` each quarter to restate for dividends. `landry export`'s Price History block is retired. New audit check `price_history` (duplicate/missing header tickers, holdings with no column, a blank newest row, chart title vs the column it reads). fetch_daily takes min_bars (MLPI only listed 12/18/25).
Effect on Rule 38: the matrix now reports 11 positions over the 0.70 cap (4 on the broken one): NVDA and AVGO via SPMO/JEPQ (0.73-0.75), the ETF sleeve AVUV/DVY/SCHD/VFLO/VYM plus JEPI and HELO, and KLAC/ASML at 0.77 -- consistent with Open Items #13 and the SPMO-first funding rule, now visible in the workbook. Open Items #25-27. Not done: charts for the 7 tickers added since; the 160-week history exceeds the 36-month cap because the matrix ranges do not roll.</t>
  </si>
  <si>
    <t xml:space="preserve">Follow-up to row 82: the 19 chart trend lines were wrong long before the header was clobbered. Their formulas find Price History's last row with MATCH(9.99E+307, 'Price History'!A:A), but the 'NN Weeks' footer's COUNT in column A is the last number in that column, so they read the footer row: every trend line ran from its first price down to 0 at the end, and ADBE's was an error (the text 'Weeks' sits in the footer's column B). Fixed by finding the last row from Returns (Calc) column A (it has no footer) plus one; all 19 verified to start at the first price and end at the last (HELO starts at 0 only because it listed 9/29/23).
`prices append` copies the trend formulas verbatim -- they are identical in every row, anchored to Price History row 3 -- and translates only the row-relative return and date formulas. A rehearsal of the weekly append on a scratch copy of the live workbook (simulated 10/9 data, LibreOffice recalc) caught it shifting that anchor before it ever touched the real file; the rehearsal also confirmed the footer moves to row 166 with the right count, the charts move down a row, Returns (Calc) stays one row ahead, and the price_history audit stays green.</t>
  </si>
  <si>
    <t xml:space="preserve">WEEKLY-ROUTINE</t>
  </si>
  <si>
    <t xml:space="preserve">WEEKLY-ROUTINE (10/4/26). Alan approved ("yes to both"): Claude runs the Friday-close routine every Saturday, with the Market Data refresh folded in. Follows his "from now on you handle all price updating/tracking after Friday close" and Journal row 82 (the Price History repair and `landry prices`).
WHAT: `python -m landry weekly` -- (1) `prices append` any completed Friday not yet in Price History (Returns (Calc), footer and charts follow); (2) refresh Market Data C:I and the Monitor tab's Next/Last Earnings Date (col J) for every ticker already listed, in place, from yfinance; (3) one LibreOffice recalc; (4) read Rule 38's status back and run `landry audit`. `landry market` is the same minus Price History. Code: landry/market.py, landry/weekly.py, with tests.
WHEN AND HOW: scheduled Claude task landry-weekly-friday-close, Saturdays 8:00 local (the app staggers it to ~8:14); it runs only while the Claude app is open (else on next launch). It refuses to touch the workbook while Excel has it open (reports instead; any later run catches up every missed Friday). It NEVER commits or pushes: a modified workbook on a weekend is its output, committed only when Alan says so.
GUARDS: never adds, removes or reorders rows (what the tabs cover stays Alan's call); never blanks a cell the provider has no figure for (JEPQ/SPMO market caps came from another source); never replaces a future earnings date with a past one; checks each column's header before writing. It flags a quote &gt;3% from the Friday close just appended (weekend runs), a price &gt;30% from the prior entry, and a dividend-yield unit change. Audit findings from scoring_verification (the known provenance backlog: V's bulk import, 25 tickers with no landry_scores.json trail) are reported but do not make a run "need attention" -- this routine never touches Scoring; any other audit failure does.
FIRST RUN (10/4, after the 10/2 close): 36 of 36 tickers refreshed, 163 cells changed (NVDA 227.21 -&gt; 233.95; NFLX 76.77 -&gt; 67.06, a 12.6% fall from the 9/29 figures, matching Price History's 10/2 close). Nine stale earnings dates updated (ADBE -&gt; 12/9, MU -&gt; 12/23, AVGO -&gt; 12/9, COST -&gt; 12/10, NKE -&gt; 12/17, four small revisions). Four stale yields CLEARED -- ETSY 0.54, NFLX 0.79, PLTR 0.70, MLPI 0.47: the provider reports no dividend paid in 12 months for all four, and they had sat unchanged across six commits. `landry export` no longer fills Market Data (its only source, landry_snapshot.json, was five days stale).
NOT DONE (Open Items #28): ABT, SLB and VEEV are in neither Market Data nor Monitor, and KGS is in Monitor only; the Instructions' scope rule puts all four in both. Adding Monitor rows is Table surgery, so it waits for Alan.</t>
  </si>
  <si>
    <t xml:space="preserve">MARKET-DATA-MEMBERSHIP</t>
  </si>
  <si>
    <t xml:space="preserve">MARKET-DATA-MEMBERSHIP (10/4/26). Alan approved adding the four names flagged in Open Items #28 to Market Data: ABT, SLB and VEEV (scored, on the bench) and KGS (Watch List; already in Monitor). They went in at their alphabetical places (the tab is alphabetical, nothing references it by row, and its autofilter A2:I44 already covered the extra rows); company names come from the Scoring tab and the figures were filled by `landry market` from yfinance, so all four now join the Saturday refresh. Market Data is 40 tickers, rows 3-42 (Schema Reference C38 updated). Two other rows moved only because yfinance revised their trailing P/E over the weekend (AVGO 43.8 -&gt; 45.2, VRTX 29.5 -&gt; 29.4).
The audit's reader_bound check caught a stale hardcoded `max_row=38` in xlsx_io.read_market_data the moment the rows went in (the same bound class as the earlier 27 and the Scoring/Price History readers); it now reads every row whose column A holds a ticker-shaped string, with no row bound.
Still open under #28, now Monitor only: ABT, SLB and VEEV have no row in Monitor &amp; Recheck Triggers (its own header says it covers every name that has been scored). It is a Table with array formulas that Current Positions reads by ticker, so adding rows is structural and waits for a deliberate pass with Excel closed and a check in Excel afterwards.</t>
  </si>
  <si>
    <t xml:space="preserve">TEST-REPAIR</t>
  </si>
  <si>
    <t xml:space="preserve">TEST-REPAIR (10/4/26). Alan asked for the six failing tests to be fixed. Four were rot; two turned out to be a real finding.
ROT: test_fresh_cache_not_stale read this machine's real data_cache/ (SPY's meta sidecar says "built from 2020-10-02"), so it failed here and passed on a fresh checkout -- every test in that module now gets an empty cache directory. test_read_positions_from_workbook pinned equities at 25-60% of the portfolio (75% now that the cash is deployed) -- now 0 &lt; share &lt;= 1 plus a summed-across-accounts check, and a synthetic equity_weights test. test_import_seeds_store pinned NVDA's composite at 93.2 (89.2 today) -- now compared with the workbook's own composite. test_read_performance_tab_empty_is_ok read the live tab, which holds six entries now -- now a synthetic empty tab, a synthetic populated row, and structural checks on the live entries. None of the four pins a live workbook value any more.
FINDING (Open Items #29): the other two, the engine-versus-workbook round trip and the web dashboard cross-check, were failing on three HELD positions. Scoring!Decision is a plain composite-to-band lookup and does not apply the Tier 1 gate. AVGO, VRTX and CRWD each have FCF yield and FCF margin scored 2, so their Rule 3 column reads AVOID (Part 3: two or more Tier 1 indicators at 2.0 or below "shall automatically classify the stock as Avoid"), yet Decision reads BUY, BUY and WATCH LIST, while landry.scoring and the dashboard (which flags them as mismatches) say AVOID. Part 6 maps only composite bands to Probationary Hold / Exit Review for holdings, so the rulebook does not say what Rule 3 does to a position already held. The tests now NAME the gap (KNOWN_GATE_BYPASS = AVGO, VRTX, CRWD: their numbers and flags must still agree, and the set must not change) instead of staying red or being loosened; the decision -- fix the formula, amend the rule, or document the exception -- is Alan's.
Also found: both tests assumed every scored row is complete, but the workbook now holds several part-scored candidates; they handle those explicitly now.</t>
  </si>
  <si>
    <t xml:space="preserve">MONITOR-MEMBERSHIP</t>
  </si>
  <si>
    <t xml:space="preserve">MONITOR-MEMBERSHIP (10/4/26). Alan approved adding the three remaining names from Open Items #28 to the Monitor &amp; Recheck Triggers tab ("yes to both"). ABT, SLB and VEEV are now rows 49-51 of MonitorTable (A2:Q51), category Watch List, built from KGS's row (the last one added by hand): Last Score Date is the true scoring date (ABT and SLB 9/13, VEEV 10/2 -- the Scoring tab's Date Scored reads 9/30 for ABT and SLB, the export re-stamp quirk in CLAUDE.md), composite / Tier 1 average / decision come from Scoring, and Price at Last Score is the Friday close on or before that date (ABT 101.95, SLB 56.06, VEEV 273.33). Insider flag: VEEV Y (9/16 sale by its Pres. &amp; Chief Customer Officer, $265,200); ABT and SLB N. Analyst-shift N for all three. Earnings dates came from `landry market`: ABT 10/21, SLB 10/23, VEEV 11/25 -- VEEV's Watch re-look date is 11/18, so check which is right.
Side effects handled in the same pass: the conditional-format and validation ranges had stopped at rows 47 and 42, so KGS was uncoloured and unvalidated -- they now run to row 51; and the 37 Current Positions price lookups that read Monitor A3:A48 / H3:H48 now read to row 51 (the audit's xref_range check flagged them the moment the table grew). The portfolio total is unchanged, the audit is back to its baseline, and Open Items #28 is closed. Adding rows to a Table is the structural edit CLAUDE.md warns about, so the workbook should be opened in Excel once.</t>
  </si>
  <si>
    <t xml:space="preserve">RULE-3-HOLDINGS-CORRECTION</t>
  </si>
  <si>
    <t xml:space="preserve">RULE-3-HOLDINGS-CORRECTION (10/4/26). CORRECTION to Journal row 86 and to what Alan was told before he approved a rulebook clarification: both said the rulebook does not say what Rule 3 does to a position already held. That was wrong. Part 3's decision table gives the Avoid classification an Existing Holding Action -- "Exit Review; sell within 30 days unless a dated 90-day remediation plan is approved" -- and Rule 3 says two or more Tier 1 indicators at 2.0 or below "shall automatically classify the stock as Avoid". Read literally, AVGO, VRTX and CRWD have been in Exit Review since their 9/13 re-score. That also matches the first use of Rule 3 on holdings (8/7: SFM, TSLA and ONON sold), while the 8/12 workflow policy in the Instructions tab says an owned position's Rule 3 trigger is flagged by Claude and the analyst confirms the classification and any remediation decision -- which nobody did on 9/13, because the Scoring tab's Decision column showed Buy, Buy and Watch List and the tests that would have flagged it were written off as stale.
Alan's "yes" was to a v1.05 clarification making Rule 3 a mandatory review (no additions until reviewed; classification follows the composite) on holdings, and it rested on that mistaken premise, so nothing was adopted: a v1.05 draft was built and validated in a scratch folder only, and the engine, dashboard and tests were left as they are (the tests still name the gap, KNOWN_GATE_BYPASS). The decision is back with Alan, in Open Items #29 (rewritten): (A) apply the rule as written -- the three go to the Watch List Tracker as Exit Review and are sold within 30 days (counted from the 9/13 re-score that is 10/13; or from the day Alan confirms the classification) unless he approves a dated 90-day remediation plan for each; or (B) adopt the clarification, a deliberate softening of a Hard Rule. My earlier remark that neither open item had a deadline is superseded: under (A) there may be one.</t>
  </si>
  <si>
    <t xml:space="preserve">RULE-3-HOLDINGS</t>
  </si>
  <si>
    <t xml:space="preserve">RULE-3-HOLDINGS (10/4/26). Alan chose option A on the Rule 3 question (Open Items #29; correction in row 88): "stick with the rules as written, for the reasons they were written." Rule 3 -- two or more Tier 1 indicators at 2.0 or below "shall automatically classify the stock as Avoid" -- now applies to holdings exactly as the rulebook's decision table has it: Avoid on an existing holding is Exit Review, sell within 30 days unless a dated 90-day remediation plan with a credible, documented path is approved. The v1.05 clarification (Rule 3 as a mere review trigger on holdings) was drafted and validated in a scratch folder and is NOT adopted; the rulebook stays at v1.04.
WHAT CHANGED. (1) Scoring!AG (Decision), all 58 formula rows, now applies the gates in landry.scoring.classify's order: Rule 3 first, then the composite band with Rule 1 capping Buy / Strong Buy at Watch List and Rule 4 capping Strong Buy at Buy. landry.scoring.decision_formula is the canonical text; a test pins every row to it and a grid test checks it against classify(), and LibreOffice agrees on all 88 cases. Only three Decision cells moved: AVGO Buy -&gt; Avoid, VRTX Buy -&gt; Avoid, CRWD Watch List -&gt; Avoid. (2) Watch List Tracker: CRWD moves from Probationary Hold to Exit Review (Rule 34's Early Partial Trim covers Probationary Hold only; Trims Taken stays 0), AVGO and VRTX are added as Exit Review, entry date 9/13/26 (the re-score that tripped the rule), Credible Remediation Plan = N, so each reads "NO CREDIBLE PLAN -- SELL WITHIN 30 DAYS" and Action Items E5 counts 3. The tracker's status formula also gained a Rule 3 guard: that formula treats recovery as the composite climbing back to 50, so without it a Rule 3 Exit Review (composite already 50+) would have read RECOVERED the moment a remediation plan was approved; with it a plan reads ON TRACK. (3) New audit check held_positions_tracked: every held scored position classified Watch List, Avoid or Pass must be in the tracker with the matching status -- the check that would have caught this on 9/13. (4) The engine needed no change; the tests are strict again and the KNOWN_GATE_BYPASS set is gone.
THE CLOCK. The 30 days run to 10/13/26 if counted from the 9/13 re-score (what the tracker rows say) or to 11/3/26 if counted from today's confirmation; the rulebook does not say which. Alan to confirm (Open Items #30, due 10/13). No additions to AVGO, VRTX or CRWD meanwhile -- relevant to DCA-CATCHUP-2 on Wed 10/7: Exit Review is a no-add status, and the Entry Checklist now shows FAIL for the three.</t>
  </si>
  <si>
    <t xml:space="preserve">FALLBACK-PRICES</t>
  </si>
  <si>
    <t xml:space="preserve">FALLBACK-PRICES (10/5/26). Alan approved ("yes - update the fallback prices weekly") keeping Current Positions' price fallbacks current. The mechanism: Current Positions!F is =IF(IFERROR(INDEX(Monitor!H...),"")="", &lt;a hardcoded number&gt;, INDEX(...)) -- the live STOCKHISTORY price when real Excel has resolved it, otherwise that number. Python and LibreOffice cannot resolve STOCKHISTORY, so after every tool write F showed the number, which had been typed in weeks earlier; and the ten ETFs have no Monitor row for STOCKHISTORY to live in, so for them F showed the number even inside Excel.
`landry weekly` (and `landry market`, or `landry market --positions-only`, which needs no network) now sets that number, in each held row's formula, to Market Data's price (landry.market.sync_fallbacks). Only the number inside the formula changes. Rows with no shares, cash sweeps (a plain 1), rows with no Market Data price and any formula of an unexpected shape are left alone and reported; a moved column is refused before anything is written; a second run over unchanged prices writes nothing.
FIRST RUN (10/5/26, from the Friday 10/2 closes in Market Data): 32 price formulas across 26 tickers. The ETFs had been stale on the high side -- MLPI 54.63 -&gt; 51.17, VFLO 55.29 -&gt; 51.82, DVY 164.25 -&gt; 153.05, SCHD 34.80 -&gt; 32.72, AVUV 126.93 -&gt; 120.03, VYM 164.23 -&gt; 156.46 (JEPQ and SPMO up about 2%) -- and the sheet's total fell from $738,455 (the Excel-saved file: live stock prices, stale ETF fallbacks) to $726,938, removing an $11.5K overstatement. The Drawdown Log is unaffected: its values are logged from statements. Monitor H and I (STOCKHISTORY) read blank after any tool write and fill when the workbook is opened in Excel, as before. Schema Reference (Current Positions F; Dashboard's now-unhidden rows) updated in the same pass.</t>
  </si>
  <si>
    <t xml:space="preserve">DATE-SCORED,RULE-CITATIONS</t>
  </si>
  <si>
    <t xml:space="preserve">Housekeeping from the DCA-CATCHUP-2 prep (10/5/26), approved by Alan.
(1) Scoring's Date Scored was re-stamped 9/30 for 21 tickers by the export that wrote the ADBE/PLD/VRTX Tier 1 reconfirmation (commit 2c658fa) -- the known `export --scores` global re-stamp, not reverted that day. Only VRTX, PLD and ADBE were actually re-approved on 9/30 (landry_scores.json approved_at); the other 18 (MU, AVGO, PLTR, NVDA, ANET, ASML, CRWD, KLAC, TSM, VRT, V, PG, DPZ, YUM, GE, NFLX, ABT, SLB) were last approved 9/13 and are set back to 9/13. Effect: the 9/30 stamp made 22-day-old scores read as 5 days old to the 30-day staleness step in the DCA prep; nothing else reads the column. CLAUDE.md records the method (compare each row's date with its latest approved_at).
(2) Stale rule numbers corrected by meaning against the v1.04 text: Entry Checklist A1/H2, Action Items A27/A29, Instructions A44, Schema Reference C58, Open Items #4/#24 (Part 4 is Rules 6-14; the implied-return gate is 12-14), Implied-Return Calculator S2 (now RULE 12 / 13 CHECKS), and Process Checklist B7/B21 (the 90-day Watch List deadlines are Rules 32-33, not 34). Journal rows citing old numbers stay as written.
(3) The Monitor note for VEEV no longer says 'Watch - Pending Earnings': CANDIDATES LIST and Journal rows 79-80 have it Ready / fully scored, and Q3 earnings (Fidelity 11/18, unconfirmed; yfinance 11/25) is a re-check point, not a hold-off.
Verified: a formula/constant diff against the pre-edit file shows only these cells; recalc clean; audit 60/62 (the two standing scoring_verification findings); `db status` in sync; 632 tests pass. As with any tool write, the recalc strips Excel's live STOCKHISTORY prices from Monitor columns H/I; they return when Alan opens the file in Excel.</t>
  </si>
  <si>
    <t xml:space="preserve">AVGO,VRTX-RESCORE</t>
  </si>
  <si>
    <t xml:space="preserve">AVGO and VRTX re-scored on the latest 10-Q figures (10/5/26), at Alan's direction (Open Items #30). CRWD is unchanged and still due 10/13.
WHY. The 9/13 scores came from fiscal-year statements, 11 months (AVGO, FY ended 11/2/25) and 9 months (VRTX, FY ended 12/31/25) behind the filings. Fresh drafts reproduced FCF Yield &amp; Trend 2 and FCF Margin Trend 2 for both, and SEC XBRL reproduces them exactly under Part 10's FCF (CFO - capex - stock comp), so they were right on the data they used. The latest 10-Qs show after-comp FCF of $30.9B for AVGO (+60% on FY25) and $3.1B for VRTX (+24%).
METHOD (landry/sec_ttm.py, tests/test_landry_sec_ttm.py; python -m landry.sec_ttm TICKER [--add-back DATE:USD]). Five non-overlapping 12-month windows ending at the newest 10-Q quarter-end (AVGO 8/2/26, VRTX 6/30/26) and its four anniversaries, through the same rubric functions `landry draft` uses. Five because Part 2 says five years where available (the pipeline's four is a yfinance limit); chosen before the results. Only the three Tier 1 quant indicators were refreshed; everything else stays as recorded (the 9/13 policy). VRTX's window ending 6/30/24 has the $4.4B Alpine payment added back: Part 10 adjusts FCF for acquisitions, and the FY24 10-K books it as acquired IPR&amp;D through operating cash flow (net loss that year). Unadjusted, VRTX would score 4/4/4 and 78.6.
RESULT. AVGO: FCF Yield &amp; Trend 2 -&gt; 3 (yield 1.8%, trend expanding +72%), Revenue Growth 3 -&gt; 4 (CAGR 29.5%, CV 0.43), FCF Margin Trend stays 2 (34.7%, but 'contracting' against the 43% windows, -16% on a 10% tolerance). Composite 67.8 -&gt; 74.8, BUY. VRTX: FCF Yield &amp; Trend 2 -&gt; 3 (yield 2.4%, trend stable), Revenue Growth stays 4, FCF Margin Trend stays 2 (24.7% against 36-40% windows). Composite 66.6 -&gt; 70.6, BUY; Tier 1 average 3.43, only 0.43 over the floor. Rule 3 clears for both: one Tier 1 indicator is now above 2. In every variant tried (4 or 5 windows, adjusted or not, overlapping fiscal-year-plus-TTM) FCF Yield &amp; Trend is 3 or more for both; composite ranges AVGO 74.8-83.8, VRTX 67.6-78.6.
BOOKKEEPING. Six approvals in landry_scores.json (quant_draft, approved_by Alan; VRTX with a Part 10 adaptation note); Scoring rows 4 and 7 re-dated 10/5; Monitor columns C-G stamped; both rows removed from the Watch List Tracker (row 89's Exit Review entries for them are closed). CRWD stays: on the same method it is still 2/2 (TTM after-comp FCF $282M, 5.2% margin, yield 0.1%). Whether other holdings get the same refresh: Open Items #31.</t>
  </si>
  <si>
    <t xml:space="preserve">CRWD-SELL-BY,RESCORE-DECISIONS</t>
  </si>
  <si>
    <t xml:space="preserve">Alan's answers on the AVGO / VRTX / CRWD follow-up (10/5/26), after the re-score in row 92.
(1) VRTX: keep the Part 10 adjustment (the $4.4B Alpine payment added back to the window ending 6/30/24). The recorded scores stand: FCF Yield &amp; Trend 3, Revenue Growth 4, FCF Margin Trend 2, composite 70.6 BUY.
(2) CRWD: sell, by 11/3/26. No remediation plan: on the latest-10-Q method it is still 2/2 (trailing after-comp FCF $282M, 5.2% margin, yield 0.1%, stock comp 23% of revenue) and no credible path to 3 exists inside 90 days. The 30 days are counted from the 10/4 confirmation, the later of the two readings in Open Items #30, so the sell-by date is 11/3, not 10/13. Alan's reason for the later date: Fidelity's charts look very strong (up 132% YTD, within 1% of its 52-week high). The rule does not turn on price, but which clock to use is his call. No filing arrives before 11/3 (Q3 is expected 11/30), so there is nothing further to re-score. Position: JT ULTRA/Fidelity 40 sh (cost $124.78, +118%) and Chase 45 sh (cost $157.76, +71%), $22,950 at market and about $10,860 of gain. Part 8 does not extend a fundamental sell's window (Rule 40); lot choice is Rule 42's, and Alan picks the lots and the day inside the window. Tracker row 3 and Open Items #30 now say 11/3.
(3) Open Items #31 (fiscal-year versus latest-10-Q basis): Alan asked for a recommendation. A read-only scan of the 16 held stocks (mechanical, unreviewed) computes 11 (NVDA, GE and PLD hit missing-tag gaps; ASML and TSM file 20-F, so have no 10-Qs). On trailing windows two bands would change, ANET STRONG BUY -&gt; BUY and VRT BUY -&gt; STRONG BUY; no new Rule 3 trips; composites move 3-7 points either way. Recommendation: keep fiscal-year scores as the record; compare against the latest 10-Q for every US-filer holding at each quarterly review and before any rule-forced action; re-score on trailing windows only where the comparison changes a hard-rule outcome or band, in either direction. Awaiting Alan's call.</t>
  </si>
  <si>
    <t xml:space="preserve">OPEN-ITEMS-31,TTM-POLICY</t>
  </si>
  <si>
    <t xml:space="preserve">Alan's "go" on Open Items #31 (10/5/26): the fiscal-year versus latest-10-Q basis is settled as Claude recommended.
POLICY. Fiscal-year scores stay the record (the rulebook's basis; comparable across names and quarters; no Hard Rule change). The latest 10-Q is a second opinion: at each quarterly review, and before acting on any Rule 1 / Rule 3 trip, Watch List or Exit Review deadline or Part 6 sell trigger, every US-filer holding is compared with its trailing 12-month windows. A re-score on trailing windows happens only where a hard-rule outcome or Decision band differs, in either direction, and then with any Part 10 adjustment written down. Why not the standard for everything: it cannot cover every holding (ASML and TSM file 20-Fs), it moves each composite 3-7 points a quarter on knife-edge cliffs, and the rulebook's basis is fiscal years. Why not Rule 3 cases only: it would only ever rescue a name facing a sale and never show a downgrade like ANET's.
BUILT. python -m landry.sec_ttm --holdings (exit 2 on a robust divergence; 25 tests): every held, scored stock's three Tier 1 quant scores against five anniversary windows, with the newest four as a second opinion -- a divergence that shows on one count and not the other is reported as knife-edge, not a trigger. Also: old windows with patchy XBRL tags are dropped (down to four) instead of failing; a warning when EDGAR lists a newer 10-Q than SEC's company facts (Visa's June 10-Q is missing from them); landry_addbacks.json records Part 10 add-backs (VRTX/Alpine $4.4B, approved 10/5) so the check does not re-flag it each quarter. Process Checklist: a step in QTR-REVIEW-1/2 and FUND-REFRESH-1/2; Instructions: a paragraph; CLAUDE.md.
FIRST RUN (11 of 16 holdings computable). Robust divergence: VRT BUY 76.8 -&gt; STRONG BUY 82.8 (after-comp FCF $2.9B over 12 months against $1.2B a year earlier). Knife-edge: ANET STRONG BUY 81.0 -&gt; BUY 78.0 on five windows only (revenue-growth variability 0.3501 against the 0.35 line; unchanged on four). Same: AVGO, VRTX (add-back applied), CRWD, ADBE, NFLX; moved inside a band: MU, PLTR, KLAC, V. By hand: NVDA (capex tags missing before 2023-07), GE (no quarterly stock-comp facts), ASML and TSM (20-F), PLD (REIT). V's SEC facts stop at March 2026. Open Items #32 holds the follow-ups; #31 is Done.</t>
  </si>
  <si>
    <t xml:space="preserve">PERFORMANCE-TRACKING-ALL-POSITIONS</t>
  </si>
  <si>
    <t xml:space="preserve">Performance Tracking now lists every current holding (Alan, 10/5/26: "update the Performance Tracking tab to include all positions. For cash/cash equiv holdings, let's color the Ticker cell light grn/drk grn text").
WHAT CHANGED. 30 rows, one per ticker across both accounts. The six System entries (ADBE, VRTX, PLD, V, GE, NFLX) keep their entry records; only their Current Price and SPY were refreshed to the 10/2/26 close (Market Data / yfinance; ADBE had read $259.32, now $237.69). Then 10 legacy stocks (ANET, ASML, AVGO, CRWD, KLAC, MU, NVDA, PLTR, TSM, VRT), 10 dry-powder ETFs (AVUV, DVY, HELO, JEPI, JEPQ, MLPI, SCHD, SPMO, VFLO, VYM) and 4 cash / money-market funds (FZDXX, FZFXX, QACDS, VMFXX). For those 24: Entry Price = average cost per share across both accounts (Current Positions cost basis / quantity; $1.00 for the cash funds, so their price return reads 0% and interest is not captured); Entry Date, Entry Score, Confidence, Decision Band and SPY at Entry stay BLANK, as agreed 8/26 (no fabricated history). Total Return on those rows is therefore a return on cost, there is no SPY comparison, and none of them can reach the Rule-46 cohort.
GREEN. The 14 Ticker cells for the ETFs and cash funds are light green (C6EFCE) with dark-green text (006100). That is the set Current Positions' own "Cash / Cash Equivalents" row sums (the four money-market / sweep funds plus the ten dry-powder ETFs, per Alan's 9/7/26 "treat cash/equivalents as CASH/DRY POWDER"). My reading of "cash/cash equiv"; if Alan meant only the four money-market funds, clear the ten ETF cells.
LIMITS. (1) The ADBE, VRTX and PLD rows measure only the System-selected 8/7/26 purchase, not the shares held before it (ADBE: -10.8% on that tranche vs -19.4% on the position's $294.83 average cost). (2) Prices are a snapshot of the 10/2 close and nothing refreshes them; refresh at each review or when a position changes (noted on Open Items #20). (3) Sold legacy names (SFM, TSLA, ONON, VGT, CALF) are not listed.
STRUCTURE. PerformanceTrackingTable A2:Q33 -&gt; A2:Q47 (15 spare pre-built rows, so the next buys need no row surgery); footnote moved to row 48; validations and colour rules extended to row 47; only rows 1-2 frozen (15 rows had been frozen since the tab was built and would have trapped the new rows). Updated: the A1 note, the footnote, Schema Reference (Performance Tracking C66/D66), Open Items #20.
CODE. read_performance_tab also skips a dated row with neither a score nor a band (what the A1 note already promised); read_performance_tracking has no row bound (a ticker-shaped column A); new audit check performance_tracking_coverage fails when any Current Positions holding has no row (Instructions: populated the same moment a confirmed trade updates Current Positions); tests added, including one that pins the green set to Current Positions' aggregate row.</t>
  </si>
  <si>
    <t xml:space="preserve">PERFORMANCE-TRACKING-SUMMARY</t>
  </si>
  <si>
    <t xml:space="preserve">Performance Tracking rebuilt as a lot ledger with a summary block (Alan, 10/5/26: hook the current-price and SPY columns into the weekly run; list the sold names; give the legacy rows a SPY comparison from a common 8/5 baseline; then add Subtotal / TOTAL, YTD, Cumulative since 8/5 and Avg Annual Gain/(Loss) under the active rows).
LOTS. 39 rows, one per purchase lot: 7 System lots (ADBE 20 sh; VRTX 25 on 8/7 and 15 on 9/8; PLD 64; V 50; GE 75; NFLX 300 -- Journal rows 10, 35, 64), the 3 pre-System remainders (ADBE 45, VRTX 25, PLD 61.45 sh), 10 legacy stocks, 10 dry-powder ETFs, 4 cash funds, and the 5 names sold 8/7/26 (CALF, ONON, SFM, TSLA, VGT; exit price = proceeds / shares, rows 7-9). Baseline lots -- everything held at the 8/5/26 snapshot, the sold names included -- are measured as if held since the 8/5 close against SPY's 8/5 close (769.79): Entry Date 8/5/26, Entry Price the unadjusted 8/5 close ($1.00 for cash), Score / Confidence / Band blank. That replaces the average-cost Entry Price of row 95; the return on cost stays on Current Positions.
COLUMNS R:AC: Type (Stock / ETF / Cash), Basis (System / Baseline), Lot Shares, Shares, Entry Value, Current / Exit Value, Gain (Loss), YTD Base Price (12/31/25 close; entry price for System lots), YTD Base Value, YTD Gain (Loss), YTD Return, SPY Gain. A held baseline lot's Shares follow Current Positions (its quantity less the ticker's System lots); its typed Lot Shares is the 8/5 snapshot, which the audit compares with Shares so a purchase recorded only on Current Positions cannot be silently measured from the 8/5 close.
SUMMARY (a generated block under the Table). My reading, a judgment call: Subtotal = stocks only (without the green cash and cash-equivalent rows, i.e. the ETFs and cash funds); TOTAL = every position held now (Value $726,938 = Current Positions' combined total, checked by the audit). YTD and Cumulative lines include the sold names (realized + unrealized); YTD runs from the 12/31/25 close, Cumulative from 8/5, System lots from their entry, each against SPY over the same span. Avg Annual = Cumulative TOTAL / years since 8/5, simple, extrapolated from eight weeks -- not a forecast. Holdings-based price return of today's holdings: no dividends, interest, deposits or withdrawals. On the 10/2 close: Subtotal +3.5%, TOTAL +0.7%, YTD TOTAL +13.4% vs SPY +12.9%, Cumulative TOTAL +0.7% vs SPY 0.0%. If Alan meant active vs active + sold, that is a one-formula change.
WEEKLY. A held stock's or ETF's Current Price is an INDEX/MATCH into Market Data, so it follows every refresh with nothing written; `landry weekly` writes only SPY now and the as-of date (names PT_SPY_Now, PT_AsOf) and reports them on a Performance line (rehearsed 10/5 on a scratch copy with live quotes). Grow the tab with landry.perf_tab.add_lot / close_lot / extend_table / rebase_baseline, never insert_rows.
CODE. landry/perf_tab.py; market.sync_performance; the readers stop at the Table; audit performance_tracking_ties (5 checks); tests/test_landry_perf_tab.py. Schema Reference, Instructions and Open Items #20 updated.</t>
  </si>
  <si>
    <t xml:space="preserve">CRWD-ENTRY-DATE</t>
  </si>
  <si>
    <t xml:space="preserve">CRWD's Watch List Tracker Entry Date moved from 9/13/26 to 10/4/26 (Alan, 10/5/26: "we agreed to move CRWD from last month (+30 days) to this month"; he first wrote 10/2 -- the Friday -- and confirmed he meant 10/4, the day the Rule 3 classification was confirmed, row 89). That is the date the 30-day Exit Review clock counts from (row 93: sell by 11/3/26), so the tracker now agrees with the note, Open Items #30 and row 93. Until now only the note said 11/3: the Entry Date still carried the 9/13 re-score that row 89 used before the clock was decided.
UNCHANGED: Entry Score and Current Score 63.4 and Current Score Date 9/13/26 -- the score of record is still the 9/13 approval (the 10/5 trailing-12-month recheck, row 92, confirmed it without re-scoring), as on Scoring and Dashboard. SIDE EFFECT: the 90-Day Deadline (Entry Date + 90) now reads 1/2/27 and Days Remaining 89 -- that is the clock a remediation plan would start, and there is none; Action Status stays NO CREDIBLE PLAN -- SELL WITHIN 30 DAYS. The sell-by date (11/3/26) is Entry Date + 30 and no column shows it yet (Action Status could say SELL BY 11/3, which would also mean changing Action Items E5's count pattern). Row 89's wording ("entry date 9/13/26") stays as the record of what was true on 10/4.</t>
  </si>
  <si>
    <t xml:space="preserve">MONITOR-STAMP</t>
  </si>
  <si>
    <t xml:space="preserve">MONITOR-STAMP (10/5/26). Alan asked why the Monitor tab looked stale ("don't we update the scoring dates at the end of each month or quarter?"). Answer: no -- Instructions A52 says the Last Score columns (C-G) are stamped every time a ticker is re-scored on the Scoring tab, not on a calendar (VRTX 8/7, ET 9/11 and AVGO / VRTX 10/5 followed it); month- and quarter-end drive other things (the Drawdown Log, QTR-REVIEW 9/30 and 12/31, the FUND-REFRESH re-scores 10/25 and 1/25/27, Rules 45-46). Nothing in the code did the stamping, so the 9/13 held-position re-score of 14 names and the 9/30 ADBE / PLD reconfirmation were never stamped: CRWD still read 70.4 BUY, 8/6/26, against 63.4 AVOID. Alan, 10/5/26: "yes - stamp them and add the audit check; we'll definitely want to keep Monitoring tab monthly-current for held positions."
DONE. (1) Stamped C-G for the 14 (ADBE and PLD 9/30; ANET, ASML, CRWD, KLAC, MU, NVDA, PLTR, TSM, VRT, GE, NFLX, V 9/13) from their Scoring rows: date scored, composite, Tier 1 average, decision, and Price at Last Score = the last close on or before the date scored (the 9/11 Friday close for Sunday 9/13), the convention the V / GE / NFLX / ABT / VEEV stamps already used; AVGO and VRTX were already right. (2) Refreshed the insider / analyst signals (K-N) for all 16 held names from SEC Form 4 (30-day lookback) and yfinance; they dated from about 9/4. Flags moved ADBE N-&gt;Y, AVGO N-&gt;Y, MU Y-&gt;N, VRT Y-&gt;N, GE Y-&gt;N and the notes of the rest were updated. yfinance had no 3-month-ago consensus breakdown today for VRTX, PLD, V, ANET, KLAC and TSM, so those analyst cells keep their values (data_auto.analyst_shift_detail now separates that from an error). (3) New: landry/monitor_tab.py and `python -m landry monitor status|stamp|refresh`; Q1 holds the day of the last complete signal refresh (P1:Q1, defined name MON_SignalsAsOf; the title note narrowed from A1:Q1 to A1:O1); two audit checks -- monitor_last_score (every held scored position's Monitor row mirrors its Scoring row: date, composite, Tier 1 average, decision, a price) and monitor_signals (refreshed within 35 days). A re-score or a Decision change that reaches Scoring without the Monitor, or a month without a signal refresh, now fails `landry audit` and shows in every Saturday's weekly report. Instructions A53 and the Schema Reference were updated.
EFFECT. Stamping alone barely moves Recheck Status (only MU's price-move flag would have changed); the signal refresh moves it more. With live prices Excel will read DUE for ADBE, ANET, AVGO, KLAC, NFLX, NVDA, PLTR, TSM and V (insider activity) and CRWD (price +30.6% since 9/11), and Monitor Only for ASML, GE, MU, PLD, VRT and VRTX -- relevant to DCA-CATCHUP-2's "scan Recheck Status" step on 10/7. Not automated: the signal refresh is a monthly command run by hand (about 90 seconds) and the weekly run neither stamps nor refreshes; its audit says so when either lapses.</t>
  </si>
  <si>
    <t xml:space="preserve">PERFORMANCE-TRACKING-SOURCES</t>
  </si>
  <si>
    <t xml:space="preserve">Alan, 10/5/26, before the 10/7 DCA: took another look at ADBE / VRTX / PLD (the diversifier trio; each carries pre-8/5 "legacy" shares as well as System lots) and floated selling the pre-8/5 lots to make tracking under the System clean and complete from 8/5. DECISION: keep them -- "stick with the System" -- and make the tracker show the System-only record instead.
What the look found (10/2 closes, portfolio $726,938). Nothing I could see trips a Part 6 sell trigger (the Holding Monitor has no rows for the three, so Rules 22-31 were not formally run). Part 3 rates ADBE 85.8 STRONG BUY (Core Hold / Add), VRTX 70.6 BUY and PLD 76.0 BUY (Hold); Hold Through says a price decline alone is not a reason to sell; Rule 36 (replacement) needs a 15-point gap across two quarterly re-scores plus a capital constraint, and cash is not constrained; Rule 44: tax never triggers a trade. So a sale would have been a discretionary override. Since 8/5 (or entry) the laggards were AVGO -15.1%, VRT -9.3%, ADBE -9.1%, PLD -8.1%; VRTX is +1.7%. The three are the book's lowest-correlation stocks (average 0.14 VRTX / 0.17 ADBE / 0.21 PLD against 0.22-0.43 for the rest; none sits in a pair above 0.70). Selling the three pre-8/5 remainders (ADBE 45 sh, VRTX 25, PLD 61.45; $31.2K, net realized about -$1.6K) would have touched 4% of a book that is 87% baseline-measured, left the lots on the ledger as Exited baseline rows (the Cumulative lines need them), cut ADBE from 2.1% to 0.65% of the portfolio while rated STRONG BUY, taken cash to 16.3% against the 15% ceiling, and chosen lots by date rather than after-tax cost (Rule 42). The ledger already measured every lot from 8/5 (Basis = Baseline) and only System lots feed the Rule-46 cohort, so the tracking was already complete from 8/5. Side finding: Technology is 26.9% of the portfolio at market (20.9% at cost) against the 25% sector cap; the CRWD sale due 11/3 alone takes it to 23.8%.
BUILT: Performance Tracking's summary block has a second section, "By source (since 8/5; held + sold)": System lots only (from entry), Legacy stocks (from the 8/5 close), Dry-powder ETFs (from the 8/5 close), Cash &amp; money funds, and an All sources line built as their sum. Every ledger row is in exactly one line (perf_tab.source_of), so the four add up to the Cumulative TOTAL; the All-sources note flips to "DOES NOT add up" and the audit's new performance_tracking_ties:sources check fails if a lot has no Basis or Type. SPY on these lines is the same dollars over each lot's own period, so it can differ a little from the Cumulative TOTAL line's 8/5 -&gt; now. perf_tab.BLOCK_ROWS went 17 -&gt; 24 and the benchmark cells (PT_* names) moved down; Schema Reference D66, the tab's A1 note and Open Items #20 were updated; 3 new tests, 716 pass; audit 71 checks, only the two standing scoring_verification findings fail.
FIRST READING (10/2 closes, held + sold): System lots (7), $97.4K at entry, -$2.8K (-2.9%) against SPY +0.1% over the same periods (excess -3.1%); Legacy stocks +$13.5K (+6.1%); Dry-powder ETFs -$5.1K (-1.4%); Cash $0; all sources +$5.5K (+0.7%). Seven lots over 2-8 weeks is too early to read, and the three legacy remainders (-3.7%) did about what the System lots of the same names did (-3.6%).
STILL OPEN: the Holding Monitor has no rows for ADBE / VRTX / PLD; ADBE's Rule 5 (RS = 1) review is not written up as such (Open Items #14 holds the Moat revisit for the 12/9 earnings); VRTX's Rule 3 result rests on trailing figures and it reports 11/2.</t>
  </si>
  <si>
    <t xml:space="preserve">DCA-CATCHUP-2-PREP</t>
  </si>
  <si>
    <t xml:space="preserve">DCA-CATCHUP-2 slate decided (Alan, 10/6 evening): buy VEEV only, 100 sh (~$28.5K, JT ULTRA / Fidelity, funded by Fidelity cash plus the 30 SPMO shares sold 10/6). SLB is dropped and nothing replaces it tomorrow; the ~$20K stays in cash for a later tranche. Pace never overrides the Composite &gt;= 65 gate (DCA-CATCHUP-PLAN-2), so a lighter tranche is inside the plan.
VEEV: Alan confirmed Moat 4 at the purchase decision (Open Items #24 closed), so Composite 81.6 STRONG BUY stands (Date Scored 10/2 unchanged). Sizing: initial 5% less the Fed-tightening -1% (P/FCF above 40x) = 4% of the portfolio, about $28.8K on $719K; 100 sh stay inside it up to about $287.7 a share (above that, 99). Rule 14 is entered on the trailing basis: P/FCF 40.4x on $1,144M TTM FCF after stock comp, which passes; on FY26 FCF it is 50.6x and would fail above $282. Alan has not ruled on the basis; it is carried as trailing, the basis of the other checklist rows. Rules 12-13: Base +12.5%, Bear +1.9% (stays &gt;= 0 down to a 29.9x terminal), Bull +18.7%; tags Likely / Possible / Possible. Rules 9-10: above the 200-week MA (reclaimed) with positive monthly MACD, so standard size. Rule 11: next earnings 11/18, unconfirmed. Rule 38 maximum 0.51 (ADBE). Cash after the buy about 6.8% (floor 5%).
SLB tested and failed (record kept: Entry Checklist row 50, Implied-Return row 51): Base +6.2%, Bear (trough) -9.4%; it would need about 9.3% a year of per-share FCF growth at a 16.8x terminal against a consensus near 7.8%. ABT passes Rule 12 only narrowly (Base about +10.5%, Bear about +2.5%) but has relative strength 1 (Rule 5), a negative monthly MACD (half size), Fidelity Bearish 2.9 and a $46M non-plan CEO sale; Alan finds it weak. Both get a fresh look after their prints (ABT 10/21, SLB 10/23): Open Items #34.
Workbook: Entry Checklist rows 48-51 added (KGS, ABT, SLB, VEEV; table A2:S51) and the Rule 14 column corrected. Its formula had read the Rule 13 tag check (N) as the P/FCF, the P/FCF (O) as the growth rate, and the Base case (L) where Rule 14(b) names the Bear case (M), so the 50x ceiling was never enforced (V's row read "exception met" at 34.4x). It now reads O, P and M; V becomes "within ceiling" and stays YES. Implied-Return rows 51-52 added; Action Items E28/E29 ranges extended to row 51; Schema Reference C34/C58 updated.
Remainder: NBIX is the lead candidate for the unspent ~$20K (quant FCF yield 4 / revenue growth 5 / margin 4, no Rule 5 flag, maximum correlation 0.34, rough Rule 12 Base +12% / Bear +1.6%; reports 10/26, so realistically a post-print buy); SPOT is the alternate (relative strength 1, reports 10/22). Part 12 work started: Open Items #33. The Scoring tab's Date Scored column was verified clean on 10/6 (no re-stamp; all 120 approved score cells equal the approval store).</t>
  </si>
  <si>
    <t xml:space="preserve">FIDELITY-3711-CASH-RECON</t>
  </si>
  <si>
    <t xml:space="preserve">Fidelity JT ULTRA_3711 30-day history (Alan posted docs/Fidlelity 30-day Accounts_History_(10-6-26).csv; it also lists other household accounts, which are outside the System and were not used) reconciled to the workbook and the DCA slate. Account 3711, 9/8-10/6: external withdrawals by EFT of $16,500 (9/9), $20,000 (9/14) and $15,000 (10/2), plus a $19.99 PayPal debit (9/15); buys of V 50 sh $18,448.63 (9/8), NFLX 300 sh $20,938.50 and GE 75 sh $23,603.25 (9/30, settled 10/1); sale of SPMO 30 sh at $153.54 = $4,606.10 net of a $0.10 fee (10/6, settles 10/7); income $1,558.22.
Cash: the workbook's Fidelity cash was FZDXX 38,154.18 + FZFXX 1,174.01 = $39,328.19 (tied to the 9/30 statements on 10/4, Journal row 81). Less the $15,000 EFT of 10/2, plus the $38.75 NVDA dividend of 10/1, that is $24,366.94 -- exactly the balance on Alan's slate; with the SPMO proceeds, $28,973.04. Cross-check: positions at market plus this cash agree with Fidelity's own JT ULTRA_3711 balance ($399,609.14 at 12:41 pm ET on 10/6) to within $11. The history's running Cash Balance column shows the 9/30 GE/NFLX settlement used up the dividend cash that the 10/4 reconciliation had carried as FZFXX, so the cash now sits in FZDXX. The SPMO sale is a margin-account trade; the proceeds were still processing at the time of the check.
External flows for the Drawdown Log (Part 7 measures drawdown net of external deposits and withdrawals; basis as decided 10/4): net external withdrawals since the 9/4 peak = $16,500 + $20,000 + $19.99 + $15,000, less the $16,500 that entered Chase on 9/8 = $35,019.99. The 9/30 entry already added back $20,019.99; the 10/2 $15,000 is new. The next Drawdown Log entry adds back $35,019.99 cumulatively. The file does not show where the 10/2 EFT went; it is treated as external (Alan: personal withdrawals).
Not yet booked in the workbook; one pass after tomorrow's VEEV fill, with Fidelity verification: Current Positions FZDXX / FZFXX, SPMO 100 -&gt; 70 sh at Fidelity (the cost basis of the remaining 70 is an average-cost estimate until the next Fidelity export; lot choice is Alan's, Part 8 Rule 42), the VEEV rows, the Performance Tracking lots (the SPMO partial sale needs a sold baseline lot plus a rebase), and the Drawdown Log entry on the 10/6 close.</t>
  </si>
  <si>
    <t xml:space="preserve">ENTRY-CHECKLIST-BACKFILL</t>
  </si>
  <si>
    <t xml:space="preserve">Alan, 10/6 evening: Rule 14 for VEEV is ruled on the trailing basis (40.4x on $1,144M of TTM FCF after stock comp; FY26's 50.6x is not used). He also said yes to backfilling the GE and NFLX Entry Checklist rows and to keeping the Fidelity history CSV out of git (.gitignore now has *Accounts_History*.csv).
Backfill. GE and NFLX (bought 9/30, row 64) had no Rules 9-14 inputs on the Entry Checklist and empty Implied-Return rows (43/47, 44/48), so Rules 12-14 were never documented for them (V's row was). Filled now at the fill prices from filings through Q2 2026 (consensus as of 10/6; yfinance keeps no history), on the Part 4 method used for SLB and VEEV. GE ($314.71): above its 200-week MA, monthly MACD positive, standard size, no binary event. TTM FCF after stock comp $8.05B (continuing-operations CFO $9.78B less $1.40B capex incl. internal-use software less $325M SBC; FY2025 SBC because the SEC has no H1 figure) = $7.69/sh, P/FCF 40.9x, above the 40x line where the macro overlay's -1% applies. Terminal 36.0x (the 2022-25 year-end median, below today's multiple). Base +11.6% at 14% growth, Bear +0.6% (7%, 29.2x), Bull +18.4%. It clears Rules 12-14 but only just: both tests fail below about 12.8% Base growth (consensus 14.7%).
NFLX ($69.795): below its 200-week MA, monthly MACD negative (Technical Trend 1, Rule 5 review on record, rows 71 and 76), so Rule 10 limits the first purchase to 50% of the normal initial size with a 90-day review. TTM FCF $10.66B reported; $7.86B after taking out the $2.8B Warner Bros. termination fee received in Q1 2026 (it sits in operating cash flow; Part 10 nonrecurring) = $1.85/sh, 37.8x (27.9x unadjusted); terminal 37.8x. Base +15.0% at 15% growth, Bear +3.1%, Bull +21.3%. Tags Likely / Possible / Possible for both; both rows read YES.
Finding: the 9/30 NFLX purchase ($20,938.50 = 2.9% of the $721.5K portfolio) exceeded its 50% staged limit (2.5%, about $18.0K) by about $2.9K, or 41 shares. Recorded as Open Items #35 with the 90-day technical review due 12/29/26; no action taken. SLB's Rule 11 inputs corrected from Y/Y to N (a routine earnings print is not entered as a binary event; no effect on its DO NOT ENTER); 'Y' is reserved for a discrete two-way event.
Tool fix. landry.sec_ttm anchored its windows on the quarter alone when the SEC listing put the Q2 row after the six-month row, computing FY + Q2 - prior Q2: NFLX's TTM operating cash flow read $9.47B against $11.97B in the filings. Fixed (the longest period ending on the newest date; regression test added). Every other holding picked the right period, and the holdings comparison is unchanged on re-run (NFLX 4/4/4 either way).</t>
  </si>
  <si>
    <t xml:space="preserve">DCA-CATCHUP-2-DECISIONS</t>
  </si>
  <si>
    <t xml:space="preserve">Alan, 10/6 evening, on the open points from the DCA-CATCHUP-2 prep (rows 100-102). (1) The corrected Rule 14 formula (Entry Checklist column Q, every row) is approved. (2) SLB's Rule 11 inputs, changed from Y/Y to N, are approved. (3) NFLX: the 9/30 purchase ($20,938.50, 2.9% of the portfolio) against its 50% staged limit of 2.5% (about $18.0K) is ACCEPTED AS AN EXCEPTION; the 90-day technical review under Rules 9-10 is still due 12/29/26 (Open Items #35). (4) NBIX is paused: the event risk (Vykat XR safety reports, the Justice Department inquiry) needs more time to evaluate, and there is no further NBIX work until Alan reopens it (Open Items #33). SPOT, the alternate, has had only the 10/6 quant draft and no workup. (5) The SLB and ABT re-looks are paused until 10/13/26, the day their 9/13 Date Scored passes 30 days (Open Items #34). Unchanged for tomorrow: VEEV only, about 100 shares, Moat 4, Rule 14 on the trailing basis; the after-fill bookkeeping pass and the 10/6 Drawdown Log entry (net external withdrawals added back: $35,019.99) are still to do.</t>
  </si>
  <si>
    <t xml:space="preserve">DCA-CATCHUP-2-EXECUTED</t>
  </si>
  <si>
    <t xml:space="preserve">DCA-CATCHUP-2 executed (Alan, 10/7/26): VEEV bought, 100 sh at $283.25 = $28,325.00 (day limit order filled at its limit; Fidelity JT ULTRA_3711, a margin-type buy settling 10/8), from the Activity &amp; Orders page Alan saved as DCA_prep-executions/fidelity3711_10-7-26_execution.pdf. Nothing else executed in 3711. Funded by Fidelity cash plus the 30 SPMO shares sold 10/6 at $153.54 ($4,606.10 net of a $0.10 fee): one tax lot, so the remaining 70 shares keep the same per-share basis ($146.97) and the sale realized about $197. The tranche is $28,325 against the $40-50K target, by design: SLB failed Rule 12, NBIX is paused, ABT was not chosen, and pace never overrides the Composite &gt;= 65 gate (DCA-CATCHUP-PLAN-2); the ~$20K waits (Open Items #33, #34). At the 10/7 closes the portfolio is $714.7K, VEEV is 3.96% of it at the fill (inside the 4% cap) and cash is 6.86% (floor 5%). Alan proceeded knowing the 10/5 insider sales (EVP Rizzo $1.34M, not under a 10b5-1 plan; a Form 144 for Schwenger, a Former Officer, $37.1M); no hard rule turns on them.
Booked in one pass. Current Positions: FZDXX $648.04 (= $24,366.94 + $4,606.10 - $28,325.00; FZFXX 0), SPMO 100 -&gt; 70, VEEV on row 24 at a cost basis of $28,325.00. The row went in through the new landry.cp_tab (a tested insertion that shifts the Chase block, totals, Table range and merged note together; adding a zero-share row to the live workbook changes no number) rather than insert_rows. It also repaired JT ULTRA's Excluding-Cash line, which had subtracted Visa's cost instead of FZFXX's since the 9/8 insertion (7.2% -&gt; 6.4%). Cross-check: JT positions at the 10/7 closes plus $648.04 equal Fidelity's own balance of $396,627.13, to the cent. Chase: VMFXX $27,966.40 per Alan (the 9/30 statement's $36,854.47 + about $111.93 of October dividend - $9,000 redeemed); Chase core cash set to $20,408.02 on the ASSUMPTION that the $9,000 went to the core sweep (the slate's $11,408.02 + $9,000), to be confirmed.
Performance Tracking: VEEV System lot (entry $283.25, SPY $777.22, Strong Buy 81.6), the SPMO sale as an Exited baseline lot (30 sh at $153.54, SPY $779.09) with the held lot reduced to 146.937 sh (new perf_tab.split_baseline_sale), and a Price History column for VEEV. Monitor: VEEV Watch List -&gt; Owned. Process Checklist: DCA-CATCHUP-2 steps ticked.</t>
  </si>
  <si>
    <t xml:space="preserve">DCA-CATCHUP-2-CONFIRMED</t>
  </si>
  <si>
    <t xml:space="preserve">Follow-up to DCA-CATCHUP-2-EXECUTED (row 104), Alan, 10/7/26 after the close. (1) Chase confirmed from Alan's Chase page: VMFXX (Vanguard Money Market Reserves, Federal Portfolio) $27,966.40 and Cash &amp; Sweep $20,408.02 (QACDS), so the $9,000 redeemed from VMFXX went to the core sweep and row 104's assumption is now a fact; the Chase block is as booked and the Drawdown Log's add-back for external flows is unchanged at $35,019.99 (the $9,000 never left the household). (2) Alan opened the workbook in real Excel after the Current Positions row insertion: it opened clean, and he did not save. (3) Correction to row 104: JT ULTRA's Excluding-Cash line reads 6.3% (6.34%), not the 6.4% written there, which was the rehearsal's figure. (4) One thing added after row 104: the FZFXX baseline lot on Performance Tracking is closed as Exited 10/1/26 (1,174.01 sh at $1.00, SPY $763.99). Fidelity's history shows the fund emptied when the 9/30 GE / NFLX buys settled on 10/1 (44,541.75 = 43,328.99 from FZDXX + 1,174.01 from FZFXX + the 38.75 NVDA dividend); the pass had set FZFXX to 0 on Current Positions but left its lot Held, which the ledger test caught. It adds about $1.2K to the cumulative basis lines and changes no return and no held figure; a Current Positions row taken to zero shares now gets its lot closed in the same pass (CLAUDE.md). (5) Alan: commit all. The Fidelity Activity &amp; Orders PDF named in row 104 stays local and uncommitted: it shows every household account, not just 3711, so it waits for Alan's call (gitignore it as with the 30-day CSV, or commit it).</t>
  </si>
  <si>
    <t xml:space="preserve">SECTOR-REVIEW-DECISIONS</t>
  </si>
  <si>
    <t xml:space="preserve">Sector-history review (Alan, 10/7/26) on the S&amp;P sector-return workbook Taylor committed (docs/S&amp;P Sector and Subsector Total Returns 2011-2031_UPDATED(static).xlsx); read-only analysis, nothing written to the workbook. FINDINGS (11 GICS sector rows, 2011-25): only Information Technology (20.7% a year vs the S&amp;P's 14.1%) and Consumer Discretionary (14.7%) beat the S&amp;P over 15 years, and the S&amp;P beat an equal-weighted basket of the sectors in 10 of 15 years, so 'beats the S&amp;P' is mostly a mega-cap effect; year-to-year sector rank correlation averages -0.03 (leadership rotates); in the four weak S&amp;P years (2011, 2015, 2018, 2022) Health Care beat the S&amp;P every time (+10.8 points on average) and Utilities and Staples in 3 of 4; the file's 2027-31 forecast column is the S&amp;P's 5.2% plus 25% of each sector's 15-year gap to the S&amp;P (rebuilt for all 11 sectors), so it adds no information. THE BOOK (10/7 marks): direct stocks are 48% of the portfolio, ETFs 45%, cash 7%; Technology is 27.5% of the portfolio at market (20.9% at cost, row 99) and there is no direct stock exposure in Consumer Cyclical, Consumer Defensive, Energy, Basic Materials or Utilities; through the ETFs the book is as tech-heavy as the S&amp;P (42% of equity vs 40%) with Energy 8 points overweight; the seven semiconductor / AI-hardware names are 21% of invested weight but 40% of portfolio variance; 36-month weekly correlations with the book are lowest for PG .10, ABT .11, YUM .21, KGS .29, DPZ .35, COST .38 and highest for ETN .67 and APH .70. DECISIONS (Alan): (1) Open Items #19's method (rank sectors by 30-year gains vs the S&amp;P) -- revision PENDING FURTHER REVIEW; the proposal was open spot x low correlation to the book x System quality and cap room, with long-run sector return as a tiebreak only. (2) The 25% sector cap is measured at MARKET value, so Technology (27.5%) is over it and takes no new names; the CRWD sale due 11/3 brings it to about 23.8% (rulebook wording: Open Items #39). (3) The screening slate and pace to DCA-CATCHUP-3 on 10/22 'works' (Open Items #37). (4) The sector-driver study (macro, political and global drivers of sector returns) waits until after 10/22 (Open Items #36). Also added: #38, refresh the stale Sector Exposure Reference on CANDIDATES LIST.xlsx.</t>
  </si>
  <si>
    <t xml:space="preserve">ADBE-REVIEW-FACTS</t>
  </si>
  <si>
    <t xml:space="preserve">ADBE (Alan, 10/7/26, end of day): "ADBE proving to be a very big dog ... down now &gt;20% ... something is very not right with that company." FACTS at the 10/7 close of $232.77: 65 sh in JT ULTRA, 2.1% of the portfolio, cost basis $19,163.84 ($294.83 a share), -21.0% on cost (the 45 legacy shares cost about $307: -24%; the 8/7 System lot of 20 sh at $266.38: -12.6%); -35.3% from the 52-week high ($359.91) and -58% from the 12/6/24 high ($552.96); 6-month return -2.7% against the S&amp;P's +15.6% (Relative Strength -18.3 points, so the indicator scores 1); under its 200-day average. A further 50% fall would cost about 1.1% of the portfolio. It is not alone: since 12/31/25 Intuit -55%, Oracle -26% and Autodesk -21% against the software ETF +4%, while our CRWD, PLTR and VEEV are up. WHAT MOVED: CEO succession announced 9/3 after the close (Chakravarthy CEO on 12/1, Narayen to executive chair; the head of Digital Media is also leaving; the CFO left in June), the stock -6.7% on 9/4; Q3 on 9/10 per the 8-K: revenue $6.76B +13%, a record $2.52B of operating cash flow, $2.23B of buybacks in the quarter, Q4 revenue guide $6.80-6.85B (a hair under consensus), FY ending-ARR growth target 10.2%; per press coverage and NOT in the 8-K: net new ARR down about 38%, cRPO growth down to 9%, a free-tier pivot that holds back price increases, and a Morgan Stanley Underweight at $240. At $232.77 the stock trades near 10x trailing free cash flow (yfinance, before the Part 10 stock-comp deduction), so the market is pricing a structural-decline case; nothing in the fundamentals is new since the 9/30 deep dive (row 66), only the price (-3%). WHAT THE RULES SAY: the rulebook has no price stop-loss. Part 6 Hold Through treats a "short-term price decline of 20-30% with no change in Tier 1/2 fundamentals", an earnings miss, analyst downgrades and negative press as noise (ADBE's slide is neither short-term nor within 20-30%: 21 months and -58% from the 2024 high, though only -21% on our cost), and no Part 6 sell trigger is met (revenue growing 13%, FCF Yield 5, ROIC above WACC, Moat not "absent"). The rubric gap: Revenue Visibility scores the SHARE of next-12-month revenue that is recurring (over 80% = 5), not the trend in net new ARR or RPO, and Technical Trend 1 is defined as "timing delay only -- not a sell signal"; Management Quality is already 3 (the rubric defaults a new CEO to 3). OWED under the rules: the Rule 5 review of Relative Strength = 1 (scored 1 at the 9/13 and 9/30 rechecks; "not written up as such", row 99), the Holding Monitor rows for ADBE / VRTX / PLD, and the Moat / Management re-check set for the 12/9 earnings (Open Items #14). Rule 5's outcomes are reaffirmed, resized or referred to Part 6, so a trim through a documented Rule 5 review is not an override of Hold Through; a sale outside it would be a discretionary override of Hold Through and Part 3 (Core Hold / Add), as with the 10/5 decision on the legacy lots (row 99). Tax is no factor either way (Rule 44; Alan's carryforward losses). Evidence on stop-loss designs and the options: row 108. NO DECISION on ADBE recorded; Open Items #40.</t>
  </si>
  <si>
    <t xml:space="preserve">STOP-LOSS-EVIDENCE-OPTIONS</t>
  </si>
  <si>
    <t xml:space="preserve">Stop-loss evidence and options (10/7/26, for the ADBE question in row 107; analysis only, no decision). TEST: 110 stocks from the scored and candidate lists (including our rejected names), daily total returns 2011-2026, an entry every 21 trading days (17,298 entries), 12-month holds, exit to cash after a stop with no re-entry. It is survivorship-biased and ran through a long bull market, which understates what stops protect. RESULTS: buy-and-hold averaged +22.1% (median +15.1%), with a 5th percentile of -35.5%, a worst case of -95% and 6.8% of entries ending down 30% or more. Plain stops (-15% to -30% from entry, trailing -20% to -30% from the peak, a close under the 200-day average) cut the 5th percentile to between -16% and -33% and the worst case to about -50% to -86% (gaps), but cost 3 to 14 points of average return, fired in 17% to 84% of entries and whip-sawed about 48% of the time (holding would have ended 10+ points better) against about 20% saved (10+ points worse). A stop confirmed by price AND trend (-20% from entry with 6-month Relative Strength at or below -20 points and a close under the 200-day average) cost 2.6 points, cut the 5th percentile to -26% and the worst case to -58%, fired in 22% of entries and whip-sawed 40% vs 25% saved; halving the position once at -25% cost 1.7 points (5th percentile -31%, worst -61%). AFTER A DEEP FALL (a 30%+ drop from the 52-week high with weak Relative Strength and a close under the 200-day average; 557 events): median 12-month return +17% (-1.2 points vs the S&amp;P), 33% still down at 12 months, 49% fell a further 15%+ within 6 months against 29% for all entries (2023-26 events: median -15.6 points vs the S&amp;P) -- a deep fall marks further-downside risk, not a reliable exit signal. WHICH HOLDINGS TRIP A CAUTIOUS TRIGGER TODAY: ADBE is the only one 20% below cost; adding "at least 35% below the 52-week high with Relative Strength 1 and under the 200-day average" also flags VRT and NFLX (KLAC, 35% off its high but +28% on cost with positive Relative Strength, would not). OPTIONS (none decided): A, keep Hold Through as is: finish ADBE's Rule 5 review and Holding Monitor rows, Moat re-check on 12/9. B, add a price-triggered RE-UNDERWRITE ladder with trend confirmation: 20%+ below cost with Relative Strength 1 or under the 200-day average forces a re-underwrite within 10 trading days (fresh Tier 1 reread including leading indicators, the Rule 5 review in the Journal, no additions meanwhile, repeated every 90 days); 30%+ below cost with the re-underwrite finding leading-indicator deterioration or a Tier 1/2 score cut trims one third (as Rule 34 does for Probationary Holds), a second confirmation another third; 40%+ below cost with Relative Strength 1 and under the 200-day average for 8 weeks goes to Exit Review (sell within 30 days unless a documented 90-day plan exists). C, a mechanical price stop: not supported by the test. Related gaps: a leading-indicator qualifier for ARR / backlog names (cap Revenue Visibility at 4, or the classification at Buy, while net new ARR or RPO growth is decelerating), and a cluster-level drawdown review for the AI / semiconductor names, which carry 40% of portfolio variance (Rule 38's 20% cluster cap). Any new Hard Rule needs a v1.05 revision with the numbering cascade (CLAUDE.md). Open Items #40.</t>
  </si>
  <si>
    <t xml:space="preserve">STOP-REVIEW-LADDER-ADOPTED</t>
  </si>
  <si>
    <t xml:space="preserve">Alan, 10/8/26: ADOPTED the price-triggered re-underwrite ladder (option B of row 108) as standing policy for held stocks, in place of a mechanical stop-loss -- a controlled, rule-driven response. Hold Through still means a price decline alone never forces a sale; the ladder makes price force the leading-indicator work and limits what may be done meanwhile. DEFINITIONS (measured at each weekly close from the position's cost basis in Current Positions and prices in Market Data / Price History): RUNG 1 -- a holding 20% or more below its cost basis AND (Relative Strength vs SPY scored 1, i.e. behind the S&amp;P by more than 15% over 6-12 months, OR the price under its 200-day average): no additions of any kind (DCA included) and a documented re-underwrite within 10 trading days -- a fresh Tier 1 reread, the leading indicators for the business model (subscription: net new ARR, RPO / cRPO growth, retention; others: backlog, bookings, volume, estimate revisions), and the Rule 5 review concluded in the Journal as reaffirmed, resized or referred; a reaffirmation lasts 90 days and is then repeated. RUNG 2 -- 30% or more below cost AND the re-underwrite finds deterioration in a leading indicator or cuts a Tier 1/2 score: trim one third of the shares (as Rule 34 does for a Probationary Hold); a second confirmation at the next review trims another third. RUNG 3 (backstop) -- 40% or more below cost with Relative Strength 1 and the price under its 200-day average for 8 consecutive weeks: Exit Review (sell within 30 days unless a documented 90-day remediation plan with a credible path back exists). COMPANIONS still to design: (a) a leading-indicator qualifier for ARR / backlog names (Revenue Visibility capped at 4, or the classification at Buy, while net new ARR or RPO growth is decelerating); (b) a cluster-level drawdown review for the AI / semiconductor names (40% of portfolio variance; Rule 38's 20% cluster cap). STATUS: adopted as policy today. The rulebook text (v1.05, mind the numbering cascade) and an automatic check in the weekly run are Open Items #41 and #42; until the check exists Claude applies the ladder by hand at each tranche prep and whenever asked.</t>
  </si>
  <si>
    <t xml:space="preserve">ADBE-RULE5-REVIEW</t>
  </si>
  <si>
    <t xml:space="preserve">Rule 5 review of ADBE (Relative Strength has scored 1 since the 9/13 recheck; "not written up as such", row 99), concluded 10/8/26 under the ladder adopted today (row 109). CONCLUSION: REAFFIRMED, additions frozen, re-underwrite repeats at the 12/9 earnings or in 90 days (1/6/27), whichever comes first. (Alan, 10/8: "adopt the ladder"; his 10/7 lean was reaffirm with adds frozen. Recorded as reaffirmed on that basis -- say so if you read it differently.) BASIS: a fresh Tier 1 quant reread on 10/8 (landry.sec_ttm, TTM to 8/28/26: FCF after stock comp $8.52B, FCF yield 9.4% -&gt; 5, margin 32.8% -&gt; 5, revenue CAGR 10.9% -&gt; 4) is unchanged from 9/30, composite 85.8 STRONG BUY. The leading indicators were checked against primary sources (9/10 call transcript, 10-Q, SEC XBRL), which confirm what row 107 logged as press-reported: total ending ARR $27.5B, +11.2% (about +9% excluding Semrush); net new ARR -36% to -37% y/y (an analyst's figure that management did not dispute, attributing it to steering traffic into the freemium funnel); RPO $22.16B, +8.4% (Q2 +13.1%) and cRPO +9%; the FY ending-ARR growth guide of 10.2% reiterated, with Q4 net new ARR above Q3's (about $0.78B implied, my derivation). Chart context: 21% below cost, 35% below the 52-week high, 6-month Relative Strength -18.3 points, under the 200-day average, inside an application-software repricing (Intuit -55% YTD, Oracle -26%, Autodesk -21%). WEIGHED: the ARR / RPO trend forecasts slower revenue growth next year (36 software names: RPO growth 4.6 points under revenue growth implies about -5 points, i.e. 7-9% growth) but not returns; at 10.7x FCF after stock comp (9.4% yield) the price already implies roughly zero perpetual growth at a 10% hurdle; Moat 4-&gt;3, Revenue Visibility 5-&gt;4 and Revenue Growth Consistency 4-&gt;3 together would still leave the composite at 77.8 (BUY). No Part 6 sell trigger is met. LADDER POSITION: rung 1 (the only holding 20% below cost); rung 2 does not apply (21% below cost, not 30%). Management Quality stays 3 (new-CEO default; the CEO changes 12/1 and the Digital Media president is leaving). TRIPWIRES for 12/9: Q4 net new ARR at or above about $0.75B; FY27 ending-ARR growth guide at or above about 8% organic; RPO growth near 8% or better with the usual Q4 step-up; evidence that freemium users convert to paid. Two misses -&gt; re-score Moat and Revenue Visibility, and trim a third under rung 2 if the price is then 30% or more below cost with deterioration found. The Holding Monitor rows for ADBE / VRTX / PLD are still to be added (Open Items #40). Rows 107-108 stand as the record of the evidence; this row supersedes row 107's "press-reported" wording.</t>
  </si>
  <si>
    <t xml:space="preserve">SCREEN-SLATE-REVISED</t>
  </si>
  <si>
    <t xml:space="preserve">Alan, 10/8/26: APPROVED the revised screening slate for DCA-CATCHUP-3 (Open Items #37 and #43). WHY: the first-wave names, run through the System's own quant (SEC trailing-12-month filings), Rule 14 and the leverage cap, were mostly out -- COST at 49.7x P/FCF with a 2.0% yield and a 2.8% FCF margin; YUM, DPZ and KGS at about 16x, 9.6x and 10x Debt/FCF; ABT's revenue growth consistency scores 2 (quant Tier 1 2.7); AGI, GEV and HWM at 53x, 72x and 65x P/FCF. An S&amp;P 500 screen of 322 non-technology, non-financial names (quant Tier 1 average at least 3.4, no indicator at 1, P/FCF at most 50x, Debt/FCF at most 5x) passes 67, 45 of them new to us; none is a Utility (capex makes FCF negative), so Utilities needs the Part 10 adapted screen. ORDER (approved): 10/8-10/10 PG, SJM, CHD (Staples; 36-month weekly correlation to the book .10, .06, .04; 6-month relative strength above -15); 10/13-10/15 DXCM, GILD, and EXPE or ETSY; 10/16-10/20 CL, VRSK and the Utilities adapted screen; 10/20-10/21 Rules 9-14 gates, Implied-Return rows, the correlation check, the Fidelity scan and the pack. PARKED: COST, YUM, DPZ, KGS, AGI, GEV, HWM and the names in downtrends (relative strength 1: HSY, DECK, LULU, ZTS, BSX and others) until a Rule 5 review is written; CMG stays in play but needs one (relative strength -19). ABT keeps its 10/13 re-look (Open Items #34), low priority. SAME DECISION: build the stop-review ladder's check first (Open Items #42, python -m landry stops).</t>
  </si>
  <si>
    <t xml:space="preserve">STOPS-CHECK-BUILT</t>
  </si>
  <si>
    <t xml:space="preserve">Built the stop-review ladder's check (Alan, 10/8/26: "stops check" first; Open Items #42, policy row 109). python -m landry stops [--live] prints, for every held scored stock, the loss against its cost basis (Current Positions, all accounts), the drop from the 52-week high, 6-month Relative Strength vs SPY, the price against its 200-day average (the last 40 weekly closes) and the rung (1: 20% below cost AND (RS 1 OR under the average): no additions, re-underwrite within 10 trading days; 2: 30% below + deterioration found: trim a third; 3: 40% below + RS 1 + 8 weeks under: Exit Review); exit status 2 means a holding needs attention. It only reports. A re-underwrite is recorded with python -m landry stops record TICKER --conclusion reaffirmed|resized|referred --journal-row N --next DATE into landry_stops.json (ADBE: reaffirmed 10/8, next check 12/9, additions frozen); a current review keeps additions frozen for 90 days or until its next check. landry audit fails stop_review_ladder when a holding is on a rung with no current review, and landry weekly prints a Ladder line, so the Saturday report says NEEDS ATTENTION. Today (weekly prices through 10/2) nothing is on a rung: ADBE is 19.4% below cost (approaching); with today's closes (--live) it is 20.2% below, under its 40-week average for 5 weeks, on rung 1 with its review current. 23 new tests (767 pass). SAME PASS: Alan's REVIEW copy of the workbook (format edits made in Excel) was NOT promoted -- its Scoring tab had been sorted by Tier 1 average, which left 48 of 49 Entry Checklist rows showing another ticker beside the inputs typed for VEEV, SLB, GE and the rest, and the Dashboard's first rows blank. Ported instead the mechanical edits (gridlines off on Current Positions, Entry Checklist and the Scratchpad; Entry Checklist frozen at C3 and Returns (Calc) at B3; filter buttons on the Dashboard table; Performance Tracking font sizes; 24 column widths), added the audit check scoring_row_order (the typed Implied-Return tickers must sit one row below their Scoring row; it fails on the REVIEW copy) and a do-not-sort note in Scoring A1. The Dashboard filter buttons are fine for filtering, never for sorting. The audit's page_setup check flags the gridlines change until it is committed.</t>
  </si>
  <si>
    <t xml:space="preserve">RULEBOOK-V1-05</t>
  </si>
  <si>
    <t xml:space="preserve">Rulebook v1.05 (Alan, 10/8/26: "revise / update LANDRY SYSTEM 1-05_FINAL" and "update Rules summary list 1.05"; Open Items #39 and #41). LANDRY_SYSTEM_v1-05_FINAL.docx replaces v1-04 (git history is the archive). CHANGES: (1) a new Part 6 block, Hard Rules: Stop-Review Ladder, after Hold Through -- rungs 1-3 exactly as adopted in row 109, a "not a price stop" bullet and a record bullet -- built as an UN-NUMBERED block, like Hold Through, on purpose: a numbered rule inserted in Part 6 would have renumbered Rules 38-51 (Correlation Cap would become 41) and every citation in the workbook, code, tests and notes, the cascade Alan wanted to avoid on 10/1; (2) Hold Through's first condition now reads "...this is noise, unless a Stop-Review Ladder rung (below) has been reached"; (3) Rule 16 (sector cap) now says it is measured at market value on direct holdings, ETFs not looked through (Alan, 10/7: market); (4) Revision History v1.05 entry (Part 9 Change Control: evidence, expected benefit, unintended consequences, effective date 10/8, ADBE on rung 1), title page and version strings; (5) Part 12 and the Appendix's embedded copy of the workbook instructions no longer call the Dashboard "sortable" and carry the new rule reference. The numbered Hard Rule count stays 51 and no rule number moved (only Rule 16's text changed; checked against the register). The docx passes the docx skill's schema validation and renders cleanly (ladder block on one page with its heading). NOT in v1.05, still to design: the leading-indicator qualifier for ARR / backlog names and the cluster-level drawdown review (Open Items #44). The printable Hard Rules list is v1.05 (docs/, six pages now: the quick reference gained the ladder). The workbook's Instructions tab (stale at v1.03 since 10/1) now says v1.05, 51 numbered Hard Rules and carries a rule reference with Rules 1-5, 16, 34, the ladder, 38, 39 and the bands. SAME DAY: the REVIEW copy of the workbook was deleted at Alan's word (its Scoring tab had been sorted; row 112 has the account); Scoring B2 now reads DO NOT SORT in red bold above "Company", with the A1 note, and the audit's scoring_row_order check guards the order.</t>
  </si>
  <si>
    <t xml:space="preserve">SCREEN-WAVE1-RULE12</t>
  </si>
  <si>
    <t xml:space="preserve">Screening restarted 10/8/26 (Alan: "resume screening?"; slate in Open Items #37, Journal row 111). Fresh `landry draft` quant rereads on the fiscal-year basis, SEC trailing-12-month data as the second opinion; everything below is a PROPOSAL in landry_scores.json, nothing approved. WAVE 1 (Staples): PG 4 / 3 / 4 (yield 4.2%, revenue CAGR 2.0% CV 0.63, margin 16.8%) with RELATIVE STRENGTH 1 (blended -16.4%) and TECHNICAL TREND 1 (under the 200-week average, monthly MACD negative, Supertrend bearish), so a Rule 5 review would be needed; earnings 10/22. SJM 5 / 2 / 3 (yield 8.9%, CAGR 2.0% CV 2.17, margin 12.5%), ROIC 1.5% vs WACC 5.1%, Debt/FCF 6.2x on FY26 FCF (over 5x caps the composite at 65); the screen's 4.1 used trailing FCF of $1.56B, which is a timing artifact (Q1 FY26 operating cash flow was -$11M against +$426M in Q1 FY27; FY26 FCF is $1.13B). CHD 4 / 3 / 4, relative strength 2, earnings 10/30. THE GATE THAT BINDS is Rule 12 (Part 4: Base implied 5-year return above 10%, Bear 0% or higher). The terminal multiple may not exceed today's P/FCF or the 5-year median, so Base is about per-share FCF growth plus the dividend yield WHATEVER THE PRICE (a lower price lowers the allowed multiple with it): PG needs 7.7% a year (consensus EPS +1.3% FY27, +6.0% FY28; Base about 8.0% at 5.5%), SJM 6.9% (about 8.2% at 5%), CHD 9.0% (consensus about 7%, Base about 8.1%), and the same pre-check puts CL (needs 8.1%), JNJ (8.3%) and CMG at 7.5%-8.2% Base, as COST was (8.5%, calculator row 20). Bear passes (+0.5% to +1.6%). So no Staples name from this screen can enter at any price; the ordering by sector fit and correlation never tested Rule 12. PRE-CHECK ON THE 67 PASSERS in #43 (2-year consensus EPS CAGR capped at 15% plus the dividend yield, flat multiple; screening-level, NOT the formal Base): clear or narrow passes include DXCM, EXPE, MCK, VRSK, PAYX, ADP, BR, SYK, TJX, GD, STE, CTAS, RL and GILD (narrow: its 2026 EPS carries an acquired-R&amp;D charge); fails include PG, SJM, CHD, CL, JNJ, CMG, BKR, SLB, CPRT, ZTS. MNST is the one Staples name that clears (consensus EPS growth about 16%, correlation .14) but sits at 43.6x P/FCF against the 50x ceiling and its 5-year median multiple must be checked. WAVE 2 quant rereads: DXCM 4 / 5 / 4 (quant 4.3; RS 4, trend 4; earnings 10/29; max correlation .41 VFLO); GILD 4 / 2 / 5 (3.6; revenue consistency is its one low score; trailing FCF $12.0B is flattered by a weak H1 2025, FY25 FCF is $8.6B; earnings 10/29; correlation .56 VRTX); EXPE 5 / 3 / 4 (4.1; volume 2; earnings 11/4; correlation .62 VEEV). None triggers Rule 5. PROPOSED, NOT YET DECIDED: drop the Staples-first wave (each name fails a Hard Rule before any judgment work), make the Rule 12 pre-check the first gate for every new candidate, and take DXCM, then EXPE, then MCK / VRSK through judgment scoring, GILD only with a documented 8%+ per-share FCF growth case. The 10/7 look-through gaps are Consumer Cyclical (-4.6), Communication (-4.0) and Financials (-3.5); Staples is not an active bet there. How to get Staples ballast, if wanted, is Open Items #45.</t>
  </si>
  <si>
    <t xml:space="preserve">SCREEN-REORDER-ETF-STRATEGY</t>
  </si>
  <si>
    <t xml:space="preserve">Alan, 10/8/26, on the screening findings in row 114: (1) "yea, drop staples and proceed" -- the Staples-first wave (PG, SJM, CHD, CL) is dropped from the slate, the Rule 12 pre-check (Base about per-share FCF growth plus dividend yield, flat multiple) is the first gate for every new candidate before any judgment work, and screening proceeds with DXCM, then EXPE, then MCK / VRSK / PAYX; GILD only with a documented 8%+ per-share FCF growth case; MNST only if its 5-year median multiple leaves room under the 50x ceiling. (2) "we'll pick up on ETF strategy consideration since that's a genuine need/consideration we should incorporate in our strategy and rules" and "Let's consider [the Staples-ballast question] as part of overall ETF strategy": ETF strategy is now a wanted addition to the strategy and the rulebook, not a someday item. Open Items #7 (formal ETF treatment) is REOPENED and carries the scope: how ETFs count as positions (dry powder vs scored vs a separate sleeve; the 5-15% cash band and the 25% sector cap; look-through, #39), Rule 38 for the ETF cluster (#13, #25), ETFs as the source of defensive ballast now that Rule 12 screens out low-growth defensive single names, and how ETFs are selected. #45 is folded into #7. It is picked up after the DCA-CATCHUP-3 screening, not before; until then the tactical dry-powder treatment and the SPMO-first funding order stay in force. CORRECTION found while doing this: the 9/13 edit that closed #11 (recheck of DPZ, PG and GE; see rows 53-54) wrote its Done mark and note into #7 instead, so the ETF policy item had read Done since 9/13 and #11 had stayed open. #7 is reopened with its original pointer (row 37) and #11 now carries the close-out; CLAUDE.md and the ETF memory had it right (still open).</t>
  </si>
  <si>
    <t xml:space="preserve">DXCM-SCORING-PROPOSAL</t>
  </si>
  <si>
    <t xml:space="preserve">DXCM (Dexcom) first pass, judgment scoring and Rules 9-14, 10/8/26: PROPOSALS ONLY, awaiting Alan (order set in rows 114-115; Open Items #37). QUANT (fiscal-year basis, `landry draft`): FCF yield and trend 4 (yield 2.9%, trend expanding), revenue growth consistency 5 (CAGR 17.0%, CV 0.32), FCF margin trend 4 (19.7% expanding; 25.0% trailing), valuation 4, analyst consensus 5, technical trend 4, volume 4, relative strength 4 (blended +12.9%), ROIC vs WACC 5 (low confidence; 26.4% vs 10.3%). JUDGMENTS proposed with evidence in landry_scores.json (source manual, pending): competitive moat 3 (medium), revenue visibility 4 (medium), management quality 3 (medium). Moat 3 because fewer than two of the four tests are positive: pricing power is negative (the 10-K expects falling prices; from 1/1/2028 Medicare CGM payment resets at the 75th percentile of about ten winning bids), gross margin is mildly positive (63.4% in Q2 2026), switching cost has no disclosed persistency figure and Tandem now also integrates Libre, and US share is about 44.7% against Abbott's 48.5%. Management 3 is the new-CEO default (Jake Leach since 1/1/2025) with accretive buybacks ($500M at about $65 in 2025, $600M at about $70 in H1 2026, new $1B program) set against an unclosed FDA warning letter (3/2025), 2025 out-of-box failures, a Class I receiver recall, securities and G6/G7 class actions and an Elliott settlement (5/14/2026). COMPOSITE 78.4 BUY with valuation scored 3 (P/FCF 29x on FY26E against Abbott 25x, PEG 1.35; the draft's 4 rests on a 5-year average inflated by 2021), 80.0 STRONG BUY with the draft's 4 -- a knife-edge that sets initial size (3% vs 5%); plausible range 71.8-86.6, never below 65; Tier 1 average 4.00. RULES: Rule 5 not triggered (RS 4, trend 4). Rule 9: price $84.30 is under the 200-week average of $92.04 and has not been above it in 52 weeks, so first purchase is HALF size with a 90-day technical review; Rule 10: monthly MACD -2.4 against a -6.6 signal, turning up. Rule 11: earnings 10/29, CMS ruling on non-insulin Type 2 coverage expected before year-end (upside), Medicare competitive-bidding registration late fall 2026, FDA letter, so entry after the 10/29 print unless the thesis includes it. Rules 12-13 on FY26E FCF of about $1.1B ($2.91 a share, 28.9x; H1 2026 FCF after stock comp was $551M): Base 12% a year gives +12.0% (Likely), Bear 6% a year at a 23.4x terminal (0.81 of Base) gives +1.6% (Possible), Bull 17% at 31.8x gives +19.3% (Possible); a stress of 3% growth at 20x gives -4.3% and is not part of the rule. Rule 14: 28.9x passes. Maximum correlation 0.41 (VFLO). Net cash ($1.95B against $1.25B of converts). Beta 1.48 takes 1% off the full-position maximum. SIZE at about $712K: Buy half-size 1.5% (about $10.7K), Strong Buy half-size 2.5% (about $17.8K). CONTEXT: Q2 2026 revenue $1.308B (+13%, 12% organic), non-GAAP operating margin 25.1%, 2026 guide $5.18-5.25B, long-range plan above 10% a year through 2030 with 29-30% operating margin; insiders only sold (Sayer $8.3M in nine months), no purchases. RE-CHECK HOOKS: FDA letter closure, a persistency figure, the CMS Type 2 ruling, the bidding outcome, the 10/29 print.</t>
  </si>
  <si>
    <t xml:space="preserve">DXCM-SCORES-APPROVED</t>
  </si>
  <si>
    <t xml:space="preserve">Alan, 10/8/26, on the DXCM first pass (row 116): "3-4-3-3" -- APPROVED competitive moat 3, revenue visibility 4, management quality 3 (all medium confidence) and valuation multiples 3, an analyst override of the draft's 4 recorded in landry_scores.json (original 4, final 3; the note is in the adaptation field). The eight quant drafts (FCF yield and trend 4, revenue growth consistency 5, FCF margin trend 4, analyst consensus 5, technical trend 4, volume 4, relative strength 4, ROIC vs WACC 5) remain PENDING because they were not individually put to him; the Scoring-tab row cannot be exported until all twelve are approved. With valuation at 3 the composite is 78.4 (BUY, Tier 1 average 4.00), so the initial-size ceiling is 3% of the portfolio and Rule 9 halves the first purchase to about 1.5% (~$10.7K at $712K). TIMING (Alan: "11/6"): enter after the 10/29 print on 11/6/26, a Friday; DCA-CATCHUP-4 is on file for Monday 11/9 because the 7th is a Saturday, so the prep for DXCM must be finished by 11/6 and the tranche date is Alan's to move. PRE-TRADE CHECKS to run in the 11/6 prep, per the standing DCA steps: a fresh `landry draft DXCM` after the print (this record will be 29 days old); the re-check hooks (FDA warning letter status, any persistency figure, the CMS Type 2 ruling, competitive-bidding registration, the print itself); the Fidelity info-tab scan; the Entry Checklist and Implied-Return rows (Scoring row plus a Dashboard row insertion, to be opened in Excel once); the Correlation Matrix check. SAME PASS: quant rereads of PAYX and CTAS, the only Rule 12 pass-list names with no earnings print before 10/22 (next prints 12/18 and 12/17), so the only candidates that could fund the 10/22 tranche without print risk. PAYX: FCF yield 5, revenue growth consistency 3, margin 5 (quant 4.1) but TECHNICAL TREND 1 and relative strength 2 (12-month -35.9%), analyst consensus 1 (2 of 19 buy-equivalent), correlation 0.64 with ADBE: a Rule 5 review is required and it has the ADBE pattern of a high yield the market distrusts. CTAS: 4 / 3 / 4 (quant 3.7), trend 5, relative strength 2 (-8.0%), P/FCF about 46x against the 50x ceiling, consensus EPS growth +12.1% / +11.2%, correlation 0.48 with PLD. CAPACITY NOTE: after DXCM and EXPE are held for 11/6, the 10/22 tranche (about $40-50K plus the ~$20K carry) has at most CTAS clean, so the rest waits for the 11/6 names or other uses; half-size first buys (about $10.7K each) mean a full tranche needs about six names.</t>
  </si>
  <si>
    <t xml:space="preserve">CTAS-UNIFIRST-BINARY-EVENT</t>
  </si>
  <si>
    <t xml:space="preserve">Qualifies row 117's remark that CTAS has no earnings print before 10/22: it does not clear Rule 11 either. Cintas signed a merger agreement for UniFirst on 3/10/26 (about $5.5B: $155.00 cash plus 0.7720 Cintas shares per UniFirst share, roughly 3-4% dilution and a rise in debt from $2.4B). The FTC issued a Second Request on 6/11/26; both companies certified substantial compliance on 10/2/26 and agreed not to close before 12/11/26 unless the FTC closes its probe first; the Canadian Competition Bureau has a supplementary request outstanding (answered 9/29); the parties still expect to close before year-end, and press reports a $350M reverse termination fee. Press accounts say the FTC is looking at local concentration (Nashville, Atlanta, Miami, Los Angeles) and that Cintas and UniFirst together would hold about half of US garment rental (a 2021 Baird estimate). That is a binary event the 10/22 purchase would sit under, and the thesis would have to include it: if the deal is blocked or forced into divestitures the case changes, and if it closes the combined company carries integration risk and more leverage. Cintas Q1 FY27 itself was clean (revenue $3.01B +10.9%, organic 8.9%, EPS $1.39 adjusted, guide raised to $12.15-12.27B and EPS $5.45-5.54), but on the System's numbers it is also expensive at about 46x P/FCF (FY basis) with Rule 12 passing narrowly (Base about 11.8% at 11% growth, Bear about +2.2%, Bull about 17%). PARKED until the FTC rules (earliest after 12/11), i.e. not a CATCHUP-3 or -4 candidate; revisit for CATCHUP-7 (12/22) or later. PAYX stays parked: Rule 5 (technical trend 1) and a 2-of-19 buy consensus. RESULT FOR THE 10/22 TRANCHE (CATCHUP-3, about $40-50K plus the ~$20K carry): no name on the Rule 12 pass list is clean on both the Rule 5 and Rule 11 tests: the rest print 10/28-11/5 (ADP and GD 10/28; SYK, DXCM, GILD 10/29; BR 11/3; MCK, EXPE, STE, ETSY 11/4; VRSK, RL, MNST 11/5; TJX 11/18). Part 5 says not to force positions to reach a target, so the choices for Alan are: hold the tranche as dry powder and deploy it on 11/6 with the post-print names; accept one or two prints inside an explicit thesis; or add to an existing Core Hold / Add position within the caps. Not decided.</t>
  </si>
  <si>
    <t xml:space="preserve">EXPE-SCORING-PROPOSAL</t>
  </si>
  <si>
    <t xml:space="preserve">EXPE (Expedia Group) first pass, judgment scoring and Rules 9-14, 10/8/26: PROPOSALS ONLY, awaiting Alan (next name in the order of rows 114-115; Open Items #37). KEY FINDING: the quant drafts' free cash flow is flattered by customer-prepayment float. Deferred merchant bookings rose $1.86B in FY2025 (balance $8.5B to $10.4B, +22% against gross bookings +8%) and net working capital supplied about $1.19B of the $3.88B operating cash flow; the trailing figure (after stock comp $4.05B, a 12.5% yield) adds roughly another $1B of float growth ($15.4B at 6/30/26). Part 10 says to adjust FCF for material working-capital timing: normalized FCF after SBC is about $2.0B for FY2025 and about $2.4B for FY2026E (adjusted EBITDA margin +150-175bp on revenue +9-10%), i.e. a yield near 7% and 12.3x P/FCF at $258.86 (10/7 close), not 8.3% / 12.5% and 7.7x. So two overrides are proposed at approval: FCF yield and trend 5 to 4 (yield level 5, trend only modestly expanding once float is stripped) and FCF margin trend 4 to 3 (normalized margin about 13-14%, flat). Other quant drafts stand: revenue growth consistency 3 (CAGR 8.1%, CV 0.18), valuation 5 (PEG 0.68, P/FCF under its 5-year average), analyst consensus 3 (45% buy; Morgan Stanley moved to Underweight at $235 on 9/16), technical trend 5, volume 2, relative strength 3 (blended +1.3%), ROIC vs WACC 5 (low confidence). JUDGMENTS pending in landry_scores.json with evidence: competitive moat 3, revenue visibility 2 (travel is transactional; only the B2B third of bookings rests on partner agreements), management 3 (new-CEO default: Ariane Gorin since 5/2024, new CFO Derek Andersen in 2026; Diller's Class B holds about a third of the votes; buybacks $1.7B in 2025 and $900M in H1 2026; insiders only sold) -- all medium. COMPOSITE 68.2 BUY at a Tier 1 average of 3.14, only just over the 3.0 floor; with the drafts' FCF numbers 74.2; plausible range 61.6-79.2, and a harsh combination (moat 2, visibility 1, valuation 4) gives 61.6 WATCH LIST with Tier 1 at 2.79, so this is a marginal Buy. RULES: Rule 5 not triggered (RS 3, trend 5); Rule 9 price above the 200-week average ($169.81) so standard size; Rule 10 monthly MACD positive; Rule 11 earnings 11/4, so entry on 11/6 is after the print, and AI-agent disintermediation is the live narrative risk (Meta's Muse agent launched 9/8, Morgan Stanley Underweight 9/16, stock down 24% from its 8/24 high of $338.64; Expedia is integrating with Muse as merchant of record); Rules 12-13 on normalized FY26E FCF of $2.4B ($20.96 a share): Base 11% a year gives +11.5% (Likely), Bear 5.5% at 10.0x (0.81 of Base's terminal) +1.9% (Possible), Bull 16% at 13.6x +18.7% (Possible); a stress of 3% growth at 9x gives -2.5% and is not part of the rule; Rule 14 passes at 12.3x. Maximum correlation 0.62 with VEEV (under 0.70); debt $5.5B is about 2.3x normalized FCF. SIZE at Buy: standard initial up to 3% (about $21K at $712K). It fills the look-through underweight in Consumer Cyclical (-4.6). CONTEXT: Q2 2026 gross bookings $33.9B (+12%), revenue $4.3B (+14%, about 4 points FX), adjusted EBITDA $1.12B (25.9%), B2C bookings +8% and B2B +21%; Q3 guide bookings +5-7% and EBITDA margin 32.5-32.8%; FY2026 guide revenue $16.05-16.22B. RE-CHECK HOOKS: the 11/4 print (bookings growth, B2C user trend, margin), any AI-agent booking data, the Muse hotel launch, CarTrawler integration.</t>
  </si>
  <si>
    <t xml:space="preserve">DXCM-EXPE-APPROVED</t>
  </si>
  <si>
    <t xml:space="preserve">Alan, 10/8/26: "approve EXPE" and "DXCM approve quant". DXCM is now COMPLETE in landry_scores.json: all twelve indicators approved by Alan (moat 3, visibility 4, management 3 and valuation 3 as approved in row 117; the eight quant drafts as drafted: FCF yield and trend 4, revenue growth consistency 5, FCF margin trend 4, analyst consensus 5, technical trend 4, volume 4, relative strength 4, ROIC vs WACC 5 at low confidence); the composite from the approved set is 78.4 BUY, as proposed. EXPE has FIVE of twelve approved: competitive moat 3, revenue visibility 2, management 3 (all medium, as drafted), and two analyst overrides of the draft recorded in the store with their Part 10 working-capital rationale -- FCF yield and trend 5 to 4 and FCF margin trend 4 to 3 (row 119). EXPE's other seven quant drafts (revenue growth consistency 3, valuation 5, analyst consensus 3, technical trend 5, volume 2, relative strength 3, ROIC vs WACC 5) remain PENDING because "approve EXPE" was put to him for the five items; with them as drafted the EXPE composite is 68.2 BUY (Tier 1 average 3.14). Neither name has been added to the Scoring tab: that needs a Scoring row each plus Dashboard row insertions (the Dashboard has no spare row left), Entry Checklist and Implied-Return rows, and an open in real Excel afterward, planned for the 11/6 prep so that one pass covers DXCM and EXPE. TIMING stays as set: DXCM entry 11/6 at half size (row 117); EXPE is a candidate for the same date, after its 11/4 print, at up to 3% -- not yet decided. OPEN PROCESS QUESTION for Alan: whether "approve &lt;ticker&gt;" should from now on also cover that ticker's mechanical quant drafts, so each name needs one reply instead of two.</t>
  </si>
  <si>
    <t xml:space="preserve">SCREEN-GATE-TABLE</t>
  </si>
  <si>
    <t xml:space="preserve">Gate check on the next names, 10/8/26 (read-only: fiscal-year quant drafts, the Rule 5 flags, Rule 12 pre-check at consensus growth, earnings dates and maximum pairwise correlation to the holdings; nothing written to the score store except the VRSK and MCK `landry draft` proposals). WHAT IT SHOWS: of 20 names tested after DXCM and EXPE (these 18 plus PAYX and CTAS), nine carry a Rule 5 flag (relative strength or technical trend at 1): VRSK (RS 1 at -31% blended, 12-month -50%, trend 1), PAYX (trend 1, RS 2, consensus 1), PODD, STE and SYK (RS 1 and trend 1), BR, GD, TJX, IDXX (RS 1); two exceed 0.70 correlation with a holding (ADP 0.74 and BR 0.77, both with VEEV); ROST's two-year growth is a recovery (+32.8%, then +2.1%) so its Base fails on the second year; UNH (prints 10/13) is a recovery story with quant 3.11 and litigation risk; MCK's FCF margin trend is 2 (1.3%) with working-capital-driven FCF and SBC not reported. UNFLAGGED and passing the Rule 12 pre-check: GILD (Base about 11.9%, messy 2026 EPS, prints 10/29), INCY (13.4%, 10/29), EW (15% capped, 41x P/FCF, 11/4), RL (13.2%, 36.8x, correlation 0.60 with ASML, 11/5), MNST (15% capped, 47x P/FCF near the 50x ceiling, correlation 0.38, 11/5), HAL (11.0%, energy services, 10/20). By sector the unflagged names are mostly Health Care (already about 3.9 points overweight on the 10/7 look-through) or Energy (about 7.9 overweight); the diversifying fits are RL (Consumer Cyclical) and MNST (Consumer Defensive, the one Staples name that clears Rule 12). OBSERVATION: the Rule 5-flagged group, plus EXPE (0.62 with VEEV), is largely the same AI-disruption-fear cohort the book already holds through ADBE, VEEV and CRWD (software, data, services, travel), so more of it concentrates one factor even though no rule is breached. IMPLICATION for the 11/6 pack and the DCA pace: after DXCM (half size) and EXPE (up to 3%) the single-name pipeline is thin -- about $32K of a $40-50K tranche plus the ~$20K carry (and the 10/22 tranche if held) -- so either the plan relaxes in pace, more Rule 5 reviews are done, or the ETF strategy (Open Items #7) has to supply part of the deployment. Not decided.</t>
  </si>
  <si>
    <t xml:space="preserve">SEC-TTM-FISCAL-YEAR-FIX</t>
  </si>
  <si>
    <t xml:space="preserve">Bug found and fixed in landry/sec_ttm.py while scoring RL (10/8/26). `_fiscal_year_ending_before` took the LATEST fiscal year on file instead of the year that ends the day before the year to date begins, so when the newest 10-K lacked a line item the trailing figure silently borrowed an older year: RL's FY2026 capex is absent from the SEC facts, so trailing capex was FY2025's $216M + this year's $53M - last year's $187M = $82M against about $296M, and trailing FCF read $1.12B (5.1% yield) against about $0.9B (4.1%). The function now requires the year to end within 12 days of the year-to-date start, so a missing year makes the newest window incomplete and the tool refuses ("supply the figure by hand"); the single-ticker command prints that as a message rather than a traceback. A regression test pins it (tests/test_landry_sec_ttm.py, 28 pass). CHECKS: `--holdings` reproduces the 10/5 comparison for MU, AVGO, PLTR, VRTX, ADBE, ANET, CRWD, KLAC, VRT, V and NFLX unchanged (VRT still the one REVIEW, ANET the knife-edge), and VEEV (bought 10/7, not in the 10/5 run) now lists as BY HAND for lack of a capex fact like GE, NVDA, PLD, ASML and TSM; of the 67 S&amp;P 500 screen passers (Open Items #43) only RL had been fed by a contaminated SEC figure -- ten others (ABNB, APP, ADP, EME, GE, HAL, HONA, INCY, IR, MCK) were already on the yfinance basis and would now be refused by the SEC path. RECHECKED IN FULL the same day (Alan: "bug effects on previous screens?"): the whole SEC stage of the 10/8 screen was re-run with the fix on all 322 names. 215 of the 219 names computed before give IDENTICAL figures (newest-window FCF and revenue, window count and all three Tier 1 quant scores); four were affected: APD (FCF -$1.85B, scores 1/1/1), LNT (a utility, FCF about zero) and LHX (quant 3.89 on SEC data, but Debt/FCF 6.8x) fail the screen on either basis, and RL passes on either basis -- only its P/FCF was wrong (19.3x in the screen against about 24x normalized, 37x on FY2026), still under the 50x ceiling. So no pass/fail flips and the 67-name pass list (Open Items #43) stands. The other 103 names never produced an SEC figure, so the bug could not have touched them. The names analyzed by hand on 10/8 (PG, SJM, CHD, DXCM, GILD, EXPE, PAYX, CTAS, MNST) reproduce exactly.</t>
  </si>
  <si>
    <t xml:space="preserve">RL-SCORING-PROPOSAL</t>
  </si>
  <si>
    <t xml:space="preserve">RL (Ralph Lauren) first pass, judgment scoring and Rules 9-14, 10/8/26: PROPOSALS ONLY, awaiting Alan (Alan: "Let's do RL, MNST then move on to ETFs"). QUANT (fiscal-year basis): FCF yield and trend 4, revenue growth consistency 3 (CAGR 8.0%, CV 0.60), FCF margin trend 3, valuation 3, analyst consensus 4 (17 of 19 buy), technical trend 5, volume 2, relative strength 2 (blended -10.9%, 6-month -19.4%), ROIC vs WACC 5 (low confidence). CASH FLOW: the reported FY2026 FCF (about $0.6B after SBC) carried an investment year of capex (about $430M against $216M), and the SEC trailing figure was wrong (row above); normalized FY27E FCF after SBC is about $0.9B with capex at the guided 4-5% of revenue, i.e. 4.1% on $21.9B and about 24x. The shares are 37.7M Class A plus 21.9M Class B = 59.6M; the 37.7M on the Yahoo summary is Class A only. JUDGMENTS pending with evidence in landry_scores.json: competitive moat 4 (pricing power, gross margin 73.7% and share gains clear three of the four tests), revenue visibility 2 (transactional; about 28% wholesale order books and 2% licensing), management 4 (Louvet since 2017, about $1.3B a year of buybacks, dividend +9.6%; held back by the Lauren-controlled vote, $100M of founder sales and the COO change) -- all medium. COMPOSITE 69.4 BUY at a Tier 1 average of 3.36; range 60.8-76.0, and a combined miss (moat 3, FCF yield 3, valuation 2) falls to 60.8 WATCH LIST. RULES: Rule 5 clear (RS 2, trend 5); Rule 9 standard size (price $361.14 against a 200-week average of $224.15); Rule 11 earnings 11/5, so entry 11/6 is the day after the print; Rules 12-13 on $15.10 a share of normalized FCF at 23.9x: Base 10% a year gives +10.8% (it needs 9.1%) -- a THIN pass --, Bear 5% at 0.81x +1.9%, Bull 14% +16.9%, stress 3% at 17x -2.4%; Rule 14 passes. Maximum correlation 0.60 (ASML). SIZE at Buy: up to 3% (about $21K). Fills Consumer Cyclical (-4.6 look-through). CONTEXT: Q1 FY27 revenue +14.0% (Asia +24%, China +40%, North America +13% with wholesale +22% including about 15 points from one resumed luxury account, Europe +7% with comparable stores +1%), average unit retail +15%, 1.5M new consumers, EPS $4.28; FY27 guide +5-6% constant currency with margin +60-80bp. RE-CHECK HOOKS: the 11/5 print (guide, Europe, tariff refunds), wholesale normalization, capex discipline.</t>
  </si>
  <si>
    <t xml:space="preserve">MNST-SCORING-PROPOSAL</t>
  </si>
  <si>
    <t xml:space="preserve">MNST (Monster Beverage) first pass, judgment scoring and Rules 9-14, 10/8/26: PROPOSALS ONLY, awaiting Alan. QUANT (fiscal-year basis): FCF yield and trend 4 (yield 2.3%, trend expanding), revenue growth consistency 3 (CAGR 9.5%, CV 0.36), FCF margin trend 4 (21.9%), valuation 4 (a 3 is recommended: P/FCF about 43x against a 5-year median of about 39-42x that I rebuilt from prices and SEC FCF, PEG 2.3; the draft's 74%-of-average rests on a 64x proxy inflated by the depressed 2022 FCF), analyst consensus 3, technical trend 5, volume 3, relative strength 3, ROIC vs WACC 5 (low confidence). Cash flow is clean: operating cash flow tracks net income (H1 2026 $1,114M against net income $1,154M), capex is light, TTM FCF after SBC is $1.96B. The stock split two-for-one on 8/11/26, so there are 1.96B shares and the price is about $43. JUDGMENTS pending with evidence in landry_scores.json: competitive moat 4 (all four tests clear: price increases with volume, 56% gross margin, Coca-Cola bottler distribution, +70bp US value share), revenue visibility 3 (repeat-purchase habit on distributor agreements, no volume commitments), management 4 (founder-led since 1990, no debt, $4.2B of cash and investments, opportunistic buybacks; held back by succession in the founders' mid-70s, the Americas CEO leaving for Coca-Cola North America on 11/30, and insider sales) -- all medium. COMPOSITE 73.8 BUY at a Tier 1 average of 3.64; 75.4 with the draft's valuation 4; range 67.2-80.4. RULES: Rule 5 clear (RS 3, trend 5); Rule 9 standard size ($42.88 against a 200-week average of $31.19); Rule 11 earnings 11/5; Rules 12-13 on $1.00 a share of FCF at 42.8x with the terminal multiple capped at the 5-year median (about 40x): Base 13% a year gives +11.5% (it needs 11.5%) -- a THIN pass that depends on 12%+ growth for five years --, Bear 6.5% at 32.4x +0.7%, Bull 18% +18.6%, stress 5% at 30x -2.2%; Rule 14 passes at 42.8x against the 50x ceiling. Maximum correlation 0.38 (PLD). SIZE at Buy: up to 3% (about $21K). The one Staples-type name that clears Rule 12. CONTEXT: Q2 2026 net sales $2.54B (+20.2%, 17.9% constant currency), US and Canada +11.5% against a +7.1% category, international +34.6% to 46% of sales at lower gross margins (EMEA 38.8%, Asia Pacific 41.4%, Latin America 46.2%), gross margin 55.9%, aluminum and tariff costs rising modestly through 2026, selective US price increases planned for Q4, an investor meeting 12/1/26. RE-CHECK HOOKS: the 11/5 print (US growth, gross margin), the Americas leadership, international margin dilution.</t>
  </si>
  <si>
    <t xml:space="preserve">QUANT-APPROVED</t>
  </si>
  <si>
    <t xml:space="preserve">Alan, 10/8/26: "Approve quant" -- every pending mechanical draft for EXPE (7), RL (9) and MNST (8) approved as drafted, by Alan, source quant_draft, in landry_scores.json. (The judgment scores and the overrides were approved earlier the same day: DXCM row 117, EXPE row 120, RL and MNST in the session after row 124.) All four names are now COMPLETE at 12 of 12 indicators, and the composites from the approved sets are exactly the proposals: DXCM 78.4 BUY (Tier 1 4.00), EXPE 68.2 BUY (3.14), RL 69.4 BUY (3.36), MNST 73.8 BUY (3.64). The approved overrides on record: DXCM valuation 4 to 3; EXPE FCF yield and trend 5 to 4 and FCF margin trend 4 to 3 (float-flattered FCF, row 119); MNST valuation 4 to 3. NOT DONE, planned for the 11/6 prep so one pass covers all four: the Scoring-tab rows (Company / Sector / Industry by hand), the Dashboard row insertions (the Dashboard has no spare row left; row surgery, to be opened in real Excel once), the Entry Checklist and Implied-Return rows, and a fresh `landry draft` for each name after its print (DXCM 10/29, EXPE 11/4, RL and MNST 11/5; the 10/8 scores will be 29 days old on 11/6). Entry dates and sizes are still Alan's to decide on 11/6; the Rule 9 / sizing notes in rows 116-124 stand (DXCM half size and EXPE, RL and MNST at standard size up to 3% each at Buy; Rule 12 passes are thin for RL and MNST).</t>
  </si>
  <si>
    <t xml:space="preserve">ETF-REPORT-BUILT</t>
  </si>
  <si>
    <t xml:space="preserve">ETF REPORT built 10/8/26 (Alan: "Turn it into an ETF Report, and we'll pick up the discussion tomorrow"). `python -m landry etf [--docx [PATH]] [--pdf]` (landry/etf_report.py, 13 tests) reads the workbook and prints, or writes docs/Landry ETF Report &lt;date&gt;.docx (+ PDF, three Letter pages): the sleeve, average-linkage groups at 0.70, Fama-French five-factor plus momentum loadings, sector look-through and overlap, risk contributions, candidate diversifiers, the rules the sleeve touches and the open design questions. It is read-only (yfinance prices and fund facts, Kenneth French's monthly factor files) and takes the ETF list from the Performance Tracking ledger's Type column. THE 10/8 RESULTS: ten ETFs, $321.5K = 45.1% of $712.6K (direct stocks 48.0%, cash and other 6.9%), weighted cost 0.35% (about $1.1K a year); JT ULTRA ETFs $154.6K with -$7.9K unrealized, Chase $166.9K with +$19.0K. Two groups that are each one bet and each over Rule 38's 20% cluster cap: AVUV + VFLO + VYM + DVY + SCHD + JEPI = 22.6% (average correlation 0.81, 14.1% of variance) and JEPQ + HELO + SPMO + the direct NVDA = 22.3% (0.80, 27.1%); KLAC + ASML is 4.7% (0.78). MLPI (7.2%, 94% energy) adds -0.5% of variance but has only 42 weeks of history. Direct stocks are 48.0% of weight and 74.5% of variance, the sleeve 45.1% and 25.5%; portfolio volatility 15.6% against SPY's 14.3%, beta 1.03, about 9.5 effective independent bets. Look-through of invested equity: Technology 42.1% against SPY's 40.5% (direct Technology is 27.5% of the portfolio against the 25% cap, 39.2% looked through), Energy +7.9 points, Health Care +3.9, Consumer Cyclical -4.6, Communication -4.0, Financials -3.5, Staples -1.6; NVDA is effectively 8.0% and semiconductors at least 20.0% of the portfolio. There are no bonds and no international: moving 7% of the portfolio into T-bills, bonds, Staples, gold, Utilities or Health Care cuts volatility by 0.7-1.2 points, while equal-weight, quality, Financials, international and Discretionary give 0.1-0.4 (a three-year bull-market window; bond and defensive correlations can flip). Part 5's cash band reads 6.9% if the ETFs are invested equity and 52.0% if they count as cash, which is how the workbook's Cash / Cash Equivalents aggregate counts them. SIX DESIGN QUESTIONS stay OPEN for the discussion on 10/9 (Open Items #7): the role of the sleeve (reservoir, permanent core, both), classification for the cash band and the sector cap, which exposures ETFs should supply, selection rules, caps and funding order, and scoring. ALAN'S REFERENCE: he saved docs/ETF Strategy Review_v1.docx (a generic core-and-satellite framework: asset allocation first, a broad core of US, international and bond ETFs with 0-20% tilts, selection by cost, tracking difference, liquidity and premium to NAV, account placement, rebalancing at about a 5-point drift, no technical indicators for the core) and docs/BEST SOURCE FOR FCF TICKER LISTING.docx; both are untracked and stay uncommitted unless he says so.</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</si>
  <si>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</si>
  <si>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</si>
  <si>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</si>
  <si>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</si>
  <si>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</si>
  <si>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</si>
  <si>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</si>
  <si>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</si>
  <si>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`python -m landry prices rebuild` (restates every close for dividends; `prices status` first), then confirm Rule 38 status</t>
  </si>
  <si>
    <t xml:space="preserve">Watch List Tracker -- check all 90-day deadlines (Rules 32-33), flag any DEADLINE PASSED / APPROACHING</t>
  </si>
  <si>
    <t xml:space="preserve">Scan Fidelity's info tabs (Overview, Dividends &amp; Earnings, Analyst Ratings, Statistics/Comparisons) for each held position -- confirmed earnings date, valuation-vs-industry, analyst sentiment split, multi-period price performance. Context the yfinance-backed Tier 1 pipeline doesn't capture. Scope still being proven out (added 9/30/26, see ADBE Moat Quality case, Journal row 66) -- err inclusive rather than narrow for now.</t>
  </si>
  <si>
    <t xml:space="preserve">Before acting on any Watch List / Exit Review deadline or Rule 1 / Rule 3 trip: `python -m landry.sec_ttm --holdings` compares every US-filer holding's fiscal-year scores with its latest 10-Q. Re-score on trailing windows only where a hard-rule outcome or Decision band differs on both the full window count and the newest four (either direction); look at any knife-edge; check the BY HAND names (ASML, TSM, REITs, tag gaps) from the filings. Policy 10/5/26 -- Open Items #31, Journal row 94.</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</si>
  <si>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</si>
  <si>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</si>
  <si>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</si>
  <si>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</si>
  <si>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</si>
  <si>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</si>
  <si>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After the new 10-Qs land and before approving the Tier 1 re-scores: `python -m landry.sec_ttm --holdings` (fiscal-year scores of record against the latest 10-Q). Re-score on trailing windows only where a hard-rule outcome or Decision band differs on both the full window count and the newest four (either direction); BY HAND names from the filings; Part 10 add-backs go in landry_addbacks.json and the score's adaptation field. Policy 10/5/26 -- Open Items #31, Journal row 94.</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</si>
  <si>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</si>
  <si>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</si>
  <si>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</si>
  <si>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</si>
  <si>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</si>
  <si>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</si>
  <si>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 When liquidating dry-powder ETFs to fund this tranche, draw from SPMO first -- it correlates 0.74-0.88 with NVDA/AVGO/JEPQ (2 exceed Rule 38's 0.70 cap), the least diversifying of the 10 ETF positions. See Journal 9/13/26.</t>
  </si>
  <si>
    <t xml:space="preserve">Confirm Correlation Matrix status hasn't moved unfavorably before buying</t>
  </si>
  <si>
    <t xml:space="preserve">Before finalizing this tranche's buy target(s), run a fresh Tier 1 quant reread (`landry draft &lt;TICKER&gt;`) for every candidate under consideration -- not just the usual diversifier names -- and deprioritize any showing new price-trend weakness or a stale (30+ days, or pre-8/18/26) Date Scored. See Journal 9/29/26 -- VRTX/PLD/ADBE all showed unflagged weakness that week; GE/NFLX proved stronger on a fresh check.</t>
  </si>
  <si>
    <t xml:space="preserve">Before finalizing this tranche's buy target(s), scan Fidelity's info tabs (Overview, Dividends &amp; Earnings, Analyst Ratings, Statistics/Comparisons) for the leading candidate(s) -- confirmed earnings date, valuation-vs-industry, analyst sentiment split, multi-period price performance -- alongside the fresh Tier 1 reread above. Scope still being proven out (added 9/30/26) -- err inclusive rather than narrow for now.</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</si>
  <si>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</si>
  <si>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</si>
  <si>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</si>
  <si>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</si>
  <si>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</si>
  <si>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</si>
  <si>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</si>
  <si>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</si>
  <si>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</si>
  <si>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</si>
  <si>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</si>
  <si>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</si>
  <si>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12-14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</si>
  <si>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</si>
  <si>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</si>
  <si>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</si>
  <si>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See Journal row 37. REOPENED 10/8/26 (Journal row 115): a 9/13 edit meant to close #11 had marked this item Done by mistake (now corrected). Alan, 10/8/26: ETF strategy is 'a genuine need/consideration we should incorporate in our strategy and rules' -- picked up after the DCA-CATCHUP-3 screening, not before. SCOPE: (1) how ETFs count as positions -- dry powder vs scored vs a separate sleeve, size ranges and caps, how the 5-15% cash band and the 25% sector cap treat them, whether sector exposure is measured by look-through (#39); (2) Rule 38 for ETFs (#13, #25: the AVUV / DVY / SCHD / VFLO / VYM Value cluster at 0.73-0.89 and 20.8% of the portfolio, plus JEPI / HELO); (3) ETFs as the source of DEFENSIVE BALLAST: Rule 12's Base &gt;10% test is about per-share FCF growth plus dividend yield whatever the price, so it screens out low-growth defensive single names (PG needs 7.7% a year, SJM 6.9%, CHD 9.0%, CL 8.1%, JNJ 8.3%; COST failed at 8.5%) -- Staples and other defensives, which the sector review wants as weak-year ballast and which are not an active bet in the 10/7 look-through, would have to come from ETFs unless Rule 12 is adapted (Journal row 114; former #45); (4) how ETFs are selected (quality and cost criteria, overlap with direct holdings, factor tilts); (5) whether ETFs ever get Part 12-style scoring. Until then the tactical treatment stands: dry powder, rolled into the Cash / Cash Equivalents aggregate, SPMO drawn first for funding. 10/8/26: the read-only inventory is done and is now a command, `python -m landry etf [--docx] [--pdf]` (Journal row 126; docs/Landry ETF Report 2026-10-08.docx): the sleeve is 45.1% of the portfolio; two groups each over Rule 38's 20% cluster cap (value / dividend / FCF + JEPI 22.6%; JEPQ + HELO + SPMO + NVDA 22.3%); no bonds or international; Staples / bond / gold / utility ETFs cut volatility most. The six design questions above are the agenda; discussion resumes 10/9. Alan's reference: docs/ETF Strategy Review_v1.docx (core-and-satellite framework; untracked).</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</si>
  <si>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</si>
  <si>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</si>
  <si>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</si>
  <si>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</si>
  <si>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</si>
  <si>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 DPZ and PG both showed real deterioration (parked, same as LIN/ET); GE improved and was advanced to full Tier 2/3 (Composite 84.2, STRONG BUY). See Journal row 54.</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</si>
  <si>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</si>
  <si>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Traced provenance: CMG and ETSY ARE Darryl-sourced and still unverified; PH/ETN are not Darryl-sourced. V (held position) also Darryl-sourced -- rechecked, fell to BUY from STRONG BUY. See Journal row 56.</t>
  </si>
  <si>
    <t xml:space="preserve">Rule 38 cluster-exposure cap breach: AVUV/DVY/SCHD/VFLO/VYM (5 of the 10 ETF sleeve positions) correlate 0.73-0.89 with each other and sum to 20.76% of the portfolio, over the docx's 20% cluster cap. Per the rule itself this needs a documented shared-risk-driver writeup (looks like a common Value-factor tilt) and written approval to continue above 20%, or a trim. Tied to the still-paused ETF-sleeve design conversation -- don't resolve unilaterally.</t>
  </si>
  <si>
    <t xml:space="preserve">ADBE Moat Quality: holding at 4, flagged for revisit at next earnings (not before).</t>
  </si>
  <si>
    <t xml:space="preserve">ADBE Moat Quality (currently 4/M, Scoring row 12) -- holding pending next earnings. Deep-dive research found decelerating net-new-ARR and declining RPO (leading indicators, Canva/Figma competitive pressure) plus a chart-based signal (sustained underperformance vs. SPY, confirmed MACD bearish dive) suggesting possible real erosion; Alan's read is this leans more Wall Street narrative than confirmed real-world usage loss. Don't move the score on price action/technicals alone -- revisit specifically when ADBE's next earnings report gives real ARR/RPO data. See Journal row 66. Confirmed earnings date (Fidelity, checked 9/30/26): Dec-09-2026 Q4 earnings. TRIPWIRES 10/8/26 (Journal row 110): Q4 net new ARR at or above about $0.75B; FY27 ending-ARR growth guide at or above about 8% organic; RPO growth near 8% or better with the usual Q4 step-up; evidence that freemium users convert to paid. Two misses -&gt; re-score Moat and Revenue Visibility (and rung 2 of the stop-review ladder if the price is then 30% or more below cost with deterioration found).</t>
  </si>
  <si>
    <t xml:space="preserve">UNH: quant screen clears (~3.33) but Fidelity scan found active CalPERS litigation (motion to dismiss denied in part 9/30/26) and a genuinely Bearish 1.5/10 analyst consensus -- flagged to score further only after the situation settles, not scored now.</t>
  </si>
  <si>
    <t xml:space="preserve">See Journal row 69. Revisit on a clearer CalPERS resolution or after Q3 earnings (10/13/26).</t>
  </si>
  <si>
    <t xml:space="preserve">ACN: quant screen marginal (~2.875, driven almost entirely by severe relative-strength weakness) but Fidelity scan found a Very Bullish 9.4/10 analyst consensus and a cheap relative valuation -- held open, no score until after Q4 earnings.</t>
  </si>
  <si>
    <t xml:space="preserve">See Journal row 69. Revisit after the 10/1/26 earnings print.</t>
  </si>
  <si>
    <t xml:space="preserve">AZN: quant screen solid (~3.44) but relative_strength=1 triggers the new Rule 5 review. Fidelity check (partial -- session logged out mid-review) found milder weakness than feared: still up +5.48% absolute over 1yr, real decline concentrated in the last 2 quarters, a real sector headwind (weight-loss-drug competition) plus one offsetting positive analyst take. Held at Watch, not scored.</t>
  </si>
  <si>
    <t xml:space="preserve">See Journal row 73. Revisit with full Fidelity access (Equity Summary Score/Analyst Ratings weren't available this pass) or at the ~10/30/26 earnings print. UPDATE 10/1: full review done -- AZN has no ESS/analyst coverage at all on Fidelity, confirmed. No change to the Watch read. See Journal row 74.</t>
  </si>
  <si>
    <t xml:space="preserve">INTU: quant screen strong (~3.56, excellent fundamentals across the board) but relative_strength=1 AND technical_trend=1 BOTH hit the floor simultaneously -- the first candidate to trip both Rule 5 indicators at once. Fidelity check (partial, same session-logout limitation) found the most severe fundamentals-vs-price divergence seen all engagement: a sustained multi-year decline (-57% YTD, -59% 1yr, -54% 2yr, -48% 5yr), not a recent pullback. Held at Watch, explicitly not cleared the way SPOT was -- needs the full sentiment picture before any further consideration.</t>
  </si>
  <si>
    <t xml:space="preserve">See Journal row 73. Revisit with full Fidelity access first (Equity Summary Score/Analyst Ratings critical here given the severity), or at the ~11/18/26 earnings print. UPDATE 10/1: full review done -- ESS is a decisive Bearish 1.6/10, confirming (not just leaving unexplained) the severe divergence. Still held at Watch pending Alan's call on whether this warrants more than that. See Journal row 74.</t>
  </si>
  <si>
    <t xml:space="preserve">Candidate-screening sector priority: before the next OPEN (non-Darryl) screen, rank sectors by gains vs the S&amp;P 500 (SPX) over roughly the last 30 years, then combine that with the portfolio-overlap view (Sector Cap Headroom on CANDIDATES LIST.xlsx) to choose which sector to screen next. Not built yet.</t>
  </si>
  <si>
    <t xml:space="preserve">Policy recorded 10/2/26 (Journal row 75, CLAUDE.md). Darryl-list names are the exception and keep their own order. Approach and data source still to decide -- e.g. the SPDR sector ETFs only go back to Dec 1998 (~27 years), so a true 30+ year view needs S&amp;P sector index history or industry-portfolio data (Fama-French). Use as a search-priority weighting only, not a sector verdict; the Tier 1 gates still decide every name. Refresh periodically. UPDATE 10/7/26: the sector-history review (Journal row 106) found that ranking sectors by gains vs the S&amp;P would point at Technology and Consumer Discretionary, where the book is already over the cap or highly correlated; revising the method is PENDING FURTHER REVIEW (Alan). Proposal on the table: open spot x low correlation to the book x System quality and cap room, with long-run sector return as a tiebreak only. The sector-driver study is #36.</t>
  </si>
  <si>
    <t xml:space="preserve">Portfolio Performance snapshot (simple): track in detail ONLY the System-selected equities in the portfolio over time -- excluding cash and cash equivalents.</t>
  </si>
  <si>
    <t xml:space="preserve">Raised 10/2/26 (Alan); keep it simple. Settle when building: (a) what 'System-selected' covers -- positions initiated through the System (what Performance Tracking already tracks: entry-dated, scored) vs. also the legacy stocks retained because they conform (that tab deliberately does not backfill those); the dry-powder ETFs and the cash-sweep funds (FZDXX/FZFXX/VMFXX/QACDS) are presumably out -- confirm. Current Positions' Asset Class column will not isolate the set (the ETFs are tagged Equity), so key off the Scoring tab / Performance Tracking. (b) Cadence -- e.g. month-end/tranche dates alongside the Drawdown Log. (c) What 'in detail' means (per-position value, cost basis, gain/loss, weight, return vs SPY?). Check the existing Performance Tracking tab first (entry-to-date return vs SPY per position, feeds the cohort review) and extend it rather than duplicate. Guardrails: aggregate with landry.xlsx_io.total_portfolio_value(read_positions(wb)), never by hand (CLAUDE.md, 9/29 incident); take prices from Market Data (yfinance), not Current Positions' stale Price column. Update 10/5/26: Performance Tracking now lists every current holding (one row per ticker; legacy, ETF and cash rows carry average cost as Entry Price and no entry date, so they sit outside the cohort review; current prices are a 10/2/26-close snapshot, not auto-refreshed). That answers 'extend it rather than duplicate' for the current-state view; the over-time snapshot above is still open (Journal: PERFORMANCE-TRACKING-ALL-POSITIONS). Later 10/5/26: Performance Tracking is now a lot ledger with a summary block (Subtotal / TOTAL, YTD, Cumulative since 8/5, Avg Annual -- stocks vs everything), the sold names and an 8/5 baseline for SPY comparison on the legacy rows, and its prices refresh every weekly run (Journal: PERFORMANCE-TRACKING-SUMMARY). The over-time snapshot above is still open. Later 10/5/26 (Alan kept the legacy lots of ADBE / VRTX / PLD -- "stick with the System" -- instead of selling them to tidy the tracking): the summary now has a by-source section (System lots only, Legacy stocks, Dry-powder ETFs, Cash; Journal: PERFORMANCE-TRACKING-SOURCES), so the System-only current-state view exists at any time. The over-time snapshot is still open.</t>
  </si>
  <si>
    <t xml:space="preserve">BSX: quant screen strong (~4.33) but relative_strength=1 AND technical_trend=1 both sit at the floor, triggering Rule 5. Fidelity scan + web check found a concrete fundamental cause (U.S. electrophysiology and Watchman growth stall; 8/25/26 cyber incident with Q3/FY26 guidance reportedly pulled), not sentiment alone. Held at Watch - Pending Earnings; Revenue Visibility can't be scored while guidance is withdrawn.</t>
  </si>
  <si>
    <t xml:space="preserve">See Journal row 78. Revisit after Q3 earnings 10/28/26 (confirmed): read the 8-Ks first (Fidelity lists 8/26, 9/8, 9/23) for primary-source confirmation of the guidance status and cyber impact, run a fresh `landry draft BSX`, then score the judgment indicators with --evidence only if guidance is restored. Healthcare headroom 21.6%; max correlation +0.33 (NFLX).</t>
  </si>
  <si>
    <t xml:space="preserve">UBER: quant screen strong (~4.33) but relative_strength=1 (-33.9% vs SPY) triggers Rule 5. Fidelity scan: Equity Summary Score Neutral (not decisively bearish); weakness is narrative-driven (robotaxi disruption, driver-wage litigation) rather than a fundamental break so far. Alan ruled 10/2/26 that UBER counts as Industrials, not Technology. Held at Watch - Pending Earnings.</t>
  </si>
  <si>
    <t xml:space="preserve">See Journal row 79. Revisit after Q3 earnings 11/2/26 (unconfirmed): fresh `landry draft UBER`, then the judgment indicators (Moat vs AV disintermediation, Revenue Visibility) with --evidence if the print holds. When scored, set the Scoring tab's Sector to Industrials by hand (yfinance labels it Technology).</t>
  </si>
  <si>
    <t xml:space="preserve">NTRA: quant screen clears the floor (~3.44) with no Rule 5 trigger, but Fidelity shows the INTU pattern: independent-firm Equity Summary Score Bearish 1.5 vs a 91% buy sell-side, +154% in a year, normalized FCF negative after SBC, no valuation anchor. Held at Watch - Pending Earnings.</t>
  </si>
  <si>
    <t xml:space="preserve">See Journal row 79. Revisit after Q3 earnings 11/4/26 (unconfirmed): look for normalized FCF (CFO - capex - SBC) turning positive and whether the bearish score eases before any Part 12 spend.</t>
  </si>
  <si>
    <t xml:space="preserve">VEEV: fully scored 10/2/26 -- Composite 81.6, STRONG BUY (Moat 4/M, Revenue Visibility 5/M, Management 4/M). Alan leans conservative on Moat (3 -&gt; 78.6, BUY) and approved 4 only on the basis of re-evaluating at the purchase decision. Before any buy: re-check the Moat evidence, whether subscription share is still over the 80% Visibility line, the Implied-Return entry gates (Rules 12-14), and the +0.51 correlation with ADBE (Rule 38 cap is 0.70).</t>
  </si>
  <si>
    <t xml:space="preserve">See Journal row 80. Moat 3 would give 78.6 (BUY); Moat 4 with Visibility 4 gives 79.6 (BUY) -- STRONG BUY needs both. Natural checkpoint: Q3 earnings 11/18/26 (unconfirmed) -- subscription share, Vault CRM top-20 commitments (12 at Q2), further Salesforce Life Sciences Cloud wins, any retention/pricing disclosure. Scoring row 51; Dashboard row 50. RESOLVED 10/6/26: Alan confirmed Moat 4 at the purchase decision (Journal row 100). Entry gates documented before execution: Entry Checklist row 51 and Implied-Return row 52 (Base +12.5%, Bear +1.9%); Rule 14 is entered on the trailing basis (40.4x), Alan ruled the trailing basis on 10/6/26, so the FY26 basis (50.6x) is not used. Q3 earnings 11/18 stays the next natural re-check.</t>
  </si>
  <si>
    <t xml:space="preserve">Rule 38 after the Price History repair (10/4/26): the Correlation Matrix now sees all 26 holdings and reports 11 positions over the 0.70 cap (4 on the broken matrix). NVDA and AVGO exceed it via SPMO and JEPQ (0.73-0.75); the ETF sleeve AVUV/DVY/SCHD/VFLO/VYM plus JEPI and HELO form a cluster at 0.73-0.90; KLAC/ASML 0.77. Decide what, if anything, to do beyond the standing 'ETFs are dry powder' treatment.</t>
  </si>
  <si>
    <t xml:space="preserve">See Journal row 82. Extends #13 (the ETF cluster) and the SPMO-first funding rule. The matrix is the source of record from 10/4/26; detail is the Correlation Matrix tab's AG column.</t>
  </si>
  <si>
    <t xml:space="preserve">Charts and trend columns for the seven tickers added to Price History after the original 19 (DVY, SCHD, VYM, MLPI, JEPI, GE, NFLX): none exist, so those names appear on the Correlation Matrix but not in Returns (Calc)'s chart block. Optional.</t>
  </si>
  <si>
    <t xml:space="preserve">See Journal row 82 and Schema Reference (Returns (Calc)). Needs new trend columns plus charts keyed to the new tickers' columns; the existing 19 are correct again.</t>
  </si>
  <si>
    <t xml:space="preserve">Price History holds 160 weeks, over Rule 38's 36-month (~156-week) maximum, and the Correlation Matrix ranges (rows 3-500) never roll, so the window only grows (~52 rows a year). Decide: roll it (drop the oldest row or use OFFSET-based ranges) or accept 3 years plus growth.</t>
  </si>
  <si>
    <t xml:space="preserve">See Journal row 82. Low urgency; `landry prices append` never deletes a row.</t>
  </si>
  <si>
    <t xml:space="preserve">Monitor tab membership: ABT, SLB and VEEV (scored, on the bench) have no row in Monitor &amp; Recheck Triggers; KGS already does. The tab's own header says it covers every name that has been scored. Market Data got all four on 10/4 (Journal row 85). Monitor is a Table with array formulas that Current Positions reads by ticker, so adding rows there is structural -- do it with Excel closed and open the result in Excel once (CLAUDE.md, row surgery). Decide: add them, or leave Monitor as the narrower list.</t>
  </si>
  <si>
    <t xml:space="preserve">Done 10/4/26: Market Data got ABT, SLB, VEEV and KGS (Journal row 85); Monitor got ABT, SLB and VEEV as rows 49-51 (Journal row 87). The weekly routine now refreshes all four in both tabs.</t>
  </si>
  <si>
    <t xml:space="preserve">Rule 3 and the three held names. AVGO (BUY 67.8), VRTX (BUY 66.6) and CRWD (WATCH LIST 63.4) each score 2 on FCF yield and FCF margin, so Rule 3 (Part 3: two or more Tier 1 indicators at 2.0 or below "shall automatically classify the stock as Avoid") flags them AVOID, but the Scoring tab's Decision column only bands the composite, so they read BUY / BUY / WATCH LIST. CORRECTION 10/4/26: the rulebook is NOT silent on holdings -- Part 3's decision table gives the AVOID classification an Existing Holding Action of "Exit Review; sell within 30 days unless a dated 90-day remediation plan is approved", and Rule 3 was applied that way on 8/7 (SFM, TSLA, ONON sold). Read literally, the three have been in Exit Review since their 9/13 re-score (30 days from then is 10/13; or 30 days from the day the classification is confirmed -- the 8/12 workflow policy has the analyst confirm). The scoring engine and the web dashboard already treat Rule 3 as an outright Avoid. DECISION NEEDED: (A) apply the rule as written -- Watch List Tracker entries as Exit Review, sell within 30 days unless a dated 90-day remediation plan with a credible path back to 50+ is approved for each; or (B) adopt a v1.05 clarification making Rule 3 a mandatory review on holdings (no additions until reviewed; classification follows the composite) -- a deliberate softening of a Hard Rule, drafted but NOT adopted. Either way it applies from now on, not retroactively.</t>
  </si>
  <si>
    <t xml:space="preserve">Done 10/4/26: Alan chose to apply Rule 3 as written. Decision column now applies the Rule 3/1/4 gates; AVGO, VRTX and CRWD are in Exit Review (Journal row 89); the v1.05 clarification was drafted but not adopted. The follow-up with a date is #30.</t>
  </si>
  <si>
    <t xml:space="preserve">DUE 11/3/26: sell CRWD. It is in Exit Review under Rule 3 (applied as written 10/4/26). Alan, 10/5/26: no remediation plan; the 30 days count from the 10/4 confirmation, so sell by 11/3/26 (not 10/13). Pick the lots by Part 8 (Rule 42), JT ULTRA/Fidelity 40 sh and Chase 45 sh, and log the fills in Journal, Current Positions and Performance Tracking. No additions meanwhile. (AVGO and VRTX were re-scored on the latest 10-Q figures on 10/5 and cleared Rule 3 -- Journal row 92.)</t>
  </si>
  <si>
    <t xml:space="preserve">See Journal row 89 and Watch List Tracker rows 3-5; Action Items E5 counts them. Replaces the decision part of #29. UPDATE 10/5/26: AVGO and VRTX re-scored on the latest 10-Q figures (Journal row 92) -- Rule 3 cleared for both and their tracker rows removed. CRWD alone is still due 10/13: sell, or an approved dated plan. DECIDED 10/5/26: CRWD sell-by 11/3/26, no plan (Journal row 93). Mark Done when the sale is executed.</t>
  </si>
  <si>
    <t xml:space="preserve">Rule 3 evidence basis -- fiscal-year versus latest-10-Q figures. The Tier 1 FCF indicators are drafted from fiscal-year statements, so a Rule 3 trip can rest on figures up to a year old: AVGO and VRTX were in Exit Review on FY2025 numbers while their latest 10-Qs scored higher (re-scored 10/5/26 on trailing-12-month windows, Journal row 92). DECISION NEEDED: refresh the Tier 1 quant indicators on the latest 10-Q for every holding (and candidate), or only for Rule 3 cases? CRWD (still 2/2 on the same method) and the other holdings need the same treatment for consistency.</t>
  </si>
  <si>
    <t xml:space="preserve">landry/sec_ttm.py builds the windows (`python -m landry.sec_ttm TICKER [--add-back DATE:USD]`); method and data are in Journal row 92. Natural checkpoints: CRWD's 10/13 decision, then QTR-REVIEW-1's held-position pass. Related judgment: Part 10 acquisition add-backs (VRTX's $4.4B Alpine payment) -- recorded in the score store's adaptation field. 10/5/26 read-only scan of the 16 held stocks (mechanical, unreviewed): the tool computes 11 (NVDA, GE and PLD hit missing-tag gaps; ASML and TSM file 20-F, so no 10-Qs); on trailing windows two bands would change (ANET STRONG BUY -&gt; BUY, VRT BUY -&gt; STRONG BUY), no new Rule 3 trips, and composites move 3-7 points. Claude's recommendation: keep fiscal-year scores as the record, compare against the latest 10-Q for every US-filer holding at each quarterly review and before any rule-forced action, and re-score on trailing windows only where it changes a hard-rule outcome or band, in either direction. DECIDED 10/5/26 (Alan: go): adopted as recommended (Journal row 94). `python -m landry.sec_ttm --holdings` is the comparison (exit 2 when a robust divergence exists); steps added to QTR-REVIEW-1/2 and FUND-REFRESH-1/2 in Process Checklist, a paragraph in Instructions, a registry for Part 10 add-backs (landry_addbacks.json: VRTX/Alpine). Follow-ups from the first run: #32.</t>
  </si>
  <si>
    <t xml:space="preserve">First trailing-window comparison (10/5/26, `python -m landry.sec_ttm --holdings`): VRT and ANET. VRT -- BUY 76.8 -&gt; STRONG BUY 82.8 on both 5 and 4 windows (after-comp FCF $2.9B over the last 12 months against $1.2B a year earlier; margin 25.0% against 13.2%): decide whether to re-score; check Part 10 first, i.e. whether the jump is working-capital timing. ANET -- STRONG BUY 81.0 -&gt; BUY 78.0 on five windows only (revenue-growth variability 0.3501 against the 0.35 line; unchanged on four): knife-edge, no re-score unless you want one. By hand: NVDA (capex tag gaps before 2023-07), GE (no quarterly stock-comp facts), ASML and TSM (20-F filers), PLD (REIT); V's SEC facts stop at the March quarter although EDGAR lists the June 10-Q.</t>
  </si>
  <si>
    <t xml:space="preserve">See Journal row 94 (policy and first-run results). Re-run the command after FUND-REFRESH-1 (10/25) once Q3 10-Qs land.</t>
  </si>
  <si>
    <t xml:space="preserve">NBIX (Neurocrine Biosciences, Healthcare): lead candidate for the ~$20K left unspent when SLB was dropped from DCA-CATCHUP-2 (Alan, 10/6: start homework for the remainder). Fresh quant draft 10/6: FCF yield 4 / revenue growth 5 / FCF margin 4 (about 4.33 quant-only), valuation 5, technical 4, relative strength 2 (no Rule 5 flag), maximum correlation 0.34 (VFLO), P/FCF 23x on $636M TTM FCF after stock comp. Rough Rule 12 screen: Base +12.0%, Bear +1.6% at 12% growth (Bear turns negative below about 8%). To do: Part 12 (Moat, Revenue Visibility, Management Quality) from primary sources with a composite sensitivity table; CANDIDATES LIST status Needs Initial Screen -&gt; Ready for Tier 1 (Alan's call); then the Scoring / Entry Checklist / Implied-Return rows. Reports Q3 on 10/26/26 (Fidelity): realistically a post-print buy (Rule 11) unless Alan accepts the event risk.</t>
  </si>
  <si>
    <t xml:space="preserve">PAUSED 10/6/26 (Alan): the event risk (Vykat XR safety reports, the Justice Department inquiry) needs more time to evaluate; no further NBIX work until he reopens it. SPOT (the alternate) has had only the 10/6 quant draft, no workup. See Journal row 100. Fidelity 10/6: Equity Summary Score Bullish 7.3 but only 1 buy / 4 neutral / 2 sell among the independent firms, with two downgrades (Argus to Hold 9/30, Refinitiv/Verus to Sell 10/5) and Guggenheim initiating at Buy ($207) on 10/6; P/E 21.1 against its own 5-year average of 99; EPS growth +102% against the industry's +25%; insiders sold small amounts (CCO $130K on 9/15), no buys. Diligence items: Ingrezza concentration and Medicare price-negotiation exposure. Alternate: SPOT (Ready for Tier 1; relative strength 1, so Rule 5; reports 10/22).</t>
  </si>
  <si>
    <t xml:space="preserve">SLB and ABT: not bought in DCA-CATCHUP-2. SLB failed Rules 12-13 on 10/6 (Base +6.2%, Bear -9.4%; it needs about 9.3% a year of per-share FCF growth at a 16.8x terminal, consensus is near 7.8%): Entry Checklist row 50 reads DO NOT ENTER and is kept, with Implied-Return row 51, as the record. ABT passes Rule 12 only narrowly (Base about +10.5%, Bear about +2.5% at 8.5% growth) but has relative strength 1 (Rule 5 review needed), a negative monthly MACD (half-size initial, about $10.9K), Fidelity Equity Summary Score Bearish 2.9 and a $46M non-plan CEO sale (9/3); Alan finds it weak. Re-look both after their prints (ABT 10/21, SLB 10/23) with a fresh `landry draft` -- their 9/13 Date Scored passes 30 days on 10/13.</t>
  </si>
  <si>
    <t xml:space="preserve">PAUSED until 10/13/26 (Alan, 10/6): revisit then (their 9/13 Date Scored passes 30 days that day). See Journal row 100. Both are BUY on the Scoring tab (SLB 72.4, ABT 70.8) and, with VEEV, the only unheld names with a composite besides COST (which fails Rule 14: P/FCF about 60x, FCF growth about 7%).</t>
  </si>
  <si>
    <t xml:space="preserve">NFLX: 90-day technical review due 12/29/26 (Rules 9-10). At the 9/30 purchase NFLX was below its 200-week MA with a negative monthly MACD (Technical Trend 1, Rule 5 review on record, Journal rows 71 and 76), so the first purchase was limited to 50% of the normal initial size: 2.5% of the portfolio, about $18.0K on $721.5K. The 300 shares bought cost $20,938.50 = 2.9%, about $2.9K (41 shares) over that limit. Alan accepted the excess as an exception on 10/6/26 (Journal row 103). At the review, re-check the technicals (200-week MA, monthly MACD, Supertrend) before any add. Normalized trailing FCF excludes the $2.8B Warner Bros. termination fee received in Q1 2026.</t>
  </si>
  <si>
    <t xml:space="preserve">EXCEPTION ACCEPTED 10/6/26 (Alan); the 90-day technical review under Rules 9-10 stays due 12/29/26, so the item stays open until it is done. Found 10/6/26 while backfilling the Entry Checklist rows for GE and NFLX (the rows had been left blank; Journal row 102). Staged cap and sizing: Part 4 Rules 9-10 and Part 5 sizing (Strong Buy initial 5%).</t>
  </si>
  <si>
    <t xml:space="preserve">Sector-driver study: which macro, political, international and global factors drive each sector's returns, and how the book and each candidate are exposed to them. BUILD AFTER 10/22/26 (Alan, 10/7).</t>
  </si>
  <si>
    <t xml:space="preserve">Design (Journal row 106): (1) confirm what Part 7's overlay already assumes -- regime tables with block-bootstrap intervals for curve inversion, tightening, credit spreads and the 200-week MA; (2) explore about 15-20 drivers (growth, inflation, real rates, curve, credit, oil, copper, USD, EM / global, policy uncertainty, election cycle) with ridge / elastic net, a 1999-2012 vs 2013-2026 stability test and false-discovery control; (3) map the book's and each candidate's weekly returns on ETF-proxy factors and favor names that offset the largest exposures. Data checked reachable 10/7: SPDR sector ETFs from Dec 1998 (XLRE 2015, XLC 2018), Ken French 12-industry portfolios from 1926 (the 30+ year view #19 wants), FRED CSVs without a key (ISM is not there and HY OAS only goes back 3 years -- use CFNAI and Baa-10y). About four independent macro regimes in the sample, so the output is hypotheses and tiebreakers, never gates. Target landry/sector_drivers.py + python -m landry sectors, no workbook writes.</t>
  </si>
  <si>
    <t xml:space="preserve">Even-pace screening to DCA-CATCHUP-3 (10/22/26): the slate and pace were accepted ('works', Alan 10/7).</t>
  </si>
  <si>
    <t xml:space="preserve">About 2 quant rereads (landry draft) a day plus 1 name a day through judgment scoring and Rules 9-14, 10/8-10/21. Order: 10/8-10/10 PG, COST (fresh reread -- its 8/11 score is stale -- and a Rule 14 P/FCF check), YUM; 10/13-10/15 ABT re-look (due 10/13, #34), DPZ or CMG (one restaurant), KGS (check its 32.7x FCF-growth figure, likely a small-base artifact); 10/16-10/20 first screens of AGI, GEV, HWM and AZN / BSX once earnings are through; 10/20-10/21 Rules 9-14 gates, Implied-Return rows, correlation check (Rule 38), Fidelity info-tab scan, entry pack. Basis: 36-month weekly correlation to the book (PG .10, ABT .11, YUM .21, KGS .29, DPZ .35, COST .38) and no direct exposure in Consumer Defensive / Cyclical, Energy, Materials or Utilities. Technology stays closed while over the 25% cap (market basis, #39). NBIX stays paused (#33). See Journal row 106. REVISION APPROVED 10/8/26 (Alan; Journal row 111): the System's own quant and rules, run on SEC trailing-12-month data for the first-wave names, leave only PG and CMG clean -- COST sits at 49.7x P/FCF (Rule 14 ceiling 50x) with a 2.0% yield and 2.8% FCF margin; YUM, DPZ and KGS carry 16x, 9.6x and about 10x Debt/FCF (5x caps the classification at Buy); ABT's revenue growth consistency scores 2 (quant Tier 1 2.7); AGI, GEV and HWM are 53x, 72x and 65x P/FCF (Rule 14). Replacement order, from the S&amp;P 500 screen in #43: Staples first (PG, SJM, CHD, CL), then Health Care (DXCM, GILD, JNJ) and Consumer Discretionary with Relative Strength above -15 (EXPE, ETSY), then Industrials (VRSK, PAYX) -- see #43 for the numbers and the Rule 5 flags. DECIDED 10/8/26 (Alan, 'yea, drop staples and proceed'; Journal rows 114-115): the Staples-first wave (PG, SJM, CHD, CL) is dropped -- each fails Rule 12's Base &gt;10% test at consensus growth (the ETF side is #7); the Rule 12 pre-check (Base about per-share FCF growth + dividend yield at a flat multiple) now runs FIRST for every new candidate, before any judgment work. Quant rereads are done for PG, SJM, CHD, DXCM, GILD and EXPE. NEW ORDER: DXCM (judgment scoring and Rules 9-14 first), EXPE, then MCK / VRSK / PAYX; GILD only with a documented 8%+ per-share FCF growth case; MNST only if its 5-year median multiple leaves room under the 50x ceiling; ETSY / TJX / RL / ADP / BR as later fits. Earnings 10/22-11/4 mean entries land after the prints (Rule 11). DXCM FIRST PASS 10/8/26 (Journal row 116): judgment proposals pending (moat 3, visibility 4, management 3); composite 78.4 BUY (80.0 if valuation scores 4); Rules 12-13 pass (Base +12.0%, Bear +1.6%, Bull +19.3%); Rule 9 half-size first purchase (under the 200-week average); earnings 10/29, so entry after the print. APPROVED 10/8/26 (Alan, 3-4-3-3: moat 3, visibility 4, management 3, valuation 3; Journal row 117): entry on 11/6/26 after the 10/29 print, half size; the eight quant drafts are still pending his OK, and the pre-trade checks are listed in row 117. 10/22 TRANCHE (Journal row 118): NO clean candidate -- PAYX is Rule 5 flagged (trend 1, RS 2, consensus 1 of 19) and CTAS carries the pending $5.5B UniFirst deal (FTC Second Request, no close before 12/11/26), so both are parked; every other pass-list name prints 10/28-11/5; EXPE (prints 11/4) goes to the 11/6 pack with DXCM. Alan to decide: hold the tranche for 11/6, accept a print inside an explicit thesis, or add within caps to a Core Hold / Add position. EXPE FIRST PASS 10/8/26 (Journal row 119): its FCF is mostly customer-prepayment float (normalized ~$2.4B FY26E, not $4.05B), so overrides proposed (FCF yield 5 to 4, FCF margin 4 to 3); judgments pending (moat 3, visibility 2, management 3); composite 68.2 BUY, Tier 1 3.14 -- marginal; Rules 12-13 pass (Base +11.5%, Bear +1.9%, Bull +18.7%); standard size (above the 200-week average); earnings 11/4, entry 11/6 after the print. APPROVED 10/8/26 (Alan, 'approve EXPE'; Journal row 120): moat 3, visibility 2, management 3 and the two FCF overrides (yield 4, margin 3); EXPE's other seven quant drafts still pending. DXCM is now 12 of 12 approved (composite 78.4). Scoring-tab rows, Dashboard row insertions, Entry Checklist / Implied-Return rows for both are planned for the 11/6 prep (one pass, then open in Excel). Next in the order: MCK, VRSK. RL AND MNST FIRST PASSES 10/8/26 (Journal rows 123-124; Alan: 'Let's do RL, MNST then move on to ETFs'): proposals pending, nothing approved. RL: moat 4, visibility 2, management 4; composite 69.4 BUY; Rules 12-13 THIN pass (Base +10.8%, needs 9.1%); standard size; earnings 11/5. MNST: moat 4, visibility 3, management 4 (valuation 3 recommended over the draft's 4); composite 73.8 BUY; Rules 12-13 THIN pass (Base +11.5% at the 40x median cap, needs 11.5% growth); standard size; earnings 11/5. Also found and fixed a landry.sec_ttm bug (Journal row 122): it affected 4 of 219 SEC-screened names, no pass/fail flipped. Single-name screening is now paused for the ETF strategy (Open Items #7), per Alan. APPROVED 10/8/26 (Alan): RL moat 4 / visibility 2 / management 4 and MNST moat 4 / visibility 3 / management 4 + MNST valuation 3 (override); 'Approve quant' then logged every pending mechanical draft (Journal row 125): DXCM, EXPE, RL and MNST are all 12 of 12 (composites 78.4, 68.2, 69.4, 73.8, all BUY). Still to do at the 11/6 prep: Scoring rows, Dashboard row insertions (open in Excel), Entry Checklist / Implied-Return rows, fresh drafts after the prints.</t>
  </si>
  <si>
    <t xml:space="preserve">CANDIDATES LIST.xlsx: refresh the Sector Exposure Reference (Screen_Candidates N2:O13, stale as of 8/30/26) and the Sector Cap Headroom column to current weights.</t>
  </si>
  <si>
    <t xml:space="preserve">Direct-stock weights of the combined portfolio at the 10/7 marks, market basis: Technology 27.5%, Healthcare 8.6%, Industrials 4.3%, Communication Services 2.8%, Financial Services 2.5%, Real Estate 2.3%, all other sectors 0%. Needs the file closed in Excel (Alan had it open 10/7); refresh at each tranche review.</t>
  </si>
  <si>
    <t xml:space="preserve">Rulebook (next revision, v1.05): state in Part 5 that the 25% sector cap is measured at market value on direct holdings. Alan ruled 'market' on 10/7/26.</t>
  </si>
  <si>
    <t xml:space="preserve">Technology is 27.5% of the portfolio at market (20.9% at cost, Journal row 99), over the cap, so it takes no new names; the CRWD sale due 11/3 brings it to about 23.8%. Part 5 says only 'of portfolio' (the position cap is at cost; the sector cap's basis was never stated). Still open for the same revision: whether ETFs count by look-through (Technology is about 39% of the portfolio that way; see #7, ETF treatment) and whether a passive breach through appreciation forces a trim (Part 6 lists sector-cap trims as discretionary). Mind the rule-numbering cascade when inserting a rule (CLAUDE.md). See Journal row 106. DONE 10/8/26: Rule 16 now states the basis (market value, direct holdings, ETFs not looked through) in LANDRY_SYSTEM_v1-05_FINAL.docx (Journal row 113). The ETF look-through question stays open (#7).</t>
  </si>
  <si>
    <t xml:space="preserve">ADBE and stop-loss policy (Alan, 10/7/26): ADBE is 21% below cost and 35% below its 52-week high; decide what the System does with a falling holding.</t>
  </si>
  <si>
    <t xml:space="preserve">Under the rules as written ADBE is a hold: Hold Through covers it and no Part 6 sell trigger is met (Journal row 107). OWED: (1) the Rule 5 review of Relative Strength = 1, concluding reaffirmed / resized / referred and written in the Journal (a 'resized' conclusion trims without overriding Hold Through); (2) Holding Monitor rows for ADBE, VRTX and PLD; (3) the Moat / Management re-check for 12/9 earnings (#14). PROPOSED, not decided: no additions to ADBE, DCA included, until the Rule 5 review is done. POLICY QUESTION: keep Hold Through as is, or add a price-triggered re-underwrite ladder with trend confirmation (evidence and options in Journal row 108); a new Hard Rule needs a v1.05 revision with the numbering cascade. Related: a leading-indicator qualifier for ARR / backlog names, and a cluster-level drawdown review for the AI / semiconductor names (40% of portfolio variance). STATUS 10/7 evening (Alan): revisit the Rule 5 review on 10/8; the likely conclusion is reaffirm with adds frozen, but nothing is decided -- he wants to digest the evidence first. The policy question (keep Hold Through or adopt the re-underwrite ladder) is open. RESOLVED 10/8/26 (Alan): the re-underwrite ladder was ADOPTED as standing policy (Journal row 109) and the ADBE Rule 5 review was concluded REAFFIRMED with additions frozen (row 110; rung 1 of the ladder). The Holding Monitor rows for ADBE / VRTX / PLD move to #42; the rulebook text is #41.</t>
  </si>
  <si>
    <t xml:space="preserve">Rulebook v1.05: write the adopted stop-review ladder (Journal row 109) into Part 6, with the leading-indicator qualifier for ARR / backlog names and the cluster-level drawdown review for the AI / semiconductor names; state in Part 5 that the 25% sector cap is measured at market value (#39).</t>
  </si>
  <si>
    <t xml:space="preserve">Alan adopted the ladder as policy on 10/8/26 and wants the response controlled and rule-driven, so it needs rulebook text: rung 1 (20% below cost with Relative Strength 1 or under the 200-day average: no additions, re-underwrite within 10 trading days, Rule 5 review in the Journal, repeat every 90 days), rung 2 (30% below cost with deterioration found: trim a third, a second confirmation another third), rung 3 (40% below cost, Relative Strength 1 and under the 200-day average for 8 weeks: Exit Review). Part 6 Hold Through needs a matching qualifier ('no deterioration in the documented leading indicators and no rung reached'). Mind the global rule-numbering cascade (CLAUDE.md): render the docx before and after and map old to new numbers by rule text; consider un-numbered sub-provisions or the decimal scheme Alan raised on 10/1. Also bump Instructions A3 / A19 (still v1.03) and the Hard Rules list (python -m landry rules-list; its test will fail on the new count). DONE 10/8/26 for the ladder and the sector-cap basis: LANDRY_SYSTEM_v1-05_FINAL.docx adds the Part 6 Stop-Review Ladder as an UN-NUMBERED block (no rule number moved; the count stays 51), Hold Through's qualifier, the v1.05 revision-history entry and the Appendix / Part 12 'filter, never sort' wording; Hard Rules list v1.05 and the Instructions tab updated (Journal row 113). The two companions (leading-indicator qualifier, cluster-level drawdown review) are #44.</t>
  </si>
  <si>
    <t xml:space="preserve">Build the ladder check: python -m landry stops (status in the weekly report and at each tranche prep), plus the Holding Monitor rows for ADBE, VRTX and PLD.</t>
  </si>
  <si>
    <t xml:space="preserve">Read-only status of every held stock: cost basis and quantity from Current Positions, price from Market Data, 6-month Relative Strength vs SPY and the 200-day average from Price History's weekly closes (40-week proxy); rung 0-3 per Journal row 109, a one-line reason, and the days since the last re-underwrite. Today only ADBE is on rung 1 (21% below cost); a '35% below the 52-week high with Relative Strength 1 and under the 200-day average' view would also list VRT and NFLX. Needs tests like the other landry checks; report only (it never trims or sells). Due before the 10/22 DCA prep. The Holding Monitor rows are owed since Journal row 99 (Part 6 sell triggers were never formally run for the three). PROGRESS 10/8/26: the CHECK is BUILT (Journal row 112): python -m landry stops [--live] / stops record, landry_stops.json (ADBE reaffirmed 10/8, next check 12/9), the audit check stop_review_ladder and a Ladder line in the weekly report; 23 new tests. STILL OWED: the Holding Monitor rows for ADBE, VRTX and PLD, and a first live run at the 10/22 DCA prep.</t>
  </si>
  <si>
    <t xml:space="preserve">Candidate pool: sector-targeted FCF screen of the S&amp;P 500 (322 non-technology, non-financial names) on the System's own Tier 1 quant rubric, run 10/8/26 (Alan: do we need additional FCF-driven candidates for a better fill / fit?). Answer: yes.</t>
  </si>
  <si>
    <t xml:space="preserve">DATA: SEC trailing-12-month filings for 219 names (the System's TTM basis, FCF after stock comp), Yahoo fiscal-year drafts for 63 more; 40 had neither (MO, PM, NEM, NEE, SO, XOM among them). FILTER: quant Tier 1 average (FCF Yield &amp; Trend 20%, Revenue Growth Consistency 15%, FCF Margin Trend 10%) of at least 3.4, no indicator at 1, at most one at 2, P/FCF at or under 50x (Rule 14), Debt/FCF at or under 5x. RESULT: 67 pass (Industrials 22, Health Care 15, Consumer Discretionary 14, Staples 6, Energy 5, Communication Services 3, Materials 2, Utilities 0 -- utility capex makes FCF negative, so Utilities needs the Part 10 adaptation (sector-relative FCF, rate-base growth, coverage)). CAPACITY: the six remaining tranches plus the 10/7 carry are about $260-320K, roughly 10-12 new positions, against a clean first-wave pool of two (PG, CMG). BEST FITS not yet held or scored (quant Tier 1; FCF yield; 36-month weekly correlation to the book; 6-month Relative Strength vs SPY): SJM 4.1, 12.4%, .06, +16; HSY 4.1, 6.6%, -.03, -37 (RS 1); CHD 3.7, 4.5%, .04, -13; CL 3.7, 5.3%, .07, -12; EXPE 4.7, 12.8%, .43, 0; DECK 4.4, 9.7%, .38, -40 (RS 1); LULU 3.9, 12.4%, .29, -59 (RS 1); DXCM 4.6, 3.9%, .27, +13; GILD 4.0, 6.7%, .16, -11; JNJ 3.7, 3.4%, .03, -9; UNH 4.0, 6.8%, .03, +8 (litigation watch); ZTS 4.1 (RS -54); VRSK 3.9, 4.8%, .17, -12; PAYX 3.9, 5.3%, .27; ETSY 3.4, 5.8%, +25 (Yahoo basis). CAUTION: most of the highest-yield names are in persistent downtrends (RS 1: HSY, DECK, LULU, APTV, ALB, TPR, ZTS, PODD, SYK, BKNG, the gas producers, BSX at -47 and 60% off its high) -- the ADBE pattern: a high FCF yield can be the market's distrust, so those need the Rule 5 review before any Buy classification is relied on and enter at 50% size under Rules 9-10. FOLLOW-UPS: (a) the Utilities adapted screen; (b) a commodity-adapted view for Energy and Materials (the book already holds about 11% Energy through ETFs); (c) re-run the missing 40 names and the SBC-less ones when Yahoo stops rate-limiting; (d) fold the chosen names into the slate (#37). No workbook change beyond this record; the full ranked list can be saved as an xlsx for review.</t>
  </si>
  <si>
    <t xml:space="preserve">Rulebook companions for a later revision (v1.06): a leading-indicator qualifier for ARR / backlog names and a cluster-level drawdown review for the AI / semiconductor names.</t>
  </si>
  <si>
    <t xml:space="preserve">Both were proposed with the Stop-Review Ladder (Journal rows 108-110) and left out of v1.05 because they are not designed or approved. (1) Qualifier: Revenue Visibility scores the SHARE of next-12-month revenue that is recurring, not the trend in net new ARR or RPO, so ADBE kept a 5 and Strong Buy while its leading indicators softened; the idea is to cap Revenue Visibility at 4, or the classification at Buy, while net new ARR or RPO growth is decelerating (needs a definition of 'decelerating' and a data source). (2) Cluster review: the seven semiconductor / AI-hardware names are 21% of invested weight but 40% of portfolio variance (Journal row 106); Rule 38's 20% cluster cap is measured on weight and fires only above 0.70 pairwise correlation -- a drawdown trigger for the cluster as a whole is the missing piece. Mind the numbering cascade if either becomes a numbered rule (CLAUDE.md).</t>
  </si>
  <si>
    <t xml:space="preserve">Rule 12's Base &gt;10% test screens out low-growth defensive single names (Staples: PG, SJM, CHD, CL; also JNJ, CMG and COST) at any price. Decide how Staples ballast, if wanted, is obtained.</t>
  </si>
  <si>
    <t xml:space="preserve">Found 10/8/26 (Journal row 114). Base implied return = [(Yr-5 FCF/sh x terminal multiple + dividends) / price]^(1/5) - 1, and the terminal multiple may not exceed the lower of today's P/FCF and the 5-year median, so Base is about per-share FCF growth plus dividend yield whatever the price (a lower price lowers the allowed multiple with it). Growth needed for a 10% Base: PG 7.7% a year (consensus EPS +1.3% FY27, +6.0% FY28), SJM 6.9%, CHD 9.0% (consensus about 7%), CL 8.1%, JNJ 8.3%; COST recorded 8.5% (calculator row 20). OPTIONS: (a) take Staples exposure through the ETFs already held (SCHD / DVY / VYM) and keep the single-name slate to names that clear Rule 12; (b) a written structural-change case per name (the rule allows one for the terminal multiple); (c) a Part 9 change to Rule 12 for low-beta defensives -- a rulebook change, and the 10% hurdle is what keeps the System choosing index-beating expected returns, so not proposed lightly; (d) accept that defensive ballast comes from cash and the dividend ETFs. The 10/7 look-through showed Staples is not an active bet; the underweights are Consumer Cyclical (-4.6), Communication (-4.0) and Financials (-3.5). FOLDED into #7 (ETF strategy) 10/8/26 at Alan's direction ('consider this as part of overall ETF strategy'); Journal row 115.</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</si>
  <si>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</si>
  <si>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</si>
  <si>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</si>
  <si>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</si>
  <si>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</si>
  <si>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</si>
  <si>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</si>
  <si>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</si>
  <si>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</si>
  <si>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</si>
  <si>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</si>
  <si>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</si>
  <si>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</si>
  <si>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</si>
  <si>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</si>
  <si>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</si>
  <si>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</si>
  <si>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A2:M52 as of 2026-10-07. JT ULTRA rows 3-24 (22 positions, incl. GE/NFLX added 9/30/26 and VEEV added 10/7/26), subtotal row 25, 'Excluding Cash' % in J26. Self-Directed/Chase rows 28-47 (20 positions), subtotal row 48, 'Excluding Cash' % in J49. Row 51 is the COMBINED PORTFOLIO TOTAL and row 52 the Cash / Cash Equivalents line (cash funds plus the ETF dry-powder buckets); the note is merged on row 53, outside the Table. These row numbers shift every time a position is added or removed -- add one with landry.cp_tab.insert_position (never openpyxl's insert_rows), and re-verify against the live Table ref before relying on them; don't hardcode downstream references to specific rows.</t>
  </si>
  <si>
    <t xml:space="preserve">A=Account,B=Ticker,C=Description,D=AssetClass,E=Quantity,F=Price (STOCKHISTORY via Monitor!H when real Excel resolves it, else a hardcoded fallback that `landry weekly` / `landry market --positions-only` keeps equal to Market Data's price -- ETFs have no Monitor row, so for them it is always the fallback),G=MarketValue,H=CostBasis,I=UnrealizedGL$,J=UnrealizedGL%,K=%ofAccount,L=%ofCombined,M=Classification.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</si>
  <si>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</si>
  <si>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</si>
  <si>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A2:Q51 (col N=Analyst Shift Note, mirrors K/L; RecheckStatus now P, Notes now Q; row 48 added 2026-09-11 for KGS and rows 49-51 on 2026-10-04 for ABT, SLB and VEEV, tracked non-owned candidates)</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</si>
  <si>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 P1:Q1 = the date the insider / analyst signals (K-N) were last refreshed for held positions (defined name MON_SignalsAsOf), set by `python -m landry monitor refresh`; C-G mirror Scoring for held positions (`landry monitor stamp`).</t>
  </si>
  <si>
    <t xml:space="preserve">Price History</t>
  </si>
  <si>
    <t xml:space="preserve">Fixed range, single header</t>
  </si>
  <si>
    <t xml:space="preserve">Rows 3-162 (160 consecutive Fridays), cols A + B-AA (26 ticker columns: B-V the original 21-slot layout, W-AA appended 2026-10-04). One column per held position (ex-cash sweeps). Dividend-adjusted weekly closes, week-ending Friday (Rule 38). Maintained by `python -m landry prices` (append weekly, rebuild quarterly, add TICKER) -- not by hand, and NOT by `landry export`: its old Price History block rewrote A3:Q162 from the first 16 tickers alphabetically and destroyed this layout around 2026-10-01 (retired 10/4). The 'NN Weeks' footer sits two rows under the data and moves with each append. 24-month target ~104 rows, 12-month minimum ~52 rows, 36-month max ~156 rows (the tab holds 160; the Correlation Matrix ranges do not roll).</t>
  </si>
  <si>
    <t xml:space="preserve">A=Week Ending, B onward=one column per tracked ticker (order matches Returns (Calc) and Correlation Matrix): B-V = ADBE, ANET, ASML, AVGO, CRWD, KLAC, MU, NVDA, PLD, PLTR, TSM, VRT, VRTX, AVUV, DVY, HELO, JEPQ, SPMO, VFLO, SCHD, V (the 19 original tickers, with DVY and SCHD in the two former free slots P and U); W-AA = VYM, MLPI, JEPI, GE, NFLX. A ticker is never listed twice and a holding never goes without a column -- `landry prices status` checks both.</t>
  </si>
  <si>
    <t xml:space="preserve">Dashboard</t>
  </si>
  <si>
    <t xml:space="preserve">DashboardTable</t>
  </si>
  <si>
    <t xml:space="preserve">A1:J50 (header is row 1 here, not row 2 like most other tabs)</t>
  </si>
  <si>
    <t xml:space="preserve">A=Ticker,B=Company,C=DateScored,D=Tier1WtdAvg,E=Composite,F=Decision,G=Rule1,H=Rule2,I=Rule3,J=Rule4. Formula-mirrors Scoring row-for-row (=IF(Scoring!A3="","",Scoring!A3) pattern) -- read-only, do not edit directly. All rows visible as of 2026-10-05 (Alan unhid the 19 Rule-3-Avoid rows); the ticker-count footnote uses SUBTOTAL(103,...) so it counts visible (non-hidden) rows only.</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</si>
  <si>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</si>
  <si>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</si>
  <si>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</si>
  <si>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</si>
  <si>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(applies the Rule 3 / Rule 1 / Rule 4 gates in landry.scoring.classify's order since 2026-10-04).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</si>
  <si>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</si>
  <si>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</si>
  <si>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A2:S51</t>
  </si>
  <si>
    <t xml:space="preserve">A=Ticker,B=Company (both formula-mirror Scoring, same =IF(Scoring!A3="","",Scoring!A3) pattern as Dashboard). C=Rule6(Composite&gt;=65),D=Rule7(Tier1&gt;=3.0),E=Rule8(NoTier1=1),F=Rule9(200wkMA Y/N),G=Rule10(MonthlyMACD Y/N),H=StagingResult(Rules9-10). I=Rule11(BinaryEventRiskPresent Y/N),J=RiskIncludedInThesis(Y/N),K=Rule11Result. L=BaseCase&gt;10%check (added 2026-09-08; mirrors 'Implied-Return Calculator'!S with a +1 row offset -- Entry Checklist row 3 = that tab's row 4, same ticker). M=Rule12-BearCase&gt;=0%check (mirrors ...!T, same +1 offset), N=Rule13-ScenarioTagsOK (mirrors ...!U, same +1 offset). O=P/FCF(current),P=ConsensusFCFgrowth(2-yr annualized),Q=Rule14-ValuationCeiling. R=ENTRYAUTHORIZED (aggregates C,D,E,K,L,M,N,Q -- YES only if all pass), S=RecommendedAction (reads R).</t>
  </si>
  <si>
    <t xml:space="preserve">Market Data</t>
  </si>
  <si>
    <t xml:space="preserve">Rows 3-42 (40 tickers: held equities/ETFs ex-cash + Tier-1-passed bench candidates), cols A-I. Refreshed in place each Saturday by `python -m landry weekly` (landry/market.py) -- not a live formula.</t>
  </si>
  <si>
    <t xml:space="preserve">A=Ticker,B=Company,C=Price,D=Volume,E=MarketCap,F=P/E,G=52wkLow,H=52wkHigh,I=DivYield. The tool never adds or removes rows; a provider gap keeps the cell (ETF market caps), except a yield the provider reports as nothing paid, which is cleared.</t>
  </si>
  <si>
    <t xml:space="preserve">Returns (Calc)</t>
  </si>
  <si>
    <t xml:space="preserve">Fixed range, formula-derived</t>
  </si>
  <si>
    <t xml:space="preserve">Rows 3-161, cols A-V and W-AO</t>
  </si>
  <si>
    <t xml:space="preserve">Cols A-V mirror Price History B-V (same column order; the two former gap columns P and U now hold DVY and SCHD) -- every cell there is a formula computing week-over-week %% return off Price History; do not edit directly. Cols W-AO (23-41) are a SEPARATE block: one 'trend' column per ORIGINAL ticker (19, packed contiguously; DVY, SCHD and the five tickers added 2026-10-04 have no trend column or chart yet), each an IFERROR(...+INDEX/MATCH(9.99E+307,...)...) formula that finds Price History's actual last row (from Returns (Calc) column A's last date + 1 -- NOT from Price History column A, whose 'NN Weeks' footer holds the last number and sent every trend line to 0, and ADBE's to an error, until 2026-10-04)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 Cols AP-AT (42-46) hold the returns for Price History W-AA (VYM, MLPI, JEPI, GE, NFLX) -- they could not go in W-AA because the trend block sits there; the mapping is Price History column 23+n -&gt; Returns column 42+n (landry/prices.py returns_col). Returns (Calc) runs ONE ROW AHEAD of Price History (row n = the return of Price History row n+1 over row n), so `prices append` extends it, moves the charts below it and the Price History footer down, all in one pass. The 19 charts are keyed to the ORIGINAL tickers' columns B-V; from ~10/1 to 10/4/26, while the header was clobbered, they plotted the wrong tickers.</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</si>
  <si>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</si>
  <si>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</si>
  <si>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</si>
  <si>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38 status (OK/REVIEW REQUIRED, conditionally formatted red/green). Row4=blank spacer. Row5=header: A='Ticker', B-AA=26 ticker columns (mirrors Price History's column order; W-AA read Returns (Calc) AP-AT). Rows6-31=26 ticker rows (same tickers, same order, as Price History). Cols AB-AF (28-32)=5 blank buffer columns (W-AA, formerly 5 of the 10, now hold tickers), reserved so new tickers don't force the count column to keep moving -- see the cell comment on AG5 before using up the last one. Col AG(33)='Positions &gt;0.70 with' -- per-row COUNTIF of that ticker's pairwise correlations &gt;0.7, conditionally formatted red if &gt;1 (that's the actual Rule 38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</si>
  <si>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</si>
  <si>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</si>
  <si>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</si>
  <si>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38-39 drawdown-response tiers).</t>
  </si>
  <si>
    <t xml:space="preserve">Watch List Tracker</t>
  </si>
  <si>
    <t xml:space="preserve">WatchListTable</t>
  </si>
  <si>
    <t xml:space="preserve">A2:M22</t>
  </si>
  <si>
    <t xml:space="preserve">A=Ticker,B=Company,C=Status,D=EntryDate,E=EntryScore,F=CurrentScore,G=CurrentScoreDate,H=CredibleRemediationPlan(Y/N),I=90DayDeadline,J=DaysRemaining,K=ActionStatus,L=Notes,M=TrimsTaken(0-3, Rule 34). Rows 4-5 emptied 2026-10-05 when AVGO/VRTX cleared Rule 3 (rows are pre-built blanks with the formulas in I-K).</t>
  </si>
  <si>
    <t xml:space="preserve">Implied-Return Calculator</t>
  </si>
  <si>
    <t xml:space="preserve">n/a (Base/Bear/Bull scenario groups span multiple columns in row 2)</t>
  </si>
  <si>
    <t xml:space="preserve">Template exists for the full ticker universe, rows 4-52 (same row as Entry Checklist +1 -- Entry Checklist row 3 = this tab's row 4, same ticker, all the way through Entry row 51 / this tab's row 52; the formula rows were pre-built to row 50 and rows 51-52 were added 2026-10-06 for SLB and VEEV). Only rows 20-21 (COST, V), 44 (GE), 48 (NFLX) and 51-52 (SLB, VEEV) currently have real data (GE and NFLX were backfilled 2026-10-06, after their 9/30 purchase); the rest are genuinely empty (no data AND no stray formulas) -- populated on demand when a candidate moves toward actual entry (Rules 12-14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</si>
  <si>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</si>
  <si>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</si>
  <si>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</si>
  <si>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</si>
  <si>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</si>
  <si>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</si>
  <si>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</si>
  <si>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A2:AC44</t>
  </si>
  <si>
    <t xml:space="preserve">A=Ticker,B=Company,C=EntryDate,D=EntryPrice,E=EntryScore,F=EntryConfidence,G=EntryBand,H=SPYatEntry,I=Status,J=ExitDate,K=ExitPrice,L=ExitReason,M=CurrentOrExitPrice,N=SPYcurrentOrExit,O=TotalReturn,P=SPYReturnSamePeriod,Q=ExcessReturn,R=Type(Stock/ETF/Cash),S=Basis(System/Baseline),T=LotShares,U=Shares,V=EntryValue,W=CurrentOrExitValue,X=Gain,Y=YTDBasePrice,Z=YTDBaseValue,AA=YTDGain,AB=YTDReturn,AC=SPYGain. One row per purchase lot (since 2026-10-05), held and sold: System lots carry the full Part 9 record and alone feed the Rule-46 cohort; Baseline lots (legacy stocks, dry-powder ETFs, cash funds, the pre-System shares of ADBE/VRTX/PLD, the names sold 8/7/26) are measured from the 8/5/26 close against SPY's 8/5/26 close and leave Score/Confidence/Band blank, never a fabricated entry score. Shares = Lot Shares for a System or sold lot; for a held baseline lot Current Positions' quantity less the ticker's held System lots (its typed Lot Shares is the 8/5/26 snapshot the audit compares with); M is a Market Data lookup for held stocks and ETFs (cash $1.00, sold lots their sale price); the weekly run writes only the benchmark cells (defined names PT_SPY_Now, PT_AsOf). A generated summary block (Subtotal, TOTAL, YTD, Cumulative, Avg Annual, then a by-source section -- System lots only / Legacy stocks / Dry-powder ETFs / Cash -- that adds up to the Cumulative TOTAL) and the benchmark cells sit below the Table: grow the Table only with landry.perf_tab.add_lot / extend_table.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</si>
  <si>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</si>
  <si>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</si>
  <si>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</si>
  <si>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</si>
  <si>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</si>
  <si>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</si>
  <si>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A4:F121 as of 2026-10-05 (12 events x their own step count; QTR-REVIEW-1/2, FUND-REFRESH-1/2, and DCA-CATCHUP-2..8 all gained a new Fidelity info-tab scan step -- DCA-CATCHUP-1 stayed as-is since it was already past prep, same reasoning as the 9/29 fresh-check-step addition, see Journal row 67)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</si>
  <si>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</si>
  <si>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</si>
  <si>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</si>
  <si>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A4:F49 as of 2026-10-08 (45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</si>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</sst>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9">
    <numFmt numFmtId="164" formatCode="General"/>
    <numFmt numFmtId="165" formatCode="0.00"/>
    <numFmt numFmtId="166" formatCode="0"/>
    <numFmt numFmtId="167" formatCode="0.0%"/>
    <numFmt numFmtId="168" formatCode="#,##0.0000"/>
    <numFmt numFmtId="169" formatCode="_(* #,##0.00_);_(* \(#,##0.00\);_(* \-??_);_(@_)"/>
    <numFmt numFmtId="170" formatCode="\$#,##0.00"/>
    <numFmt numFmtId="171" formatCode="#,##0.00"/>
    <numFmt numFmtId="172" formatCode="mm/dd/yyyy"/>
    <numFmt numFmtId="173" formatCode="yyyy\-mm\-dd"/>
    <numFmt numFmtId="174" formatCode="0.0"/>
    <numFmt numFmtId="175" formatCode="0.000"/>
    <numFmt numFmtId="176" formatCode="#,##0"/>
    <numFmt numFmtId="177" formatCode="\$#,##0"/>
    <numFmt numFmtId="178" formatCode="0%"/>
    <numFmt numFmtId="179" formatCode="0.0\x"/>
    <numFmt numFmtId="180" formatCode="\$#,##0_);&quot;($&quot;#,##0\)"/>
    <numFmt numFmtId="181" formatCode="0.0%_);\(0.0%\)"/>
    <numFmt numFmtId="182" formatCode="yyyy\-mm\-dd\ h:mm:ss"/>
  </numFmts>
  <fonts count="77">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i val="true"/>
      <sz val="11"/>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sz val="9"/>
      <color rgb="FF002060"/>
      <name val="Arial Narrow"/>
      <family val="0"/>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i val="true"/>
      <sz val="9"/>
      <color rgb="FFC00000"/>
      <name val="Arial Narrow"/>
      <family val="0"/>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10"/>
      <color rgb="FFFF0000"/>
      <name val="Arial Narrow"/>
      <family val="0"/>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2"/>
      <charset val="1"/>
    </font>
    <font>
      <b val="true"/>
      <sz val="12"/>
      <color rgb="FF1F3864"/>
      <name val="Arial Narrow"/>
      <family val="2"/>
      <charset val="1"/>
    </font>
    <font>
      <sz val="11"/>
      <color rgb="FF002060"/>
      <name val="Arial Narrow"/>
      <family val="0"/>
      <charset val="1"/>
    </font>
    <font>
      <sz val="11"/>
      <color rgb="FF000000"/>
      <name val="Arial Narrow"/>
      <family val="0"/>
      <charset val="1"/>
    </font>
    <font>
      <b val="true"/>
      <sz val="11"/>
      <color rgb="FF000000"/>
      <name val="Arial Narrow"/>
      <family val="0"/>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b val="true"/>
      <sz val="10"/>
      <color rgb="FF006100"/>
      <name val="Arial Narrow"/>
      <family val="2"/>
      <charset val="1"/>
    </font>
    <font>
      <b val="true"/>
      <sz val="9"/>
      <color rgb="FFFFFFFF"/>
      <name val="Arial Narrow"/>
      <family val="0"/>
      <charset val="1"/>
    </font>
    <font>
      <sz val="11"/>
      <name val="Cambria"/>
      <family val="0"/>
      <charset val="1"/>
    </font>
    <font>
      <sz val="9"/>
      <name val="Arial Narrow"/>
      <family val="0"/>
      <charset val="1"/>
    </font>
    <font>
      <i val="true"/>
      <sz val="8"/>
      <color rgb="FF808080"/>
      <name val="Arial Narrow"/>
      <family val="0"/>
      <charset val="1"/>
    </font>
    <font>
      <b val="true"/>
      <sz val="9"/>
      <name val="Arial Narrow"/>
      <family val="0"/>
      <charset val="1"/>
    </font>
    <font>
      <i val="true"/>
      <sz val="11"/>
      <color rgb="FF808080"/>
      <name val="Arial Narrow"/>
      <family val="0"/>
      <charset val="1"/>
    </font>
    <font>
      <sz val="10"/>
      <color rgb="FF002060"/>
      <name val="Arial Narrow"/>
      <family val="0"/>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5">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8"/>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FFF2CC"/>
        <bgColor rgb="FFFCE4D6"/>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C6EFCE"/>
        <bgColor rgb="FFE2EFDA"/>
      </patternFill>
    </fill>
    <fill>
      <patternFill patternType="solid">
        <fgColor rgb="FFF2F2F2"/>
        <bgColor rgb="FFECF4FA"/>
      </patternFill>
    </fill>
    <fill>
      <patternFill patternType="solid">
        <fgColor rgb="FFECF4FA"/>
        <bgColor rgb="FFF2F2F2"/>
      </patternFill>
    </fill>
  </fills>
  <borders count="14">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A6A6A6"/>
      </left>
      <right style="thin">
        <color rgb="FFA6A6A6"/>
      </right>
      <top style="thin">
        <color rgb="FFA6A6A6"/>
      </top>
      <bottom style="thin">
        <color rgb="FFA6A6A6"/>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style="thin">
        <color rgb="FF999999"/>
      </left>
      <right style="thin">
        <color rgb="FF999999"/>
      </right>
      <top style="thin">
        <color rgb="FF999999"/>
      </top>
      <bottom/>
      <diagonal/>
    </border>
    <border diagonalUp="false" diagonalDown="false">
      <left style="thin"/>
      <right style="thin"/>
      <top style="thin"/>
      <bottom style="thin"/>
      <diagonal/>
    </border>
    <border diagonalUp="false" diagonalDown="false">
      <left style="thin"/>
      <right style="thin">
        <color rgb="FF999999"/>
      </right>
      <top style="thin">
        <color rgb="FF999999"/>
      </top>
      <bottom style="thin"/>
      <diagonal/>
    </border>
    <border diagonalUp="false" diagonalDown="false">
      <left style="thin">
        <color rgb="FF999999"/>
      </left>
      <right style="thin">
        <color rgb="FF999999"/>
      </right>
      <top style="thin">
        <color rgb="FF999999"/>
      </top>
      <bottom style="thin"/>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style="thin">
        <color rgb="FF999999"/>
      </left>
      <right/>
      <top style="thin">
        <color rgb="FF999999"/>
      </top>
      <bottom style="thin">
        <color rgb="FF999999"/>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1" fillId="0" borderId="0" xfId="0" applyFont="true" applyBorder="false" applyAlignment="true" applyProtection="false">
      <alignment horizontal="general" vertical="bottom" textRotation="0" wrapText="false" indent="0" shrinkToFit="false"/>
      <protection locked="true" hidden="false"/>
    </xf>
    <xf numFmtId="169" fontId="22" fillId="0" borderId="0" xfId="0" applyFont="true" applyBorder="false" applyAlignment="true" applyProtection="false">
      <alignment horizontal="general" vertical="bottom" textRotation="0" wrapText="false" indent="0" shrinkToFit="false"/>
      <protection locked="true" hidden="false"/>
    </xf>
    <xf numFmtId="170" fontId="23" fillId="0" borderId="0" xfId="0" applyFont="true" applyBorder="false" applyAlignment="true" applyProtection="false">
      <alignment horizontal="general" vertical="bottom" textRotation="0" wrapText="false" indent="0" shrinkToFit="false"/>
      <protection locked="true" hidden="false"/>
    </xf>
    <xf numFmtId="171" fontId="21"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8" fontId="21" fillId="0" borderId="2" xfId="0" applyFont="true" applyBorder="true" applyAlignment="true" applyProtection="false">
      <alignment horizontal="general" vertical="bottom" textRotation="0" wrapText="false" indent="0" shrinkToFit="false"/>
      <protection locked="true" hidden="false"/>
    </xf>
    <xf numFmtId="169" fontId="22" fillId="0" borderId="2" xfId="0" applyFont="true" applyBorder="true" applyAlignment="true" applyProtection="false">
      <alignment horizontal="general" vertical="bottom" textRotation="0" wrapText="false" indent="0" shrinkToFit="false"/>
      <protection locked="true" hidden="false"/>
    </xf>
    <xf numFmtId="170" fontId="23" fillId="0" borderId="2" xfId="0" applyFont="true" applyBorder="true" applyAlignment="true" applyProtection="false">
      <alignment horizontal="general" vertical="bottom" textRotation="0" wrapText="false" indent="0" shrinkToFit="false"/>
      <protection locked="true" hidden="false"/>
    </xf>
    <xf numFmtId="171" fontId="20"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right" vertical="bottom" textRotation="0" wrapText="false" indent="0" shrinkToFit="false"/>
      <protection locked="true" hidden="false"/>
    </xf>
    <xf numFmtId="167" fontId="22"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true" applyAlignment="true" applyProtection="false">
      <alignment horizontal="left" vertical="center" textRotation="0" wrapText="tru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29" fillId="0" borderId="0" xfId="0" applyFont="true" applyBorder="true" applyAlignment="true" applyProtection="false">
      <alignment horizontal="general" vertical="center" textRotation="0" wrapText="true" indent="0" shrinkToFit="false"/>
      <protection locked="true" hidden="false"/>
    </xf>
    <xf numFmtId="164" fontId="20" fillId="0" borderId="3" xfId="0" applyFont="true" applyBorder="true" applyAlignment="true" applyProtection="false">
      <alignment horizontal="right" vertical="center" textRotation="0" wrapText="true" indent="0" shrinkToFit="false"/>
      <protection locked="true" hidden="false"/>
    </xf>
    <xf numFmtId="172" fontId="30" fillId="5" borderId="3" xfId="0" applyFont="true" applyBorder="true" applyAlignment="true" applyProtection="false">
      <alignment horizontal="center"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1"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3" fontId="21" fillId="5"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3"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left" vertical="center" textRotation="0" wrapText="false" indent="0" shrinkToFit="false"/>
      <protection locked="true" hidden="false"/>
    </xf>
    <xf numFmtId="173" fontId="34"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71" fontId="34" fillId="5" borderId="1" xfId="0" applyFont="true" applyBorder="true" applyAlignment="true" applyProtection="false">
      <alignment horizontal="center" vertical="center" textRotation="0" wrapText="false" indent="0" shrinkToFit="false"/>
      <protection locked="true" hidden="false"/>
    </xf>
    <xf numFmtId="170" fontId="34" fillId="5" borderId="1" xfId="0" applyFont="true" applyBorder="true" applyAlignment="true" applyProtection="false">
      <alignment horizontal="center" vertical="center" textRotation="0" wrapText="false" indent="0" shrinkToFit="false"/>
      <protection locked="true" hidden="false"/>
    </xf>
    <xf numFmtId="172" fontId="34"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4" xfId="0" applyFont="true" applyBorder="true" applyAlignment="true" applyProtection="false">
      <alignment horizontal="center" vertical="center" textRotation="0" wrapText="true" indent="0" shrinkToFit="false"/>
      <protection locked="true" hidden="false"/>
    </xf>
    <xf numFmtId="172" fontId="21" fillId="5" borderId="5" xfId="0" applyFont="true" applyBorder="true" applyAlignment="true" applyProtection="false">
      <alignment horizontal="center" vertical="center" textRotation="0" wrapText="false" indent="0" shrinkToFit="false"/>
      <protection locked="true" hidden="false"/>
    </xf>
    <xf numFmtId="171" fontId="21" fillId="5" borderId="5"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center" vertical="bottom" textRotation="0" wrapText="false" indent="0" shrinkToFit="false"/>
      <protection locked="true" hidden="false"/>
    </xf>
    <xf numFmtId="164" fontId="38" fillId="3" borderId="1" xfId="0" applyFont="true" applyBorder="true" applyAlignment="true" applyProtection="false">
      <alignment horizontal="center" vertical="top"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left" vertical="center" textRotation="0" wrapText="false" indent="0" shrinkToFit="false"/>
      <protection locked="true" hidden="false"/>
    </xf>
    <xf numFmtId="172" fontId="32" fillId="0" borderId="1" xfId="0" applyFont="true" applyBorder="true" applyAlignment="true" applyProtection="false">
      <alignment horizontal="center" vertical="center" textRotation="0" wrapText="false" indent="0" shrinkToFit="false"/>
      <protection locked="true" hidden="false"/>
    </xf>
    <xf numFmtId="165" fontId="32" fillId="0" borderId="1" xfId="0" applyFont="true" applyBorder="true" applyAlignment="true" applyProtection="false">
      <alignment horizontal="center" vertical="center" textRotation="0" wrapText="false" indent="0" shrinkToFit="false"/>
      <protection locked="true" hidden="false"/>
    </xf>
    <xf numFmtId="174" fontId="39" fillId="0" borderId="1" xfId="0" applyFont="true" applyBorder="true" applyAlignment="true" applyProtection="false">
      <alignment horizontal="center" vertical="center" textRotation="0" wrapText="false" indent="0" shrinkToFit="false"/>
      <protection locked="true" hidden="false"/>
    </xf>
    <xf numFmtId="164" fontId="39" fillId="0" borderId="6" xfId="0" applyFont="true" applyBorder="true" applyAlignment="true" applyProtection="false">
      <alignment horizontal="center" vertical="center" textRotation="0" wrapText="false" indent="0" shrinkToFit="false"/>
      <protection locked="true" hidden="false"/>
    </xf>
    <xf numFmtId="164" fontId="32" fillId="0" borderId="6" xfId="0" applyFont="true" applyBorder="true" applyAlignment="true" applyProtection="false">
      <alignment horizontal="left" vertical="center" textRotation="0" wrapText="false" indent="0" shrinkToFit="false"/>
      <protection locked="true" hidden="false"/>
    </xf>
    <xf numFmtId="172" fontId="32" fillId="0" borderId="6" xfId="0" applyFont="true" applyBorder="true" applyAlignment="true" applyProtection="false">
      <alignment horizontal="center" vertical="center" textRotation="0" wrapText="false" indent="0" shrinkToFit="false"/>
      <protection locked="true" hidden="false"/>
    </xf>
    <xf numFmtId="165" fontId="32" fillId="0" borderId="6" xfId="0" applyFont="true" applyBorder="true" applyAlignment="true" applyProtection="false">
      <alignment horizontal="center" vertical="center" textRotation="0" wrapText="false" indent="0" shrinkToFit="false"/>
      <protection locked="true" hidden="false"/>
    </xf>
    <xf numFmtId="174" fontId="39" fillId="0" borderId="6" xfId="0" applyFont="true" applyBorder="true" applyAlignment="true" applyProtection="false">
      <alignment horizontal="center" vertical="center" textRotation="0" wrapText="false" indent="0" shrinkToFit="false"/>
      <protection locked="true" hidden="false"/>
    </xf>
    <xf numFmtId="164" fontId="32" fillId="0" borderId="6" xfId="0" applyFont="true" applyBorder="true" applyAlignment="true" applyProtection="false">
      <alignment horizontal="center" vertical="center" textRotation="0" wrapText="false" indent="0" shrinkToFit="false"/>
      <protection locked="true" hidden="false"/>
    </xf>
    <xf numFmtId="164" fontId="39" fillId="0" borderId="7" xfId="0" applyFont="true" applyBorder="true" applyAlignment="true" applyProtection="false">
      <alignment horizontal="center" vertical="bottom" textRotation="0" wrapText="false" indent="0" shrinkToFit="false"/>
      <protection locked="true" hidden="false"/>
    </xf>
    <xf numFmtId="164" fontId="32" fillId="0" borderId="7" xfId="0" applyFont="true" applyBorder="true" applyAlignment="true" applyProtection="false">
      <alignment horizontal="general" vertical="bottom" textRotation="0" wrapText="false" indent="0" shrinkToFit="false"/>
      <protection locked="true" hidden="false"/>
    </xf>
    <xf numFmtId="164" fontId="32" fillId="0" borderId="7" xfId="0" applyFont="true" applyBorder="true" applyAlignment="true" applyProtection="false">
      <alignment horizontal="left" vertical="bottom" textRotation="0" wrapText="false" indent="0" shrinkToFit="false"/>
      <protection locked="true" hidden="false"/>
    </xf>
    <xf numFmtId="172" fontId="32" fillId="0" borderId="8" xfId="0" applyFont="true" applyBorder="true" applyAlignment="true" applyProtection="false">
      <alignment horizontal="center" vertical="center" textRotation="0" wrapText="false" indent="0" shrinkToFit="false"/>
      <protection locked="true" hidden="false"/>
    </xf>
    <xf numFmtId="165" fontId="32" fillId="0" borderId="9" xfId="0" applyFont="true" applyBorder="true" applyAlignment="true" applyProtection="false">
      <alignment horizontal="center" vertical="center" textRotation="0" wrapText="false" indent="0" shrinkToFit="false"/>
      <protection locked="true" hidden="false"/>
    </xf>
    <xf numFmtId="174" fontId="39" fillId="0" borderId="9" xfId="0" applyFont="true" applyBorder="true" applyAlignment="true" applyProtection="false">
      <alignment horizontal="center" vertical="center" textRotation="0" wrapText="false" indent="0" shrinkToFit="false"/>
      <protection locked="true" hidden="false"/>
    </xf>
    <xf numFmtId="164" fontId="32" fillId="0" borderId="9" xfId="0" applyFont="true" applyBorder="true" applyAlignment="true" applyProtection="false">
      <alignment horizontal="center" vertical="center"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41" fillId="2" borderId="1" xfId="0" applyFont="true" applyBorder="true" applyAlignment="true" applyProtection="false">
      <alignment horizontal="center" vertical="center" textRotation="0" wrapText="true" indent="0" shrinkToFit="false"/>
      <protection locked="true" hidden="false"/>
    </xf>
    <xf numFmtId="164" fontId="38" fillId="7" borderId="1" xfId="0" applyFont="true" applyBorder="true" applyAlignment="true" applyProtection="false">
      <alignment horizontal="center" vertical="center" textRotation="0" wrapText="true" indent="0" shrinkToFit="false"/>
      <protection locked="true" hidden="false"/>
    </xf>
    <xf numFmtId="164" fontId="42" fillId="0" borderId="10" xfId="0" applyFont="true" applyBorder="true" applyAlignment="true" applyProtection="false">
      <alignment horizontal="general" vertical="center" textRotation="0" wrapText="true" indent="0" shrinkToFit="false"/>
      <protection locked="true" hidden="false"/>
    </xf>
    <xf numFmtId="164" fontId="43" fillId="3" borderId="1" xfId="0" applyFont="true" applyBorder="true" applyAlignment="true" applyProtection="false">
      <alignment horizontal="center" vertical="top" textRotation="0" wrapText="true" indent="0" shrinkToFit="false"/>
      <protection locked="true" hidden="false"/>
    </xf>
    <xf numFmtId="164" fontId="44" fillId="8"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5" fillId="7" borderId="1" xfId="0" applyFont="true" applyBorder="true" applyAlignment="true" applyProtection="false">
      <alignment horizontal="center" vertical="center" textRotation="0" wrapText="true" indent="0" shrinkToFit="false"/>
      <protection locked="true" hidden="false"/>
    </xf>
    <xf numFmtId="164" fontId="46" fillId="5" borderId="1" xfId="0" applyFont="true" applyBorder="true" applyAlignment="true" applyProtection="false">
      <alignment horizontal="left" vertical="center" textRotation="0" wrapText="false" indent="0" shrinkToFit="false"/>
      <protection locked="true" hidden="false"/>
    </xf>
    <xf numFmtId="172" fontId="46" fillId="5" borderId="1" xfId="0" applyFont="true" applyBorder="true" applyAlignment="true" applyProtection="false">
      <alignment horizontal="center" vertical="center" textRotation="0" wrapText="false" indent="0" shrinkToFit="false"/>
      <protection locked="true" hidden="false"/>
    </xf>
    <xf numFmtId="164" fontId="46" fillId="5" borderId="1" xfId="0" applyFont="true" applyBorder="true" applyAlignment="true" applyProtection="false">
      <alignment horizontal="center" vertical="center" textRotation="0" wrapText="false" indent="0" shrinkToFit="false"/>
      <protection locked="true" hidden="false"/>
    </xf>
    <xf numFmtId="175" fontId="32" fillId="0" borderId="1" xfId="0" applyFont="true" applyBorder="true" applyAlignment="true" applyProtection="false">
      <alignment horizontal="center" vertical="center" textRotation="0" wrapText="false" indent="0" shrinkToFit="false"/>
      <protection locked="true" hidden="false"/>
    </xf>
    <xf numFmtId="165" fontId="39"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6" fontId="46" fillId="5" borderId="1" xfId="0" applyFont="true" applyBorder="true" applyAlignment="true" applyProtection="false">
      <alignment horizontal="center" vertical="center" textRotation="0" wrapText="false" indent="0" shrinkToFit="false"/>
      <protection locked="true" hidden="false"/>
    </xf>
    <xf numFmtId="176" fontId="39" fillId="0" borderId="1" xfId="0" applyFont="true" applyBorder="true" applyAlignment="true" applyProtection="false">
      <alignment horizontal="center" vertical="center" textRotation="0" wrapText="false" indent="0" shrinkToFit="false"/>
      <protection locked="true" hidden="false"/>
    </xf>
    <xf numFmtId="165" fontId="46" fillId="5" borderId="1" xfId="0" applyFont="true" applyBorder="true" applyAlignment="true" applyProtection="false">
      <alignment horizontal="center" vertical="center" textRotation="0" wrapText="false" indent="0" shrinkToFit="false"/>
      <protection locked="true" hidden="false"/>
    </xf>
    <xf numFmtId="164" fontId="47" fillId="0" borderId="1" xfId="0" applyFont="true" applyBorder="true" applyAlignment="true" applyProtection="false">
      <alignment horizontal="center" vertical="center" textRotation="0" wrapText="false" indent="0" shrinkToFit="false"/>
      <protection locked="true" hidden="false"/>
    </xf>
    <xf numFmtId="173" fontId="46" fillId="5" borderId="1" xfId="0" applyFont="true" applyBorder="true" applyAlignment="true" applyProtection="false">
      <alignment horizontal="center" vertical="center" textRotation="0" wrapText="false" indent="0" shrinkToFit="false"/>
      <protection locked="true" hidden="false"/>
    </xf>
    <xf numFmtId="164" fontId="48" fillId="0" borderId="1" xfId="0" applyFont="true" applyBorder="true" applyAlignment="true" applyProtection="false">
      <alignment horizontal="center" vertical="center" textRotation="0" wrapText="false" indent="0" shrinkToFit="false"/>
      <protection locked="true" hidden="false"/>
    </xf>
    <xf numFmtId="164" fontId="49"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3"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29" fillId="0" borderId="11" xfId="0" applyFont="true" applyBorder="true" applyAlignment="true" applyProtection="false">
      <alignment horizontal="left" vertical="top" textRotation="0" wrapText="true" indent="0" shrinkToFit="false"/>
      <protection locked="true" hidden="false"/>
    </xf>
    <xf numFmtId="170" fontId="46" fillId="5" borderId="1" xfId="0" applyFont="true" applyBorder="true" applyAlignment="true" applyProtection="false">
      <alignment horizontal="center" vertical="center" textRotation="0" wrapText="false" indent="0" shrinkToFit="false"/>
      <protection locked="true" hidden="false"/>
    </xf>
    <xf numFmtId="177" fontId="46" fillId="5" borderId="1" xfId="0" applyFont="true" applyBorder="true" applyAlignment="true" applyProtection="false">
      <alignment horizontal="center" vertical="center" textRotation="0" wrapText="false" indent="0" shrinkToFit="false"/>
      <protection locked="true" hidden="false"/>
    </xf>
    <xf numFmtId="174" fontId="46" fillId="5" borderId="1" xfId="0" applyFont="true" applyBorder="true" applyAlignment="true" applyProtection="false">
      <alignment horizontal="center" vertical="center" textRotation="0" wrapText="false" indent="0" shrinkToFit="false"/>
      <protection locked="true" hidden="false"/>
    </xf>
    <xf numFmtId="164" fontId="29"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2" fontId="50" fillId="0" borderId="1" xfId="0" applyFont="true" applyBorder="true" applyAlignment="true" applyProtection="false">
      <alignment horizontal="center" vertical="center" textRotation="0" wrapText="false" indent="0" shrinkToFit="false"/>
      <protection locked="true" hidden="false"/>
    </xf>
    <xf numFmtId="167" fontId="50" fillId="0" borderId="1" xfId="0" applyFont="true" applyBorder="true" applyAlignment="true" applyProtection="false">
      <alignment horizontal="center" vertical="center" textRotation="0" wrapText="false" indent="0" shrinkToFit="false"/>
      <protection locked="true" hidden="false"/>
    </xf>
    <xf numFmtId="167" fontId="50" fillId="0" borderId="0" xfId="0" applyFont="true" applyBorder="false" applyAlignment="true" applyProtection="false">
      <alignment horizontal="general" vertical="bottom" textRotation="0" wrapText="false" indent="0" shrinkToFit="false"/>
      <protection locked="true" hidden="false"/>
    </xf>
    <xf numFmtId="171" fontId="51" fillId="0" borderId="1" xfId="0" applyFont="true" applyBorder="true" applyAlignment="true" applyProtection="false">
      <alignment horizontal="center" vertical="center" textRotation="0" wrapText="false" indent="0" shrinkToFit="false"/>
      <protection locked="true" hidden="false"/>
    </xf>
    <xf numFmtId="171" fontId="51"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center" vertical="bottom" textRotation="0" wrapText="false" indent="0" shrinkToFit="false"/>
      <protection locked="true" hidden="false"/>
    </xf>
    <xf numFmtId="164" fontId="38"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6" fillId="9"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72" fontId="57" fillId="5" borderId="1" xfId="0" applyFont="true" applyBorder="true" applyAlignment="true" applyProtection="false">
      <alignment horizontal="center" vertical="center" textRotation="0" wrapText="false" indent="0" shrinkToFit="false"/>
      <protection locked="true" hidden="false"/>
    </xf>
    <xf numFmtId="177" fontId="57" fillId="5" borderId="1" xfId="0" applyFont="true" applyBorder="true" applyAlignment="true" applyProtection="false">
      <alignment horizontal="center" vertical="center" textRotation="0" wrapText="false" indent="0" shrinkToFit="false"/>
      <protection locked="true" hidden="false"/>
    </xf>
    <xf numFmtId="177" fontId="58" fillId="0" borderId="1" xfId="0" applyFont="true" applyBorder="true" applyAlignment="true" applyProtection="false">
      <alignment horizontal="center" vertical="center" textRotation="0" wrapText="false" indent="0" shrinkToFit="false"/>
      <protection locked="true" hidden="false"/>
    </xf>
    <xf numFmtId="167" fontId="59" fillId="0" borderId="1" xfId="0" applyFont="true" applyBorder="true" applyAlignment="true" applyProtection="false">
      <alignment horizontal="center" vertical="center" textRotation="0" wrapText="false" indent="0" shrinkToFit="false"/>
      <protection locked="true" hidden="false"/>
    </xf>
    <xf numFmtId="164" fontId="59" fillId="0" borderId="1" xfId="0" applyFont="true" applyBorder="true" applyAlignment="true" applyProtection="false">
      <alignment horizontal="center" vertical="center" textRotation="0" wrapText="false" indent="0" shrinkToFit="false"/>
      <protection locked="true" hidden="false"/>
    </xf>
    <xf numFmtId="164" fontId="58" fillId="0"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left" vertical="center"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center" textRotation="0" wrapText="false" indent="0" shrinkToFit="false"/>
      <protection locked="true" hidden="false"/>
    </xf>
    <xf numFmtId="164" fontId="60" fillId="0" borderId="0" xfId="0" applyFont="true" applyBorder="false" applyAlignment="true" applyProtection="false">
      <alignment horizontal="general" vertical="center" textRotation="0" wrapText="false" indent="0" shrinkToFit="false"/>
      <protection locked="true" hidden="false"/>
    </xf>
    <xf numFmtId="172" fontId="25" fillId="5" borderId="1" xfId="0" applyFont="true" applyBorder="true" applyAlignment="true" applyProtection="false">
      <alignment horizontal="center" vertical="center" textRotation="0" wrapText="false" indent="0" shrinkToFit="false"/>
      <protection locked="true" hidden="false"/>
    </xf>
    <xf numFmtId="172" fontId="48" fillId="0" borderId="1" xfId="0" applyFont="true" applyBorder="true" applyAlignment="true" applyProtection="false">
      <alignment horizontal="center" vertical="center" textRotation="0" wrapText="false" indent="0" shrinkToFit="false"/>
      <protection locked="true" hidden="false"/>
    </xf>
    <xf numFmtId="166" fontId="50" fillId="0" borderId="1" xfId="0" applyFont="true" applyBorder="true" applyAlignment="true" applyProtection="false">
      <alignment horizontal="center" vertical="center" textRotation="0" wrapText="false" indent="0" shrinkToFit="false"/>
      <protection locked="true" hidden="false"/>
    </xf>
    <xf numFmtId="164" fontId="48" fillId="0" borderId="1" xfId="0" applyFont="true" applyBorder="true" applyAlignment="true" applyProtection="false">
      <alignment horizontal="center" vertical="center" textRotation="0" wrapText="true" indent="0" shrinkToFit="false"/>
      <protection locked="true" hidden="false"/>
    </xf>
    <xf numFmtId="164" fontId="25" fillId="5" borderId="12" xfId="0" applyFont="true" applyBorder="true" applyAlignment="true" applyProtection="false">
      <alignment horizontal="left" vertical="center" textRotation="0" wrapText="true" indent="0" shrinkToFit="false"/>
      <protection locked="true" hidden="false"/>
    </xf>
    <xf numFmtId="164" fontId="25" fillId="0" borderId="7"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true" applyProtection="false">
      <alignment horizontal="general" vertical="bottom" textRotation="0" wrapText="false" indent="0" shrinkToFit="false"/>
      <protection locked="true" hidden="false"/>
    </xf>
    <xf numFmtId="164" fontId="25" fillId="5" borderId="12" xfId="0" applyFont="true" applyBorder="true" applyAlignment="true" applyProtection="false">
      <alignment horizontal="center" vertical="center" textRotation="0" wrapText="false" indent="0" shrinkToFit="false"/>
      <protection locked="true" hidden="false"/>
    </xf>
    <xf numFmtId="164" fontId="43" fillId="2"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3" fillId="10" borderId="1" xfId="0" applyFont="true" applyBorder="true" applyAlignment="true" applyProtection="false">
      <alignment horizontal="center" vertical="center" textRotation="0" wrapText="true" indent="0" shrinkToFit="false"/>
      <protection locked="true" hidden="false"/>
    </xf>
    <xf numFmtId="164" fontId="43" fillId="11" borderId="1" xfId="0" applyFont="true" applyBorder="true" applyAlignment="true" applyProtection="false">
      <alignment horizontal="center" vertical="center" textRotation="0" wrapText="true" indent="0" shrinkToFit="false"/>
      <protection locked="true" hidden="false"/>
    </xf>
    <xf numFmtId="179" fontId="21" fillId="5" borderId="1" xfId="0" applyFont="true" applyBorder="true" applyAlignment="true" applyProtection="false">
      <alignment horizontal="center" vertical="center" textRotation="0" wrapText="false" indent="0" shrinkToFit="false"/>
      <protection locked="true" hidden="false"/>
    </xf>
    <xf numFmtId="164" fontId="61" fillId="5" borderId="1" xfId="0" applyFont="true" applyBorder="true" applyAlignment="true" applyProtection="false">
      <alignment horizontal="center" vertical="center" textRotation="0" wrapText="false" indent="0" shrinkToFit="false"/>
      <protection locked="true" hidden="false"/>
    </xf>
    <xf numFmtId="164" fontId="62" fillId="5" borderId="1" xfId="0" applyFont="true" applyBorder="true" applyAlignment="true" applyProtection="false">
      <alignment horizontal="left" vertical="center" textRotation="0" wrapText="false" indent="0" shrinkToFit="false"/>
      <protection locked="true" hidden="false"/>
    </xf>
    <xf numFmtId="170" fontId="62" fillId="5" borderId="1" xfId="0" applyFont="true" applyBorder="true" applyAlignment="true" applyProtection="false">
      <alignment horizontal="center" vertical="center" textRotation="0" wrapText="false" indent="0" shrinkToFit="false"/>
      <protection locked="true" hidden="false"/>
    </xf>
    <xf numFmtId="179" fontId="62" fillId="5" borderId="1" xfId="0" applyFont="true" applyBorder="true" applyAlignment="true" applyProtection="false">
      <alignment horizontal="center" vertical="center" textRotation="0" wrapText="false" indent="0" shrinkToFit="false"/>
      <protection locked="true" hidden="false"/>
    </xf>
    <xf numFmtId="167" fontId="63" fillId="0" borderId="1" xfId="0" applyFont="true" applyBorder="true" applyAlignment="true" applyProtection="false">
      <alignment horizontal="center" vertical="center" textRotation="0" wrapText="false" indent="0" shrinkToFit="false"/>
      <protection locked="true" hidden="false"/>
    </xf>
    <xf numFmtId="164" fontId="62" fillId="5" borderId="1" xfId="0" applyFont="true" applyBorder="true" applyAlignment="true" applyProtection="false">
      <alignment horizontal="center" vertical="center" textRotation="0" wrapText="false" indent="0" shrinkToFit="false"/>
      <protection locked="true" hidden="false"/>
    </xf>
    <xf numFmtId="164" fontId="62" fillId="5" borderId="12" xfId="0" applyFont="true" applyBorder="true" applyAlignment="true" applyProtection="false">
      <alignment horizontal="center" vertical="center" textRotation="0" wrapText="false" indent="0" shrinkToFit="false"/>
      <protection locked="true" hidden="false"/>
    </xf>
    <xf numFmtId="164" fontId="29" fillId="0" borderId="0" xfId="0" applyFont="true" applyBorder="tru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general" vertical="center" textRotation="0" wrapText="true" indent="0" shrinkToFit="false"/>
      <protection locked="true" hidden="false"/>
    </xf>
    <xf numFmtId="164" fontId="38" fillId="11" borderId="1" xfId="0" applyFont="true" applyBorder="true" applyAlignment="true" applyProtection="false">
      <alignment horizontal="center" vertical="center" textRotation="0" wrapText="true" indent="0" shrinkToFit="false"/>
      <protection locked="true" hidden="false"/>
    </xf>
    <xf numFmtId="164" fontId="64"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51" fillId="0" borderId="1" xfId="0" applyFont="true" applyBorder="true" applyAlignment="true" applyProtection="false">
      <alignment horizontal="center" vertical="center" textRotation="0" wrapText="false" indent="0" shrinkToFit="false"/>
      <protection locked="true" hidden="false"/>
    </xf>
    <xf numFmtId="179" fontId="19" fillId="5" borderId="1" xfId="0" applyFont="true" applyBorder="true" applyAlignment="true" applyProtection="false">
      <alignment horizontal="center" vertical="center" textRotation="0" wrapText="false" indent="0" shrinkToFit="false"/>
      <protection locked="true" hidden="false"/>
    </xf>
    <xf numFmtId="164" fontId="29" fillId="0" borderId="11" xfId="0" applyFont="true" applyBorder="true" applyAlignment="true" applyProtection="false">
      <alignment horizontal="left" vertical="center" textRotation="0" wrapText="true" indent="0" shrinkToFit="false"/>
      <protection locked="true" hidden="false"/>
    </xf>
    <xf numFmtId="164" fontId="20" fillId="5" borderId="1" xfId="0" applyFont="true" applyBorder="true" applyAlignment="true" applyProtection="false">
      <alignment horizontal="center" vertical="center" textRotation="0" wrapText="false" indent="0" shrinkToFit="false"/>
      <protection locked="true" hidden="false"/>
    </xf>
    <xf numFmtId="172" fontId="19" fillId="5" borderId="1" xfId="0" applyFont="true" applyBorder="true" applyAlignment="true" applyProtection="false">
      <alignment horizontal="center" vertical="center" textRotation="0" wrapText="false" indent="0" shrinkToFit="false"/>
      <protection locked="true" hidden="false"/>
    </xf>
    <xf numFmtId="170" fontId="19" fillId="5" borderId="1" xfId="0" applyFont="true" applyBorder="true" applyAlignment="true" applyProtection="false">
      <alignment horizontal="center" vertical="center" textRotation="0" wrapText="false" indent="0" shrinkToFit="false"/>
      <protection locked="true" hidden="false"/>
    </xf>
    <xf numFmtId="174" fontId="19" fillId="5" borderId="1" xfId="0" applyFont="true" applyBorder="true" applyAlignment="true" applyProtection="false">
      <alignment horizontal="center" vertical="center" textRotation="0" wrapText="false" indent="0" shrinkToFit="false"/>
      <protection locked="true" hidden="false"/>
    </xf>
    <xf numFmtId="167" fontId="47" fillId="0" borderId="1" xfId="0" applyFont="true" applyBorder="true" applyAlignment="true" applyProtection="false">
      <alignment horizontal="center" vertical="center" textRotation="0" wrapText="false" indent="0" shrinkToFit="false"/>
      <protection locked="true" hidden="false"/>
    </xf>
    <xf numFmtId="171" fontId="19" fillId="5" borderId="1" xfId="0" applyFont="true" applyBorder="true" applyAlignment="true" applyProtection="false">
      <alignment horizontal="center" vertical="center" textRotation="0" wrapText="false" indent="0" shrinkToFit="false"/>
      <protection locked="true" hidden="false"/>
    </xf>
    <xf numFmtId="171" fontId="47" fillId="0" borderId="1" xfId="0" applyFont="true" applyBorder="true" applyAlignment="true" applyProtection="false">
      <alignment horizontal="center" vertical="center" textRotation="0" wrapText="false" indent="0" shrinkToFit="false"/>
      <protection locked="true" hidden="false"/>
    </xf>
    <xf numFmtId="177" fontId="47" fillId="0" borderId="1" xfId="0" applyFont="true" applyBorder="true" applyAlignment="true" applyProtection="false">
      <alignment horizontal="center" vertical="center" textRotation="0" wrapText="false" indent="0" shrinkToFit="false"/>
      <protection locked="true" hidden="false"/>
    </xf>
    <xf numFmtId="180" fontId="47" fillId="0" borderId="1" xfId="0" applyFont="true" applyBorder="true" applyAlignment="true" applyProtection="false">
      <alignment horizontal="center" vertical="center" textRotation="0" wrapText="false" indent="0" shrinkToFit="false"/>
      <protection locked="true" hidden="false"/>
    </xf>
    <xf numFmtId="164" fontId="65" fillId="12" borderId="1" xfId="0" applyFont="true" applyBorder="true" applyAlignment="true" applyProtection="false">
      <alignment horizontal="center" vertical="center" textRotation="0" wrapText="false" indent="0" shrinkToFit="false"/>
      <protection locked="true" hidden="false"/>
    </xf>
    <xf numFmtId="164" fontId="66" fillId="3" borderId="0" xfId="0" applyFont="true" applyBorder="false" applyAlignment="true" applyProtection="false">
      <alignment horizontal="left" vertical="center" textRotation="0" wrapText="false" indent="0" shrinkToFit="false"/>
      <protection locked="true" hidden="false"/>
    </xf>
    <xf numFmtId="164" fontId="66" fillId="3" borderId="0" xfId="0" applyFont="true" applyBorder="false" applyAlignment="true" applyProtection="false">
      <alignment horizontal="center" vertical="center" textRotation="0" wrapText="false" indent="0" shrinkToFit="false"/>
      <protection locked="true" hidden="false"/>
    </xf>
    <xf numFmtId="164" fontId="67" fillId="0" borderId="0" xfId="0" applyFont="true" applyBorder="false" applyAlignment="true" applyProtection="false">
      <alignment horizontal="general" vertical="bottom" textRotation="0" wrapText="false" indent="0" shrinkToFit="false"/>
      <protection locked="true" hidden="false"/>
    </xf>
    <xf numFmtId="164" fontId="68" fillId="13" borderId="3" xfId="0" applyFont="true" applyBorder="true" applyAlignment="true" applyProtection="false">
      <alignment horizontal="left" vertical="center" textRotation="0" wrapText="false" indent="0" shrinkToFit="false"/>
      <protection locked="true" hidden="false"/>
    </xf>
    <xf numFmtId="180" fontId="68" fillId="13" borderId="3" xfId="0" applyFont="true" applyBorder="true" applyAlignment="true" applyProtection="false">
      <alignment horizontal="center" vertical="center" textRotation="0" wrapText="false" indent="0" shrinkToFit="false"/>
      <protection locked="true" hidden="false"/>
    </xf>
    <xf numFmtId="181" fontId="68" fillId="13" borderId="3" xfId="0" applyFont="true" applyBorder="true" applyAlignment="true" applyProtection="false">
      <alignment horizontal="center" vertical="center" textRotation="0" wrapText="false" indent="0" shrinkToFit="false"/>
      <protection locked="true" hidden="false"/>
    </xf>
    <xf numFmtId="164" fontId="69" fillId="0" borderId="0" xfId="0" applyFont="true" applyBorder="false" applyAlignment="true" applyProtection="false">
      <alignment horizontal="left" vertical="center" textRotation="0" wrapText="false" indent="0" shrinkToFit="false"/>
      <protection locked="true" hidden="false"/>
    </xf>
    <xf numFmtId="164" fontId="70" fillId="5" borderId="3" xfId="0" applyFont="true" applyBorder="true" applyAlignment="true" applyProtection="false">
      <alignment horizontal="left" vertical="center" textRotation="0" wrapText="false" indent="0" shrinkToFit="false"/>
      <protection locked="true" hidden="false"/>
    </xf>
    <xf numFmtId="180" fontId="70" fillId="5" borderId="3" xfId="0" applyFont="true" applyBorder="true" applyAlignment="true" applyProtection="false">
      <alignment horizontal="center" vertical="center" textRotation="0" wrapText="false" indent="0" shrinkToFit="false"/>
      <protection locked="true" hidden="false"/>
    </xf>
    <xf numFmtId="181" fontId="70" fillId="5" borderId="3" xfId="0" applyFont="true" applyBorder="true" applyAlignment="true" applyProtection="false">
      <alignment horizontal="center" vertical="center" textRotation="0" wrapText="false" indent="0" shrinkToFit="false"/>
      <protection locked="true" hidden="false"/>
    </xf>
    <xf numFmtId="164" fontId="68" fillId="0" borderId="3" xfId="0" applyFont="true" applyBorder="true" applyAlignment="true" applyProtection="false">
      <alignment horizontal="left" vertical="center" textRotation="0" wrapText="false" indent="0" shrinkToFit="false"/>
      <protection locked="true" hidden="false"/>
    </xf>
    <xf numFmtId="172" fontId="30" fillId="5" borderId="3" xfId="0" applyFont="true" applyBorder="true" applyAlignment="true" applyProtection="false">
      <alignment horizontal="center" vertical="center" textRotation="0" wrapText="false" indent="0" shrinkToFit="false"/>
      <protection locked="true" hidden="false"/>
    </xf>
    <xf numFmtId="170" fontId="30" fillId="5" borderId="3" xfId="0" applyFont="true" applyBorder="true" applyAlignment="true" applyProtection="false">
      <alignment horizontal="center" vertical="center" textRotation="0" wrapText="false" indent="0" shrinkToFit="false"/>
      <protection locked="true" hidden="false"/>
    </xf>
    <xf numFmtId="164" fontId="71"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29" fillId="0" borderId="0" xfId="0" applyFont="true" applyBorder="true" applyAlignment="true" applyProtection="false">
      <alignment horizontal="general" vertical="bottom" textRotation="0" wrapText="true" indent="0" shrinkToFit="false"/>
      <protection locked="true" hidden="false"/>
    </xf>
    <xf numFmtId="172" fontId="72" fillId="14" borderId="1" xfId="0" applyFont="true" applyBorder="true" applyAlignment="true" applyProtection="false">
      <alignment horizontal="center" vertical="center" textRotation="0" wrapText="false" indent="0" shrinkToFit="false"/>
      <protection locked="true" hidden="false"/>
    </xf>
    <xf numFmtId="164" fontId="57" fillId="14" borderId="1" xfId="0" applyFont="true" applyBorder="true" applyAlignment="true" applyProtection="false">
      <alignment horizontal="center" vertical="center" textRotation="0" wrapText="true" indent="0" shrinkToFit="false"/>
      <protection locked="true" hidden="false"/>
    </xf>
    <xf numFmtId="164" fontId="72" fillId="14" borderId="1" xfId="0" applyFont="true" applyBorder="true" applyAlignment="true" applyProtection="false">
      <alignment horizontal="left"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5"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82" fontId="24" fillId="0" borderId="0" xfId="0" applyFont="true" applyBorder="false" applyAlignment="true" applyProtection="false">
      <alignment horizontal="general" vertical="bottom" textRotation="0" wrapText="false" indent="0" shrinkToFit="false"/>
      <protection locked="true" hidden="false"/>
    </xf>
    <xf numFmtId="172" fontId="24"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17" fillId="0" borderId="0" xfId="0" applyFont="true" applyBorder="true" applyAlignment="true" applyProtection="false">
      <alignment horizontal="left" vertical="top" textRotation="0" wrapText="true" indent="0" shrinkToFit="false"/>
      <protection locked="true" hidden="false"/>
    </xf>
    <xf numFmtId="164" fontId="22" fillId="0" borderId="0" xfId="0" applyFont="true" applyBorder="false" applyAlignment="true" applyProtection="false">
      <alignment horizontal="left" vertical="bottom" textRotation="0" wrapText="false" indent="0" shrinkToFit="false"/>
      <protection locked="true" hidden="false"/>
    </xf>
    <xf numFmtId="164" fontId="16" fillId="0" borderId="0" xfId="0" applyFont="true" applyBorder="false" applyAlignment="true" applyProtection="false">
      <alignment horizontal="left" vertical="bottom" textRotation="0" wrapText="false" indent="0" shrinkToFit="false"/>
      <protection locked="true" hidden="false"/>
    </xf>
    <xf numFmtId="164" fontId="55" fillId="0" borderId="0" xfId="0" applyFont="true" applyBorder="false" applyAlignment="true" applyProtection="false">
      <alignment horizontal="left" vertical="bottom" textRotation="0" wrapText="false" indent="0" shrinkToFit="false"/>
      <protection locked="true" hidden="false"/>
    </xf>
    <xf numFmtId="164" fontId="16" fillId="0" borderId="0" xfId="0" applyFont="true" applyBorder="false" applyAlignment="true" applyProtection="false">
      <alignment horizontal="left" vertical="bottom" textRotation="0" wrapText="true" indent="0" shrinkToFit="false"/>
      <protection locked="true" hidden="false"/>
    </xf>
    <xf numFmtId="164" fontId="24" fillId="0" borderId="13" xfId="0" applyFont="true" applyBorder="true" applyAlignment="true" applyProtection="false">
      <alignment horizontal="center" vertical="center" textRotation="0" wrapText="false" indent="0" shrinkToFit="false"/>
      <protection locked="true" hidden="false"/>
    </xf>
    <xf numFmtId="164" fontId="24" fillId="0" borderId="13" xfId="0" applyFont="true" applyBorder="true" applyAlignment="true" applyProtection="false">
      <alignment horizontal="general" vertical="center" textRotation="0" wrapText="true" indent="0" shrinkToFit="false"/>
      <protection locked="true" hidden="false"/>
    </xf>
    <xf numFmtId="172" fontId="24" fillId="0" borderId="13" xfId="0" applyFont="true" applyBorder="true" applyAlignment="true" applyProtection="false">
      <alignment horizontal="center" vertical="center" textRotation="0" wrapText="false" indent="0" shrinkToFit="false"/>
      <protection locked="true" hidden="false"/>
    </xf>
    <xf numFmtId="182" fontId="24" fillId="0" borderId="13" xfId="0" applyFont="true" applyBorder="true" applyAlignment="true" applyProtection="false">
      <alignment horizontal="center" vertical="center" textRotation="0" wrapText="false" indent="0" shrinkToFit="false"/>
      <protection locked="true" hidden="false"/>
    </xf>
    <xf numFmtId="164" fontId="16" fillId="0" borderId="13" xfId="0" applyFont="true" applyBorder="true" applyAlignment="true" applyProtection="false">
      <alignment horizontal="general" vertical="center" textRotation="0" wrapText="false" indent="0" shrinkToFit="false"/>
      <protection locked="true" hidden="false"/>
    </xf>
    <xf numFmtId="172" fontId="24" fillId="0" borderId="13" xfId="0" applyFont="true" applyBorder="true" applyAlignment="true" applyProtection="false">
      <alignment horizontal="general" vertical="center" textRotation="0" wrapText="false" indent="0" shrinkToFit="false"/>
      <protection locked="true" hidden="false"/>
    </xf>
    <xf numFmtId="182" fontId="16" fillId="0" borderId="13" xfId="0" applyFont="true" applyBorder="true" applyAlignment="true" applyProtection="false">
      <alignment horizontal="center" vertical="center" textRotation="0" wrapText="false" indent="0" shrinkToFit="false"/>
      <protection locked="true" hidden="false"/>
    </xf>
    <xf numFmtId="164" fontId="16" fillId="0" borderId="13" xfId="0" applyFont="true" applyBorder="true" applyAlignment="true" applyProtection="false">
      <alignment horizontal="general" vertical="center" textRotation="0" wrapText="true" indent="0" shrinkToFit="false"/>
      <protection locked="true" hidden="false"/>
    </xf>
    <xf numFmtId="164" fontId="16" fillId="0" borderId="13" xfId="0" applyFont="true" applyBorder="true" applyAlignment="true" applyProtection="false">
      <alignment horizontal="center" vertical="center" textRotation="0" wrapText="false" indent="0" shrinkToFit="false"/>
      <protection locked="true" hidden="false"/>
    </xf>
    <xf numFmtId="164" fontId="73"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74" fillId="2" borderId="0" xfId="0" applyFont="true" applyBorder="true" applyAlignment="true" applyProtection="false">
      <alignment horizontal="general" vertical="bottom" textRotation="0" wrapText="false" indent="0" shrinkToFit="false"/>
      <protection locked="true" hidden="false"/>
    </xf>
    <xf numFmtId="164" fontId="75" fillId="3" borderId="0" xfId="0" applyFont="true" applyBorder="false" applyAlignment="true" applyProtection="false">
      <alignment horizontal="center" vertical="center" textRotation="0" wrapText="true" indent="0" shrinkToFit="false"/>
      <protection locked="true" hidden="false"/>
    </xf>
    <xf numFmtId="164" fontId="76" fillId="0" borderId="0" xfId="0" applyFont="true" applyBorder="false" applyAlignment="true" applyProtection="false">
      <alignment horizontal="left" vertical="top" textRotation="0" wrapText="true" indent="0" shrinkToFit="false"/>
      <protection locked="true" hidden="false"/>
    </xf>
    <xf numFmtId="164" fontId="76"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1">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C7CE"/>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FFF2CC"/>
          <bgColor rgb="FF000000"/>
        </patternFill>
      </fill>
    </dxf>
    <dxf>
      <fill>
        <patternFill patternType="solid">
          <fgColor rgb="FFFF0000"/>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C00000"/>
      <rgbColor rgb="FF008080"/>
      <rgbColor rgb="FFB3B3B3"/>
      <rgbColor rgb="FF808080"/>
      <rgbColor rgb="FFA6A6A6"/>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2F2F2"/>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(Calc)'!$B$3:$B$500</c:f>
              <c:numCache>
                <c:formatCode>0.0%</c:formatCode>
                <c:ptCount val="498"/>
                <c:pt idx="0">
                  <c:v>-0.0302331297623325</c:v>
                </c:pt>
                <c:pt idx="1">
                  <c:v>-0.00584909339052442</c:v>
                </c:pt>
                <c:pt idx="2">
                  <c:v>0.0329084134143949</c:v>
                </c:pt>
                <c:pt idx="3">
                  <c:v>0.0419229892914104</c:v>
                </c:pt>
                <c:pt idx="4">
                  <c:v>-0.0142138639842553</c:v>
                </c:pt>
                <c:pt idx="5">
                  <c:v>-0.0607068914522331</c:v>
                </c:pt>
                <c:pt idx="6">
                  <c:v>0.10930488860899</c:v>
                </c:pt>
                <c:pt idx="7">
                  <c:v>0.0595394386687012</c:v>
                </c:pt>
                <c:pt idx="8">
                  <c:v>0.00910887110277603</c:v>
                </c:pt>
                <c:pt idx="9">
                  <c:v>0.02782663525039</c:v>
                </c:pt>
                <c:pt idx="10">
                  <c:v>-0.0112361364480247</c:v>
                </c:pt>
                <c:pt idx="11">
                  <c:v>-0.00401652325828206</c:v>
                </c:pt>
                <c:pt idx="12">
                  <c:v>-0.0415239094441076</c:v>
                </c:pt>
                <c:pt idx="13">
                  <c:v>0.0240644455086545</c:v>
                </c:pt>
                <c:pt idx="14">
                  <c:v>-0.00359081419624219</c:v>
                </c:pt>
                <c:pt idx="15">
                  <c:v>-0.0536372779081462</c:v>
                </c:pt>
                <c:pt idx="16">
                  <c:v>0.0565710237336166</c:v>
                </c:pt>
                <c:pt idx="17">
                  <c:v>0.0251617661850001</c:v>
                </c:pt>
                <c:pt idx="18">
                  <c:v>0.00389175047011681</c:v>
                </c:pt>
                <c:pt idx="19">
                  <c:v>0.0339289495545096</c:v>
                </c:pt>
                <c:pt idx="20">
                  <c:v>-0.0118942592475896</c:v>
                </c:pt>
                <c:pt idx="21">
                  <c:v>-0.128425886066868</c:v>
                </c:pt>
                <c:pt idx="22">
                  <c:v>0.0124025902754914</c:v>
                </c:pt>
                <c:pt idx="23">
                  <c:v>0.0316023417172591</c:v>
                </c:pt>
                <c:pt idx="24">
                  <c:v>-0.0336994027288807</c:v>
                </c:pt>
                <c:pt idx="25">
                  <c:v>-0.107361017962987</c:v>
                </c:pt>
                <c:pt idx="26">
                  <c:v>0.0143361897412988</c:v>
                </c:pt>
                <c:pt idx="27">
                  <c:v>0.0101697629724535</c:v>
                </c:pt>
                <c:pt idx="28">
                  <c:v>-0.0386048355132779</c:v>
                </c:pt>
                <c:pt idx="29">
                  <c:v>-0.0227366424802111</c:v>
                </c:pt>
                <c:pt idx="30">
                  <c:v>-0.0191313885549157</c:v>
                </c:pt>
                <c:pt idx="31">
                  <c:v>0.0269665820824911</c:v>
                </c:pt>
                <c:pt idx="32">
                  <c:v>0.0180500879470642</c:v>
                </c:pt>
                <c:pt idx="33">
                  <c:v>-0.00800115183676819</c:v>
                </c:pt>
                <c:pt idx="34">
                  <c:v>0.00236372307118127</c:v>
                </c:pt>
                <c:pt idx="35">
                  <c:v>-0.0165484144550401</c:v>
                </c:pt>
                <c:pt idx="36">
                  <c:v>-0.0645100225059421</c:v>
                </c:pt>
                <c:pt idx="37">
                  <c:v>0.0464745031027971</c:v>
                </c:pt>
                <c:pt idx="38">
                  <c:v>0.128655222052725</c:v>
                </c:pt>
                <c:pt idx="39">
                  <c:v>0.0154765757362321</c:v>
                </c:pt>
                <c:pt idx="40">
                  <c:v>0.0414292141571684</c:v>
                </c:pt>
                <c:pt idx="41">
                  <c:v>0.0410411491521765</c:v>
                </c:pt>
                <c:pt idx="42">
                  <c:v>-0.0333540823736903</c:v>
                </c:pt>
                <c:pt idx="43">
                  <c:v>-0.0143994276003935</c:v>
                </c:pt>
                <c:pt idx="44">
                  <c:v>-0.0155353901996369</c:v>
                </c:pt>
                <c:pt idx="45">
                  <c:v>-0.0299941007300348</c:v>
                </c:pt>
                <c:pt idx="46">
                  <c:v>0.0192523328962122</c:v>
                </c:pt>
                <c:pt idx="47">
                  <c:v>0.0319970165951895</c:v>
                </c:pt>
                <c:pt idx="48">
                  <c:v>0.00874498608752194</c:v>
                </c:pt>
                <c:pt idx="49">
                  <c:v>0.0288554540569586</c:v>
                </c:pt>
                <c:pt idx="50">
                  <c:v>-0.0191500844344632</c:v>
                </c:pt>
                <c:pt idx="51">
                  <c:v>-0.0471060151577004</c:v>
                </c:pt>
                <c:pt idx="52">
                  <c:v>-0.0271387859258294</c:v>
                </c:pt>
                <c:pt idx="53">
                  <c:v>-0.0130576297147232</c:v>
                </c:pt>
                <c:pt idx="54">
                  <c:v>-0.0160239000543183</c:v>
                </c:pt>
                <c:pt idx="55">
                  <c:v>-0.0232640668743346</c:v>
                </c:pt>
                <c:pt idx="56">
                  <c:v>-0.0010496144685318</c:v>
                </c:pt>
                <c:pt idx="57">
                  <c:v>-0.0225904223075368</c:v>
                </c:pt>
                <c:pt idx="58">
                  <c:v>-0.00190192673447454</c:v>
                </c:pt>
                <c:pt idx="59">
                  <c:v>0.0246064623032312</c:v>
                </c:pt>
                <c:pt idx="60">
                  <c:v>0.0175669119430744</c:v>
                </c:pt>
                <c:pt idx="61">
                  <c:v>0.0174424379680951</c:v>
                </c:pt>
                <c:pt idx="62">
                  <c:v>0.00738065020013656</c:v>
                </c:pt>
                <c:pt idx="63">
                  <c:v>0.0717733025798075</c:v>
                </c:pt>
                <c:pt idx="64">
                  <c:v>-0.157823350694445</c:v>
                </c:pt>
                <c:pt idx="65">
                  <c:v>-0.0397689450063347</c:v>
                </c:pt>
                <c:pt idx="66">
                  <c:v>-0.00154303732361294</c:v>
                </c:pt>
                <c:pt idx="67">
                  <c:v>-0.0356342949292242</c:v>
                </c:pt>
                <c:pt idx="68">
                  <c:v>-0.0572496922683884</c:v>
                </c:pt>
                <c:pt idx="69">
                  <c:v>0.0592973985021679</c:v>
                </c:pt>
                <c:pt idx="70">
                  <c:v>0.0125351752366334</c:v>
                </c:pt>
                <c:pt idx="71">
                  <c:v>0.00475446736184471</c:v>
                </c:pt>
                <c:pt idx="72">
                  <c:v>-0.0100125728654703</c:v>
                </c:pt>
                <c:pt idx="73">
                  <c:v>0.0625533978340684</c:v>
                </c:pt>
                <c:pt idx="74">
                  <c:v>-0.03442280945758</c:v>
                </c:pt>
                <c:pt idx="75">
                  <c:v>-0.0129636298163486</c:v>
                </c:pt>
                <c:pt idx="76">
                  <c:v>0.0247172564757387</c:v>
                </c:pt>
                <c:pt idx="77">
                  <c:v>-0.121628838451268</c:v>
                </c:pt>
                <c:pt idx="78">
                  <c:v>-0.0189491817398795</c:v>
                </c:pt>
                <c:pt idx="79">
                  <c:v>-0.00400247895470751</c:v>
                </c:pt>
                <c:pt idx="80">
                  <c:v>-0.0949936480775712</c:v>
                </c:pt>
                <c:pt idx="81">
                  <c:v>0.00974016672873646</c:v>
                </c:pt>
                <c:pt idx="82">
                  <c:v>-0.0104122336652765</c:v>
                </c:pt>
                <c:pt idx="83">
                  <c:v>0.0542431192660551</c:v>
                </c:pt>
                <c:pt idx="84">
                  <c:v>0.0357609050364407</c:v>
                </c:pt>
                <c:pt idx="85">
                  <c:v>0.00632761834746765</c:v>
                </c:pt>
                <c:pt idx="86">
                  <c:v>0.088316635357963</c:v>
                </c:pt>
                <c:pt idx="87">
                  <c:v>-0.0226308345120226</c:v>
                </c:pt>
                <c:pt idx="88">
                  <c:v>0.018151046137997</c:v>
                </c:pt>
                <c:pt idx="89">
                  <c:v>0.00440868245440762</c:v>
                </c:pt>
                <c:pt idx="90">
                  <c:v>-0.06053919217116</c:v>
                </c:pt>
                <c:pt idx="91">
                  <c:v>-0.0376838235294117</c:v>
                </c:pt>
                <c:pt idx="92">
                  <c:v>0.0236389684813754</c:v>
                </c:pt>
                <c:pt idx="93">
                  <c:v>-0.0168986341134696</c:v>
                </c:pt>
                <c:pt idx="94">
                  <c:v>-0.0420764018876381</c:v>
                </c:pt>
                <c:pt idx="95">
                  <c:v>0.00671528828952805</c:v>
                </c:pt>
                <c:pt idx="96">
                  <c:v>0.0135323546297055</c:v>
                </c:pt>
                <c:pt idx="97">
                  <c:v>-0.06187624750499</c:v>
                </c:pt>
                <c:pt idx="98">
                  <c:v>-0.0194077055779184</c:v>
                </c:pt>
                <c:pt idx="99">
                  <c:v>0.0404632751795924</c:v>
                </c:pt>
                <c:pt idx="100">
                  <c:v>0.0204029871776805</c:v>
                </c:pt>
                <c:pt idx="101">
                  <c:v>-0.0148858018724626</c:v>
                </c:pt>
                <c:pt idx="102">
                  <c:v>-0.0216708718811325</c:v>
                </c:pt>
                <c:pt idx="103">
                  <c:v>0.00111757457661121</c:v>
                </c:pt>
                <c:pt idx="104">
                  <c:v>0.0473437142202884</c:v>
                </c:pt>
                <c:pt idx="105">
                  <c:v>-0.0151134189669307</c:v>
                </c:pt>
                <c:pt idx="106">
                  <c:v>-0.0378222382551267</c:v>
                </c:pt>
                <c:pt idx="107">
                  <c:v>-0.026619368979639</c:v>
                </c:pt>
                <c:pt idx="108">
                  <c:v>-0.0125922194897929</c:v>
                </c:pt>
                <c:pt idx="109">
                  <c:v>0.0607933745423992</c:v>
                </c:pt>
                <c:pt idx="110">
                  <c:v>-0.037367051369088</c:v>
                </c:pt>
                <c:pt idx="111">
                  <c:v>-0.0392583232934678</c:v>
                </c:pt>
                <c:pt idx="112">
                  <c:v>0.0127236580516898</c:v>
                </c:pt>
                <c:pt idx="113">
                  <c:v>-0.0208993989912718</c:v>
                </c:pt>
                <c:pt idx="114">
                  <c:v>-0.0125235201579321</c:v>
                </c:pt>
                <c:pt idx="115">
                  <c:v>0.0816230906194357</c:v>
                </c:pt>
                <c:pt idx="116">
                  <c:v>0.0293709928955122</c:v>
                </c:pt>
                <c:pt idx="117">
                  <c:v>-0.00159919198720648</c:v>
                </c:pt>
                <c:pt idx="118">
                  <c:v>-0.00578879334569771</c:v>
                </c:pt>
                <c:pt idx="119">
                  <c:v>-0.0579423403052572</c:v>
                </c:pt>
                <c:pt idx="120">
                  <c:v>0.00195019501950178</c:v>
                </c:pt>
                <c:pt idx="121">
                  <c:v>-0.113280431202276</c:v>
                </c:pt>
                <c:pt idx="122">
                  <c:v>0.0167161961367013</c:v>
                </c:pt>
                <c:pt idx="123">
                  <c:v>-0.025974025974026</c:v>
                </c:pt>
                <c:pt idx="124">
                  <c:v>-0.0848081841432226</c:v>
                </c:pt>
                <c:pt idx="125">
                  <c:v>-0.016431924882629</c:v>
                </c:pt>
                <c:pt idx="126">
                  <c:v>-0.0203053377277721</c:v>
                </c:pt>
                <c:pt idx="127">
                  <c:v>0.0146939406828817</c:v>
                </c:pt>
                <c:pt idx="128">
                  <c:v>0.0808277123585228</c:v>
                </c:pt>
                <c:pt idx="129">
                  <c:v>-0.120936464283196</c:v>
                </c:pt>
                <c:pt idx="130">
                  <c:v>-0.0046927643189475</c:v>
                </c:pt>
                <c:pt idx="131">
                  <c:v>-0.0536369131573645</c:v>
                </c:pt>
                <c:pt idx="132">
                  <c:v>0.0344064043604155</c:v>
                </c:pt>
                <c:pt idx="133">
                  <c:v>-0.07232833854767</c:v>
                </c:pt>
                <c:pt idx="134">
                  <c:v>0.0847570445972932</c:v>
                </c:pt>
                <c:pt idx="135">
                  <c:v>0.0040499079566374</c:v>
                </c:pt>
                <c:pt idx="136">
                  <c:v>0.0214716427640156</c:v>
                </c:pt>
                <c:pt idx="137">
                  <c:v>0.00929360615850983</c:v>
                </c:pt>
                <c:pt idx="138">
                  <c:v>-0.0214985773000316</c:v>
                </c:pt>
                <c:pt idx="139">
                  <c:v>-0.011470113085622</c:v>
                </c:pt>
                <c:pt idx="140">
                  <c:v>0.0590374244157541</c:v>
                </c:pt>
                <c:pt idx="141">
                  <c:v>-0.0299756953821225</c:v>
                </c:pt>
                <c:pt idx="142">
                  <c:v>-0.188593700286351</c:v>
                </c:pt>
                <c:pt idx="143">
                  <c:v>-0.0434271149887266</c:v>
                </c:pt>
                <c:pt idx="144">
                  <c:v>0.0387886862061897</c:v>
                </c:pt>
                <c:pt idx="145">
                  <c:v>0.0838060474522764</c:v>
                </c:pt>
                <c:pt idx="146">
                  <c:v>0.0178408884034225</c:v>
                </c:pt>
                <c:pt idx="147">
                  <c:v>0.0608567340368449</c:v>
                </c:pt>
                <c:pt idx="148">
                  <c:v>-0.0511696522655426</c:v>
                </c:pt>
                <c:pt idx="149">
                  <c:v>0.112389498467416</c:v>
                </c:pt>
                <c:pt idx="150">
                  <c:v>0.0591030709636196</c:v>
                </c:pt>
                <c:pt idx="151">
                  <c:v>-0.00448701029372944</c:v>
                </c:pt>
                <c:pt idx="152">
                  <c:v>0.0427240360578745</c:v>
                </c:pt>
                <c:pt idx="153">
                  <c:v>0.0589175444969123</c:v>
                </c:pt>
                <c:pt idx="154">
                  <c:v>-0.0857917124039517</c:v>
                </c:pt>
                <c:pt idx="155">
                  <c:v>-0.0535814791189824</c:v>
                </c:pt>
                <c:pt idx="156">
                  <c:v>-0.0131229433453594</c:v>
                </c:pt>
                <c:pt idx="157">
                  <c:v>-0.0540334243933793</c:v>
                </c:pt>
                <c:pt idx="158">
                  <c:v>0.0094279526054275</c:v>
                </c:pt>
              </c:numCache>
            </c:numRef>
          </c:val>
        </c:ser>
        <c:gapWidth val="150"/>
        <c:overlap val="0"/>
        <c:axId val="32914790"/>
        <c:axId val="83183376"/>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(Calc)'!$W$3:$W$500</c:f>
              <c:numCache>
                <c:formatCode>#,##0.00</c:formatCode>
                <c:ptCount val="498"/>
                <c:pt idx="0">
                  <c:v>528.89</c:v>
                </c:pt>
                <c:pt idx="1">
                  <c:v>527.046962025317</c:v>
                </c:pt>
                <c:pt idx="2">
                  <c:v>525.203924050633</c:v>
                </c:pt>
                <c:pt idx="3">
                  <c:v>523.360886075949</c:v>
                </c:pt>
                <c:pt idx="4">
                  <c:v>521.517848101266</c:v>
                </c:pt>
                <c:pt idx="5">
                  <c:v>519.674810126582</c:v>
                </c:pt>
                <c:pt idx="6">
                  <c:v>517.831772151899</c:v>
                </c:pt>
                <c:pt idx="7">
                  <c:v>515.988734177215</c:v>
                </c:pt>
                <c:pt idx="8">
                  <c:v>514.145696202532</c:v>
                </c:pt>
                <c:pt idx="9">
                  <c:v>512.302658227848</c:v>
                </c:pt>
                <c:pt idx="10">
                  <c:v>510.459620253165</c:v>
                </c:pt>
                <c:pt idx="11">
                  <c:v>508.616582278481</c:v>
                </c:pt>
                <c:pt idx="12">
                  <c:v>506.773544303797</c:v>
                </c:pt>
                <c:pt idx="13">
                  <c:v>504.930506329114</c:v>
                </c:pt>
                <c:pt idx="14">
                  <c:v>503.08746835443</c:v>
                </c:pt>
                <c:pt idx="15">
                  <c:v>501.244430379747</c:v>
                </c:pt>
                <c:pt idx="16">
                  <c:v>499.401392405063</c:v>
                </c:pt>
                <c:pt idx="17">
                  <c:v>497.55835443038</c:v>
                </c:pt>
                <c:pt idx="18">
                  <c:v>495.715316455696</c:v>
                </c:pt>
                <c:pt idx="19">
                  <c:v>493.872278481013</c:v>
                </c:pt>
                <c:pt idx="20">
                  <c:v>492.029240506329</c:v>
                </c:pt>
                <c:pt idx="21">
                  <c:v>490.186202531646</c:v>
                </c:pt>
                <c:pt idx="22">
                  <c:v>488.343164556962</c:v>
                </c:pt>
                <c:pt idx="23">
                  <c:v>486.500126582279</c:v>
                </c:pt>
                <c:pt idx="24">
                  <c:v>484.657088607595</c:v>
                </c:pt>
                <c:pt idx="25">
                  <c:v>482.814050632911</c:v>
                </c:pt>
                <c:pt idx="26">
                  <c:v>480.971012658228</c:v>
                </c:pt>
                <c:pt idx="27">
                  <c:v>479.127974683544</c:v>
                </c:pt>
                <c:pt idx="28">
                  <c:v>477.284936708861</c:v>
                </c:pt>
                <c:pt idx="29">
                  <c:v>475.441898734177</c:v>
                </c:pt>
                <c:pt idx="30">
                  <c:v>473.598860759494</c:v>
                </c:pt>
                <c:pt idx="31">
                  <c:v>471.75582278481</c:v>
                </c:pt>
                <c:pt idx="32">
                  <c:v>469.912784810127</c:v>
                </c:pt>
                <c:pt idx="33">
                  <c:v>468.069746835443</c:v>
                </c:pt>
                <c:pt idx="34">
                  <c:v>466.226708860759</c:v>
                </c:pt>
                <c:pt idx="35">
                  <c:v>464.383670886076</c:v>
                </c:pt>
                <c:pt idx="36">
                  <c:v>462.540632911392</c:v>
                </c:pt>
                <c:pt idx="37">
                  <c:v>460.697594936709</c:v>
                </c:pt>
                <c:pt idx="38">
                  <c:v>458.854556962025</c:v>
                </c:pt>
                <c:pt idx="39">
                  <c:v>457.011518987342</c:v>
                </c:pt>
                <c:pt idx="40">
                  <c:v>455.168481012658</c:v>
                </c:pt>
                <c:pt idx="41">
                  <c:v>453.325443037975</c:v>
                </c:pt>
                <c:pt idx="42">
                  <c:v>451.482405063291</c:v>
                </c:pt>
                <c:pt idx="43">
                  <c:v>449.639367088608</c:v>
                </c:pt>
                <c:pt idx="44">
                  <c:v>447.796329113924</c:v>
                </c:pt>
                <c:pt idx="45">
                  <c:v>445.953291139241</c:v>
                </c:pt>
                <c:pt idx="46">
                  <c:v>444.110253164557</c:v>
                </c:pt>
                <c:pt idx="47">
                  <c:v>442.267215189873</c:v>
                </c:pt>
                <c:pt idx="48">
                  <c:v>440.42417721519</c:v>
                </c:pt>
                <c:pt idx="49">
                  <c:v>438.581139240506</c:v>
                </c:pt>
                <c:pt idx="50">
                  <c:v>436.738101265823</c:v>
                </c:pt>
                <c:pt idx="51">
                  <c:v>434.895063291139</c:v>
                </c:pt>
                <c:pt idx="52">
                  <c:v>433.052025316456</c:v>
                </c:pt>
                <c:pt idx="53">
                  <c:v>431.208987341772</c:v>
                </c:pt>
                <c:pt idx="54">
                  <c:v>429.365949367089</c:v>
                </c:pt>
                <c:pt idx="55">
                  <c:v>427.522911392405</c:v>
                </c:pt>
                <c:pt idx="56">
                  <c:v>425.679873417722</c:v>
                </c:pt>
                <c:pt idx="57">
                  <c:v>423.836835443038</c:v>
                </c:pt>
                <c:pt idx="58">
                  <c:v>421.993797468354</c:v>
                </c:pt>
                <c:pt idx="59">
                  <c:v>420.150759493671</c:v>
                </c:pt>
                <c:pt idx="60">
                  <c:v>418.307721518987</c:v>
                </c:pt>
                <c:pt idx="61">
                  <c:v>416.464683544304</c:v>
                </c:pt>
                <c:pt idx="62">
                  <c:v>414.62164556962</c:v>
                </c:pt>
                <c:pt idx="63">
                  <c:v>412.778607594937</c:v>
                </c:pt>
                <c:pt idx="64">
                  <c:v>410.935569620253</c:v>
                </c:pt>
                <c:pt idx="65">
                  <c:v>409.09253164557</c:v>
                </c:pt>
                <c:pt idx="66">
                  <c:v>407.249493670886</c:v>
                </c:pt>
                <c:pt idx="67">
                  <c:v>405.406455696203</c:v>
                </c:pt>
                <c:pt idx="68">
                  <c:v>403.563417721519</c:v>
                </c:pt>
                <c:pt idx="69">
                  <c:v>401.720379746835</c:v>
                </c:pt>
                <c:pt idx="70">
                  <c:v>399.877341772152</c:v>
                </c:pt>
                <c:pt idx="71">
                  <c:v>398.034303797468</c:v>
                </c:pt>
                <c:pt idx="72">
                  <c:v>396.191265822785</c:v>
                </c:pt>
                <c:pt idx="73">
                  <c:v>394.348227848101</c:v>
                </c:pt>
                <c:pt idx="74">
                  <c:v>392.505189873418</c:v>
                </c:pt>
                <c:pt idx="75">
                  <c:v>390.662151898734</c:v>
                </c:pt>
                <c:pt idx="76">
                  <c:v>388.819113924051</c:v>
                </c:pt>
                <c:pt idx="77">
                  <c:v>386.976075949367</c:v>
                </c:pt>
                <c:pt idx="78">
                  <c:v>385.133037974684</c:v>
                </c:pt>
                <c:pt idx="79">
                  <c:v>383.29</c:v>
                </c:pt>
                <c:pt idx="80">
                  <c:v>381.446962025316</c:v>
                </c:pt>
                <c:pt idx="81">
                  <c:v>379.603924050633</c:v>
                </c:pt>
                <c:pt idx="82">
                  <c:v>377.760886075949</c:v>
                </c:pt>
                <c:pt idx="83">
                  <c:v>375.917848101266</c:v>
                </c:pt>
                <c:pt idx="84">
                  <c:v>374.074810126582</c:v>
                </c:pt>
                <c:pt idx="85">
                  <c:v>372.231772151899</c:v>
                </c:pt>
                <c:pt idx="86">
                  <c:v>370.388734177215</c:v>
                </c:pt>
                <c:pt idx="87">
                  <c:v>368.545696202532</c:v>
                </c:pt>
                <c:pt idx="88">
                  <c:v>366.702658227848</c:v>
                </c:pt>
                <c:pt idx="89">
                  <c:v>364.859620253165</c:v>
                </c:pt>
                <c:pt idx="90">
                  <c:v>363.016582278481</c:v>
                </c:pt>
                <c:pt idx="91">
                  <c:v>361.173544303798</c:v>
                </c:pt>
                <c:pt idx="92">
                  <c:v>359.330506329114</c:v>
                </c:pt>
                <c:pt idx="93">
                  <c:v>357.48746835443</c:v>
                </c:pt>
                <c:pt idx="94">
                  <c:v>355.644430379747</c:v>
                </c:pt>
                <c:pt idx="95">
                  <c:v>353.801392405063</c:v>
                </c:pt>
                <c:pt idx="96">
                  <c:v>351.95835443038</c:v>
                </c:pt>
                <c:pt idx="97">
                  <c:v>350.115316455696</c:v>
                </c:pt>
                <c:pt idx="98">
                  <c:v>348.272278481013</c:v>
                </c:pt>
                <c:pt idx="99">
                  <c:v>346.429240506329</c:v>
                </c:pt>
                <c:pt idx="100">
                  <c:v>344.586202531646</c:v>
                </c:pt>
                <c:pt idx="101">
                  <c:v>342.743164556962</c:v>
                </c:pt>
                <c:pt idx="102">
                  <c:v>340.900126582279</c:v>
                </c:pt>
                <c:pt idx="103">
                  <c:v>339.057088607595</c:v>
                </c:pt>
                <c:pt idx="104">
                  <c:v>337.214050632911</c:v>
                </c:pt>
                <c:pt idx="105">
                  <c:v>335.371012658228</c:v>
                </c:pt>
                <c:pt idx="106">
                  <c:v>333.527974683544</c:v>
                </c:pt>
                <c:pt idx="107">
                  <c:v>331.684936708861</c:v>
                </c:pt>
                <c:pt idx="108">
                  <c:v>329.841898734177</c:v>
                </c:pt>
                <c:pt idx="109">
                  <c:v>327.998860759494</c:v>
                </c:pt>
                <c:pt idx="110">
                  <c:v>326.15582278481</c:v>
                </c:pt>
                <c:pt idx="111">
                  <c:v>324.312784810127</c:v>
                </c:pt>
                <c:pt idx="112">
                  <c:v>322.469746835443</c:v>
                </c:pt>
                <c:pt idx="113">
                  <c:v>320.62670886076</c:v>
                </c:pt>
                <c:pt idx="114">
                  <c:v>318.783670886076</c:v>
                </c:pt>
                <c:pt idx="115">
                  <c:v>316.940632911392</c:v>
                </c:pt>
                <c:pt idx="116">
                  <c:v>315.097594936709</c:v>
                </c:pt>
                <c:pt idx="117">
                  <c:v>313.254556962025</c:v>
                </c:pt>
                <c:pt idx="118">
                  <c:v>311.411518987342</c:v>
                </c:pt>
                <c:pt idx="119">
                  <c:v>309.568481012658</c:v>
                </c:pt>
                <c:pt idx="120">
                  <c:v>307.725443037975</c:v>
                </c:pt>
                <c:pt idx="121">
                  <c:v>305.882405063291</c:v>
                </c:pt>
                <c:pt idx="122">
                  <c:v>304.039367088608</c:v>
                </c:pt>
                <c:pt idx="123">
                  <c:v>302.196329113924</c:v>
                </c:pt>
                <c:pt idx="124">
                  <c:v>300.353291139241</c:v>
                </c:pt>
                <c:pt idx="125">
                  <c:v>298.510253164557</c:v>
                </c:pt>
                <c:pt idx="126">
                  <c:v>296.667215189873</c:v>
                </c:pt>
                <c:pt idx="127">
                  <c:v>294.82417721519</c:v>
                </c:pt>
                <c:pt idx="128">
                  <c:v>292.981139240506</c:v>
                </c:pt>
                <c:pt idx="129">
                  <c:v>291.138101265823</c:v>
                </c:pt>
                <c:pt idx="130">
                  <c:v>289.295063291139</c:v>
                </c:pt>
                <c:pt idx="131">
                  <c:v>287.452025316456</c:v>
                </c:pt>
                <c:pt idx="132">
                  <c:v>285.608987341772</c:v>
                </c:pt>
                <c:pt idx="133">
                  <c:v>283.765949367089</c:v>
                </c:pt>
                <c:pt idx="134">
                  <c:v>281.922911392405</c:v>
                </c:pt>
                <c:pt idx="135">
                  <c:v>280.079873417722</c:v>
                </c:pt>
                <c:pt idx="136">
                  <c:v>278.236835443038</c:v>
                </c:pt>
                <c:pt idx="137">
                  <c:v>276.393797468354</c:v>
                </c:pt>
                <c:pt idx="138">
                  <c:v>274.550759493671</c:v>
                </c:pt>
                <c:pt idx="139">
                  <c:v>272.707721518987</c:v>
                </c:pt>
                <c:pt idx="140">
                  <c:v>270.864683544304</c:v>
                </c:pt>
                <c:pt idx="141">
                  <c:v>269.02164556962</c:v>
                </c:pt>
                <c:pt idx="142">
                  <c:v>267.178607594937</c:v>
                </c:pt>
                <c:pt idx="143">
                  <c:v>265.335569620253</c:v>
                </c:pt>
                <c:pt idx="144">
                  <c:v>263.49253164557</c:v>
                </c:pt>
                <c:pt idx="145">
                  <c:v>261.649493670886</c:v>
                </c:pt>
                <c:pt idx="146">
                  <c:v>259.806455696203</c:v>
                </c:pt>
                <c:pt idx="147">
                  <c:v>257.963417721519</c:v>
                </c:pt>
                <c:pt idx="148">
                  <c:v>256.120379746835</c:v>
                </c:pt>
                <c:pt idx="149">
                  <c:v>254.277341772152</c:v>
                </c:pt>
                <c:pt idx="150">
                  <c:v>252.434303797468</c:v>
                </c:pt>
                <c:pt idx="151">
                  <c:v>250.591265822785</c:v>
                </c:pt>
                <c:pt idx="152">
                  <c:v>248.748227848101</c:v>
                </c:pt>
                <c:pt idx="153">
                  <c:v>246.905189873418</c:v>
                </c:pt>
                <c:pt idx="154">
                  <c:v>245.062151898734</c:v>
                </c:pt>
                <c:pt idx="155">
                  <c:v>243.219113924051</c:v>
                </c:pt>
                <c:pt idx="156">
                  <c:v>241.376075949367</c:v>
                </c:pt>
                <c:pt idx="157">
                  <c:v>239.533037974684</c:v>
                </c:pt>
                <c:pt idx="158">
                  <c:v>237.69</c:v>
                </c:pt>
                <c:pt idx="159">
                  <c:v>235.846962025317</c:v>
                </c:pt>
              </c:numCache>
            </c:numRef>
          </c:val>
          <c:smooth val="0"/>
        </c:ser>
        <c:hiLowLines>
          <c:spPr>
            <a:ln w="0">
              <a:noFill/>
            </a:ln>
          </c:spPr>
        </c:hiLowLines>
        <c:marker val="0"/>
        <c:axId val="23284939"/>
        <c:axId val="92882002"/>
      </c:lineChart>
      <c:dateAx>
        <c:axId val="3291479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183376"/>
        <c:auto val="1"/>
        <c:lblOffset val="100"/>
        <c:baseTimeUnit val="days"/>
      </c:dateAx>
      <c:valAx>
        <c:axId val="8318337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914790"/>
        <c:crosses val="autoZero"/>
        <c:crossBetween val="between"/>
      </c:valAx>
      <c:dateAx>
        <c:axId val="2328493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882002"/>
        <c:auto val="1"/>
        <c:lblOffset val="100"/>
        <c:baseTimeUnit val="days"/>
      </c:dateAx>
      <c:valAx>
        <c:axId val="9288200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28493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(Calc)'!$C$3:$C$500</c:f>
              <c:numCache>
                <c:formatCode>0.0%</c:formatCode>
                <c:ptCount val="498"/>
                <c:pt idx="0">
                  <c:v>-0.0238198354265916</c:v>
                </c:pt>
                <c:pt idx="1">
                  <c:v>0.0199645075421473</c:v>
                </c:pt>
                <c:pt idx="2">
                  <c:v>0.0550239234449761</c:v>
                </c:pt>
                <c:pt idx="3">
                  <c:v>-0.0216450216450216</c:v>
                </c:pt>
                <c:pt idx="4">
                  <c:v>-0.0195954487989887</c:v>
                </c:pt>
                <c:pt idx="5">
                  <c:v>-0.0532989469159683</c:v>
                </c:pt>
                <c:pt idx="6">
                  <c:v>0.205902383654938</c:v>
                </c:pt>
                <c:pt idx="7">
                  <c:v>-0.0265436746987952</c:v>
                </c:pt>
                <c:pt idx="8">
                  <c:v>0.0377103074840455</c:v>
                </c:pt>
                <c:pt idx="9">
                  <c:v>0.0175177040626167</c:v>
                </c:pt>
                <c:pt idx="10">
                  <c:v>-0.00805860805860814</c:v>
                </c:pt>
                <c:pt idx="11">
                  <c:v>0.0341580502215657</c:v>
                </c:pt>
                <c:pt idx="12">
                  <c:v>0.0515979289412605</c:v>
                </c:pt>
                <c:pt idx="13">
                  <c:v>0.0112054329371818</c:v>
                </c:pt>
                <c:pt idx="14">
                  <c:v>-0.0114170584284755</c:v>
                </c:pt>
                <c:pt idx="15">
                  <c:v>-0.0195312500000001</c:v>
                </c:pt>
                <c:pt idx="16">
                  <c:v>0.0914602459726313</c:v>
                </c:pt>
                <c:pt idx="17">
                  <c:v>0.0455483256625933</c:v>
                </c:pt>
                <c:pt idx="18">
                  <c:v>0.00333940497874918</c:v>
                </c:pt>
                <c:pt idx="19">
                  <c:v>0.032980332829047</c:v>
                </c:pt>
                <c:pt idx="20">
                  <c:v>0.0341241944932631</c:v>
                </c:pt>
                <c:pt idx="21">
                  <c:v>-0.0732190907803427</c:v>
                </c:pt>
                <c:pt idx="22">
                  <c:v>0.0226161369193154</c:v>
                </c:pt>
                <c:pt idx="23">
                  <c:v>0.0748655110579797</c:v>
                </c:pt>
                <c:pt idx="24">
                  <c:v>-0.0507437786737106</c:v>
                </c:pt>
                <c:pt idx="25">
                  <c:v>0.0168424135910956</c:v>
                </c:pt>
                <c:pt idx="26">
                  <c:v>0.103413510010082</c:v>
                </c:pt>
                <c:pt idx="27">
                  <c:v>-0.0536483487795327</c:v>
                </c:pt>
                <c:pt idx="28">
                  <c:v>0.0262068965517241</c:v>
                </c:pt>
                <c:pt idx="29">
                  <c:v>-0.0885752688172043</c:v>
                </c:pt>
                <c:pt idx="30">
                  <c:v>-0.0927591800619377</c:v>
                </c:pt>
                <c:pt idx="31">
                  <c:v>0.0757477243172953</c:v>
                </c:pt>
                <c:pt idx="32">
                  <c:v>0.0365669386521605</c:v>
                </c:pt>
                <c:pt idx="33">
                  <c:v>0.144460641399417</c:v>
                </c:pt>
                <c:pt idx="34">
                  <c:v>0.0185963571519552</c:v>
                </c:pt>
                <c:pt idx="35">
                  <c:v>-0.0416406152307115</c:v>
                </c:pt>
                <c:pt idx="36">
                  <c:v>-0.0290970772442589</c:v>
                </c:pt>
                <c:pt idx="37">
                  <c:v>-0.00282220131702715</c:v>
                </c:pt>
                <c:pt idx="38">
                  <c:v>0.106738544474394</c:v>
                </c:pt>
                <c:pt idx="39">
                  <c:v>0.0270336093521675</c:v>
                </c:pt>
                <c:pt idx="40">
                  <c:v>0.0388902063078018</c:v>
                </c:pt>
                <c:pt idx="41">
                  <c:v>0.0447386441451723</c:v>
                </c:pt>
                <c:pt idx="42">
                  <c:v>-0.0116888791785013</c:v>
                </c:pt>
                <c:pt idx="43">
                  <c:v>-0.0865480269702664</c:v>
                </c:pt>
                <c:pt idx="44">
                  <c:v>-0.0343659244917716</c:v>
                </c:pt>
                <c:pt idx="45">
                  <c:v>0.000375939849624141</c:v>
                </c:pt>
                <c:pt idx="46">
                  <c:v>0.0516096705499187</c:v>
                </c:pt>
                <c:pt idx="47">
                  <c:v>0.0538415723645027</c:v>
                </c:pt>
                <c:pt idx="48">
                  <c:v>0.00350401265965861</c:v>
                </c:pt>
                <c:pt idx="49">
                  <c:v>-0.00484343320567704</c:v>
                </c:pt>
                <c:pt idx="50">
                  <c:v>-0.110582908885116</c:v>
                </c:pt>
                <c:pt idx="51">
                  <c:v>0.14456604734029</c:v>
                </c:pt>
                <c:pt idx="52">
                  <c:v>0.0686012897487214</c:v>
                </c:pt>
                <c:pt idx="53">
                  <c:v>-0.0108209343460619</c:v>
                </c:pt>
                <c:pt idx="54">
                  <c:v>0.0412327758493742</c:v>
                </c:pt>
                <c:pt idx="55">
                  <c:v>0.0529346398626125</c:v>
                </c:pt>
                <c:pt idx="56">
                  <c:v>-0.0357862419648853</c:v>
                </c:pt>
                <c:pt idx="57">
                  <c:v>-0.0197014925373135</c:v>
                </c:pt>
                <c:pt idx="58">
                  <c:v>0.000203004466098333</c:v>
                </c:pt>
                <c:pt idx="59">
                  <c:v>0.0159326161964684</c:v>
                </c:pt>
                <c:pt idx="60">
                  <c:v>-0.0650284686844471</c:v>
                </c:pt>
                <c:pt idx="61">
                  <c:v>0.0856837606837608</c:v>
                </c:pt>
                <c:pt idx="62">
                  <c:v>-0.00157449320999814</c:v>
                </c:pt>
                <c:pt idx="63">
                  <c:v>0.0669229252907551</c:v>
                </c:pt>
                <c:pt idx="64">
                  <c:v>0.0380600461893765</c:v>
                </c:pt>
                <c:pt idx="65">
                  <c:v>0.00391563584586629</c:v>
                </c:pt>
                <c:pt idx="66">
                  <c:v>0.00195018172147865</c:v>
                </c:pt>
                <c:pt idx="67">
                  <c:v>0.0191984428912679</c:v>
                </c:pt>
                <c:pt idx="68">
                  <c:v>-0.00746527777777772</c:v>
                </c:pt>
                <c:pt idx="69">
                  <c:v>0.0490641945076089</c:v>
                </c:pt>
                <c:pt idx="70">
                  <c:v>0.0768653605669027</c:v>
                </c:pt>
                <c:pt idx="71">
                  <c:v>-0.107919795618177</c:v>
                </c:pt>
                <c:pt idx="72">
                  <c:v>0.028117677688102</c:v>
                </c:pt>
                <c:pt idx="73">
                  <c:v>-0.0979150839875074</c:v>
                </c:pt>
                <c:pt idx="74">
                  <c:v>-0.0801908861233275</c:v>
                </c:pt>
                <c:pt idx="75">
                  <c:v>-0.0534079348931842</c:v>
                </c:pt>
                <c:pt idx="76">
                  <c:v>-0.10413756045137</c:v>
                </c:pt>
                <c:pt idx="77">
                  <c:v>0.00179942418426116</c:v>
                </c:pt>
                <c:pt idx="78">
                  <c:v>-0.00455035325110775</c:v>
                </c:pt>
                <c:pt idx="79">
                  <c:v>-0.0624323348971491</c:v>
                </c:pt>
                <c:pt idx="80">
                  <c:v>-0.174108288426995</c:v>
                </c:pt>
                <c:pt idx="81">
                  <c:v>0.128942053751748</c:v>
                </c:pt>
                <c:pt idx="82">
                  <c:v>-0.0202284298885372</c:v>
                </c:pt>
                <c:pt idx="83">
                  <c:v>0.0942415730337078</c:v>
                </c:pt>
                <c:pt idx="84">
                  <c:v>0.168271082017713</c:v>
                </c:pt>
                <c:pt idx="85">
                  <c:v>-0.049439683586025</c:v>
                </c:pt>
                <c:pt idx="86">
                  <c:v>0.114424410540916</c:v>
                </c:pt>
                <c:pt idx="87">
                  <c:v>-0.0541381456129434</c:v>
                </c:pt>
                <c:pt idx="88">
                  <c:v>-0.05</c:v>
                </c:pt>
                <c:pt idx="89">
                  <c:v>0.122460757156048</c:v>
                </c:pt>
                <c:pt idx="90">
                  <c:v>-0.0503856041131106</c:v>
                </c:pt>
                <c:pt idx="91">
                  <c:v>-0.0660530590146182</c:v>
                </c:pt>
                <c:pt idx="92">
                  <c:v>0.152347826086957</c:v>
                </c:pt>
                <c:pt idx="93">
                  <c:v>0.0314921018211087</c:v>
                </c:pt>
                <c:pt idx="94">
                  <c:v>0.0590128755364807</c:v>
                </c:pt>
                <c:pt idx="95">
                  <c:v>0.0295661785023489</c:v>
                </c:pt>
                <c:pt idx="96">
                  <c:v>0.0223653605296117</c:v>
                </c:pt>
                <c:pt idx="97">
                  <c:v>0.0287889394469723</c:v>
                </c:pt>
                <c:pt idx="98">
                  <c:v>0.183805392532109</c:v>
                </c:pt>
                <c:pt idx="99">
                  <c:v>-0.0135076878861905</c:v>
                </c:pt>
                <c:pt idx="100">
                  <c:v>-0.029497450837582</c:v>
                </c:pt>
                <c:pt idx="101">
                  <c:v>0.024765478424015</c:v>
                </c:pt>
                <c:pt idx="102">
                  <c:v>0.0461369461735626</c:v>
                </c:pt>
                <c:pt idx="103">
                  <c:v>-0.0242212110605531</c:v>
                </c:pt>
                <c:pt idx="104">
                  <c:v>0.0733194633761392</c:v>
                </c:pt>
                <c:pt idx="105">
                  <c:v>-0.0475235612592742</c:v>
                </c:pt>
                <c:pt idx="106">
                  <c:v>0.0210526315789474</c:v>
                </c:pt>
                <c:pt idx="107">
                  <c:v>0.059106529209622</c:v>
                </c:pt>
                <c:pt idx="108">
                  <c:v>-0.0713822193380922</c:v>
                </c:pt>
                <c:pt idx="109">
                  <c:v>0.0749126484975542</c:v>
                </c:pt>
                <c:pt idx="110">
                  <c:v>0.0251592770771032</c:v>
                </c:pt>
                <c:pt idx="111">
                  <c:v>-0.146109455260321</c:v>
                </c:pt>
                <c:pt idx="112">
                  <c:v>-0.024359450427033</c:v>
                </c:pt>
                <c:pt idx="113">
                  <c:v>-0.106112506660577</c:v>
                </c:pt>
                <c:pt idx="114">
                  <c:v>0.112833177211956</c:v>
                </c:pt>
                <c:pt idx="115">
                  <c:v>-0.015993265993266</c:v>
                </c:pt>
                <c:pt idx="116">
                  <c:v>-0.0297845866708142</c:v>
                </c:pt>
                <c:pt idx="117">
                  <c:v>0.0509778775248477</c:v>
                </c:pt>
                <c:pt idx="118">
                  <c:v>0.00549115314215976</c:v>
                </c:pt>
                <c:pt idx="119">
                  <c:v>0.0133495145631066</c:v>
                </c:pt>
                <c:pt idx="120">
                  <c:v>-0.0801646706586826</c:v>
                </c:pt>
                <c:pt idx="121">
                  <c:v>0.0564732687769551</c:v>
                </c:pt>
                <c:pt idx="122">
                  <c:v>0.0501424940306554</c:v>
                </c:pt>
                <c:pt idx="123">
                  <c:v>0.0396068651899664</c:v>
                </c:pt>
                <c:pt idx="124">
                  <c:v>-0.0299844786228305</c:v>
                </c:pt>
                <c:pt idx="125">
                  <c:v>0.0298203505709507</c:v>
                </c:pt>
                <c:pt idx="126">
                  <c:v>-0.0621512818701887</c:v>
                </c:pt>
                <c:pt idx="127">
                  <c:v>0.00534678816175926</c:v>
                </c:pt>
                <c:pt idx="128">
                  <c:v>-0.0045692883895132</c:v>
                </c:pt>
                <c:pt idx="129">
                  <c:v>0.00511701407178866</c:v>
                </c:pt>
                <c:pt idx="130">
                  <c:v>-0.0175937710563749</c:v>
                </c:pt>
                <c:pt idx="131">
                  <c:v>-0.0796372504191435</c:v>
                </c:pt>
                <c:pt idx="132">
                  <c:v>0.0489359940382546</c:v>
                </c:pt>
                <c:pt idx="133">
                  <c:v>0.163167035048942</c:v>
                </c:pt>
                <c:pt idx="134">
                  <c:v>0.114557176789956</c:v>
                </c:pt>
                <c:pt idx="135">
                  <c:v>0.0772087925470377</c:v>
                </c:pt>
                <c:pt idx="136">
                  <c:v>-0.0237974111129954</c:v>
                </c:pt>
                <c:pt idx="137">
                  <c:v>-0.179096699478865</c:v>
                </c:pt>
                <c:pt idx="138">
                  <c:v>0.00141073569866679</c:v>
                </c:pt>
                <c:pt idx="139">
                  <c:v>0.0849475241248152</c:v>
                </c:pt>
                <c:pt idx="140">
                  <c:v>0.0353177952346946</c:v>
                </c:pt>
                <c:pt idx="141">
                  <c:v>-0.032608014046529</c:v>
                </c:pt>
                <c:pt idx="142">
                  <c:v>0.0581448110455693</c:v>
                </c:pt>
                <c:pt idx="143">
                  <c:v>0.0393898554275911</c:v>
                </c:pt>
                <c:pt idx="144">
                  <c:v>-0.0711380915895562</c:v>
                </c:pt>
                <c:pt idx="145">
                  <c:v>0.0151649746192895</c:v>
                </c:pt>
                <c:pt idx="146">
                  <c:v>0.168573035814738</c:v>
                </c:pt>
                <c:pt idx="147">
                  <c:v>-0.0981493367565254</c:v>
                </c:pt>
                <c:pt idx="148">
                  <c:v>0.0319079532649309</c:v>
                </c:pt>
                <c:pt idx="149">
                  <c:v>0.0365538249324673</c:v>
                </c:pt>
                <c:pt idx="150">
                  <c:v>0.046132520099806</c:v>
                </c:pt>
                <c:pt idx="151">
                  <c:v>0.0537976360841681</c:v>
                </c:pt>
                <c:pt idx="152">
                  <c:v>-0.0511517955940045</c:v>
                </c:pt>
                <c:pt idx="153">
                  <c:v>0.0356745295520806</c:v>
                </c:pt>
                <c:pt idx="154">
                  <c:v>-0.00818916982290918</c:v>
                </c:pt>
                <c:pt idx="155">
                  <c:v>0.0299824543296523</c:v>
                </c:pt>
                <c:pt idx="156">
                  <c:v>-0.00100205421113286</c:v>
                </c:pt>
                <c:pt idx="157">
                  <c:v>0.0359095240483476</c:v>
                </c:pt>
                <c:pt idx="158">
                  <c:v>0.00387315419995149</c:v>
                </c:pt>
              </c:numCache>
            </c:numRef>
          </c:val>
        </c:ser>
        <c:gapWidth val="150"/>
        <c:overlap val="0"/>
        <c:axId val="57532256"/>
        <c:axId val="60560123"/>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(Calc)'!$X$3:$X$500</c:f>
              <c:numCache>
                <c:formatCode>#,##0.00</c:formatCode>
                <c:ptCount val="498"/>
                <c:pt idx="0">
                  <c:v>46.18</c:v>
                </c:pt>
                <c:pt idx="1">
                  <c:v>47.2000632911392</c:v>
                </c:pt>
                <c:pt idx="2">
                  <c:v>48.2201265822785</c:v>
                </c:pt>
                <c:pt idx="3">
                  <c:v>49.2401898734177</c:v>
                </c:pt>
                <c:pt idx="4">
                  <c:v>50.260253164557</c:v>
                </c:pt>
                <c:pt idx="5">
                  <c:v>51.2803164556962</c:v>
                </c:pt>
                <c:pt idx="6">
                  <c:v>52.3003797468354</c:v>
                </c:pt>
                <c:pt idx="7">
                  <c:v>53.3204430379747</c:v>
                </c:pt>
                <c:pt idx="8">
                  <c:v>54.3405063291139</c:v>
                </c:pt>
                <c:pt idx="9">
                  <c:v>55.3605696202532</c:v>
                </c:pt>
                <c:pt idx="10">
                  <c:v>56.3806329113924</c:v>
                </c:pt>
                <c:pt idx="11">
                  <c:v>57.4006962025317</c:v>
                </c:pt>
                <c:pt idx="12">
                  <c:v>58.4207594936709</c:v>
                </c:pt>
                <c:pt idx="13">
                  <c:v>59.4408227848101</c:v>
                </c:pt>
                <c:pt idx="14">
                  <c:v>60.4608860759494</c:v>
                </c:pt>
                <c:pt idx="15">
                  <c:v>61.4809493670886</c:v>
                </c:pt>
                <c:pt idx="16">
                  <c:v>62.5010126582279</c:v>
                </c:pt>
                <c:pt idx="17">
                  <c:v>63.5210759493671</c:v>
                </c:pt>
                <c:pt idx="18">
                  <c:v>64.5411392405063</c:v>
                </c:pt>
                <c:pt idx="19">
                  <c:v>65.5612025316456</c:v>
                </c:pt>
                <c:pt idx="20">
                  <c:v>66.5812658227848</c:v>
                </c:pt>
                <c:pt idx="21">
                  <c:v>67.6013291139241</c:v>
                </c:pt>
                <c:pt idx="22">
                  <c:v>68.6213924050633</c:v>
                </c:pt>
                <c:pt idx="23">
                  <c:v>69.6414556962025</c:v>
                </c:pt>
                <c:pt idx="24">
                  <c:v>70.6615189873418</c:v>
                </c:pt>
                <c:pt idx="25">
                  <c:v>71.681582278481</c:v>
                </c:pt>
                <c:pt idx="26">
                  <c:v>72.7016455696203</c:v>
                </c:pt>
                <c:pt idx="27">
                  <c:v>73.7217088607595</c:v>
                </c:pt>
                <c:pt idx="28">
                  <c:v>74.7417721518987</c:v>
                </c:pt>
                <c:pt idx="29">
                  <c:v>75.761835443038</c:v>
                </c:pt>
                <c:pt idx="30">
                  <c:v>76.7818987341772</c:v>
                </c:pt>
                <c:pt idx="31">
                  <c:v>77.8019620253165</c:v>
                </c:pt>
                <c:pt idx="32">
                  <c:v>78.8220253164557</c:v>
                </c:pt>
                <c:pt idx="33">
                  <c:v>79.8420886075949</c:v>
                </c:pt>
                <c:pt idx="34">
                  <c:v>80.8621518987342</c:v>
                </c:pt>
                <c:pt idx="35">
                  <c:v>81.8822151898734</c:v>
                </c:pt>
                <c:pt idx="36">
                  <c:v>82.9022784810127</c:v>
                </c:pt>
                <c:pt idx="37">
                  <c:v>83.9223417721519</c:v>
                </c:pt>
                <c:pt idx="38">
                  <c:v>84.9424050632911</c:v>
                </c:pt>
                <c:pt idx="39">
                  <c:v>85.9624683544304</c:v>
                </c:pt>
                <c:pt idx="40">
                  <c:v>86.9825316455696</c:v>
                </c:pt>
                <c:pt idx="41">
                  <c:v>88.0025949367089</c:v>
                </c:pt>
                <c:pt idx="42">
                  <c:v>89.0226582278481</c:v>
                </c:pt>
                <c:pt idx="43">
                  <c:v>90.0427215189873</c:v>
                </c:pt>
                <c:pt idx="44">
                  <c:v>91.0627848101266</c:v>
                </c:pt>
                <c:pt idx="45">
                  <c:v>92.0828481012658</c:v>
                </c:pt>
                <c:pt idx="46">
                  <c:v>93.1029113924051</c:v>
                </c:pt>
                <c:pt idx="47">
                  <c:v>94.1229746835443</c:v>
                </c:pt>
                <c:pt idx="48">
                  <c:v>95.1430379746836</c:v>
                </c:pt>
                <c:pt idx="49">
                  <c:v>96.1631012658228</c:v>
                </c:pt>
                <c:pt idx="50">
                  <c:v>97.183164556962</c:v>
                </c:pt>
                <c:pt idx="51">
                  <c:v>98.2032278481013</c:v>
                </c:pt>
                <c:pt idx="52">
                  <c:v>99.2232911392405</c:v>
                </c:pt>
                <c:pt idx="53">
                  <c:v>100.24335443038</c:v>
                </c:pt>
                <c:pt idx="54">
                  <c:v>101.263417721519</c:v>
                </c:pt>
                <c:pt idx="55">
                  <c:v>102.283481012658</c:v>
                </c:pt>
                <c:pt idx="56">
                  <c:v>103.303544303797</c:v>
                </c:pt>
                <c:pt idx="57">
                  <c:v>104.323607594937</c:v>
                </c:pt>
                <c:pt idx="58">
                  <c:v>105.343670886076</c:v>
                </c:pt>
                <c:pt idx="59">
                  <c:v>106.363734177215</c:v>
                </c:pt>
                <c:pt idx="60">
                  <c:v>107.383797468354</c:v>
                </c:pt>
                <c:pt idx="61">
                  <c:v>108.403860759494</c:v>
                </c:pt>
                <c:pt idx="62">
                  <c:v>109.423924050633</c:v>
                </c:pt>
                <c:pt idx="63">
                  <c:v>110.443987341772</c:v>
                </c:pt>
                <c:pt idx="64">
                  <c:v>111.464050632911</c:v>
                </c:pt>
                <c:pt idx="65">
                  <c:v>112.484113924051</c:v>
                </c:pt>
                <c:pt idx="66">
                  <c:v>113.50417721519</c:v>
                </c:pt>
                <c:pt idx="67">
                  <c:v>114.524240506329</c:v>
                </c:pt>
                <c:pt idx="68">
                  <c:v>115.544303797468</c:v>
                </c:pt>
                <c:pt idx="69">
                  <c:v>116.564367088608</c:v>
                </c:pt>
                <c:pt idx="70">
                  <c:v>117.584430379747</c:v>
                </c:pt>
                <c:pt idx="71">
                  <c:v>118.604493670886</c:v>
                </c:pt>
                <c:pt idx="72">
                  <c:v>119.624556962025</c:v>
                </c:pt>
                <c:pt idx="73">
                  <c:v>120.644620253165</c:v>
                </c:pt>
                <c:pt idx="74">
                  <c:v>121.664683544304</c:v>
                </c:pt>
                <c:pt idx="75">
                  <c:v>122.684746835443</c:v>
                </c:pt>
                <c:pt idx="76">
                  <c:v>123.704810126582</c:v>
                </c:pt>
                <c:pt idx="77">
                  <c:v>124.724873417722</c:v>
                </c:pt>
                <c:pt idx="78">
                  <c:v>125.744936708861</c:v>
                </c:pt>
                <c:pt idx="79">
                  <c:v>126.765</c:v>
                </c:pt>
                <c:pt idx="80">
                  <c:v>127.785063291139</c:v>
                </c:pt>
                <c:pt idx="81">
                  <c:v>128.805126582278</c:v>
                </c:pt>
                <c:pt idx="82">
                  <c:v>129.825189873418</c:v>
                </c:pt>
                <c:pt idx="83">
                  <c:v>130.845253164557</c:v>
                </c:pt>
                <c:pt idx="84">
                  <c:v>131.865316455696</c:v>
                </c:pt>
                <c:pt idx="85">
                  <c:v>132.885379746835</c:v>
                </c:pt>
                <c:pt idx="86">
                  <c:v>133.905443037975</c:v>
                </c:pt>
                <c:pt idx="87">
                  <c:v>134.925506329114</c:v>
                </c:pt>
                <c:pt idx="88">
                  <c:v>135.945569620253</c:v>
                </c:pt>
                <c:pt idx="89">
                  <c:v>136.965632911392</c:v>
                </c:pt>
                <c:pt idx="90">
                  <c:v>137.985696202532</c:v>
                </c:pt>
                <c:pt idx="91">
                  <c:v>139.005759493671</c:v>
                </c:pt>
                <c:pt idx="92">
                  <c:v>140.02582278481</c:v>
                </c:pt>
                <c:pt idx="93">
                  <c:v>141.045886075949</c:v>
                </c:pt>
                <c:pt idx="94">
                  <c:v>142.065949367089</c:v>
                </c:pt>
                <c:pt idx="95">
                  <c:v>143.086012658228</c:v>
                </c:pt>
                <c:pt idx="96">
                  <c:v>144.106075949367</c:v>
                </c:pt>
                <c:pt idx="97">
                  <c:v>145.126139240506</c:v>
                </c:pt>
                <c:pt idx="98">
                  <c:v>146.146202531646</c:v>
                </c:pt>
                <c:pt idx="99">
                  <c:v>147.166265822785</c:v>
                </c:pt>
                <c:pt idx="100">
                  <c:v>148.186329113924</c:v>
                </c:pt>
                <c:pt idx="101">
                  <c:v>149.206392405063</c:v>
                </c:pt>
                <c:pt idx="102">
                  <c:v>150.226455696203</c:v>
                </c:pt>
                <c:pt idx="103">
                  <c:v>151.246518987342</c:v>
                </c:pt>
                <c:pt idx="104">
                  <c:v>152.266582278481</c:v>
                </c:pt>
                <c:pt idx="105">
                  <c:v>153.28664556962</c:v>
                </c:pt>
                <c:pt idx="106">
                  <c:v>154.30670886076</c:v>
                </c:pt>
                <c:pt idx="107">
                  <c:v>155.326772151899</c:v>
                </c:pt>
                <c:pt idx="108">
                  <c:v>156.346835443038</c:v>
                </c:pt>
                <c:pt idx="109">
                  <c:v>157.366898734177</c:v>
                </c:pt>
                <c:pt idx="110">
                  <c:v>158.386962025316</c:v>
                </c:pt>
                <c:pt idx="111">
                  <c:v>159.407025316456</c:v>
                </c:pt>
                <c:pt idx="112">
                  <c:v>160.427088607595</c:v>
                </c:pt>
                <c:pt idx="113">
                  <c:v>161.447151898734</c:v>
                </c:pt>
                <c:pt idx="114">
                  <c:v>162.467215189873</c:v>
                </c:pt>
                <c:pt idx="115">
                  <c:v>163.487278481013</c:v>
                </c:pt>
                <c:pt idx="116">
                  <c:v>164.507341772152</c:v>
                </c:pt>
                <c:pt idx="117">
                  <c:v>165.527405063291</c:v>
                </c:pt>
                <c:pt idx="118">
                  <c:v>166.54746835443</c:v>
                </c:pt>
                <c:pt idx="119">
                  <c:v>167.56753164557</c:v>
                </c:pt>
                <c:pt idx="120">
                  <c:v>168.587594936709</c:v>
                </c:pt>
                <c:pt idx="121">
                  <c:v>169.607658227848</c:v>
                </c:pt>
                <c:pt idx="122">
                  <c:v>170.627721518987</c:v>
                </c:pt>
                <c:pt idx="123">
                  <c:v>171.647784810127</c:v>
                </c:pt>
                <c:pt idx="124">
                  <c:v>172.667848101266</c:v>
                </c:pt>
                <c:pt idx="125">
                  <c:v>173.687911392405</c:v>
                </c:pt>
                <c:pt idx="126">
                  <c:v>174.707974683544</c:v>
                </c:pt>
                <c:pt idx="127">
                  <c:v>175.728037974684</c:v>
                </c:pt>
                <c:pt idx="128">
                  <c:v>176.748101265823</c:v>
                </c:pt>
                <c:pt idx="129">
                  <c:v>177.768164556962</c:v>
                </c:pt>
                <c:pt idx="130">
                  <c:v>178.788227848101</c:v>
                </c:pt>
                <c:pt idx="131">
                  <c:v>179.80829113924</c:v>
                </c:pt>
                <c:pt idx="132">
                  <c:v>180.82835443038</c:v>
                </c:pt>
                <c:pt idx="133">
                  <c:v>181.848417721519</c:v>
                </c:pt>
                <c:pt idx="134">
                  <c:v>182.868481012658</c:v>
                </c:pt>
                <c:pt idx="135">
                  <c:v>183.888544303797</c:v>
                </c:pt>
                <c:pt idx="136">
                  <c:v>184.908607594937</c:v>
                </c:pt>
                <c:pt idx="137">
                  <c:v>185.928670886076</c:v>
                </c:pt>
                <c:pt idx="138">
                  <c:v>186.948734177215</c:v>
                </c:pt>
                <c:pt idx="139">
                  <c:v>187.968797468354</c:v>
                </c:pt>
                <c:pt idx="140">
                  <c:v>188.988860759494</c:v>
                </c:pt>
                <c:pt idx="141">
                  <c:v>190.008924050633</c:v>
                </c:pt>
                <c:pt idx="142">
                  <c:v>191.028987341772</c:v>
                </c:pt>
                <c:pt idx="143">
                  <c:v>192.049050632911</c:v>
                </c:pt>
                <c:pt idx="144">
                  <c:v>193.069113924051</c:v>
                </c:pt>
                <c:pt idx="145">
                  <c:v>194.08917721519</c:v>
                </c:pt>
                <c:pt idx="146">
                  <c:v>195.109240506329</c:v>
                </c:pt>
                <c:pt idx="147">
                  <c:v>196.129303797468</c:v>
                </c:pt>
                <c:pt idx="148">
                  <c:v>197.149367088608</c:v>
                </c:pt>
                <c:pt idx="149">
                  <c:v>198.169430379747</c:v>
                </c:pt>
                <c:pt idx="150">
                  <c:v>199.189493670886</c:v>
                </c:pt>
                <c:pt idx="151">
                  <c:v>200.209556962025</c:v>
                </c:pt>
                <c:pt idx="152">
                  <c:v>201.229620253165</c:v>
                </c:pt>
                <c:pt idx="153">
                  <c:v>202.249683544304</c:v>
                </c:pt>
                <c:pt idx="154">
                  <c:v>203.269746835443</c:v>
                </c:pt>
                <c:pt idx="155">
                  <c:v>204.289810126582</c:v>
                </c:pt>
                <c:pt idx="156">
                  <c:v>205.309873417722</c:v>
                </c:pt>
                <c:pt idx="157">
                  <c:v>206.329936708861</c:v>
                </c:pt>
                <c:pt idx="158">
                  <c:v>207.35</c:v>
                </c:pt>
                <c:pt idx="159">
                  <c:v>208.370063291139</c:v>
                </c:pt>
              </c:numCache>
            </c:numRef>
          </c:val>
          <c:smooth val="0"/>
        </c:ser>
        <c:hiLowLines>
          <c:spPr>
            <a:ln w="0">
              <a:noFill/>
            </a:ln>
          </c:spPr>
        </c:hiLowLines>
        <c:marker val="0"/>
        <c:axId val="28188725"/>
        <c:axId val="22711995"/>
      </c:lineChart>
      <c:dateAx>
        <c:axId val="5753225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560123"/>
        <c:auto val="1"/>
        <c:lblOffset val="100"/>
        <c:baseTimeUnit val="days"/>
      </c:dateAx>
      <c:valAx>
        <c:axId val="6056012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532256"/>
        <c:crosses val="autoZero"/>
        <c:crossBetween val="between"/>
      </c:valAx>
      <c:dateAx>
        <c:axId val="2818872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711995"/>
        <c:auto val="1"/>
        <c:lblOffset val="100"/>
        <c:baseTimeUnit val="days"/>
      </c:dateAx>
      <c:valAx>
        <c:axId val="2271199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18872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(Calc)'!$D$3:$D$500</c:f>
              <c:numCache>
                <c:formatCode>0.0%</c:formatCode>
                <c:ptCount val="498"/>
                <c:pt idx="0">
                  <c:v>-0.016013470558925</c:v>
                </c:pt>
                <c:pt idx="1">
                  <c:v>0.00265414098377836</c:v>
                </c:pt>
                <c:pt idx="2">
                  <c:v>0.0147681161944238</c:v>
                </c:pt>
                <c:pt idx="3">
                  <c:v>0.00401585748854427</c:v>
                </c:pt>
                <c:pt idx="4">
                  <c:v>-0.0327675503820316</c:v>
                </c:pt>
                <c:pt idx="5">
                  <c:v>0.0170713604071677</c:v>
                </c:pt>
                <c:pt idx="6">
                  <c:v>0.0916041145398945</c:v>
                </c:pt>
                <c:pt idx="7">
                  <c:v>0.0293836750286516</c:v>
                </c:pt>
                <c:pt idx="8">
                  <c:v>0.0375135302304004</c:v>
                </c:pt>
                <c:pt idx="9">
                  <c:v>0.00742220102539637</c:v>
                </c:pt>
                <c:pt idx="10">
                  <c:v>0.00147942125040679</c:v>
                </c:pt>
                <c:pt idx="11">
                  <c:v>0.00610098383904045</c:v>
                </c:pt>
                <c:pt idx="12">
                  <c:v>0.0811810827080917</c:v>
                </c:pt>
                <c:pt idx="13">
                  <c:v>-0.000570373187028017</c:v>
                </c:pt>
                <c:pt idx="14">
                  <c:v>0.00582927956083368</c:v>
                </c:pt>
                <c:pt idx="15">
                  <c:v>-0.0707888088837253</c:v>
                </c:pt>
                <c:pt idx="16">
                  <c:v>0.0140441678903216</c:v>
                </c:pt>
                <c:pt idx="17">
                  <c:v>0.0625528681414787</c:v>
                </c:pt>
                <c:pt idx="18">
                  <c:v>0.145037240932643</c:v>
                </c:pt>
                <c:pt idx="19">
                  <c:v>0.0264078905504295</c:v>
                </c:pt>
                <c:pt idx="20">
                  <c:v>0.0680466579412642</c:v>
                </c:pt>
                <c:pt idx="21">
                  <c:v>-0.0217566565264595</c:v>
                </c:pt>
                <c:pt idx="22">
                  <c:v>0.00463710785121707</c:v>
                </c:pt>
                <c:pt idx="23">
                  <c:v>0.0618088748400363</c:v>
                </c:pt>
                <c:pt idx="24">
                  <c:v>0.00343023136034937</c:v>
                </c:pt>
                <c:pt idx="25">
                  <c:v>-0.054429171243494</c:v>
                </c:pt>
                <c:pt idx="26">
                  <c:v>0.042275999088037</c:v>
                </c:pt>
                <c:pt idx="27">
                  <c:v>-0.00968719727508516</c:v>
                </c:pt>
                <c:pt idx="28">
                  <c:v>0.00936122768819736</c:v>
                </c:pt>
                <c:pt idx="29">
                  <c:v>-0.01807988495566</c:v>
                </c:pt>
                <c:pt idx="30">
                  <c:v>-0.106359044020886</c:v>
                </c:pt>
                <c:pt idx="31">
                  <c:v>0.0713607106381968</c:v>
                </c:pt>
                <c:pt idx="32">
                  <c:v>-0.0188660422324447</c:v>
                </c:pt>
                <c:pt idx="33">
                  <c:v>0.031780642391513</c:v>
                </c:pt>
                <c:pt idx="34">
                  <c:v>-0.00571578739898826</c:v>
                </c:pt>
                <c:pt idx="35">
                  <c:v>0.0337870578388617</c:v>
                </c:pt>
                <c:pt idx="36">
                  <c:v>0.00431438554627572</c:v>
                </c:pt>
                <c:pt idx="37">
                  <c:v>0.0708868546941461</c:v>
                </c:pt>
                <c:pt idx="38">
                  <c:v>-0.000505150554675149</c:v>
                </c:pt>
                <c:pt idx="39">
                  <c:v>0.00846307068745111</c:v>
                </c:pt>
                <c:pt idx="40">
                  <c:v>-0.0133840393856314</c:v>
                </c:pt>
                <c:pt idx="41">
                  <c:v>0.0505971056065178</c:v>
                </c:pt>
                <c:pt idx="42">
                  <c:v>0.0100397227936786</c:v>
                </c:pt>
                <c:pt idx="43">
                  <c:v>-0.174976534634879</c:v>
                </c:pt>
                <c:pt idx="44">
                  <c:v>-0.00779312384809672</c:v>
                </c:pt>
                <c:pt idx="45">
                  <c:v>-0.0872805659706695</c:v>
                </c:pt>
                <c:pt idx="46">
                  <c:v>0.0632529742088668</c:v>
                </c:pt>
                <c:pt idx="47">
                  <c:v>0.0675362729807647</c:v>
                </c:pt>
                <c:pt idx="48">
                  <c:v>-0.0124180981051887</c:v>
                </c:pt>
                <c:pt idx="49">
                  <c:v>-0.00373192872352335</c:v>
                </c:pt>
                <c:pt idx="50">
                  <c:v>-0.167148497699585</c:v>
                </c:pt>
                <c:pt idx="51">
                  <c:v>0.0844431238012913</c:v>
                </c:pt>
                <c:pt idx="52">
                  <c:v>-0.0258189064640678</c:v>
                </c:pt>
                <c:pt idx="53">
                  <c:v>0.0581714972448444</c:v>
                </c:pt>
                <c:pt idx="54">
                  <c:v>-0.0101489724165428</c:v>
                </c:pt>
                <c:pt idx="55">
                  <c:v>0.00922772712292663</c:v>
                </c:pt>
                <c:pt idx="56">
                  <c:v>-0.139678047482554</c:v>
                </c:pt>
                <c:pt idx="57">
                  <c:v>-0.0159839176764979</c:v>
                </c:pt>
                <c:pt idx="58">
                  <c:v>-0.0497449890709603</c:v>
                </c:pt>
                <c:pt idx="59">
                  <c:v>-0.00780275125911445</c:v>
                </c:pt>
                <c:pt idx="60">
                  <c:v>-0.0161827989575126</c:v>
                </c:pt>
                <c:pt idx="61">
                  <c:v>0.0216239526860524</c:v>
                </c:pt>
                <c:pt idx="62">
                  <c:v>0.020412470602424</c:v>
                </c:pt>
                <c:pt idx="63">
                  <c:v>0.0325768992110629</c:v>
                </c:pt>
                <c:pt idx="64">
                  <c:v>0.0135496702007412</c:v>
                </c:pt>
                <c:pt idx="65">
                  <c:v>-0.0179564640447218</c:v>
                </c:pt>
                <c:pt idx="66">
                  <c:v>0.0112123738607941</c:v>
                </c:pt>
                <c:pt idx="67">
                  <c:v>0.0010803741506269</c:v>
                </c:pt>
                <c:pt idx="68">
                  <c:v>0.0345062622475931</c:v>
                </c:pt>
                <c:pt idx="69">
                  <c:v>0.0234310657222863</c:v>
                </c:pt>
                <c:pt idx="70">
                  <c:v>-0.0318405558014459</c:v>
                </c:pt>
                <c:pt idx="71">
                  <c:v>0.00964189235990842</c:v>
                </c:pt>
                <c:pt idx="72">
                  <c:v>-0.015696820844939</c:v>
                </c:pt>
                <c:pt idx="73">
                  <c:v>0.0349470984289837</c:v>
                </c:pt>
                <c:pt idx="74">
                  <c:v>-0.019072248262486</c:v>
                </c:pt>
                <c:pt idx="75">
                  <c:v>-0.038158400615148</c:v>
                </c:pt>
                <c:pt idx="76">
                  <c:v>0.0326342988479493</c:v>
                </c:pt>
                <c:pt idx="77">
                  <c:v>-0.0248842192576207</c:v>
                </c:pt>
                <c:pt idx="78">
                  <c:v>0.00310484156801572</c:v>
                </c:pt>
                <c:pt idx="79">
                  <c:v>-0.0581309890606891</c:v>
                </c:pt>
                <c:pt idx="80">
                  <c:v>-0.102339400669258</c:v>
                </c:pt>
                <c:pt idx="81">
                  <c:v>0.104478360441985</c:v>
                </c:pt>
                <c:pt idx="82">
                  <c:v>-0.0428478454995385</c:v>
                </c:pt>
                <c:pt idx="83">
                  <c:v>0.0579696394686906</c:v>
                </c:pt>
                <c:pt idx="84">
                  <c:v>0.0224494066301977</c:v>
                </c:pt>
                <c:pt idx="85">
                  <c:v>0.0229943866214477</c:v>
                </c:pt>
                <c:pt idx="86">
                  <c:v>0.0593161000843088</c:v>
                </c:pt>
                <c:pt idx="87">
                  <c:v>-0.0208546916311445</c:v>
                </c:pt>
                <c:pt idx="88">
                  <c:v>0.00584134681619042</c:v>
                </c:pt>
                <c:pt idx="89">
                  <c:v>0.0220517737296262</c:v>
                </c:pt>
                <c:pt idx="90">
                  <c:v>0.0106003752345216</c:v>
                </c:pt>
                <c:pt idx="91">
                  <c:v>-0.00587447454615386</c:v>
                </c:pt>
                <c:pt idx="92">
                  <c:v>0.0521022302849217</c:v>
                </c:pt>
                <c:pt idx="93">
                  <c:v>-0.00182569668078203</c:v>
                </c:pt>
                <c:pt idx="94">
                  <c:v>0.00936110758287811</c:v>
                </c:pt>
                <c:pt idx="95">
                  <c:v>-0.0839845470446853</c:v>
                </c:pt>
                <c:pt idx="96">
                  <c:v>-0.0317612957289849</c:v>
                </c:pt>
                <c:pt idx="97">
                  <c:v>-0.0276670308310041</c:v>
                </c:pt>
                <c:pt idx="98">
                  <c:v>0.0471027710087406</c:v>
                </c:pt>
                <c:pt idx="99">
                  <c:v>0.0274669379450661</c:v>
                </c:pt>
                <c:pt idx="100">
                  <c:v>0.0171571951715721</c:v>
                </c:pt>
                <c:pt idx="101">
                  <c:v>-0.0162544169611308</c:v>
                </c:pt>
                <c:pt idx="102">
                  <c:v>0.0526187378009109</c:v>
                </c:pt>
                <c:pt idx="103">
                  <c:v>0.0411548069741687</c:v>
                </c:pt>
                <c:pt idx="104">
                  <c:v>0.145336037796522</c:v>
                </c:pt>
                <c:pt idx="105">
                  <c:v>0.0207764159602613</c:v>
                </c:pt>
                <c:pt idx="106">
                  <c:v>0.0848205312655377</c:v>
                </c:pt>
                <c:pt idx="107">
                  <c:v>-0.0930402644640995</c:v>
                </c:pt>
                <c:pt idx="108">
                  <c:v>0.0994236930950692</c:v>
                </c:pt>
                <c:pt idx="109">
                  <c:v>0.00372605204737253</c:v>
                </c:pt>
                <c:pt idx="110">
                  <c:v>0.0271157706023346</c:v>
                </c:pt>
                <c:pt idx="111">
                  <c:v>-0.0399081742034018</c:v>
                </c:pt>
                <c:pt idx="112">
                  <c:v>-0.00981128347001292</c:v>
                </c:pt>
                <c:pt idx="113">
                  <c:v>-0.0401329115818673</c:v>
                </c:pt>
                <c:pt idx="114">
                  <c:v>0.0966578304485681</c:v>
                </c:pt>
                <c:pt idx="115">
                  <c:v>0.0372346980368365</c:v>
                </c:pt>
                <c:pt idx="116">
                  <c:v>-0.0169345920801308</c:v>
                </c:pt>
                <c:pt idx="117">
                  <c:v>-0.0229715156923993</c:v>
                </c:pt>
                <c:pt idx="118">
                  <c:v>0.0158425073979276</c:v>
                </c:pt>
                <c:pt idx="119">
                  <c:v>0.0848616548959369</c:v>
                </c:pt>
                <c:pt idx="120">
                  <c:v>0.0946020617844623</c:v>
                </c:pt>
                <c:pt idx="121">
                  <c:v>0.0664778867162543</c:v>
                </c:pt>
                <c:pt idx="122">
                  <c:v>0.0224322705185385</c:v>
                </c:pt>
                <c:pt idx="123">
                  <c:v>0.0244502314814814</c:v>
                </c:pt>
                <c:pt idx="124">
                  <c:v>-0.00702584380737192</c:v>
                </c:pt>
                <c:pt idx="125">
                  <c:v>-0.00321422222222223</c:v>
                </c:pt>
                <c:pt idx="126">
                  <c:v>0.0447732444907365</c:v>
                </c:pt>
                <c:pt idx="127">
                  <c:v>-0.0129464864901775</c:v>
                </c:pt>
                <c:pt idx="128">
                  <c:v>-0.108755958022317</c:v>
                </c:pt>
                <c:pt idx="129">
                  <c:v>0.0409059860904124</c:v>
                </c:pt>
                <c:pt idx="130">
                  <c:v>-0.0211331672905698</c:v>
                </c:pt>
                <c:pt idx="131">
                  <c:v>-0.0112213182192157</c:v>
                </c:pt>
                <c:pt idx="132">
                  <c:v>0.0113332562887631</c:v>
                </c:pt>
                <c:pt idx="133">
                  <c:v>0.122263190772934</c:v>
                </c:pt>
                <c:pt idx="134">
                  <c:v>-0.012497030173438</c:v>
                </c:pt>
                <c:pt idx="135">
                  <c:v>-0.00144355692426135</c:v>
                </c:pt>
                <c:pt idx="136">
                  <c:v>-0.0189035136028197</c:v>
                </c:pt>
                <c:pt idx="137">
                  <c:v>0.115620483026705</c:v>
                </c:pt>
                <c:pt idx="138">
                  <c:v>-0.0566618028126494</c:v>
                </c:pt>
                <c:pt idx="139">
                  <c:v>0.0872875649222933</c:v>
                </c:pt>
                <c:pt idx="140">
                  <c:v>-0.0123314467221407</c:v>
                </c:pt>
                <c:pt idx="141">
                  <c:v>0.0179675664936547</c:v>
                </c:pt>
                <c:pt idx="142">
                  <c:v>0.135104475427233</c:v>
                </c:pt>
                <c:pt idx="143">
                  <c:v>0.0354890013647549</c:v>
                </c:pt>
                <c:pt idx="144">
                  <c:v>-0.0699930987603714</c:v>
                </c:pt>
                <c:pt idx="145">
                  <c:v>-0.0140992021424985</c:v>
                </c:pt>
                <c:pt idx="146">
                  <c:v>0.015828820110581</c:v>
                </c:pt>
                <c:pt idx="147">
                  <c:v>-0.0276768802228413</c:v>
                </c:pt>
                <c:pt idx="148">
                  <c:v>0.00544312790777624</c:v>
                </c:pt>
                <c:pt idx="149">
                  <c:v>-0.071699661503744</c:v>
                </c:pt>
                <c:pt idx="150">
                  <c:v>0.0687476979742174</c:v>
                </c:pt>
                <c:pt idx="151">
                  <c:v>0.059213436033521</c:v>
                </c:pt>
                <c:pt idx="152">
                  <c:v>-0.0435555941173919</c:v>
                </c:pt>
                <c:pt idx="153">
                  <c:v>-0.0383272100512541</c:v>
                </c:pt>
                <c:pt idx="154">
                  <c:v>0.011036694651448</c:v>
                </c:pt>
                <c:pt idx="155">
                  <c:v>-0.00966831498413889</c:v>
                </c:pt>
                <c:pt idx="156">
                  <c:v>-0.0108225872931754</c:v>
                </c:pt>
                <c:pt idx="157">
                  <c:v>0.038108957569408</c:v>
                </c:pt>
                <c:pt idx="158">
                  <c:v>0.0707421126873631</c:v>
                </c:pt>
              </c:numCache>
            </c:numRef>
          </c:val>
        </c:ser>
        <c:gapWidth val="150"/>
        <c:overlap val="0"/>
        <c:axId val="76497187"/>
        <c:axId val="46151261"/>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(Calc)'!$Y$3:$Y$500</c:f>
              <c:numCache>
                <c:formatCode>#,##0.00</c:formatCode>
                <c:ptCount val="498"/>
                <c:pt idx="0">
                  <c:v>582.01</c:v>
                </c:pt>
                <c:pt idx="1">
                  <c:v>590.144810126582</c:v>
                </c:pt>
                <c:pt idx="2">
                  <c:v>598.279620253165</c:v>
                </c:pt>
                <c:pt idx="3">
                  <c:v>606.414430379747</c:v>
                </c:pt>
                <c:pt idx="4">
                  <c:v>614.549240506329</c:v>
                </c:pt>
                <c:pt idx="5">
                  <c:v>622.684050632911</c:v>
                </c:pt>
                <c:pt idx="6">
                  <c:v>630.818860759494</c:v>
                </c:pt>
                <c:pt idx="7">
                  <c:v>638.953670886076</c:v>
                </c:pt>
                <c:pt idx="8">
                  <c:v>647.088481012658</c:v>
                </c:pt>
                <c:pt idx="9">
                  <c:v>655.223291139241</c:v>
                </c:pt>
                <c:pt idx="10">
                  <c:v>663.358101265823</c:v>
                </c:pt>
                <c:pt idx="11">
                  <c:v>671.492911392405</c:v>
                </c:pt>
                <c:pt idx="12">
                  <c:v>679.627721518987</c:v>
                </c:pt>
                <c:pt idx="13">
                  <c:v>687.76253164557</c:v>
                </c:pt>
                <c:pt idx="14">
                  <c:v>695.897341772152</c:v>
                </c:pt>
                <c:pt idx="15">
                  <c:v>704.032151898734</c:v>
                </c:pt>
                <c:pt idx="16">
                  <c:v>712.166962025317</c:v>
                </c:pt>
                <c:pt idx="17">
                  <c:v>720.301772151899</c:v>
                </c:pt>
                <c:pt idx="18">
                  <c:v>728.436582278481</c:v>
                </c:pt>
                <c:pt idx="19">
                  <c:v>736.571392405063</c:v>
                </c:pt>
                <c:pt idx="20">
                  <c:v>744.706202531646</c:v>
                </c:pt>
                <c:pt idx="21">
                  <c:v>752.841012658228</c:v>
                </c:pt>
                <c:pt idx="22">
                  <c:v>760.97582278481</c:v>
                </c:pt>
                <c:pt idx="23">
                  <c:v>769.110632911392</c:v>
                </c:pt>
                <c:pt idx="24">
                  <c:v>777.245443037975</c:v>
                </c:pt>
                <c:pt idx="25">
                  <c:v>785.380253164557</c:v>
                </c:pt>
                <c:pt idx="26">
                  <c:v>793.515063291139</c:v>
                </c:pt>
                <c:pt idx="27">
                  <c:v>801.649873417721</c:v>
                </c:pt>
                <c:pt idx="28">
                  <c:v>809.784683544304</c:v>
                </c:pt>
                <c:pt idx="29">
                  <c:v>817.919493670886</c:v>
                </c:pt>
                <c:pt idx="30">
                  <c:v>826.054303797468</c:v>
                </c:pt>
                <c:pt idx="31">
                  <c:v>834.189113924051</c:v>
                </c:pt>
                <c:pt idx="32">
                  <c:v>842.323924050633</c:v>
                </c:pt>
                <c:pt idx="33">
                  <c:v>850.458734177215</c:v>
                </c:pt>
                <c:pt idx="34">
                  <c:v>858.593544303797</c:v>
                </c:pt>
                <c:pt idx="35">
                  <c:v>866.72835443038</c:v>
                </c:pt>
                <c:pt idx="36">
                  <c:v>874.863164556962</c:v>
                </c:pt>
                <c:pt idx="37">
                  <c:v>882.997974683544</c:v>
                </c:pt>
                <c:pt idx="38">
                  <c:v>891.132784810127</c:v>
                </c:pt>
                <c:pt idx="39">
                  <c:v>899.267594936709</c:v>
                </c:pt>
                <c:pt idx="40">
                  <c:v>907.402405063291</c:v>
                </c:pt>
                <c:pt idx="41">
                  <c:v>915.537215189874</c:v>
                </c:pt>
                <c:pt idx="42">
                  <c:v>923.672025316456</c:v>
                </c:pt>
                <c:pt idx="43">
                  <c:v>931.806835443038</c:v>
                </c:pt>
                <c:pt idx="44">
                  <c:v>939.94164556962</c:v>
                </c:pt>
                <c:pt idx="45">
                  <c:v>948.076455696203</c:v>
                </c:pt>
                <c:pt idx="46">
                  <c:v>956.211265822785</c:v>
                </c:pt>
                <c:pt idx="47">
                  <c:v>964.346075949367</c:v>
                </c:pt>
                <c:pt idx="48">
                  <c:v>972.480886075949</c:v>
                </c:pt>
                <c:pt idx="49">
                  <c:v>980.615696202532</c:v>
                </c:pt>
                <c:pt idx="50">
                  <c:v>988.750506329114</c:v>
                </c:pt>
                <c:pt idx="51">
                  <c:v>996.885316455696</c:v>
                </c:pt>
                <c:pt idx="52">
                  <c:v>1005.02012658228</c:v>
                </c:pt>
                <c:pt idx="53">
                  <c:v>1013.15493670886</c:v>
                </c:pt>
                <c:pt idx="54">
                  <c:v>1021.28974683544</c:v>
                </c:pt>
                <c:pt idx="55">
                  <c:v>1029.42455696203</c:v>
                </c:pt>
                <c:pt idx="56">
                  <c:v>1037.55936708861</c:v>
                </c:pt>
                <c:pt idx="57">
                  <c:v>1045.69417721519</c:v>
                </c:pt>
                <c:pt idx="58">
                  <c:v>1053.82898734177</c:v>
                </c:pt>
                <c:pt idx="59">
                  <c:v>1061.96379746835</c:v>
                </c:pt>
                <c:pt idx="60">
                  <c:v>1070.09860759494</c:v>
                </c:pt>
                <c:pt idx="61">
                  <c:v>1078.23341772152</c:v>
                </c:pt>
                <c:pt idx="62">
                  <c:v>1086.3682278481</c:v>
                </c:pt>
                <c:pt idx="63">
                  <c:v>1094.50303797468</c:v>
                </c:pt>
                <c:pt idx="64">
                  <c:v>1102.63784810127</c:v>
                </c:pt>
                <c:pt idx="65">
                  <c:v>1110.77265822785</c:v>
                </c:pt>
                <c:pt idx="66">
                  <c:v>1118.90746835443</c:v>
                </c:pt>
                <c:pt idx="67">
                  <c:v>1127.04227848101</c:v>
                </c:pt>
                <c:pt idx="68">
                  <c:v>1135.1770886076</c:v>
                </c:pt>
                <c:pt idx="69">
                  <c:v>1143.31189873418</c:v>
                </c:pt>
                <c:pt idx="70">
                  <c:v>1151.44670886076</c:v>
                </c:pt>
                <c:pt idx="71">
                  <c:v>1159.58151898734</c:v>
                </c:pt>
                <c:pt idx="72">
                  <c:v>1167.71632911392</c:v>
                </c:pt>
                <c:pt idx="73">
                  <c:v>1175.85113924051</c:v>
                </c:pt>
                <c:pt idx="74">
                  <c:v>1183.98594936709</c:v>
                </c:pt>
                <c:pt idx="75">
                  <c:v>1192.12075949367</c:v>
                </c:pt>
                <c:pt idx="76">
                  <c:v>1200.25556962025</c:v>
                </c:pt>
                <c:pt idx="77">
                  <c:v>1208.39037974684</c:v>
                </c:pt>
                <c:pt idx="78">
                  <c:v>1216.52518987342</c:v>
                </c:pt>
                <c:pt idx="79">
                  <c:v>1224.66</c:v>
                </c:pt>
                <c:pt idx="80">
                  <c:v>1232.79481012658</c:v>
                </c:pt>
                <c:pt idx="81">
                  <c:v>1240.92962025316</c:v>
                </c:pt>
                <c:pt idx="82">
                  <c:v>1249.06443037975</c:v>
                </c:pt>
                <c:pt idx="83">
                  <c:v>1257.19924050633</c:v>
                </c:pt>
                <c:pt idx="84">
                  <c:v>1265.33405063291</c:v>
                </c:pt>
                <c:pt idx="85">
                  <c:v>1273.46886075949</c:v>
                </c:pt>
                <c:pt idx="86">
                  <c:v>1281.60367088608</c:v>
                </c:pt>
                <c:pt idx="87">
                  <c:v>1289.73848101266</c:v>
                </c:pt>
                <c:pt idx="88">
                  <c:v>1297.87329113924</c:v>
                </c:pt>
                <c:pt idx="89">
                  <c:v>1306.00810126582</c:v>
                </c:pt>
                <c:pt idx="90">
                  <c:v>1314.14291139241</c:v>
                </c:pt>
                <c:pt idx="91">
                  <c:v>1322.27772151899</c:v>
                </c:pt>
                <c:pt idx="92">
                  <c:v>1330.41253164557</c:v>
                </c:pt>
                <c:pt idx="93">
                  <c:v>1338.54734177215</c:v>
                </c:pt>
                <c:pt idx="94">
                  <c:v>1346.68215189873</c:v>
                </c:pt>
                <c:pt idx="95">
                  <c:v>1354.81696202532</c:v>
                </c:pt>
                <c:pt idx="96">
                  <c:v>1362.9517721519</c:v>
                </c:pt>
                <c:pt idx="97">
                  <c:v>1371.08658227848</c:v>
                </c:pt>
                <c:pt idx="98">
                  <c:v>1379.22139240506</c:v>
                </c:pt>
                <c:pt idx="99">
                  <c:v>1387.35620253165</c:v>
                </c:pt>
                <c:pt idx="100">
                  <c:v>1395.49101265823</c:v>
                </c:pt>
                <c:pt idx="101">
                  <c:v>1403.62582278481</c:v>
                </c:pt>
                <c:pt idx="102">
                  <c:v>1411.76063291139</c:v>
                </c:pt>
                <c:pt idx="103">
                  <c:v>1419.89544303797</c:v>
                </c:pt>
                <c:pt idx="104">
                  <c:v>1428.03025316456</c:v>
                </c:pt>
                <c:pt idx="105">
                  <c:v>1436.16506329114</c:v>
                </c:pt>
                <c:pt idx="106">
                  <c:v>1444.29987341772</c:v>
                </c:pt>
                <c:pt idx="107">
                  <c:v>1452.4346835443</c:v>
                </c:pt>
                <c:pt idx="108">
                  <c:v>1460.56949367089</c:v>
                </c:pt>
                <c:pt idx="109">
                  <c:v>1468.70430379747</c:v>
                </c:pt>
                <c:pt idx="110">
                  <c:v>1476.83911392405</c:v>
                </c:pt>
                <c:pt idx="111">
                  <c:v>1484.97392405063</c:v>
                </c:pt>
                <c:pt idx="112">
                  <c:v>1493.10873417722</c:v>
                </c:pt>
                <c:pt idx="113">
                  <c:v>1501.2435443038</c:v>
                </c:pt>
                <c:pt idx="114">
                  <c:v>1509.37835443038</c:v>
                </c:pt>
                <c:pt idx="115">
                  <c:v>1517.51316455696</c:v>
                </c:pt>
                <c:pt idx="116">
                  <c:v>1525.64797468354</c:v>
                </c:pt>
                <c:pt idx="117">
                  <c:v>1533.78278481013</c:v>
                </c:pt>
                <c:pt idx="118">
                  <c:v>1541.91759493671</c:v>
                </c:pt>
                <c:pt idx="119">
                  <c:v>1550.05240506329</c:v>
                </c:pt>
                <c:pt idx="120">
                  <c:v>1558.18721518987</c:v>
                </c:pt>
                <c:pt idx="121">
                  <c:v>1566.32202531646</c:v>
                </c:pt>
                <c:pt idx="122">
                  <c:v>1574.45683544304</c:v>
                </c:pt>
                <c:pt idx="123">
                  <c:v>1582.59164556962</c:v>
                </c:pt>
                <c:pt idx="124">
                  <c:v>1590.7264556962</c:v>
                </c:pt>
                <c:pt idx="125">
                  <c:v>1598.86126582278</c:v>
                </c:pt>
                <c:pt idx="126">
                  <c:v>1606.99607594937</c:v>
                </c:pt>
                <c:pt idx="127">
                  <c:v>1615.13088607595</c:v>
                </c:pt>
                <c:pt idx="128">
                  <c:v>1623.26569620253</c:v>
                </c:pt>
                <c:pt idx="129">
                  <c:v>1631.40050632911</c:v>
                </c:pt>
                <c:pt idx="130">
                  <c:v>1639.5353164557</c:v>
                </c:pt>
                <c:pt idx="131">
                  <c:v>1647.67012658228</c:v>
                </c:pt>
                <c:pt idx="132">
                  <c:v>1655.80493670886</c:v>
                </c:pt>
                <c:pt idx="133">
                  <c:v>1663.93974683544</c:v>
                </c:pt>
                <c:pt idx="134">
                  <c:v>1672.07455696203</c:v>
                </c:pt>
                <c:pt idx="135">
                  <c:v>1680.20936708861</c:v>
                </c:pt>
                <c:pt idx="136">
                  <c:v>1688.34417721519</c:v>
                </c:pt>
                <c:pt idx="137">
                  <c:v>1696.47898734177</c:v>
                </c:pt>
                <c:pt idx="138">
                  <c:v>1704.61379746835</c:v>
                </c:pt>
                <c:pt idx="139">
                  <c:v>1712.74860759494</c:v>
                </c:pt>
                <c:pt idx="140">
                  <c:v>1720.88341772152</c:v>
                </c:pt>
                <c:pt idx="141">
                  <c:v>1729.0182278481</c:v>
                </c:pt>
                <c:pt idx="142">
                  <c:v>1737.15303797468</c:v>
                </c:pt>
                <c:pt idx="143">
                  <c:v>1745.28784810127</c:v>
                </c:pt>
                <c:pt idx="144">
                  <c:v>1753.42265822785</c:v>
                </c:pt>
                <c:pt idx="145">
                  <c:v>1761.55746835443</c:v>
                </c:pt>
                <c:pt idx="146">
                  <c:v>1769.69227848101</c:v>
                </c:pt>
                <c:pt idx="147">
                  <c:v>1777.8270886076</c:v>
                </c:pt>
                <c:pt idx="148">
                  <c:v>1785.96189873418</c:v>
                </c:pt>
                <c:pt idx="149">
                  <c:v>1794.09670886076</c:v>
                </c:pt>
                <c:pt idx="150">
                  <c:v>1802.23151898734</c:v>
                </c:pt>
                <c:pt idx="151">
                  <c:v>1810.36632911392</c:v>
                </c:pt>
                <c:pt idx="152">
                  <c:v>1818.50113924051</c:v>
                </c:pt>
                <c:pt idx="153">
                  <c:v>1826.63594936709</c:v>
                </c:pt>
                <c:pt idx="154">
                  <c:v>1834.77075949367</c:v>
                </c:pt>
                <c:pt idx="155">
                  <c:v>1842.90556962025</c:v>
                </c:pt>
                <c:pt idx="156">
                  <c:v>1851.04037974684</c:v>
                </c:pt>
                <c:pt idx="157">
                  <c:v>1859.17518987342</c:v>
                </c:pt>
                <c:pt idx="158">
                  <c:v>1867.31</c:v>
                </c:pt>
                <c:pt idx="159">
                  <c:v>1875.44481012658</c:v>
                </c:pt>
              </c:numCache>
            </c:numRef>
          </c:val>
          <c:smooth val="0"/>
        </c:ser>
        <c:hiLowLines>
          <c:spPr>
            <a:ln w="0">
              <a:noFill/>
            </a:ln>
          </c:spPr>
        </c:hiLowLines>
        <c:marker val="0"/>
        <c:axId val="74467170"/>
        <c:axId val="86011194"/>
      </c:lineChart>
      <c:dateAx>
        <c:axId val="7649718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151261"/>
        <c:auto val="1"/>
        <c:lblOffset val="100"/>
        <c:baseTimeUnit val="days"/>
      </c:dateAx>
      <c:valAx>
        <c:axId val="4615126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497187"/>
        <c:crosses val="autoZero"/>
        <c:crossBetween val="between"/>
      </c:valAx>
      <c:dateAx>
        <c:axId val="7446717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011194"/>
        <c:auto val="1"/>
        <c:lblOffset val="100"/>
        <c:baseTimeUnit val="days"/>
      </c:dateAx>
      <c:valAx>
        <c:axId val="8601119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46717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(Calc)'!$E$3:$E$500</c:f>
              <c:numCache>
                <c:formatCode>0.0%</c:formatCode>
                <c:ptCount val="498"/>
                <c:pt idx="0">
                  <c:v>-0.0212195121951219</c:v>
                </c:pt>
                <c:pt idx="1">
                  <c:v>0.00186892599053068</c:v>
                </c:pt>
                <c:pt idx="2">
                  <c:v>0.0176594950876756</c:v>
                </c:pt>
                <c:pt idx="3">
                  <c:v>0.044849077355493</c:v>
                </c:pt>
                <c:pt idx="4">
                  <c:v>-0.0334502923976608</c:v>
                </c:pt>
                <c:pt idx="5">
                  <c:v>-0.0179090029041626</c:v>
                </c:pt>
                <c:pt idx="6">
                  <c:v>0.0528585510103501</c:v>
                </c:pt>
                <c:pt idx="7">
                  <c:v>0.0847279110590988</c:v>
                </c:pt>
                <c:pt idx="8">
                  <c:v>0.0211457546660914</c:v>
                </c:pt>
                <c:pt idx="9">
                  <c:v>0.001162176439514</c:v>
                </c:pt>
                <c:pt idx="10">
                  <c:v>-0.0499155761924863</c:v>
                </c:pt>
                <c:pt idx="11">
                  <c:v>0.0153282239253583</c:v>
                </c:pt>
                <c:pt idx="12">
                  <c:v>0.1964774094738</c:v>
                </c:pt>
                <c:pt idx="13">
                  <c:v>-0.00237725153149859</c:v>
                </c:pt>
                <c:pt idx="14">
                  <c:v>-0.00504078452937395</c:v>
                </c:pt>
                <c:pt idx="15">
                  <c:v>-0.0600589535740604</c:v>
                </c:pt>
                <c:pt idx="16">
                  <c:v>0.0556644453155624</c:v>
                </c:pt>
                <c:pt idx="17">
                  <c:v>0.0934831043445972</c:v>
                </c:pt>
                <c:pt idx="18">
                  <c:v>-0.00517870786993802</c:v>
                </c:pt>
                <c:pt idx="19">
                  <c:v>0.0161290322580645</c:v>
                </c:pt>
                <c:pt idx="20">
                  <c:v>0.0482909213067944</c:v>
                </c:pt>
                <c:pt idx="21">
                  <c:v>-0.0296426854670725</c:v>
                </c:pt>
                <c:pt idx="22">
                  <c:v>0.0408685601056802</c:v>
                </c:pt>
                <c:pt idx="23">
                  <c:v>0.0793210121361148</c:v>
                </c:pt>
                <c:pt idx="24">
                  <c:v>-0.0646725949878739</c:v>
                </c:pt>
                <c:pt idx="25">
                  <c:v>-0.0559440559440558</c:v>
                </c:pt>
                <c:pt idx="26">
                  <c:v>0.100208073241781</c:v>
                </c:pt>
                <c:pt idx="27">
                  <c:v>-0.0207277403737046</c:v>
                </c:pt>
                <c:pt idx="28">
                  <c:v>0.010583236770954</c:v>
                </c:pt>
                <c:pt idx="29">
                  <c:v>0.00343984100290484</c:v>
                </c:pt>
                <c:pt idx="30">
                  <c:v>-0.103679439323532</c:v>
                </c:pt>
                <c:pt idx="31">
                  <c:v>0.115672276049635</c:v>
                </c:pt>
                <c:pt idx="32">
                  <c:v>-0.0490591909804221</c:v>
                </c:pt>
                <c:pt idx="33">
                  <c:v>0.0427781783225185</c:v>
                </c:pt>
                <c:pt idx="34">
                  <c:v>0.0468617961127757</c:v>
                </c:pt>
                <c:pt idx="35">
                  <c:v>0.00902619798928583</c:v>
                </c:pt>
                <c:pt idx="36">
                  <c:v>-0.0563636363636364</c:v>
                </c:pt>
                <c:pt idx="37">
                  <c:v>0.058805394990366</c:v>
                </c:pt>
                <c:pt idx="38">
                  <c:v>0.233440093172223</c:v>
                </c:pt>
                <c:pt idx="39">
                  <c:v>-0.0440247860725876</c:v>
                </c:pt>
                <c:pt idx="40">
                  <c:v>-0.0289524044694117</c:v>
                </c:pt>
                <c:pt idx="41">
                  <c:v>0.0609027336300063</c:v>
                </c:pt>
                <c:pt idx="42">
                  <c:v>-0.00155800575263654</c:v>
                </c:pt>
                <c:pt idx="43">
                  <c:v>-0.0747809386628257</c:v>
                </c:pt>
                <c:pt idx="44">
                  <c:v>-0.0363258951738453</c:v>
                </c:pt>
                <c:pt idx="45">
                  <c:v>-0.0514943457189015</c:v>
                </c:pt>
                <c:pt idx="46">
                  <c:v>0.0308707685756866</c:v>
                </c:pt>
                <c:pt idx="47">
                  <c:v>0.117788792509982</c:v>
                </c:pt>
                <c:pt idx="48">
                  <c:v>0.00381843936687809</c:v>
                </c:pt>
                <c:pt idx="49">
                  <c:v>-0.0212896496717589</c:v>
                </c:pt>
                <c:pt idx="50">
                  <c:v>-0.158538114343029</c:v>
                </c:pt>
                <c:pt idx="51">
                  <c:v>0.224018475750578</c:v>
                </c:pt>
                <c:pt idx="52">
                  <c:v>0.0236762020693853</c:v>
                </c:pt>
                <c:pt idx="53">
                  <c:v>0.00927522444854034</c:v>
                </c:pt>
                <c:pt idx="54">
                  <c:v>0.0228571428571429</c:v>
                </c:pt>
                <c:pt idx="55">
                  <c:v>0.0274146172896388</c:v>
                </c:pt>
                <c:pt idx="56">
                  <c:v>-0.00874488480295965</c:v>
                </c:pt>
                <c:pt idx="57">
                  <c:v>-0.0382853588192049</c:v>
                </c:pt>
                <c:pt idx="58">
                  <c:v>-0.0236387157473833</c:v>
                </c:pt>
                <c:pt idx="59">
                  <c:v>0.0871476752589737</c:v>
                </c:pt>
                <c:pt idx="60">
                  <c:v>-0.102376599634369</c:v>
                </c:pt>
                <c:pt idx="61">
                  <c:v>-0.00370301795963712</c:v>
                </c:pt>
                <c:pt idx="62">
                  <c:v>-0.0130706807904356</c:v>
                </c:pt>
                <c:pt idx="63">
                  <c:v>0.107644991212654</c:v>
                </c:pt>
                <c:pt idx="64">
                  <c:v>0.252167507225024</c:v>
                </c:pt>
                <c:pt idx="65">
                  <c:v>-0.0178304747250758</c:v>
                </c:pt>
                <c:pt idx="66">
                  <c:v>0.097866654379579</c:v>
                </c:pt>
                <c:pt idx="67">
                  <c:v>-0.038066059512318</c:v>
                </c:pt>
                <c:pt idx="68">
                  <c:v>-0.0354275741710296</c:v>
                </c:pt>
                <c:pt idx="69">
                  <c:v>0.0585308485616067</c:v>
                </c:pt>
                <c:pt idx="70">
                  <c:v>0.0305956755832835</c:v>
                </c:pt>
                <c:pt idx="71">
                  <c:v>-0.0957376233518534</c:v>
                </c:pt>
                <c:pt idx="72">
                  <c:v>0.0162318308955018</c:v>
                </c:pt>
                <c:pt idx="73">
                  <c:v>0.0363669178360331</c:v>
                </c:pt>
                <c:pt idx="74">
                  <c:v>-0.0617353824720276</c:v>
                </c:pt>
                <c:pt idx="75">
                  <c:v>-0.0879309544800705</c:v>
                </c:pt>
                <c:pt idx="76">
                  <c:v>-0.0223850223850224</c:v>
                </c:pt>
                <c:pt idx="77">
                  <c:v>0.00296627810158201</c:v>
                </c:pt>
                <c:pt idx="78">
                  <c:v>-0.0169148549784672</c:v>
                </c:pt>
                <c:pt idx="79">
                  <c:v>-0.117591175383966</c:v>
                </c:pt>
                <c:pt idx="80">
                  <c:v>-0.134996112207668</c:v>
                </c:pt>
                <c:pt idx="81">
                  <c:v>0.243673074263587</c:v>
                </c:pt>
                <c:pt idx="82">
                  <c:v>-0.0601579005893473</c:v>
                </c:pt>
                <c:pt idx="83">
                  <c:v>0.124704212020823</c:v>
                </c:pt>
                <c:pt idx="84">
                  <c:v>0.0589101620029455</c:v>
                </c:pt>
                <c:pt idx="85">
                  <c:v>0.0224021458374728</c:v>
                </c:pt>
                <c:pt idx="86">
                  <c:v>0.0979934897731136</c:v>
                </c:pt>
                <c:pt idx="87">
                  <c:v>0.00048672566371688</c:v>
                </c:pt>
                <c:pt idx="88">
                  <c:v>0.0583786652514262</c:v>
                </c:pt>
                <c:pt idx="89">
                  <c:v>0.0200576657891438</c:v>
                </c:pt>
                <c:pt idx="90">
                  <c:v>0.00716889926672404</c:v>
                </c:pt>
                <c:pt idx="91">
                  <c:v>0.00756528105425836</c:v>
                </c:pt>
                <c:pt idx="92">
                  <c:v>0.077426126271597</c:v>
                </c:pt>
                <c:pt idx="93">
                  <c:v>0.0216560509554142</c:v>
                </c:pt>
                <c:pt idx="94">
                  <c:v>-0.0028971688425995</c:v>
                </c:pt>
                <c:pt idx="95">
                  <c:v>0.0326602670197507</c:v>
                </c:pt>
                <c:pt idx="96">
                  <c:v>0.0241478790469067</c:v>
                </c:pt>
                <c:pt idx="97">
                  <c:v>-0.00532081377151805</c:v>
                </c:pt>
                <c:pt idx="98">
                  <c:v>0.0565694706663871</c:v>
                </c:pt>
                <c:pt idx="99">
                  <c:v>0.00450033090668445</c:v>
                </c:pt>
                <c:pt idx="100">
                  <c:v>-0.0402885755699038</c:v>
                </c:pt>
                <c:pt idx="101">
                  <c:v>0.0115333127381321</c:v>
                </c:pt>
                <c:pt idx="102">
                  <c:v>0.126098612100852</c:v>
                </c:pt>
                <c:pt idx="103">
                  <c:v>0.0745818894078649</c:v>
                </c:pt>
                <c:pt idx="104">
                  <c:v>-0.0414750420639373</c:v>
                </c:pt>
                <c:pt idx="105">
                  <c:v>-0.028524618940347</c:v>
                </c:pt>
                <c:pt idx="106">
                  <c:v>0.0114738300307173</c:v>
                </c:pt>
                <c:pt idx="107">
                  <c:v>-0.040610950665436</c:v>
                </c:pt>
                <c:pt idx="108">
                  <c:v>0.0760947149551563</c:v>
                </c:pt>
                <c:pt idx="109">
                  <c:v>0.0137563085796684</c:v>
                </c:pt>
                <c:pt idx="110">
                  <c:v>0.0437528447883477</c:v>
                </c:pt>
                <c:pt idx="111">
                  <c:v>-0.0546470427909511</c:v>
                </c:pt>
                <c:pt idx="112">
                  <c:v>-0.0199509874585556</c:v>
                </c:pt>
                <c:pt idx="113">
                  <c:v>-0.00658959197481834</c:v>
                </c:pt>
                <c:pt idx="114">
                  <c:v>0.184488732269241</c:v>
                </c:pt>
                <c:pt idx="115">
                  <c:v>-0.0315757893947348</c:v>
                </c:pt>
                <c:pt idx="116">
                  <c:v>-0.0776796778190831</c:v>
                </c:pt>
                <c:pt idx="117">
                  <c:v>-0.0543566490329441</c:v>
                </c:pt>
                <c:pt idx="118">
                  <c:v>0.0365546840313749</c:v>
                </c:pt>
                <c:pt idx="119">
                  <c:v>-0.0128212450028555</c:v>
                </c:pt>
                <c:pt idx="120">
                  <c:v>-0.00760753232478084</c:v>
                </c:pt>
                <c:pt idx="121">
                  <c:v>0.0195289728343244</c:v>
                </c:pt>
                <c:pt idx="122">
                  <c:v>-0.0899994282120189</c:v>
                </c:pt>
                <c:pt idx="123">
                  <c:v>0.0351240967640591</c:v>
                </c:pt>
                <c:pt idx="124">
                  <c:v>0.00491683865485015</c:v>
                </c:pt>
                <c:pt idx="125">
                  <c:v>-0.0232860163092722</c:v>
                </c:pt>
                <c:pt idx="126">
                  <c:v>0.0230062772503787</c:v>
                </c:pt>
                <c:pt idx="127">
                  <c:v>-0.0393857872623401</c:v>
                </c:pt>
                <c:pt idx="128">
                  <c:v>0.0342039018250473</c:v>
                </c:pt>
                <c:pt idx="129">
                  <c:v>-0.0251924422673199</c:v>
                </c:pt>
                <c:pt idx="130">
                  <c:v>-0.0361434501701051</c:v>
                </c:pt>
                <c:pt idx="131">
                  <c:v>-0.0296298694990447</c:v>
                </c:pt>
                <c:pt idx="132">
                  <c:v>0.0461189347927651</c:v>
                </c:pt>
                <c:pt idx="133">
                  <c:v>0.181223682531581</c:v>
                </c:pt>
                <c:pt idx="134">
                  <c:v>0.0941694347673445</c:v>
                </c:pt>
                <c:pt idx="135">
                  <c:v>0.0398854773422845</c:v>
                </c:pt>
                <c:pt idx="136">
                  <c:v>-0.00348903446311588</c:v>
                </c:pt>
                <c:pt idx="137">
                  <c:v>0.0206978682862926</c:v>
                </c:pt>
                <c:pt idx="138">
                  <c:v>-0.011177486348999</c:v>
                </c:pt>
                <c:pt idx="139">
                  <c:v>-0.0260058997050147</c:v>
                </c:pt>
                <c:pt idx="140">
                  <c:v>0.0787924308870205</c:v>
                </c:pt>
                <c:pt idx="141">
                  <c:v>-0.136619876473891</c:v>
                </c:pt>
                <c:pt idx="142">
                  <c:v>-0.00949482337027219</c:v>
                </c:pt>
                <c:pt idx="143">
                  <c:v>0.0766341886178008</c:v>
                </c:pt>
                <c:pt idx="144">
                  <c:v>-0.111208683985852</c:v>
                </c:pt>
                <c:pt idx="145">
                  <c:v>-0.012542540344714</c:v>
                </c:pt>
                <c:pt idx="146">
                  <c:v>0.109647294254982</c:v>
                </c:pt>
                <c:pt idx="147">
                  <c:v>-0.0728383929465984</c:v>
                </c:pt>
                <c:pt idx="148">
                  <c:v>0.029905986600389</c:v>
                </c:pt>
                <c:pt idx="149">
                  <c:v>0.019253469034441</c:v>
                </c:pt>
                <c:pt idx="150">
                  <c:v>0.0988496281236329</c:v>
                </c:pt>
                <c:pt idx="151">
                  <c:v>-0.0812684434868145</c:v>
                </c:pt>
                <c:pt idx="152">
                  <c:v>-0.0624553890078515</c:v>
                </c:pt>
                <c:pt idx="153">
                  <c:v>0.000924465713198153</c:v>
                </c:pt>
                <c:pt idx="154">
                  <c:v>-0.0295284146473976</c:v>
                </c:pt>
                <c:pt idx="155">
                  <c:v>0.0114205738278517</c:v>
                </c:pt>
                <c:pt idx="156">
                  <c:v>-0.0120942075111394</c:v>
                </c:pt>
                <c:pt idx="157">
                  <c:v>-0.0116259524876736</c:v>
                </c:pt>
                <c:pt idx="158">
                  <c:v>0.00660412119837872</c:v>
                </c:pt>
              </c:numCache>
            </c:numRef>
          </c:val>
        </c:ser>
        <c:gapWidth val="150"/>
        <c:overlap val="0"/>
        <c:axId val="43778111"/>
        <c:axId val="86708494"/>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(Calc)'!$Z$3:$Z$500</c:f>
              <c:numCache>
                <c:formatCode>#,##0.00</c:formatCode>
                <c:ptCount val="498"/>
                <c:pt idx="0">
                  <c:v>82</c:v>
                </c:pt>
                <c:pt idx="1">
                  <c:v>83.7287341772152</c:v>
                </c:pt>
                <c:pt idx="2">
                  <c:v>85.4574683544304</c:v>
                </c:pt>
                <c:pt idx="3">
                  <c:v>87.1862025316456</c:v>
                </c:pt>
                <c:pt idx="4">
                  <c:v>88.9149367088608</c:v>
                </c:pt>
                <c:pt idx="5">
                  <c:v>90.643670886076</c:v>
                </c:pt>
                <c:pt idx="6">
                  <c:v>92.3724050632911</c:v>
                </c:pt>
                <c:pt idx="7">
                  <c:v>94.1011392405063</c:v>
                </c:pt>
                <c:pt idx="8">
                  <c:v>95.8298734177215</c:v>
                </c:pt>
                <c:pt idx="9">
                  <c:v>97.5586075949367</c:v>
                </c:pt>
                <c:pt idx="10">
                  <c:v>99.2873417721519</c:v>
                </c:pt>
                <c:pt idx="11">
                  <c:v>101.016075949367</c:v>
                </c:pt>
                <c:pt idx="12">
                  <c:v>102.744810126582</c:v>
                </c:pt>
                <c:pt idx="13">
                  <c:v>104.473544303797</c:v>
                </c:pt>
                <c:pt idx="14">
                  <c:v>106.202278481013</c:v>
                </c:pt>
                <c:pt idx="15">
                  <c:v>107.931012658228</c:v>
                </c:pt>
                <c:pt idx="16">
                  <c:v>109.659746835443</c:v>
                </c:pt>
                <c:pt idx="17">
                  <c:v>111.388481012658</c:v>
                </c:pt>
                <c:pt idx="18">
                  <c:v>113.117215189873</c:v>
                </c:pt>
                <c:pt idx="19">
                  <c:v>114.845949367089</c:v>
                </c:pt>
                <c:pt idx="20">
                  <c:v>116.574683544304</c:v>
                </c:pt>
                <c:pt idx="21">
                  <c:v>118.303417721519</c:v>
                </c:pt>
                <c:pt idx="22">
                  <c:v>120.032151898734</c:v>
                </c:pt>
                <c:pt idx="23">
                  <c:v>121.760886075949</c:v>
                </c:pt>
                <c:pt idx="24">
                  <c:v>123.489620253165</c:v>
                </c:pt>
                <c:pt idx="25">
                  <c:v>125.21835443038</c:v>
                </c:pt>
                <c:pt idx="26">
                  <c:v>126.947088607595</c:v>
                </c:pt>
                <c:pt idx="27">
                  <c:v>128.67582278481</c:v>
                </c:pt>
                <c:pt idx="28">
                  <c:v>130.404556962025</c:v>
                </c:pt>
                <c:pt idx="29">
                  <c:v>132.133291139241</c:v>
                </c:pt>
                <c:pt idx="30">
                  <c:v>133.862025316456</c:v>
                </c:pt>
                <c:pt idx="31">
                  <c:v>135.590759493671</c:v>
                </c:pt>
                <c:pt idx="32">
                  <c:v>137.319493670886</c:v>
                </c:pt>
                <c:pt idx="33">
                  <c:v>139.048227848101</c:v>
                </c:pt>
                <c:pt idx="34">
                  <c:v>140.776962025316</c:v>
                </c:pt>
                <c:pt idx="35">
                  <c:v>142.505696202532</c:v>
                </c:pt>
                <c:pt idx="36">
                  <c:v>144.234430379747</c:v>
                </c:pt>
                <c:pt idx="37">
                  <c:v>145.963164556962</c:v>
                </c:pt>
                <c:pt idx="38">
                  <c:v>147.691898734177</c:v>
                </c:pt>
                <c:pt idx="39">
                  <c:v>149.420632911392</c:v>
                </c:pt>
                <c:pt idx="40">
                  <c:v>151.149367088608</c:v>
                </c:pt>
                <c:pt idx="41">
                  <c:v>152.878101265823</c:v>
                </c:pt>
                <c:pt idx="42">
                  <c:v>154.606835443038</c:v>
                </c:pt>
                <c:pt idx="43">
                  <c:v>156.335569620253</c:v>
                </c:pt>
                <c:pt idx="44">
                  <c:v>158.064303797468</c:v>
                </c:pt>
                <c:pt idx="45">
                  <c:v>159.793037974684</c:v>
                </c:pt>
                <c:pt idx="46">
                  <c:v>161.521772151899</c:v>
                </c:pt>
                <c:pt idx="47">
                  <c:v>163.250506329114</c:v>
                </c:pt>
                <c:pt idx="48">
                  <c:v>164.979240506329</c:v>
                </c:pt>
                <c:pt idx="49">
                  <c:v>166.707974683544</c:v>
                </c:pt>
                <c:pt idx="50">
                  <c:v>168.43670886076</c:v>
                </c:pt>
                <c:pt idx="51">
                  <c:v>170.165443037975</c:v>
                </c:pt>
                <c:pt idx="52">
                  <c:v>171.89417721519</c:v>
                </c:pt>
                <c:pt idx="53">
                  <c:v>173.622911392405</c:v>
                </c:pt>
                <c:pt idx="54">
                  <c:v>175.35164556962</c:v>
                </c:pt>
                <c:pt idx="55">
                  <c:v>177.080379746835</c:v>
                </c:pt>
                <c:pt idx="56">
                  <c:v>178.809113924051</c:v>
                </c:pt>
                <c:pt idx="57">
                  <c:v>180.537848101266</c:v>
                </c:pt>
                <c:pt idx="58">
                  <c:v>182.266582278481</c:v>
                </c:pt>
                <c:pt idx="59">
                  <c:v>183.995316455696</c:v>
                </c:pt>
                <c:pt idx="60">
                  <c:v>185.724050632911</c:v>
                </c:pt>
                <c:pt idx="61">
                  <c:v>187.452784810127</c:v>
                </c:pt>
                <c:pt idx="62">
                  <c:v>189.181518987342</c:v>
                </c:pt>
                <c:pt idx="63">
                  <c:v>190.910253164557</c:v>
                </c:pt>
                <c:pt idx="64">
                  <c:v>192.638987341772</c:v>
                </c:pt>
                <c:pt idx="65">
                  <c:v>194.367721518987</c:v>
                </c:pt>
                <c:pt idx="66">
                  <c:v>196.096455696203</c:v>
                </c:pt>
                <c:pt idx="67">
                  <c:v>197.825189873418</c:v>
                </c:pt>
                <c:pt idx="68">
                  <c:v>199.553924050633</c:v>
                </c:pt>
                <c:pt idx="69">
                  <c:v>201.282658227848</c:v>
                </c:pt>
                <c:pt idx="70">
                  <c:v>203.011392405063</c:v>
                </c:pt>
                <c:pt idx="71">
                  <c:v>204.740126582279</c:v>
                </c:pt>
                <c:pt idx="72">
                  <c:v>206.468860759494</c:v>
                </c:pt>
                <c:pt idx="73">
                  <c:v>208.197594936709</c:v>
                </c:pt>
                <c:pt idx="74">
                  <c:v>209.926329113924</c:v>
                </c:pt>
                <c:pt idx="75">
                  <c:v>211.655063291139</c:v>
                </c:pt>
                <c:pt idx="76">
                  <c:v>213.383797468354</c:v>
                </c:pt>
                <c:pt idx="77">
                  <c:v>215.11253164557</c:v>
                </c:pt>
                <c:pt idx="78">
                  <c:v>216.841265822785</c:v>
                </c:pt>
                <c:pt idx="79">
                  <c:v>218.57</c:v>
                </c:pt>
                <c:pt idx="80">
                  <c:v>220.298734177215</c:v>
                </c:pt>
                <c:pt idx="81">
                  <c:v>222.02746835443</c:v>
                </c:pt>
                <c:pt idx="82">
                  <c:v>223.756202531646</c:v>
                </c:pt>
                <c:pt idx="83">
                  <c:v>225.484936708861</c:v>
                </c:pt>
                <c:pt idx="84">
                  <c:v>227.213670886076</c:v>
                </c:pt>
                <c:pt idx="85">
                  <c:v>228.942405063291</c:v>
                </c:pt>
                <c:pt idx="86">
                  <c:v>230.671139240506</c:v>
                </c:pt>
                <c:pt idx="87">
                  <c:v>232.399873417722</c:v>
                </c:pt>
                <c:pt idx="88">
                  <c:v>234.128607594937</c:v>
                </c:pt>
                <c:pt idx="89">
                  <c:v>235.857341772152</c:v>
                </c:pt>
                <c:pt idx="90">
                  <c:v>237.586075949367</c:v>
                </c:pt>
                <c:pt idx="91">
                  <c:v>239.314810126582</c:v>
                </c:pt>
                <c:pt idx="92">
                  <c:v>241.043544303797</c:v>
                </c:pt>
                <c:pt idx="93">
                  <c:v>242.772278481013</c:v>
                </c:pt>
                <c:pt idx="94">
                  <c:v>244.501012658228</c:v>
                </c:pt>
                <c:pt idx="95">
                  <c:v>246.229746835443</c:v>
                </c:pt>
                <c:pt idx="96">
                  <c:v>247.958481012658</c:v>
                </c:pt>
                <c:pt idx="97">
                  <c:v>249.687215189873</c:v>
                </c:pt>
                <c:pt idx="98">
                  <c:v>251.415949367089</c:v>
                </c:pt>
                <c:pt idx="99">
                  <c:v>253.144683544304</c:v>
                </c:pt>
                <c:pt idx="100">
                  <c:v>254.873417721519</c:v>
                </c:pt>
                <c:pt idx="101">
                  <c:v>256.602151898734</c:v>
                </c:pt>
                <c:pt idx="102">
                  <c:v>258.330886075949</c:v>
                </c:pt>
                <c:pt idx="103">
                  <c:v>260.059620253165</c:v>
                </c:pt>
                <c:pt idx="104">
                  <c:v>261.78835443038</c:v>
                </c:pt>
                <c:pt idx="105">
                  <c:v>263.517088607595</c:v>
                </c:pt>
                <c:pt idx="106">
                  <c:v>265.24582278481</c:v>
                </c:pt>
                <c:pt idx="107">
                  <c:v>266.974556962025</c:v>
                </c:pt>
                <c:pt idx="108">
                  <c:v>268.703291139241</c:v>
                </c:pt>
                <c:pt idx="109">
                  <c:v>270.432025316456</c:v>
                </c:pt>
                <c:pt idx="110">
                  <c:v>272.160759493671</c:v>
                </c:pt>
                <c:pt idx="111">
                  <c:v>273.889493670886</c:v>
                </c:pt>
                <c:pt idx="112">
                  <c:v>275.618227848101</c:v>
                </c:pt>
                <c:pt idx="113">
                  <c:v>277.346962025316</c:v>
                </c:pt>
                <c:pt idx="114">
                  <c:v>279.075696202532</c:v>
                </c:pt>
                <c:pt idx="115">
                  <c:v>280.804430379747</c:v>
                </c:pt>
                <c:pt idx="116">
                  <c:v>282.533164556962</c:v>
                </c:pt>
                <c:pt idx="117">
                  <c:v>284.261898734177</c:v>
                </c:pt>
                <c:pt idx="118">
                  <c:v>285.990632911392</c:v>
                </c:pt>
                <c:pt idx="119">
                  <c:v>287.719367088608</c:v>
                </c:pt>
                <c:pt idx="120">
                  <c:v>289.448101265823</c:v>
                </c:pt>
                <c:pt idx="121">
                  <c:v>291.176835443038</c:v>
                </c:pt>
                <c:pt idx="122">
                  <c:v>292.905569620253</c:v>
                </c:pt>
                <c:pt idx="123">
                  <c:v>294.634303797468</c:v>
                </c:pt>
                <c:pt idx="124">
                  <c:v>296.363037974684</c:v>
                </c:pt>
                <c:pt idx="125">
                  <c:v>298.091772151899</c:v>
                </c:pt>
                <c:pt idx="126">
                  <c:v>299.820506329114</c:v>
                </c:pt>
                <c:pt idx="127">
                  <c:v>301.549240506329</c:v>
                </c:pt>
                <c:pt idx="128">
                  <c:v>303.277974683544</c:v>
                </c:pt>
                <c:pt idx="129">
                  <c:v>305.00670886076</c:v>
                </c:pt>
                <c:pt idx="130">
                  <c:v>306.735443037975</c:v>
                </c:pt>
                <c:pt idx="131">
                  <c:v>308.46417721519</c:v>
                </c:pt>
                <c:pt idx="132">
                  <c:v>310.192911392405</c:v>
                </c:pt>
                <c:pt idx="133">
                  <c:v>311.92164556962</c:v>
                </c:pt>
                <c:pt idx="134">
                  <c:v>313.650379746835</c:v>
                </c:pt>
                <c:pt idx="135">
                  <c:v>315.379113924051</c:v>
                </c:pt>
                <c:pt idx="136">
                  <c:v>317.107848101266</c:v>
                </c:pt>
                <c:pt idx="137">
                  <c:v>318.836582278481</c:v>
                </c:pt>
                <c:pt idx="138">
                  <c:v>320.565316455696</c:v>
                </c:pt>
                <c:pt idx="139">
                  <c:v>322.294050632911</c:v>
                </c:pt>
                <c:pt idx="140">
                  <c:v>324.022784810127</c:v>
                </c:pt>
                <c:pt idx="141">
                  <c:v>325.751518987342</c:v>
                </c:pt>
                <c:pt idx="142">
                  <c:v>327.480253164557</c:v>
                </c:pt>
                <c:pt idx="143">
                  <c:v>329.208987341772</c:v>
                </c:pt>
                <c:pt idx="144">
                  <c:v>330.937721518987</c:v>
                </c:pt>
                <c:pt idx="145">
                  <c:v>332.666455696203</c:v>
                </c:pt>
                <c:pt idx="146">
                  <c:v>334.395189873418</c:v>
                </c:pt>
                <c:pt idx="147">
                  <c:v>336.123924050633</c:v>
                </c:pt>
                <c:pt idx="148">
                  <c:v>337.852658227848</c:v>
                </c:pt>
                <c:pt idx="149">
                  <c:v>339.581392405063</c:v>
                </c:pt>
                <c:pt idx="150">
                  <c:v>341.310126582279</c:v>
                </c:pt>
                <c:pt idx="151">
                  <c:v>343.038860759494</c:v>
                </c:pt>
                <c:pt idx="152">
                  <c:v>344.767594936709</c:v>
                </c:pt>
                <c:pt idx="153">
                  <c:v>346.496329113924</c:v>
                </c:pt>
                <c:pt idx="154">
                  <c:v>348.225063291139</c:v>
                </c:pt>
                <c:pt idx="155">
                  <c:v>349.953797468354</c:v>
                </c:pt>
                <c:pt idx="156">
                  <c:v>351.68253164557</c:v>
                </c:pt>
                <c:pt idx="157">
                  <c:v>353.411265822785</c:v>
                </c:pt>
                <c:pt idx="158">
                  <c:v>355.14</c:v>
                </c:pt>
                <c:pt idx="159">
                  <c:v>356.868734177215</c:v>
                </c:pt>
              </c:numCache>
            </c:numRef>
          </c:val>
          <c:smooth val="0"/>
        </c:ser>
        <c:hiLowLines>
          <c:spPr>
            <a:ln w="0">
              <a:noFill/>
            </a:ln>
          </c:spPr>
        </c:hiLowLines>
        <c:marker val="0"/>
        <c:axId val="18782185"/>
        <c:axId val="39690166"/>
      </c:lineChart>
      <c:dateAx>
        <c:axId val="4377811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708494"/>
        <c:auto val="1"/>
        <c:lblOffset val="100"/>
        <c:baseTimeUnit val="days"/>
      </c:dateAx>
      <c:valAx>
        <c:axId val="8670849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778111"/>
        <c:crosses val="autoZero"/>
        <c:crossBetween val="between"/>
      </c:valAx>
      <c:dateAx>
        <c:axId val="1878218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690166"/>
        <c:auto val="1"/>
        <c:lblOffset val="100"/>
        <c:baseTimeUnit val="days"/>
      </c:dateAx>
      <c:valAx>
        <c:axId val="3969016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78218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(Calc)'!$F$3:$F$500</c:f>
              <c:numCache>
                <c:formatCode>0.0%</c:formatCode>
                <c:ptCount val="498"/>
                <c:pt idx="0">
                  <c:v>-0.0174081237911025</c:v>
                </c:pt>
                <c:pt idx="1">
                  <c:v>0.0297736220472442</c:v>
                </c:pt>
                <c:pt idx="2">
                  <c:v>0.055436081242533</c:v>
                </c:pt>
                <c:pt idx="3">
                  <c:v>0.0511659497396422</c:v>
                </c:pt>
                <c:pt idx="4">
                  <c:v>-0.0374757699763084</c:v>
                </c:pt>
                <c:pt idx="5">
                  <c:v>-0.0331170284179906</c:v>
                </c:pt>
                <c:pt idx="6">
                  <c:v>0.0890997454292988</c:v>
                </c:pt>
                <c:pt idx="7">
                  <c:v>0.0429239269018273</c:v>
                </c:pt>
                <c:pt idx="8">
                  <c:v>0.0548084759576204</c:v>
                </c:pt>
                <c:pt idx="9">
                  <c:v>0.0173845856673749</c:v>
                </c:pt>
                <c:pt idx="10">
                  <c:v>0.115625593316879</c:v>
                </c:pt>
                <c:pt idx="11">
                  <c:v>0.0319945541184479</c:v>
                </c:pt>
                <c:pt idx="12">
                  <c:v>0.0722295514511873</c:v>
                </c:pt>
                <c:pt idx="13">
                  <c:v>-0.0170716702553061</c:v>
                </c:pt>
                <c:pt idx="14">
                  <c:v>-0.00125176028790486</c:v>
                </c:pt>
                <c:pt idx="15">
                  <c:v>-0.0307065643114524</c:v>
                </c:pt>
                <c:pt idx="16">
                  <c:v>0.144981412639405</c:v>
                </c:pt>
                <c:pt idx="17">
                  <c:v>0.0254093732354601</c:v>
                </c:pt>
                <c:pt idx="18">
                  <c:v>-0.000825991189427389</c:v>
                </c:pt>
                <c:pt idx="19">
                  <c:v>0.0456048498208874</c:v>
                </c:pt>
                <c:pt idx="20">
                  <c:v>0.0848596653050469</c:v>
                </c:pt>
                <c:pt idx="21">
                  <c:v>-0.000242924814769729</c:v>
                </c:pt>
                <c:pt idx="22">
                  <c:v>-0.0539424128295468</c:v>
                </c:pt>
                <c:pt idx="23">
                  <c:v>0.010016694490818</c:v>
                </c:pt>
                <c:pt idx="24">
                  <c:v>0.0261919898283534</c:v>
                </c:pt>
                <c:pt idx="25">
                  <c:v>-0.0223020691364143</c:v>
                </c:pt>
                <c:pt idx="26">
                  <c:v>0.037764541883158</c:v>
                </c:pt>
                <c:pt idx="27">
                  <c:v>-0.0212480156307241</c:v>
                </c:pt>
                <c:pt idx="28">
                  <c:v>-0.015845290081098</c:v>
                </c:pt>
                <c:pt idx="29">
                  <c:v>-0.0205375253549694</c:v>
                </c:pt>
                <c:pt idx="30">
                  <c:v>-0.0854258348433861</c:v>
                </c:pt>
                <c:pt idx="31">
                  <c:v>0.0758562128502689</c:v>
                </c:pt>
                <c:pt idx="32">
                  <c:v>0.0201262825572217</c:v>
                </c:pt>
                <c:pt idx="33">
                  <c:v>0.0340425531914894</c:v>
                </c:pt>
                <c:pt idx="34">
                  <c:v>0.0784387080683378</c:v>
                </c:pt>
                <c:pt idx="35">
                  <c:v>0.0160730804810361</c:v>
                </c:pt>
                <c:pt idx="36">
                  <c:v>-0.107545237282349</c:v>
                </c:pt>
                <c:pt idx="37">
                  <c:v>0.112981382300434</c:v>
                </c:pt>
                <c:pt idx="38">
                  <c:v>0.104032997250229</c:v>
                </c:pt>
                <c:pt idx="39">
                  <c:v>-0.0124533001245331</c:v>
                </c:pt>
                <c:pt idx="40">
                  <c:v>0.00672551492223628</c:v>
                </c:pt>
                <c:pt idx="41">
                  <c:v>0.016910229645094</c:v>
                </c:pt>
                <c:pt idx="42">
                  <c:v>-0.0471155820160132</c:v>
                </c:pt>
                <c:pt idx="43">
                  <c:v>-0.178713777873532</c:v>
                </c:pt>
                <c:pt idx="44">
                  <c:v>-0.160020986358867</c:v>
                </c:pt>
                <c:pt idx="45">
                  <c:v>-0.149437851342911</c:v>
                </c:pt>
                <c:pt idx="46">
                  <c:v>0.105562695061502</c:v>
                </c:pt>
                <c:pt idx="47">
                  <c:v>0.0900033211557623</c:v>
                </c:pt>
                <c:pt idx="48">
                  <c:v>0.0342778793418648</c:v>
                </c:pt>
                <c:pt idx="49">
                  <c:v>0.0210634850493445</c:v>
                </c:pt>
                <c:pt idx="50">
                  <c:v>-0.11136757068667</c:v>
                </c:pt>
                <c:pt idx="51">
                  <c:v>0.0516233766233767</c:v>
                </c:pt>
                <c:pt idx="52">
                  <c:v>0.157147267675208</c:v>
                </c:pt>
                <c:pt idx="53">
                  <c:v>-0.0466915688367129</c:v>
                </c:pt>
                <c:pt idx="54">
                  <c:v>0.0223901483347329</c:v>
                </c:pt>
                <c:pt idx="55">
                  <c:v>0.0956747878456064</c:v>
                </c:pt>
                <c:pt idx="56">
                  <c:v>-0.0313554028732042</c:v>
                </c:pt>
                <c:pt idx="57">
                  <c:v>-0.0308228011348981</c:v>
                </c:pt>
                <c:pt idx="58">
                  <c:v>0.00838323353293413</c:v>
                </c:pt>
                <c:pt idx="59">
                  <c:v>0.0888097123251519</c:v>
                </c:pt>
                <c:pt idx="60">
                  <c:v>0.020361168343231</c:v>
                </c:pt>
                <c:pt idx="61">
                  <c:v>0.10547570970424</c:v>
                </c:pt>
                <c:pt idx="62">
                  <c:v>-0.070699473514559</c:v>
                </c:pt>
                <c:pt idx="63">
                  <c:v>0.0568851890391953</c:v>
                </c:pt>
                <c:pt idx="64">
                  <c:v>0.00645443605732421</c:v>
                </c:pt>
                <c:pt idx="65">
                  <c:v>-0.0155434782608697</c:v>
                </c:pt>
                <c:pt idx="66">
                  <c:v>-0.0200949541790879</c:v>
                </c:pt>
                <c:pt idx="67">
                  <c:v>0.0112676056338028</c:v>
                </c:pt>
                <c:pt idx="68">
                  <c:v>-0.0283008356545962</c:v>
                </c:pt>
                <c:pt idx="69">
                  <c:v>0.0233918128654971</c:v>
                </c:pt>
                <c:pt idx="70">
                  <c:v>0.0501960784313726</c:v>
                </c:pt>
                <c:pt idx="71">
                  <c:v>0.0617731782780326</c:v>
                </c:pt>
                <c:pt idx="72">
                  <c:v>0.0590836012861737</c:v>
                </c:pt>
                <c:pt idx="73">
                  <c:v>0.0714421252371917</c:v>
                </c:pt>
                <c:pt idx="74">
                  <c:v>-0.0997077835827505</c:v>
                </c:pt>
                <c:pt idx="75">
                  <c:v>-0.0418019081341595</c:v>
                </c:pt>
                <c:pt idx="76">
                  <c:v>-0.144118250872511</c:v>
                </c:pt>
                <c:pt idx="77">
                  <c:v>0.0605660829935237</c:v>
                </c:pt>
                <c:pt idx="78">
                  <c:v>0.0240868483546308</c:v>
                </c:pt>
                <c:pt idx="79">
                  <c:v>-0.0141342756183745</c:v>
                </c:pt>
                <c:pt idx="80">
                  <c:v>-0.0993503584229392</c:v>
                </c:pt>
                <c:pt idx="81">
                  <c:v>0.174853873896282</c:v>
                </c:pt>
                <c:pt idx="82">
                  <c:v>-0.00603366147983475</c:v>
                </c:pt>
                <c:pt idx="83">
                  <c:v>0.131203407880724</c:v>
                </c:pt>
                <c:pt idx="84">
                  <c:v>0.0369045377518358</c:v>
                </c:pt>
                <c:pt idx="85">
                  <c:v>-0.0680951516252043</c:v>
                </c:pt>
                <c:pt idx="86">
                  <c:v>0.0699532346063911</c:v>
                </c:pt>
                <c:pt idx="87">
                  <c:v>0.0371517027863779</c:v>
                </c:pt>
                <c:pt idx="88">
                  <c:v>0.0345917471466197</c:v>
                </c:pt>
                <c:pt idx="89">
                  <c:v>-0.00627970128988464</c:v>
                </c:pt>
                <c:pt idx="90">
                  <c:v>0.0260461144321094</c:v>
                </c:pt>
                <c:pt idx="91">
                  <c:v>-0.00898876404494398</c:v>
                </c:pt>
                <c:pt idx="92">
                  <c:v>0.0483749055177627</c:v>
                </c:pt>
                <c:pt idx="93">
                  <c:v>0.0295602018745496</c:v>
                </c:pt>
                <c:pt idx="94">
                  <c:v>-0.0693277310924371</c:v>
                </c:pt>
                <c:pt idx="95">
                  <c:v>-0.00518351308419029</c:v>
                </c:pt>
                <c:pt idx="96">
                  <c:v>-0.0168921758130934</c:v>
                </c:pt>
                <c:pt idx="97">
                  <c:v>-0.0453923747649171</c:v>
                </c:pt>
                <c:pt idx="98">
                  <c:v>-0.0497000089549565</c:v>
                </c:pt>
                <c:pt idx="99">
                  <c:v>0.00800980022615905</c:v>
                </c:pt>
                <c:pt idx="100">
                  <c:v>-0.0171076002617556</c:v>
                </c:pt>
                <c:pt idx="101">
                  <c:v>0.00751379113562867</c:v>
                </c:pt>
                <c:pt idx="102">
                  <c:v>-0.0143490984612481</c:v>
                </c:pt>
                <c:pt idx="103">
                  <c:v>0.0442486351882003</c:v>
                </c:pt>
                <c:pt idx="104">
                  <c:v>0.152343391727048</c:v>
                </c:pt>
                <c:pt idx="105">
                  <c:v>-0.0420248328557784</c:v>
                </c:pt>
                <c:pt idx="106">
                  <c:v>0.0175307411100034</c:v>
                </c:pt>
                <c:pt idx="107">
                  <c:v>0.00775700171470573</c:v>
                </c:pt>
                <c:pt idx="108">
                  <c:v>-0.0183114568141306</c:v>
                </c:pt>
                <c:pt idx="109">
                  <c:v>0.0880653681082868</c:v>
                </c:pt>
                <c:pt idx="110">
                  <c:v>0.029735265114162</c:v>
                </c:pt>
                <c:pt idx="111">
                  <c:v>-0.00589318600368327</c:v>
                </c:pt>
                <c:pt idx="112">
                  <c:v>-0.00414968506854396</c:v>
                </c:pt>
                <c:pt idx="113">
                  <c:v>-0.0872088697075675</c:v>
                </c:pt>
                <c:pt idx="114">
                  <c:v>0.0376620200538029</c:v>
                </c:pt>
                <c:pt idx="115">
                  <c:v>0.00565637520622198</c:v>
                </c:pt>
                <c:pt idx="116">
                  <c:v>-0.0142176392469338</c:v>
                </c:pt>
                <c:pt idx="117">
                  <c:v>-0.0465171566685158</c:v>
                </c:pt>
                <c:pt idx="118">
                  <c:v>-0.000166223404255317</c:v>
                </c:pt>
                <c:pt idx="119">
                  <c:v>-0.0574397339983375</c:v>
                </c:pt>
                <c:pt idx="120">
                  <c:v>0.0375694505688333</c:v>
                </c:pt>
                <c:pt idx="121">
                  <c:v>-0.0355291117722057</c:v>
                </c:pt>
                <c:pt idx="122">
                  <c:v>-0.00308451573103019</c:v>
                </c:pt>
                <c:pt idx="123">
                  <c:v>-0.0244872701555871</c:v>
                </c:pt>
                <c:pt idx="124">
                  <c:v>-0.103942002718623</c:v>
                </c:pt>
                <c:pt idx="125">
                  <c:v>0.0862661812297736</c:v>
                </c:pt>
                <c:pt idx="126">
                  <c:v>-0.0955218322316357</c:v>
                </c:pt>
                <c:pt idx="127">
                  <c:v>-0.042717447246526</c:v>
                </c:pt>
                <c:pt idx="128">
                  <c:v>0.153225806451613</c:v>
                </c:pt>
                <c:pt idx="129">
                  <c:v>0.0297435897435898</c:v>
                </c:pt>
                <c:pt idx="130">
                  <c:v>-0.074157913799348</c:v>
                </c:pt>
                <c:pt idx="131">
                  <c:v>-0.0964303178484107</c:v>
                </c:pt>
                <c:pt idx="132">
                  <c:v>0.0799870115813399</c:v>
                </c:pt>
                <c:pt idx="133">
                  <c:v>-0.0504109039887753</c:v>
                </c:pt>
                <c:pt idx="134">
                  <c:v>0.118627968337731</c:v>
                </c:pt>
                <c:pt idx="135">
                  <c:v>0.0569865081611474</c:v>
                </c:pt>
                <c:pt idx="136">
                  <c:v>0.0167812193162544</c:v>
                </c:pt>
                <c:pt idx="137">
                  <c:v>0.158282854885436</c:v>
                </c:pt>
                <c:pt idx="138">
                  <c:v>0.12566318023344</c:v>
                </c:pt>
                <c:pt idx="139">
                  <c:v>0.116819283598169</c:v>
                </c:pt>
                <c:pt idx="140">
                  <c:v>0.10176644360041</c:v>
                </c:pt>
                <c:pt idx="141">
                  <c:v>-0.0820246238030097</c:v>
                </c:pt>
                <c:pt idx="142">
                  <c:v>0.0175250357653791</c:v>
                </c:pt>
                <c:pt idx="143">
                  <c:v>0.00298769771529006</c:v>
                </c:pt>
                <c:pt idx="144">
                  <c:v>0.0237135681327025</c:v>
                </c:pt>
                <c:pt idx="145">
                  <c:v>0.106749586352485</c:v>
                </c:pt>
                <c:pt idx="146">
                  <c:v>-0.0350551603258067</c:v>
                </c:pt>
                <c:pt idx="147">
                  <c:v>0.0849449727534994</c:v>
                </c:pt>
                <c:pt idx="148">
                  <c:v>-0.0974985227496553</c:v>
                </c:pt>
                <c:pt idx="149">
                  <c:v>0.0413574858140551</c:v>
                </c:pt>
                <c:pt idx="150">
                  <c:v>0.123441265849314</c:v>
                </c:pt>
                <c:pt idx="151">
                  <c:v>0.0117992724559277</c:v>
                </c:pt>
                <c:pt idx="152">
                  <c:v>-0.115233924867481</c:v>
                </c:pt>
                <c:pt idx="153">
                  <c:v>0.137796301120083</c:v>
                </c:pt>
                <c:pt idx="154">
                  <c:v>-0.0242673992673993</c:v>
                </c:pt>
                <c:pt idx="155">
                  <c:v>-0.0298451431252932</c:v>
                </c:pt>
                <c:pt idx="156">
                  <c:v>0.14951146367418</c:v>
                </c:pt>
                <c:pt idx="157">
                  <c:v>0.0609299389859035</c:v>
                </c:pt>
                <c:pt idx="158">
                  <c:v>0.0710347836433587</c:v>
                </c:pt>
              </c:numCache>
            </c:numRef>
          </c:val>
        </c:ser>
        <c:gapWidth val="150"/>
        <c:overlap val="0"/>
        <c:axId val="83898759"/>
        <c:axId val="34747595"/>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(Calc)'!$AA$3:$AA$500</c:f>
              <c:numCache>
                <c:formatCode>#,##0.00</c:formatCode>
                <c:ptCount val="498"/>
                <c:pt idx="0">
                  <c:v>41.36</c:v>
                </c:pt>
                <c:pt idx="1">
                  <c:v>42.8073417721519</c:v>
                </c:pt>
                <c:pt idx="2">
                  <c:v>44.2546835443038</c:v>
                </c:pt>
                <c:pt idx="3">
                  <c:v>45.7020253164557</c:v>
                </c:pt>
                <c:pt idx="4">
                  <c:v>47.1493670886076</c:v>
                </c:pt>
                <c:pt idx="5">
                  <c:v>48.5967088607595</c:v>
                </c:pt>
                <c:pt idx="6">
                  <c:v>50.0440506329114</c:v>
                </c:pt>
                <c:pt idx="7">
                  <c:v>51.4913924050633</c:v>
                </c:pt>
                <c:pt idx="8">
                  <c:v>52.9387341772152</c:v>
                </c:pt>
                <c:pt idx="9">
                  <c:v>54.3860759493671</c:v>
                </c:pt>
                <c:pt idx="10">
                  <c:v>55.833417721519</c:v>
                </c:pt>
                <c:pt idx="11">
                  <c:v>57.2807594936709</c:v>
                </c:pt>
                <c:pt idx="12">
                  <c:v>58.7281012658228</c:v>
                </c:pt>
                <c:pt idx="13">
                  <c:v>60.1754430379747</c:v>
                </c:pt>
                <c:pt idx="14">
                  <c:v>61.6227848101266</c:v>
                </c:pt>
                <c:pt idx="15">
                  <c:v>63.0701265822785</c:v>
                </c:pt>
                <c:pt idx="16">
                  <c:v>64.5174683544304</c:v>
                </c:pt>
                <c:pt idx="17">
                  <c:v>65.9648101265823</c:v>
                </c:pt>
                <c:pt idx="18">
                  <c:v>67.4121518987342</c:v>
                </c:pt>
                <c:pt idx="19">
                  <c:v>68.8594936708861</c:v>
                </c:pt>
                <c:pt idx="20">
                  <c:v>70.306835443038</c:v>
                </c:pt>
                <c:pt idx="21">
                  <c:v>71.7541772151899</c:v>
                </c:pt>
                <c:pt idx="22">
                  <c:v>73.2015189873418</c:v>
                </c:pt>
                <c:pt idx="23">
                  <c:v>74.6488607594937</c:v>
                </c:pt>
                <c:pt idx="24">
                  <c:v>76.0962025316456</c:v>
                </c:pt>
                <c:pt idx="25">
                  <c:v>77.5435443037975</c:v>
                </c:pt>
                <c:pt idx="26">
                  <c:v>78.9908860759494</c:v>
                </c:pt>
                <c:pt idx="27">
                  <c:v>80.4382278481013</c:v>
                </c:pt>
                <c:pt idx="28">
                  <c:v>81.8855696202532</c:v>
                </c:pt>
                <c:pt idx="29">
                  <c:v>83.3329113924051</c:v>
                </c:pt>
                <c:pt idx="30">
                  <c:v>84.780253164557</c:v>
                </c:pt>
                <c:pt idx="31">
                  <c:v>86.2275949367089</c:v>
                </c:pt>
                <c:pt idx="32">
                  <c:v>87.6749367088608</c:v>
                </c:pt>
                <c:pt idx="33">
                  <c:v>89.1222784810127</c:v>
                </c:pt>
                <c:pt idx="34">
                  <c:v>90.5696202531646</c:v>
                </c:pt>
                <c:pt idx="35">
                  <c:v>92.0169620253165</c:v>
                </c:pt>
                <c:pt idx="36">
                  <c:v>93.4643037974684</c:v>
                </c:pt>
                <c:pt idx="37">
                  <c:v>94.9116455696203</c:v>
                </c:pt>
                <c:pt idx="38">
                  <c:v>96.3589873417722</c:v>
                </c:pt>
                <c:pt idx="39">
                  <c:v>97.8063291139241</c:v>
                </c:pt>
                <c:pt idx="40">
                  <c:v>99.253670886076</c:v>
                </c:pt>
                <c:pt idx="41">
                  <c:v>100.701012658228</c:v>
                </c:pt>
                <c:pt idx="42">
                  <c:v>102.14835443038</c:v>
                </c:pt>
                <c:pt idx="43">
                  <c:v>103.595696202532</c:v>
                </c:pt>
                <c:pt idx="44">
                  <c:v>105.043037974684</c:v>
                </c:pt>
                <c:pt idx="45">
                  <c:v>106.490379746835</c:v>
                </c:pt>
                <c:pt idx="46">
                  <c:v>107.937721518987</c:v>
                </c:pt>
                <c:pt idx="47">
                  <c:v>109.385063291139</c:v>
                </c:pt>
                <c:pt idx="48">
                  <c:v>110.832405063291</c:v>
                </c:pt>
                <c:pt idx="49">
                  <c:v>112.279746835443</c:v>
                </c:pt>
                <c:pt idx="50">
                  <c:v>113.727088607595</c:v>
                </c:pt>
                <c:pt idx="51">
                  <c:v>115.174430379747</c:v>
                </c:pt>
                <c:pt idx="52">
                  <c:v>116.621772151899</c:v>
                </c:pt>
                <c:pt idx="53">
                  <c:v>118.069113924051</c:v>
                </c:pt>
                <c:pt idx="54">
                  <c:v>119.516455696203</c:v>
                </c:pt>
                <c:pt idx="55">
                  <c:v>120.963797468354</c:v>
                </c:pt>
                <c:pt idx="56">
                  <c:v>122.411139240506</c:v>
                </c:pt>
                <c:pt idx="57">
                  <c:v>123.858481012658</c:v>
                </c:pt>
                <c:pt idx="58">
                  <c:v>125.30582278481</c:v>
                </c:pt>
                <c:pt idx="59">
                  <c:v>126.753164556962</c:v>
                </c:pt>
                <c:pt idx="60">
                  <c:v>128.200506329114</c:v>
                </c:pt>
                <c:pt idx="61">
                  <c:v>129.647848101266</c:v>
                </c:pt>
                <c:pt idx="62">
                  <c:v>131.095189873418</c:v>
                </c:pt>
                <c:pt idx="63">
                  <c:v>132.54253164557</c:v>
                </c:pt>
                <c:pt idx="64">
                  <c:v>133.989873417722</c:v>
                </c:pt>
                <c:pt idx="65">
                  <c:v>135.437215189873</c:v>
                </c:pt>
                <c:pt idx="66">
                  <c:v>136.884556962025</c:v>
                </c:pt>
                <c:pt idx="67">
                  <c:v>138.331898734177</c:v>
                </c:pt>
                <c:pt idx="68">
                  <c:v>139.779240506329</c:v>
                </c:pt>
                <c:pt idx="69">
                  <c:v>141.226582278481</c:v>
                </c:pt>
                <c:pt idx="70">
                  <c:v>142.673924050633</c:v>
                </c:pt>
                <c:pt idx="71">
                  <c:v>144.121265822785</c:v>
                </c:pt>
                <c:pt idx="72">
                  <c:v>145.568607594937</c:v>
                </c:pt>
                <c:pt idx="73">
                  <c:v>147.015949367089</c:v>
                </c:pt>
                <c:pt idx="74">
                  <c:v>148.463291139241</c:v>
                </c:pt>
                <c:pt idx="75">
                  <c:v>149.910632911392</c:v>
                </c:pt>
                <c:pt idx="76">
                  <c:v>151.357974683544</c:v>
                </c:pt>
                <c:pt idx="77">
                  <c:v>152.805316455696</c:v>
                </c:pt>
                <c:pt idx="78">
                  <c:v>154.252658227848</c:v>
                </c:pt>
                <c:pt idx="79">
                  <c:v>155.7</c:v>
                </c:pt>
                <c:pt idx="80">
                  <c:v>157.147341772152</c:v>
                </c:pt>
                <c:pt idx="81">
                  <c:v>158.594683544304</c:v>
                </c:pt>
                <c:pt idx="82">
                  <c:v>160.042025316456</c:v>
                </c:pt>
                <c:pt idx="83">
                  <c:v>161.489367088608</c:v>
                </c:pt>
                <c:pt idx="84">
                  <c:v>162.93670886076</c:v>
                </c:pt>
                <c:pt idx="85">
                  <c:v>164.384050632911</c:v>
                </c:pt>
                <c:pt idx="86">
                  <c:v>165.831392405063</c:v>
                </c:pt>
                <c:pt idx="87">
                  <c:v>167.278734177215</c:v>
                </c:pt>
                <c:pt idx="88">
                  <c:v>168.726075949367</c:v>
                </c:pt>
                <c:pt idx="89">
                  <c:v>170.173417721519</c:v>
                </c:pt>
                <c:pt idx="90">
                  <c:v>171.620759493671</c:v>
                </c:pt>
                <c:pt idx="91">
                  <c:v>173.068101265823</c:v>
                </c:pt>
                <c:pt idx="92">
                  <c:v>174.515443037975</c:v>
                </c:pt>
                <c:pt idx="93">
                  <c:v>175.962784810127</c:v>
                </c:pt>
                <c:pt idx="94">
                  <c:v>177.410126582279</c:v>
                </c:pt>
                <c:pt idx="95">
                  <c:v>178.85746835443</c:v>
                </c:pt>
                <c:pt idx="96">
                  <c:v>180.304810126582</c:v>
                </c:pt>
                <c:pt idx="97">
                  <c:v>181.752151898734</c:v>
                </c:pt>
                <c:pt idx="98">
                  <c:v>183.199493670886</c:v>
                </c:pt>
                <c:pt idx="99">
                  <c:v>184.646835443038</c:v>
                </c:pt>
                <c:pt idx="100">
                  <c:v>186.09417721519</c:v>
                </c:pt>
                <c:pt idx="101">
                  <c:v>187.541518987342</c:v>
                </c:pt>
                <c:pt idx="102">
                  <c:v>188.988860759494</c:v>
                </c:pt>
                <c:pt idx="103">
                  <c:v>190.436202531646</c:v>
                </c:pt>
                <c:pt idx="104">
                  <c:v>191.883544303797</c:v>
                </c:pt>
                <c:pt idx="105">
                  <c:v>193.330886075949</c:v>
                </c:pt>
                <c:pt idx="106">
                  <c:v>194.778227848101</c:v>
                </c:pt>
                <c:pt idx="107">
                  <c:v>196.225569620253</c:v>
                </c:pt>
                <c:pt idx="108">
                  <c:v>197.672911392405</c:v>
                </c:pt>
                <c:pt idx="109">
                  <c:v>199.120253164557</c:v>
                </c:pt>
                <c:pt idx="110">
                  <c:v>200.567594936709</c:v>
                </c:pt>
                <c:pt idx="111">
                  <c:v>202.014936708861</c:v>
                </c:pt>
                <c:pt idx="112">
                  <c:v>203.462278481013</c:v>
                </c:pt>
                <c:pt idx="113">
                  <c:v>204.909620253165</c:v>
                </c:pt>
                <c:pt idx="114">
                  <c:v>206.356962025316</c:v>
                </c:pt>
                <c:pt idx="115">
                  <c:v>207.804303797468</c:v>
                </c:pt>
                <c:pt idx="116">
                  <c:v>209.25164556962</c:v>
                </c:pt>
                <c:pt idx="117">
                  <c:v>210.698987341772</c:v>
                </c:pt>
                <c:pt idx="118">
                  <c:v>212.146329113924</c:v>
                </c:pt>
                <c:pt idx="119">
                  <c:v>213.593670886076</c:v>
                </c:pt>
                <c:pt idx="120">
                  <c:v>215.041012658228</c:v>
                </c:pt>
                <c:pt idx="121">
                  <c:v>216.48835443038</c:v>
                </c:pt>
                <c:pt idx="122">
                  <c:v>217.935696202532</c:v>
                </c:pt>
                <c:pt idx="123">
                  <c:v>219.383037974684</c:v>
                </c:pt>
                <c:pt idx="124">
                  <c:v>220.830379746835</c:v>
                </c:pt>
                <c:pt idx="125">
                  <c:v>222.277721518987</c:v>
                </c:pt>
                <c:pt idx="126">
                  <c:v>223.725063291139</c:v>
                </c:pt>
                <c:pt idx="127">
                  <c:v>225.172405063291</c:v>
                </c:pt>
                <c:pt idx="128">
                  <c:v>226.619746835443</c:v>
                </c:pt>
                <c:pt idx="129">
                  <c:v>228.067088607595</c:v>
                </c:pt>
                <c:pt idx="130">
                  <c:v>229.514430379747</c:v>
                </c:pt>
                <c:pt idx="131">
                  <c:v>230.961772151899</c:v>
                </c:pt>
                <c:pt idx="132">
                  <c:v>232.409113924051</c:v>
                </c:pt>
                <c:pt idx="133">
                  <c:v>233.856455696203</c:v>
                </c:pt>
                <c:pt idx="134">
                  <c:v>235.303797468354</c:v>
                </c:pt>
                <c:pt idx="135">
                  <c:v>236.751139240506</c:v>
                </c:pt>
                <c:pt idx="136">
                  <c:v>238.198481012658</c:v>
                </c:pt>
                <c:pt idx="137">
                  <c:v>239.64582278481</c:v>
                </c:pt>
                <c:pt idx="138">
                  <c:v>241.093164556962</c:v>
                </c:pt>
                <c:pt idx="139">
                  <c:v>242.540506329114</c:v>
                </c:pt>
                <c:pt idx="140">
                  <c:v>243.987848101266</c:v>
                </c:pt>
                <c:pt idx="141">
                  <c:v>245.435189873418</c:v>
                </c:pt>
                <c:pt idx="142">
                  <c:v>246.88253164557</c:v>
                </c:pt>
                <c:pt idx="143">
                  <c:v>248.329873417722</c:v>
                </c:pt>
                <c:pt idx="144">
                  <c:v>249.777215189873</c:v>
                </c:pt>
                <c:pt idx="145">
                  <c:v>251.224556962025</c:v>
                </c:pt>
                <c:pt idx="146">
                  <c:v>252.671898734177</c:v>
                </c:pt>
                <c:pt idx="147">
                  <c:v>254.119240506329</c:v>
                </c:pt>
                <c:pt idx="148">
                  <c:v>255.566582278481</c:v>
                </c:pt>
                <c:pt idx="149">
                  <c:v>257.013924050633</c:v>
                </c:pt>
                <c:pt idx="150">
                  <c:v>258.461265822785</c:v>
                </c:pt>
                <c:pt idx="151">
                  <c:v>259.908607594937</c:v>
                </c:pt>
                <c:pt idx="152">
                  <c:v>261.355949367089</c:v>
                </c:pt>
                <c:pt idx="153">
                  <c:v>262.803291139241</c:v>
                </c:pt>
                <c:pt idx="154">
                  <c:v>264.250632911392</c:v>
                </c:pt>
                <c:pt idx="155">
                  <c:v>265.697974683544</c:v>
                </c:pt>
                <c:pt idx="156">
                  <c:v>267.145316455696</c:v>
                </c:pt>
                <c:pt idx="157">
                  <c:v>268.592658227848</c:v>
                </c:pt>
                <c:pt idx="158">
                  <c:v>270.04</c:v>
                </c:pt>
                <c:pt idx="159">
                  <c:v>271.487341772152</c:v>
                </c:pt>
              </c:numCache>
            </c:numRef>
          </c:val>
          <c:smooth val="0"/>
        </c:ser>
        <c:hiLowLines>
          <c:spPr>
            <a:ln w="0">
              <a:noFill/>
            </a:ln>
          </c:spPr>
        </c:hiLowLines>
        <c:marker val="0"/>
        <c:axId val="93621272"/>
        <c:axId val="55151326"/>
      </c:lineChart>
      <c:dateAx>
        <c:axId val="8389875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747595"/>
        <c:auto val="1"/>
        <c:lblOffset val="100"/>
        <c:baseTimeUnit val="days"/>
      </c:dateAx>
      <c:valAx>
        <c:axId val="3474759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898759"/>
        <c:crosses val="autoZero"/>
        <c:crossBetween val="between"/>
      </c:valAx>
      <c:dateAx>
        <c:axId val="9362127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151326"/>
        <c:auto val="1"/>
        <c:lblOffset val="100"/>
        <c:baseTimeUnit val="days"/>
      </c:dateAx>
      <c:valAx>
        <c:axId val="5515132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62127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(Calc)'!$G$3:$G$500</c:f>
              <c:numCache>
                <c:formatCode>0.0%</c:formatCode>
                <c:ptCount val="498"/>
                <c:pt idx="0">
                  <c:v>-0.00518602029312298</c:v>
                </c:pt>
                <c:pt idx="1">
                  <c:v>0.0151858567543064</c:v>
                </c:pt>
                <c:pt idx="2">
                  <c:v>0.0203170350524671</c:v>
                </c:pt>
                <c:pt idx="3">
                  <c:v>0.0402625820568927</c:v>
                </c:pt>
                <c:pt idx="4">
                  <c:v>-0.0500631047538915</c:v>
                </c:pt>
                <c:pt idx="5">
                  <c:v>-0.00974313551815764</c:v>
                </c:pt>
                <c:pt idx="6">
                  <c:v>0.091010733452594</c:v>
                </c:pt>
                <c:pt idx="7">
                  <c:v>0.0692764910842387</c:v>
                </c:pt>
                <c:pt idx="8">
                  <c:v>0.0220433199156602</c:v>
                </c:pt>
                <c:pt idx="9">
                  <c:v>0.0204426106526632</c:v>
                </c:pt>
                <c:pt idx="10">
                  <c:v>-0.0119463333945966</c:v>
                </c:pt>
                <c:pt idx="11">
                  <c:v>-0.0265997023809523</c:v>
                </c:pt>
                <c:pt idx="12">
                  <c:v>0.0947831072042806</c:v>
                </c:pt>
                <c:pt idx="13">
                  <c:v>-0.00418921277709905</c:v>
                </c:pt>
                <c:pt idx="14">
                  <c:v>-0.00227870289219978</c:v>
                </c:pt>
                <c:pt idx="15">
                  <c:v>-0.0635980323260718</c:v>
                </c:pt>
                <c:pt idx="16">
                  <c:v>0.0298311444652908</c:v>
                </c:pt>
                <c:pt idx="17">
                  <c:v>0.093459646565859</c:v>
                </c:pt>
                <c:pt idx="18">
                  <c:v>-0.0221592802399201</c:v>
                </c:pt>
                <c:pt idx="19">
                  <c:v>0.0081785653433295</c:v>
                </c:pt>
                <c:pt idx="20">
                  <c:v>0.0753760351529491</c:v>
                </c:pt>
                <c:pt idx="21">
                  <c:v>0.0199591387710201</c:v>
                </c:pt>
                <c:pt idx="22">
                  <c:v>0.0112480739599381</c:v>
                </c:pt>
                <c:pt idx="23">
                  <c:v>0.0729849154350146</c:v>
                </c:pt>
                <c:pt idx="24">
                  <c:v>-0.0255609201931269</c:v>
                </c:pt>
                <c:pt idx="25">
                  <c:v>-0.0220052462838823</c:v>
                </c:pt>
                <c:pt idx="26">
                  <c:v>0.0390403814632694</c:v>
                </c:pt>
                <c:pt idx="27">
                  <c:v>-0.0169224150293992</c:v>
                </c:pt>
                <c:pt idx="28">
                  <c:v>-0.022465353756382</c:v>
                </c:pt>
                <c:pt idx="29">
                  <c:v>-0.00298462915982689</c:v>
                </c:pt>
                <c:pt idx="30">
                  <c:v>-0.0773836252058076</c:v>
                </c:pt>
                <c:pt idx="31">
                  <c:v>0.124432186891629</c:v>
                </c:pt>
                <c:pt idx="32">
                  <c:v>-0.0137065358534122</c:v>
                </c:pt>
                <c:pt idx="33">
                  <c:v>0.031158572264482</c:v>
                </c:pt>
                <c:pt idx="34">
                  <c:v>0.0429848205419208</c:v>
                </c:pt>
                <c:pt idx="35">
                  <c:v>0.0420293797606095</c:v>
                </c:pt>
                <c:pt idx="36">
                  <c:v>-0.0250620023495628</c:v>
                </c:pt>
                <c:pt idx="37">
                  <c:v>0.0123175793278887</c:v>
                </c:pt>
                <c:pt idx="38">
                  <c:v>0.0727417008332232</c:v>
                </c:pt>
                <c:pt idx="39">
                  <c:v>-0.010109727530514</c:v>
                </c:pt>
                <c:pt idx="40">
                  <c:v>0.00983933241997748</c:v>
                </c:pt>
                <c:pt idx="41">
                  <c:v>0.0372471632955105</c:v>
                </c:pt>
                <c:pt idx="42">
                  <c:v>0.00285374554102269</c:v>
                </c:pt>
                <c:pt idx="43">
                  <c:v>-0.110979369219825</c:v>
                </c:pt>
                <c:pt idx="44">
                  <c:v>0.0326753801013604</c:v>
                </c:pt>
                <c:pt idx="45">
                  <c:v>-0.115846571096474</c:v>
                </c:pt>
                <c:pt idx="46">
                  <c:v>0.072597137014315</c:v>
                </c:pt>
                <c:pt idx="47">
                  <c:v>0.0995505924009259</c:v>
                </c:pt>
                <c:pt idx="48">
                  <c:v>-0.00210552390388907</c:v>
                </c:pt>
                <c:pt idx="49">
                  <c:v>0.00186173513714794</c:v>
                </c:pt>
                <c:pt idx="50">
                  <c:v>-0.142343904856293</c:v>
                </c:pt>
                <c:pt idx="51">
                  <c:v>0.0693341037122635</c:v>
                </c:pt>
                <c:pt idx="52">
                  <c:v>0.00986086721599366</c:v>
                </c:pt>
                <c:pt idx="53">
                  <c:v>0.0310326377742107</c:v>
                </c:pt>
                <c:pt idx="54">
                  <c:v>0.0063570316554229</c:v>
                </c:pt>
                <c:pt idx="55">
                  <c:v>0.0207554466933095</c:v>
                </c:pt>
                <c:pt idx="56">
                  <c:v>-0.155847436221268</c:v>
                </c:pt>
                <c:pt idx="57">
                  <c:v>-0.00792938360263318</c:v>
                </c:pt>
                <c:pt idx="58">
                  <c:v>-0.00557985220931989</c:v>
                </c:pt>
                <c:pt idx="59">
                  <c:v>0.02699423718532</c:v>
                </c:pt>
                <c:pt idx="60">
                  <c:v>-0.106172474896633</c:v>
                </c:pt>
                <c:pt idx="61">
                  <c:v>0.0437799438295059</c:v>
                </c:pt>
                <c:pt idx="62">
                  <c:v>0.0117125672681229</c:v>
                </c:pt>
                <c:pt idx="63">
                  <c:v>0.0020337922403002</c:v>
                </c:pt>
                <c:pt idx="64">
                  <c:v>0.00827478532396575</c:v>
                </c:pt>
                <c:pt idx="65">
                  <c:v>-0.0373180551254257</c:v>
                </c:pt>
                <c:pt idx="66">
                  <c:v>0.0246099404857649</c:v>
                </c:pt>
                <c:pt idx="67">
                  <c:v>0.0188383045525904</c:v>
                </c:pt>
                <c:pt idx="68">
                  <c:v>0.0397534668721109</c:v>
                </c:pt>
                <c:pt idx="69">
                  <c:v>0.108921161825726</c:v>
                </c:pt>
                <c:pt idx="70">
                  <c:v>-0.0101563544033142</c:v>
                </c:pt>
                <c:pt idx="71">
                  <c:v>-0.0153908464965571</c:v>
                </c:pt>
                <c:pt idx="72">
                  <c:v>0.0127519539284244</c:v>
                </c:pt>
                <c:pt idx="73">
                  <c:v>0.00406173842404556</c:v>
                </c:pt>
                <c:pt idx="74">
                  <c:v>0.00471952535059339</c:v>
                </c:pt>
                <c:pt idx="75">
                  <c:v>-0.0581130049657764</c:v>
                </c:pt>
                <c:pt idx="76">
                  <c:v>0.00341977771444846</c:v>
                </c:pt>
                <c:pt idx="77">
                  <c:v>0.00241408690712874</c:v>
                </c:pt>
                <c:pt idx="78">
                  <c:v>-0.00906644000566659</c:v>
                </c:pt>
                <c:pt idx="79">
                  <c:v>-0.0466047176554683</c:v>
                </c:pt>
                <c:pt idx="80">
                  <c:v>-0.144099565152197</c:v>
                </c:pt>
                <c:pt idx="81">
                  <c:v>0.162578836720392</c:v>
                </c:pt>
                <c:pt idx="82">
                  <c:v>-0.0534960819770945</c:v>
                </c:pt>
                <c:pt idx="83">
                  <c:v>0.0948893488298042</c:v>
                </c:pt>
                <c:pt idx="84">
                  <c:v>0.00508942852988237</c:v>
                </c:pt>
                <c:pt idx="85">
                  <c:v>0.00448495370370372</c:v>
                </c:pt>
                <c:pt idx="86">
                  <c:v>0.128186662825868</c:v>
                </c:pt>
                <c:pt idx="87">
                  <c:v>-0.0405974722328609</c:v>
                </c:pt>
                <c:pt idx="88">
                  <c:v>-0.000399201596806398</c:v>
                </c:pt>
                <c:pt idx="89">
                  <c:v>0.0674920127795526</c:v>
                </c:pt>
                <c:pt idx="90">
                  <c:v>0.073824666417259</c:v>
                </c:pt>
                <c:pt idx="91">
                  <c:v>-0.020322842875392</c:v>
                </c:pt>
                <c:pt idx="92">
                  <c:v>0.0469416785206258</c:v>
                </c:pt>
                <c:pt idx="93">
                  <c:v>0.0389492753623191</c:v>
                </c:pt>
                <c:pt idx="94">
                  <c:v>0</c:v>
                </c:pt>
                <c:pt idx="95">
                  <c:v>0.00708369659982555</c:v>
                </c:pt>
                <c:pt idx="96">
                  <c:v>-0.0311654582837355</c:v>
                </c:pt>
                <c:pt idx="97">
                  <c:v>-0.0170892438288842</c:v>
                </c:pt>
                <c:pt idx="98">
                  <c:v>0.0317045454545455</c:v>
                </c:pt>
                <c:pt idx="99">
                  <c:v>-0.0435069941623527</c:v>
                </c:pt>
                <c:pt idx="100">
                  <c:v>-0.0032243205895901</c:v>
                </c:pt>
                <c:pt idx="101">
                  <c:v>0.00196395563770801</c:v>
                </c:pt>
                <c:pt idx="102">
                  <c:v>0.0379338175948345</c:v>
                </c:pt>
                <c:pt idx="103">
                  <c:v>0.0650966451899577</c:v>
                </c:pt>
                <c:pt idx="104">
                  <c:v>0.083854818523154</c:v>
                </c:pt>
                <c:pt idx="105">
                  <c:v>0.0186682063125481</c:v>
                </c:pt>
                <c:pt idx="106">
                  <c:v>0.0349518231626678</c:v>
                </c:pt>
                <c:pt idx="107">
                  <c:v>-0.107794815626141</c:v>
                </c:pt>
                <c:pt idx="108">
                  <c:v>0.126035805626598</c:v>
                </c:pt>
                <c:pt idx="109">
                  <c:v>0.0688652675570094</c:v>
                </c:pt>
                <c:pt idx="110">
                  <c:v>0.0219294517637059</c:v>
                </c:pt>
                <c:pt idx="111">
                  <c:v>-0.0127256092489395</c:v>
                </c:pt>
                <c:pt idx="112">
                  <c:v>-0.0495366470092672</c:v>
                </c:pt>
                <c:pt idx="113">
                  <c:v>-0.0311115050522957</c:v>
                </c:pt>
                <c:pt idx="114">
                  <c:v>0.0713566919769462</c:v>
                </c:pt>
                <c:pt idx="115">
                  <c:v>0.0332166339339084</c:v>
                </c:pt>
                <c:pt idx="116">
                  <c:v>-0.0169421487603305</c:v>
                </c:pt>
                <c:pt idx="117">
                  <c:v>0.0433795712484237</c:v>
                </c:pt>
                <c:pt idx="118">
                  <c:v>0.0272339054064943</c:v>
                </c:pt>
                <c:pt idx="119">
                  <c:v>-0.00400031375009802</c:v>
                </c:pt>
                <c:pt idx="120">
                  <c:v>0.0984406993227278</c:v>
                </c:pt>
                <c:pt idx="121">
                  <c:v>0.1198738170347</c:v>
                </c:pt>
                <c:pt idx="122">
                  <c:v>-0.0350832266325224</c:v>
                </c:pt>
                <c:pt idx="123">
                  <c:v>-0.0560642250530785</c:v>
                </c:pt>
                <c:pt idx="124">
                  <c:v>0.01047304421171</c:v>
                </c:pt>
                <c:pt idx="125">
                  <c:v>0.0146772398441848</c:v>
                </c:pt>
                <c:pt idx="126">
                  <c:v>0.0231027627339413</c:v>
                </c:pt>
                <c:pt idx="127">
                  <c:v>0.0190967569016349</c:v>
                </c:pt>
                <c:pt idx="128">
                  <c:v>-0.118087974225787</c:v>
                </c:pt>
                <c:pt idx="129">
                  <c:v>0.0550958025795871</c:v>
                </c:pt>
                <c:pt idx="130">
                  <c:v>0.0564584511023176</c:v>
                </c:pt>
                <c:pt idx="131">
                  <c:v>-0.0370543776336031</c:v>
                </c:pt>
                <c:pt idx="132">
                  <c:v>0.0510523025630338</c:v>
                </c:pt>
                <c:pt idx="133">
                  <c:v>0.145321173671689</c:v>
                </c:pt>
                <c:pt idx="134">
                  <c:v>0.0311580405054528</c:v>
                </c:pt>
                <c:pt idx="135">
                  <c:v>0.0801857758379496</c:v>
                </c:pt>
                <c:pt idx="136">
                  <c:v>-0.107905097389142</c:v>
                </c:pt>
                <c:pt idx="137">
                  <c:v>0.0828058765460775</c:v>
                </c:pt>
                <c:pt idx="138">
                  <c:v>-0.0346972703383922</c:v>
                </c:pt>
                <c:pt idx="139">
                  <c:v>0.0478888888888889</c:v>
                </c:pt>
                <c:pt idx="140">
                  <c:v>0.0176545435266673</c:v>
                </c:pt>
                <c:pt idx="141">
                  <c:v>0.00390726751758264</c:v>
                </c:pt>
                <c:pt idx="142">
                  <c:v>0.319408406850026</c:v>
                </c:pt>
                <c:pt idx="143">
                  <c:v>0.0197443461160274</c:v>
                </c:pt>
                <c:pt idx="144">
                  <c:v>-0.0420796852701816</c:v>
                </c:pt>
                <c:pt idx="145">
                  <c:v>-0.0526654855854405</c:v>
                </c:pt>
                <c:pt idx="146">
                  <c:v>-0.0170860251615097</c:v>
                </c:pt>
                <c:pt idx="147">
                  <c:v>-0.0810775750237828</c:v>
                </c:pt>
                <c:pt idx="148">
                  <c:v>-0.0104936238294668</c:v>
                </c:pt>
                <c:pt idx="149">
                  <c:v>-0.1315864561537</c:v>
                </c:pt>
                <c:pt idx="150">
                  <c:v>0.0836755927933846</c:v>
                </c:pt>
                <c:pt idx="151">
                  <c:v>0.028298549699328</c:v>
                </c:pt>
                <c:pt idx="152">
                  <c:v>-0.095827804806133</c:v>
                </c:pt>
                <c:pt idx="153">
                  <c:v>-0.0459264090439698</c:v>
                </c:pt>
                <c:pt idx="154">
                  <c:v>0.0573088754699784</c:v>
                </c:pt>
                <c:pt idx="155">
                  <c:v>-0.0267241379310346</c:v>
                </c:pt>
                <c:pt idx="156">
                  <c:v>-0.0202059344552701</c:v>
                </c:pt>
                <c:pt idx="157">
                  <c:v>0.061754901406859</c:v>
                </c:pt>
                <c:pt idx="158">
                  <c:v>0.100947211579395</c:v>
                </c:pt>
              </c:numCache>
            </c:numRef>
          </c:val>
        </c:ser>
        <c:gapWidth val="150"/>
        <c:overlap val="0"/>
        <c:axId val="41352263"/>
        <c:axId val="64716977"/>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(Calc)'!$AB$3:$AB$500</c:f>
              <c:numCache>
                <c:formatCode>#,##0.00</c:formatCode>
                <c:ptCount val="498"/>
                <c:pt idx="0">
                  <c:v>44.35</c:v>
                </c:pt>
                <c:pt idx="1">
                  <c:v>45.3787341772152</c:v>
                </c:pt>
                <c:pt idx="2">
                  <c:v>46.4074683544304</c:v>
                </c:pt>
                <c:pt idx="3">
                  <c:v>47.4362025316456</c:v>
                </c:pt>
                <c:pt idx="4">
                  <c:v>48.4649367088608</c:v>
                </c:pt>
                <c:pt idx="5">
                  <c:v>49.493670886076</c:v>
                </c:pt>
                <c:pt idx="6">
                  <c:v>50.5224050632911</c:v>
                </c:pt>
                <c:pt idx="7">
                  <c:v>51.5511392405063</c:v>
                </c:pt>
                <c:pt idx="8">
                  <c:v>52.5798734177215</c:v>
                </c:pt>
                <c:pt idx="9">
                  <c:v>53.6086075949367</c:v>
                </c:pt>
                <c:pt idx="10">
                  <c:v>54.6373417721519</c:v>
                </c:pt>
                <c:pt idx="11">
                  <c:v>55.6660759493671</c:v>
                </c:pt>
                <c:pt idx="12">
                  <c:v>56.6948101265823</c:v>
                </c:pt>
                <c:pt idx="13">
                  <c:v>57.7235443037975</c:v>
                </c:pt>
                <c:pt idx="14">
                  <c:v>58.7522784810127</c:v>
                </c:pt>
                <c:pt idx="15">
                  <c:v>59.7810126582279</c:v>
                </c:pt>
                <c:pt idx="16">
                  <c:v>60.809746835443</c:v>
                </c:pt>
                <c:pt idx="17">
                  <c:v>61.8384810126582</c:v>
                </c:pt>
                <c:pt idx="18">
                  <c:v>62.8672151898734</c:v>
                </c:pt>
                <c:pt idx="19">
                  <c:v>63.8959493670886</c:v>
                </c:pt>
                <c:pt idx="20">
                  <c:v>64.9246835443038</c:v>
                </c:pt>
                <c:pt idx="21">
                  <c:v>65.953417721519</c:v>
                </c:pt>
                <c:pt idx="22">
                  <c:v>66.9821518987342</c:v>
                </c:pt>
                <c:pt idx="23">
                  <c:v>68.0108860759494</c:v>
                </c:pt>
                <c:pt idx="24">
                  <c:v>69.0396202531646</c:v>
                </c:pt>
                <c:pt idx="25">
                  <c:v>70.0683544303797</c:v>
                </c:pt>
                <c:pt idx="26">
                  <c:v>71.0970886075949</c:v>
                </c:pt>
                <c:pt idx="27">
                  <c:v>72.1258227848101</c:v>
                </c:pt>
                <c:pt idx="28">
                  <c:v>73.1545569620253</c:v>
                </c:pt>
                <c:pt idx="29">
                  <c:v>74.1832911392405</c:v>
                </c:pt>
                <c:pt idx="30">
                  <c:v>75.2120253164557</c:v>
                </c:pt>
                <c:pt idx="31">
                  <c:v>76.2407594936709</c:v>
                </c:pt>
                <c:pt idx="32">
                  <c:v>77.2694936708861</c:v>
                </c:pt>
                <c:pt idx="33">
                  <c:v>78.2982278481013</c:v>
                </c:pt>
                <c:pt idx="34">
                  <c:v>79.3269620253165</c:v>
                </c:pt>
                <c:pt idx="35">
                  <c:v>80.3556962025317</c:v>
                </c:pt>
                <c:pt idx="36">
                  <c:v>81.3844303797468</c:v>
                </c:pt>
                <c:pt idx="37">
                  <c:v>82.413164556962</c:v>
                </c:pt>
                <c:pt idx="38">
                  <c:v>83.4418987341772</c:v>
                </c:pt>
                <c:pt idx="39">
                  <c:v>84.4706329113924</c:v>
                </c:pt>
                <c:pt idx="40">
                  <c:v>85.4993670886076</c:v>
                </c:pt>
                <c:pt idx="41">
                  <c:v>86.5281012658228</c:v>
                </c:pt>
                <c:pt idx="42">
                  <c:v>87.556835443038</c:v>
                </c:pt>
                <c:pt idx="43">
                  <c:v>88.5855696202532</c:v>
                </c:pt>
                <c:pt idx="44">
                  <c:v>89.6143037974684</c:v>
                </c:pt>
                <c:pt idx="45">
                  <c:v>90.6430379746836</c:v>
                </c:pt>
                <c:pt idx="46">
                  <c:v>91.6717721518987</c:v>
                </c:pt>
                <c:pt idx="47">
                  <c:v>92.7005063291139</c:v>
                </c:pt>
                <c:pt idx="48">
                  <c:v>93.7292405063291</c:v>
                </c:pt>
                <c:pt idx="49">
                  <c:v>94.7579746835443</c:v>
                </c:pt>
                <c:pt idx="50">
                  <c:v>95.7867088607595</c:v>
                </c:pt>
                <c:pt idx="51">
                  <c:v>96.8154430379747</c:v>
                </c:pt>
                <c:pt idx="52">
                  <c:v>97.8441772151899</c:v>
                </c:pt>
                <c:pt idx="53">
                  <c:v>98.8729113924051</c:v>
                </c:pt>
                <c:pt idx="54">
                  <c:v>99.9016455696203</c:v>
                </c:pt>
                <c:pt idx="55">
                  <c:v>100.930379746835</c:v>
                </c:pt>
                <c:pt idx="56">
                  <c:v>101.959113924051</c:v>
                </c:pt>
                <c:pt idx="57">
                  <c:v>102.987848101266</c:v>
                </c:pt>
                <c:pt idx="58">
                  <c:v>104.016582278481</c:v>
                </c:pt>
                <c:pt idx="59">
                  <c:v>105.045316455696</c:v>
                </c:pt>
                <c:pt idx="60">
                  <c:v>106.074050632911</c:v>
                </c:pt>
                <c:pt idx="61">
                  <c:v>107.102784810127</c:v>
                </c:pt>
                <c:pt idx="62">
                  <c:v>108.131518987342</c:v>
                </c:pt>
                <c:pt idx="63">
                  <c:v>109.160253164557</c:v>
                </c:pt>
                <c:pt idx="64">
                  <c:v>110.188987341772</c:v>
                </c:pt>
                <c:pt idx="65">
                  <c:v>111.217721518987</c:v>
                </c:pt>
                <c:pt idx="66">
                  <c:v>112.246455696203</c:v>
                </c:pt>
                <c:pt idx="67">
                  <c:v>113.275189873418</c:v>
                </c:pt>
                <c:pt idx="68">
                  <c:v>114.303924050633</c:v>
                </c:pt>
                <c:pt idx="69">
                  <c:v>115.332658227848</c:v>
                </c:pt>
                <c:pt idx="70">
                  <c:v>116.361392405063</c:v>
                </c:pt>
                <c:pt idx="71">
                  <c:v>117.390126582278</c:v>
                </c:pt>
                <c:pt idx="72">
                  <c:v>118.418860759494</c:v>
                </c:pt>
                <c:pt idx="73">
                  <c:v>119.447594936709</c:v>
                </c:pt>
                <c:pt idx="74">
                  <c:v>120.476329113924</c:v>
                </c:pt>
                <c:pt idx="75">
                  <c:v>121.505063291139</c:v>
                </c:pt>
                <c:pt idx="76">
                  <c:v>122.533797468354</c:v>
                </c:pt>
                <c:pt idx="77">
                  <c:v>123.56253164557</c:v>
                </c:pt>
                <c:pt idx="78">
                  <c:v>124.591265822785</c:v>
                </c:pt>
                <c:pt idx="79">
                  <c:v>125.62</c:v>
                </c:pt>
                <c:pt idx="80">
                  <c:v>126.648734177215</c:v>
                </c:pt>
                <c:pt idx="81">
                  <c:v>127.67746835443</c:v>
                </c:pt>
                <c:pt idx="82">
                  <c:v>128.706202531646</c:v>
                </c:pt>
                <c:pt idx="83">
                  <c:v>129.734936708861</c:v>
                </c:pt>
                <c:pt idx="84">
                  <c:v>130.763670886076</c:v>
                </c:pt>
                <c:pt idx="85">
                  <c:v>131.792405063291</c:v>
                </c:pt>
                <c:pt idx="86">
                  <c:v>132.821139240506</c:v>
                </c:pt>
                <c:pt idx="87">
                  <c:v>133.849873417722</c:v>
                </c:pt>
                <c:pt idx="88">
                  <c:v>134.878607594937</c:v>
                </c:pt>
                <c:pt idx="89">
                  <c:v>135.907341772152</c:v>
                </c:pt>
                <c:pt idx="90">
                  <c:v>136.936075949367</c:v>
                </c:pt>
                <c:pt idx="91">
                  <c:v>137.964810126582</c:v>
                </c:pt>
                <c:pt idx="92">
                  <c:v>138.993544303797</c:v>
                </c:pt>
                <c:pt idx="93">
                  <c:v>140.022278481013</c:v>
                </c:pt>
                <c:pt idx="94">
                  <c:v>141.051012658228</c:v>
                </c:pt>
                <c:pt idx="95">
                  <c:v>142.079746835443</c:v>
                </c:pt>
                <c:pt idx="96">
                  <c:v>143.108481012658</c:v>
                </c:pt>
                <c:pt idx="97">
                  <c:v>144.137215189873</c:v>
                </c:pt>
                <c:pt idx="98">
                  <c:v>145.165949367089</c:v>
                </c:pt>
                <c:pt idx="99">
                  <c:v>146.194683544304</c:v>
                </c:pt>
                <c:pt idx="100">
                  <c:v>147.223417721519</c:v>
                </c:pt>
                <c:pt idx="101">
                  <c:v>148.252151898734</c:v>
                </c:pt>
                <c:pt idx="102">
                  <c:v>149.280886075949</c:v>
                </c:pt>
                <c:pt idx="103">
                  <c:v>150.309620253165</c:v>
                </c:pt>
                <c:pt idx="104">
                  <c:v>151.33835443038</c:v>
                </c:pt>
                <c:pt idx="105">
                  <c:v>152.367088607595</c:v>
                </c:pt>
                <c:pt idx="106">
                  <c:v>153.39582278481</c:v>
                </c:pt>
                <c:pt idx="107">
                  <c:v>154.424556962025</c:v>
                </c:pt>
                <c:pt idx="108">
                  <c:v>155.453291139241</c:v>
                </c:pt>
                <c:pt idx="109">
                  <c:v>156.482025316456</c:v>
                </c:pt>
                <c:pt idx="110">
                  <c:v>157.510759493671</c:v>
                </c:pt>
                <c:pt idx="111">
                  <c:v>158.539493670886</c:v>
                </c:pt>
                <c:pt idx="112">
                  <c:v>159.568227848101</c:v>
                </c:pt>
                <c:pt idx="113">
                  <c:v>160.596962025316</c:v>
                </c:pt>
                <c:pt idx="114">
                  <c:v>161.625696202532</c:v>
                </c:pt>
                <c:pt idx="115">
                  <c:v>162.654430379747</c:v>
                </c:pt>
                <c:pt idx="116">
                  <c:v>163.683164556962</c:v>
                </c:pt>
                <c:pt idx="117">
                  <c:v>164.711898734177</c:v>
                </c:pt>
                <c:pt idx="118">
                  <c:v>165.740632911392</c:v>
                </c:pt>
                <c:pt idx="119">
                  <c:v>166.769367088608</c:v>
                </c:pt>
                <c:pt idx="120">
                  <c:v>167.798101265823</c:v>
                </c:pt>
                <c:pt idx="121">
                  <c:v>168.826835443038</c:v>
                </c:pt>
                <c:pt idx="122">
                  <c:v>169.855569620253</c:v>
                </c:pt>
                <c:pt idx="123">
                  <c:v>170.884303797468</c:v>
                </c:pt>
                <c:pt idx="124">
                  <c:v>171.913037974684</c:v>
                </c:pt>
                <c:pt idx="125">
                  <c:v>172.941772151899</c:v>
                </c:pt>
                <c:pt idx="126">
                  <c:v>173.970506329114</c:v>
                </c:pt>
                <c:pt idx="127">
                  <c:v>174.999240506329</c:v>
                </c:pt>
                <c:pt idx="128">
                  <c:v>176.027974683544</c:v>
                </c:pt>
                <c:pt idx="129">
                  <c:v>177.05670886076</c:v>
                </c:pt>
                <c:pt idx="130">
                  <c:v>178.085443037975</c:v>
                </c:pt>
                <c:pt idx="131">
                  <c:v>179.11417721519</c:v>
                </c:pt>
                <c:pt idx="132">
                  <c:v>180.142911392405</c:v>
                </c:pt>
                <c:pt idx="133">
                  <c:v>181.17164556962</c:v>
                </c:pt>
                <c:pt idx="134">
                  <c:v>182.200379746835</c:v>
                </c:pt>
                <c:pt idx="135">
                  <c:v>183.229113924051</c:v>
                </c:pt>
                <c:pt idx="136">
                  <c:v>184.257848101266</c:v>
                </c:pt>
                <c:pt idx="137">
                  <c:v>185.286582278481</c:v>
                </c:pt>
                <c:pt idx="138">
                  <c:v>186.315316455696</c:v>
                </c:pt>
                <c:pt idx="139">
                  <c:v>187.344050632911</c:v>
                </c:pt>
                <c:pt idx="140">
                  <c:v>188.372784810127</c:v>
                </c:pt>
                <c:pt idx="141">
                  <c:v>189.401518987342</c:v>
                </c:pt>
                <c:pt idx="142">
                  <c:v>190.430253164557</c:v>
                </c:pt>
                <c:pt idx="143">
                  <c:v>191.458987341772</c:v>
                </c:pt>
                <c:pt idx="144">
                  <c:v>192.487721518987</c:v>
                </c:pt>
                <c:pt idx="145">
                  <c:v>193.516455696203</c:v>
                </c:pt>
                <c:pt idx="146">
                  <c:v>194.545189873418</c:v>
                </c:pt>
                <c:pt idx="147">
                  <c:v>195.573924050633</c:v>
                </c:pt>
                <c:pt idx="148">
                  <c:v>196.602658227848</c:v>
                </c:pt>
                <c:pt idx="149">
                  <c:v>197.631392405063</c:v>
                </c:pt>
                <c:pt idx="150">
                  <c:v>198.660126582278</c:v>
                </c:pt>
                <c:pt idx="151">
                  <c:v>199.688860759494</c:v>
                </c:pt>
                <c:pt idx="152">
                  <c:v>200.717594936709</c:v>
                </c:pt>
                <c:pt idx="153">
                  <c:v>201.746329113924</c:v>
                </c:pt>
                <c:pt idx="154">
                  <c:v>202.775063291139</c:v>
                </c:pt>
                <c:pt idx="155">
                  <c:v>203.803797468354</c:v>
                </c:pt>
                <c:pt idx="156">
                  <c:v>204.83253164557</c:v>
                </c:pt>
                <c:pt idx="157">
                  <c:v>205.861265822785</c:v>
                </c:pt>
                <c:pt idx="158">
                  <c:v>206.89</c:v>
                </c:pt>
                <c:pt idx="159">
                  <c:v>207.918734177215</c:v>
                </c:pt>
              </c:numCache>
            </c:numRef>
          </c:val>
          <c:smooth val="0"/>
        </c:ser>
        <c:hiLowLines>
          <c:spPr>
            <a:ln w="0">
              <a:noFill/>
            </a:ln>
          </c:spPr>
        </c:hiLowLines>
        <c:marker val="0"/>
        <c:axId val="16912324"/>
        <c:axId val="81154695"/>
      </c:lineChart>
      <c:dateAx>
        <c:axId val="4135226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716977"/>
        <c:auto val="1"/>
        <c:lblOffset val="100"/>
        <c:baseTimeUnit val="days"/>
      </c:dateAx>
      <c:valAx>
        <c:axId val="6471697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352263"/>
        <c:crosses val="autoZero"/>
        <c:crossBetween val="between"/>
      </c:valAx>
      <c:dateAx>
        <c:axId val="1691232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154695"/>
        <c:auto val="1"/>
        <c:lblOffset val="100"/>
        <c:baseTimeUnit val="days"/>
      </c:dateAx>
      <c:valAx>
        <c:axId val="8115469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91232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(Calc)'!$H$3:$H$500</c:f>
              <c:numCache>
                <c:formatCode>0.0%</c:formatCode>
                <c:ptCount val="498"/>
                <c:pt idx="0">
                  <c:v>-0.0143249891477354</c:v>
                </c:pt>
                <c:pt idx="1">
                  <c:v>-0.0123311802701116</c:v>
                </c:pt>
                <c:pt idx="2">
                  <c:v>0.0300237812128419</c:v>
                </c:pt>
                <c:pt idx="3">
                  <c:v>-0.0106782106782106</c:v>
                </c:pt>
                <c:pt idx="4">
                  <c:v>-0.0287339556592765</c:v>
                </c:pt>
                <c:pt idx="5">
                  <c:v>-0.0234269409821295</c:v>
                </c:pt>
                <c:pt idx="6">
                  <c:v>0.10564354913117</c:v>
                </c:pt>
                <c:pt idx="7">
                  <c:v>0.0382475660639778</c:v>
                </c:pt>
                <c:pt idx="8">
                  <c:v>0.029202947086403</c:v>
                </c:pt>
                <c:pt idx="9">
                  <c:v>-0.00885070935832344</c:v>
                </c:pt>
                <c:pt idx="10">
                  <c:v>-0.0122127380170717</c:v>
                </c:pt>
                <c:pt idx="11">
                  <c:v>-0.0127625631480989</c:v>
                </c:pt>
                <c:pt idx="12">
                  <c:v>0.0859143549690278</c:v>
                </c:pt>
                <c:pt idx="13">
                  <c:v>0.0625</c:v>
                </c:pt>
                <c:pt idx="14">
                  <c:v>-0.0120214752567693</c:v>
                </c:pt>
                <c:pt idx="15">
                  <c:v>-0.0220909627879504</c:v>
                </c:pt>
                <c:pt idx="16">
                  <c:v>-0.0128050253684465</c:v>
                </c:pt>
                <c:pt idx="17">
                  <c:v>0.062163485070974</c:v>
                </c:pt>
                <c:pt idx="18">
                  <c:v>0.00622119815668221</c:v>
                </c:pt>
                <c:pt idx="19">
                  <c:v>-0.0178612319670255</c:v>
                </c:pt>
                <c:pt idx="20">
                  <c:v>-0.0106085334576824</c:v>
                </c:pt>
                <c:pt idx="21">
                  <c:v>-0.0708141864027336</c:v>
                </c:pt>
                <c:pt idx="22">
                  <c:v>0.0817905148364191</c:v>
                </c:pt>
                <c:pt idx="23">
                  <c:v>0.106318133864729</c:v>
                </c:pt>
                <c:pt idx="24">
                  <c:v>0.0259588895952532</c:v>
                </c:pt>
                <c:pt idx="25">
                  <c:v>-0.044717546215016</c:v>
                </c:pt>
                <c:pt idx="26">
                  <c:v>0.181837837837838</c:v>
                </c:pt>
                <c:pt idx="27">
                  <c:v>0.0707098426637396</c:v>
                </c:pt>
                <c:pt idx="28">
                  <c:v>0.0482699700982487</c:v>
                </c:pt>
                <c:pt idx="29">
                  <c:v>-0.00855745721271395</c:v>
                </c:pt>
                <c:pt idx="30">
                  <c:v>-0.128565556925606</c:v>
                </c:pt>
                <c:pt idx="31">
                  <c:v>0.0755589095368361</c:v>
                </c:pt>
                <c:pt idx="32">
                  <c:v>-0.00122785476232246</c:v>
                </c:pt>
                <c:pt idx="33">
                  <c:v>0.0570776255707763</c:v>
                </c:pt>
                <c:pt idx="34">
                  <c:v>0.0333942515368002</c:v>
                </c:pt>
                <c:pt idx="35">
                  <c:v>0.0335209003215433</c:v>
                </c:pt>
                <c:pt idx="36">
                  <c:v>-0.0346892743252703</c:v>
                </c:pt>
                <c:pt idx="37">
                  <c:v>0.0475384739344129</c:v>
                </c:pt>
                <c:pt idx="38">
                  <c:v>0.0795323436658719</c:v>
                </c:pt>
                <c:pt idx="39">
                  <c:v>-0.0128250801567509</c:v>
                </c:pt>
                <c:pt idx="40">
                  <c:v>-0.0574521833273187</c:v>
                </c:pt>
                <c:pt idx="41">
                  <c:v>0.000536028792403664</c:v>
                </c:pt>
                <c:pt idx="42">
                  <c:v>0.0157661105158426</c:v>
                </c:pt>
                <c:pt idx="43">
                  <c:v>-0.144439421338156</c:v>
                </c:pt>
                <c:pt idx="44">
                  <c:v>-0.0424482606781154</c:v>
                </c:pt>
                <c:pt idx="45">
                  <c:v>-0.152763726662375</c:v>
                </c:pt>
                <c:pt idx="46">
                  <c:v>0.00412505427702992</c:v>
                </c:pt>
                <c:pt idx="47">
                  <c:v>0.160216216216216</c:v>
                </c:pt>
                <c:pt idx="48">
                  <c:v>-0.0476146105106224</c:v>
                </c:pt>
                <c:pt idx="49">
                  <c:v>-0.0642794247138244</c:v>
                </c:pt>
                <c:pt idx="50">
                  <c:v>-0.102467586783772</c:v>
                </c:pt>
                <c:pt idx="51">
                  <c:v>0.0560344827586208</c:v>
                </c:pt>
                <c:pt idx="52">
                  <c:v>-0.00353006067291795</c:v>
                </c:pt>
                <c:pt idx="53">
                  <c:v>0.182663566921289</c:v>
                </c:pt>
                <c:pt idx="54">
                  <c:v>-0.0488626790227464</c:v>
                </c:pt>
                <c:pt idx="55">
                  <c:v>0.0468457828953843</c:v>
                </c:pt>
                <c:pt idx="56">
                  <c:v>0.0395788286170913</c:v>
                </c:pt>
                <c:pt idx="57">
                  <c:v>-0.0291191897268945</c:v>
                </c:pt>
                <c:pt idx="58">
                  <c:v>-0.0758196721311476</c:v>
                </c:pt>
                <c:pt idx="59">
                  <c:v>0.122052005644023</c:v>
                </c:pt>
                <c:pt idx="60">
                  <c:v>-0.139046079223929</c:v>
                </c:pt>
                <c:pt idx="61">
                  <c:v>0.0653103808033386</c:v>
                </c:pt>
                <c:pt idx="62">
                  <c:v>-0.0456370580746254</c:v>
                </c:pt>
                <c:pt idx="63">
                  <c:v>0.0328373524884555</c:v>
                </c:pt>
                <c:pt idx="64">
                  <c:v>0.0131147540983605</c:v>
                </c:pt>
                <c:pt idx="65">
                  <c:v>-0.120721780915956</c:v>
                </c:pt>
                <c:pt idx="66">
                  <c:v>-0.0165068034798125</c:v>
                </c:pt>
                <c:pt idx="67">
                  <c:v>0.0153095940122476</c:v>
                </c:pt>
                <c:pt idx="68">
                  <c:v>0.105327823076064</c:v>
                </c:pt>
                <c:pt idx="69">
                  <c:v>0.0644704931285369</c:v>
                </c:pt>
                <c:pt idx="70">
                  <c:v>-0.0242073286500855</c:v>
                </c:pt>
                <c:pt idx="71">
                  <c:v>-0.115770016538574</c:v>
                </c:pt>
                <c:pt idx="72">
                  <c:v>0.011662449114314</c:v>
                </c:pt>
                <c:pt idx="73">
                  <c:v>0.0781946710168571</c:v>
                </c:pt>
                <c:pt idx="74">
                  <c:v>-0.00685898729070011</c:v>
                </c:pt>
                <c:pt idx="75">
                  <c:v>-0.0527117611212675</c:v>
                </c:pt>
                <c:pt idx="76">
                  <c:v>-0.00718344590972453</c:v>
                </c:pt>
                <c:pt idx="77">
                  <c:v>0.084233261339093</c:v>
                </c:pt>
                <c:pt idx="78">
                  <c:v>-0.0601593625498008</c:v>
                </c:pt>
                <c:pt idx="79">
                  <c:v>-0.066341670199237</c:v>
                </c:pt>
                <c:pt idx="80">
                  <c:v>-0.267196367763905</c:v>
                </c:pt>
                <c:pt idx="81">
                  <c:v>0.0745043370508054</c:v>
                </c:pt>
                <c:pt idx="82">
                  <c:v>-0.0106674354908464</c:v>
                </c:pt>
                <c:pt idx="83">
                  <c:v>0.159551216669095</c:v>
                </c:pt>
                <c:pt idx="84">
                  <c:v>0.0116863533551144</c:v>
                </c:pt>
                <c:pt idx="85">
                  <c:v>0.0637187926965595</c:v>
                </c:pt>
                <c:pt idx="86">
                  <c:v>0.14140588510042</c:v>
                </c:pt>
                <c:pt idx="87">
                  <c:v>-0.0472634271099744</c:v>
                </c:pt>
                <c:pt idx="88">
                  <c:v>0.0117040695801569</c:v>
                </c:pt>
                <c:pt idx="89">
                  <c:v>0.149225217575886</c:v>
                </c:pt>
                <c:pt idx="90">
                  <c:v>0.0649242704100481</c:v>
                </c:pt>
                <c:pt idx="91">
                  <c:v>0.0692047524065562</c:v>
                </c:pt>
                <c:pt idx="92">
                  <c:v>0.00932760158974766</c:v>
                </c:pt>
                <c:pt idx="93">
                  <c:v>-0.01976856316297</c:v>
                </c:pt>
                <c:pt idx="94">
                  <c:v>0.0192654533530086</c:v>
                </c:pt>
                <c:pt idx="95">
                  <c:v>-0.0813962840826832</c:v>
                </c:pt>
                <c:pt idx="96">
                  <c:v>-0.0274056562472638</c:v>
                </c:pt>
                <c:pt idx="97">
                  <c:v>-0.0573460568959309</c:v>
                </c:pt>
                <c:pt idx="98">
                  <c:v>0.133607105338554</c:v>
                </c:pt>
                <c:pt idx="99">
                  <c:v>0.016680707666386</c:v>
                </c:pt>
                <c:pt idx="100">
                  <c:v>-0.0264335432548891</c:v>
                </c:pt>
                <c:pt idx="101">
                  <c:v>0.0113201123499873</c:v>
                </c:pt>
                <c:pt idx="102">
                  <c:v>0.103854569937721</c:v>
                </c:pt>
                <c:pt idx="103">
                  <c:v>0.196858798414151</c:v>
                </c:pt>
                <c:pt idx="104">
                  <c:v>0.0349726079755384</c:v>
                </c:pt>
                <c:pt idx="105">
                  <c:v>-0.0335446543977349</c:v>
                </c:pt>
                <c:pt idx="106">
                  <c:v>0.195070691631639</c:v>
                </c:pt>
                <c:pt idx="107">
                  <c:v>-0.0332001065814016</c:v>
                </c:pt>
                <c:pt idx="108">
                  <c:v>0.114430603020615</c:v>
                </c:pt>
                <c:pt idx="109">
                  <c:v>0.082253437530913</c:v>
                </c:pt>
                <c:pt idx="110">
                  <c:v>0.0216626296787168</c:v>
                </c:pt>
                <c:pt idx="111">
                  <c:v>0.0632520688883917</c:v>
                </c:pt>
                <c:pt idx="112">
                  <c:v>0.0374437292271446</c:v>
                </c:pt>
                <c:pt idx="113">
                  <c:v>-0.159860497181556</c:v>
                </c:pt>
                <c:pt idx="114">
                  <c:v>0.140367813872665</c:v>
                </c:pt>
                <c:pt idx="115">
                  <c:v>0.0031322751322751</c:v>
                </c:pt>
                <c:pt idx="116">
                  <c:v>0.0164985864382463</c:v>
                </c:pt>
                <c:pt idx="117">
                  <c:v>0.102781237027813</c:v>
                </c:pt>
                <c:pt idx="118">
                  <c:v>0.0709553564706766</c:v>
                </c:pt>
                <c:pt idx="119">
                  <c:v>0.108010263259639</c:v>
                </c:pt>
                <c:pt idx="120">
                  <c:v>0.0940553229285623</c:v>
                </c:pt>
                <c:pt idx="121">
                  <c:v>0.0511757371915684</c:v>
                </c:pt>
                <c:pt idx="122">
                  <c:v>0.101726706018646</c:v>
                </c:pt>
                <c:pt idx="123">
                  <c:v>0.0381052526162935</c:v>
                </c:pt>
                <c:pt idx="124">
                  <c:v>-0.0486687246768281</c:v>
                </c:pt>
                <c:pt idx="125">
                  <c:v>0.0429954875019014</c:v>
                </c:pt>
                <c:pt idx="126">
                  <c:v>0.0401050021875455</c:v>
                </c:pt>
                <c:pt idx="127">
                  <c:v>-0.036899420452421</c:v>
                </c:pt>
                <c:pt idx="128">
                  <c:v>-0.102006648387645</c:v>
                </c:pt>
                <c:pt idx="129">
                  <c:v>0.150774136020968</c:v>
                </c:pt>
                <c:pt idx="130">
                  <c:v>-0.00758411796473257</c:v>
                </c:pt>
                <c:pt idx="131">
                  <c:v>-0.155302134103062</c:v>
                </c:pt>
                <c:pt idx="132">
                  <c:v>0.0256568259481262</c:v>
                </c:pt>
                <c:pt idx="133">
                  <c:v>0.14842427221585</c:v>
                </c:pt>
                <c:pt idx="134">
                  <c:v>0.0819679927710271</c:v>
                </c:pt>
                <c:pt idx="135">
                  <c:v>0.0915164835164835</c:v>
                </c:pt>
                <c:pt idx="136">
                  <c:v>0.0915955219072164</c:v>
                </c:pt>
                <c:pt idx="137">
                  <c:v>0.377344917270765</c:v>
                </c:pt>
                <c:pt idx="138">
                  <c:v>-0.0296638542922192</c:v>
                </c:pt>
                <c:pt idx="139">
                  <c:v>0.0363397971154511</c:v>
                </c:pt>
                <c:pt idx="140">
                  <c:v>0.292949605795866</c:v>
                </c:pt>
                <c:pt idx="141">
                  <c:v>-0.110181799454087</c:v>
                </c:pt>
                <c:pt idx="142">
                  <c:v>0.136106866694448</c:v>
                </c:pt>
                <c:pt idx="143">
                  <c:v>0.155238114645528</c:v>
                </c:pt>
                <c:pt idx="144">
                  <c:v>-0.00146407719038277</c:v>
                </c:pt>
                <c:pt idx="145">
                  <c:v>-0.138452162238553</c:v>
                </c:pt>
                <c:pt idx="146">
                  <c:v>0.00398806655662742</c:v>
                </c:pt>
                <c:pt idx="147">
                  <c:v>-0.133105279281119</c:v>
                </c:pt>
                <c:pt idx="148">
                  <c:v>0.0848106484480828</c:v>
                </c:pt>
                <c:pt idx="149">
                  <c:v>-0.106324990498941</c:v>
                </c:pt>
                <c:pt idx="150">
                  <c:v>0.066267329258958</c:v>
                </c:pt>
                <c:pt idx="151">
                  <c:v>0.107216518340417</c:v>
                </c:pt>
                <c:pt idx="152">
                  <c:v>-0.00502233291480558</c:v>
                </c:pt>
                <c:pt idx="153">
                  <c:v>-0.0350855416951116</c:v>
                </c:pt>
                <c:pt idx="154">
                  <c:v>0.0897562335184272</c:v>
                </c:pt>
                <c:pt idx="155">
                  <c:v>-0.0406555248428571</c:v>
                </c:pt>
                <c:pt idx="156">
                  <c:v>0.0415684022722145</c:v>
                </c:pt>
                <c:pt idx="157">
                  <c:v>0.0654459539279386</c:v>
                </c:pt>
                <c:pt idx="158">
                  <c:v>-0.00682817755109577</c:v>
                </c:pt>
              </c:numCache>
            </c:numRef>
          </c:val>
        </c:ser>
        <c:gapWidth val="150"/>
        <c:overlap val="0"/>
        <c:axId val="25383264"/>
        <c:axId val="66122409"/>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(Calc)'!$AC$3:$AC$500</c:f>
              <c:numCache>
                <c:formatCode>#,##0.00</c:formatCode>
                <c:ptCount val="498"/>
                <c:pt idx="0">
                  <c:v>69.11</c:v>
                </c:pt>
                <c:pt idx="1">
                  <c:v>75.4756962025317</c:v>
                </c:pt>
                <c:pt idx="2">
                  <c:v>81.8413924050633</c:v>
                </c:pt>
                <c:pt idx="3">
                  <c:v>88.2070886075949</c:v>
                </c:pt>
                <c:pt idx="4">
                  <c:v>94.5727848101266</c:v>
                </c:pt>
                <c:pt idx="5">
                  <c:v>100.938481012658</c:v>
                </c:pt>
                <c:pt idx="6">
                  <c:v>107.30417721519</c:v>
                </c:pt>
                <c:pt idx="7">
                  <c:v>113.669873417722</c:v>
                </c:pt>
                <c:pt idx="8">
                  <c:v>120.035569620253</c:v>
                </c:pt>
                <c:pt idx="9">
                  <c:v>126.401265822785</c:v>
                </c:pt>
                <c:pt idx="10">
                  <c:v>132.766962025316</c:v>
                </c:pt>
                <c:pt idx="11">
                  <c:v>139.132658227848</c:v>
                </c:pt>
                <c:pt idx="12">
                  <c:v>145.49835443038</c:v>
                </c:pt>
                <c:pt idx="13">
                  <c:v>151.864050632911</c:v>
                </c:pt>
                <c:pt idx="14">
                  <c:v>158.229746835443</c:v>
                </c:pt>
                <c:pt idx="15">
                  <c:v>164.595443037975</c:v>
                </c:pt>
                <c:pt idx="16">
                  <c:v>170.961139240506</c:v>
                </c:pt>
                <c:pt idx="17">
                  <c:v>177.326835443038</c:v>
                </c:pt>
                <c:pt idx="18">
                  <c:v>183.69253164557</c:v>
                </c:pt>
                <c:pt idx="19">
                  <c:v>190.058227848101</c:v>
                </c:pt>
                <c:pt idx="20">
                  <c:v>196.423924050633</c:v>
                </c:pt>
                <c:pt idx="21">
                  <c:v>202.789620253165</c:v>
                </c:pt>
                <c:pt idx="22">
                  <c:v>209.155316455696</c:v>
                </c:pt>
                <c:pt idx="23">
                  <c:v>215.521012658228</c:v>
                </c:pt>
                <c:pt idx="24">
                  <c:v>221.886708860759</c:v>
                </c:pt>
                <c:pt idx="25">
                  <c:v>228.252405063291</c:v>
                </c:pt>
                <c:pt idx="26">
                  <c:v>234.618101265823</c:v>
                </c:pt>
                <c:pt idx="27">
                  <c:v>240.983797468354</c:v>
                </c:pt>
                <c:pt idx="28">
                  <c:v>247.349493670886</c:v>
                </c:pt>
                <c:pt idx="29">
                  <c:v>253.715189873418</c:v>
                </c:pt>
                <c:pt idx="30">
                  <c:v>260.080886075949</c:v>
                </c:pt>
                <c:pt idx="31">
                  <c:v>266.446582278481</c:v>
                </c:pt>
                <c:pt idx="32">
                  <c:v>272.812278481013</c:v>
                </c:pt>
                <c:pt idx="33">
                  <c:v>279.177974683544</c:v>
                </c:pt>
                <c:pt idx="34">
                  <c:v>285.543670886076</c:v>
                </c:pt>
                <c:pt idx="35">
                  <c:v>291.909367088608</c:v>
                </c:pt>
                <c:pt idx="36">
                  <c:v>298.275063291139</c:v>
                </c:pt>
                <c:pt idx="37">
                  <c:v>304.640759493671</c:v>
                </c:pt>
                <c:pt idx="38">
                  <c:v>311.006455696203</c:v>
                </c:pt>
                <c:pt idx="39">
                  <c:v>317.372151898734</c:v>
                </c:pt>
                <c:pt idx="40">
                  <c:v>323.737848101266</c:v>
                </c:pt>
                <c:pt idx="41">
                  <c:v>330.103544303798</c:v>
                </c:pt>
                <c:pt idx="42">
                  <c:v>336.469240506329</c:v>
                </c:pt>
                <c:pt idx="43">
                  <c:v>342.834936708861</c:v>
                </c:pt>
                <c:pt idx="44">
                  <c:v>349.200632911392</c:v>
                </c:pt>
                <c:pt idx="45">
                  <c:v>355.566329113924</c:v>
                </c:pt>
                <c:pt idx="46">
                  <c:v>361.932025316456</c:v>
                </c:pt>
                <c:pt idx="47">
                  <c:v>368.297721518987</c:v>
                </c:pt>
                <c:pt idx="48">
                  <c:v>374.663417721519</c:v>
                </c:pt>
                <c:pt idx="49">
                  <c:v>381.029113924051</c:v>
                </c:pt>
                <c:pt idx="50">
                  <c:v>387.394810126582</c:v>
                </c:pt>
                <c:pt idx="51">
                  <c:v>393.760506329114</c:v>
                </c:pt>
                <c:pt idx="52">
                  <c:v>400.126202531646</c:v>
                </c:pt>
                <c:pt idx="53">
                  <c:v>406.491898734177</c:v>
                </c:pt>
                <c:pt idx="54">
                  <c:v>412.857594936709</c:v>
                </c:pt>
                <c:pt idx="55">
                  <c:v>419.223291139241</c:v>
                </c:pt>
                <c:pt idx="56">
                  <c:v>425.588987341772</c:v>
                </c:pt>
                <c:pt idx="57">
                  <c:v>431.954683544304</c:v>
                </c:pt>
                <c:pt idx="58">
                  <c:v>438.320379746836</c:v>
                </c:pt>
                <c:pt idx="59">
                  <c:v>444.686075949367</c:v>
                </c:pt>
                <c:pt idx="60">
                  <c:v>451.051772151899</c:v>
                </c:pt>
                <c:pt idx="61">
                  <c:v>457.41746835443</c:v>
                </c:pt>
                <c:pt idx="62">
                  <c:v>463.783164556962</c:v>
                </c:pt>
                <c:pt idx="63">
                  <c:v>470.148860759494</c:v>
                </c:pt>
                <c:pt idx="64">
                  <c:v>476.514556962025</c:v>
                </c:pt>
                <c:pt idx="65">
                  <c:v>482.880253164557</c:v>
                </c:pt>
                <c:pt idx="66">
                  <c:v>489.245949367089</c:v>
                </c:pt>
                <c:pt idx="67">
                  <c:v>495.61164556962</c:v>
                </c:pt>
                <c:pt idx="68">
                  <c:v>501.977341772152</c:v>
                </c:pt>
                <c:pt idx="69">
                  <c:v>508.343037974684</c:v>
                </c:pt>
                <c:pt idx="70">
                  <c:v>514.708734177215</c:v>
                </c:pt>
                <c:pt idx="71">
                  <c:v>521.074430379747</c:v>
                </c:pt>
                <c:pt idx="72">
                  <c:v>527.440126582279</c:v>
                </c:pt>
                <c:pt idx="73">
                  <c:v>533.80582278481</c:v>
                </c:pt>
                <c:pt idx="74">
                  <c:v>540.171518987342</c:v>
                </c:pt>
                <c:pt idx="75">
                  <c:v>546.537215189874</c:v>
                </c:pt>
                <c:pt idx="76">
                  <c:v>552.902911392405</c:v>
                </c:pt>
                <c:pt idx="77">
                  <c:v>559.268607594937</c:v>
                </c:pt>
                <c:pt idx="78">
                  <c:v>565.634303797468</c:v>
                </c:pt>
                <c:pt idx="79">
                  <c:v>572</c:v>
                </c:pt>
                <c:pt idx="80">
                  <c:v>578.365696202532</c:v>
                </c:pt>
                <c:pt idx="81">
                  <c:v>584.731392405063</c:v>
                </c:pt>
                <c:pt idx="82">
                  <c:v>591.097088607595</c:v>
                </c:pt>
                <c:pt idx="83">
                  <c:v>597.462784810127</c:v>
                </c:pt>
                <c:pt idx="84">
                  <c:v>603.828481012658</c:v>
                </c:pt>
                <c:pt idx="85">
                  <c:v>610.19417721519</c:v>
                </c:pt>
                <c:pt idx="86">
                  <c:v>616.559873417722</c:v>
                </c:pt>
                <c:pt idx="87">
                  <c:v>622.925569620253</c:v>
                </c:pt>
                <c:pt idx="88">
                  <c:v>629.291265822785</c:v>
                </c:pt>
                <c:pt idx="89">
                  <c:v>635.656962025317</c:v>
                </c:pt>
                <c:pt idx="90">
                  <c:v>642.022658227848</c:v>
                </c:pt>
                <c:pt idx="91">
                  <c:v>648.38835443038</c:v>
                </c:pt>
                <c:pt idx="92">
                  <c:v>654.754050632912</c:v>
                </c:pt>
                <c:pt idx="93">
                  <c:v>661.119746835443</c:v>
                </c:pt>
                <c:pt idx="94">
                  <c:v>667.485443037975</c:v>
                </c:pt>
                <c:pt idx="95">
                  <c:v>673.851139240506</c:v>
                </c:pt>
                <c:pt idx="96">
                  <c:v>680.216835443038</c:v>
                </c:pt>
                <c:pt idx="97">
                  <c:v>686.58253164557</c:v>
                </c:pt>
                <c:pt idx="98">
                  <c:v>692.948227848101</c:v>
                </c:pt>
                <c:pt idx="99">
                  <c:v>699.313924050633</c:v>
                </c:pt>
                <c:pt idx="100">
                  <c:v>705.679620253165</c:v>
                </c:pt>
                <c:pt idx="101">
                  <c:v>712.045316455696</c:v>
                </c:pt>
                <c:pt idx="102">
                  <c:v>718.411012658228</c:v>
                </c:pt>
                <c:pt idx="103">
                  <c:v>724.77670886076</c:v>
                </c:pt>
                <c:pt idx="104">
                  <c:v>731.142405063291</c:v>
                </c:pt>
                <c:pt idx="105">
                  <c:v>737.508101265823</c:v>
                </c:pt>
                <c:pt idx="106">
                  <c:v>743.873797468355</c:v>
                </c:pt>
                <c:pt idx="107">
                  <c:v>750.239493670886</c:v>
                </c:pt>
                <c:pt idx="108">
                  <c:v>756.605189873418</c:v>
                </c:pt>
                <c:pt idx="109">
                  <c:v>762.970886075949</c:v>
                </c:pt>
                <c:pt idx="110">
                  <c:v>769.336582278481</c:v>
                </c:pt>
                <c:pt idx="111">
                  <c:v>775.702278481013</c:v>
                </c:pt>
                <c:pt idx="112">
                  <c:v>782.067974683544</c:v>
                </c:pt>
                <c:pt idx="113">
                  <c:v>788.433670886076</c:v>
                </c:pt>
                <c:pt idx="114">
                  <c:v>794.799367088608</c:v>
                </c:pt>
                <c:pt idx="115">
                  <c:v>801.165063291139</c:v>
                </c:pt>
                <c:pt idx="116">
                  <c:v>807.530759493671</c:v>
                </c:pt>
                <c:pt idx="117">
                  <c:v>813.896455696203</c:v>
                </c:pt>
                <c:pt idx="118">
                  <c:v>820.262151898734</c:v>
                </c:pt>
                <c:pt idx="119">
                  <c:v>826.627848101266</c:v>
                </c:pt>
                <c:pt idx="120">
                  <c:v>832.993544303798</c:v>
                </c:pt>
                <c:pt idx="121">
                  <c:v>839.359240506329</c:v>
                </c:pt>
                <c:pt idx="122">
                  <c:v>845.724936708861</c:v>
                </c:pt>
                <c:pt idx="123">
                  <c:v>852.090632911393</c:v>
                </c:pt>
                <c:pt idx="124">
                  <c:v>858.456329113924</c:v>
                </c:pt>
                <c:pt idx="125">
                  <c:v>864.822025316456</c:v>
                </c:pt>
                <c:pt idx="126">
                  <c:v>871.187721518988</c:v>
                </c:pt>
                <c:pt idx="127">
                  <c:v>877.553417721519</c:v>
                </c:pt>
                <c:pt idx="128">
                  <c:v>883.919113924051</c:v>
                </c:pt>
                <c:pt idx="129">
                  <c:v>890.284810126582</c:v>
                </c:pt>
                <c:pt idx="130">
                  <c:v>896.650506329114</c:v>
                </c:pt>
                <c:pt idx="131">
                  <c:v>903.016202531646</c:v>
                </c:pt>
                <c:pt idx="132">
                  <c:v>909.381898734177</c:v>
                </c:pt>
                <c:pt idx="133">
                  <c:v>915.747594936709</c:v>
                </c:pt>
                <c:pt idx="134">
                  <c:v>922.113291139241</c:v>
                </c:pt>
                <c:pt idx="135">
                  <c:v>928.478987341772</c:v>
                </c:pt>
                <c:pt idx="136">
                  <c:v>934.844683544304</c:v>
                </c:pt>
                <c:pt idx="137">
                  <c:v>941.210379746836</c:v>
                </c:pt>
                <c:pt idx="138">
                  <c:v>947.576075949367</c:v>
                </c:pt>
                <c:pt idx="139">
                  <c:v>953.941772151899</c:v>
                </c:pt>
                <c:pt idx="140">
                  <c:v>960.307468354431</c:v>
                </c:pt>
                <c:pt idx="141">
                  <c:v>966.673164556962</c:v>
                </c:pt>
                <c:pt idx="142">
                  <c:v>973.038860759494</c:v>
                </c:pt>
                <c:pt idx="143">
                  <c:v>979.404556962025</c:v>
                </c:pt>
                <c:pt idx="144">
                  <c:v>985.770253164557</c:v>
                </c:pt>
                <c:pt idx="145">
                  <c:v>992.135949367089</c:v>
                </c:pt>
                <c:pt idx="146">
                  <c:v>998.50164556962</c:v>
                </c:pt>
                <c:pt idx="147">
                  <c:v>1004.86734177215</c:v>
                </c:pt>
                <c:pt idx="148">
                  <c:v>1011.23303797468</c:v>
                </c:pt>
                <c:pt idx="149">
                  <c:v>1017.59873417722</c:v>
                </c:pt>
                <c:pt idx="150">
                  <c:v>1023.96443037975</c:v>
                </c:pt>
                <c:pt idx="151">
                  <c:v>1030.33012658228</c:v>
                </c:pt>
                <c:pt idx="152">
                  <c:v>1036.69582278481</c:v>
                </c:pt>
                <c:pt idx="153">
                  <c:v>1043.06151898734</c:v>
                </c:pt>
                <c:pt idx="154">
                  <c:v>1049.42721518987</c:v>
                </c:pt>
                <c:pt idx="155">
                  <c:v>1055.79291139241</c:v>
                </c:pt>
                <c:pt idx="156">
                  <c:v>1062.15860759494</c:v>
                </c:pt>
                <c:pt idx="157">
                  <c:v>1068.52430379747</c:v>
                </c:pt>
                <c:pt idx="158">
                  <c:v>1074.89</c:v>
                </c:pt>
                <c:pt idx="159">
                  <c:v>1081.25569620253</c:v>
                </c:pt>
              </c:numCache>
            </c:numRef>
          </c:val>
          <c:smooth val="0"/>
        </c:ser>
        <c:hiLowLines>
          <c:spPr>
            <a:ln w="0">
              <a:noFill/>
            </a:ln>
          </c:spPr>
        </c:hiLowLines>
        <c:marker val="0"/>
        <c:axId val="73268119"/>
        <c:axId val="80446187"/>
      </c:lineChart>
      <c:dateAx>
        <c:axId val="2538326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122409"/>
        <c:auto val="1"/>
        <c:lblOffset val="100"/>
        <c:baseTimeUnit val="days"/>
      </c:dateAx>
      <c:valAx>
        <c:axId val="6612240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383264"/>
        <c:crosses val="autoZero"/>
        <c:crossBetween val="between"/>
      </c:valAx>
      <c:dateAx>
        <c:axId val="7326811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446187"/>
        <c:auto val="1"/>
        <c:lblOffset val="100"/>
        <c:baseTimeUnit val="days"/>
      </c:dateAx>
      <c:valAx>
        <c:axId val="8044618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26811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(Calc)'!$I$3:$I$500</c:f>
              <c:numCache>
                <c:formatCode>0.0%</c:formatCode>
                <c:ptCount val="498"/>
                <c:pt idx="0">
                  <c:v>-0.0520904729266621</c:v>
                </c:pt>
                <c:pt idx="1">
                  <c:v>0.0453121234032297</c:v>
                </c:pt>
                <c:pt idx="2">
                  <c:v>0.0521097532856816</c:v>
                </c:pt>
                <c:pt idx="3">
                  <c:v>-0.00657462195923741</c:v>
                </c:pt>
                <c:pt idx="4">
                  <c:v>-0.0897860136774763</c:v>
                </c:pt>
                <c:pt idx="5">
                  <c:v>-0.0213281628696073</c:v>
                </c:pt>
                <c:pt idx="6">
                  <c:v>0.111193660227835</c:v>
                </c:pt>
                <c:pt idx="7">
                  <c:v>0.0739915310898149</c:v>
                </c:pt>
                <c:pt idx="8">
                  <c:v>0.0199211454658643</c:v>
                </c:pt>
                <c:pt idx="9">
                  <c:v>-0.0309257375381484</c:v>
                </c:pt>
                <c:pt idx="10">
                  <c:v>-0.0209951711106445</c:v>
                </c:pt>
                <c:pt idx="11">
                  <c:v>0.0158696118378725</c:v>
                </c:pt>
                <c:pt idx="12">
                  <c:v>0.0291323622545916</c:v>
                </c:pt>
                <c:pt idx="13">
                  <c:v>-0.00123076923076926</c:v>
                </c:pt>
                <c:pt idx="14">
                  <c:v>0.0141712877387554</c:v>
                </c:pt>
                <c:pt idx="15">
                  <c:v>-0.00850546780072903</c:v>
                </c:pt>
                <c:pt idx="16">
                  <c:v>0.114174836601307</c:v>
                </c:pt>
                <c:pt idx="17">
                  <c:v>0.0874427131072411</c:v>
                </c:pt>
                <c:pt idx="18">
                  <c:v>0.0257923128792987</c:v>
                </c:pt>
                <c:pt idx="19">
                  <c:v>0.0841413311421528</c:v>
                </c:pt>
                <c:pt idx="20">
                  <c:v>0.0901925117477642</c:v>
                </c:pt>
                <c:pt idx="21">
                  <c:v>0.00667408231368194</c:v>
                </c:pt>
                <c:pt idx="22">
                  <c:v>0.0854972375690608</c:v>
                </c:pt>
                <c:pt idx="23">
                  <c:v>0.0438987148492176</c:v>
                </c:pt>
                <c:pt idx="24">
                  <c:v>0.0638712823013163</c:v>
                </c:pt>
                <c:pt idx="25">
                  <c:v>0.00355178735105421</c:v>
                </c:pt>
                <c:pt idx="26">
                  <c:v>0.0734102066445941</c:v>
                </c:pt>
                <c:pt idx="27">
                  <c:v>-0.0416932567538821</c:v>
                </c:pt>
                <c:pt idx="28">
                  <c:v>-0.0259711431742508</c:v>
                </c:pt>
                <c:pt idx="29">
                  <c:v>0.00205104831358249</c:v>
                </c:pt>
                <c:pt idx="30">
                  <c:v>-0.136001819422333</c:v>
                </c:pt>
                <c:pt idx="31">
                  <c:v>0.151487233482495</c:v>
                </c:pt>
                <c:pt idx="32">
                  <c:v>0.0120013715853242</c:v>
                </c:pt>
                <c:pt idx="33">
                  <c:v>0.0121978766659137</c:v>
                </c:pt>
                <c:pt idx="34">
                  <c:v>0.029011381388083</c:v>
                </c:pt>
                <c:pt idx="35">
                  <c:v>0.151268705270007</c:v>
                </c:pt>
                <c:pt idx="36">
                  <c:v>0.0296693981350664</c:v>
                </c:pt>
                <c:pt idx="37">
                  <c:v>0.102634467618002</c:v>
                </c:pt>
                <c:pt idx="38">
                  <c:v>0.0910900945744151</c:v>
                </c:pt>
                <c:pt idx="39">
                  <c:v>-0.0402980535279807</c:v>
                </c:pt>
                <c:pt idx="40">
                  <c:v>-0.0239264775788306</c:v>
                </c:pt>
                <c:pt idx="41">
                  <c:v>0.0185064935064936</c:v>
                </c:pt>
                <c:pt idx="42">
                  <c:v>0.0270959515460631</c:v>
                </c:pt>
                <c:pt idx="43">
                  <c:v>-0.0875232774674115</c:v>
                </c:pt>
                <c:pt idx="44">
                  <c:v>-0.0412414965986394</c:v>
                </c:pt>
                <c:pt idx="45">
                  <c:v>-0.0512638580931264</c:v>
                </c:pt>
                <c:pt idx="46">
                  <c:v>-0.0234645227633916</c:v>
                </c:pt>
                <c:pt idx="47">
                  <c:v>0.189354776948114</c:v>
                </c:pt>
                <c:pt idx="48">
                  <c:v>0.0383934320669672</c:v>
                </c:pt>
                <c:pt idx="49">
                  <c:v>-0.0772808309433376</c:v>
                </c:pt>
                <c:pt idx="50">
                  <c:v>-0.138524865591398</c:v>
                </c:pt>
                <c:pt idx="51">
                  <c:v>0.158264261335934</c:v>
                </c:pt>
                <c:pt idx="52">
                  <c:v>-0.0260144805522815</c:v>
                </c:pt>
                <c:pt idx="53">
                  <c:v>0.0465900250669893</c:v>
                </c:pt>
                <c:pt idx="54">
                  <c:v>0.0289890981169476</c:v>
                </c:pt>
                <c:pt idx="55">
                  <c:v>0.0790593145517295</c:v>
                </c:pt>
                <c:pt idx="56">
                  <c:v>0.0237280571258554</c:v>
                </c:pt>
                <c:pt idx="57">
                  <c:v>0.0256484778028045</c:v>
                </c:pt>
                <c:pt idx="58">
                  <c:v>-0.0433550580901105</c:v>
                </c:pt>
                <c:pt idx="59">
                  <c:v>0.0902695497630333</c:v>
                </c:pt>
                <c:pt idx="60">
                  <c:v>-0.038239489234531</c:v>
                </c:pt>
                <c:pt idx="61">
                  <c:v>-0.000211864406779672</c:v>
                </c:pt>
                <c:pt idx="62">
                  <c:v>-0.0260648442466624</c:v>
                </c:pt>
                <c:pt idx="63">
                  <c:v>0.0303887438352191</c:v>
                </c:pt>
                <c:pt idx="64">
                  <c:v>-0.0575068628141057</c:v>
                </c:pt>
                <c:pt idx="65">
                  <c:v>0.00336071695294993</c:v>
                </c:pt>
                <c:pt idx="66">
                  <c:v>0.0171194640863417</c:v>
                </c:pt>
                <c:pt idx="67">
                  <c:v>0.0544456641053788</c:v>
                </c:pt>
                <c:pt idx="68">
                  <c:v>-0.0591991116663196</c:v>
                </c:pt>
                <c:pt idx="69">
                  <c:v>0.0132044850988491</c:v>
                </c:pt>
                <c:pt idx="70">
                  <c:v>0.0356752821259556</c:v>
                </c:pt>
                <c:pt idx="71">
                  <c:v>-0.158101933216169</c:v>
                </c:pt>
                <c:pt idx="72">
                  <c:v>0.0813293253173013</c:v>
                </c:pt>
                <c:pt idx="73">
                  <c:v>0.0694208494208495</c:v>
                </c:pt>
                <c:pt idx="74">
                  <c:v>-0.0318434544010398</c:v>
                </c:pt>
                <c:pt idx="75">
                  <c:v>-0.0707786396181385</c:v>
                </c:pt>
                <c:pt idx="76">
                  <c:v>-0.0978409182117345</c:v>
                </c:pt>
                <c:pt idx="77">
                  <c:v>0.079715302491103</c:v>
                </c:pt>
                <c:pt idx="78">
                  <c:v>-0.0326301911667765</c:v>
                </c:pt>
                <c:pt idx="79">
                  <c:v>-0.0682282793867122</c:v>
                </c:pt>
                <c:pt idx="80">
                  <c:v>-0.140049364658561</c:v>
                </c:pt>
                <c:pt idx="81">
                  <c:v>0.176251727437015</c:v>
                </c:pt>
                <c:pt idx="82">
                  <c:v>-0.0851333032083145</c:v>
                </c:pt>
                <c:pt idx="83">
                  <c:v>0.0938456979156377</c:v>
                </c:pt>
                <c:pt idx="84">
                  <c:v>0.0314277973448929</c:v>
                </c:pt>
                <c:pt idx="85">
                  <c:v>0.0188249715436477</c:v>
                </c:pt>
                <c:pt idx="86">
                  <c:v>0.160708147129598</c:v>
                </c:pt>
                <c:pt idx="87">
                  <c:v>-0.0303568784244039</c:v>
                </c:pt>
                <c:pt idx="88">
                  <c:v>0.0292455711667683</c:v>
                </c:pt>
                <c:pt idx="89">
                  <c:v>0.048742488315157</c:v>
                </c:pt>
                <c:pt idx="90">
                  <c:v>0.00183927560837582</c:v>
                </c:pt>
                <c:pt idx="91">
                  <c:v>0.0132749611636773</c:v>
                </c:pt>
                <c:pt idx="92">
                  <c:v>0.0965853658536586</c:v>
                </c:pt>
                <c:pt idx="93">
                  <c:v>0.0101042196237924</c:v>
                </c:pt>
                <c:pt idx="94">
                  <c:v>0.0350424661843349</c:v>
                </c:pt>
                <c:pt idx="95">
                  <c:v>0.0454048140043764</c:v>
                </c:pt>
                <c:pt idx="96">
                  <c:v>0.00633757776614918</c:v>
                </c:pt>
                <c:pt idx="97">
                  <c:v>0.00127108851398194</c:v>
                </c:pt>
                <c:pt idx="98">
                  <c:v>0.0516445470282747</c:v>
                </c:pt>
                <c:pt idx="99">
                  <c:v>-0.0122908093278464</c:v>
                </c:pt>
                <c:pt idx="100">
                  <c:v>-0.0136659074495861</c:v>
                </c:pt>
                <c:pt idx="101">
                  <c:v>-0.0214024218529992</c:v>
                </c:pt>
                <c:pt idx="102">
                  <c:v>-0.041093525179856</c:v>
                </c:pt>
                <c:pt idx="103">
                  <c:v>0.0647620190864893</c:v>
                </c:pt>
                <c:pt idx="104">
                  <c:v>-0.00648252536640359</c:v>
                </c:pt>
                <c:pt idx="105">
                  <c:v>0.00856737588652479</c:v>
                </c:pt>
                <c:pt idx="106">
                  <c:v>0.0529365436543654</c:v>
                </c:pt>
                <c:pt idx="107">
                  <c:v>-0.0237751776459902</c:v>
                </c:pt>
                <c:pt idx="108">
                  <c:v>0.00032837127845875</c:v>
                </c:pt>
                <c:pt idx="109">
                  <c:v>0.0165773060509902</c:v>
                </c:pt>
                <c:pt idx="110">
                  <c:v>0.0871858349927344</c:v>
                </c:pt>
                <c:pt idx="111">
                  <c:v>-0.0708380773229048</c:v>
                </c:pt>
                <c:pt idx="112">
                  <c:v>0.0107618540223762</c:v>
                </c:pt>
                <c:pt idx="113">
                  <c:v>-0.0594033312249631</c:v>
                </c:pt>
                <c:pt idx="114">
                  <c:v>-0.0104791258055477</c:v>
                </c:pt>
                <c:pt idx="115">
                  <c:v>0.0305810397553516</c:v>
                </c:pt>
                <c:pt idx="116">
                  <c:v>-0.0404989559292228</c:v>
                </c:pt>
                <c:pt idx="117">
                  <c:v>0.0341332111562911</c:v>
                </c:pt>
                <c:pt idx="118">
                  <c:v>0.0527219360912665</c:v>
                </c:pt>
                <c:pt idx="119">
                  <c:v>-0.00883791888053032</c:v>
                </c:pt>
                <c:pt idx="120">
                  <c:v>-0.0211241441537073</c:v>
                </c:pt>
                <c:pt idx="121">
                  <c:v>0.00742829257712963</c:v>
                </c:pt>
                <c:pt idx="122">
                  <c:v>0.00769644779332612</c:v>
                </c:pt>
                <c:pt idx="123">
                  <c:v>0.0184265342092613</c:v>
                </c:pt>
                <c:pt idx="124">
                  <c:v>-0.0298930144745123</c:v>
                </c:pt>
                <c:pt idx="125">
                  <c:v>-0.0140555735755217</c:v>
                </c:pt>
                <c:pt idx="126">
                  <c:v>0.0383814014694595</c:v>
                </c:pt>
                <c:pt idx="127">
                  <c:v>-0.066532896821206</c:v>
                </c:pt>
                <c:pt idx="128">
                  <c:v>0.00350718407059625</c:v>
                </c:pt>
                <c:pt idx="129">
                  <c:v>0.0137542277339346</c:v>
                </c:pt>
                <c:pt idx="130">
                  <c:v>-0.0418705516014235</c:v>
                </c:pt>
                <c:pt idx="131">
                  <c:v>-0.0300040624455923</c:v>
                </c:pt>
                <c:pt idx="132">
                  <c:v>0.0589326313270313</c:v>
                </c:pt>
                <c:pt idx="133">
                  <c:v>0.0633369116899258</c:v>
                </c:pt>
                <c:pt idx="134">
                  <c:v>0.069181721572795</c:v>
                </c:pt>
                <c:pt idx="135">
                  <c:v>0.0327005267866019</c:v>
                </c:pt>
                <c:pt idx="136">
                  <c:v>-0.0471607314725698</c:v>
                </c:pt>
                <c:pt idx="137">
                  <c:v>0.0843939393939395</c:v>
                </c:pt>
                <c:pt idx="138">
                  <c:v>0.0470401937497089</c:v>
                </c:pt>
                <c:pt idx="139">
                  <c:v>-0.0443485610070726</c:v>
                </c:pt>
                <c:pt idx="140">
                  <c:v>-0.019456339601564</c:v>
                </c:pt>
                <c:pt idx="141">
                  <c:v>-0.0274850469951581</c:v>
                </c:pt>
                <c:pt idx="142">
                  <c:v>0.000439302972616851</c:v>
                </c:pt>
                <c:pt idx="143">
                  <c:v>0.0267857142857142</c:v>
                </c:pt>
                <c:pt idx="144">
                  <c:v>-0.0861962461392254</c:v>
                </c:pt>
                <c:pt idx="145">
                  <c:v>0.0119598564817223</c:v>
                </c:pt>
                <c:pt idx="146">
                  <c:v>0.0827809465084013</c:v>
                </c:pt>
                <c:pt idx="147">
                  <c:v>-0.0386294608959756</c:v>
                </c:pt>
                <c:pt idx="148">
                  <c:v>0.0198933754566097</c:v>
                </c:pt>
                <c:pt idx="149">
                  <c:v>-0.0294274236484198</c:v>
                </c:pt>
                <c:pt idx="150">
                  <c:v>0.115593676756595</c:v>
                </c:pt>
                <c:pt idx="151">
                  <c:v>0.00536408743462524</c:v>
                </c:pt>
                <c:pt idx="152">
                  <c:v>-0.0463741051976346</c:v>
                </c:pt>
                <c:pt idx="153">
                  <c:v>0.0131947034688549</c:v>
                </c:pt>
                <c:pt idx="154">
                  <c:v>0.0588560121485435</c:v>
                </c:pt>
                <c:pt idx="155">
                  <c:v>-0.0513255106475445</c:v>
                </c:pt>
                <c:pt idx="156">
                  <c:v>0.0182326263227817</c:v>
                </c:pt>
                <c:pt idx="157">
                  <c:v>0.0125972915823098</c:v>
                </c:pt>
                <c:pt idx="158">
                  <c:v>0.0394543919669437</c:v>
                </c:pt>
              </c:numCache>
            </c:numRef>
          </c:val>
        </c:ser>
        <c:gapWidth val="150"/>
        <c:overlap val="0"/>
        <c:axId val="26822280"/>
        <c:axId val="61625535"/>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(Calc)'!$AD$3:$AD$500</c:f>
              <c:numCache>
                <c:formatCode>#,##0.00</c:formatCode>
                <c:ptCount val="498"/>
                <c:pt idx="0">
                  <c:v>43.77</c:v>
                </c:pt>
                <c:pt idx="1">
                  <c:v>44.973670886076</c:v>
                </c:pt>
                <c:pt idx="2">
                  <c:v>46.1773417721519</c:v>
                </c:pt>
                <c:pt idx="3">
                  <c:v>47.3810126582279</c:v>
                </c:pt>
                <c:pt idx="4">
                  <c:v>48.5846835443038</c:v>
                </c:pt>
                <c:pt idx="5">
                  <c:v>49.7883544303798</c:v>
                </c:pt>
                <c:pt idx="6">
                  <c:v>50.9920253164557</c:v>
                </c:pt>
                <c:pt idx="7">
                  <c:v>52.1956962025317</c:v>
                </c:pt>
                <c:pt idx="8">
                  <c:v>53.3993670886076</c:v>
                </c:pt>
                <c:pt idx="9">
                  <c:v>54.6030379746835</c:v>
                </c:pt>
                <c:pt idx="10">
                  <c:v>55.8067088607595</c:v>
                </c:pt>
                <c:pt idx="11">
                  <c:v>57.0103797468354</c:v>
                </c:pt>
                <c:pt idx="12">
                  <c:v>58.2140506329114</c:v>
                </c:pt>
                <c:pt idx="13">
                  <c:v>59.4177215189873</c:v>
                </c:pt>
                <c:pt idx="14">
                  <c:v>60.6213924050633</c:v>
                </c:pt>
                <c:pt idx="15">
                  <c:v>61.8250632911392</c:v>
                </c:pt>
                <c:pt idx="16">
                  <c:v>63.0287341772152</c:v>
                </c:pt>
                <c:pt idx="17">
                  <c:v>64.2324050632911</c:v>
                </c:pt>
                <c:pt idx="18">
                  <c:v>65.4360759493671</c:v>
                </c:pt>
                <c:pt idx="19">
                  <c:v>66.639746835443</c:v>
                </c:pt>
                <c:pt idx="20">
                  <c:v>67.843417721519</c:v>
                </c:pt>
                <c:pt idx="21">
                  <c:v>69.0470886075949</c:v>
                </c:pt>
                <c:pt idx="22">
                  <c:v>70.2507594936709</c:v>
                </c:pt>
                <c:pt idx="23">
                  <c:v>71.4544303797468</c:v>
                </c:pt>
                <c:pt idx="24">
                  <c:v>72.6581012658228</c:v>
                </c:pt>
                <c:pt idx="25">
                  <c:v>73.8617721518987</c:v>
                </c:pt>
                <c:pt idx="26">
                  <c:v>75.0654430379747</c:v>
                </c:pt>
                <c:pt idx="27">
                  <c:v>76.2691139240506</c:v>
                </c:pt>
                <c:pt idx="28">
                  <c:v>77.4727848101266</c:v>
                </c:pt>
                <c:pt idx="29">
                  <c:v>78.6764556962025</c:v>
                </c:pt>
                <c:pt idx="30">
                  <c:v>79.8801265822785</c:v>
                </c:pt>
                <c:pt idx="31">
                  <c:v>81.0837974683544</c:v>
                </c:pt>
                <c:pt idx="32">
                  <c:v>82.2874683544304</c:v>
                </c:pt>
                <c:pt idx="33">
                  <c:v>83.4911392405063</c:v>
                </c:pt>
                <c:pt idx="34">
                  <c:v>84.6948101265823</c:v>
                </c:pt>
                <c:pt idx="35">
                  <c:v>85.8984810126582</c:v>
                </c:pt>
                <c:pt idx="36">
                  <c:v>87.1021518987342</c:v>
                </c:pt>
                <c:pt idx="37">
                  <c:v>88.3058227848101</c:v>
                </c:pt>
                <c:pt idx="38">
                  <c:v>89.5094936708861</c:v>
                </c:pt>
                <c:pt idx="39">
                  <c:v>90.713164556962</c:v>
                </c:pt>
                <c:pt idx="40">
                  <c:v>91.916835443038</c:v>
                </c:pt>
                <c:pt idx="41">
                  <c:v>93.1205063291139</c:v>
                </c:pt>
                <c:pt idx="42">
                  <c:v>94.3241772151899</c:v>
                </c:pt>
                <c:pt idx="43">
                  <c:v>95.5278481012658</c:v>
                </c:pt>
                <c:pt idx="44">
                  <c:v>96.7315189873418</c:v>
                </c:pt>
                <c:pt idx="45">
                  <c:v>97.9351898734177</c:v>
                </c:pt>
                <c:pt idx="46">
                  <c:v>99.1388607594937</c:v>
                </c:pt>
                <c:pt idx="47">
                  <c:v>100.34253164557</c:v>
                </c:pt>
                <c:pt idx="48">
                  <c:v>101.546202531646</c:v>
                </c:pt>
                <c:pt idx="49">
                  <c:v>102.749873417722</c:v>
                </c:pt>
                <c:pt idx="50">
                  <c:v>103.953544303797</c:v>
                </c:pt>
                <c:pt idx="51">
                  <c:v>105.157215189873</c:v>
                </c:pt>
                <c:pt idx="52">
                  <c:v>106.360886075949</c:v>
                </c:pt>
                <c:pt idx="53">
                  <c:v>107.564556962025</c:v>
                </c:pt>
                <c:pt idx="54">
                  <c:v>108.768227848101</c:v>
                </c:pt>
                <c:pt idx="55">
                  <c:v>109.971898734177</c:v>
                </c:pt>
                <c:pt idx="56">
                  <c:v>111.175569620253</c:v>
                </c:pt>
                <c:pt idx="57">
                  <c:v>112.379240506329</c:v>
                </c:pt>
                <c:pt idx="58">
                  <c:v>113.582911392405</c:v>
                </c:pt>
                <c:pt idx="59">
                  <c:v>114.786582278481</c:v>
                </c:pt>
                <c:pt idx="60">
                  <c:v>115.990253164557</c:v>
                </c:pt>
                <c:pt idx="61">
                  <c:v>117.193924050633</c:v>
                </c:pt>
                <c:pt idx="62">
                  <c:v>118.397594936709</c:v>
                </c:pt>
                <c:pt idx="63">
                  <c:v>119.601265822785</c:v>
                </c:pt>
                <c:pt idx="64">
                  <c:v>120.804936708861</c:v>
                </c:pt>
                <c:pt idx="65">
                  <c:v>122.008607594937</c:v>
                </c:pt>
                <c:pt idx="66">
                  <c:v>123.212278481013</c:v>
                </c:pt>
                <c:pt idx="67">
                  <c:v>124.415949367089</c:v>
                </c:pt>
                <c:pt idx="68">
                  <c:v>125.619620253165</c:v>
                </c:pt>
                <c:pt idx="69">
                  <c:v>126.823291139241</c:v>
                </c:pt>
                <c:pt idx="70">
                  <c:v>128.026962025316</c:v>
                </c:pt>
                <c:pt idx="71">
                  <c:v>129.230632911392</c:v>
                </c:pt>
                <c:pt idx="72">
                  <c:v>130.434303797468</c:v>
                </c:pt>
                <c:pt idx="73">
                  <c:v>131.637974683544</c:v>
                </c:pt>
                <c:pt idx="74">
                  <c:v>132.84164556962</c:v>
                </c:pt>
                <c:pt idx="75">
                  <c:v>134.045316455696</c:v>
                </c:pt>
                <c:pt idx="76">
                  <c:v>135.248987341772</c:v>
                </c:pt>
                <c:pt idx="77">
                  <c:v>136.452658227848</c:v>
                </c:pt>
                <c:pt idx="78">
                  <c:v>137.656329113924</c:v>
                </c:pt>
                <c:pt idx="79">
                  <c:v>138.86</c:v>
                </c:pt>
                <c:pt idx="80">
                  <c:v>140.063670886076</c:v>
                </c:pt>
                <c:pt idx="81">
                  <c:v>141.267341772152</c:v>
                </c:pt>
                <c:pt idx="82">
                  <c:v>142.471012658228</c:v>
                </c:pt>
                <c:pt idx="83">
                  <c:v>143.674683544304</c:v>
                </c:pt>
                <c:pt idx="84">
                  <c:v>144.87835443038</c:v>
                </c:pt>
                <c:pt idx="85">
                  <c:v>146.082025316456</c:v>
                </c:pt>
                <c:pt idx="86">
                  <c:v>147.285696202532</c:v>
                </c:pt>
                <c:pt idx="87">
                  <c:v>148.489367088608</c:v>
                </c:pt>
                <c:pt idx="88">
                  <c:v>149.693037974684</c:v>
                </c:pt>
                <c:pt idx="89">
                  <c:v>150.896708860759</c:v>
                </c:pt>
                <c:pt idx="90">
                  <c:v>152.100379746835</c:v>
                </c:pt>
                <c:pt idx="91">
                  <c:v>153.304050632911</c:v>
                </c:pt>
                <c:pt idx="92">
                  <c:v>154.507721518987</c:v>
                </c:pt>
                <c:pt idx="93">
                  <c:v>155.711392405063</c:v>
                </c:pt>
                <c:pt idx="94">
                  <c:v>156.915063291139</c:v>
                </c:pt>
                <c:pt idx="95">
                  <c:v>158.118734177215</c:v>
                </c:pt>
                <c:pt idx="96">
                  <c:v>159.322405063291</c:v>
                </c:pt>
                <c:pt idx="97">
                  <c:v>160.526075949367</c:v>
                </c:pt>
                <c:pt idx="98">
                  <c:v>161.729746835443</c:v>
                </c:pt>
                <c:pt idx="99">
                  <c:v>162.933417721519</c:v>
                </c:pt>
                <c:pt idx="100">
                  <c:v>164.137088607595</c:v>
                </c:pt>
                <c:pt idx="101">
                  <c:v>165.340759493671</c:v>
                </c:pt>
                <c:pt idx="102">
                  <c:v>166.544430379747</c:v>
                </c:pt>
                <c:pt idx="103">
                  <c:v>167.748101265823</c:v>
                </c:pt>
                <c:pt idx="104">
                  <c:v>168.951772151899</c:v>
                </c:pt>
                <c:pt idx="105">
                  <c:v>170.155443037975</c:v>
                </c:pt>
                <c:pt idx="106">
                  <c:v>171.359113924051</c:v>
                </c:pt>
                <c:pt idx="107">
                  <c:v>172.562784810127</c:v>
                </c:pt>
                <c:pt idx="108">
                  <c:v>173.766455696203</c:v>
                </c:pt>
                <c:pt idx="109">
                  <c:v>174.970126582278</c:v>
                </c:pt>
                <c:pt idx="110">
                  <c:v>176.173797468354</c:v>
                </c:pt>
                <c:pt idx="111">
                  <c:v>177.37746835443</c:v>
                </c:pt>
                <c:pt idx="112">
                  <c:v>178.581139240506</c:v>
                </c:pt>
                <c:pt idx="113">
                  <c:v>179.784810126582</c:v>
                </c:pt>
                <c:pt idx="114">
                  <c:v>180.988481012658</c:v>
                </c:pt>
                <c:pt idx="115">
                  <c:v>182.192151898734</c:v>
                </c:pt>
                <c:pt idx="116">
                  <c:v>183.39582278481</c:v>
                </c:pt>
                <c:pt idx="117">
                  <c:v>184.599493670886</c:v>
                </c:pt>
                <c:pt idx="118">
                  <c:v>185.803164556962</c:v>
                </c:pt>
                <c:pt idx="119">
                  <c:v>187.006835443038</c:v>
                </c:pt>
                <c:pt idx="120">
                  <c:v>188.210506329114</c:v>
                </c:pt>
                <c:pt idx="121">
                  <c:v>189.41417721519</c:v>
                </c:pt>
                <c:pt idx="122">
                  <c:v>190.617848101266</c:v>
                </c:pt>
                <c:pt idx="123">
                  <c:v>191.821518987342</c:v>
                </c:pt>
                <c:pt idx="124">
                  <c:v>193.025189873418</c:v>
                </c:pt>
                <c:pt idx="125">
                  <c:v>194.228860759494</c:v>
                </c:pt>
                <c:pt idx="126">
                  <c:v>195.43253164557</c:v>
                </c:pt>
                <c:pt idx="127">
                  <c:v>196.636202531646</c:v>
                </c:pt>
                <c:pt idx="128">
                  <c:v>197.839873417722</c:v>
                </c:pt>
                <c:pt idx="129">
                  <c:v>199.043544303797</c:v>
                </c:pt>
                <c:pt idx="130">
                  <c:v>200.247215189873</c:v>
                </c:pt>
                <c:pt idx="131">
                  <c:v>201.450886075949</c:v>
                </c:pt>
                <c:pt idx="132">
                  <c:v>202.654556962025</c:v>
                </c:pt>
                <c:pt idx="133">
                  <c:v>203.858227848101</c:v>
                </c:pt>
                <c:pt idx="134">
                  <c:v>205.061898734177</c:v>
                </c:pt>
                <c:pt idx="135">
                  <c:v>206.265569620253</c:v>
                </c:pt>
                <c:pt idx="136">
                  <c:v>207.469240506329</c:v>
                </c:pt>
                <c:pt idx="137">
                  <c:v>208.672911392405</c:v>
                </c:pt>
                <c:pt idx="138">
                  <c:v>209.876582278481</c:v>
                </c:pt>
                <c:pt idx="139">
                  <c:v>211.080253164557</c:v>
                </c:pt>
                <c:pt idx="140">
                  <c:v>212.283924050633</c:v>
                </c:pt>
                <c:pt idx="141">
                  <c:v>213.487594936709</c:v>
                </c:pt>
                <c:pt idx="142">
                  <c:v>214.691265822785</c:v>
                </c:pt>
                <c:pt idx="143">
                  <c:v>215.894936708861</c:v>
                </c:pt>
                <c:pt idx="144">
                  <c:v>217.098607594937</c:v>
                </c:pt>
                <c:pt idx="145">
                  <c:v>218.302278481013</c:v>
                </c:pt>
                <c:pt idx="146">
                  <c:v>219.505949367089</c:v>
                </c:pt>
                <c:pt idx="147">
                  <c:v>220.709620253165</c:v>
                </c:pt>
                <c:pt idx="148">
                  <c:v>221.913291139241</c:v>
                </c:pt>
                <c:pt idx="149">
                  <c:v>223.116962025316</c:v>
                </c:pt>
                <c:pt idx="150">
                  <c:v>224.320632911392</c:v>
                </c:pt>
                <c:pt idx="151">
                  <c:v>225.524303797468</c:v>
                </c:pt>
                <c:pt idx="152">
                  <c:v>226.727974683544</c:v>
                </c:pt>
                <c:pt idx="153">
                  <c:v>227.93164556962</c:v>
                </c:pt>
                <c:pt idx="154">
                  <c:v>229.135316455696</c:v>
                </c:pt>
                <c:pt idx="155">
                  <c:v>230.338987341772</c:v>
                </c:pt>
                <c:pt idx="156">
                  <c:v>231.542658227848</c:v>
                </c:pt>
                <c:pt idx="157">
                  <c:v>232.746329113924</c:v>
                </c:pt>
                <c:pt idx="158">
                  <c:v>233.95</c:v>
                </c:pt>
                <c:pt idx="159">
                  <c:v>235.153670886076</c:v>
                </c:pt>
              </c:numCache>
            </c:numRef>
          </c:val>
          <c:smooth val="0"/>
        </c:ser>
        <c:hiLowLines>
          <c:spPr>
            <a:ln w="0">
              <a:noFill/>
            </a:ln>
          </c:spPr>
        </c:hiLowLines>
        <c:marker val="0"/>
        <c:axId val="62374440"/>
        <c:axId val="48998972"/>
      </c:lineChart>
      <c:dateAx>
        <c:axId val="2682228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625535"/>
        <c:auto val="1"/>
        <c:lblOffset val="100"/>
        <c:baseTimeUnit val="days"/>
      </c:dateAx>
      <c:valAx>
        <c:axId val="6162553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822280"/>
        <c:crosses val="autoZero"/>
        <c:crossBetween val="between"/>
      </c:valAx>
      <c:dateAx>
        <c:axId val="6237444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998972"/>
        <c:auto val="1"/>
        <c:lblOffset val="100"/>
        <c:baseTimeUnit val="days"/>
      </c:dateAx>
      <c:valAx>
        <c:axId val="4899897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37444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(Calc)'!$J$3:$J$500</c:f>
              <c:numCache>
                <c:formatCode>0.0%</c:formatCode>
                <c:ptCount val="498"/>
                <c:pt idx="0">
                  <c:v>-0.073944921316166</c:v>
                </c:pt>
                <c:pt idx="1">
                  <c:v>-0.0163174664478131</c:v>
                </c:pt>
                <c:pt idx="2">
                  <c:v>-0.0294464075382803</c:v>
                </c:pt>
                <c:pt idx="3">
                  <c:v>0.00687702265372181</c:v>
                </c:pt>
                <c:pt idx="4">
                  <c:v>-0.0658899156287666</c:v>
                </c:pt>
                <c:pt idx="5">
                  <c:v>-0.0498924731182796</c:v>
                </c:pt>
                <c:pt idx="6">
                  <c:v>0.0948392937980986</c:v>
                </c:pt>
                <c:pt idx="7">
                  <c:v>-0.0187099441802769</c:v>
                </c:pt>
                <c:pt idx="8">
                  <c:v>0.0527757294848834</c:v>
                </c:pt>
                <c:pt idx="9">
                  <c:v>0.0175105063037824</c:v>
                </c:pt>
                <c:pt idx="10">
                  <c:v>0.0558560330415971</c:v>
                </c:pt>
                <c:pt idx="11">
                  <c:v>0.0135047033622053</c:v>
                </c:pt>
                <c:pt idx="12">
                  <c:v>0.127366292960853</c:v>
                </c:pt>
                <c:pt idx="13">
                  <c:v>-0.013857189435931</c:v>
                </c:pt>
                <c:pt idx="14">
                  <c:v>0.00677797983137696</c:v>
                </c:pt>
                <c:pt idx="15">
                  <c:v>-0.0205254515599344</c:v>
                </c:pt>
                <c:pt idx="16">
                  <c:v>0.0075440067057837</c:v>
                </c:pt>
                <c:pt idx="17">
                  <c:v>-0.0236272878535774</c:v>
                </c:pt>
                <c:pt idx="18">
                  <c:v>-0.0121847307430129</c:v>
                </c:pt>
                <c:pt idx="19">
                  <c:v>0.0187181920124211</c:v>
                </c:pt>
                <c:pt idx="20">
                  <c:v>0.0249788314987298</c:v>
                </c:pt>
                <c:pt idx="21">
                  <c:v>0.00685667079719132</c:v>
                </c:pt>
                <c:pt idx="22">
                  <c:v>-0.00131276665572688</c:v>
                </c:pt>
                <c:pt idx="23">
                  <c:v>0.0104337824515282</c:v>
                </c:pt>
                <c:pt idx="24">
                  <c:v>0.00349621920481336</c:v>
                </c:pt>
                <c:pt idx="25">
                  <c:v>-0.037757251660995</c:v>
                </c:pt>
                <c:pt idx="26">
                  <c:v>-0.00303132367800607</c:v>
                </c:pt>
                <c:pt idx="27">
                  <c:v>0.0124155405405406</c:v>
                </c:pt>
                <c:pt idx="28">
                  <c:v>-0.0421289730541421</c:v>
                </c:pt>
                <c:pt idx="29">
                  <c:v>-0.0459850200313533</c:v>
                </c:pt>
                <c:pt idx="30">
                  <c:v>-0.130363337593573</c:v>
                </c:pt>
                <c:pt idx="31">
                  <c:v>0.00556372034432084</c:v>
                </c:pt>
                <c:pt idx="32">
                  <c:v>0.0175383651738177</c:v>
                </c:pt>
                <c:pt idx="33">
                  <c:v>0.0151841592284807</c:v>
                </c:pt>
                <c:pt idx="34">
                  <c:v>0.0372915613946438</c:v>
                </c:pt>
                <c:pt idx="35">
                  <c:v>-0.0606001558846454</c:v>
                </c:pt>
                <c:pt idx="36">
                  <c:v>0.0548641360713544</c:v>
                </c:pt>
                <c:pt idx="37">
                  <c:v>-0.00265460623340863</c:v>
                </c:pt>
                <c:pt idx="38">
                  <c:v>0.0189274447949528</c:v>
                </c:pt>
                <c:pt idx="39">
                  <c:v>-0.0173181114551084</c:v>
                </c:pt>
                <c:pt idx="40">
                  <c:v>0.0265826523579797</c:v>
                </c:pt>
                <c:pt idx="41">
                  <c:v>0.0191809724753045</c:v>
                </c:pt>
                <c:pt idx="42">
                  <c:v>0.0496847652206645</c:v>
                </c:pt>
                <c:pt idx="43">
                  <c:v>0.0300313760645452</c:v>
                </c:pt>
                <c:pt idx="44">
                  <c:v>-0.00870322019147085</c:v>
                </c:pt>
                <c:pt idx="45">
                  <c:v>0.0106233538191396</c:v>
                </c:pt>
                <c:pt idx="46">
                  <c:v>-0.0167665711058986</c:v>
                </c:pt>
                <c:pt idx="47">
                  <c:v>0.00777522530482422</c:v>
                </c:pt>
                <c:pt idx="48">
                  <c:v>0.0489216201998948</c:v>
                </c:pt>
                <c:pt idx="49">
                  <c:v>-0.00810765630224009</c:v>
                </c:pt>
                <c:pt idx="50">
                  <c:v>-0.00455043397657373</c:v>
                </c:pt>
                <c:pt idx="51">
                  <c:v>0.0215863878777618</c:v>
                </c:pt>
                <c:pt idx="52">
                  <c:v>-0.0275107722903547</c:v>
                </c:pt>
                <c:pt idx="53">
                  <c:v>0.000937286980231766</c:v>
                </c:pt>
                <c:pt idx="54">
                  <c:v>-0.0251979228739252</c:v>
                </c:pt>
                <c:pt idx="55">
                  <c:v>-0.0178150379879487</c:v>
                </c:pt>
                <c:pt idx="56">
                  <c:v>0.0187605583711212</c:v>
                </c:pt>
                <c:pt idx="57">
                  <c:v>-0.0404957235119567</c:v>
                </c:pt>
                <c:pt idx="58">
                  <c:v>-0.0352010187374933</c:v>
                </c:pt>
                <c:pt idx="59">
                  <c:v>0.0214009616291129</c:v>
                </c:pt>
                <c:pt idx="60">
                  <c:v>-0.0207679527413698</c:v>
                </c:pt>
                <c:pt idx="61">
                  <c:v>0.0209256291827693</c:v>
                </c:pt>
                <c:pt idx="62">
                  <c:v>0.00849413719878123</c:v>
                </c:pt>
                <c:pt idx="63">
                  <c:v>-0.0409228234001647</c:v>
                </c:pt>
                <c:pt idx="64">
                  <c:v>-0.00773195876288657</c:v>
                </c:pt>
                <c:pt idx="65">
                  <c:v>-0.0622414622414622</c:v>
                </c:pt>
                <c:pt idx="66">
                  <c:v>0.0185679113664341</c:v>
                </c:pt>
                <c:pt idx="67">
                  <c:v>0.00372645785074011</c:v>
                </c:pt>
                <c:pt idx="68">
                  <c:v>-0.0192655027092113</c:v>
                </c:pt>
                <c:pt idx="69">
                  <c:v>0.0567833026396563</c:v>
                </c:pt>
                <c:pt idx="70">
                  <c:v>0.0863587956239713</c:v>
                </c:pt>
                <c:pt idx="71">
                  <c:v>0.00267355850637219</c:v>
                </c:pt>
                <c:pt idx="72">
                  <c:v>-0.0159096969158298</c:v>
                </c:pt>
                <c:pt idx="73">
                  <c:v>0.0298049132947977</c:v>
                </c:pt>
                <c:pt idx="74">
                  <c:v>0.00105244693913353</c:v>
                </c:pt>
                <c:pt idx="75">
                  <c:v>0.0243560539688104</c:v>
                </c:pt>
                <c:pt idx="76">
                  <c:v>-0.032329798152583</c:v>
                </c:pt>
                <c:pt idx="77">
                  <c:v>-0.0669082552589713</c:v>
                </c:pt>
                <c:pt idx="78">
                  <c:v>-0.0223548356540684</c:v>
                </c:pt>
                <c:pt idx="79">
                  <c:v>0.0186997383974421</c:v>
                </c:pt>
                <c:pt idx="80">
                  <c:v>-0.110614418870078</c:v>
                </c:pt>
                <c:pt idx="81">
                  <c:v>-0.0204256229280292</c:v>
                </c:pt>
                <c:pt idx="82">
                  <c:v>0.0610262008733624</c:v>
                </c:pt>
                <c:pt idx="83">
                  <c:v>0.00133758617141666</c:v>
                </c:pt>
                <c:pt idx="84">
                  <c:v>0.0310316481709825</c:v>
                </c:pt>
                <c:pt idx="85">
                  <c:v>0.0142515447478573</c:v>
                </c:pt>
                <c:pt idx="86">
                  <c:v>0.033998231305886</c:v>
                </c:pt>
                <c:pt idx="87">
                  <c:v>-0.0588235294117647</c:v>
                </c:pt>
                <c:pt idx="88">
                  <c:v>0.0438206785137316</c:v>
                </c:pt>
                <c:pt idx="89">
                  <c:v>0.0017411491584447</c:v>
                </c:pt>
                <c:pt idx="90">
                  <c:v>-0.0139049826187717</c:v>
                </c:pt>
                <c:pt idx="91">
                  <c:v>-0.00538582060321202</c:v>
                </c:pt>
                <c:pt idx="92">
                  <c:v>-0.000689179875947521</c:v>
                </c:pt>
                <c:pt idx="93">
                  <c:v>0.0227586206896553</c:v>
                </c:pt>
                <c:pt idx="94">
                  <c:v>0.0105962816684326</c:v>
                </c:pt>
                <c:pt idx="95">
                  <c:v>-0.0219235535220665</c:v>
                </c:pt>
                <c:pt idx="96">
                  <c:v>0.0329402592339927</c:v>
                </c:pt>
                <c:pt idx="97">
                  <c:v>-0.0487781866213795</c:v>
                </c:pt>
                <c:pt idx="98">
                  <c:v>0.00733981352906188</c:v>
                </c:pt>
                <c:pt idx="99">
                  <c:v>0.00856636471051608</c:v>
                </c:pt>
                <c:pt idx="100">
                  <c:v>0.0534023235380259</c:v>
                </c:pt>
                <c:pt idx="101">
                  <c:v>0.0133456904541243</c:v>
                </c:pt>
                <c:pt idx="102">
                  <c:v>-0.00109749405524062</c:v>
                </c:pt>
                <c:pt idx="103">
                  <c:v>0.0149240065921992</c:v>
                </c:pt>
                <c:pt idx="104">
                  <c:v>-0.00721695985566073</c:v>
                </c:pt>
                <c:pt idx="105">
                  <c:v>0.00599727396637895</c:v>
                </c:pt>
                <c:pt idx="106">
                  <c:v>0.0252009755216331</c:v>
                </c:pt>
                <c:pt idx="107">
                  <c:v>-0.0498678414096916</c:v>
                </c:pt>
                <c:pt idx="108">
                  <c:v>0.115541543026706</c:v>
                </c:pt>
                <c:pt idx="109">
                  <c:v>0.0189526184538653</c:v>
                </c:pt>
                <c:pt idx="110">
                  <c:v>-0.0185185185185185</c:v>
                </c:pt>
                <c:pt idx="111">
                  <c:v>0.012218435707755</c:v>
                </c:pt>
                <c:pt idx="112">
                  <c:v>-0.0220890129742157</c:v>
                </c:pt>
                <c:pt idx="113">
                  <c:v>0.0240994206062641</c:v>
                </c:pt>
                <c:pt idx="114">
                  <c:v>0.0218104296490653</c:v>
                </c:pt>
                <c:pt idx="115">
                  <c:v>-0.00433317284545021</c:v>
                </c:pt>
                <c:pt idx="116">
                  <c:v>0.0172469374597035</c:v>
                </c:pt>
                <c:pt idx="117">
                  <c:v>-0.0150530819204564</c:v>
                </c:pt>
                <c:pt idx="118">
                  <c:v>0.0115830115830118</c:v>
                </c:pt>
                <c:pt idx="119">
                  <c:v>0.0027035623409668</c:v>
                </c:pt>
                <c:pt idx="120">
                  <c:v>0.00269627279936557</c:v>
                </c:pt>
                <c:pt idx="121">
                  <c:v>0.0294210692818728</c:v>
                </c:pt>
                <c:pt idx="122">
                  <c:v>-0.0454824830977258</c:v>
                </c:pt>
                <c:pt idx="123">
                  <c:v>0.0268029620090149</c:v>
                </c:pt>
                <c:pt idx="124">
                  <c:v>0.0489927098847691</c:v>
                </c:pt>
                <c:pt idx="125">
                  <c:v>0.0147212673740846</c:v>
                </c:pt>
                <c:pt idx="126">
                  <c:v>0.0182634951027323</c:v>
                </c:pt>
                <c:pt idx="127">
                  <c:v>0.00752151587473771</c:v>
                </c:pt>
                <c:pt idx="128">
                  <c:v>-0.0563491493790825</c:v>
                </c:pt>
                <c:pt idx="129">
                  <c:v>-0.0207667731629394</c:v>
                </c:pt>
                <c:pt idx="130">
                  <c:v>-0.0205080400838964</c:v>
                </c:pt>
                <c:pt idx="131">
                  <c:v>0.00689983345229583</c:v>
                </c:pt>
                <c:pt idx="132">
                  <c:v>0.0378071833648392</c:v>
                </c:pt>
                <c:pt idx="133">
                  <c:v>0.0255768063145112</c:v>
                </c:pt>
                <c:pt idx="134">
                  <c:v>0.0576481906312438</c:v>
                </c:pt>
                <c:pt idx="135">
                  <c:v>-0.0207108872096277</c:v>
                </c:pt>
                <c:pt idx="136">
                  <c:v>-0.00478708202343536</c:v>
                </c:pt>
                <c:pt idx="137">
                  <c:v>0.0188814703137339</c:v>
                </c:pt>
                <c:pt idx="138">
                  <c:v>-0.0246617812852311</c:v>
                </c:pt>
                <c:pt idx="139">
                  <c:v>0.0382170206617543</c:v>
                </c:pt>
                <c:pt idx="140">
                  <c:v>-0.0167002992136943</c:v>
                </c:pt>
                <c:pt idx="141">
                  <c:v>0.0075012384120019</c:v>
                </c:pt>
                <c:pt idx="142">
                  <c:v>0.0290791599353795</c:v>
                </c:pt>
                <c:pt idx="143">
                  <c:v>-0.0483243464609924</c:v>
                </c:pt>
                <c:pt idx="144">
                  <c:v>-0.00401635229147246</c:v>
                </c:pt>
                <c:pt idx="145">
                  <c:v>-0.00388852883992219</c:v>
                </c:pt>
                <c:pt idx="146">
                  <c:v>0.0103375984963492</c:v>
                </c:pt>
                <c:pt idx="147">
                  <c:v>0.0633228391528335</c:v>
                </c:pt>
                <c:pt idx="148">
                  <c:v>-0.0144001076643565</c:v>
                </c:pt>
                <c:pt idx="149">
                  <c:v>-0.0204820099679115</c:v>
                </c:pt>
                <c:pt idx="150">
                  <c:v>-0.0307381334076811</c:v>
                </c:pt>
                <c:pt idx="151">
                  <c:v>0.00618438084280149</c:v>
                </c:pt>
                <c:pt idx="152">
                  <c:v>0.00543167524299615</c:v>
                </c:pt>
                <c:pt idx="153">
                  <c:v>-0.00774808075063982</c:v>
                </c:pt>
                <c:pt idx="154">
                  <c:v>-0.0238555770470665</c:v>
                </c:pt>
                <c:pt idx="155">
                  <c:v>-0.011595479230882</c:v>
                </c:pt>
                <c:pt idx="156">
                  <c:v>0.00118800118800122</c:v>
                </c:pt>
                <c:pt idx="157">
                  <c:v>-0.0132749925838029</c:v>
                </c:pt>
                <c:pt idx="158">
                  <c:v>-0.0311161217587375</c:v>
                </c:pt>
              </c:numCache>
            </c:numRef>
          </c:val>
        </c:ser>
        <c:gapWidth val="150"/>
        <c:overlap val="0"/>
        <c:axId val="60691658"/>
        <c:axId val="93637442"/>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(Calc)'!$AE$3:$AE$500</c:f>
              <c:numCache>
                <c:formatCode>#,##0.00</c:formatCode>
                <c:ptCount val="498"/>
                <c:pt idx="0">
                  <c:v>111.84</c:v>
                </c:pt>
                <c:pt idx="1">
                  <c:v>111.948037974684</c:v>
                </c:pt>
                <c:pt idx="2">
                  <c:v>112.056075949367</c:v>
                </c:pt>
                <c:pt idx="3">
                  <c:v>112.164113924051</c:v>
                </c:pt>
                <c:pt idx="4">
                  <c:v>112.272151898734</c:v>
                </c:pt>
                <c:pt idx="5">
                  <c:v>112.380189873418</c:v>
                </c:pt>
                <c:pt idx="6">
                  <c:v>112.488227848101</c:v>
                </c:pt>
                <c:pt idx="7">
                  <c:v>112.596265822785</c:v>
                </c:pt>
                <c:pt idx="8">
                  <c:v>112.704303797468</c:v>
                </c:pt>
                <c:pt idx="9">
                  <c:v>112.812341772152</c:v>
                </c:pt>
                <c:pt idx="10">
                  <c:v>112.920379746835</c:v>
                </c:pt>
                <c:pt idx="11">
                  <c:v>113.028417721519</c:v>
                </c:pt>
                <c:pt idx="12">
                  <c:v>113.136455696203</c:v>
                </c:pt>
                <c:pt idx="13">
                  <c:v>113.244493670886</c:v>
                </c:pt>
                <c:pt idx="14">
                  <c:v>113.35253164557</c:v>
                </c:pt>
                <c:pt idx="15">
                  <c:v>113.460569620253</c:v>
                </c:pt>
                <c:pt idx="16">
                  <c:v>113.568607594937</c:v>
                </c:pt>
                <c:pt idx="17">
                  <c:v>113.67664556962</c:v>
                </c:pt>
                <c:pt idx="18">
                  <c:v>113.784683544304</c:v>
                </c:pt>
                <c:pt idx="19">
                  <c:v>113.892721518987</c:v>
                </c:pt>
                <c:pt idx="20">
                  <c:v>114.000759493671</c:v>
                </c:pt>
                <c:pt idx="21">
                  <c:v>114.108797468354</c:v>
                </c:pt>
                <c:pt idx="22">
                  <c:v>114.216835443038</c:v>
                </c:pt>
                <c:pt idx="23">
                  <c:v>114.324873417722</c:v>
                </c:pt>
                <c:pt idx="24">
                  <c:v>114.432911392405</c:v>
                </c:pt>
                <c:pt idx="25">
                  <c:v>114.540949367089</c:v>
                </c:pt>
                <c:pt idx="26">
                  <c:v>114.648987341772</c:v>
                </c:pt>
                <c:pt idx="27">
                  <c:v>114.757025316456</c:v>
                </c:pt>
                <c:pt idx="28">
                  <c:v>114.865063291139</c:v>
                </c:pt>
                <c:pt idx="29">
                  <c:v>114.973101265823</c:v>
                </c:pt>
                <c:pt idx="30">
                  <c:v>115.081139240506</c:v>
                </c:pt>
                <c:pt idx="31">
                  <c:v>115.18917721519</c:v>
                </c:pt>
                <c:pt idx="32">
                  <c:v>115.297215189873</c:v>
                </c:pt>
                <c:pt idx="33">
                  <c:v>115.405253164557</c:v>
                </c:pt>
                <c:pt idx="34">
                  <c:v>115.513291139241</c:v>
                </c:pt>
                <c:pt idx="35">
                  <c:v>115.621329113924</c:v>
                </c:pt>
                <c:pt idx="36">
                  <c:v>115.729367088608</c:v>
                </c:pt>
                <c:pt idx="37">
                  <c:v>115.837405063291</c:v>
                </c:pt>
                <c:pt idx="38">
                  <c:v>115.945443037975</c:v>
                </c:pt>
                <c:pt idx="39">
                  <c:v>116.053481012658</c:v>
                </c:pt>
                <c:pt idx="40">
                  <c:v>116.161518987342</c:v>
                </c:pt>
                <c:pt idx="41">
                  <c:v>116.269556962025</c:v>
                </c:pt>
                <c:pt idx="42">
                  <c:v>116.377594936709</c:v>
                </c:pt>
                <c:pt idx="43">
                  <c:v>116.485632911392</c:v>
                </c:pt>
                <c:pt idx="44">
                  <c:v>116.593670886076</c:v>
                </c:pt>
                <c:pt idx="45">
                  <c:v>116.70170886076</c:v>
                </c:pt>
                <c:pt idx="46">
                  <c:v>116.809746835443</c:v>
                </c:pt>
                <c:pt idx="47">
                  <c:v>116.917784810127</c:v>
                </c:pt>
                <c:pt idx="48">
                  <c:v>117.02582278481</c:v>
                </c:pt>
                <c:pt idx="49">
                  <c:v>117.133860759494</c:v>
                </c:pt>
                <c:pt idx="50">
                  <c:v>117.241898734177</c:v>
                </c:pt>
                <c:pt idx="51">
                  <c:v>117.349936708861</c:v>
                </c:pt>
                <c:pt idx="52">
                  <c:v>117.457974683544</c:v>
                </c:pt>
                <c:pt idx="53">
                  <c:v>117.566012658228</c:v>
                </c:pt>
                <c:pt idx="54">
                  <c:v>117.674050632911</c:v>
                </c:pt>
                <c:pt idx="55">
                  <c:v>117.782088607595</c:v>
                </c:pt>
                <c:pt idx="56">
                  <c:v>117.890126582278</c:v>
                </c:pt>
                <c:pt idx="57">
                  <c:v>117.998164556962</c:v>
                </c:pt>
                <c:pt idx="58">
                  <c:v>118.106202531646</c:v>
                </c:pt>
                <c:pt idx="59">
                  <c:v>118.214240506329</c:v>
                </c:pt>
                <c:pt idx="60">
                  <c:v>118.322278481013</c:v>
                </c:pt>
                <c:pt idx="61">
                  <c:v>118.430316455696</c:v>
                </c:pt>
                <c:pt idx="62">
                  <c:v>118.53835443038</c:v>
                </c:pt>
                <c:pt idx="63">
                  <c:v>118.646392405063</c:v>
                </c:pt>
                <c:pt idx="64">
                  <c:v>118.754430379747</c:v>
                </c:pt>
                <c:pt idx="65">
                  <c:v>118.86246835443</c:v>
                </c:pt>
                <c:pt idx="66">
                  <c:v>118.970506329114</c:v>
                </c:pt>
                <c:pt idx="67">
                  <c:v>119.078544303797</c:v>
                </c:pt>
                <c:pt idx="68">
                  <c:v>119.186582278481</c:v>
                </c:pt>
                <c:pt idx="69">
                  <c:v>119.294620253165</c:v>
                </c:pt>
                <c:pt idx="70">
                  <c:v>119.402658227848</c:v>
                </c:pt>
                <c:pt idx="71">
                  <c:v>119.510696202532</c:v>
                </c:pt>
                <c:pt idx="72">
                  <c:v>119.618734177215</c:v>
                </c:pt>
                <c:pt idx="73">
                  <c:v>119.726772151899</c:v>
                </c:pt>
                <c:pt idx="74">
                  <c:v>119.834810126582</c:v>
                </c:pt>
                <c:pt idx="75">
                  <c:v>119.942848101266</c:v>
                </c:pt>
                <c:pt idx="76">
                  <c:v>120.050886075949</c:v>
                </c:pt>
                <c:pt idx="77">
                  <c:v>120.158924050633</c:v>
                </c:pt>
                <c:pt idx="78">
                  <c:v>120.266962025316</c:v>
                </c:pt>
                <c:pt idx="79">
                  <c:v>120.375</c:v>
                </c:pt>
                <c:pt idx="80">
                  <c:v>120.483037974684</c:v>
                </c:pt>
                <c:pt idx="81">
                  <c:v>120.591075949367</c:v>
                </c:pt>
                <c:pt idx="82">
                  <c:v>120.699113924051</c:v>
                </c:pt>
                <c:pt idx="83">
                  <c:v>120.807151898734</c:v>
                </c:pt>
                <c:pt idx="84">
                  <c:v>120.915189873418</c:v>
                </c:pt>
                <c:pt idx="85">
                  <c:v>121.023227848101</c:v>
                </c:pt>
                <c:pt idx="86">
                  <c:v>121.131265822785</c:v>
                </c:pt>
                <c:pt idx="87">
                  <c:v>121.239303797468</c:v>
                </c:pt>
                <c:pt idx="88">
                  <c:v>121.347341772152</c:v>
                </c:pt>
                <c:pt idx="89">
                  <c:v>121.455379746835</c:v>
                </c:pt>
                <c:pt idx="90">
                  <c:v>121.563417721519</c:v>
                </c:pt>
                <c:pt idx="91">
                  <c:v>121.671455696203</c:v>
                </c:pt>
                <c:pt idx="92">
                  <c:v>121.779493670886</c:v>
                </c:pt>
                <c:pt idx="93">
                  <c:v>121.88753164557</c:v>
                </c:pt>
                <c:pt idx="94">
                  <c:v>121.995569620253</c:v>
                </c:pt>
                <c:pt idx="95">
                  <c:v>122.103607594937</c:v>
                </c:pt>
                <c:pt idx="96">
                  <c:v>122.21164556962</c:v>
                </c:pt>
                <c:pt idx="97">
                  <c:v>122.319683544304</c:v>
                </c:pt>
                <c:pt idx="98">
                  <c:v>122.427721518987</c:v>
                </c:pt>
                <c:pt idx="99">
                  <c:v>122.535759493671</c:v>
                </c:pt>
                <c:pt idx="100">
                  <c:v>122.643797468354</c:v>
                </c:pt>
                <c:pt idx="101">
                  <c:v>122.751835443038</c:v>
                </c:pt>
                <c:pt idx="102">
                  <c:v>122.859873417722</c:v>
                </c:pt>
                <c:pt idx="103">
                  <c:v>122.967911392405</c:v>
                </c:pt>
                <c:pt idx="104">
                  <c:v>123.075949367089</c:v>
                </c:pt>
                <c:pt idx="105">
                  <c:v>123.183987341772</c:v>
                </c:pt>
                <c:pt idx="106">
                  <c:v>123.292025316456</c:v>
                </c:pt>
                <c:pt idx="107">
                  <c:v>123.400063291139</c:v>
                </c:pt>
                <c:pt idx="108">
                  <c:v>123.508101265823</c:v>
                </c:pt>
                <c:pt idx="109">
                  <c:v>123.616139240506</c:v>
                </c:pt>
                <c:pt idx="110">
                  <c:v>123.72417721519</c:v>
                </c:pt>
                <c:pt idx="111">
                  <c:v>123.832215189873</c:v>
                </c:pt>
                <c:pt idx="112">
                  <c:v>123.940253164557</c:v>
                </c:pt>
                <c:pt idx="113">
                  <c:v>124.048291139241</c:v>
                </c:pt>
                <c:pt idx="114">
                  <c:v>124.156329113924</c:v>
                </c:pt>
                <c:pt idx="115">
                  <c:v>124.264367088608</c:v>
                </c:pt>
                <c:pt idx="116">
                  <c:v>124.372405063291</c:v>
                </c:pt>
                <c:pt idx="117">
                  <c:v>124.480443037975</c:v>
                </c:pt>
                <c:pt idx="118">
                  <c:v>124.588481012658</c:v>
                </c:pt>
                <c:pt idx="119">
                  <c:v>124.696518987342</c:v>
                </c:pt>
                <c:pt idx="120">
                  <c:v>124.804556962025</c:v>
                </c:pt>
                <c:pt idx="121">
                  <c:v>124.912594936709</c:v>
                </c:pt>
                <c:pt idx="122">
                  <c:v>125.020632911392</c:v>
                </c:pt>
                <c:pt idx="123">
                  <c:v>125.128670886076</c:v>
                </c:pt>
                <c:pt idx="124">
                  <c:v>125.236708860759</c:v>
                </c:pt>
                <c:pt idx="125">
                  <c:v>125.344746835443</c:v>
                </c:pt>
                <c:pt idx="126">
                  <c:v>125.452784810127</c:v>
                </c:pt>
                <c:pt idx="127">
                  <c:v>125.56082278481</c:v>
                </c:pt>
                <c:pt idx="128">
                  <c:v>125.668860759494</c:v>
                </c:pt>
                <c:pt idx="129">
                  <c:v>125.776898734177</c:v>
                </c:pt>
                <c:pt idx="130">
                  <c:v>125.884936708861</c:v>
                </c:pt>
                <c:pt idx="131">
                  <c:v>125.992974683544</c:v>
                </c:pt>
                <c:pt idx="132">
                  <c:v>126.101012658228</c:v>
                </c:pt>
                <c:pt idx="133">
                  <c:v>126.209050632911</c:v>
                </c:pt>
                <c:pt idx="134">
                  <c:v>126.317088607595</c:v>
                </c:pt>
                <c:pt idx="135">
                  <c:v>126.425126582278</c:v>
                </c:pt>
                <c:pt idx="136">
                  <c:v>126.533164556962</c:v>
                </c:pt>
                <c:pt idx="137">
                  <c:v>126.641202531646</c:v>
                </c:pt>
                <c:pt idx="138">
                  <c:v>126.749240506329</c:v>
                </c:pt>
                <c:pt idx="139">
                  <c:v>126.857278481013</c:v>
                </c:pt>
                <c:pt idx="140">
                  <c:v>126.965316455696</c:v>
                </c:pt>
                <c:pt idx="141">
                  <c:v>127.07335443038</c:v>
                </c:pt>
                <c:pt idx="142">
                  <c:v>127.181392405063</c:v>
                </c:pt>
                <c:pt idx="143">
                  <c:v>127.289430379747</c:v>
                </c:pt>
                <c:pt idx="144">
                  <c:v>127.39746835443</c:v>
                </c:pt>
                <c:pt idx="145">
                  <c:v>127.505506329114</c:v>
                </c:pt>
                <c:pt idx="146">
                  <c:v>127.613544303797</c:v>
                </c:pt>
                <c:pt idx="147">
                  <c:v>127.721582278481</c:v>
                </c:pt>
                <c:pt idx="148">
                  <c:v>127.829620253165</c:v>
                </c:pt>
                <c:pt idx="149">
                  <c:v>127.937658227848</c:v>
                </c:pt>
                <c:pt idx="150">
                  <c:v>128.045696202532</c:v>
                </c:pt>
                <c:pt idx="151">
                  <c:v>128.153734177215</c:v>
                </c:pt>
                <c:pt idx="152">
                  <c:v>128.261772151899</c:v>
                </c:pt>
                <c:pt idx="153">
                  <c:v>128.369810126582</c:v>
                </c:pt>
                <c:pt idx="154">
                  <c:v>128.477848101266</c:v>
                </c:pt>
                <c:pt idx="155">
                  <c:v>128.585886075949</c:v>
                </c:pt>
                <c:pt idx="156">
                  <c:v>128.693924050633</c:v>
                </c:pt>
                <c:pt idx="157">
                  <c:v>128.801962025316</c:v>
                </c:pt>
                <c:pt idx="158">
                  <c:v>128.91</c:v>
                </c:pt>
                <c:pt idx="159">
                  <c:v>129.018037974684</c:v>
                </c:pt>
              </c:numCache>
            </c:numRef>
          </c:val>
          <c:smooth val="0"/>
        </c:ser>
        <c:hiLowLines>
          <c:spPr>
            <a:ln w="0">
              <a:noFill/>
            </a:ln>
          </c:spPr>
        </c:hiLowLines>
        <c:marker val="0"/>
        <c:axId val="62518937"/>
        <c:axId val="41757096"/>
      </c:lineChart>
      <c:dateAx>
        <c:axId val="6069165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637442"/>
        <c:auto val="1"/>
        <c:lblOffset val="100"/>
        <c:baseTimeUnit val="days"/>
      </c:dateAx>
      <c:valAx>
        <c:axId val="9363744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691658"/>
        <c:crosses val="autoZero"/>
        <c:crossBetween val="between"/>
      </c:valAx>
      <c:dateAx>
        <c:axId val="6251893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757096"/>
        <c:auto val="1"/>
        <c:lblOffset val="100"/>
        <c:baseTimeUnit val="days"/>
      </c:dateAx>
      <c:valAx>
        <c:axId val="4175709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51893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(Calc)'!$K$3:$K$500</c:f>
              <c:numCache>
                <c:formatCode>0.0%</c:formatCode>
                <c:ptCount val="498"/>
                <c:pt idx="0">
                  <c:v>-0.0782778864970646</c:v>
                </c:pt>
                <c:pt idx="1">
                  <c:v>0.132342533616419</c:v>
                </c:pt>
                <c:pt idx="2">
                  <c:v>0.038125</c:v>
                </c:pt>
                <c:pt idx="3">
                  <c:v>0.0451535219747141</c:v>
                </c:pt>
                <c:pt idx="4">
                  <c:v>-0.0720046082949308</c:v>
                </c:pt>
                <c:pt idx="5">
                  <c:v>-0.0645561762880198</c:v>
                </c:pt>
                <c:pt idx="6">
                  <c:v>0.253483742534838</c:v>
                </c:pt>
                <c:pt idx="7">
                  <c:v>0.0412916887241928</c:v>
                </c:pt>
                <c:pt idx="8">
                  <c:v>0.0416878495170308</c:v>
                </c:pt>
                <c:pt idx="9">
                  <c:v>-0.0629575402635432</c:v>
                </c:pt>
                <c:pt idx="10">
                  <c:v>0.0557291666666666</c:v>
                </c:pt>
                <c:pt idx="11">
                  <c:v>-0.123334977799704</c:v>
                </c:pt>
                <c:pt idx="12">
                  <c:v>0.024198086662915</c:v>
                </c:pt>
                <c:pt idx="13">
                  <c:v>-0.0434065934065934</c:v>
                </c:pt>
                <c:pt idx="14">
                  <c:v>-0.0137851809304996</c:v>
                </c:pt>
                <c:pt idx="15">
                  <c:v>-0.0693069306930694</c:v>
                </c:pt>
                <c:pt idx="16">
                  <c:v>0.0488110137672091</c:v>
                </c:pt>
                <c:pt idx="17">
                  <c:v>0.00119331742243434</c:v>
                </c:pt>
                <c:pt idx="18">
                  <c:v>-0.0256257449344458</c:v>
                </c:pt>
                <c:pt idx="19">
                  <c:v>0.0409785932721711</c:v>
                </c:pt>
                <c:pt idx="20">
                  <c:v>0.432432432432432</c:v>
                </c:pt>
                <c:pt idx="21">
                  <c:v>0.00246103363412642</c:v>
                </c:pt>
                <c:pt idx="22">
                  <c:v>-0.0601472995090018</c:v>
                </c:pt>
                <c:pt idx="23">
                  <c:v>0.0853286895951242</c:v>
                </c:pt>
                <c:pt idx="24">
                  <c:v>0.0445246690734056</c:v>
                </c:pt>
                <c:pt idx="25">
                  <c:v>-0.097926267281106</c:v>
                </c:pt>
                <c:pt idx="26">
                  <c:v>0.029374201787995</c:v>
                </c:pt>
                <c:pt idx="27">
                  <c:v>-0.0483870967741935</c:v>
                </c:pt>
                <c:pt idx="28">
                  <c:v>-0.00217296827466318</c:v>
                </c:pt>
                <c:pt idx="29">
                  <c:v>-0.0126306620209059</c:v>
                </c:pt>
                <c:pt idx="30">
                  <c:v>-0.0970445522717248</c:v>
                </c:pt>
                <c:pt idx="31">
                  <c:v>0.100146555935515</c:v>
                </c:pt>
                <c:pt idx="32">
                  <c:v>0.0359680284191828</c:v>
                </c:pt>
                <c:pt idx="33">
                  <c:v>-0.11701671667381</c:v>
                </c:pt>
                <c:pt idx="34">
                  <c:v>0.0563106796116506</c:v>
                </c:pt>
                <c:pt idx="35">
                  <c:v>-0.0344669117647058</c:v>
                </c:pt>
                <c:pt idx="36">
                  <c:v>0.031889576392194</c:v>
                </c:pt>
                <c:pt idx="37">
                  <c:v>0.0751845018450184</c:v>
                </c:pt>
                <c:pt idx="38">
                  <c:v>0.0111540111540112</c:v>
                </c:pt>
                <c:pt idx="39">
                  <c:v>0.0114552397114978</c:v>
                </c:pt>
                <c:pt idx="40">
                  <c:v>0.0625</c:v>
                </c:pt>
                <c:pt idx="41">
                  <c:v>0.0750098697197001</c:v>
                </c:pt>
                <c:pt idx="42">
                  <c:v>0.0308483290488433</c:v>
                </c:pt>
                <c:pt idx="43">
                  <c:v>0.0181688635553972</c:v>
                </c:pt>
                <c:pt idx="44">
                  <c:v>-0.0489853044086773</c:v>
                </c:pt>
                <c:pt idx="45">
                  <c:v>-0.0897718910963945</c:v>
                </c:pt>
                <c:pt idx="46">
                  <c:v>0.21301535974131</c:v>
                </c:pt>
                <c:pt idx="47">
                  <c:v>0.0689770076641119</c:v>
                </c:pt>
                <c:pt idx="48">
                  <c:v>-0.00935162094763087</c:v>
                </c:pt>
                <c:pt idx="49">
                  <c:v>-0.0094398993077407</c:v>
                </c:pt>
                <c:pt idx="50">
                  <c:v>-0.0365311308767472</c:v>
                </c:pt>
                <c:pt idx="51">
                  <c:v>0.173425651170458</c:v>
                </c:pt>
                <c:pt idx="52">
                  <c:v>0.0452374262433268</c:v>
                </c:pt>
                <c:pt idx="53">
                  <c:v>-0.00967741935483868</c:v>
                </c:pt>
                <c:pt idx="54">
                  <c:v>0.0860477741585233</c:v>
                </c:pt>
                <c:pt idx="55">
                  <c:v>0.0874781304673831</c:v>
                </c:pt>
                <c:pt idx="56">
                  <c:v>-0.01241094001379</c:v>
                </c:pt>
                <c:pt idx="57">
                  <c:v>0.0439841750058181</c:v>
                </c:pt>
                <c:pt idx="58">
                  <c:v>-0.0655372269282211</c:v>
                </c:pt>
                <c:pt idx="59">
                  <c:v>0.392891221374046</c:v>
                </c:pt>
                <c:pt idx="60">
                  <c:v>0.126391505394759</c:v>
                </c:pt>
                <c:pt idx="61">
                  <c:v>-0.0215903907556637</c:v>
                </c:pt>
                <c:pt idx="62">
                  <c:v>0.0424242424242425</c:v>
                </c:pt>
                <c:pt idx="63">
                  <c:v>0.13804412641622</c:v>
                </c:pt>
                <c:pt idx="64">
                  <c:v>-0.00353680901231346</c:v>
                </c:pt>
                <c:pt idx="65">
                  <c:v>0.0588931247535165</c:v>
                </c:pt>
                <c:pt idx="66">
                  <c:v>-0.0182495344506518</c:v>
                </c:pt>
                <c:pt idx="67">
                  <c:v>0.0102427921092565</c:v>
                </c:pt>
                <c:pt idx="68">
                  <c:v>-0.1580923770184</c:v>
                </c:pt>
                <c:pt idx="69">
                  <c:v>0.0670532262860539</c:v>
                </c:pt>
                <c:pt idx="70">
                  <c:v>0.100459802145743</c:v>
                </c:pt>
                <c:pt idx="71">
                  <c:v>0.0444416307926057</c:v>
                </c:pt>
                <c:pt idx="72">
                  <c:v>0.343799248393745</c:v>
                </c:pt>
                <c:pt idx="73">
                  <c:v>0.0749661705006766</c:v>
                </c:pt>
                <c:pt idx="74">
                  <c:v>-0.149462907015777</c:v>
                </c:pt>
                <c:pt idx="75">
                  <c:v>-0.162111494819931</c:v>
                </c:pt>
                <c:pt idx="76">
                  <c:v>-0.000117757889778636</c:v>
                </c:pt>
                <c:pt idx="77">
                  <c:v>0.0156636438582027</c:v>
                </c:pt>
                <c:pt idx="78">
                  <c:v>0.0547309833024119</c:v>
                </c:pt>
                <c:pt idx="79">
                  <c:v>-0.0561785400175902</c:v>
                </c:pt>
                <c:pt idx="80">
                  <c:v>-0.137914967967385</c:v>
                </c:pt>
                <c:pt idx="81">
                  <c:v>0.196459937846237</c:v>
                </c:pt>
                <c:pt idx="82">
                  <c:v>0.0590626764539808</c:v>
                </c:pt>
                <c:pt idx="83">
                  <c:v>0.202601834079761</c:v>
                </c:pt>
                <c:pt idx="84">
                  <c:v>0.101968434119525</c:v>
                </c:pt>
                <c:pt idx="85">
                  <c:v>-0.0561635017701964</c:v>
                </c:pt>
                <c:pt idx="86">
                  <c:v>0.104177323103154</c:v>
                </c:pt>
                <c:pt idx="87">
                  <c:v>-0.0479462631253861</c:v>
                </c:pt>
                <c:pt idx="88">
                  <c:v>0.0686886708296164</c:v>
                </c:pt>
                <c:pt idx="89">
                  <c:v>-0.0308089239641828</c:v>
                </c:pt>
                <c:pt idx="90">
                  <c:v>0.0757907923582839</c:v>
                </c:pt>
                <c:pt idx="91">
                  <c:v>-0.000727802037845615</c:v>
                </c:pt>
                <c:pt idx="92">
                  <c:v>-0.0477785870356883</c:v>
                </c:pt>
                <c:pt idx="93">
                  <c:v>0.0276885421447148</c:v>
                </c:pt>
                <c:pt idx="94">
                  <c:v>0.0576064304852633</c:v>
                </c:pt>
                <c:pt idx="95">
                  <c:v>0.08036593947924</c:v>
                </c:pt>
                <c:pt idx="96">
                  <c:v>0.0343929129755081</c:v>
                </c:pt>
                <c:pt idx="97">
                  <c:v>-0.0285264483627204</c:v>
                </c:pt>
                <c:pt idx="98">
                  <c:v>0.211901212160498</c:v>
                </c:pt>
                <c:pt idx="99">
                  <c:v>-0.0523641420624734</c:v>
                </c:pt>
                <c:pt idx="100">
                  <c:v>-0.104024383360614</c:v>
                </c:pt>
                <c:pt idx="101">
                  <c:v>-0.0127882071311579</c:v>
                </c:pt>
                <c:pt idx="102">
                  <c:v>-0.0229723693446493</c:v>
                </c:pt>
                <c:pt idx="103">
                  <c:v>0.119652537391418</c:v>
                </c:pt>
                <c:pt idx="104">
                  <c:v>0.0639328005599953</c:v>
                </c:pt>
                <c:pt idx="105">
                  <c:v>-0.0264268874390043</c:v>
                </c:pt>
                <c:pt idx="106">
                  <c:v>-0.025342118601115</c:v>
                </c:pt>
                <c:pt idx="107">
                  <c:v>0.0136938810885769</c:v>
                </c:pt>
                <c:pt idx="108">
                  <c:v>0.0154468764249887</c:v>
                </c:pt>
                <c:pt idx="109">
                  <c:v>0.0363738422677518</c:v>
                </c:pt>
                <c:pt idx="110">
                  <c:v>0.0857932080376971</c:v>
                </c:pt>
                <c:pt idx="111">
                  <c:v>-0.112435775926573</c:v>
                </c:pt>
                <c:pt idx="112">
                  <c:v>-0.0220311358399371</c:v>
                </c:pt>
                <c:pt idx="113">
                  <c:v>-0.110108614447446</c:v>
                </c:pt>
                <c:pt idx="114">
                  <c:v>0.0878269292864062</c:v>
                </c:pt>
                <c:pt idx="115">
                  <c:v>0.0790145443751855</c:v>
                </c:pt>
                <c:pt idx="116">
                  <c:v>0.00995818661971826</c:v>
                </c:pt>
                <c:pt idx="117">
                  <c:v>0.0534401045922537</c:v>
                </c:pt>
                <c:pt idx="118">
                  <c:v>-0.0241493432619712</c:v>
                </c:pt>
                <c:pt idx="119">
                  <c:v>-0.110486990620529</c:v>
                </c:pt>
                <c:pt idx="120">
                  <c:v>0.0573692362683189</c:v>
                </c:pt>
                <c:pt idx="121">
                  <c:v>-0.0367908051157811</c:v>
                </c:pt>
                <c:pt idx="122">
                  <c:v>-0.0079550772110436</c:v>
                </c:pt>
                <c:pt idx="123">
                  <c:v>-0.135672169811321</c:v>
                </c:pt>
                <c:pt idx="124">
                  <c:v>-0.0729244832526093</c:v>
                </c:pt>
                <c:pt idx="125">
                  <c:v>-0.0330389992641649</c:v>
                </c:pt>
                <c:pt idx="126">
                  <c:v>0.0291454227227761</c:v>
                </c:pt>
                <c:pt idx="127">
                  <c:v>0.014418811002662</c:v>
                </c:pt>
                <c:pt idx="128">
                  <c:v>0.145564545520811</c:v>
                </c:pt>
                <c:pt idx="129">
                  <c:v>-0.0395138712140495</c:v>
                </c:pt>
                <c:pt idx="130">
                  <c:v>-0.00178867174561104</c:v>
                </c:pt>
                <c:pt idx="131">
                  <c:v>-0.0505707459516858</c:v>
                </c:pt>
                <c:pt idx="132">
                  <c:v>0.0377464001118413</c:v>
                </c:pt>
                <c:pt idx="133">
                  <c:v>-0.13741075037047</c:v>
                </c:pt>
                <c:pt idx="134">
                  <c:v>0.143136029985944</c:v>
                </c:pt>
                <c:pt idx="135">
                  <c:v>-0.0225425233964067</c:v>
                </c:pt>
                <c:pt idx="136">
                  <c:v>0.00684883639667344</c:v>
                </c:pt>
                <c:pt idx="137">
                  <c:v>-0.0435205108627749</c:v>
                </c:pt>
                <c:pt idx="138">
                  <c:v>-0.0276487663280116</c:v>
                </c:pt>
                <c:pt idx="139">
                  <c:v>0.0215687737890886</c:v>
                </c:pt>
                <c:pt idx="140">
                  <c:v>0.143629456458211</c:v>
                </c:pt>
                <c:pt idx="141">
                  <c:v>-0.134214897150888</c:v>
                </c:pt>
                <c:pt idx="142">
                  <c:v>-0.0556334390909762</c:v>
                </c:pt>
                <c:pt idx="143">
                  <c:v>0.00375029299163998</c:v>
                </c:pt>
                <c:pt idx="144">
                  <c:v>-0.120962092317273</c:v>
                </c:pt>
                <c:pt idx="145">
                  <c:v>0.144957053041707</c:v>
                </c:pt>
                <c:pt idx="146">
                  <c:v>-0.0194122196442382</c:v>
                </c:pt>
                <c:pt idx="147">
                  <c:v>0.0440886505244893</c:v>
                </c:pt>
                <c:pt idx="148">
                  <c:v>-0.0714609457621996</c:v>
                </c:pt>
                <c:pt idx="149">
                  <c:v>0.00113895216400906</c:v>
                </c:pt>
                <c:pt idx="150">
                  <c:v>0.397773443848529</c:v>
                </c:pt>
                <c:pt idx="151">
                  <c:v>0.0118016394395675</c:v>
                </c:pt>
                <c:pt idx="152">
                  <c:v>0.0339002528154448</c:v>
                </c:pt>
                <c:pt idx="153">
                  <c:v>0.0352895409580971</c:v>
                </c:pt>
                <c:pt idx="154">
                  <c:v>-0.0642009769713886</c:v>
                </c:pt>
                <c:pt idx="155">
                  <c:v>-0.0407273561635979</c:v>
                </c:pt>
                <c:pt idx="156">
                  <c:v>0.0622495963642886</c:v>
                </c:pt>
                <c:pt idx="157">
                  <c:v>0.0677212339563162</c:v>
                </c:pt>
                <c:pt idx="158">
                  <c:v>-0.00485052986766488</c:v>
                </c:pt>
              </c:numCache>
            </c:numRef>
          </c:val>
        </c:ser>
        <c:gapWidth val="150"/>
        <c:overlap val="0"/>
        <c:axId val="70993325"/>
        <c:axId val="38968217"/>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(Calc)'!$AF$3:$AF$500</c:f>
              <c:numCache>
                <c:formatCode>#,##0.00</c:formatCode>
                <c:ptCount val="498"/>
                <c:pt idx="0">
                  <c:v>15.33</c:v>
                </c:pt>
                <c:pt idx="1">
                  <c:v>16.4275949367089</c:v>
                </c:pt>
                <c:pt idx="2">
                  <c:v>17.5251898734177</c:v>
                </c:pt>
                <c:pt idx="3">
                  <c:v>18.6227848101266</c:v>
                </c:pt>
                <c:pt idx="4">
                  <c:v>19.7203797468354</c:v>
                </c:pt>
                <c:pt idx="5">
                  <c:v>20.8179746835443</c:v>
                </c:pt>
                <c:pt idx="6">
                  <c:v>21.9155696202532</c:v>
                </c:pt>
                <c:pt idx="7">
                  <c:v>23.013164556962</c:v>
                </c:pt>
                <c:pt idx="8">
                  <c:v>24.1107594936709</c:v>
                </c:pt>
                <c:pt idx="9">
                  <c:v>25.2083544303797</c:v>
                </c:pt>
                <c:pt idx="10">
                  <c:v>26.3059493670886</c:v>
                </c:pt>
                <c:pt idx="11">
                  <c:v>27.4035443037975</c:v>
                </c:pt>
                <c:pt idx="12">
                  <c:v>28.5011392405063</c:v>
                </c:pt>
                <c:pt idx="13">
                  <c:v>29.5987341772152</c:v>
                </c:pt>
                <c:pt idx="14">
                  <c:v>30.6963291139241</c:v>
                </c:pt>
                <c:pt idx="15">
                  <c:v>31.7939240506329</c:v>
                </c:pt>
                <c:pt idx="16">
                  <c:v>32.8915189873418</c:v>
                </c:pt>
                <c:pt idx="17">
                  <c:v>33.9891139240506</c:v>
                </c:pt>
                <c:pt idx="18">
                  <c:v>35.0867088607595</c:v>
                </c:pt>
                <c:pt idx="19">
                  <c:v>36.1843037974684</c:v>
                </c:pt>
                <c:pt idx="20">
                  <c:v>37.2818987341772</c:v>
                </c:pt>
                <c:pt idx="21">
                  <c:v>38.3794936708861</c:v>
                </c:pt>
                <c:pt idx="22">
                  <c:v>39.4770886075949</c:v>
                </c:pt>
                <c:pt idx="23">
                  <c:v>40.5746835443038</c:v>
                </c:pt>
                <c:pt idx="24">
                  <c:v>41.6722784810127</c:v>
                </c:pt>
                <c:pt idx="25">
                  <c:v>42.7698734177215</c:v>
                </c:pt>
                <c:pt idx="26">
                  <c:v>43.8674683544304</c:v>
                </c:pt>
                <c:pt idx="27">
                  <c:v>44.9650632911392</c:v>
                </c:pt>
                <c:pt idx="28">
                  <c:v>46.0626582278481</c:v>
                </c:pt>
                <c:pt idx="29">
                  <c:v>47.160253164557</c:v>
                </c:pt>
                <c:pt idx="30">
                  <c:v>48.2578481012658</c:v>
                </c:pt>
                <c:pt idx="31">
                  <c:v>49.3554430379747</c:v>
                </c:pt>
                <c:pt idx="32">
                  <c:v>50.4530379746835</c:v>
                </c:pt>
                <c:pt idx="33">
                  <c:v>51.5506329113924</c:v>
                </c:pt>
                <c:pt idx="34">
                  <c:v>52.6482278481013</c:v>
                </c:pt>
                <c:pt idx="35">
                  <c:v>53.7458227848101</c:v>
                </c:pt>
                <c:pt idx="36">
                  <c:v>54.843417721519</c:v>
                </c:pt>
                <c:pt idx="37">
                  <c:v>55.9410126582279</c:v>
                </c:pt>
                <c:pt idx="38">
                  <c:v>57.0386075949367</c:v>
                </c:pt>
                <c:pt idx="39">
                  <c:v>58.1362025316456</c:v>
                </c:pt>
                <c:pt idx="40">
                  <c:v>59.2337974683544</c:v>
                </c:pt>
                <c:pt idx="41">
                  <c:v>60.3313924050633</c:v>
                </c:pt>
                <c:pt idx="42">
                  <c:v>61.4289873417722</c:v>
                </c:pt>
                <c:pt idx="43">
                  <c:v>62.526582278481</c:v>
                </c:pt>
                <c:pt idx="44">
                  <c:v>63.6241772151899</c:v>
                </c:pt>
                <c:pt idx="45">
                  <c:v>64.7217721518987</c:v>
                </c:pt>
                <c:pt idx="46">
                  <c:v>65.8193670886076</c:v>
                </c:pt>
                <c:pt idx="47">
                  <c:v>66.9169620253165</c:v>
                </c:pt>
                <c:pt idx="48">
                  <c:v>68.0145569620253</c:v>
                </c:pt>
                <c:pt idx="49">
                  <c:v>69.1121518987342</c:v>
                </c:pt>
                <c:pt idx="50">
                  <c:v>70.209746835443</c:v>
                </c:pt>
                <c:pt idx="51">
                  <c:v>71.3073417721519</c:v>
                </c:pt>
                <c:pt idx="52">
                  <c:v>72.4049367088608</c:v>
                </c:pt>
                <c:pt idx="53">
                  <c:v>73.5025316455696</c:v>
                </c:pt>
                <c:pt idx="54">
                  <c:v>74.6001265822785</c:v>
                </c:pt>
                <c:pt idx="55">
                  <c:v>75.6977215189873</c:v>
                </c:pt>
                <c:pt idx="56">
                  <c:v>76.7953164556962</c:v>
                </c:pt>
                <c:pt idx="57">
                  <c:v>77.8929113924051</c:v>
                </c:pt>
                <c:pt idx="58">
                  <c:v>78.9905063291139</c:v>
                </c:pt>
                <c:pt idx="59">
                  <c:v>80.0881012658228</c:v>
                </c:pt>
                <c:pt idx="60">
                  <c:v>81.1856962025316</c:v>
                </c:pt>
                <c:pt idx="61">
                  <c:v>82.2832911392405</c:v>
                </c:pt>
                <c:pt idx="62">
                  <c:v>83.3808860759494</c:v>
                </c:pt>
                <c:pt idx="63">
                  <c:v>84.4784810126582</c:v>
                </c:pt>
                <c:pt idx="64">
                  <c:v>85.5760759493671</c:v>
                </c:pt>
                <c:pt idx="65">
                  <c:v>86.6736708860759</c:v>
                </c:pt>
                <c:pt idx="66">
                  <c:v>87.7712658227848</c:v>
                </c:pt>
                <c:pt idx="67">
                  <c:v>88.8688607594937</c:v>
                </c:pt>
                <c:pt idx="68">
                  <c:v>89.9664556962025</c:v>
                </c:pt>
                <c:pt idx="69">
                  <c:v>91.0640506329114</c:v>
                </c:pt>
                <c:pt idx="70">
                  <c:v>92.1616455696203</c:v>
                </c:pt>
                <c:pt idx="71">
                  <c:v>93.2592405063291</c:v>
                </c:pt>
                <c:pt idx="72">
                  <c:v>94.356835443038</c:v>
                </c:pt>
                <c:pt idx="73">
                  <c:v>95.4544303797468</c:v>
                </c:pt>
                <c:pt idx="74">
                  <c:v>96.5520253164557</c:v>
                </c:pt>
                <c:pt idx="75">
                  <c:v>97.6496202531645</c:v>
                </c:pt>
                <c:pt idx="76">
                  <c:v>98.7472151898734</c:v>
                </c:pt>
                <c:pt idx="77">
                  <c:v>99.8448101265823</c:v>
                </c:pt>
                <c:pt idx="78">
                  <c:v>100.942405063291</c:v>
                </c:pt>
                <c:pt idx="79">
                  <c:v>102.04</c:v>
                </c:pt>
                <c:pt idx="80">
                  <c:v>103.137594936709</c:v>
                </c:pt>
                <c:pt idx="81">
                  <c:v>104.235189873418</c:v>
                </c:pt>
                <c:pt idx="82">
                  <c:v>105.332784810127</c:v>
                </c:pt>
                <c:pt idx="83">
                  <c:v>106.430379746835</c:v>
                </c:pt>
                <c:pt idx="84">
                  <c:v>107.527974683544</c:v>
                </c:pt>
                <c:pt idx="85">
                  <c:v>108.625569620253</c:v>
                </c:pt>
                <c:pt idx="86">
                  <c:v>109.723164556962</c:v>
                </c:pt>
                <c:pt idx="87">
                  <c:v>110.820759493671</c:v>
                </c:pt>
                <c:pt idx="88">
                  <c:v>111.91835443038</c:v>
                </c:pt>
                <c:pt idx="89">
                  <c:v>113.015949367089</c:v>
                </c:pt>
                <c:pt idx="90">
                  <c:v>114.113544303797</c:v>
                </c:pt>
                <c:pt idx="91">
                  <c:v>115.211139240506</c:v>
                </c:pt>
                <c:pt idx="92">
                  <c:v>116.308734177215</c:v>
                </c:pt>
                <c:pt idx="93">
                  <c:v>117.406329113924</c:v>
                </c:pt>
                <c:pt idx="94">
                  <c:v>118.503924050633</c:v>
                </c:pt>
                <c:pt idx="95">
                  <c:v>119.601518987342</c:v>
                </c:pt>
                <c:pt idx="96">
                  <c:v>120.699113924051</c:v>
                </c:pt>
                <c:pt idx="97">
                  <c:v>121.796708860759</c:v>
                </c:pt>
                <c:pt idx="98">
                  <c:v>122.894303797468</c:v>
                </c:pt>
                <c:pt idx="99">
                  <c:v>123.991898734177</c:v>
                </c:pt>
                <c:pt idx="100">
                  <c:v>125.089493670886</c:v>
                </c:pt>
                <c:pt idx="101">
                  <c:v>126.187088607595</c:v>
                </c:pt>
                <c:pt idx="102">
                  <c:v>127.284683544304</c:v>
                </c:pt>
                <c:pt idx="103">
                  <c:v>128.382278481013</c:v>
                </c:pt>
                <c:pt idx="104">
                  <c:v>129.479873417722</c:v>
                </c:pt>
                <c:pt idx="105">
                  <c:v>130.57746835443</c:v>
                </c:pt>
                <c:pt idx="106">
                  <c:v>131.675063291139</c:v>
                </c:pt>
                <c:pt idx="107">
                  <c:v>132.772658227848</c:v>
                </c:pt>
                <c:pt idx="108">
                  <c:v>133.870253164557</c:v>
                </c:pt>
                <c:pt idx="109">
                  <c:v>134.967848101266</c:v>
                </c:pt>
                <c:pt idx="110">
                  <c:v>136.065443037975</c:v>
                </c:pt>
                <c:pt idx="111">
                  <c:v>137.163037974684</c:v>
                </c:pt>
                <c:pt idx="112">
                  <c:v>138.260632911392</c:v>
                </c:pt>
                <c:pt idx="113">
                  <c:v>139.358227848101</c:v>
                </c:pt>
                <c:pt idx="114">
                  <c:v>140.45582278481</c:v>
                </c:pt>
                <c:pt idx="115">
                  <c:v>141.553417721519</c:v>
                </c:pt>
                <c:pt idx="116">
                  <c:v>142.651012658228</c:v>
                </c:pt>
                <c:pt idx="117">
                  <c:v>143.748607594937</c:v>
                </c:pt>
                <c:pt idx="118">
                  <c:v>144.846202531646</c:v>
                </c:pt>
                <c:pt idx="119">
                  <c:v>145.943797468354</c:v>
                </c:pt>
                <c:pt idx="120">
                  <c:v>147.041392405063</c:v>
                </c:pt>
                <c:pt idx="121">
                  <c:v>148.138987341772</c:v>
                </c:pt>
                <c:pt idx="122">
                  <c:v>149.236582278481</c:v>
                </c:pt>
                <c:pt idx="123">
                  <c:v>150.33417721519</c:v>
                </c:pt>
                <c:pt idx="124">
                  <c:v>151.431772151899</c:v>
                </c:pt>
                <c:pt idx="125">
                  <c:v>152.529367088608</c:v>
                </c:pt>
                <c:pt idx="126">
                  <c:v>153.626962025316</c:v>
                </c:pt>
                <c:pt idx="127">
                  <c:v>154.724556962025</c:v>
                </c:pt>
                <c:pt idx="128">
                  <c:v>155.822151898734</c:v>
                </c:pt>
                <c:pt idx="129">
                  <c:v>156.919746835443</c:v>
                </c:pt>
                <c:pt idx="130">
                  <c:v>158.017341772152</c:v>
                </c:pt>
                <c:pt idx="131">
                  <c:v>159.114936708861</c:v>
                </c:pt>
                <c:pt idx="132">
                  <c:v>160.21253164557</c:v>
                </c:pt>
                <c:pt idx="133">
                  <c:v>161.310126582278</c:v>
                </c:pt>
                <c:pt idx="134">
                  <c:v>162.407721518987</c:v>
                </c:pt>
                <c:pt idx="135">
                  <c:v>163.505316455696</c:v>
                </c:pt>
                <c:pt idx="136">
                  <c:v>164.602911392405</c:v>
                </c:pt>
                <c:pt idx="137">
                  <c:v>165.700506329114</c:v>
                </c:pt>
                <c:pt idx="138">
                  <c:v>166.798101265823</c:v>
                </c:pt>
                <c:pt idx="139">
                  <c:v>167.895696202532</c:v>
                </c:pt>
                <c:pt idx="140">
                  <c:v>168.993291139241</c:v>
                </c:pt>
                <c:pt idx="141">
                  <c:v>170.090886075949</c:v>
                </c:pt>
                <c:pt idx="142">
                  <c:v>171.188481012658</c:v>
                </c:pt>
                <c:pt idx="143">
                  <c:v>172.286075949367</c:v>
                </c:pt>
                <c:pt idx="144">
                  <c:v>173.383670886076</c:v>
                </c:pt>
                <c:pt idx="145">
                  <c:v>174.481265822785</c:v>
                </c:pt>
                <c:pt idx="146">
                  <c:v>175.578860759494</c:v>
                </c:pt>
                <c:pt idx="147">
                  <c:v>176.676455696203</c:v>
                </c:pt>
                <c:pt idx="148">
                  <c:v>177.774050632911</c:v>
                </c:pt>
                <c:pt idx="149">
                  <c:v>178.87164556962</c:v>
                </c:pt>
                <c:pt idx="150">
                  <c:v>179.969240506329</c:v>
                </c:pt>
                <c:pt idx="151">
                  <c:v>181.066835443038</c:v>
                </c:pt>
                <c:pt idx="152">
                  <c:v>182.164430379747</c:v>
                </c:pt>
                <c:pt idx="153">
                  <c:v>183.262025316456</c:v>
                </c:pt>
                <c:pt idx="154">
                  <c:v>184.359620253165</c:v>
                </c:pt>
                <c:pt idx="155">
                  <c:v>185.457215189873</c:v>
                </c:pt>
                <c:pt idx="156">
                  <c:v>186.554810126582</c:v>
                </c:pt>
                <c:pt idx="157">
                  <c:v>187.652405063291</c:v>
                </c:pt>
                <c:pt idx="158">
                  <c:v>188.75</c:v>
                </c:pt>
                <c:pt idx="159">
                  <c:v>189.847594936709</c:v>
                </c:pt>
              </c:numCache>
            </c:numRef>
          </c:val>
          <c:smooth val="0"/>
        </c:ser>
        <c:hiLowLines>
          <c:spPr>
            <a:ln w="0">
              <a:noFill/>
            </a:ln>
          </c:spPr>
        </c:hiLowLines>
        <c:marker val="0"/>
        <c:axId val="6376081"/>
        <c:axId val="88547553"/>
      </c:lineChart>
      <c:dateAx>
        <c:axId val="7099332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968217"/>
        <c:auto val="1"/>
        <c:lblOffset val="100"/>
        <c:baseTimeUnit val="days"/>
      </c:dateAx>
      <c:valAx>
        <c:axId val="3896821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993325"/>
        <c:crosses val="autoZero"/>
        <c:crossBetween val="between"/>
      </c:valAx>
      <c:dateAx>
        <c:axId val="637608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547553"/>
        <c:auto val="1"/>
        <c:lblOffset val="100"/>
        <c:baseTimeUnit val="days"/>
      </c:dateAx>
      <c:valAx>
        <c:axId val="8854755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7608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(Calc)'!$L$3:$L$500</c:f>
              <c:numCache>
                <c:formatCode>0.0%</c:formatCode>
                <c:ptCount val="498"/>
                <c:pt idx="0">
                  <c:v>-0.040466472303207</c:v>
                </c:pt>
                <c:pt idx="1">
                  <c:v>0.0147058823529411</c:v>
                </c:pt>
                <c:pt idx="2">
                  <c:v>0.0275482093663912</c:v>
                </c:pt>
                <c:pt idx="3">
                  <c:v>0.0131716983331389</c:v>
                </c:pt>
                <c:pt idx="4">
                  <c:v>0.00931891394385653</c:v>
                </c:pt>
                <c:pt idx="5">
                  <c:v>-0.0582468938789468</c:v>
                </c:pt>
                <c:pt idx="6">
                  <c:v>0.0674170902929072</c:v>
                </c:pt>
                <c:pt idx="7">
                  <c:v>0.061571606758136</c:v>
                </c:pt>
                <c:pt idx="8">
                  <c:v>0.022003845332194</c:v>
                </c:pt>
                <c:pt idx="9">
                  <c:v>-0.0175585284280937</c:v>
                </c:pt>
                <c:pt idx="10">
                  <c:v>0.00734042553191494</c:v>
                </c:pt>
                <c:pt idx="11">
                  <c:v>0.0182701446826488</c:v>
                </c:pt>
                <c:pt idx="12">
                  <c:v>0.0266542211159511</c:v>
                </c:pt>
                <c:pt idx="13">
                  <c:v>0.00585917769471656</c:v>
                </c:pt>
                <c:pt idx="14">
                  <c:v>0.00833584412975807</c:v>
                </c:pt>
                <c:pt idx="15">
                  <c:v>-0.0422310756972113</c:v>
                </c:pt>
                <c:pt idx="16">
                  <c:v>0.0163269550748753</c:v>
                </c:pt>
                <c:pt idx="17">
                  <c:v>0.128005730072649</c:v>
                </c:pt>
                <c:pt idx="18">
                  <c:v>0.0268505079825836</c:v>
                </c:pt>
                <c:pt idx="19">
                  <c:v>-0.0128975265017669</c:v>
                </c:pt>
                <c:pt idx="20">
                  <c:v>0.149991050653302</c:v>
                </c:pt>
                <c:pt idx="21">
                  <c:v>-0.0482490272373541</c:v>
                </c:pt>
                <c:pt idx="22">
                  <c:v>0.0224039247751431</c:v>
                </c:pt>
                <c:pt idx="23">
                  <c:v>0.0337492002559179</c:v>
                </c:pt>
                <c:pt idx="24">
                  <c:v>0.0931455980194957</c:v>
                </c:pt>
                <c:pt idx="25">
                  <c:v>-0.0641896673743809</c:v>
                </c:pt>
                <c:pt idx="26">
                  <c:v>0.0301746956061408</c:v>
                </c:pt>
                <c:pt idx="27">
                  <c:v>-0.0319336367640581</c:v>
                </c:pt>
                <c:pt idx="28">
                  <c:v>0.0389777811481002</c:v>
                </c:pt>
                <c:pt idx="29">
                  <c:v>0.00824757316984148</c:v>
                </c:pt>
                <c:pt idx="30">
                  <c:v>-0.104024902273056</c:v>
                </c:pt>
                <c:pt idx="31">
                  <c:v>0.0830572836713259</c:v>
                </c:pt>
                <c:pt idx="32">
                  <c:v>0.023573293547184</c:v>
                </c:pt>
                <c:pt idx="33">
                  <c:v>0.0543692150717876</c:v>
                </c:pt>
                <c:pt idx="34">
                  <c:v>0.0162438653487249</c:v>
                </c:pt>
                <c:pt idx="35">
                  <c:v>0.054822473132907</c:v>
                </c:pt>
                <c:pt idx="36">
                  <c:v>-0.055971111684292</c:v>
                </c:pt>
                <c:pt idx="37">
                  <c:v>0.0883879781420764</c:v>
                </c:pt>
                <c:pt idx="38">
                  <c:v>0.0526547006401406</c:v>
                </c:pt>
                <c:pt idx="39">
                  <c:v>0.00840636737614031</c:v>
                </c:pt>
                <c:pt idx="40">
                  <c:v>-0.000827716684403401</c:v>
                </c:pt>
                <c:pt idx="41">
                  <c:v>0.0585798816568048</c:v>
                </c:pt>
                <c:pt idx="42">
                  <c:v>0.0182224706539966</c:v>
                </c:pt>
                <c:pt idx="43">
                  <c:v>-0.115173473869126</c:v>
                </c:pt>
                <c:pt idx="44">
                  <c:v>-0.0230797865740167</c:v>
                </c:pt>
                <c:pt idx="45">
                  <c:v>-0.0746221262542868</c:v>
                </c:pt>
                <c:pt idx="46">
                  <c:v>0.115160249811269</c:v>
                </c:pt>
                <c:pt idx="47">
                  <c:v>0.0444335036002215</c:v>
                </c:pt>
                <c:pt idx="48">
                  <c:v>-0.0186789228684227</c:v>
                </c:pt>
                <c:pt idx="49">
                  <c:v>0.00246187102197659</c:v>
                </c:pt>
                <c:pt idx="50">
                  <c:v>-0.0866726564839773</c:v>
                </c:pt>
                <c:pt idx="51">
                  <c:v>0.104013641133264</c:v>
                </c:pt>
                <c:pt idx="52">
                  <c:v>0.00920755613639046</c:v>
                </c:pt>
                <c:pt idx="53">
                  <c:v>0.0223085525928544</c:v>
                </c:pt>
                <c:pt idx="54">
                  <c:v>0.0179640718562875</c:v>
                </c:pt>
                <c:pt idx="55">
                  <c:v>0.0532239819004525</c:v>
                </c:pt>
                <c:pt idx="56">
                  <c:v>0.0522528328231566</c:v>
                </c:pt>
                <c:pt idx="57">
                  <c:v>0.0132693681739309</c:v>
                </c:pt>
                <c:pt idx="58">
                  <c:v>-0.0515765085121385</c:v>
                </c:pt>
                <c:pt idx="59">
                  <c:v>0.0427509293680297</c:v>
                </c:pt>
                <c:pt idx="60">
                  <c:v>-0.0754774637127578</c:v>
                </c:pt>
                <c:pt idx="61">
                  <c:v>0.0218696634165152</c:v>
                </c:pt>
                <c:pt idx="62">
                  <c:v>-0.0285175202156334</c:v>
                </c:pt>
                <c:pt idx="63">
                  <c:v>0.0994395427556738</c:v>
                </c:pt>
                <c:pt idx="64">
                  <c:v>-0.00686418008378331</c:v>
                </c:pt>
                <c:pt idx="65">
                  <c:v>-0.0188036794226764</c:v>
                </c:pt>
                <c:pt idx="66">
                  <c:v>0.0224270989796447</c:v>
                </c:pt>
                <c:pt idx="67">
                  <c:v>0.0345997973657548</c:v>
                </c:pt>
                <c:pt idx="68">
                  <c:v>-0.00112618126621944</c:v>
                </c:pt>
                <c:pt idx="69">
                  <c:v>0.0149999999999999</c:v>
                </c:pt>
                <c:pt idx="70">
                  <c:v>0.0490679030232784</c:v>
                </c:pt>
                <c:pt idx="71">
                  <c:v>-0.0565785839241322</c:v>
                </c:pt>
                <c:pt idx="72">
                  <c:v>-0.0153223051773778</c:v>
                </c:pt>
                <c:pt idx="73">
                  <c:v>-0.0107537539025719</c:v>
                </c:pt>
                <c:pt idx="74">
                  <c:v>-0.0277527301873559</c:v>
                </c:pt>
                <c:pt idx="75">
                  <c:v>-0.0893446001648804</c:v>
                </c:pt>
                <c:pt idx="76">
                  <c:v>-0.0190109765757611</c:v>
                </c:pt>
                <c:pt idx="77">
                  <c:v>-0.0169569731226208</c:v>
                </c:pt>
                <c:pt idx="78">
                  <c:v>0.01906829382774</c:v>
                </c:pt>
                <c:pt idx="79">
                  <c:v>-0.0649432897691289</c:v>
                </c:pt>
                <c:pt idx="80">
                  <c:v>-0.111631057200911</c:v>
                </c:pt>
                <c:pt idx="81">
                  <c:v>0.0700027723870251</c:v>
                </c:pt>
                <c:pt idx="82">
                  <c:v>-0.0340069957248348</c:v>
                </c:pt>
                <c:pt idx="83">
                  <c:v>0.0880439884664386</c:v>
                </c:pt>
                <c:pt idx="84">
                  <c:v>0.0859115000616295</c:v>
                </c:pt>
                <c:pt idx="85">
                  <c:v>-0.0153802497162314</c:v>
                </c:pt>
                <c:pt idx="86">
                  <c:v>0.100236324860222</c:v>
                </c:pt>
                <c:pt idx="87">
                  <c:v>-0.0115255658005029</c:v>
                </c:pt>
                <c:pt idx="88">
                  <c:v>0.00699597201611191</c:v>
                </c:pt>
                <c:pt idx="89">
                  <c:v>0.0613684210526315</c:v>
                </c:pt>
                <c:pt idx="90">
                  <c:v>0.0325795894079144</c:v>
                </c:pt>
                <c:pt idx="91">
                  <c:v>-0.00753973971089661</c:v>
                </c:pt>
                <c:pt idx="92">
                  <c:v>0.0909706764734346</c:v>
                </c:pt>
                <c:pt idx="93">
                  <c:v>0.0272775658653419</c:v>
                </c:pt>
                <c:pt idx="94">
                  <c:v>-0.0187383964422952</c:v>
                </c:pt>
                <c:pt idx="95">
                  <c:v>0.0433845206142474</c:v>
                </c:pt>
                <c:pt idx="96">
                  <c:v>0.0216337030320921</c:v>
                </c:pt>
                <c:pt idx="97">
                  <c:v>-0.0423099149673905</c:v>
                </c:pt>
                <c:pt idx="98">
                  <c:v>0.0281453385629931</c:v>
                </c:pt>
                <c:pt idx="99">
                  <c:v>-0.0121992118722227</c:v>
                </c:pt>
                <c:pt idx="100">
                  <c:v>-0.0246573017018207</c:v>
                </c:pt>
                <c:pt idx="101">
                  <c:v>-0.00909407362283532</c:v>
                </c:pt>
                <c:pt idx="102">
                  <c:v>0.0543187107539631</c:v>
                </c:pt>
                <c:pt idx="103">
                  <c:v>0.0654310703873386</c:v>
                </c:pt>
                <c:pt idx="104">
                  <c:v>0.0245885618232282</c:v>
                </c:pt>
                <c:pt idx="105">
                  <c:v>0.0320488363220144</c:v>
                </c:pt>
                <c:pt idx="106">
                  <c:v>0.0688724584103513</c:v>
                </c:pt>
                <c:pt idx="107">
                  <c:v>-0.0394632172379206</c:v>
                </c:pt>
                <c:pt idx="108">
                  <c:v>0.0513826875990204</c:v>
                </c:pt>
                <c:pt idx="109">
                  <c:v>-0.000410972978526658</c:v>
                </c:pt>
                <c:pt idx="110">
                  <c:v>0.0185356494329667</c:v>
                </c:pt>
                <c:pt idx="111">
                  <c:v>-0.046353606027987</c:v>
                </c:pt>
                <c:pt idx="112">
                  <c:v>-0.0058553791887126</c:v>
                </c:pt>
                <c:pt idx="113">
                  <c:v>-0.0342747658245812</c:v>
                </c:pt>
                <c:pt idx="114">
                  <c:v>0.059813358806672</c:v>
                </c:pt>
                <c:pt idx="115">
                  <c:v>0.0109893919434239</c:v>
                </c:pt>
                <c:pt idx="116">
                  <c:v>-0.00641223468093133</c:v>
                </c:pt>
                <c:pt idx="117">
                  <c:v>-0.0105604638321369</c:v>
                </c:pt>
                <c:pt idx="118">
                  <c:v>0.0480641785838858</c:v>
                </c:pt>
                <c:pt idx="119">
                  <c:v>0.0553780617678381</c:v>
                </c:pt>
                <c:pt idx="120">
                  <c:v>0.0125819878910192</c:v>
                </c:pt>
                <c:pt idx="121">
                  <c:v>0.0579863598143939</c:v>
                </c:pt>
                <c:pt idx="122">
                  <c:v>-0.0219880493332941</c:v>
                </c:pt>
                <c:pt idx="123">
                  <c:v>-0.0128814783603202</c:v>
                </c:pt>
                <c:pt idx="124">
                  <c:v>0.0553387401670833</c:v>
                </c:pt>
                <c:pt idx="125">
                  <c:v>0.050183457082599</c:v>
                </c:pt>
                <c:pt idx="126">
                  <c:v>0.0114167812929848</c:v>
                </c:pt>
                <c:pt idx="127">
                  <c:v>0.0109071127430982</c:v>
                </c:pt>
                <c:pt idx="128">
                  <c:v>-0.0952752515740193</c:v>
                </c:pt>
                <c:pt idx="129">
                  <c:v>-0.00172490706319695</c:v>
                </c:pt>
                <c:pt idx="130">
                  <c:v>-0.0240712604641464</c:v>
                </c:pt>
                <c:pt idx="131">
                  <c:v>-0.00760096462040949</c:v>
                </c:pt>
                <c:pt idx="132">
                  <c:v>0.0376499538603505</c:v>
                </c:pt>
                <c:pt idx="133">
                  <c:v>0.0930811644038656</c:v>
                </c:pt>
                <c:pt idx="134">
                  <c:v>-0.0002440744155775</c:v>
                </c:pt>
                <c:pt idx="135">
                  <c:v>0.0862606808626067</c:v>
                </c:pt>
                <c:pt idx="136">
                  <c:v>-0.011911599450618</c:v>
                </c:pt>
                <c:pt idx="137">
                  <c:v>0.0352304892842701</c:v>
                </c:pt>
                <c:pt idx="138">
                  <c:v>-0.0177969825692106</c:v>
                </c:pt>
                <c:pt idx="139">
                  <c:v>0.000422538712002707</c:v>
                </c:pt>
                <c:pt idx="140">
                  <c:v>0.0344347826086957</c:v>
                </c:pt>
                <c:pt idx="141">
                  <c:v>-0.00785378038236151</c:v>
                </c:pt>
                <c:pt idx="142">
                  <c:v>0.0235057735602413</c:v>
                </c:pt>
                <c:pt idx="143">
                  <c:v>0.0900662251655628</c:v>
                </c:pt>
                <c:pt idx="144">
                  <c:v>-0.0644202395417463</c:v>
                </c:pt>
                <c:pt idx="145">
                  <c:v>0.0041976854750807</c:v>
                </c:pt>
                <c:pt idx="146">
                  <c:v>-0.000115473441108627</c:v>
                </c:pt>
                <c:pt idx="147">
                  <c:v>-0.0823420718327751</c:v>
                </c:pt>
                <c:pt idx="148">
                  <c:v>0.0126604580921217</c:v>
                </c:pt>
                <c:pt idx="149">
                  <c:v>0.00208783834165982</c:v>
                </c:pt>
                <c:pt idx="150">
                  <c:v>0.0390654066522806</c:v>
                </c:pt>
                <c:pt idx="151">
                  <c:v>0.0150147999618064</c:v>
                </c:pt>
                <c:pt idx="152">
                  <c:v>-0.0173561299122786</c:v>
                </c:pt>
                <c:pt idx="153">
                  <c:v>-0.00342244453485874</c:v>
                </c:pt>
                <c:pt idx="154">
                  <c:v>0.0272814601344862</c:v>
                </c:pt>
                <c:pt idx="155">
                  <c:v>0.0100991210024313</c:v>
                </c:pt>
                <c:pt idx="156">
                  <c:v>0.00599426032216255</c:v>
                </c:pt>
                <c:pt idx="157">
                  <c:v>0.0366714979179608</c:v>
                </c:pt>
                <c:pt idx="158">
                  <c:v>0.0491999733694324</c:v>
                </c:pt>
              </c:numCache>
            </c:numRef>
          </c:val>
        </c:ser>
        <c:gapWidth val="150"/>
        <c:overlap val="0"/>
        <c:axId val="93821790"/>
        <c:axId val="64900908"/>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(Calc)'!$AG$3:$AG$500</c:f>
              <c:numCache>
                <c:formatCode>#,##0.00</c:formatCode>
                <c:ptCount val="498"/>
                <c:pt idx="0">
                  <c:v>85.75</c:v>
                </c:pt>
                <c:pt idx="1">
                  <c:v>88.1995569620253</c:v>
                </c:pt>
                <c:pt idx="2">
                  <c:v>90.6491139240506</c:v>
                </c:pt>
                <c:pt idx="3">
                  <c:v>93.098670886076</c:v>
                </c:pt>
                <c:pt idx="4">
                  <c:v>95.5482278481013</c:v>
                </c:pt>
                <c:pt idx="5">
                  <c:v>97.9977848101266</c:v>
                </c:pt>
                <c:pt idx="6">
                  <c:v>100.447341772152</c:v>
                </c:pt>
                <c:pt idx="7">
                  <c:v>102.896898734177</c:v>
                </c:pt>
                <c:pt idx="8">
                  <c:v>105.346455696203</c:v>
                </c:pt>
                <c:pt idx="9">
                  <c:v>107.796012658228</c:v>
                </c:pt>
                <c:pt idx="10">
                  <c:v>110.245569620253</c:v>
                </c:pt>
                <c:pt idx="11">
                  <c:v>112.695126582278</c:v>
                </c:pt>
                <c:pt idx="12">
                  <c:v>115.144683544304</c:v>
                </c:pt>
                <c:pt idx="13">
                  <c:v>117.594240506329</c:v>
                </c:pt>
                <c:pt idx="14">
                  <c:v>120.043797468354</c:v>
                </c:pt>
                <c:pt idx="15">
                  <c:v>122.49335443038</c:v>
                </c:pt>
                <c:pt idx="16">
                  <c:v>124.942911392405</c:v>
                </c:pt>
                <c:pt idx="17">
                  <c:v>127.39246835443</c:v>
                </c:pt>
                <c:pt idx="18">
                  <c:v>129.842025316456</c:v>
                </c:pt>
                <c:pt idx="19">
                  <c:v>132.291582278481</c:v>
                </c:pt>
                <c:pt idx="20">
                  <c:v>134.741139240506</c:v>
                </c:pt>
                <c:pt idx="21">
                  <c:v>137.190696202532</c:v>
                </c:pt>
                <c:pt idx="22">
                  <c:v>139.640253164557</c:v>
                </c:pt>
                <c:pt idx="23">
                  <c:v>142.089810126582</c:v>
                </c:pt>
                <c:pt idx="24">
                  <c:v>144.539367088608</c:v>
                </c:pt>
                <c:pt idx="25">
                  <c:v>146.988924050633</c:v>
                </c:pt>
                <c:pt idx="26">
                  <c:v>149.438481012658</c:v>
                </c:pt>
                <c:pt idx="27">
                  <c:v>151.888037974684</c:v>
                </c:pt>
                <c:pt idx="28">
                  <c:v>154.337594936709</c:v>
                </c:pt>
                <c:pt idx="29">
                  <c:v>156.787151898734</c:v>
                </c:pt>
                <c:pt idx="30">
                  <c:v>159.23670886076</c:v>
                </c:pt>
                <c:pt idx="31">
                  <c:v>161.686265822785</c:v>
                </c:pt>
                <c:pt idx="32">
                  <c:v>164.13582278481</c:v>
                </c:pt>
                <c:pt idx="33">
                  <c:v>166.585379746835</c:v>
                </c:pt>
                <c:pt idx="34">
                  <c:v>169.034936708861</c:v>
                </c:pt>
                <c:pt idx="35">
                  <c:v>171.484493670886</c:v>
                </c:pt>
                <c:pt idx="36">
                  <c:v>173.934050632911</c:v>
                </c:pt>
                <c:pt idx="37">
                  <c:v>176.383607594937</c:v>
                </c:pt>
                <c:pt idx="38">
                  <c:v>178.833164556962</c:v>
                </c:pt>
                <c:pt idx="39">
                  <c:v>181.282721518987</c:v>
                </c:pt>
                <c:pt idx="40">
                  <c:v>183.732278481013</c:v>
                </c:pt>
                <c:pt idx="41">
                  <c:v>186.181835443038</c:v>
                </c:pt>
                <c:pt idx="42">
                  <c:v>188.631392405063</c:v>
                </c:pt>
                <c:pt idx="43">
                  <c:v>191.080949367089</c:v>
                </c:pt>
                <c:pt idx="44">
                  <c:v>193.530506329114</c:v>
                </c:pt>
                <c:pt idx="45">
                  <c:v>195.980063291139</c:v>
                </c:pt>
                <c:pt idx="46">
                  <c:v>198.429620253165</c:v>
                </c:pt>
                <c:pt idx="47">
                  <c:v>200.87917721519</c:v>
                </c:pt>
                <c:pt idx="48">
                  <c:v>203.328734177215</c:v>
                </c:pt>
                <c:pt idx="49">
                  <c:v>205.77829113924</c:v>
                </c:pt>
                <c:pt idx="50">
                  <c:v>208.227848101266</c:v>
                </c:pt>
                <c:pt idx="51">
                  <c:v>210.677405063291</c:v>
                </c:pt>
                <c:pt idx="52">
                  <c:v>213.126962025316</c:v>
                </c:pt>
                <c:pt idx="53">
                  <c:v>215.576518987342</c:v>
                </c:pt>
                <c:pt idx="54">
                  <c:v>218.026075949367</c:v>
                </c:pt>
                <c:pt idx="55">
                  <c:v>220.475632911392</c:v>
                </c:pt>
                <c:pt idx="56">
                  <c:v>222.925189873418</c:v>
                </c:pt>
                <c:pt idx="57">
                  <c:v>225.374746835443</c:v>
                </c:pt>
                <c:pt idx="58">
                  <c:v>227.824303797468</c:v>
                </c:pt>
                <c:pt idx="59">
                  <c:v>230.273860759494</c:v>
                </c:pt>
                <c:pt idx="60">
                  <c:v>232.723417721519</c:v>
                </c:pt>
                <c:pt idx="61">
                  <c:v>235.172974683544</c:v>
                </c:pt>
                <c:pt idx="62">
                  <c:v>237.62253164557</c:v>
                </c:pt>
                <c:pt idx="63">
                  <c:v>240.072088607595</c:v>
                </c:pt>
                <c:pt idx="64">
                  <c:v>242.52164556962</c:v>
                </c:pt>
                <c:pt idx="65">
                  <c:v>244.971202531646</c:v>
                </c:pt>
                <c:pt idx="66">
                  <c:v>247.420759493671</c:v>
                </c:pt>
                <c:pt idx="67">
                  <c:v>249.870316455696</c:v>
                </c:pt>
                <c:pt idx="68">
                  <c:v>252.319873417722</c:v>
                </c:pt>
                <c:pt idx="69">
                  <c:v>254.769430379747</c:v>
                </c:pt>
                <c:pt idx="70">
                  <c:v>257.218987341772</c:v>
                </c:pt>
                <c:pt idx="71">
                  <c:v>259.668544303798</c:v>
                </c:pt>
                <c:pt idx="72">
                  <c:v>262.118101265823</c:v>
                </c:pt>
                <c:pt idx="73">
                  <c:v>264.567658227848</c:v>
                </c:pt>
                <c:pt idx="74">
                  <c:v>267.017215189873</c:v>
                </c:pt>
                <c:pt idx="75">
                  <c:v>269.466772151899</c:v>
                </c:pt>
                <c:pt idx="76">
                  <c:v>271.916329113924</c:v>
                </c:pt>
                <c:pt idx="77">
                  <c:v>274.365886075949</c:v>
                </c:pt>
                <c:pt idx="78">
                  <c:v>276.815443037975</c:v>
                </c:pt>
                <c:pt idx="79">
                  <c:v>279.265</c:v>
                </c:pt>
                <c:pt idx="80">
                  <c:v>281.714556962025</c:v>
                </c:pt>
                <c:pt idx="81">
                  <c:v>284.164113924051</c:v>
                </c:pt>
                <c:pt idx="82">
                  <c:v>286.613670886076</c:v>
                </c:pt>
                <c:pt idx="83">
                  <c:v>289.063227848101</c:v>
                </c:pt>
                <c:pt idx="84">
                  <c:v>291.512784810127</c:v>
                </c:pt>
                <c:pt idx="85">
                  <c:v>293.962341772152</c:v>
                </c:pt>
                <c:pt idx="86">
                  <c:v>296.411898734177</c:v>
                </c:pt>
                <c:pt idx="87">
                  <c:v>298.861455696203</c:v>
                </c:pt>
                <c:pt idx="88">
                  <c:v>301.311012658228</c:v>
                </c:pt>
                <c:pt idx="89">
                  <c:v>303.760569620253</c:v>
                </c:pt>
                <c:pt idx="90">
                  <c:v>306.210126582278</c:v>
                </c:pt>
                <c:pt idx="91">
                  <c:v>308.659683544304</c:v>
                </c:pt>
                <c:pt idx="92">
                  <c:v>311.109240506329</c:v>
                </c:pt>
                <c:pt idx="93">
                  <c:v>313.558797468354</c:v>
                </c:pt>
                <c:pt idx="94">
                  <c:v>316.00835443038</c:v>
                </c:pt>
                <c:pt idx="95">
                  <c:v>318.457911392405</c:v>
                </c:pt>
                <c:pt idx="96">
                  <c:v>320.90746835443</c:v>
                </c:pt>
                <c:pt idx="97">
                  <c:v>323.357025316456</c:v>
                </c:pt>
                <c:pt idx="98">
                  <c:v>325.806582278481</c:v>
                </c:pt>
                <c:pt idx="99">
                  <c:v>328.256139240506</c:v>
                </c:pt>
                <c:pt idx="100">
                  <c:v>330.705696202532</c:v>
                </c:pt>
                <c:pt idx="101">
                  <c:v>333.155253164557</c:v>
                </c:pt>
                <c:pt idx="102">
                  <c:v>335.604810126582</c:v>
                </c:pt>
                <c:pt idx="103">
                  <c:v>338.054367088608</c:v>
                </c:pt>
                <c:pt idx="104">
                  <c:v>340.503924050633</c:v>
                </c:pt>
                <c:pt idx="105">
                  <c:v>342.953481012658</c:v>
                </c:pt>
                <c:pt idx="106">
                  <c:v>345.403037974684</c:v>
                </c:pt>
                <c:pt idx="107">
                  <c:v>347.852594936709</c:v>
                </c:pt>
                <c:pt idx="108">
                  <c:v>350.302151898734</c:v>
                </c:pt>
                <c:pt idx="109">
                  <c:v>352.75170886076</c:v>
                </c:pt>
                <c:pt idx="110">
                  <c:v>355.201265822785</c:v>
                </c:pt>
                <c:pt idx="111">
                  <c:v>357.65082278481</c:v>
                </c:pt>
                <c:pt idx="112">
                  <c:v>360.100379746836</c:v>
                </c:pt>
                <c:pt idx="113">
                  <c:v>362.549936708861</c:v>
                </c:pt>
                <c:pt idx="114">
                  <c:v>364.999493670886</c:v>
                </c:pt>
                <c:pt idx="115">
                  <c:v>367.449050632911</c:v>
                </c:pt>
                <c:pt idx="116">
                  <c:v>369.898607594937</c:v>
                </c:pt>
                <c:pt idx="117">
                  <c:v>372.348164556962</c:v>
                </c:pt>
                <c:pt idx="118">
                  <c:v>374.797721518987</c:v>
                </c:pt>
                <c:pt idx="119">
                  <c:v>377.247278481013</c:v>
                </c:pt>
                <c:pt idx="120">
                  <c:v>379.696835443038</c:v>
                </c:pt>
                <c:pt idx="121">
                  <c:v>382.146392405063</c:v>
                </c:pt>
                <c:pt idx="122">
                  <c:v>384.595949367089</c:v>
                </c:pt>
                <c:pt idx="123">
                  <c:v>387.045506329114</c:v>
                </c:pt>
                <c:pt idx="124">
                  <c:v>389.495063291139</c:v>
                </c:pt>
                <c:pt idx="125">
                  <c:v>391.944620253165</c:v>
                </c:pt>
                <c:pt idx="126">
                  <c:v>394.39417721519</c:v>
                </c:pt>
                <c:pt idx="127">
                  <c:v>396.843734177215</c:v>
                </c:pt>
                <c:pt idx="128">
                  <c:v>399.29329113924</c:v>
                </c:pt>
                <c:pt idx="129">
                  <c:v>401.742848101266</c:v>
                </c:pt>
                <c:pt idx="130">
                  <c:v>404.192405063291</c:v>
                </c:pt>
                <c:pt idx="131">
                  <c:v>406.641962025316</c:v>
                </c:pt>
                <c:pt idx="132">
                  <c:v>409.091518987342</c:v>
                </c:pt>
                <c:pt idx="133">
                  <c:v>411.541075949367</c:v>
                </c:pt>
                <c:pt idx="134">
                  <c:v>413.990632911392</c:v>
                </c:pt>
                <c:pt idx="135">
                  <c:v>416.440189873418</c:v>
                </c:pt>
                <c:pt idx="136">
                  <c:v>418.889746835443</c:v>
                </c:pt>
                <c:pt idx="137">
                  <c:v>421.339303797468</c:v>
                </c:pt>
                <c:pt idx="138">
                  <c:v>423.788860759494</c:v>
                </c:pt>
                <c:pt idx="139">
                  <c:v>426.238417721519</c:v>
                </c:pt>
                <c:pt idx="140">
                  <c:v>428.687974683544</c:v>
                </c:pt>
                <c:pt idx="141">
                  <c:v>431.13753164557</c:v>
                </c:pt>
                <c:pt idx="142">
                  <c:v>433.587088607595</c:v>
                </c:pt>
                <c:pt idx="143">
                  <c:v>436.03664556962</c:v>
                </c:pt>
                <c:pt idx="144">
                  <c:v>438.486202531646</c:v>
                </c:pt>
                <c:pt idx="145">
                  <c:v>440.935759493671</c:v>
                </c:pt>
                <c:pt idx="146">
                  <c:v>443.385316455696</c:v>
                </c:pt>
                <c:pt idx="147">
                  <c:v>445.834873417722</c:v>
                </c:pt>
                <c:pt idx="148">
                  <c:v>448.284430379747</c:v>
                </c:pt>
                <c:pt idx="149">
                  <c:v>450.733987341772</c:v>
                </c:pt>
                <c:pt idx="150">
                  <c:v>453.183544303797</c:v>
                </c:pt>
                <c:pt idx="151">
                  <c:v>455.633101265823</c:v>
                </c:pt>
                <c:pt idx="152">
                  <c:v>458.082658227848</c:v>
                </c:pt>
                <c:pt idx="153">
                  <c:v>460.532215189873</c:v>
                </c:pt>
                <c:pt idx="154">
                  <c:v>462.981772151899</c:v>
                </c:pt>
                <c:pt idx="155">
                  <c:v>465.431329113924</c:v>
                </c:pt>
                <c:pt idx="156">
                  <c:v>467.880886075949</c:v>
                </c:pt>
                <c:pt idx="157">
                  <c:v>470.330443037975</c:v>
                </c:pt>
                <c:pt idx="158">
                  <c:v>472.78</c:v>
                </c:pt>
                <c:pt idx="159">
                  <c:v>475.229556962025</c:v>
                </c:pt>
              </c:numCache>
            </c:numRef>
          </c:val>
          <c:smooth val="0"/>
        </c:ser>
        <c:hiLowLines>
          <c:spPr>
            <a:ln w="0">
              <a:noFill/>
            </a:ln>
          </c:spPr>
        </c:hiLowLines>
        <c:marker val="0"/>
        <c:axId val="76218858"/>
        <c:axId val="57382024"/>
      </c:lineChart>
      <c:dateAx>
        <c:axId val="9382179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900908"/>
        <c:auto val="1"/>
        <c:lblOffset val="100"/>
        <c:baseTimeUnit val="days"/>
      </c:dateAx>
      <c:valAx>
        <c:axId val="6490090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821790"/>
        <c:crosses val="autoZero"/>
        <c:crossBetween val="between"/>
      </c:valAx>
      <c:dateAx>
        <c:axId val="7621885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382024"/>
        <c:auto val="1"/>
        <c:lblOffset val="100"/>
        <c:baseTimeUnit val="days"/>
      </c:dateAx>
      <c:valAx>
        <c:axId val="5738202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21885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(Calc)'!$M$3:$M$500</c:f>
              <c:numCache>
                <c:formatCode>0.0%</c:formatCode>
                <c:ptCount val="498"/>
                <c:pt idx="0">
                  <c:v>-0.0449763282482903</c:v>
                </c:pt>
                <c:pt idx="1">
                  <c:v>0.0206554668135499</c:v>
                </c:pt>
                <c:pt idx="2">
                  <c:v>0.0690771721532648</c:v>
                </c:pt>
                <c:pt idx="3">
                  <c:v>-0.0169106511862694</c:v>
                </c:pt>
                <c:pt idx="4">
                  <c:v>-0.0603337612323492</c:v>
                </c:pt>
                <c:pt idx="5">
                  <c:v>-0.00874316939890707</c:v>
                </c:pt>
                <c:pt idx="6">
                  <c:v>0.110253583241455</c:v>
                </c:pt>
                <c:pt idx="7">
                  <c:v>0.0345084409136047</c:v>
                </c:pt>
                <c:pt idx="8">
                  <c:v>0.0347972162227022</c:v>
                </c:pt>
                <c:pt idx="9">
                  <c:v>-0.0139146567717995</c:v>
                </c:pt>
                <c:pt idx="10">
                  <c:v>0.0576199435559737</c:v>
                </c:pt>
                <c:pt idx="11">
                  <c:v>0.0446964643095396</c:v>
                </c:pt>
                <c:pt idx="12">
                  <c:v>0.0125585355470415</c:v>
                </c:pt>
                <c:pt idx="13">
                  <c:v>0.0220727349169645</c:v>
                </c:pt>
                <c:pt idx="14">
                  <c:v>-0.0154257507198684</c:v>
                </c:pt>
                <c:pt idx="15">
                  <c:v>-0.0357217463964905</c:v>
                </c:pt>
                <c:pt idx="16">
                  <c:v>0.0693240901213172</c:v>
                </c:pt>
                <c:pt idx="17">
                  <c:v>0.0836709886547813</c:v>
                </c:pt>
                <c:pt idx="18">
                  <c:v>-0.00392596747055529</c:v>
                </c:pt>
                <c:pt idx="19">
                  <c:v>0.149962462462462</c:v>
                </c:pt>
                <c:pt idx="20">
                  <c:v>0.0332952505304391</c:v>
                </c:pt>
                <c:pt idx="21">
                  <c:v>-0.00868741115147698</c:v>
                </c:pt>
                <c:pt idx="22">
                  <c:v>-0.00430210325047797</c:v>
                </c:pt>
                <c:pt idx="23">
                  <c:v>0.125620099215874</c:v>
                </c:pt>
                <c:pt idx="24">
                  <c:v>-0.0170599943133353</c:v>
                </c:pt>
                <c:pt idx="25">
                  <c:v>0.068990454150998</c:v>
                </c:pt>
                <c:pt idx="26">
                  <c:v>0.112839940468137</c:v>
                </c:pt>
                <c:pt idx="27">
                  <c:v>-0.00996960486322185</c:v>
                </c:pt>
                <c:pt idx="28">
                  <c:v>0.0449465798845634</c:v>
                </c:pt>
                <c:pt idx="29">
                  <c:v>-0.0170407803502175</c:v>
                </c:pt>
                <c:pt idx="30">
                  <c:v>-0.105810616929699</c:v>
                </c:pt>
                <c:pt idx="31">
                  <c:v>0.246289610910549</c:v>
                </c:pt>
                <c:pt idx="32">
                  <c:v>-0.0051496620534276</c:v>
                </c:pt>
                <c:pt idx="33">
                  <c:v>0.0257737517523995</c:v>
                </c:pt>
                <c:pt idx="34">
                  <c:v>0.0147182506307821</c:v>
                </c:pt>
                <c:pt idx="35">
                  <c:v>0.0966639038541235</c:v>
                </c:pt>
                <c:pt idx="36">
                  <c:v>-0.0762399622106754</c:v>
                </c:pt>
                <c:pt idx="37">
                  <c:v>-0.105952137451422</c:v>
                </c:pt>
                <c:pt idx="38">
                  <c:v>0.0433539235872797</c:v>
                </c:pt>
                <c:pt idx="39">
                  <c:v>-0.00909987939918866</c:v>
                </c:pt>
                <c:pt idx="40">
                  <c:v>-0.0447001549015268</c:v>
                </c:pt>
                <c:pt idx="41">
                  <c:v>0.0601111883252259</c:v>
                </c:pt>
                <c:pt idx="42">
                  <c:v>-0.0229432972795804</c:v>
                </c:pt>
                <c:pt idx="43">
                  <c:v>-0.0486413955048642</c:v>
                </c:pt>
                <c:pt idx="44">
                  <c:v>-0.0960272684532205</c:v>
                </c:pt>
                <c:pt idx="45">
                  <c:v>-0.099336887270836</c:v>
                </c:pt>
                <c:pt idx="46">
                  <c:v>0.0288725277898081</c:v>
                </c:pt>
                <c:pt idx="47">
                  <c:v>0.111407324259857</c:v>
                </c:pt>
                <c:pt idx="48">
                  <c:v>-0.0109834616841307</c:v>
                </c:pt>
                <c:pt idx="49">
                  <c:v>0.0570589737043656</c:v>
                </c:pt>
                <c:pt idx="50">
                  <c:v>-0.135611641106147</c:v>
                </c:pt>
                <c:pt idx="51">
                  <c:v>0.194886839899413</c:v>
                </c:pt>
                <c:pt idx="52">
                  <c:v>0.102654039518298</c:v>
                </c:pt>
                <c:pt idx="53">
                  <c:v>0.0409288516594211</c:v>
                </c:pt>
                <c:pt idx="54">
                  <c:v>0.0690638687990222</c:v>
                </c:pt>
                <c:pt idx="55">
                  <c:v>0.0630776560266793</c:v>
                </c:pt>
                <c:pt idx="56">
                  <c:v>0.00367482298108812</c:v>
                </c:pt>
                <c:pt idx="57">
                  <c:v>-0.00071441328808719</c:v>
                </c:pt>
                <c:pt idx="58">
                  <c:v>-0.0470062555853441</c:v>
                </c:pt>
                <c:pt idx="59">
                  <c:v>0.17638784696174</c:v>
                </c:pt>
                <c:pt idx="60">
                  <c:v>-0.0388202471104026</c:v>
                </c:pt>
                <c:pt idx="61">
                  <c:v>0.159479183944269</c:v>
                </c:pt>
                <c:pt idx="62">
                  <c:v>-0.0895501037121808</c:v>
                </c:pt>
                <c:pt idx="63">
                  <c:v>0.0493361615209365</c:v>
                </c:pt>
                <c:pt idx="64">
                  <c:v>-0.060342891367822</c:v>
                </c:pt>
                <c:pt idx="65">
                  <c:v>-0.0455740578439965</c:v>
                </c:pt>
                <c:pt idx="66">
                  <c:v>-0.0410718757826196</c:v>
                </c:pt>
                <c:pt idx="67">
                  <c:v>0.0916688430399582</c:v>
                </c:pt>
                <c:pt idx="68">
                  <c:v>0.0259968102073365</c:v>
                </c:pt>
                <c:pt idx="69">
                  <c:v>0.0538628944504898</c:v>
                </c:pt>
                <c:pt idx="70">
                  <c:v>0.0768493251714728</c:v>
                </c:pt>
                <c:pt idx="71">
                  <c:v>-0.200260256146839</c:v>
                </c:pt>
                <c:pt idx="72">
                  <c:v>0.0372527190202965</c:v>
                </c:pt>
                <c:pt idx="73">
                  <c:v>-0.109808454425363</c:v>
                </c:pt>
                <c:pt idx="74">
                  <c:v>-0.111574846967167</c:v>
                </c:pt>
                <c:pt idx="75">
                  <c:v>-0.00856039252531582</c:v>
                </c:pt>
                <c:pt idx="76">
                  <c:v>-0.106454669895757</c:v>
                </c:pt>
                <c:pt idx="77">
                  <c:v>0.0283997171812396</c:v>
                </c:pt>
                <c:pt idx="78">
                  <c:v>0.0138650166151026</c:v>
                </c:pt>
                <c:pt idx="79">
                  <c:v>-0.162296564195298</c:v>
                </c:pt>
                <c:pt idx="80">
                  <c:v>-0.199811117107393</c:v>
                </c:pt>
                <c:pt idx="81">
                  <c:v>0.171640532793795</c:v>
                </c:pt>
                <c:pt idx="82">
                  <c:v>0.0518060152539934</c:v>
                </c:pt>
                <c:pt idx="83">
                  <c:v>0.187576959912437</c:v>
                </c:pt>
                <c:pt idx="84">
                  <c:v>0.0926267281105992</c:v>
                </c:pt>
                <c:pt idx="85">
                  <c:v>-0.00991142977646564</c:v>
                </c:pt>
                <c:pt idx="86">
                  <c:v>0.127369542066028</c:v>
                </c:pt>
                <c:pt idx="87">
                  <c:v>-0.0179482335159645</c:v>
                </c:pt>
                <c:pt idx="88">
                  <c:v>0.0364563293574451</c:v>
                </c:pt>
                <c:pt idx="89">
                  <c:v>0.068863109048724</c:v>
                </c:pt>
                <c:pt idx="90">
                  <c:v>-0.0381175653381958</c:v>
                </c:pt>
                <c:pt idx="91">
                  <c:v>0.0686044412348799</c:v>
                </c:pt>
                <c:pt idx="92">
                  <c:v>0.0727318803852002</c:v>
                </c:pt>
                <c:pt idx="93">
                  <c:v>0.00535475234270422</c:v>
                </c:pt>
                <c:pt idx="94">
                  <c:v>-0.0355604292316128</c:v>
                </c:pt>
                <c:pt idx="95">
                  <c:v>0.0467798261999513</c:v>
                </c:pt>
                <c:pt idx="96">
                  <c:v>0.0651718519667934</c:v>
                </c:pt>
                <c:pt idx="97">
                  <c:v>0.0299366304902033</c:v>
                </c:pt>
                <c:pt idx="98">
                  <c:v>-0.0117397454031117</c:v>
                </c:pt>
                <c:pt idx="99">
                  <c:v>-0.0490196078431374</c:v>
                </c:pt>
                <c:pt idx="100">
                  <c:v>-0.0533523967190909</c:v>
                </c:pt>
                <c:pt idx="101">
                  <c:v>0.0125596184419714</c:v>
                </c:pt>
                <c:pt idx="102">
                  <c:v>-0.0278693672476056</c:v>
                </c:pt>
                <c:pt idx="103">
                  <c:v>0.0874586126140677</c:v>
                </c:pt>
                <c:pt idx="104">
                  <c:v>0.0652755086885488</c:v>
                </c:pt>
                <c:pt idx="105">
                  <c:v>-0.0347159288950853</c:v>
                </c:pt>
                <c:pt idx="106">
                  <c:v>0.155701596013577</c:v>
                </c:pt>
                <c:pt idx="107">
                  <c:v>0.0549896894332314</c:v>
                </c:pt>
                <c:pt idx="108">
                  <c:v>0.0294971272878042</c:v>
                </c:pt>
                <c:pt idx="109">
                  <c:v>0.0693285771819805</c:v>
                </c:pt>
                <c:pt idx="110">
                  <c:v>0.036532874206392</c:v>
                </c:pt>
                <c:pt idx="111">
                  <c:v>-0.0676875162211263</c:v>
                </c:pt>
                <c:pt idx="112">
                  <c:v>-0.0491063971939203</c:v>
                </c:pt>
                <c:pt idx="113">
                  <c:v>-0.0651677498682592</c:v>
                </c:pt>
                <c:pt idx="114">
                  <c:v>0.124953025178504</c:v>
                </c:pt>
                <c:pt idx="115">
                  <c:v>0.0516675018094759</c:v>
                </c:pt>
                <c:pt idx="116">
                  <c:v>-0.146805018794007</c:v>
                </c:pt>
                <c:pt idx="117">
                  <c:v>-0.00899726979399351</c:v>
                </c:pt>
                <c:pt idx="118">
                  <c:v>0.0485254523824432</c:v>
                </c:pt>
                <c:pt idx="119">
                  <c:v>0.0479517496715634</c:v>
                </c:pt>
                <c:pt idx="120">
                  <c:v>-0.0684939312781355</c:v>
                </c:pt>
                <c:pt idx="121">
                  <c:v>0.0816051874961767</c:v>
                </c:pt>
                <c:pt idx="122">
                  <c:v>0.0313896272835248</c:v>
                </c:pt>
                <c:pt idx="123">
                  <c:v>0.0202347005922352</c:v>
                </c:pt>
                <c:pt idx="124">
                  <c:v>0.0504703036818059</c:v>
                </c:pt>
                <c:pt idx="125">
                  <c:v>0.199191567744576</c:v>
                </c:pt>
                <c:pt idx="126">
                  <c:v>0.0392968383325512</c:v>
                </c:pt>
                <c:pt idx="127">
                  <c:v>0.0456934066836356</c:v>
                </c:pt>
                <c:pt idx="128">
                  <c:v>-0.051431039221075</c:v>
                </c:pt>
                <c:pt idx="129">
                  <c:v>0.0707338272422498</c:v>
                </c:pt>
                <c:pt idx="130">
                  <c:v>-0.0113645148821028</c:v>
                </c:pt>
                <c:pt idx="131">
                  <c:v>-0.0187675946199561</c:v>
                </c:pt>
                <c:pt idx="132">
                  <c:v>0.0406837743066624</c:v>
                </c:pt>
                <c:pt idx="133">
                  <c:v>0.129455909943715</c:v>
                </c:pt>
                <c:pt idx="134">
                  <c:v>0.0414265373923655</c:v>
                </c:pt>
                <c:pt idx="135">
                  <c:v>0.05244140625</c:v>
                </c:pt>
                <c:pt idx="136">
                  <c:v>0.0150010825523492</c:v>
                </c:pt>
                <c:pt idx="137">
                  <c:v>0.03553144807411</c:v>
                </c:pt>
                <c:pt idx="138">
                  <c:v>0.0910776293331763</c:v>
                </c:pt>
                <c:pt idx="139">
                  <c:v>-0.117215524449119</c:v>
                </c:pt>
                <c:pt idx="140">
                  <c:v>-0.0358681372399254</c:v>
                </c:pt>
                <c:pt idx="141">
                  <c:v>-0.048166809265773</c:v>
                </c:pt>
                <c:pt idx="142">
                  <c:v>0.00785697639577854</c:v>
                </c:pt>
                <c:pt idx="143">
                  <c:v>0.0998909919730453</c:v>
                </c:pt>
                <c:pt idx="144">
                  <c:v>-0.0873652280986276</c:v>
                </c:pt>
                <c:pt idx="145">
                  <c:v>-0.0112544425431091</c:v>
                </c:pt>
                <c:pt idx="146">
                  <c:v>0.0609731744658191</c:v>
                </c:pt>
                <c:pt idx="147">
                  <c:v>-0.0918815484032874</c:v>
                </c:pt>
                <c:pt idx="148">
                  <c:v>0.00276348060382059</c:v>
                </c:pt>
                <c:pt idx="149">
                  <c:v>-0.16803885769403</c:v>
                </c:pt>
                <c:pt idx="150">
                  <c:v>0.127613763405242</c:v>
                </c:pt>
                <c:pt idx="151">
                  <c:v>0.0787280138067785</c:v>
                </c:pt>
                <c:pt idx="152">
                  <c:v>-0.108520270960275</c:v>
                </c:pt>
                <c:pt idx="153">
                  <c:v>-0.0185955935698194</c:v>
                </c:pt>
                <c:pt idx="154">
                  <c:v>0.0911991284724925</c:v>
                </c:pt>
                <c:pt idx="155">
                  <c:v>-0.0836482920915638</c:v>
                </c:pt>
                <c:pt idx="156">
                  <c:v>-0.0296108949416343</c:v>
                </c:pt>
                <c:pt idx="157">
                  <c:v>0.0155980592646057</c:v>
                </c:pt>
                <c:pt idx="158">
                  <c:v>-0.00434301958307015</c:v>
                </c:pt>
              </c:numCache>
            </c:numRef>
          </c:val>
        </c:ser>
        <c:gapWidth val="150"/>
        <c:overlap val="0"/>
        <c:axId val="47582793"/>
        <c:axId val="41182618"/>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(Calc)'!$AH$3:$AH$500</c:f>
              <c:numCache>
                <c:formatCode>#,##0.00</c:formatCode>
                <c:ptCount val="498"/>
                <c:pt idx="0">
                  <c:v>38.02</c:v>
                </c:pt>
                <c:pt idx="1">
                  <c:v>39.3754430379747</c:v>
                </c:pt>
                <c:pt idx="2">
                  <c:v>40.7308860759494</c:v>
                </c:pt>
                <c:pt idx="3">
                  <c:v>42.0863291139241</c:v>
                </c:pt>
                <c:pt idx="4">
                  <c:v>43.4417721518987</c:v>
                </c:pt>
                <c:pt idx="5">
                  <c:v>44.7972151898734</c:v>
                </c:pt>
                <c:pt idx="6">
                  <c:v>46.1526582278481</c:v>
                </c:pt>
                <c:pt idx="7">
                  <c:v>47.5081012658228</c:v>
                </c:pt>
                <c:pt idx="8">
                  <c:v>48.8635443037975</c:v>
                </c:pt>
                <c:pt idx="9">
                  <c:v>50.2189873417722</c:v>
                </c:pt>
                <c:pt idx="10">
                  <c:v>51.5744303797468</c:v>
                </c:pt>
                <c:pt idx="11">
                  <c:v>52.9298734177215</c:v>
                </c:pt>
                <c:pt idx="12">
                  <c:v>54.2853164556962</c:v>
                </c:pt>
                <c:pt idx="13">
                  <c:v>55.6407594936709</c:v>
                </c:pt>
                <c:pt idx="14">
                  <c:v>56.9962025316456</c:v>
                </c:pt>
                <c:pt idx="15">
                  <c:v>58.3516455696203</c:v>
                </c:pt>
                <c:pt idx="16">
                  <c:v>59.7070886075949</c:v>
                </c:pt>
                <c:pt idx="17">
                  <c:v>61.0625316455696</c:v>
                </c:pt>
                <c:pt idx="18">
                  <c:v>62.4179746835443</c:v>
                </c:pt>
                <c:pt idx="19">
                  <c:v>63.773417721519</c:v>
                </c:pt>
                <c:pt idx="20">
                  <c:v>65.1288607594937</c:v>
                </c:pt>
                <c:pt idx="21">
                  <c:v>66.4843037974684</c:v>
                </c:pt>
                <c:pt idx="22">
                  <c:v>67.839746835443</c:v>
                </c:pt>
                <c:pt idx="23">
                  <c:v>69.1951898734177</c:v>
                </c:pt>
                <c:pt idx="24">
                  <c:v>70.5506329113924</c:v>
                </c:pt>
                <c:pt idx="25">
                  <c:v>71.9060759493671</c:v>
                </c:pt>
                <c:pt idx="26">
                  <c:v>73.2615189873418</c:v>
                </c:pt>
                <c:pt idx="27">
                  <c:v>74.6169620253165</c:v>
                </c:pt>
                <c:pt idx="28">
                  <c:v>75.9724050632912</c:v>
                </c:pt>
                <c:pt idx="29">
                  <c:v>77.3278481012658</c:v>
                </c:pt>
                <c:pt idx="30">
                  <c:v>78.6832911392405</c:v>
                </c:pt>
                <c:pt idx="31">
                  <c:v>80.0387341772152</c:v>
                </c:pt>
                <c:pt idx="32">
                  <c:v>81.3941772151899</c:v>
                </c:pt>
                <c:pt idx="33">
                  <c:v>82.7496202531646</c:v>
                </c:pt>
                <c:pt idx="34">
                  <c:v>84.1050632911392</c:v>
                </c:pt>
                <c:pt idx="35">
                  <c:v>85.4605063291139</c:v>
                </c:pt>
                <c:pt idx="36">
                  <c:v>86.8159493670886</c:v>
                </c:pt>
                <c:pt idx="37">
                  <c:v>88.1713924050633</c:v>
                </c:pt>
                <c:pt idx="38">
                  <c:v>89.526835443038</c:v>
                </c:pt>
                <c:pt idx="39">
                  <c:v>90.8822784810127</c:v>
                </c:pt>
                <c:pt idx="40">
                  <c:v>92.2377215189873</c:v>
                </c:pt>
                <c:pt idx="41">
                  <c:v>93.593164556962</c:v>
                </c:pt>
                <c:pt idx="42">
                  <c:v>94.9486075949367</c:v>
                </c:pt>
                <c:pt idx="43">
                  <c:v>96.3040506329114</c:v>
                </c:pt>
                <c:pt idx="44">
                  <c:v>97.6594936708861</c:v>
                </c:pt>
                <c:pt idx="45">
                  <c:v>99.0149367088608</c:v>
                </c:pt>
                <c:pt idx="46">
                  <c:v>100.370379746835</c:v>
                </c:pt>
                <c:pt idx="47">
                  <c:v>101.72582278481</c:v>
                </c:pt>
                <c:pt idx="48">
                  <c:v>103.081265822785</c:v>
                </c:pt>
                <c:pt idx="49">
                  <c:v>104.43670886076</c:v>
                </c:pt>
                <c:pt idx="50">
                  <c:v>105.792151898734</c:v>
                </c:pt>
                <c:pt idx="51">
                  <c:v>107.147594936709</c:v>
                </c:pt>
                <c:pt idx="52">
                  <c:v>108.503037974684</c:v>
                </c:pt>
                <c:pt idx="53">
                  <c:v>109.858481012658</c:v>
                </c:pt>
                <c:pt idx="54">
                  <c:v>111.213924050633</c:v>
                </c:pt>
                <c:pt idx="55">
                  <c:v>112.569367088608</c:v>
                </c:pt>
                <c:pt idx="56">
                  <c:v>113.924810126582</c:v>
                </c:pt>
                <c:pt idx="57">
                  <c:v>115.280253164557</c:v>
                </c:pt>
                <c:pt idx="58">
                  <c:v>116.635696202532</c:v>
                </c:pt>
                <c:pt idx="59">
                  <c:v>117.991139240506</c:v>
                </c:pt>
                <c:pt idx="60">
                  <c:v>119.346582278481</c:v>
                </c:pt>
                <c:pt idx="61">
                  <c:v>120.702025316456</c:v>
                </c:pt>
                <c:pt idx="62">
                  <c:v>122.05746835443</c:v>
                </c:pt>
                <c:pt idx="63">
                  <c:v>123.412911392405</c:v>
                </c:pt>
                <c:pt idx="64">
                  <c:v>124.76835443038</c:v>
                </c:pt>
                <c:pt idx="65">
                  <c:v>126.123797468354</c:v>
                </c:pt>
                <c:pt idx="66">
                  <c:v>127.479240506329</c:v>
                </c:pt>
                <c:pt idx="67">
                  <c:v>128.834683544304</c:v>
                </c:pt>
                <c:pt idx="68">
                  <c:v>130.190126582278</c:v>
                </c:pt>
                <c:pt idx="69">
                  <c:v>131.545569620253</c:v>
                </c:pt>
                <c:pt idx="70">
                  <c:v>132.901012658228</c:v>
                </c:pt>
                <c:pt idx="71">
                  <c:v>134.256455696203</c:v>
                </c:pt>
                <c:pt idx="72">
                  <c:v>135.611898734177</c:v>
                </c:pt>
                <c:pt idx="73">
                  <c:v>136.967341772152</c:v>
                </c:pt>
                <c:pt idx="74">
                  <c:v>138.322784810127</c:v>
                </c:pt>
                <c:pt idx="75">
                  <c:v>139.678227848101</c:v>
                </c:pt>
                <c:pt idx="76">
                  <c:v>141.033670886076</c:v>
                </c:pt>
                <c:pt idx="77">
                  <c:v>142.389113924051</c:v>
                </c:pt>
                <c:pt idx="78">
                  <c:v>143.744556962025</c:v>
                </c:pt>
                <c:pt idx="79">
                  <c:v>145.1</c:v>
                </c:pt>
                <c:pt idx="80">
                  <c:v>146.455443037975</c:v>
                </c:pt>
                <c:pt idx="81">
                  <c:v>147.810886075949</c:v>
                </c:pt>
                <c:pt idx="82">
                  <c:v>149.166329113924</c:v>
                </c:pt>
                <c:pt idx="83">
                  <c:v>150.521772151899</c:v>
                </c:pt>
                <c:pt idx="84">
                  <c:v>151.877215189873</c:v>
                </c:pt>
                <c:pt idx="85">
                  <c:v>153.232658227848</c:v>
                </c:pt>
                <c:pt idx="86">
                  <c:v>154.588101265823</c:v>
                </c:pt>
                <c:pt idx="87">
                  <c:v>155.943544303797</c:v>
                </c:pt>
                <c:pt idx="88">
                  <c:v>157.298987341772</c:v>
                </c:pt>
                <c:pt idx="89">
                  <c:v>158.654430379747</c:v>
                </c:pt>
                <c:pt idx="90">
                  <c:v>160.009873417722</c:v>
                </c:pt>
                <c:pt idx="91">
                  <c:v>161.365316455696</c:v>
                </c:pt>
                <c:pt idx="92">
                  <c:v>162.720759493671</c:v>
                </c:pt>
                <c:pt idx="93">
                  <c:v>164.076202531646</c:v>
                </c:pt>
                <c:pt idx="94">
                  <c:v>165.43164556962</c:v>
                </c:pt>
                <c:pt idx="95">
                  <c:v>166.787088607595</c:v>
                </c:pt>
                <c:pt idx="96">
                  <c:v>168.14253164557</c:v>
                </c:pt>
                <c:pt idx="97">
                  <c:v>169.497974683544</c:v>
                </c:pt>
                <c:pt idx="98">
                  <c:v>170.853417721519</c:v>
                </c:pt>
                <c:pt idx="99">
                  <c:v>172.208860759494</c:v>
                </c:pt>
                <c:pt idx="100">
                  <c:v>173.564303797468</c:v>
                </c:pt>
                <c:pt idx="101">
                  <c:v>174.919746835443</c:v>
                </c:pt>
                <c:pt idx="102">
                  <c:v>176.275189873418</c:v>
                </c:pt>
                <c:pt idx="103">
                  <c:v>177.630632911392</c:v>
                </c:pt>
                <c:pt idx="104">
                  <c:v>178.986075949367</c:v>
                </c:pt>
                <c:pt idx="105">
                  <c:v>180.341518987342</c:v>
                </c:pt>
                <c:pt idx="106">
                  <c:v>181.696962025316</c:v>
                </c:pt>
                <c:pt idx="107">
                  <c:v>183.052405063291</c:v>
                </c:pt>
                <c:pt idx="108">
                  <c:v>184.407848101266</c:v>
                </c:pt>
                <c:pt idx="109">
                  <c:v>185.763291139241</c:v>
                </c:pt>
                <c:pt idx="110">
                  <c:v>187.118734177215</c:v>
                </c:pt>
                <c:pt idx="111">
                  <c:v>188.47417721519</c:v>
                </c:pt>
                <c:pt idx="112">
                  <c:v>189.829620253165</c:v>
                </c:pt>
                <c:pt idx="113">
                  <c:v>191.185063291139</c:v>
                </c:pt>
                <c:pt idx="114">
                  <c:v>192.540506329114</c:v>
                </c:pt>
                <c:pt idx="115">
                  <c:v>193.895949367089</c:v>
                </c:pt>
                <c:pt idx="116">
                  <c:v>195.251392405063</c:v>
                </c:pt>
                <c:pt idx="117">
                  <c:v>196.606835443038</c:v>
                </c:pt>
                <c:pt idx="118">
                  <c:v>197.962278481013</c:v>
                </c:pt>
                <c:pt idx="119">
                  <c:v>199.317721518987</c:v>
                </c:pt>
                <c:pt idx="120">
                  <c:v>200.673164556962</c:v>
                </c:pt>
                <c:pt idx="121">
                  <c:v>202.028607594937</c:v>
                </c:pt>
                <c:pt idx="122">
                  <c:v>203.384050632911</c:v>
                </c:pt>
                <c:pt idx="123">
                  <c:v>204.739493670886</c:v>
                </c:pt>
                <c:pt idx="124">
                  <c:v>206.094936708861</c:v>
                </c:pt>
                <c:pt idx="125">
                  <c:v>207.450379746835</c:v>
                </c:pt>
                <c:pt idx="126">
                  <c:v>208.80582278481</c:v>
                </c:pt>
                <c:pt idx="127">
                  <c:v>210.161265822785</c:v>
                </c:pt>
                <c:pt idx="128">
                  <c:v>211.51670886076</c:v>
                </c:pt>
                <c:pt idx="129">
                  <c:v>212.872151898734</c:v>
                </c:pt>
                <c:pt idx="130">
                  <c:v>214.227594936709</c:v>
                </c:pt>
                <c:pt idx="131">
                  <c:v>215.583037974684</c:v>
                </c:pt>
                <c:pt idx="132">
                  <c:v>216.938481012658</c:v>
                </c:pt>
                <c:pt idx="133">
                  <c:v>218.293924050633</c:v>
                </c:pt>
                <c:pt idx="134">
                  <c:v>219.649367088608</c:v>
                </c:pt>
                <c:pt idx="135">
                  <c:v>221.004810126582</c:v>
                </c:pt>
                <c:pt idx="136">
                  <c:v>222.360253164557</c:v>
                </c:pt>
                <c:pt idx="137">
                  <c:v>223.715696202532</c:v>
                </c:pt>
                <c:pt idx="138">
                  <c:v>225.071139240506</c:v>
                </c:pt>
                <c:pt idx="139">
                  <c:v>226.426582278481</c:v>
                </c:pt>
                <c:pt idx="140">
                  <c:v>227.782025316456</c:v>
                </c:pt>
                <c:pt idx="141">
                  <c:v>229.13746835443</c:v>
                </c:pt>
                <c:pt idx="142">
                  <c:v>230.492911392405</c:v>
                </c:pt>
                <c:pt idx="143">
                  <c:v>231.84835443038</c:v>
                </c:pt>
                <c:pt idx="144">
                  <c:v>233.203797468354</c:v>
                </c:pt>
                <c:pt idx="145">
                  <c:v>234.559240506329</c:v>
                </c:pt>
                <c:pt idx="146">
                  <c:v>235.914683544304</c:v>
                </c:pt>
                <c:pt idx="147">
                  <c:v>237.270126582279</c:v>
                </c:pt>
                <c:pt idx="148">
                  <c:v>238.625569620253</c:v>
                </c:pt>
                <c:pt idx="149">
                  <c:v>239.981012658228</c:v>
                </c:pt>
                <c:pt idx="150">
                  <c:v>241.336455696203</c:v>
                </c:pt>
                <c:pt idx="151">
                  <c:v>242.691898734177</c:v>
                </c:pt>
                <c:pt idx="152">
                  <c:v>244.047341772152</c:v>
                </c:pt>
                <c:pt idx="153">
                  <c:v>245.402784810127</c:v>
                </c:pt>
                <c:pt idx="154">
                  <c:v>246.758227848101</c:v>
                </c:pt>
                <c:pt idx="155">
                  <c:v>248.113670886076</c:v>
                </c:pt>
                <c:pt idx="156">
                  <c:v>249.469113924051</c:v>
                </c:pt>
                <c:pt idx="157">
                  <c:v>250.824556962025</c:v>
                </c:pt>
                <c:pt idx="158">
                  <c:v>252.18</c:v>
                </c:pt>
                <c:pt idx="159">
                  <c:v>253.535443037975</c:v>
                </c:pt>
              </c:numCache>
            </c:numRef>
          </c:val>
          <c:smooth val="0"/>
        </c:ser>
        <c:hiLowLines>
          <c:spPr>
            <a:ln w="0">
              <a:noFill/>
            </a:ln>
          </c:spPr>
        </c:hiLowLines>
        <c:marker val="0"/>
        <c:axId val="9094913"/>
        <c:axId val="12443386"/>
      </c:lineChart>
      <c:dateAx>
        <c:axId val="4758279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182618"/>
        <c:auto val="1"/>
        <c:lblOffset val="100"/>
        <c:baseTimeUnit val="days"/>
      </c:dateAx>
      <c:valAx>
        <c:axId val="4118261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582793"/>
        <c:crosses val="autoZero"/>
        <c:crossBetween val="between"/>
      </c:valAx>
      <c:dateAx>
        <c:axId val="909491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443386"/>
        <c:auto val="1"/>
        <c:lblOffset val="100"/>
        <c:baseTimeUnit val="days"/>
      </c:dateAx>
      <c:valAx>
        <c:axId val="1244338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9491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(Calc)'!$N$3:$N$500</c:f>
              <c:numCache>
                <c:formatCode>0.0%</c:formatCode>
                <c:ptCount val="498"/>
                <c:pt idx="0">
                  <c:v>0.00180567497850381</c:v>
                </c:pt>
                <c:pt idx="1">
                  <c:v>-0.00512116270420271</c:v>
                </c:pt>
                <c:pt idx="2">
                  <c:v>0.0370391671938806</c:v>
                </c:pt>
                <c:pt idx="3">
                  <c:v>0.0287837612999833</c:v>
                </c:pt>
                <c:pt idx="4">
                  <c:v>-0.0246361185983827</c:v>
                </c:pt>
                <c:pt idx="5">
                  <c:v>-0.018183827999779</c:v>
                </c:pt>
                <c:pt idx="6">
                  <c:v>0.0588831344291827</c:v>
                </c:pt>
                <c:pt idx="7">
                  <c:v>-0.00677830940988844</c:v>
                </c:pt>
                <c:pt idx="8">
                  <c:v>-0.06195637628797</c:v>
                </c:pt>
                <c:pt idx="9">
                  <c:v>0.00724679029957209</c:v>
                </c:pt>
                <c:pt idx="10">
                  <c:v>-0.00532517561749379</c:v>
                </c:pt>
                <c:pt idx="11">
                  <c:v>-0.0028761817974714</c:v>
                </c:pt>
                <c:pt idx="12">
                  <c:v>0.172868770526917</c:v>
                </c:pt>
                <c:pt idx="13">
                  <c:v>-0.0132219733125548</c:v>
                </c:pt>
                <c:pt idx="14">
                  <c:v>0.00404688463911174</c:v>
                </c:pt>
                <c:pt idx="15">
                  <c:v>0.0236181769028485</c:v>
                </c:pt>
                <c:pt idx="16">
                  <c:v>0.0405762304921968</c:v>
                </c:pt>
                <c:pt idx="17">
                  <c:v>0.00373788647900319</c:v>
                </c:pt>
                <c:pt idx="18">
                  <c:v>-0.0111489126936691</c:v>
                </c:pt>
                <c:pt idx="19">
                  <c:v>-0.012762396261943</c:v>
                </c:pt>
                <c:pt idx="20">
                  <c:v>-0.00416784402373549</c:v>
                </c:pt>
                <c:pt idx="21">
                  <c:v>-0.00167884419852937</c:v>
                </c:pt>
                <c:pt idx="22">
                  <c:v>0.0187351965892941</c:v>
                </c:pt>
                <c:pt idx="23">
                  <c:v>0.00616121457301611</c:v>
                </c:pt>
                <c:pt idx="24">
                  <c:v>-0.0442970699694981</c:v>
                </c:pt>
                <c:pt idx="25">
                  <c:v>-0.014265335235378</c:v>
                </c:pt>
                <c:pt idx="26">
                  <c:v>0.0195491672594375</c:v>
                </c:pt>
                <c:pt idx="27">
                  <c:v>0.00565365924072547</c:v>
                </c:pt>
                <c:pt idx="28">
                  <c:v>-0.0271285375947943</c:v>
                </c:pt>
                <c:pt idx="29">
                  <c:v>-0.0248850419258858</c:v>
                </c:pt>
                <c:pt idx="30">
                  <c:v>-0.00572437271466408</c:v>
                </c:pt>
                <c:pt idx="31">
                  <c:v>0.00811605965303852</c:v>
                </c:pt>
                <c:pt idx="32">
                  <c:v>0.00905705947469038</c:v>
                </c:pt>
                <c:pt idx="33">
                  <c:v>0.0541039194175725</c:v>
                </c:pt>
                <c:pt idx="34">
                  <c:v>0.0530535976157813</c:v>
                </c:pt>
                <c:pt idx="35">
                  <c:v>0.0263695784012039</c:v>
                </c:pt>
                <c:pt idx="36">
                  <c:v>-0.00352336141809828</c:v>
                </c:pt>
                <c:pt idx="37">
                  <c:v>0.0608336627574999</c:v>
                </c:pt>
                <c:pt idx="38">
                  <c:v>-0.00478221265319645</c:v>
                </c:pt>
                <c:pt idx="39">
                  <c:v>-0.0250036402970483</c:v>
                </c:pt>
                <c:pt idx="40">
                  <c:v>2.13351539333218E-005</c:v>
                </c:pt>
                <c:pt idx="41">
                  <c:v>0.0124807987711213</c:v>
                </c:pt>
                <c:pt idx="42">
                  <c:v>0.0298586088459027</c:v>
                </c:pt>
                <c:pt idx="43">
                  <c:v>0.00579039980357643</c:v>
                </c:pt>
                <c:pt idx="44">
                  <c:v>0.0075065606119169</c:v>
                </c:pt>
                <c:pt idx="45">
                  <c:v>-0.00161531316884067</c:v>
                </c:pt>
                <c:pt idx="46">
                  <c:v>-0.0526028394612305</c:v>
                </c:pt>
                <c:pt idx="47">
                  <c:v>0.0190415199060732</c:v>
                </c:pt>
                <c:pt idx="48">
                  <c:v>0.00810691916123751</c:v>
                </c:pt>
                <c:pt idx="49">
                  <c:v>0.0304421910065664</c:v>
                </c:pt>
                <c:pt idx="50">
                  <c:v>-0.0562423118030208</c:v>
                </c:pt>
                <c:pt idx="51">
                  <c:v>0.0371153846153847</c:v>
                </c:pt>
                <c:pt idx="52">
                  <c:v>-0.0421328059006531</c:v>
                </c:pt>
                <c:pt idx="53">
                  <c:v>-0.00438785167340627</c:v>
                </c:pt>
                <c:pt idx="54">
                  <c:v>-0.0163541306602143</c:v>
                </c:pt>
                <c:pt idx="55">
                  <c:v>0.0579824734796073</c:v>
                </c:pt>
                <c:pt idx="56">
                  <c:v>0.0026779597683253</c:v>
                </c:pt>
                <c:pt idx="57">
                  <c:v>-0.0109730848861284</c:v>
                </c:pt>
                <c:pt idx="58">
                  <c:v>-0.0137743353569185</c:v>
                </c:pt>
                <c:pt idx="59">
                  <c:v>0.0968330786211582</c:v>
                </c:pt>
                <c:pt idx="60">
                  <c:v>-0.0987730773696637</c:v>
                </c:pt>
                <c:pt idx="61">
                  <c:v>-0.0316298045952329</c:v>
                </c:pt>
                <c:pt idx="62">
                  <c:v>0.0380513116171806</c:v>
                </c:pt>
                <c:pt idx="63">
                  <c:v>-0.0128810373186935</c:v>
                </c:pt>
                <c:pt idx="64">
                  <c:v>0.00352737502705036</c:v>
                </c:pt>
                <c:pt idx="65">
                  <c:v>-0.14331615379639</c:v>
                </c:pt>
                <c:pt idx="66">
                  <c:v>0.0289223953482518</c:v>
                </c:pt>
                <c:pt idx="67">
                  <c:v>-0.0040365984930032</c:v>
                </c:pt>
                <c:pt idx="68">
                  <c:v>0.00601802952518971</c:v>
                </c:pt>
                <c:pt idx="69">
                  <c:v>0.0303740599667937</c:v>
                </c:pt>
                <c:pt idx="70">
                  <c:v>0.0417535545023697</c:v>
                </c:pt>
                <c:pt idx="71">
                  <c:v>0.0501797006505618</c:v>
                </c:pt>
                <c:pt idx="72">
                  <c:v>0.0165482585340495</c:v>
                </c:pt>
                <c:pt idx="73">
                  <c:v>-0.0219892610585528</c:v>
                </c:pt>
                <c:pt idx="74">
                  <c:v>0.0549891067538126</c:v>
                </c:pt>
                <c:pt idx="75">
                  <c:v>-0.00918965802081606</c:v>
                </c:pt>
                <c:pt idx="76">
                  <c:v>0.0177160841201358</c:v>
                </c:pt>
                <c:pt idx="77">
                  <c:v>0.0337504351922013</c:v>
                </c:pt>
                <c:pt idx="78">
                  <c:v>-0.00311032747588014</c:v>
                </c:pt>
                <c:pt idx="79">
                  <c:v>-0.0208863275039746</c:v>
                </c:pt>
                <c:pt idx="80">
                  <c:v>-0.0366762061336743</c:v>
                </c:pt>
                <c:pt idx="81">
                  <c:v>0.0202267076819351</c:v>
                </c:pt>
                <c:pt idx="82">
                  <c:v>0.0100780636900581</c:v>
                </c:pt>
                <c:pt idx="83">
                  <c:v>0.00969126967900214</c:v>
                </c:pt>
                <c:pt idx="84">
                  <c:v>0.0148023651385063</c:v>
                </c:pt>
                <c:pt idx="85">
                  <c:v>-0.151970467923775</c:v>
                </c:pt>
                <c:pt idx="86">
                  <c:v>0.0321419327513588</c:v>
                </c:pt>
                <c:pt idx="87">
                  <c:v>-0.00604126296591812</c:v>
                </c:pt>
                <c:pt idx="88">
                  <c:v>0.013876146788991</c:v>
                </c:pt>
                <c:pt idx="89">
                  <c:v>0.0191154846736794</c:v>
                </c:pt>
                <c:pt idx="90">
                  <c:v>0.0109877913429524</c:v>
                </c:pt>
                <c:pt idx="91">
                  <c:v>-0.0320122955318916</c:v>
                </c:pt>
                <c:pt idx="92">
                  <c:v>0.000975344205774942</c:v>
                </c:pt>
                <c:pt idx="93">
                  <c:v>0.0415137094946747</c:v>
                </c:pt>
                <c:pt idx="94">
                  <c:v>0.0200818067098909</c:v>
                </c:pt>
                <c:pt idx="95">
                  <c:v>-0.0192812200063986</c:v>
                </c:pt>
                <c:pt idx="96">
                  <c:v>0.0214001435375482</c:v>
                </c:pt>
                <c:pt idx="97">
                  <c:v>-0.0160119237730224</c:v>
                </c:pt>
                <c:pt idx="98">
                  <c:v>-0.206846558327743</c:v>
                </c:pt>
                <c:pt idx="99">
                  <c:v>0.0716156490423965</c:v>
                </c:pt>
                <c:pt idx="100">
                  <c:v>0.00593192291046107</c:v>
                </c:pt>
                <c:pt idx="101">
                  <c:v>-0.0103765944523183</c:v>
                </c:pt>
                <c:pt idx="102">
                  <c:v>0.0130428111094063</c:v>
                </c:pt>
                <c:pt idx="103">
                  <c:v>-0.00401393517116033</c:v>
                </c:pt>
                <c:pt idx="104">
                  <c:v>-0.0289204876688718</c:v>
                </c:pt>
                <c:pt idx="105">
                  <c:v>0.00683858843182295</c:v>
                </c:pt>
                <c:pt idx="106">
                  <c:v>0.0455228910665215</c:v>
                </c:pt>
                <c:pt idx="107">
                  <c:v>0.0111331515001241</c:v>
                </c:pt>
                <c:pt idx="108">
                  <c:v>0.022119228034037</c:v>
                </c:pt>
                <c:pt idx="109">
                  <c:v>0.0109882200523019</c:v>
                </c:pt>
                <c:pt idx="110">
                  <c:v>0.00991955195899297</c:v>
                </c:pt>
                <c:pt idx="111">
                  <c:v>-0.0378316140705406</c:v>
                </c:pt>
                <c:pt idx="112">
                  <c:v>0.0675995799448066</c:v>
                </c:pt>
                <c:pt idx="113">
                  <c:v>-0.023767585496969</c:v>
                </c:pt>
                <c:pt idx="114">
                  <c:v>0.0160511763051834</c:v>
                </c:pt>
                <c:pt idx="115">
                  <c:v>0.0504370286663132</c:v>
                </c:pt>
                <c:pt idx="116">
                  <c:v>-0.00755247211732679</c:v>
                </c:pt>
                <c:pt idx="117">
                  <c:v>0.00920272542252887</c:v>
                </c:pt>
                <c:pt idx="118">
                  <c:v>0.0146865409907935</c:v>
                </c:pt>
                <c:pt idx="119">
                  <c:v>-0.0232663642255346</c:v>
                </c:pt>
                <c:pt idx="120">
                  <c:v>0.0259438657023423</c:v>
                </c:pt>
                <c:pt idx="121">
                  <c:v>-0.0485060147458285</c:v>
                </c:pt>
                <c:pt idx="122">
                  <c:v>0.0612878375928947</c:v>
                </c:pt>
                <c:pt idx="123">
                  <c:v>0.0031809739330928</c:v>
                </c:pt>
                <c:pt idx="124">
                  <c:v>0.0170674611619495</c:v>
                </c:pt>
                <c:pt idx="125">
                  <c:v>0.0283520254435889</c:v>
                </c:pt>
                <c:pt idx="126">
                  <c:v>-0.0296457566077279</c:v>
                </c:pt>
                <c:pt idx="127">
                  <c:v>0.0417907318096038</c:v>
                </c:pt>
                <c:pt idx="128">
                  <c:v>-0.0807922226918664</c:v>
                </c:pt>
                <c:pt idx="129">
                  <c:v>0.0276993146335589</c:v>
                </c:pt>
                <c:pt idx="130">
                  <c:v>-0.032684194826778</c:v>
                </c:pt>
                <c:pt idx="131">
                  <c:v>-0.0461013215859031</c:v>
                </c:pt>
                <c:pt idx="132">
                  <c:v>0.0130232987738703</c:v>
                </c:pt>
                <c:pt idx="133">
                  <c:v>-0.0055617606163525</c:v>
                </c:pt>
                <c:pt idx="134">
                  <c:v>0.0113003415316204</c:v>
                </c:pt>
                <c:pt idx="135">
                  <c:v>-0.0247280145058929</c:v>
                </c:pt>
                <c:pt idx="136">
                  <c:v>-0.0148039694159753</c:v>
                </c:pt>
                <c:pt idx="137">
                  <c:v>0.0139177203245895</c:v>
                </c:pt>
                <c:pt idx="138">
                  <c:v>0.0165883393048252</c:v>
                </c:pt>
                <c:pt idx="139">
                  <c:v>-0.00556127703398557</c:v>
                </c:pt>
                <c:pt idx="140">
                  <c:v>0.0299640983153826</c:v>
                </c:pt>
                <c:pt idx="141">
                  <c:v>-0.00158645037315108</c:v>
                </c:pt>
                <c:pt idx="142">
                  <c:v>-0.0042521764429424</c:v>
                </c:pt>
                <c:pt idx="143">
                  <c:v>0.0150585485357246</c:v>
                </c:pt>
                <c:pt idx="144">
                  <c:v>0.0879259570887674</c:v>
                </c:pt>
                <c:pt idx="145">
                  <c:v>0.074693694793829</c:v>
                </c:pt>
                <c:pt idx="146">
                  <c:v>-0.0807703961821074</c:v>
                </c:pt>
                <c:pt idx="147">
                  <c:v>0.000535651743958532</c:v>
                </c:pt>
                <c:pt idx="148">
                  <c:v>-0.0170699063111294</c:v>
                </c:pt>
                <c:pt idx="149">
                  <c:v>-0.000544662309368227</c:v>
                </c:pt>
                <c:pt idx="150">
                  <c:v>0.0397610563823096</c:v>
                </c:pt>
                <c:pt idx="151">
                  <c:v>0.0195133751285101</c:v>
                </c:pt>
                <c:pt idx="152">
                  <c:v>0.0836381611468116</c:v>
                </c:pt>
                <c:pt idx="153">
                  <c:v>-0.0116047805857128</c:v>
                </c:pt>
                <c:pt idx="154">
                  <c:v>0.0081781092506783</c:v>
                </c:pt>
                <c:pt idx="155">
                  <c:v>-0.056178129348861</c:v>
                </c:pt>
                <c:pt idx="156">
                  <c:v>-0.0137746391432564</c:v>
                </c:pt>
                <c:pt idx="157">
                  <c:v>0.0351142935830351</c:v>
                </c:pt>
                <c:pt idx="158">
                  <c:v>-0.0407837473156085</c:v>
                </c:pt>
              </c:numCache>
            </c:numRef>
          </c:val>
        </c:ser>
        <c:gapWidth val="150"/>
        <c:overlap val="0"/>
        <c:axId val="51203999"/>
        <c:axId val="25797540"/>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(Calc)'!$AI$3:$AI$500</c:f>
              <c:numCache>
                <c:formatCode>#,##0.00</c:formatCode>
                <c:ptCount val="498"/>
                <c:pt idx="0">
                  <c:v>348.9</c:v>
                </c:pt>
                <c:pt idx="1">
                  <c:v>349.886265822785</c:v>
                </c:pt>
                <c:pt idx="2">
                  <c:v>350.87253164557</c:v>
                </c:pt>
                <c:pt idx="3">
                  <c:v>351.858797468354</c:v>
                </c:pt>
                <c:pt idx="4">
                  <c:v>352.845063291139</c:v>
                </c:pt>
                <c:pt idx="5">
                  <c:v>353.831329113924</c:v>
                </c:pt>
                <c:pt idx="6">
                  <c:v>354.817594936709</c:v>
                </c:pt>
                <c:pt idx="7">
                  <c:v>355.803860759494</c:v>
                </c:pt>
                <c:pt idx="8">
                  <c:v>356.790126582278</c:v>
                </c:pt>
                <c:pt idx="9">
                  <c:v>357.776392405063</c:v>
                </c:pt>
                <c:pt idx="10">
                  <c:v>358.762658227848</c:v>
                </c:pt>
                <c:pt idx="11">
                  <c:v>359.748924050633</c:v>
                </c:pt>
                <c:pt idx="12">
                  <c:v>360.735189873418</c:v>
                </c:pt>
                <c:pt idx="13">
                  <c:v>361.721455696203</c:v>
                </c:pt>
                <c:pt idx="14">
                  <c:v>362.707721518987</c:v>
                </c:pt>
                <c:pt idx="15">
                  <c:v>363.693987341772</c:v>
                </c:pt>
                <c:pt idx="16">
                  <c:v>364.680253164557</c:v>
                </c:pt>
                <c:pt idx="17">
                  <c:v>365.666518987342</c:v>
                </c:pt>
                <c:pt idx="18">
                  <c:v>366.652784810127</c:v>
                </c:pt>
                <c:pt idx="19">
                  <c:v>367.639050632911</c:v>
                </c:pt>
                <c:pt idx="20">
                  <c:v>368.625316455696</c:v>
                </c:pt>
                <c:pt idx="21">
                  <c:v>369.611582278481</c:v>
                </c:pt>
                <c:pt idx="22">
                  <c:v>370.597848101266</c:v>
                </c:pt>
                <c:pt idx="23">
                  <c:v>371.584113924051</c:v>
                </c:pt>
                <c:pt idx="24">
                  <c:v>372.570379746835</c:v>
                </c:pt>
                <c:pt idx="25">
                  <c:v>373.55664556962</c:v>
                </c:pt>
                <c:pt idx="26">
                  <c:v>374.542911392405</c:v>
                </c:pt>
                <c:pt idx="27">
                  <c:v>375.52917721519</c:v>
                </c:pt>
                <c:pt idx="28">
                  <c:v>376.515443037975</c:v>
                </c:pt>
                <c:pt idx="29">
                  <c:v>377.50170886076</c:v>
                </c:pt>
                <c:pt idx="30">
                  <c:v>378.487974683544</c:v>
                </c:pt>
                <c:pt idx="31">
                  <c:v>379.474240506329</c:v>
                </c:pt>
                <c:pt idx="32">
                  <c:v>380.460506329114</c:v>
                </c:pt>
                <c:pt idx="33">
                  <c:v>381.446772151899</c:v>
                </c:pt>
                <c:pt idx="34">
                  <c:v>382.433037974684</c:v>
                </c:pt>
                <c:pt idx="35">
                  <c:v>383.419303797468</c:v>
                </c:pt>
                <c:pt idx="36">
                  <c:v>384.405569620253</c:v>
                </c:pt>
                <c:pt idx="37">
                  <c:v>385.391835443038</c:v>
                </c:pt>
                <c:pt idx="38">
                  <c:v>386.378101265823</c:v>
                </c:pt>
                <c:pt idx="39">
                  <c:v>387.364367088608</c:v>
                </c:pt>
                <c:pt idx="40">
                  <c:v>388.350632911392</c:v>
                </c:pt>
                <c:pt idx="41">
                  <c:v>389.336898734177</c:v>
                </c:pt>
                <c:pt idx="42">
                  <c:v>390.323164556962</c:v>
                </c:pt>
                <c:pt idx="43">
                  <c:v>391.309430379747</c:v>
                </c:pt>
                <c:pt idx="44">
                  <c:v>392.295696202532</c:v>
                </c:pt>
                <c:pt idx="45">
                  <c:v>393.281962025316</c:v>
                </c:pt>
                <c:pt idx="46">
                  <c:v>394.268227848101</c:v>
                </c:pt>
                <c:pt idx="47">
                  <c:v>395.254493670886</c:v>
                </c:pt>
                <c:pt idx="48">
                  <c:v>396.240759493671</c:v>
                </c:pt>
                <c:pt idx="49">
                  <c:v>397.227025316456</c:v>
                </c:pt>
                <c:pt idx="50">
                  <c:v>398.213291139241</c:v>
                </c:pt>
                <c:pt idx="51">
                  <c:v>399.199556962025</c:v>
                </c:pt>
                <c:pt idx="52">
                  <c:v>400.18582278481</c:v>
                </c:pt>
                <c:pt idx="53">
                  <c:v>401.172088607595</c:v>
                </c:pt>
                <c:pt idx="54">
                  <c:v>402.15835443038</c:v>
                </c:pt>
                <c:pt idx="55">
                  <c:v>403.144620253165</c:v>
                </c:pt>
                <c:pt idx="56">
                  <c:v>404.130886075949</c:v>
                </c:pt>
                <c:pt idx="57">
                  <c:v>405.117151898734</c:v>
                </c:pt>
                <c:pt idx="58">
                  <c:v>406.103417721519</c:v>
                </c:pt>
                <c:pt idx="59">
                  <c:v>407.089683544304</c:v>
                </c:pt>
                <c:pt idx="60">
                  <c:v>408.075949367089</c:v>
                </c:pt>
                <c:pt idx="61">
                  <c:v>409.062215189873</c:v>
                </c:pt>
                <c:pt idx="62">
                  <c:v>410.048481012658</c:v>
                </c:pt>
                <c:pt idx="63">
                  <c:v>411.034746835443</c:v>
                </c:pt>
                <c:pt idx="64">
                  <c:v>412.021012658228</c:v>
                </c:pt>
                <c:pt idx="65">
                  <c:v>413.007278481013</c:v>
                </c:pt>
                <c:pt idx="66">
                  <c:v>413.993544303798</c:v>
                </c:pt>
                <c:pt idx="67">
                  <c:v>414.979810126582</c:v>
                </c:pt>
                <c:pt idx="68">
                  <c:v>415.966075949367</c:v>
                </c:pt>
                <c:pt idx="69">
                  <c:v>416.952341772152</c:v>
                </c:pt>
                <c:pt idx="70">
                  <c:v>417.938607594937</c:v>
                </c:pt>
                <c:pt idx="71">
                  <c:v>418.924873417722</c:v>
                </c:pt>
                <c:pt idx="72">
                  <c:v>419.911139240506</c:v>
                </c:pt>
                <c:pt idx="73">
                  <c:v>420.897405063291</c:v>
                </c:pt>
                <c:pt idx="74">
                  <c:v>421.883670886076</c:v>
                </c:pt>
                <c:pt idx="75">
                  <c:v>422.869936708861</c:v>
                </c:pt>
                <c:pt idx="76">
                  <c:v>423.856202531646</c:v>
                </c:pt>
                <c:pt idx="77">
                  <c:v>424.84246835443</c:v>
                </c:pt>
                <c:pt idx="78">
                  <c:v>425.828734177215</c:v>
                </c:pt>
                <c:pt idx="79">
                  <c:v>426.815</c:v>
                </c:pt>
                <c:pt idx="80">
                  <c:v>427.801265822785</c:v>
                </c:pt>
                <c:pt idx="81">
                  <c:v>428.78753164557</c:v>
                </c:pt>
                <c:pt idx="82">
                  <c:v>429.773797468354</c:v>
                </c:pt>
                <c:pt idx="83">
                  <c:v>430.760063291139</c:v>
                </c:pt>
                <c:pt idx="84">
                  <c:v>431.746329113924</c:v>
                </c:pt>
                <c:pt idx="85">
                  <c:v>432.732594936709</c:v>
                </c:pt>
                <c:pt idx="86">
                  <c:v>433.718860759494</c:v>
                </c:pt>
                <c:pt idx="87">
                  <c:v>434.705126582278</c:v>
                </c:pt>
                <c:pt idx="88">
                  <c:v>435.691392405063</c:v>
                </c:pt>
                <c:pt idx="89">
                  <c:v>436.677658227848</c:v>
                </c:pt>
                <c:pt idx="90">
                  <c:v>437.663924050633</c:v>
                </c:pt>
                <c:pt idx="91">
                  <c:v>438.650189873418</c:v>
                </c:pt>
                <c:pt idx="92">
                  <c:v>439.636455696203</c:v>
                </c:pt>
                <c:pt idx="93">
                  <c:v>440.622721518987</c:v>
                </c:pt>
                <c:pt idx="94">
                  <c:v>441.608987341772</c:v>
                </c:pt>
                <c:pt idx="95">
                  <c:v>442.595253164557</c:v>
                </c:pt>
                <c:pt idx="96">
                  <c:v>443.581518987342</c:v>
                </c:pt>
                <c:pt idx="97">
                  <c:v>444.567784810127</c:v>
                </c:pt>
                <c:pt idx="98">
                  <c:v>445.554050632911</c:v>
                </c:pt>
                <c:pt idx="99">
                  <c:v>446.540316455696</c:v>
                </c:pt>
                <c:pt idx="100">
                  <c:v>447.526582278481</c:v>
                </c:pt>
                <c:pt idx="101">
                  <c:v>448.512848101266</c:v>
                </c:pt>
                <c:pt idx="102">
                  <c:v>449.499113924051</c:v>
                </c:pt>
                <c:pt idx="103">
                  <c:v>450.485379746835</c:v>
                </c:pt>
                <c:pt idx="104">
                  <c:v>451.47164556962</c:v>
                </c:pt>
                <c:pt idx="105">
                  <c:v>452.457911392405</c:v>
                </c:pt>
                <c:pt idx="106">
                  <c:v>453.44417721519</c:v>
                </c:pt>
                <c:pt idx="107">
                  <c:v>454.430443037975</c:v>
                </c:pt>
                <c:pt idx="108">
                  <c:v>455.41670886076</c:v>
                </c:pt>
                <c:pt idx="109">
                  <c:v>456.402974683544</c:v>
                </c:pt>
                <c:pt idx="110">
                  <c:v>457.389240506329</c:v>
                </c:pt>
                <c:pt idx="111">
                  <c:v>458.375506329114</c:v>
                </c:pt>
                <c:pt idx="112">
                  <c:v>459.361772151899</c:v>
                </c:pt>
                <c:pt idx="113">
                  <c:v>460.348037974684</c:v>
                </c:pt>
                <c:pt idx="114">
                  <c:v>461.334303797468</c:v>
                </c:pt>
                <c:pt idx="115">
                  <c:v>462.320569620253</c:v>
                </c:pt>
                <c:pt idx="116">
                  <c:v>463.306835443038</c:v>
                </c:pt>
                <c:pt idx="117">
                  <c:v>464.293101265823</c:v>
                </c:pt>
                <c:pt idx="118">
                  <c:v>465.279367088608</c:v>
                </c:pt>
                <c:pt idx="119">
                  <c:v>466.265632911392</c:v>
                </c:pt>
                <c:pt idx="120">
                  <c:v>467.251898734177</c:v>
                </c:pt>
                <c:pt idx="121">
                  <c:v>468.238164556962</c:v>
                </c:pt>
                <c:pt idx="122">
                  <c:v>469.224430379747</c:v>
                </c:pt>
                <c:pt idx="123">
                  <c:v>470.210696202532</c:v>
                </c:pt>
                <c:pt idx="124">
                  <c:v>471.196962025316</c:v>
                </c:pt>
                <c:pt idx="125">
                  <c:v>472.183227848101</c:v>
                </c:pt>
                <c:pt idx="126">
                  <c:v>473.169493670886</c:v>
                </c:pt>
                <c:pt idx="127">
                  <c:v>474.155759493671</c:v>
                </c:pt>
                <c:pt idx="128">
                  <c:v>475.142025316456</c:v>
                </c:pt>
                <c:pt idx="129">
                  <c:v>476.128291139241</c:v>
                </c:pt>
                <c:pt idx="130">
                  <c:v>477.114556962025</c:v>
                </c:pt>
                <c:pt idx="131">
                  <c:v>478.10082278481</c:v>
                </c:pt>
                <c:pt idx="132">
                  <c:v>479.087088607595</c:v>
                </c:pt>
                <c:pt idx="133">
                  <c:v>480.07335443038</c:v>
                </c:pt>
                <c:pt idx="134">
                  <c:v>481.059620253165</c:v>
                </c:pt>
                <c:pt idx="135">
                  <c:v>482.045886075949</c:v>
                </c:pt>
                <c:pt idx="136">
                  <c:v>483.032151898734</c:v>
                </c:pt>
                <c:pt idx="137">
                  <c:v>484.018417721519</c:v>
                </c:pt>
                <c:pt idx="138">
                  <c:v>485.004683544304</c:v>
                </c:pt>
                <c:pt idx="139">
                  <c:v>485.990949367089</c:v>
                </c:pt>
                <c:pt idx="140">
                  <c:v>486.977215189873</c:v>
                </c:pt>
                <c:pt idx="141">
                  <c:v>487.963481012658</c:v>
                </c:pt>
                <c:pt idx="142">
                  <c:v>488.949746835443</c:v>
                </c:pt>
                <c:pt idx="143">
                  <c:v>489.936012658228</c:v>
                </c:pt>
                <c:pt idx="144">
                  <c:v>490.922278481013</c:v>
                </c:pt>
                <c:pt idx="145">
                  <c:v>491.908544303798</c:v>
                </c:pt>
                <c:pt idx="146">
                  <c:v>492.894810126582</c:v>
                </c:pt>
                <c:pt idx="147">
                  <c:v>493.881075949367</c:v>
                </c:pt>
                <c:pt idx="148">
                  <c:v>494.867341772152</c:v>
                </c:pt>
                <c:pt idx="149">
                  <c:v>495.853607594937</c:v>
                </c:pt>
                <c:pt idx="150">
                  <c:v>496.839873417722</c:v>
                </c:pt>
                <c:pt idx="151">
                  <c:v>497.826139240506</c:v>
                </c:pt>
                <c:pt idx="152">
                  <c:v>498.812405063291</c:v>
                </c:pt>
                <c:pt idx="153">
                  <c:v>499.798670886076</c:v>
                </c:pt>
                <c:pt idx="154">
                  <c:v>500.784936708861</c:v>
                </c:pt>
                <c:pt idx="155">
                  <c:v>501.771202531646</c:v>
                </c:pt>
                <c:pt idx="156">
                  <c:v>502.75746835443</c:v>
                </c:pt>
                <c:pt idx="157">
                  <c:v>503.743734177215</c:v>
                </c:pt>
                <c:pt idx="158">
                  <c:v>504.73</c:v>
                </c:pt>
                <c:pt idx="159">
                  <c:v>505.716265822785</c:v>
                </c:pt>
              </c:numCache>
            </c:numRef>
          </c:val>
          <c:smooth val="0"/>
        </c:ser>
        <c:hiLowLines>
          <c:spPr>
            <a:ln w="0">
              <a:noFill/>
            </a:ln>
          </c:spPr>
        </c:hiLowLines>
        <c:marker val="0"/>
        <c:axId val="69781622"/>
        <c:axId val="70234199"/>
      </c:lineChart>
      <c:dateAx>
        <c:axId val="5120399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797540"/>
        <c:auto val="1"/>
        <c:lblOffset val="100"/>
        <c:baseTimeUnit val="days"/>
      </c:dateAx>
      <c:valAx>
        <c:axId val="2579754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203999"/>
        <c:crosses val="autoZero"/>
        <c:crossBetween val="between"/>
      </c:valAx>
      <c:dateAx>
        <c:axId val="6978162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234199"/>
        <c:auto val="1"/>
        <c:lblOffset val="100"/>
        <c:baseTimeUnit val="days"/>
      </c:dateAx>
      <c:valAx>
        <c:axId val="7023419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78162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(Calc)'!$O$3:$O$500</c:f>
              <c:numCache>
                <c:formatCode>0.0%</c:formatCode>
                <c:ptCount val="498"/>
                <c:pt idx="0">
                  <c:v>-0.0292125879697251</c:v>
                </c:pt>
                <c:pt idx="1">
                  <c:v>0.0164136233073451</c:v>
                </c:pt>
                <c:pt idx="2">
                  <c:v>-0.0301439913874312</c:v>
                </c:pt>
                <c:pt idx="3">
                  <c:v>0.00263632579436668</c:v>
                </c:pt>
                <c:pt idx="4">
                  <c:v>-0.0167450871851648</c:v>
                </c:pt>
                <c:pt idx="5">
                  <c:v>-0.0154820548909218</c:v>
                </c:pt>
                <c:pt idx="6">
                  <c:v>0.0716225875625445</c:v>
                </c:pt>
                <c:pt idx="7">
                  <c:v>-0.0341515474919956</c:v>
                </c:pt>
                <c:pt idx="8">
                  <c:v>0.055524861878453</c:v>
                </c:pt>
                <c:pt idx="9">
                  <c:v>0.000130855796911966</c:v>
                </c:pt>
                <c:pt idx="10">
                  <c:v>0.0334947010336253</c:v>
                </c:pt>
                <c:pt idx="11">
                  <c:v>0.00835548803646047</c:v>
                </c:pt>
                <c:pt idx="12">
                  <c:v>0.0548650345260513</c:v>
                </c:pt>
                <c:pt idx="13">
                  <c:v>0.0277314925017853</c:v>
                </c:pt>
                <c:pt idx="14">
                  <c:v>-0.00370584829183551</c:v>
                </c:pt>
                <c:pt idx="15">
                  <c:v>-0.0259211902824597</c:v>
                </c:pt>
                <c:pt idx="16">
                  <c:v>-0.0113365155131265</c:v>
                </c:pt>
                <c:pt idx="17">
                  <c:v>0.0030175015087508</c:v>
                </c:pt>
                <c:pt idx="18">
                  <c:v>0.023586040914561</c:v>
                </c:pt>
                <c:pt idx="19">
                  <c:v>-0.0186926875146956</c:v>
                </c:pt>
                <c:pt idx="20">
                  <c:v>0.00898526416676648</c:v>
                </c:pt>
                <c:pt idx="21">
                  <c:v>0.00712419852766555</c:v>
                </c:pt>
                <c:pt idx="22">
                  <c:v>-0.00330110822919105</c:v>
                </c:pt>
                <c:pt idx="23">
                  <c:v>0.0157321977762006</c:v>
                </c:pt>
                <c:pt idx="24">
                  <c:v>0.00116455106556423</c:v>
                </c:pt>
                <c:pt idx="25">
                  <c:v>-0.00849133418634407</c:v>
                </c:pt>
                <c:pt idx="26">
                  <c:v>0.0273345847020179</c:v>
                </c:pt>
                <c:pt idx="27">
                  <c:v>0.0286627840584677</c:v>
                </c:pt>
                <c:pt idx="28">
                  <c:v>-0.0215364120781527</c:v>
                </c:pt>
                <c:pt idx="29">
                  <c:v>-0.0308599954617653</c:v>
                </c:pt>
                <c:pt idx="30">
                  <c:v>-0.00901428236946844</c:v>
                </c:pt>
                <c:pt idx="31">
                  <c:v>0.0248080330773774</c:v>
                </c:pt>
                <c:pt idx="32">
                  <c:v>0.00680115273775228</c:v>
                </c:pt>
                <c:pt idx="33">
                  <c:v>0.0172887565834667</c:v>
                </c:pt>
                <c:pt idx="34">
                  <c:v>0.0110298255486776</c:v>
                </c:pt>
                <c:pt idx="35">
                  <c:v>-0.0148057441834576</c:v>
                </c:pt>
                <c:pt idx="36">
                  <c:v>0.0107344632768362</c:v>
                </c:pt>
                <c:pt idx="37">
                  <c:v>-0.0340972610396869</c:v>
                </c:pt>
                <c:pt idx="38">
                  <c:v>-0.0238425925925926</c:v>
                </c:pt>
                <c:pt idx="39">
                  <c:v>0.0107896608963718</c:v>
                </c:pt>
                <c:pt idx="40">
                  <c:v>0.0166568914956011</c:v>
                </c:pt>
                <c:pt idx="41">
                  <c:v>-0.0164993654090229</c:v>
                </c:pt>
                <c:pt idx="42">
                  <c:v>0.0557250117315815</c:v>
                </c:pt>
                <c:pt idx="43">
                  <c:v>0.0264473830425604</c:v>
                </c:pt>
                <c:pt idx="44">
                  <c:v>0.0362671863159034</c:v>
                </c:pt>
                <c:pt idx="45">
                  <c:v>-0.0714584203928124</c:v>
                </c:pt>
                <c:pt idx="46">
                  <c:v>-0.0176642664266425</c:v>
                </c:pt>
                <c:pt idx="47">
                  <c:v>0.0286336043981217</c:v>
                </c:pt>
                <c:pt idx="48">
                  <c:v>0.0310655828972275</c:v>
                </c:pt>
                <c:pt idx="49">
                  <c:v>0.000539956803455866</c:v>
                </c:pt>
                <c:pt idx="50">
                  <c:v>-0.0566648677819752</c:v>
                </c:pt>
                <c:pt idx="51">
                  <c:v>0.0288329519450801</c:v>
                </c:pt>
                <c:pt idx="52">
                  <c:v>0.0302491103202847</c:v>
                </c:pt>
                <c:pt idx="53">
                  <c:v>0.000431778929188331</c:v>
                </c:pt>
                <c:pt idx="54">
                  <c:v>0.00280535174794982</c:v>
                </c:pt>
                <c:pt idx="55">
                  <c:v>0.0119431891542932</c:v>
                </c:pt>
                <c:pt idx="56">
                  <c:v>0.0125465178096758</c:v>
                </c:pt>
                <c:pt idx="57">
                  <c:v>-0.0332878294655046</c:v>
                </c:pt>
                <c:pt idx="58">
                  <c:v>-0.00238974581794482</c:v>
                </c:pt>
                <c:pt idx="59">
                  <c:v>0.0886324041811846</c:v>
                </c:pt>
                <c:pt idx="60">
                  <c:v>-0.0194038807761552</c:v>
                </c:pt>
                <c:pt idx="61">
                  <c:v>0.036515707874337</c:v>
                </c:pt>
                <c:pt idx="62">
                  <c:v>0.00679000196811641</c:v>
                </c:pt>
                <c:pt idx="63">
                  <c:v>-0.0208190792688886</c:v>
                </c:pt>
                <c:pt idx="64">
                  <c:v>-0.0123777201038132</c:v>
                </c:pt>
                <c:pt idx="65">
                  <c:v>-0.0538710329492622</c:v>
                </c:pt>
                <c:pt idx="66">
                  <c:v>0.00395256916996045</c:v>
                </c:pt>
                <c:pt idx="67">
                  <c:v>0.00787401574803148</c:v>
                </c:pt>
                <c:pt idx="68">
                  <c:v>-0.0262880067567567</c:v>
                </c:pt>
                <c:pt idx="69">
                  <c:v>0.0488994904044235</c:v>
                </c:pt>
                <c:pt idx="70">
                  <c:v>0.0050651230101304</c:v>
                </c:pt>
                <c:pt idx="71">
                  <c:v>-0.0151187904967602</c:v>
                </c:pt>
                <c:pt idx="72">
                  <c:v>-0.0115914786967418</c:v>
                </c:pt>
                <c:pt idx="73">
                  <c:v>0.00306391970417308</c:v>
                </c:pt>
                <c:pt idx="74">
                  <c:v>-0.0365493996208132</c:v>
                </c:pt>
                <c:pt idx="75">
                  <c:v>-0.0112605225757079</c:v>
                </c:pt>
                <c:pt idx="76">
                  <c:v>-0.0448916408668731</c:v>
                </c:pt>
                <c:pt idx="77">
                  <c:v>-0.0187543412827043</c:v>
                </c:pt>
                <c:pt idx="78">
                  <c:v>0.00967437470504939</c:v>
                </c:pt>
                <c:pt idx="79">
                  <c:v>-0.00467398924982465</c:v>
                </c:pt>
                <c:pt idx="80">
                  <c:v>-0.104719417703686</c:v>
                </c:pt>
                <c:pt idx="81">
                  <c:v>0.0125885129819039</c:v>
                </c:pt>
                <c:pt idx="82">
                  <c:v>0.0186480186480187</c:v>
                </c:pt>
                <c:pt idx="83">
                  <c:v>0.0280956013221461</c:v>
                </c:pt>
                <c:pt idx="84">
                  <c:v>0.0338815382712996</c:v>
                </c:pt>
                <c:pt idx="85">
                  <c:v>0.011601483076187</c:v>
                </c:pt>
                <c:pt idx="86">
                  <c:v>0.0489477417829274</c:v>
                </c:pt>
                <c:pt idx="87">
                  <c:v>-0.0400135256988278</c:v>
                </c:pt>
                <c:pt idx="88">
                  <c:v>0.0117412234354819</c:v>
                </c:pt>
                <c:pt idx="89">
                  <c:v>0.0184518974120924</c:v>
                </c:pt>
                <c:pt idx="90">
                  <c:v>-0.00603919781221518</c:v>
                </c:pt>
                <c:pt idx="91">
                  <c:v>0.00171959188352622</c:v>
                </c:pt>
                <c:pt idx="92">
                  <c:v>0.0255207141222249</c:v>
                </c:pt>
                <c:pt idx="93">
                  <c:v>0.0416248186586319</c:v>
                </c:pt>
                <c:pt idx="94">
                  <c:v>-0.00128562245553898</c:v>
                </c:pt>
                <c:pt idx="95">
                  <c:v>-0.0118000429092469</c:v>
                </c:pt>
                <c:pt idx="96">
                  <c:v>0.0147633521493704</c:v>
                </c:pt>
                <c:pt idx="97">
                  <c:v>-0.0502781343602911</c:v>
                </c:pt>
                <c:pt idx="98">
                  <c:v>0.0233160621761657</c:v>
                </c:pt>
                <c:pt idx="99">
                  <c:v>0.0298293891029169</c:v>
                </c:pt>
                <c:pt idx="100">
                  <c:v>0.0397605814450619</c:v>
                </c:pt>
                <c:pt idx="101">
                  <c:v>0.00842927631578938</c:v>
                </c:pt>
                <c:pt idx="102">
                  <c:v>0.0109072375127421</c:v>
                </c:pt>
                <c:pt idx="103">
                  <c:v>-0.00796611878592324</c:v>
                </c:pt>
                <c:pt idx="104">
                  <c:v>0.00569221386460672</c:v>
                </c:pt>
                <c:pt idx="105">
                  <c:v>0.00303214069132807</c:v>
                </c:pt>
                <c:pt idx="106">
                  <c:v>0.00110842402257161</c:v>
                </c:pt>
                <c:pt idx="107">
                  <c:v>-0.054353296426774</c:v>
                </c:pt>
                <c:pt idx="108">
                  <c:v>0.0195848855774348</c:v>
                </c:pt>
                <c:pt idx="109">
                  <c:v>0.0294393986846226</c:v>
                </c:pt>
                <c:pt idx="110">
                  <c:v>-0.021194605009634</c:v>
                </c:pt>
                <c:pt idx="111">
                  <c:v>-0.000621632822213059</c:v>
                </c:pt>
                <c:pt idx="112">
                  <c:v>-0.00145137880986934</c:v>
                </c:pt>
                <c:pt idx="113">
                  <c:v>-0.00778654485049835</c:v>
                </c:pt>
                <c:pt idx="114">
                  <c:v>0.0443653866276028</c:v>
                </c:pt>
                <c:pt idx="115">
                  <c:v>0.0175333132952611</c:v>
                </c:pt>
                <c:pt idx="116">
                  <c:v>0.0214651437573847</c:v>
                </c:pt>
                <c:pt idx="117">
                  <c:v>-0.00906111432427215</c:v>
                </c:pt>
                <c:pt idx="118">
                  <c:v>-0.000875486381322954</c:v>
                </c:pt>
                <c:pt idx="119">
                  <c:v>-0.00554960568591167</c:v>
                </c:pt>
                <c:pt idx="120">
                  <c:v>0.0408263168200509</c:v>
                </c:pt>
                <c:pt idx="121">
                  <c:v>0.0110055498071677</c:v>
                </c:pt>
                <c:pt idx="122">
                  <c:v>-0.000186081131373417</c:v>
                </c:pt>
                <c:pt idx="123">
                  <c:v>0.00725851479620321</c:v>
                </c:pt>
                <c:pt idx="124">
                  <c:v>0.054138950480414</c:v>
                </c:pt>
                <c:pt idx="125">
                  <c:v>-0.002541630148992</c:v>
                </c:pt>
                <c:pt idx="126">
                  <c:v>0.00562340743344181</c:v>
                </c:pt>
                <c:pt idx="127">
                  <c:v>-0.0221930974224552</c:v>
                </c:pt>
                <c:pt idx="128">
                  <c:v>-0.0383343758377267</c:v>
                </c:pt>
                <c:pt idx="129">
                  <c:v>-0.0191414235272255</c:v>
                </c:pt>
                <c:pt idx="130">
                  <c:v>-0.00198938992042452</c:v>
                </c:pt>
                <c:pt idx="131">
                  <c:v>0.0296155671570955</c:v>
                </c:pt>
                <c:pt idx="132">
                  <c:v>0.0200977228726837</c:v>
                </c:pt>
                <c:pt idx="133">
                  <c:v>0.029733393583371</c:v>
                </c:pt>
                <c:pt idx="134">
                  <c:v>0.0243110408987186</c:v>
                </c:pt>
                <c:pt idx="135">
                  <c:v>0.0122525918944392</c:v>
                </c:pt>
                <c:pt idx="136">
                  <c:v>0.00837988826815628</c:v>
                </c:pt>
                <c:pt idx="137">
                  <c:v>-0.00100730294636109</c:v>
                </c:pt>
                <c:pt idx="138">
                  <c:v>-0.0215948239643728</c:v>
                </c:pt>
                <c:pt idx="139">
                  <c:v>0.0237031947784268</c:v>
                </c:pt>
                <c:pt idx="140">
                  <c:v>0.000167785234899354</c:v>
                </c:pt>
                <c:pt idx="141">
                  <c:v>-0.00293574903539673</c:v>
                </c:pt>
                <c:pt idx="142">
                  <c:v>0.0429040127870783</c:v>
                </c:pt>
                <c:pt idx="143">
                  <c:v>-0.0191175284342987</c:v>
                </c:pt>
                <c:pt idx="144">
                  <c:v>0.0240953947368421</c:v>
                </c:pt>
                <c:pt idx="145">
                  <c:v>-0.0114028748092829</c:v>
                </c:pt>
                <c:pt idx="146">
                  <c:v>0.00357403947689061</c:v>
                </c:pt>
                <c:pt idx="147">
                  <c:v>0.0112505058680696</c:v>
                </c:pt>
                <c:pt idx="148">
                  <c:v>-0.000560268929085894</c:v>
                </c:pt>
                <c:pt idx="149">
                  <c:v>0</c:v>
                </c:pt>
                <c:pt idx="150">
                  <c:v>0.0128133258588932</c:v>
                </c:pt>
                <c:pt idx="151">
                  <c:v>0.0145489048786274</c:v>
                </c:pt>
                <c:pt idx="152">
                  <c:v>-0.0176915283298261</c:v>
                </c:pt>
                <c:pt idx="153">
                  <c:v>-0.00698191050460184</c:v>
                </c:pt>
                <c:pt idx="154">
                  <c:v>0.0108660914030041</c:v>
                </c:pt>
                <c:pt idx="155">
                  <c:v>-0.0159658552007588</c:v>
                </c:pt>
                <c:pt idx="156">
                  <c:v>-0.0204016064257029</c:v>
                </c:pt>
                <c:pt idx="157">
                  <c:v>-0.0127090849458839</c:v>
                </c:pt>
                <c:pt idx="158">
                  <c:v>-0.00315588406278544</c:v>
                </c:pt>
              </c:numCache>
            </c:numRef>
          </c:val>
        </c:ser>
        <c:gapWidth val="150"/>
        <c:overlap val="0"/>
        <c:axId val="66978218"/>
        <c:axId val="6785456"/>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(Calc)'!$AJ$3:$AJ$500</c:f>
              <c:numCache>
                <c:formatCode>#,##0.00</c:formatCode>
                <c:ptCount val="498"/>
                <c:pt idx="0">
                  <c:v>75.31</c:v>
                </c:pt>
                <c:pt idx="1">
                  <c:v>75.5930379746835</c:v>
                </c:pt>
                <c:pt idx="2">
                  <c:v>75.8760759493671</c:v>
                </c:pt>
                <c:pt idx="3">
                  <c:v>76.1591139240506</c:v>
                </c:pt>
                <c:pt idx="4">
                  <c:v>76.4421518987342</c:v>
                </c:pt>
                <c:pt idx="5">
                  <c:v>76.7251898734177</c:v>
                </c:pt>
                <c:pt idx="6">
                  <c:v>77.0082278481013</c:v>
                </c:pt>
                <c:pt idx="7">
                  <c:v>77.2912658227848</c:v>
                </c:pt>
                <c:pt idx="8">
                  <c:v>77.5743037974684</c:v>
                </c:pt>
                <c:pt idx="9">
                  <c:v>77.8573417721519</c:v>
                </c:pt>
                <c:pt idx="10">
                  <c:v>78.1403797468355</c:v>
                </c:pt>
                <c:pt idx="11">
                  <c:v>78.423417721519</c:v>
                </c:pt>
                <c:pt idx="12">
                  <c:v>78.7064556962025</c:v>
                </c:pt>
                <c:pt idx="13">
                  <c:v>78.9894936708861</c:v>
                </c:pt>
                <c:pt idx="14">
                  <c:v>79.2725316455696</c:v>
                </c:pt>
                <c:pt idx="15">
                  <c:v>79.5555696202532</c:v>
                </c:pt>
                <c:pt idx="16">
                  <c:v>79.8386075949367</c:v>
                </c:pt>
                <c:pt idx="17">
                  <c:v>80.1216455696203</c:v>
                </c:pt>
                <c:pt idx="18">
                  <c:v>80.4046835443038</c:v>
                </c:pt>
                <c:pt idx="19">
                  <c:v>80.6877215189874</c:v>
                </c:pt>
                <c:pt idx="20">
                  <c:v>80.9707594936709</c:v>
                </c:pt>
                <c:pt idx="21">
                  <c:v>81.2537974683544</c:v>
                </c:pt>
                <c:pt idx="22">
                  <c:v>81.536835443038</c:v>
                </c:pt>
                <c:pt idx="23">
                  <c:v>81.8198734177215</c:v>
                </c:pt>
                <c:pt idx="24">
                  <c:v>82.1029113924051</c:v>
                </c:pt>
                <c:pt idx="25">
                  <c:v>82.3859493670886</c:v>
                </c:pt>
                <c:pt idx="26">
                  <c:v>82.6689873417722</c:v>
                </c:pt>
                <c:pt idx="27">
                  <c:v>82.9520253164557</c:v>
                </c:pt>
                <c:pt idx="28">
                  <c:v>83.2350632911392</c:v>
                </c:pt>
                <c:pt idx="29">
                  <c:v>83.5181012658228</c:v>
                </c:pt>
                <c:pt idx="30">
                  <c:v>83.8011392405063</c:v>
                </c:pt>
                <c:pt idx="31">
                  <c:v>84.0841772151899</c:v>
                </c:pt>
                <c:pt idx="32">
                  <c:v>84.3672151898734</c:v>
                </c:pt>
                <c:pt idx="33">
                  <c:v>84.650253164557</c:v>
                </c:pt>
                <c:pt idx="34">
                  <c:v>84.9332911392405</c:v>
                </c:pt>
                <c:pt idx="35">
                  <c:v>85.2163291139241</c:v>
                </c:pt>
                <c:pt idx="36">
                  <c:v>85.4993670886076</c:v>
                </c:pt>
                <c:pt idx="37">
                  <c:v>85.7824050632911</c:v>
                </c:pt>
                <c:pt idx="38">
                  <c:v>86.0654430379747</c:v>
                </c:pt>
                <c:pt idx="39">
                  <c:v>86.3484810126582</c:v>
                </c:pt>
                <c:pt idx="40">
                  <c:v>86.6315189873418</c:v>
                </c:pt>
                <c:pt idx="41">
                  <c:v>86.9145569620253</c:v>
                </c:pt>
                <c:pt idx="42">
                  <c:v>87.1975949367089</c:v>
                </c:pt>
                <c:pt idx="43">
                  <c:v>87.4806329113924</c:v>
                </c:pt>
                <c:pt idx="44">
                  <c:v>87.7636708860759</c:v>
                </c:pt>
                <c:pt idx="45">
                  <c:v>88.0467088607595</c:v>
                </c:pt>
                <c:pt idx="46">
                  <c:v>88.3297468354431</c:v>
                </c:pt>
                <c:pt idx="47">
                  <c:v>88.6127848101266</c:v>
                </c:pt>
                <c:pt idx="48">
                  <c:v>88.8958227848101</c:v>
                </c:pt>
                <c:pt idx="49">
                  <c:v>89.1788607594937</c:v>
                </c:pt>
                <c:pt idx="50">
                  <c:v>89.4618987341772</c:v>
                </c:pt>
                <c:pt idx="51">
                  <c:v>89.7449367088608</c:v>
                </c:pt>
                <c:pt idx="52">
                  <c:v>90.0279746835443</c:v>
                </c:pt>
                <c:pt idx="53">
                  <c:v>90.3110126582279</c:v>
                </c:pt>
                <c:pt idx="54">
                  <c:v>90.5940506329114</c:v>
                </c:pt>
                <c:pt idx="55">
                  <c:v>90.8770886075949</c:v>
                </c:pt>
                <c:pt idx="56">
                  <c:v>91.1601265822785</c:v>
                </c:pt>
                <c:pt idx="57">
                  <c:v>91.443164556962</c:v>
                </c:pt>
                <c:pt idx="58">
                  <c:v>91.7262025316456</c:v>
                </c:pt>
                <c:pt idx="59">
                  <c:v>92.0092405063291</c:v>
                </c:pt>
                <c:pt idx="60">
                  <c:v>92.2922784810127</c:v>
                </c:pt>
                <c:pt idx="61">
                  <c:v>92.5753164556962</c:v>
                </c:pt>
                <c:pt idx="62">
                  <c:v>92.8583544303798</c:v>
                </c:pt>
                <c:pt idx="63">
                  <c:v>93.1413924050633</c:v>
                </c:pt>
                <c:pt idx="64">
                  <c:v>93.4244303797468</c:v>
                </c:pt>
                <c:pt idx="65">
                  <c:v>93.7074683544304</c:v>
                </c:pt>
                <c:pt idx="66">
                  <c:v>93.9905063291139</c:v>
                </c:pt>
                <c:pt idx="67">
                  <c:v>94.2735443037975</c:v>
                </c:pt>
                <c:pt idx="68">
                  <c:v>94.556582278481</c:v>
                </c:pt>
                <c:pt idx="69">
                  <c:v>94.8396202531646</c:v>
                </c:pt>
                <c:pt idx="70">
                  <c:v>95.1226582278481</c:v>
                </c:pt>
                <c:pt idx="71">
                  <c:v>95.4056962025316</c:v>
                </c:pt>
                <c:pt idx="72">
                  <c:v>95.6887341772152</c:v>
                </c:pt>
                <c:pt idx="73">
                  <c:v>95.9717721518987</c:v>
                </c:pt>
                <c:pt idx="74">
                  <c:v>96.2548101265823</c:v>
                </c:pt>
                <c:pt idx="75">
                  <c:v>96.5378481012658</c:v>
                </c:pt>
                <c:pt idx="76">
                  <c:v>96.8208860759494</c:v>
                </c:pt>
                <c:pt idx="77">
                  <c:v>97.1039240506329</c:v>
                </c:pt>
                <c:pt idx="78">
                  <c:v>97.3869620253165</c:v>
                </c:pt>
                <c:pt idx="79">
                  <c:v>97.67</c:v>
                </c:pt>
                <c:pt idx="80">
                  <c:v>97.9530379746836</c:v>
                </c:pt>
                <c:pt idx="81">
                  <c:v>98.2360759493671</c:v>
                </c:pt>
                <c:pt idx="82">
                  <c:v>98.5191139240506</c:v>
                </c:pt>
                <c:pt idx="83">
                  <c:v>98.8021518987342</c:v>
                </c:pt>
                <c:pt idx="84">
                  <c:v>99.0851898734177</c:v>
                </c:pt>
                <c:pt idx="85">
                  <c:v>99.3682278481013</c:v>
                </c:pt>
                <c:pt idx="86">
                  <c:v>99.6512658227848</c:v>
                </c:pt>
                <c:pt idx="87">
                  <c:v>99.9343037974684</c:v>
                </c:pt>
                <c:pt idx="88">
                  <c:v>100.217341772152</c:v>
                </c:pt>
                <c:pt idx="89">
                  <c:v>100.500379746835</c:v>
                </c:pt>
                <c:pt idx="90">
                  <c:v>100.783417721519</c:v>
                </c:pt>
                <c:pt idx="91">
                  <c:v>101.066455696203</c:v>
                </c:pt>
                <c:pt idx="92">
                  <c:v>101.349493670886</c:v>
                </c:pt>
                <c:pt idx="93">
                  <c:v>101.63253164557</c:v>
                </c:pt>
                <c:pt idx="94">
                  <c:v>101.915569620253</c:v>
                </c:pt>
                <c:pt idx="95">
                  <c:v>102.198607594937</c:v>
                </c:pt>
                <c:pt idx="96">
                  <c:v>102.48164556962</c:v>
                </c:pt>
                <c:pt idx="97">
                  <c:v>102.764683544304</c:v>
                </c:pt>
                <c:pt idx="98">
                  <c:v>103.047721518987</c:v>
                </c:pt>
                <c:pt idx="99">
                  <c:v>103.330759493671</c:v>
                </c:pt>
                <c:pt idx="100">
                  <c:v>103.613797468354</c:v>
                </c:pt>
                <c:pt idx="101">
                  <c:v>103.896835443038</c:v>
                </c:pt>
                <c:pt idx="102">
                  <c:v>104.179873417722</c:v>
                </c:pt>
                <c:pt idx="103">
                  <c:v>104.462911392405</c:v>
                </c:pt>
                <c:pt idx="104">
                  <c:v>104.745949367089</c:v>
                </c:pt>
                <c:pt idx="105">
                  <c:v>105.028987341772</c:v>
                </c:pt>
                <c:pt idx="106">
                  <c:v>105.312025316456</c:v>
                </c:pt>
                <c:pt idx="107">
                  <c:v>105.595063291139</c:v>
                </c:pt>
                <c:pt idx="108">
                  <c:v>105.878101265823</c:v>
                </c:pt>
                <c:pt idx="109">
                  <c:v>106.161139240506</c:v>
                </c:pt>
                <c:pt idx="110">
                  <c:v>106.44417721519</c:v>
                </c:pt>
                <c:pt idx="111">
                  <c:v>106.727215189873</c:v>
                </c:pt>
                <c:pt idx="112">
                  <c:v>107.010253164557</c:v>
                </c:pt>
                <c:pt idx="113">
                  <c:v>107.293291139241</c:v>
                </c:pt>
                <c:pt idx="114">
                  <c:v>107.576329113924</c:v>
                </c:pt>
                <c:pt idx="115">
                  <c:v>107.859367088608</c:v>
                </c:pt>
                <c:pt idx="116">
                  <c:v>108.142405063291</c:v>
                </c:pt>
                <c:pt idx="117">
                  <c:v>108.425443037975</c:v>
                </c:pt>
                <c:pt idx="118">
                  <c:v>108.708481012658</c:v>
                </c:pt>
                <c:pt idx="119">
                  <c:v>108.991518987342</c:v>
                </c:pt>
                <c:pt idx="120">
                  <c:v>109.274556962025</c:v>
                </c:pt>
                <c:pt idx="121">
                  <c:v>109.557594936709</c:v>
                </c:pt>
                <c:pt idx="122">
                  <c:v>109.840632911392</c:v>
                </c:pt>
                <c:pt idx="123">
                  <c:v>110.123670886076</c:v>
                </c:pt>
                <c:pt idx="124">
                  <c:v>110.40670886076</c:v>
                </c:pt>
                <c:pt idx="125">
                  <c:v>110.689746835443</c:v>
                </c:pt>
                <c:pt idx="126">
                  <c:v>110.972784810127</c:v>
                </c:pt>
                <c:pt idx="127">
                  <c:v>111.25582278481</c:v>
                </c:pt>
                <c:pt idx="128">
                  <c:v>111.538860759494</c:v>
                </c:pt>
                <c:pt idx="129">
                  <c:v>111.821898734177</c:v>
                </c:pt>
                <c:pt idx="130">
                  <c:v>112.104936708861</c:v>
                </c:pt>
                <c:pt idx="131">
                  <c:v>112.387974683544</c:v>
                </c:pt>
                <c:pt idx="132">
                  <c:v>112.671012658228</c:v>
                </c:pt>
                <c:pt idx="133">
                  <c:v>112.954050632911</c:v>
                </c:pt>
                <c:pt idx="134">
                  <c:v>113.237088607595</c:v>
                </c:pt>
                <c:pt idx="135">
                  <c:v>113.520126582278</c:v>
                </c:pt>
                <c:pt idx="136">
                  <c:v>113.803164556962</c:v>
                </c:pt>
                <c:pt idx="137">
                  <c:v>114.086202531646</c:v>
                </c:pt>
                <c:pt idx="138">
                  <c:v>114.369240506329</c:v>
                </c:pt>
                <c:pt idx="139">
                  <c:v>114.652278481013</c:v>
                </c:pt>
                <c:pt idx="140">
                  <c:v>114.935316455696</c:v>
                </c:pt>
                <c:pt idx="141">
                  <c:v>115.21835443038</c:v>
                </c:pt>
                <c:pt idx="142">
                  <c:v>115.501392405063</c:v>
                </c:pt>
                <c:pt idx="143">
                  <c:v>115.784430379747</c:v>
                </c:pt>
                <c:pt idx="144">
                  <c:v>116.06746835443</c:v>
                </c:pt>
                <c:pt idx="145">
                  <c:v>116.350506329114</c:v>
                </c:pt>
                <c:pt idx="146">
                  <c:v>116.633544303797</c:v>
                </c:pt>
                <c:pt idx="147">
                  <c:v>116.916582278481</c:v>
                </c:pt>
                <c:pt idx="148">
                  <c:v>117.199620253165</c:v>
                </c:pt>
                <c:pt idx="149">
                  <c:v>117.482658227848</c:v>
                </c:pt>
                <c:pt idx="150">
                  <c:v>117.765696202532</c:v>
                </c:pt>
                <c:pt idx="151">
                  <c:v>118.048734177215</c:v>
                </c:pt>
                <c:pt idx="152">
                  <c:v>118.331772151899</c:v>
                </c:pt>
                <c:pt idx="153">
                  <c:v>118.614810126582</c:v>
                </c:pt>
                <c:pt idx="154">
                  <c:v>118.897848101266</c:v>
                </c:pt>
                <c:pt idx="155">
                  <c:v>119.180886075949</c:v>
                </c:pt>
                <c:pt idx="156">
                  <c:v>119.463924050633</c:v>
                </c:pt>
                <c:pt idx="157">
                  <c:v>119.746962025316</c:v>
                </c:pt>
                <c:pt idx="158">
                  <c:v>120.03</c:v>
                </c:pt>
                <c:pt idx="159">
                  <c:v>120.313037974684</c:v>
                </c:pt>
              </c:numCache>
            </c:numRef>
          </c:val>
          <c:smooth val="0"/>
        </c:ser>
        <c:hiLowLines>
          <c:spPr>
            <a:ln w="0">
              <a:noFill/>
            </a:ln>
          </c:spPr>
        </c:hiLowLines>
        <c:marker val="0"/>
        <c:axId val="65995397"/>
        <c:axId val="54566496"/>
      </c:lineChart>
      <c:dateAx>
        <c:axId val="6697821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85456"/>
        <c:auto val="1"/>
        <c:lblOffset val="100"/>
        <c:baseTimeUnit val="days"/>
      </c:dateAx>
      <c:valAx>
        <c:axId val="678545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978218"/>
        <c:crosses val="autoZero"/>
        <c:crossBetween val="between"/>
      </c:valAx>
      <c:dateAx>
        <c:axId val="6599539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566496"/>
        <c:auto val="1"/>
        <c:lblOffset val="100"/>
        <c:baseTimeUnit val="days"/>
      </c:dateAx>
      <c:valAx>
        <c:axId val="5456649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99539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(Calc)'!$Q$3:$Q$500</c:f>
              <c:numCache>
                <c:formatCode>0.0%</c:formatCode>
                <c:ptCount val="498"/>
                <c:pt idx="2">
                  <c:v>0.00327198364008185</c:v>
                </c:pt>
                <c:pt idx="3">
                  <c:v>0.0034651447207501</c:v>
                </c:pt>
                <c:pt idx="4">
                  <c:v>-0.011375177737152</c:v>
                </c:pt>
                <c:pt idx="5">
                  <c:v>-0.0172590918430245</c:v>
                </c:pt>
                <c:pt idx="6">
                  <c:v>0.0403512439891283</c:v>
                </c:pt>
                <c:pt idx="7">
                  <c:v>0.010048231511254</c:v>
                </c:pt>
                <c:pt idx="8">
                  <c:v>0.0129327497015519</c:v>
                </c:pt>
                <c:pt idx="9">
                  <c:v>0.00432135140443934</c:v>
                </c:pt>
                <c:pt idx="10">
                  <c:v>0.000977899471934274</c:v>
                </c:pt>
                <c:pt idx="11">
                  <c:v>0.00371238765142623</c:v>
                </c:pt>
                <c:pt idx="12">
                  <c:v>0.00914930893517618</c:v>
                </c:pt>
                <c:pt idx="13">
                  <c:v>0.00115740740740722</c:v>
                </c:pt>
                <c:pt idx="14">
                  <c:v>0.00173410404624286</c:v>
                </c:pt>
                <c:pt idx="15">
                  <c:v>-0.00442392767839972</c:v>
                </c:pt>
                <c:pt idx="16">
                  <c:v>0.00985316846986106</c:v>
                </c:pt>
                <c:pt idx="17">
                  <c:v>0.00593074421274142</c:v>
                </c:pt>
                <c:pt idx="18">
                  <c:v>0.006276150627615</c:v>
                </c:pt>
                <c:pt idx="19">
                  <c:v>0.0141750141750141</c:v>
                </c:pt>
                <c:pt idx="20">
                  <c:v>0.00428624673872546</c:v>
                </c:pt>
                <c:pt idx="21">
                  <c:v>-0.00556689552792722</c:v>
                </c:pt>
                <c:pt idx="22">
                  <c:v>0.00765068109721967</c:v>
                </c:pt>
                <c:pt idx="23">
                  <c:v>0.00629629629629647</c:v>
                </c:pt>
                <c:pt idx="24">
                  <c:v>0.0005520794994478</c:v>
                </c:pt>
                <c:pt idx="25">
                  <c:v>0.000183924958617077</c:v>
                </c:pt>
                <c:pt idx="26">
                  <c:v>0.0121368150055168</c:v>
                </c:pt>
                <c:pt idx="27">
                  <c:v>0.000726744186046568</c:v>
                </c:pt>
                <c:pt idx="28">
                  <c:v>-0.00381263616557737</c:v>
                </c:pt>
                <c:pt idx="29">
                  <c:v>-0.00637871332239826</c:v>
                </c:pt>
                <c:pt idx="30">
                  <c:v>-0.0194424064563463</c:v>
                </c:pt>
                <c:pt idx="31">
                  <c:v>0.0205761316872428</c:v>
                </c:pt>
                <c:pt idx="32">
                  <c:v>0.00421554252199408</c:v>
                </c:pt>
                <c:pt idx="33">
                  <c:v>0.0155137798868408</c:v>
                </c:pt>
                <c:pt idx="34">
                  <c:v>0.01078360891445</c:v>
                </c:pt>
                <c:pt idx="35">
                  <c:v>0.00106685633001424</c:v>
                </c:pt>
                <c:pt idx="36">
                  <c:v>-0.00266429840142091</c:v>
                </c:pt>
                <c:pt idx="37">
                  <c:v>0.0110418521816564</c:v>
                </c:pt>
                <c:pt idx="38">
                  <c:v>0.00915976748282543</c:v>
                </c:pt>
                <c:pt idx="39">
                  <c:v>0.00314190958282423</c:v>
                </c:pt>
                <c:pt idx="40">
                  <c:v>0.00417609187402124</c:v>
                </c:pt>
                <c:pt idx="41">
                  <c:v>0.00710448795702656</c:v>
                </c:pt>
                <c:pt idx="42">
                  <c:v>0.00344115622849284</c:v>
                </c:pt>
                <c:pt idx="43">
                  <c:v>-0.00668724279835387</c:v>
                </c:pt>
                <c:pt idx="44">
                  <c:v>-0.00414293112377007</c:v>
                </c:pt>
                <c:pt idx="45">
                  <c:v>-0.0107470965505286</c:v>
                </c:pt>
                <c:pt idx="46">
                  <c:v>0.000700893639390188</c:v>
                </c:pt>
                <c:pt idx="47">
                  <c:v>0.0260900017510068</c:v>
                </c:pt>
                <c:pt idx="48">
                  <c:v>0.00887372013651877</c:v>
                </c:pt>
                <c:pt idx="49">
                  <c:v>0.00355209742895801</c:v>
                </c:pt>
                <c:pt idx="50">
                  <c:v>-0.0269678071801787</c:v>
                </c:pt>
                <c:pt idx="51">
                  <c:v>0.0259830244240429</c:v>
                </c:pt>
                <c:pt idx="52">
                  <c:v>0.00827283471213924</c:v>
                </c:pt>
                <c:pt idx="53">
                  <c:v>0.0068653717347622</c:v>
                </c:pt>
                <c:pt idx="54">
                  <c:v>0.00133045069017124</c:v>
                </c:pt>
                <c:pt idx="55">
                  <c:v>0.00813818302607539</c:v>
                </c:pt>
                <c:pt idx="56">
                  <c:v>0.00823723228995066</c:v>
                </c:pt>
                <c:pt idx="57">
                  <c:v>-0.00277777777777777</c:v>
                </c:pt>
                <c:pt idx="58">
                  <c:v>-0.00884810748812059</c:v>
                </c:pt>
                <c:pt idx="59">
                  <c:v>0.0243015374442057</c:v>
                </c:pt>
                <c:pt idx="60">
                  <c:v>-0.00952227243382831</c:v>
                </c:pt>
                <c:pt idx="61">
                  <c:v>0.00749551898321665</c:v>
                </c:pt>
                <c:pt idx="62">
                  <c:v>0.00614588387514159</c:v>
                </c:pt>
                <c:pt idx="63">
                  <c:v>0.00369715479826382</c:v>
                </c:pt>
                <c:pt idx="64">
                  <c:v>-0.00176169122357461</c:v>
                </c:pt>
                <c:pt idx="65">
                  <c:v>-0.0121931654099149</c:v>
                </c:pt>
                <c:pt idx="66">
                  <c:v>0.00649667045639113</c:v>
                </c:pt>
                <c:pt idx="67">
                  <c:v>-0.00403421010166205</c:v>
                </c:pt>
                <c:pt idx="68">
                  <c:v>-0.0121516526247569</c:v>
                </c:pt>
                <c:pt idx="69">
                  <c:v>0.0172215843857635</c:v>
                </c:pt>
                <c:pt idx="70">
                  <c:v>0.0103192518542405</c:v>
                </c:pt>
                <c:pt idx="71">
                  <c:v>-0.00861793807851896</c:v>
                </c:pt>
                <c:pt idx="72">
                  <c:v>-0.000643915003219586</c:v>
                </c:pt>
                <c:pt idx="73">
                  <c:v>0.0104703608247423</c:v>
                </c:pt>
                <c:pt idx="74">
                  <c:v>-0.00892714809501027</c:v>
                </c:pt>
                <c:pt idx="75">
                  <c:v>-0.0064339713688274</c:v>
                </c:pt>
                <c:pt idx="76">
                  <c:v>-0.0174842156386597</c:v>
                </c:pt>
                <c:pt idx="77">
                  <c:v>-0.0141703740319657</c:v>
                </c:pt>
                <c:pt idx="78">
                  <c:v>-0.00200568276784219</c:v>
                </c:pt>
                <c:pt idx="79">
                  <c:v>-0.011555853290906</c:v>
                </c:pt>
                <c:pt idx="80">
                  <c:v>-0.0388004066418164</c:v>
                </c:pt>
                <c:pt idx="81">
                  <c:v>0.0188612726952231</c:v>
                </c:pt>
                <c:pt idx="82">
                  <c:v>-0.00605536332179923</c:v>
                </c:pt>
                <c:pt idx="83">
                  <c:v>0.0177545691906005</c:v>
                </c:pt>
                <c:pt idx="84">
                  <c:v>0.0164186762442278</c:v>
                </c:pt>
                <c:pt idx="85">
                  <c:v>-0.00252397778899538</c:v>
                </c:pt>
                <c:pt idx="86">
                  <c:v>0.0293522267206479</c:v>
                </c:pt>
                <c:pt idx="87">
                  <c:v>-0.0165519501802689</c:v>
                </c:pt>
                <c:pt idx="88">
                  <c:v>0.0108315280786535</c:v>
                </c:pt>
                <c:pt idx="89">
                  <c:v>0.00972634355423674</c:v>
                </c:pt>
                <c:pt idx="90">
                  <c:v>-0.000163265306122429</c:v>
                </c:pt>
                <c:pt idx="91">
                  <c:v>0.000816459830176308</c:v>
                </c:pt>
                <c:pt idx="92">
                  <c:v>0.0124000652635015</c:v>
                </c:pt>
                <c:pt idx="93">
                  <c:v>0.00660757453666405</c:v>
                </c:pt>
                <c:pt idx="94">
                  <c:v>0.00160102465577983</c:v>
                </c:pt>
                <c:pt idx="95">
                  <c:v>0.00351662404092079</c:v>
                </c:pt>
                <c:pt idx="96">
                  <c:v>0.00223000955718389</c:v>
                </c:pt>
                <c:pt idx="97">
                  <c:v>-0.0104895104895105</c:v>
                </c:pt>
                <c:pt idx="98">
                  <c:v>0.0115644073241246</c:v>
                </c:pt>
                <c:pt idx="99">
                  <c:v>0.00730390600190534</c:v>
                </c:pt>
                <c:pt idx="100">
                  <c:v>0.00362547288776804</c:v>
                </c:pt>
                <c:pt idx="101">
                  <c:v>0.000157059839798857</c:v>
                </c:pt>
                <c:pt idx="102">
                  <c:v>0.00219849246231152</c:v>
                </c:pt>
                <c:pt idx="103">
                  <c:v>0.00846129739893442</c:v>
                </c:pt>
                <c:pt idx="104">
                  <c:v>0.00201988812927278</c:v>
                </c:pt>
                <c:pt idx="105">
                  <c:v>0.000310125600868405</c:v>
                </c:pt>
                <c:pt idx="106">
                  <c:v>0.003255309254379</c:v>
                </c:pt>
                <c:pt idx="107">
                  <c:v>-0.0126699629171817</c:v>
                </c:pt>
                <c:pt idx="108">
                  <c:v>0.00985915492957745</c:v>
                </c:pt>
                <c:pt idx="109">
                  <c:v>0.0100728343406169</c:v>
                </c:pt>
                <c:pt idx="110">
                  <c:v>0.000613685179502888</c:v>
                </c:pt>
                <c:pt idx="111">
                  <c:v>-0.00505979760809561</c:v>
                </c:pt>
                <c:pt idx="112">
                  <c:v>0.00154106950223443</c:v>
                </c:pt>
                <c:pt idx="113">
                  <c:v>-0.00892444991537156</c:v>
                </c:pt>
                <c:pt idx="114">
                  <c:v>0.0217357553174973</c:v>
                </c:pt>
                <c:pt idx="115">
                  <c:v>0.00227928886187501</c:v>
                </c:pt>
                <c:pt idx="116">
                  <c:v>-0.00121285627653123</c:v>
                </c:pt>
                <c:pt idx="117">
                  <c:v>0.00227686703096541</c:v>
                </c:pt>
                <c:pt idx="118">
                  <c:v>0.0106012418597607</c:v>
                </c:pt>
                <c:pt idx="119">
                  <c:v>-0.00824216993855831</c:v>
                </c:pt>
                <c:pt idx="120">
                  <c:v>0.00906618313689922</c:v>
                </c:pt>
                <c:pt idx="121">
                  <c:v>-0.00449236298292899</c:v>
                </c:pt>
                <c:pt idx="122">
                  <c:v>-0.000300842358604281</c:v>
                </c:pt>
                <c:pt idx="123">
                  <c:v>0.00361119470358129</c:v>
                </c:pt>
                <c:pt idx="124">
                  <c:v>0.00284857571214392</c:v>
                </c:pt>
                <c:pt idx="125">
                  <c:v>-0.00867095230976223</c:v>
                </c:pt>
                <c:pt idx="126">
                  <c:v>0.00678630674106473</c:v>
                </c:pt>
                <c:pt idx="127">
                  <c:v>-0.00569203115638117</c:v>
                </c:pt>
                <c:pt idx="128">
                  <c:v>-0.0112985839108165</c:v>
                </c:pt>
                <c:pt idx="129">
                  <c:v>-0.0134085022093554</c:v>
                </c:pt>
                <c:pt idx="130">
                  <c:v>-0.0111196911196911</c:v>
                </c:pt>
                <c:pt idx="131">
                  <c:v>-0.0128064969545526</c:v>
                </c:pt>
                <c:pt idx="132">
                  <c:v>0.0117070083847493</c:v>
                </c:pt>
                <c:pt idx="133">
                  <c:v>0.0203283815480844</c:v>
                </c:pt>
                <c:pt idx="134">
                  <c:v>0.0257471264367817</c:v>
                </c:pt>
                <c:pt idx="135">
                  <c:v>0.00224114746750326</c:v>
                </c:pt>
                <c:pt idx="136">
                  <c:v>0.00402504472271903</c:v>
                </c:pt>
                <c:pt idx="137">
                  <c:v>0.00193021529324433</c:v>
                </c:pt>
                <c:pt idx="138">
                  <c:v>0.000296384113811499</c:v>
                </c:pt>
                <c:pt idx="139">
                  <c:v>0.000740740740740709</c:v>
                </c:pt>
                <c:pt idx="140">
                  <c:v>0.00429311621021467</c:v>
                </c:pt>
                <c:pt idx="141">
                  <c:v>-0.0104658018867926</c:v>
                </c:pt>
                <c:pt idx="142">
                  <c:v>0.000446894086101546</c:v>
                </c:pt>
                <c:pt idx="143">
                  <c:v>0.0083382966051222</c:v>
                </c:pt>
                <c:pt idx="144">
                  <c:v>-0.0107796810395748</c:v>
                </c:pt>
                <c:pt idx="145">
                  <c:v>0.007613076578594</c:v>
                </c:pt>
                <c:pt idx="146">
                  <c:v>0.0109629629629628</c:v>
                </c:pt>
                <c:pt idx="147">
                  <c:v>-0.00923212192262601</c:v>
                </c:pt>
                <c:pt idx="148">
                  <c:v>-0.00177488537198645</c:v>
                </c:pt>
                <c:pt idx="149">
                  <c:v>0.0128907986368352</c:v>
                </c:pt>
                <c:pt idx="150">
                  <c:v>0.0206260971328263</c:v>
                </c:pt>
                <c:pt idx="151">
                  <c:v>0.00415651426114394</c:v>
                </c:pt>
                <c:pt idx="152">
                  <c:v>-0.0105623751070513</c:v>
                </c:pt>
                <c:pt idx="153">
                  <c:v>0.0040392383150607</c:v>
                </c:pt>
                <c:pt idx="154">
                  <c:v>0.000431034482758719</c:v>
                </c:pt>
                <c:pt idx="155">
                  <c:v>-0.00689358035329579</c:v>
                </c:pt>
                <c:pt idx="156">
                  <c:v>-0.00231381055676083</c:v>
                </c:pt>
                <c:pt idx="157">
                  <c:v>0.00855196405276137</c:v>
                </c:pt>
                <c:pt idx="158">
                  <c:v>-0.00229951135383721</c:v>
                </c:pt>
              </c:numCache>
            </c:numRef>
          </c:val>
        </c:ser>
        <c:gapWidth val="150"/>
        <c:overlap val="0"/>
        <c:axId val="93918745"/>
        <c:axId val="89215799"/>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(Calc)'!$AK$3:$AK$500</c:f>
              <c:numCache>
                <c:formatCode>#,##0.00</c:formatCode>
                <c:ptCount val="498"/>
                <c:pt idx="0">
                  <c:v>0</c:v>
                </c:pt>
                <c:pt idx="1">
                  <c:v>0.439367088607595</c:v>
                </c:pt>
                <c:pt idx="2">
                  <c:v>0.87873417721519</c:v>
                </c:pt>
                <c:pt idx="3">
                  <c:v>1.31810126582278</c:v>
                </c:pt>
                <c:pt idx="4">
                  <c:v>1.75746835443038</c:v>
                </c:pt>
                <c:pt idx="5">
                  <c:v>2.19683544303798</c:v>
                </c:pt>
                <c:pt idx="6">
                  <c:v>2.63620253164557</c:v>
                </c:pt>
                <c:pt idx="7">
                  <c:v>3.07556962025316</c:v>
                </c:pt>
                <c:pt idx="8">
                  <c:v>3.51493670886076</c:v>
                </c:pt>
                <c:pt idx="9">
                  <c:v>3.95430379746835</c:v>
                </c:pt>
                <c:pt idx="10">
                  <c:v>4.39367088607595</c:v>
                </c:pt>
                <c:pt idx="11">
                  <c:v>4.83303797468355</c:v>
                </c:pt>
                <c:pt idx="12">
                  <c:v>5.27240506329114</c:v>
                </c:pt>
                <c:pt idx="13">
                  <c:v>5.71177215189873</c:v>
                </c:pt>
                <c:pt idx="14">
                  <c:v>6.15113924050633</c:v>
                </c:pt>
                <c:pt idx="15">
                  <c:v>6.59050632911392</c:v>
                </c:pt>
                <c:pt idx="16">
                  <c:v>7.02987341772152</c:v>
                </c:pt>
                <c:pt idx="17">
                  <c:v>7.46924050632912</c:v>
                </c:pt>
                <c:pt idx="18">
                  <c:v>7.90860759493671</c:v>
                </c:pt>
                <c:pt idx="19">
                  <c:v>8.3479746835443</c:v>
                </c:pt>
                <c:pt idx="20">
                  <c:v>8.7873417721519</c:v>
                </c:pt>
                <c:pt idx="21">
                  <c:v>9.22670886075949</c:v>
                </c:pt>
                <c:pt idx="22">
                  <c:v>9.66607594936709</c:v>
                </c:pt>
                <c:pt idx="23">
                  <c:v>10.1054430379747</c:v>
                </c:pt>
                <c:pt idx="24">
                  <c:v>10.5448101265823</c:v>
                </c:pt>
                <c:pt idx="25">
                  <c:v>10.9841772151899</c:v>
                </c:pt>
                <c:pt idx="26">
                  <c:v>11.4235443037975</c:v>
                </c:pt>
                <c:pt idx="27">
                  <c:v>11.8629113924051</c:v>
                </c:pt>
                <c:pt idx="28">
                  <c:v>12.3022784810127</c:v>
                </c:pt>
                <c:pt idx="29">
                  <c:v>12.7416455696203</c:v>
                </c:pt>
                <c:pt idx="30">
                  <c:v>13.1810126582278</c:v>
                </c:pt>
                <c:pt idx="31">
                  <c:v>13.6203797468354</c:v>
                </c:pt>
                <c:pt idx="32">
                  <c:v>14.059746835443</c:v>
                </c:pt>
                <c:pt idx="33">
                  <c:v>14.4991139240506</c:v>
                </c:pt>
                <c:pt idx="34">
                  <c:v>14.9384810126582</c:v>
                </c:pt>
                <c:pt idx="35">
                  <c:v>15.3778481012658</c:v>
                </c:pt>
                <c:pt idx="36">
                  <c:v>15.8172151898734</c:v>
                </c:pt>
                <c:pt idx="37">
                  <c:v>16.256582278481</c:v>
                </c:pt>
                <c:pt idx="38">
                  <c:v>16.6959493670886</c:v>
                </c:pt>
                <c:pt idx="39">
                  <c:v>17.1353164556962</c:v>
                </c:pt>
                <c:pt idx="40">
                  <c:v>17.5746835443038</c:v>
                </c:pt>
                <c:pt idx="41">
                  <c:v>18.0140506329114</c:v>
                </c:pt>
                <c:pt idx="42">
                  <c:v>18.453417721519</c:v>
                </c:pt>
                <c:pt idx="43">
                  <c:v>18.8927848101266</c:v>
                </c:pt>
                <c:pt idx="44">
                  <c:v>19.3321518987342</c:v>
                </c:pt>
                <c:pt idx="45">
                  <c:v>19.7715189873418</c:v>
                </c:pt>
                <c:pt idx="46">
                  <c:v>20.2108860759494</c:v>
                </c:pt>
                <c:pt idx="47">
                  <c:v>20.650253164557</c:v>
                </c:pt>
                <c:pt idx="48">
                  <c:v>21.0896202531646</c:v>
                </c:pt>
                <c:pt idx="49">
                  <c:v>21.5289873417722</c:v>
                </c:pt>
                <c:pt idx="50">
                  <c:v>21.9683544303797</c:v>
                </c:pt>
                <c:pt idx="51">
                  <c:v>22.4077215189873</c:v>
                </c:pt>
                <c:pt idx="52">
                  <c:v>22.8470886075949</c:v>
                </c:pt>
                <c:pt idx="53">
                  <c:v>23.2864556962025</c:v>
                </c:pt>
                <c:pt idx="54">
                  <c:v>23.7258227848101</c:v>
                </c:pt>
                <c:pt idx="55">
                  <c:v>24.1651898734177</c:v>
                </c:pt>
                <c:pt idx="56">
                  <c:v>24.6045569620253</c:v>
                </c:pt>
                <c:pt idx="57">
                  <c:v>25.0439240506329</c:v>
                </c:pt>
                <c:pt idx="58">
                  <c:v>25.4832911392405</c:v>
                </c:pt>
                <c:pt idx="59">
                  <c:v>25.9226582278481</c:v>
                </c:pt>
                <c:pt idx="60">
                  <c:v>26.3620253164557</c:v>
                </c:pt>
                <c:pt idx="61">
                  <c:v>26.8013924050633</c:v>
                </c:pt>
                <c:pt idx="62">
                  <c:v>27.2407594936709</c:v>
                </c:pt>
                <c:pt idx="63">
                  <c:v>27.6801265822785</c:v>
                </c:pt>
                <c:pt idx="64">
                  <c:v>28.1194936708861</c:v>
                </c:pt>
                <c:pt idx="65">
                  <c:v>28.5588607594937</c:v>
                </c:pt>
                <c:pt idx="66">
                  <c:v>28.9982278481013</c:v>
                </c:pt>
                <c:pt idx="67">
                  <c:v>29.4375949367089</c:v>
                </c:pt>
                <c:pt idx="68">
                  <c:v>29.8769620253165</c:v>
                </c:pt>
                <c:pt idx="69">
                  <c:v>30.3163291139241</c:v>
                </c:pt>
                <c:pt idx="70">
                  <c:v>30.7556962025317</c:v>
                </c:pt>
                <c:pt idx="71">
                  <c:v>31.1950632911392</c:v>
                </c:pt>
                <c:pt idx="72">
                  <c:v>31.6344303797468</c:v>
                </c:pt>
                <c:pt idx="73">
                  <c:v>32.0737974683544</c:v>
                </c:pt>
                <c:pt idx="74">
                  <c:v>32.513164556962</c:v>
                </c:pt>
                <c:pt idx="75">
                  <c:v>32.9525316455696</c:v>
                </c:pt>
                <c:pt idx="76">
                  <c:v>33.3918987341772</c:v>
                </c:pt>
                <c:pt idx="77">
                  <c:v>33.8312658227848</c:v>
                </c:pt>
                <c:pt idx="78">
                  <c:v>34.2706329113924</c:v>
                </c:pt>
                <c:pt idx="79">
                  <c:v>34.71</c:v>
                </c:pt>
                <c:pt idx="80">
                  <c:v>35.1493670886076</c:v>
                </c:pt>
                <c:pt idx="81">
                  <c:v>35.5887341772152</c:v>
                </c:pt>
                <c:pt idx="82">
                  <c:v>36.0281012658228</c:v>
                </c:pt>
                <c:pt idx="83">
                  <c:v>36.4674683544304</c:v>
                </c:pt>
                <c:pt idx="84">
                  <c:v>36.906835443038</c:v>
                </c:pt>
                <c:pt idx="85">
                  <c:v>37.3462025316456</c:v>
                </c:pt>
                <c:pt idx="86">
                  <c:v>37.7855696202532</c:v>
                </c:pt>
                <c:pt idx="87">
                  <c:v>38.2249367088608</c:v>
                </c:pt>
                <c:pt idx="88">
                  <c:v>38.6643037974684</c:v>
                </c:pt>
                <c:pt idx="89">
                  <c:v>39.103670886076</c:v>
                </c:pt>
                <c:pt idx="90">
                  <c:v>39.5430379746835</c:v>
                </c:pt>
                <c:pt idx="91">
                  <c:v>39.9824050632911</c:v>
                </c:pt>
                <c:pt idx="92">
                  <c:v>40.4217721518987</c:v>
                </c:pt>
                <c:pt idx="93">
                  <c:v>40.8611392405063</c:v>
                </c:pt>
                <c:pt idx="94">
                  <c:v>41.3005063291139</c:v>
                </c:pt>
                <c:pt idx="95">
                  <c:v>41.7398734177215</c:v>
                </c:pt>
                <c:pt idx="96">
                  <c:v>42.1792405063291</c:v>
                </c:pt>
                <c:pt idx="97">
                  <c:v>42.6186075949367</c:v>
                </c:pt>
                <c:pt idx="98">
                  <c:v>43.0579746835443</c:v>
                </c:pt>
                <c:pt idx="99">
                  <c:v>43.4973417721519</c:v>
                </c:pt>
                <c:pt idx="100">
                  <c:v>43.9367088607595</c:v>
                </c:pt>
                <c:pt idx="101">
                  <c:v>44.3760759493671</c:v>
                </c:pt>
                <c:pt idx="102">
                  <c:v>44.8154430379747</c:v>
                </c:pt>
                <c:pt idx="103">
                  <c:v>45.2548101265823</c:v>
                </c:pt>
                <c:pt idx="104">
                  <c:v>45.6941772151899</c:v>
                </c:pt>
                <c:pt idx="105">
                  <c:v>46.1335443037975</c:v>
                </c:pt>
                <c:pt idx="106">
                  <c:v>46.5729113924051</c:v>
                </c:pt>
                <c:pt idx="107">
                  <c:v>47.0122784810127</c:v>
                </c:pt>
                <c:pt idx="108">
                  <c:v>47.4516455696203</c:v>
                </c:pt>
                <c:pt idx="109">
                  <c:v>47.8910126582278</c:v>
                </c:pt>
                <c:pt idx="110">
                  <c:v>48.3303797468354</c:v>
                </c:pt>
                <c:pt idx="111">
                  <c:v>48.769746835443</c:v>
                </c:pt>
                <c:pt idx="112">
                  <c:v>49.2091139240506</c:v>
                </c:pt>
                <c:pt idx="113">
                  <c:v>49.6484810126582</c:v>
                </c:pt>
                <c:pt idx="114">
                  <c:v>50.0878481012658</c:v>
                </c:pt>
                <c:pt idx="115">
                  <c:v>50.5272151898734</c:v>
                </c:pt>
                <c:pt idx="116">
                  <c:v>50.966582278481</c:v>
                </c:pt>
                <c:pt idx="117">
                  <c:v>51.4059493670886</c:v>
                </c:pt>
                <c:pt idx="118">
                  <c:v>51.8453164556962</c:v>
                </c:pt>
                <c:pt idx="119">
                  <c:v>52.2846835443038</c:v>
                </c:pt>
                <c:pt idx="120">
                  <c:v>52.7240506329114</c:v>
                </c:pt>
                <c:pt idx="121">
                  <c:v>53.163417721519</c:v>
                </c:pt>
                <c:pt idx="122">
                  <c:v>53.6027848101266</c:v>
                </c:pt>
                <c:pt idx="123">
                  <c:v>54.0421518987342</c:v>
                </c:pt>
                <c:pt idx="124">
                  <c:v>54.4815189873418</c:v>
                </c:pt>
                <c:pt idx="125">
                  <c:v>54.9208860759494</c:v>
                </c:pt>
                <c:pt idx="126">
                  <c:v>55.360253164557</c:v>
                </c:pt>
                <c:pt idx="127">
                  <c:v>55.7996202531646</c:v>
                </c:pt>
                <c:pt idx="128">
                  <c:v>56.2389873417722</c:v>
                </c:pt>
                <c:pt idx="129">
                  <c:v>56.6783544303798</c:v>
                </c:pt>
                <c:pt idx="130">
                  <c:v>57.1177215189873</c:v>
                </c:pt>
                <c:pt idx="131">
                  <c:v>57.5570886075949</c:v>
                </c:pt>
                <c:pt idx="132">
                  <c:v>57.9964556962025</c:v>
                </c:pt>
                <c:pt idx="133">
                  <c:v>58.4358227848101</c:v>
                </c:pt>
                <c:pt idx="134">
                  <c:v>58.8751898734177</c:v>
                </c:pt>
                <c:pt idx="135">
                  <c:v>59.3145569620253</c:v>
                </c:pt>
                <c:pt idx="136">
                  <c:v>59.7539240506329</c:v>
                </c:pt>
                <c:pt idx="137">
                  <c:v>60.1932911392405</c:v>
                </c:pt>
                <c:pt idx="138">
                  <c:v>60.6326582278481</c:v>
                </c:pt>
                <c:pt idx="139">
                  <c:v>61.0720253164557</c:v>
                </c:pt>
                <c:pt idx="140">
                  <c:v>61.5113924050633</c:v>
                </c:pt>
                <c:pt idx="141">
                  <c:v>61.9507594936709</c:v>
                </c:pt>
                <c:pt idx="142">
                  <c:v>62.3901265822785</c:v>
                </c:pt>
                <c:pt idx="143">
                  <c:v>62.8294936708861</c:v>
                </c:pt>
                <c:pt idx="144">
                  <c:v>63.2688607594937</c:v>
                </c:pt>
                <c:pt idx="145">
                  <c:v>63.7082278481013</c:v>
                </c:pt>
                <c:pt idx="146">
                  <c:v>64.1475949367089</c:v>
                </c:pt>
                <c:pt idx="147">
                  <c:v>64.5869620253165</c:v>
                </c:pt>
                <c:pt idx="148">
                  <c:v>65.0263291139241</c:v>
                </c:pt>
                <c:pt idx="149">
                  <c:v>65.4656962025317</c:v>
                </c:pt>
                <c:pt idx="150">
                  <c:v>65.9050632911392</c:v>
                </c:pt>
                <c:pt idx="151">
                  <c:v>66.3444303797468</c:v>
                </c:pt>
                <c:pt idx="152">
                  <c:v>66.7837974683544</c:v>
                </c:pt>
                <c:pt idx="153">
                  <c:v>67.223164556962</c:v>
                </c:pt>
                <c:pt idx="154">
                  <c:v>67.6625316455696</c:v>
                </c:pt>
                <c:pt idx="155">
                  <c:v>68.1018987341772</c:v>
                </c:pt>
                <c:pt idx="156">
                  <c:v>68.5412658227848</c:v>
                </c:pt>
                <c:pt idx="157">
                  <c:v>68.9806329113924</c:v>
                </c:pt>
                <c:pt idx="158">
                  <c:v>69.42</c:v>
                </c:pt>
                <c:pt idx="159">
                  <c:v>69.8593670886076</c:v>
                </c:pt>
              </c:numCache>
            </c:numRef>
          </c:val>
          <c:smooth val="0"/>
        </c:ser>
        <c:hiLowLines>
          <c:spPr>
            <a:ln w="0">
              <a:noFill/>
            </a:ln>
          </c:spPr>
        </c:hiLowLines>
        <c:marker val="0"/>
        <c:axId val="60448777"/>
        <c:axId val="30996367"/>
      </c:lineChart>
      <c:dateAx>
        <c:axId val="9391874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215799"/>
        <c:auto val="1"/>
        <c:lblOffset val="100"/>
        <c:baseTimeUnit val="days"/>
      </c:dateAx>
      <c:valAx>
        <c:axId val="8921579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918745"/>
        <c:crosses val="autoZero"/>
        <c:crossBetween val="between"/>
      </c:valAx>
      <c:dateAx>
        <c:axId val="6044877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996367"/>
        <c:auto val="1"/>
        <c:lblOffset val="100"/>
        <c:baseTimeUnit val="days"/>
      </c:dateAx>
      <c:valAx>
        <c:axId val="3099636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44877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(Calc)'!$R$3:$R$500</c:f>
              <c:numCache>
                <c:formatCode>0.0%</c:formatCode>
                <c:ptCount val="498"/>
                <c:pt idx="0">
                  <c:v>-0.0269721577726219</c:v>
                </c:pt>
                <c:pt idx="1">
                  <c:v>0.000596125186289154</c:v>
                </c:pt>
                <c:pt idx="2">
                  <c:v>0.0131069407208817</c:v>
                </c:pt>
                <c:pt idx="3">
                  <c:v>0.00264628050573368</c:v>
                </c:pt>
                <c:pt idx="4">
                  <c:v>-0.0196480938416422</c:v>
                </c:pt>
                <c:pt idx="5">
                  <c:v>-0.0209392760993121</c:v>
                </c:pt>
                <c:pt idx="6">
                  <c:v>0.0574396578062939</c:v>
                </c:pt>
                <c:pt idx="7">
                  <c:v>0.0208032360589425</c:v>
                </c:pt>
                <c:pt idx="8">
                  <c:v>0.00934050382111518</c:v>
                </c:pt>
                <c:pt idx="9">
                  <c:v>0.00532809871003948</c:v>
                </c:pt>
                <c:pt idx="10">
                  <c:v>0.00195258019525801</c:v>
                </c:pt>
                <c:pt idx="11">
                  <c:v>0.0072383073496658</c:v>
                </c:pt>
                <c:pt idx="12">
                  <c:v>0.0152017689331121</c:v>
                </c:pt>
                <c:pt idx="13">
                  <c:v>0.00299482711679833</c:v>
                </c:pt>
                <c:pt idx="14">
                  <c:v>0.00325732899022801</c:v>
                </c:pt>
                <c:pt idx="15">
                  <c:v>-0.0156926406926406</c:v>
                </c:pt>
                <c:pt idx="16">
                  <c:v>0.0274876305662453</c:v>
                </c:pt>
                <c:pt idx="17">
                  <c:v>0.0176565008025682</c:v>
                </c:pt>
                <c:pt idx="18">
                  <c:v>0.00788643533123046</c:v>
                </c:pt>
                <c:pt idx="19">
                  <c:v>0.0096504955659884</c:v>
                </c:pt>
                <c:pt idx="20">
                  <c:v>0.0105915784035133</c:v>
                </c:pt>
                <c:pt idx="21">
                  <c:v>-0.00332310838445793</c:v>
                </c:pt>
                <c:pt idx="22">
                  <c:v>0.0125673249551166</c:v>
                </c:pt>
                <c:pt idx="23">
                  <c:v>0.0126646403242148</c:v>
                </c:pt>
                <c:pt idx="24">
                  <c:v>-0.00150075037518749</c:v>
                </c:pt>
                <c:pt idx="25">
                  <c:v>-0.00526052104208419</c:v>
                </c:pt>
                <c:pt idx="26">
                  <c:v>0.0256862251322083</c:v>
                </c:pt>
                <c:pt idx="27">
                  <c:v>-0.000491038546525768</c:v>
                </c:pt>
                <c:pt idx="28">
                  <c:v>-0.00417587816261367</c:v>
                </c:pt>
                <c:pt idx="29">
                  <c:v>-0.00345337937839174</c:v>
                </c:pt>
                <c:pt idx="30">
                  <c:v>-0.048019801980198</c:v>
                </c:pt>
                <c:pt idx="31">
                  <c:v>0.0358814352574104</c:v>
                </c:pt>
                <c:pt idx="32">
                  <c:v>0.0100401606425702</c:v>
                </c:pt>
                <c:pt idx="33">
                  <c:v>0.0139165009940356</c:v>
                </c:pt>
                <c:pt idx="34">
                  <c:v>0.0120098039215686</c:v>
                </c:pt>
                <c:pt idx="35">
                  <c:v>0.00460159844998787</c:v>
                </c:pt>
                <c:pt idx="36">
                  <c:v>-0.00337512054001909</c:v>
                </c:pt>
                <c:pt idx="37">
                  <c:v>0.0140299951620706</c:v>
                </c:pt>
                <c:pt idx="38">
                  <c:v>0.0126431297709924</c:v>
                </c:pt>
                <c:pt idx="39">
                  <c:v>0.000942285041224844</c:v>
                </c:pt>
                <c:pt idx="40">
                  <c:v>0.00470698987997165</c:v>
                </c:pt>
                <c:pt idx="41">
                  <c:v>0.0145233075661748</c:v>
                </c:pt>
                <c:pt idx="42">
                  <c:v>-0.000692680674209245</c:v>
                </c:pt>
                <c:pt idx="43">
                  <c:v>-0.0295748613678374</c:v>
                </c:pt>
                <c:pt idx="44">
                  <c:v>-0.0226190476190477</c:v>
                </c:pt>
                <c:pt idx="45">
                  <c:v>-0.0265529841656516</c:v>
                </c:pt>
                <c:pt idx="46">
                  <c:v>0.00275275275275266</c:v>
                </c:pt>
                <c:pt idx="47">
                  <c:v>0.0421761916645869</c:v>
                </c:pt>
                <c:pt idx="48">
                  <c:v>0.00838122605363978</c:v>
                </c:pt>
                <c:pt idx="49">
                  <c:v>0.00332462597957739</c:v>
                </c:pt>
                <c:pt idx="50">
                  <c:v>-0.0402366863905326</c:v>
                </c:pt>
                <c:pt idx="51">
                  <c:v>0.0463625154130705</c:v>
                </c:pt>
                <c:pt idx="52">
                  <c:v>0.0124911619137402</c:v>
                </c:pt>
                <c:pt idx="53">
                  <c:v>0.00698324022346353</c:v>
                </c:pt>
                <c:pt idx="54">
                  <c:v>0.00231160425335175</c:v>
                </c:pt>
                <c:pt idx="55">
                  <c:v>0.00899446494464939</c:v>
                </c:pt>
                <c:pt idx="56">
                  <c:v>0.00754285714285707</c:v>
                </c:pt>
                <c:pt idx="57">
                  <c:v>0.00226860254083494</c:v>
                </c:pt>
                <c:pt idx="58">
                  <c:v>-0.00837483023992747</c:v>
                </c:pt>
                <c:pt idx="59">
                  <c:v>0.0385756676557862</c:v>
                </c:pt>
                <c:pt idx="60">
                  <c:v>-0.0164835164835165</c:v>
                </c:pt>
                <c:pt idx="61">
                  <c:v>0.0172067039106145</c:v>
                </c:pt>
                <c:pt idx="62">
                  <c:v>0.00922671353251303</c:v>
                </c:pt>
                <c:pt idx="63">
                  <c:v>0.0185023944275142</c:v>
                </c:pt>
                <c:pt idx="64">
                  <c:v>0.00384697584954052</c:v>
                </c:pt>
                <c:pt idx="65">
                  <c:v>-0.0110708963167979</c:v>
                </c:pt>
                <c:pt idx="66">
                  <c:v>0.00925726587728737</c:v>
                </c:pt>
                <c:pt idx="67">
                  <c:v>-0.0034129692832765</c:v>
                </c:pt>
                <c:pt idx="68">
                  <c:v>-0.019263698630137</c:v>
                </c:pt>
                <c:pt idx="69">
                  <c:v>0.0231340026189437</c:v>
                </c:pt>
                <c:pt idx="70">
                  <c:v>0.0138651877133105</c:v>
                </c:pt>
                <c:pt idx="71">
                  <c:v>-0.0103092783505155</c:v>
                </c:pt>
                <c:pt idx="72">
                  <c:v>0.00255102040816313</c:v>
                </c:pt>
                <c:pt idx="73">
                  <c:v>0.0192960135708229</c:v>
                </c:pt>
                <c:pt idx="74">
                  <c:v>-0.0120657374661951</c:v>
                </c:pt>
                <c:pt idx="75">
                  <c:v>-0.0275847546851969</c:v>
                </c:pt>
                <c:pt idx="76">
                  <c:v>-0.0313988739714163</c:v>
                </c:pt>
                <c:pt idx="77">
                  <c:v>-0.0212385423653029</c:v>
                </c:pt>
                <c:pt idx="78">
                  <c:v>0.00365463682046596</c:v>
                </c:pt>
                <c:pt idx="79">
                  <c:v>-0.0188893946290396</c:v>
                </c:pt>
                <c:pt idx="80">
                  <c:v>-0.0909301786128509</c:v>
                </c:pt>
                <c:pt idx="81">
                  <c:v>0.0630262822148506</c:v>
                </c:pt>
                <c:pt idx="82">
                  <c:v>-0.0160825732117137</c:v>
                </c:pt>
                <c:pt idx="83">
                  <c:v>0.0480605025616003</c:v>
                </c:pt>
                <c:pt idx="84">
                  <c:v>0.0197858472998138</c:v>
                </c:pt>
                <c:pt idx="85">
                  <c:v>0.00273910066194927</c:v>
                </c:pt>
                <c:pt idx="86">
                  <c:v>0.017300250398361</c:v>
                </c:pt>
                <c:pt idx="87">
                  <c:v>-0.00917431192660545</c:v>
                </c:pt>
                <c:pt idx="88">
                  <c:v>0.0112917795844625</c:v>
                </c:pt>
                <c:pt idx="89">
                  <c:v>0.0131755247878516</c:v>
                </c:pt>
                <c:pt idx="90">
                  <c:v>-0.00198368966277263</c:v>
                </c:pt>
                <c:pt idx="91">
                  <c:v>0.00309187279151946</c:v>
                </c:pt>
                <c:pt idx="92">
                  <c:v>0.0288419198590928</c:v>
                </c:pt>
                <c:pt idx="93">
                  <c:v>0.00706184463941795</c:v>
                </c:pt>
                <c:pt idx="94">
                  <c:v>0.00361240968975762</c:v>
                </c:pt>
                <c:pt idx="95">
                  <c:v>0.00614016514926963</c:v>
                </c:pt>
                <c:pt idx="96">
                  <c:v>0.00715488215488214</c:v>
                </c:pt>
                <c:pt idx="97">
                  <c:v>-0.0152528207271208</c:v>
                </c:pt>
                <c:pt idx="98">
                  <c:v>0.028219817525992</c:v>
                </c:pt>
                <c:pt idx="99">
                  <c:v>0.00866694180767658</c:v>
                </c:pt>
                <c:pt idx="100">
                  <c:v>-0.00245499181669406</c:v>
                </c:pt>
                <c:pt idx="101">
                  <c:v>0.000205086136177313</c:v>
                </c:pt>
                <c:pt idx="102">
                  <c:v>0.00984211605495178</c:v>
                </c:pt>
                <c:pt idx="103">
                  <c:v>0.0136040609137056</c:v>
                </c:pt>
                <c:pt idx="104">
                  <c:v>0.0110176282051282</c:v>
                </c:pt>
                <c:pt idx="105">
                  <c:v>0.00158510005944112</c:v>
                </c:pt>
                <c:pt idx="106">
                  <c:v>0.00830860534124622</c:v>
                </c:pt>
                <c:pt idx="107">
                  <c:v>-0.0166764763586423</c:v>
                </c:pt>
                <c:pt idx="108">
                  <c:v>0.0205506783719074</c:v>
                </c:pt>
                <c:pt idx="109">
                  <c:v>0.0185728250244379</c:v>
                </c:pt>
                <c:pt idx="110">
                  <c:v>0.00940499040307108</c:v>
                </c:pt>
                <c:pt idx="111">
                  <c:v>-0.0155923179311657</c:v>
                </c:pt>
                <c:pt idx="112">
                  <c:v>0.0019316206297082</c:v>
                </c:pt>
                <c:pt idx="113">
                  <c:v>-0.0273761326392904</c:v>
                </c:pt>
                <c:pt idx="114">
                  <c:v>0.0457879088206143</c:v>
                </c:pt>
                <c:pt idx="115">
                  <c:v>0.00966641394996226</c:v>
                </c:pt>
                <c:pt idx="116">
                  <c:v>-0.0108879294161818</c:v>
                </c:pt>
                <c:pt idx="117">
                  <c:v>0.00740178401973801</c:v>
                </c:pt>
                <c:pt idx="118">
                  <c:v>0.0124340617935192</c:v>
                </c:pt>
                <c:pt idx="119">
                  <c:v>-0.0115370301451434</c:v>
                </c:pt>
                <c:pt idx="120">
                  <c:v>0.0184487951807231</c:v>
                </c:pt>
                <c:pt idx="121">
                  <c:v>-0.00406654343807766</c:v>
                </c:pt>
                <c:pt idx="122">
                  <c:v>0.00519673348181127</c:v>
                </c:pt>
                <c:pt idx="123">
                  <c:v>0.00350812407680956</c:v>
                </c:pt>
                <c:pt idx="124">
                  <c:v>-0.0154553817847287</c:v>
                </c:pt>
                <c:pt idx="125">
                  <c:v>-0.00934404784152498</c:v>
                </c:pt>
                <c:pt idx="126">
                  <c:v>0.0111299754763252</c:v>
                </c:pt>
                <c:pt idx="127">
                  <c:v>-0.00186567164179108</c:v>
                </c:pt>
                <c:pt idx="128">
                  <c:v>-0.0119626168224299</c:v>
                </c:pt>
                <c:pt idx="129">
                  <c:v>-0.00510783200908049</c:v>
                </c:pt>
                <c:pt idx="130">
                  <c:v>-0.0140711161817837</c:v>
                </c:pt>
                <c:pt idx="131">
                  <c:v>-0.0293153326904533</c:v>
                </c:pt>
                <c:pt idx="132">
                  <c:v>0.0375521557719054</c:v>
                </c:pt>
                <c:pt idx="133">
                  <c:v>0.0363845270011489</c:v>
                </c:pt>
                <c:pt idx="134">
                  <c:v>0.018107908351811</c:v>
                </c:pt>
                <c:pt idx="135">
                  <c:v>0.00562613430127024</c:v>
                </c:pt>
                <c:pt idx="136">
                  <c:v>0.0079408049088614</c:v>
                </c:pt>
                <c:pt idx="137">
                  <c:v>0.0127126230975829</c:v>
                </c:pt>
                <c:pt idx="138">
                  <c:v>0.0026520509193777</c:v>
                </c:pt>
                <c:pt idx="139">
                  <c:v>0.00740610121671659</c:v>
                </c:pt>
                <c:pt idx="140">
                  <c:v>0.0155785051636619</c:v>
                </c:pt>
                <c:pt idx="141">
                  <c:v>-0.0279214064115823</c:v>
                </c:pt>
                <c:pt idx="142">
                  <c:v>0.0163120567375887</c:v>
                </c:pt>
                <c:pt idx="143">
                  <c:v>0.0247732030704815</c:v>
                </c:pt>
                <c:pt idx="144">
                  <c:v>-0.031324480762683</c:v>
                </c:pt>
                <c:pt idx="145">
                  <c:v>0.0100175746924429</c:v>
                </c:pt>
                <c:pt idx="146">
                  <c:v>0.0187924134330955</c:v>
                </c:pt>
                <c:pt idx="147">
                  <c:v>-0.0329632792485055</c:v>
                </c:pt>
                <c:pt idx="148">
                  <c:v>-0.00936064994701513</c:v>
                </c:pt>
                <c:pt idx="149">
                  <c:v>0.00499197717953281</c:v>
                </c:pt>
                <c:pt idx="150">
                  <c:v>0.0381408550647508</c:v>
                </c:pt>
                <c:pt idx="151">
                  <c:v>0.013157894736842</c:v>
                </c:pt>
                <c:pt idx="152">
                  <c:v>-0.0114690504300894</c:v>
                </c:pt>
                <c:pt idx="153">
                  <c:v>0.00528919979525688</c:v>
                </c:pt>
                <c:pt idx="154">
                  <c:v>0.00678886625933473</c:v>
                </c:pt>
                <c:pt idx="155">
                  <c:v>-0.00151719487525293</c:v>
                </c:pt>
                <c:pt idx="156">
                  <c:v>0.00759750126625036</c:v>
                </c:pt>
                <c:pt idx="157">
                  <c:v>0.0165884718498659</c:v>
                </c:pt>
                <c:pt idx="158">
                  <c:v>0.0060985660128563</c:v>
                </c:pt>
              </c:numCache>
            </c:numRef>
          </c:val>
        </c:ser>
        <c:gapWidth val="150"/>
        <c:overlap val="0"/>
        <c:axId val="58151808"/>
        <c:axId val="3034408"/>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(Calc)'!$AL$3:$AL$500</c:f>
              <c:numCache>
                <c:formatCode>#,##0.00</c:formatCode>
                <c:ptCount val="498"/>
                <c:pt idx="0">
                  <c:v>34.48</c:v>
                </c:pt>
                <c:pt idx="1">
                  <c:v>34.6481012658228</c:v>
                </c:pt>
                <c:pt idx="2">
                  <c:v>34.8162025316456</c:v>
                </c:pt>
                <c:pt idx="3">
                  <c:v>34.9843037974684</c:v>
                </c:pt>
                <c:pt idx="4">
                  <c:v>35.1524050632911</c:v>
                </c:pt>
                <c:pt idx="5">
                  <c:v>35.3205063291139</c:v>
                </c:pt>
                <c:pt idx="6">
                  <c:v>35.4886075949367</c:v>
                </c:pt>
                <c:pt idx="7">
                  <c:v>35.6567088607595</c:v>
                </c:pt>
                <c:pt idx="8">
                  <c:v>35.8248101265823</c:v>
                </c:pt>
                <c:pt idx="9">
                  <c:v>35.9929113924051</c:v>
                </c:pt>
                <c:pt idx="10">
                  <c:v>36.1610126582279</c:v>
                </c:pt>
                <c:pt idx="11">
                  <c:v>36.3291139240506</c:v>
                </c:pt>
                <c:pt idx="12">
                  <c:v>36.4972151898734</c:v>
                </c:pt>
                <c:pt idx="13">
                  <c:v>36.6653164556962</c:v>
                </c:pt>
                <c:pt idx="14">
                  <c:v>36.833417721519</c:v>
                </c:pt>
                <c:pt idx="15">
                  <c:v>37.0015189873418</c:v>
                </c:pt>
                <c:pt idx="16">
                  <c:v>37.1696202531646</c:v>
                </c:pt>
                <c:pt idx="17">
                  <c:v>37.3377215189873</c:v>
                </c:pt>
                <c:pt idx="18">
                  <c:v>37.5058227848101</c:v>
                </c:pt>
                <c:pt idx="19">
                  <c:v>37.6739240506329</c:v>
                </c:pt>
                <c:pt idx="20">
                  <c:v>37.8420253164557</c:v>
                </c:pt>
                <c:pt idx="21">
                  <c:v>38.0101265822785</c:v>
                </c:pt>
                <c:pt idx="22">
                  <c:v>38.1782278481013</c:v>
                </c:pt>
                <c:pt idx="23">
                  <c:v>38.3463291139241</c:v>
                </c:pt>
                <c:pt idx="24">
                  <c:v>38.5144303797468</c:v>
                </c:pt>
                <c:pt idx="25">
                  <c:v>38.6825316455696</c:v>
                </c:pt>
                <c:pt idx="26">
                  <c:v>38.8506329113924</c:v>
                </c:pt>
                <c:pt idx="27">
                  <c:v>39.0187341772152</c:v>
                </c:pt>
                <c:pt idx="28">
                  <c:v>39.186835443038</c:v>
                </c:pt>
                <c:pt idx="29">
                  <c:v>39.3549367088608</c:v>
                </c:pt>
                <c:pt idx="30">
                  <c:v>39.5230379746835</c:v>
                </c:pt>
                <c:pt idx="31">
                  <c:v>39.6911392405063</c:v>
                </c:pt>
                <c:pt idx="32">
                  <c:v>39.8592405063291</c:v>
                </c:pt>
                <c:pt idx="33">
                  <c:v>40.0273417721519</c:v>
                </c:pt>
                <c:pt idx="34">
                  <c:v>40.1954430379747</c:v>
                </c:pt>
                <c:pt idx="35">
                  <c:v>40.3635443037975</c:v>
                </c:pt>
                <c:pt idx="36">
                  <c:v>40.5316455696203</c:v>
                </c:pt>
                <c:pt idx="37">
                  <c:v>40.699746835443</c:v>
                </c:pt>
                <c:pt idx="38">
                  <c:v>40.8678481012658</c:v>
                </c:pt>
                <c:pt idx="39">
                  <c:v>41.0359493670886</c:v>
                </c:pt>
                <c:pt idx="40">
                  <c:v>41.2040506329114</c:v>
                </c:pt>
                <c:pt idx="41">
                  <c:v>41.3721518987342</c:v>
                </c:pt>
                <c:pt idx="42">
                  <c:v>41.540253164557</c:v>
                </c:pt>
                <c:pt idx="43">
                  <c:v>41.7083544303797</c:v>
                </c:pt>
                <c:pt idx="44">
                  <c:v>41.8764556962025</c:v>
                </c:pt>
                <c:pt idx="45">
                  <c:v>42.0445569620253</c:v>
                </c:pt>
                <c:pt idx="46">
                  <c:v>42.2126582278481</c:v>
                </c:pt>
                <c:pt idx="47">
                  <c:v>42.3807594936709</c:v>
                </c:pt>
                <c:pt idx="48">
                  <c:v>42.5488607594937</c:v>
                </c:pt>
                <c:pt idx="49">
                  <c:v>42.7169620253165</c:v>
                </c:pt>
                <c:pt idx="50">
                  <c:v>42.8850632911392</c:v>
                </c:pt>
                <c:pt idx="51">
                  <c:v>43.053164556962</c:v>
                </c:pt>
                <c:pt idx="52">
                  <c:v>43.2212658227848</c:v>
                </c:pt>
                <c:pt idx="53">
                  <c:v>43.3893670886076</c:v>
                </c:pt>
                <c:pt idx="54">
                  <c:v>43.5574683544304</c:v>
                </c:pt>
                <c:pt idx="55">
                  <c:v>43.7255696202532</c:v>
                </c:pt>
                <c:pt idx="56">
                  <c:v>43.8936708860759</c:v>
                </c:pt>
                <c:pt idx="57">
                  <c:v>44.0617721518987</c:v>
                </c:pt>
                <c:pt idx="58">
                  <c:v>44.2298734177215</c:v>
                </c:pt>
                <c:pt idx="59">
                  <c:v>44.3979746835443</c:v>
                </c:pt>
                <c:pt idx="60">
                  <c:v>44.5660759493671</c:v>
                </c:pt>
                <c:pt idx="61">
                  <c:v>44.7341772151899</c:v>
                </c:pt>
                <c:pt idx="62">
                  <c:v>44.9022784810127</c:v>
                </c:pt>
                <c:pt idx="63">
                  <c:v>45.0703797468354</c:v>
                </c:pt>
                <c:pt idx="64">
                  <c:v>45.2384810126582</c:v>
                </c:pt>
                <c:pt idx="65">
                  <c:v>45.406582278481</c:v>
                </c:pt>
                <c:pt idx="66">
                  <c:v>45.5746835443038</c:v>
                </c:pt>
                <c:pt idx="67">
                  <c:v>45.7427848101266</c:v>
                </c:pt>
                <c:pt idx="68">
                  <c:v>45.9108860759494</c:v>
                </c:pt>
                <c:pt idx="69">
                  <c:v>46.0789873417722</c:v>
                </c:pt>
                <c:pt idx="70">
                  <c:v>46.2470886075949</c:v>
                </c:pt>
                <c:pt idx="71">
                  <c:v>46.4151898734177</c:v>
                </c:pt>
                <c:pt idx="72">
                  <c:v>46.5832911392405</c:v>
                </c:pt>
                <c:pt idx="73">
                  <c:v>46.7513924050633</c:v>
                </c:pt>
                <c:pt idx="74">
                  <c:v>46.9194936708861</c:v>
                </c:pt>
                <c:pt idx="75">
                  <c:v>47.0875949367089</c:v>
                </c:pt>
                <c:pt idx="76">
                  <c:v>47.2556962025316</c:v>
                </c:pt>
                <c:pt idx="77">
                  <c:v>47.4237974683544</c:v>
                </c:pt>
                <c:pt idx="78">
                  <c:v>47.5918987341772</c:v>
                </c:pt>
                <c:pt idx="79">
                  <c:v>47.76</c:v>
                </c:pt>
                <c:pt idx="80">
                  <c:v>47.9281012658228</c:v>
                </c:pt>
                <c:pt idx="81">
                  <c:v>48.0962025316456</c:v>
                </c:pt>
                <c:pt idx="82">
                  <c:v>48.2643037974684</c:v>
                </c:pt>
                <c:pt idx="83">
                  <c:v>48.4324050632911</c:v>
                </c:pt>
                <c:pt idx="84">
                  <c:v>48.6005063291139</c:v>
                </c:pt>
                <c:pt idx="85">
                  <c:v>48.7686075949367</c:v>
                </c:pt>
                <c:pt idx="86">
                  <c:v>48.9367088607595</c:v>
                </c:pt>
                <c:pt idx="87">
                  <c:v>49.1048101265823</c:v>
                </c:pt>
                <c:pt idx="88">
                  <c:v>49.2729113924051</c:v>
                </c:pt>
                <c:pt idx="89">
                  <c:v>49.4410126582279</c:v>
                </c:pt>
                <c:pt idx="90">
                  <c:v>49.6091139240506</c:v>
                </c:pt>
                <c:pt idx="91">
                  <c:v>49.7772151898734</c:v>
                </c:pt>
                <c:pt idx="92">
                  <c:v>49.9453164556962</c:v>
                </c:pt>
                <c:pt idx="93">
                  <c:v>50.113417721519</c:v>
                </c:pt>
                <c:pt idx="94">
                  <c:v>50.2815189873418</c:v>
                </c:pt>
                <c:pt idx="95">
                  <c:v>50.4496202531646</c:v>
                </c:pt>
                <c:pt idx="96">
                  <c:v>50.6177215189873</c:v>
                </c:pt>
                <c:pt idx="97">
                  <c:v>50.7858227848101</c:v>
                </c:pt>
                <c:pt idx="98">
                  <c:v>50.9539240506329</c:v>
                </c:pt>
                <c:pt idx="99">
                  <c:v>51.1220253164557</c:v>
                </c:pt>
                <c:pt idx="100">
                  <c:v>51.2901265822785</c:v>
                </c:pt>
                <c:pt idx="101">
                  <c:v>51.4582278481013</c:v>
                </c:pt>
                <c:pt idx="102">
                  <c:v>51.6263291139241</c:v>
                </c:pt>
                <c:pt idx="103">
                  <c:v>51.7944303797468</c:v>
                </c:pt>
                <c:pt idx="104">
                  <c:v>51.9625316455696</c:v>
                </c:pt>
                <c:pt idx="105">
                  <c:v>52.1306329113924</c:v>
                </c:pt>
                <c:pt idx="106">
                  <c:v>52.2987341772152</c:v>
                </c:pt>
                <c:pt idx="107">
                  <c:v>52.466835443038</c:v>
                </c:pt>
                <c:pt idx="108">
                  <c:v>52.6349367088608</c:v>
                </c:pt>
                <c:pt idx="109">
                  <c:v>52.8030379746836</c:v>
                </c:pt>
                <c:pt idx="110">
                  <c:v>52.9711392405063</c:v>
                </c:pt>
                <c:pt idx="111">
                  <c:v>53.1392405063291</c:v>
                </c:pt>
                <c:pt idx="112">
                  <c:v>53.3073417721519</c:v>
                </c:pt>
                <c:pt idx="113">
                  <c:v>53.4754430379747</c:v>
                </c:pt>
                <c:pt idx="114">
                  <c:v>53.6435443037975</c:v>
                </c:pt>
                <c:pt idx="115">
                  <c:v>53.8116455696203</c:v>
                </c:pt>
                <c:pt idx="116">
                  <c:v>53.979746835443</c:v>
                </c:pt>
                <c:pt idx="117">
                  <c:v>54.1478481012658</c:v>
                </c:pt>
                <c:pt idx="118">
                  <c:v>54.3159493670886</c:v>
                </c:pt>
                <c:pt idx="119">
                  <c:v>54.4840506329114</c:v>
                </c:pt>
                <c:pt idx="120">
                  <c:v>54.6521518987342</c:v>
                </c:pt>
                <c:pt idx="121">
                  <c:v>54.820253164557</c:v>
                </c:pt>
                <c:pt idx="122">
                  <c:v>54.9883544303797</c:v>
                </c:pt>
                <c:pt idx="123">
                  <c:v>55.1564556962025</c:v>
                </c:pt>
                <c:pt idx="124">
                  <c:v>55.3245569620253</c:v>
                </c:pt>
                <c:pt idx="125">
                  <c:v>55.4926582278481</c:v>
                </c:pt>
                <c:pt idx="126">
                  <c:v>55.6607594936709</c:v>
                </c:pt>
                <c:pt idx="127">
                  <c:v>55.8288607594937</c:v>
                </c:pt>
                <c:pt idx="128">
                  <c:v>55.9969620253165</c:v>
                </c:pt>
                <c:pt idx="129">
                  <c:v>56.1650632911392</c:v>
                </c:pt>
                <c:pt idx="130">
                  <c:v>56.333164556962</c:v>
                </c:pt>
                <c:pt idx="131">
                  <c:v>56.5012658227848</c:v>
                </c:pt>
                <c:pt idx="132">
                  <c:v>56.6693670886076</c:v>
                </c:pt>
                <c:pt idx="133">
                  <c:v>56.8374683544304</c:v>
                </c:pt>
                <c:pt idx="134">
                  <c:v>57.0055696202532</c:v>
                </c:pt>
                <c:pt idx="135">
                  <c:v>57.173670886076</c:v>
                </c:pt>
                <c:pt idx="136">
                  <c:v>57.3417721518987</c:v>
                </c:pt>
                <c:pt idx="137">
                  <c:v>57.5098734177215</c:v>
                </c:pt>
                <c:pt idx="138">
                  <c:v>57.6779746835443</c:v>
                </c:pt>
                <c:pt idx="139">
                  <c:v>57.8460759493671</c:v>
                </c:pt>
                <c:pt idx="140">
                  <c:v>58.0141772151899</c:v>
                </c:pt>
                <c:pt idx="141">
                  <c:v>58.1822784810127</c:v>
                </c:pt>
                <c:pt idx="142">
                  <c:v>58.3503797468354</c:v>
                </c:pt>
                <c:pt idx="143">
                  <c:v>58.5184810126582</c:v>
                </c:pt>
                <c:pt idx="144">
                  <c:v>58.686582278481</c:v>
                </c:pt>
                <c:pt idx="145">
                  <c:v>58.8546835443038</c:v>
                </c:pt>
                <c:pt idx="146">
                  <c:v>59.0227848101266</c:v>
                </c:pt>
                <c:pt idx="147">
                  <c:v>59.1908860759494</c:v>
                </c:pt>
                <c:pt idx="148">
                  <c:v>59.3589873417722</c:v>
                </c:pt>
                <c:pt idx="149">
                  <c:v>59.5270886075949</c:v>
                </c:pt>
                <c:pt idx="150">
                  <c:v>59.6951898734177</c:v>
                </c:pt>
                <c:pt idx="151">
                  <c:v>59.8632911392405</c:v>
                </c:pt>
                <c:pt idx="152">
                  <c:v>60.0313924050633</c:v>
                </c:pt>
                <c:pt idx="153">
                  <c:v>60.1994936708861</c:v>
                </c:pt>
                <c:pt idx="154">
                  <c:v>60.3675949367089</c:v>
                </c:pt>
                <c:pt idx="155">
                  <c:v>60.5356962025316</c:v>
                </c:pt>
                <c:pt idx="156">
                  <c:v>60.7037974683544</c:v>
                </c:pt>
                <c:pt idx="157">
                  <c:v>60.8718987341772</c:v>
                </c:pt>
                <c:pt idx="158">
                  <c:v>61.04</c:v>
                </c:pt>
                <c:pt idx="159">
                  <c:v>61.2081012658228</c:v>
                </c:pt>
              </c:numCache>
            </c:numRef>
          </c:val>
          <c:smooth val="0"/>
        </c:ser>
        <c:hiLowLines>
          <c:spPr>
            <a:ln w="0">
              <a:noFill/>
            </a:ln>
          </c:spPr>
        </c:hiLowLines>
        <c:marker val="0"/>
        <c:axId val="12165597"/>
        <c:axId val="13696964"/>
      </c:lineChart>
      <c:dateAx>
        <c:axId val="5815180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34408"/>
        <c:auto val="1"/>
        <c:lblOffset val="100"/>
        <c:baseTimeUnit val="days"/>
      </c:dateAx>
      <c:valAx>
        <c:axId val="303440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151808"/>
        <c:crosses val="autoZero"/>
        <c:crossBetween val="between"/>
      </c:valAx>
      <c:dateAx>
        <c:axId val="1216559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696964"/>
        <c:auto val="1"/>
        <c:lblOffset val="100"/>
        <c:baseTimeUnit val="days"/>
      </c:dateAx>
      <c:valAx>
        <c:axId val="1369696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16559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(Calc)'!$S$3:$S$500</c:f>
              <c:numCache>
                <c:formatCode>0.0%</c:formatCode>
                <c:ptCount val="498"/>
                <c:pt idx="0">
                  <c:v>-0.0242929030019088</c:v>
                </c:pt>
                <c:pt idx="1">
                  <c:v>-0.00302329717232785</c:v>
                </c:pt>
                <c:pt idx="2">
                  <c:v>0.0110595790224759</c:v>
                </c:pt>
                <c:pt idx="3">
                  <c:v>0.00564573041637262</c:v>
                </c:pt>
                <c:pt idx="4">
                  <c:v>-0.0289473684210526</c:v>
                </c:pt>
                <c:pt idx="5">
                  <c:v>-0.0202348690153569</c:v>
                </c:pt>
                <c:pt idx="6">
                  <c:v>0.0584547298543243</c:v>
                </c:pt>
                <c:pt idx="7">
                  <c:v>0.0294425087108015</c:v>
                </c:pt>
                <c:pt idx="8">
                  <c:v>0.0216618717211032</c:v>
                </c:pt>
                <c:pt idx="9">
                  <c:v>0.00546629120424069</c:v>
                </c:pt>
                <c:pt idx="10">
                  <c:v>-0.0021416803953872</c:v>
                </c:pt>
                <c:pt idx="11">
                  <c:v>0.00363216113587583</c:v>
                </c:pt>
                <c:pt idx="12">
                  <c:v>0.0342161539726928</c:v>
                </c:pt>
                <c:pt idx="13">
                  <c:v>0.014951487195801</c:v>
                </c:pt>
                <c:pt idx="14">
                  <c:v>0.00705218617771508</c:v>
                </c:pt>
                <c:pt idx="15">
                  <c:v>-0.0102707749766574</c:v>
                </c:pt>
                <c:pt idx="16">
                  <c:v>0.0309748427672956</c:v>
                </c:pt>
                <c:pt idx="17">
                  <c:v>0.0211987189263383</c:v>
                </c:pt>
                <c:pt idx="18">
                  <c:v>0.0161290322580647</c:v>
                </c:pt>
                <c:pt idx="19">
                  <c:v>0.0457084068195179</c:v>
                </c:pt>
                <c:pt idx="20">
                  <c:v>0.0238931834153195</c:v>
                </c:pt>
                <c:pt idx="21">
                  <c:v>0.00837336993822913</c:v>
                </c:pt>
                <c:pt idx="22">
                  <c:v>0.022325074870678</c:v>
                </c:pt>
                <c:pt idx="23">
                  <c:v>0.0280958721704394</c:v>
                </c:pt>
                <c:pt idx="24">
                  <c:v>0.00388550705867141</c:v>
                </c:pt>
                <c:pt idx="25">
                  <c:v>-0.00516062443555676</c:v>
                </c:pt>
                <c:pt idx="26">
                  <c:v>0.0300868888600701</c:v>
                </c:pt>
                <c:pt idx="27">
                  <c:v>-0.00755382097444302</c:v>
                </c:pt>
                <c:pt idx="28">
                  <c:v>0.00291767093746032</c:v>
                </c:pt>
                <c:pt idx="29">
                  <c:v>-0.0140399696433089</c:v>
                </c:pt>
                <c:pt idx="30">
                  <c:v>-0.0568313021167416</c:v>
                </c:pt>
                <c:pt idx="31">
                  <c:v>0.0300598476605007</c:v>
                </c:pt>
                <c:pt idx="32">
                  <c:v>0.00977155684669206</c:v>
                </c:pt>
                <c:pt idx="33">
                  <c:v>0.0222309402380019</c:v>
                </c:pt>
                <c:pt idx="34">
                  <c:v>0.0150953051042599</c:v>
                </c:pt>
                <c:pt idx="35">
                  <c:v>0.019533711405167</c:v>
                </c:pt>
                <c:pt idx="36">
                  <c:v>-0.0110012360939431</c:v>
                </c:pt>
                <c:pt idx="37">
                  <c:v>0.03037120359955</c:v>
                </c:pt>
                <c:pt idx="38">
                  <c:v>0.042212518195051</c:v>
                </c:pt>
                <c:pt idx="39">
                  <c:v>-0.000814711359404141</c:v>
                </c:pt>
                <c:pt idx="40">
                  <c:v>0.00186371578334321</c:v>
                </c:pt>
                <c:pt idx="41">
                  <c:v>0.0310429019881409</c:v>
                </c:pt>
                <c:pt idx="42">
                  <c:v>-0.00202976995940463</c:v>
                </c:pt>
                <c:pt idx="43">
                  <c:v>-0.0404519774011299</c:v>
                </c:pt>
                <c:pt idx="44">
                  <c:v>-0.0188412623645785</c:v>
                </c:pt>
                <c:pt idx="45">
                  <c:v>-0.0297647623619778</c:v>
                </c:pt>
                <c:pt idx="46">
                  <c:v>0.0173181593270657</c:v>
                </c:pt>
                <c:pt idx="47">
                  <c:v>0.0570282101167317</c:v>
                </c:pt>
                <c:pt idx="48">
                  <c:v>0.0138042102841365</c:v>
                </c:pt>
                <c:pt idx="49">
                  <c:v>-0.00397140587768063</c:v>
                </c:pt>
                <c:pt idx="50">
                  <c:v>-0.0598086124401914</c:v>
                </c:pt>
                <c:pt idx="51">
                  <c:v>0.0615533745304737</c:v>
                </c:pt>
                <c:pt idx="52">
                  <c:v>0.0162081954114828</c:v>
                </c:pt>
                <c:pt idx="53">
                  <c:v>-0.00134786027181855</c:v>
                </c:pt>
                <c:pt idx="54">
                  <c:v>0.014958947250028</c:v>
                </c:pt>
                <c:pt idx="55">
                  <c:v>0.0216090425531916</c:v>
                </c:pt>
                <c:pt idx="56">
                  <c:v>0.00433886538670136</c:v>
                </c:pt>
                <c:pt idx="57">
                  <c:v>-0.0146884112755157</c:v>
                </c:pt>
                <c:pt idx="58">
                  <c:v>-0.0137016332346815</c:v>
                </c:pt>
                <c:pt idx="59">
                  <c:v>0.0597910646810402</c:v>
                </c:pt>
                <c:pt idx="60">
                  <c:v>-0.0308305369127516</c:v>
                </c:pt>
                <c:pt idx="61">
                  <c:v>0.0178532785111447</c:v>
                </c:pt>
                <c:pt idx="62">
                  <c:v>0.0130753694057617</c:v>
                </c:pt>
                <c:pt idx="63">
                  <c:v>0.0193074501573978</c:v>
                </c:pt>
                <c:pt idx="64">
                  <c:v>-0.00936792258595842</c:v>
                </c:pt>
                <c:pt idx="65">
                  <c:v>-0.0224462225917075</c:v>
                </c:pt>
                <c:pt idx="66">
                  <c:v>0.0126501541405337</c:v>
                </c:pt>
                <c:pt idx="67">
                  <c:v>0.00304429981104337</c:v>
                </c:pt>
                <c:pt idx="68">
                  <c:v>-0.0135007849293562</c:v>
                </c:pt>
                <c:pt idx="69">
                  <c:v>0.0321451304901337</c:v>
                </c:pt>
                <c:pt idx="70">
                  <c:v>0.0271353684859699</c:v>
                </c:pt>
                <c:pt idx="71">
                  <c:v>-0.0127088962273593</c:v>
                </c:pt>
                <c:pt idx="72">
                  <c:v>0.0198662071761606</c:v>
                </c:pt>
                <c:pt idx="73">
                  <c:v>0.0101371496720333</c:v>
                </c:pt>
                <c:pt idx="74">
                  <c:v>-0.0305981896890988</c:v>
                </c:pt>
                <c:pt idx="75">
                  <c:v>-0.00111641124530604</c:v>
                </c:pt>
                <c:pt idx="76">
                  <c:v>-0.0526315789473685</c:v>
                </c:pt>
                <c:pt idx="77">
                  <c:v>-0.0071857571857572</c:v>
                </c:pt>
                <c:pt idx="78">
                  <c:v>0.0037809225451011</c:v>
                </c:pt>
                <c:pt idx="79">
                  <c:v>-0.0196943607404219</c:v>
                </c:pt>
                <c:pt idx="80">
                  <c:v>-0.107036996377209</c:v>
                </c:pt>
                <c:pt idx="81">
                  <c:v>0.0910990902385049</c:v>
                </c:pt>
                <c:pt idx="82">
                  <c:v>-0.0173521126760564</c:v>
                </c:pt>
                <c:pt idx="83">
                  <c:v>0.0652448113748425</c:v>
                </c:pt>
                <c:pt idx="84">
                  <c:v>0.0402583423035521</c:v>
                </c:pt>
                <c:pt idx="85">
                  <c:v>0.00693294701986758</c:v>
                </c:pt>
                <c:pt idx="86">
                  <c:v>0.0682355359161444</c:v>
                </c:pt>
                <c:pt idx="87">
                  <c:v>-0.0223184223184224</c:v>
                </c:pt>
                <c:pt idx="88">
                  <c:v>0.0243038472891863</c:v>
                </c:pt>
                <c:pt idx="89">
                  <c:v>0.0148895292987512</c:v>
                </c:pt>
                <c:pt idx="90">
                  <c:v>-0.00709891150023667</c:v>
                </c:pt>
                <c:pt idx="91">
                  <c:v>0.00705433746425155</c:v>
                </c:pt>
                <c:pt idx="92">
                  <c:v>0.048182506626278</c:v>
                </c:pt>
                <c:pt idx="93">
                  <c:v>0.00596044432403131</c:v>
                </c:pt>
                <c:pt idx="94">
                  <c:v>-0.00305233863003862</c:v>
                </c:pt>
                <c:pt idx="95">
                  <c:v>0.014858171994597</c:v>
                </c:pt>
                <c:pt idx="96">
                  <c:v>0.01055900621118</c:v>
                </c:pt>
                <c:pt idx="97">
                  <c:v>-0.0157169198349285</c:v>
                </c:pt>
                <c:pt idx="98">
                  <c:v>0.0349687778768957</c:v>
                </c:pt>
                <c:pt idx="99">
                  <c:v>0.00103430443027075</c:v>
                </c:pt>
                <c:pt idx="100">
                  <c:v>-0.0068021353538833</c:v>
                </c:pt>
                <c:pt idx="101">
                  <c:v>-0.000260078023406996</c:v>
                </c:pt>
                <c:pt idx="102">
                  <c:v>0.004942767950052</c:v>
                </c:pt>
                <c:pt idx="103">
                  <c:v>0.029251876779705</c:v>
                </c:pt>
                <c:pt idx="104">
                  <c:v>0.012072434607646</c:v>
                </c:pt>
                <c:pt idx="105">
                  <c:v>-0.00952617627567931</c:v>
                </c:pt>
                <c:pt idx="106">
                  <c:v>-0.00409801789746589</c:v>
                </c:pt>
                <c:pt idx="107">
                  <c:v>-0.0131844138394356</c:v>
                </c:pt>
                <c:pt idx="108">
                  <c:v>0.0161688366947492</c:v>
                </c:pt>
                <c:pt idx="109">
                  <c:v>0.0107193702369985</c:v>
                </c:pt>
                <c:pt idx="110">
                  <c:v>-8.28569061230855E-005</c:v>
                </c:pt>
                <c:pt idx="111">
                  <c:v>-0.0260192243950945</c:v>
                </c:pt>
                <c:pt idx="112">
                  <c:v>-0.00595541943168287</c:v>
                </c:pt>
                <c:pt idx="113">
                  <c:v>-0.029955494693598</c:v>
                </c:pt>
                <c:pt idx="114">
                  <c:v>0.0509087700723487</c:v>
                </c:pt>
                <c:pt idx="115">
                  <c:v>0.00612878851481824</c:v>
                </c:pt>
                <c:pt idx="116">
                  <c:v>-0.0145193591455275</c:v>
                </c:pt>
                <c:pt idx="117">
                  <c:v>0.0036409822184591</c:v>
                </c:pt>
                <c:pt idx="118">
                  <c:v>0.0179701341432548</c:v>
                </c:pt>
                <c:pt idx="119">
                  <c:v>-0.01408917619758</c:v>
                </c:pt>
                <c:pt idx="120">
                  <c:v>0.00294216543375936</c:v>
                </c:pt>
                <c:pt idx="121">
                  <c:v>-0.000251445813427176</c:v>
                </c:pt>
                <c:pt idx="122">
                  <c:v>-0.017270288397049</c:v>
                </c:pt>
                <c:pt idx="123">
                  <c:v>0.0164647671045897</c:v>
                </c:pt>
                <c:pt idx="124">
                  <c:v>-0.000251783466219013</c:v>
                </c:pt>
                <c:pt idx="125">
                  <c:v>-0.0132639355271994</c:v>
                </c:pt>
                <c:pt idx="126">
                  <c:v>0.0144631614769439</c:v>
                </c:pt>
                <c:pt idx="127">
                  <c:v>-0.00402549480040249</c:v>
                </c:pt>
                <c:pt idx="128">
                  <c:v>-0.0103570225665207</c:v>
                </c:pt>
                <c:pt idx="129">
                  <c:v>-0.0173572704841317</c:v>
                </c:pt>
                <c:pt idx="130">
                  <c:v>-0.0206944324183912</c:v>
                </c:pt>
                <c:pt idx="131">
                  <c:v>-0.0277630415561451</c:v>
                </c:pt>
                <c:pt idx="132">
                  <c:v>0.0401964350672972</c:v>
                </c:pt>
                <c:pt idx="133">
                  <c:v>0.0749256863087953</c:v>
                </c:pt>
                <c:pt idx="134">
                  <c:v>0.0401789345262302</c:v>
                </c:pt>
                <c:pt idx="135">
                  <c:v>0.0250996950504339</c:v>
                </c:pt>
                <c:pt idx="136">
                  <c:v>0.0221205186880245</c:v>
                </c:pt>
                <c:pt idx="137">
                  <c:v>0.0698507462686568</c:v>
                </c:pt>
                <c:pt idx="138">
                  <c:v>-0.0023018973214286</c:v>
                </c:pt>
                <c:pt idx="139">
                  <c:v>0.0101377333426553</c:v>
                </c:pt>
                <c:pt idx="140">
                  <c:v>0.0389673311184942</c:v>
                </c:pt>
                <c:pt idx="141">
                  <c:v>-0.041902604756512</c:v>
                </c:pt>
                <c:pt idx="142">
                  <c:v>0.0568766513697678</c:v>
                </c:pt>
                <c:pt idx="143">
                  <c:v>0.0486184210526315</c:v>
                </c:pt>
                <c:pt idx="144">
                  <c:v>-0.0341301210866428</c:v>
                </c:pt>
                <c:pt idx="145">
                  <c:v>-0.0218902240987332</c:v>
                </c:pt>
                <c:pt idx="146">
                  <c:v>0.0193916854827998</c:v>
                </c:pt>
                <c:pt idx="147">
                  <c:v>-0.0641042345276873</c:v>
                </c:pt>
                <c:pt idx="148">
                  <c:v>0.0181678964221079</c:v>
                </c:pt>
                <c:pt idx="149">
                  <c:v>-0.0182539139946675</c:v>
                </c:pt>
                <c:pt idx="150">
                  <c:v>0.0407381615598885</c:v>
                </c:pt>
                <c:pt idx="151">
                  <c:v>0.0241552358648378</c:v>
                </c:pt>
                <c:pt idx="152">
                  <c:v>-0.0298575721939108</c:v>
                </c:pt>
                <c:pt idx="153">
                  <c:v>-0.0131321974543741</c:v>
                </c:pt>
                <c:pt idx="154">
                  <c:v>0.0200627814931076</c:v>
                </c:pt>
                <c:pt idx="155">
                  <c:v>-0.00943270002675944</c:v>
                </c:pt>
                <c:pt idx="156">
                  <c:v>0.00607820625379896</c:v>
                </c:pt>
                <c:pt idx="157">
                  <c:v>0.0265154057863999</c:v>
                </c:pt>
                <c:pt idx="158">
                  <c:v>0.00202720376667531</c:v>
                </c:pt>
              </c:numCache>
            </c:numRef>
          </c:val>
        </c:ser>
        <c:gapWidth val="150"/>
        <c:overlap val="0"/>
        <c:axId val="63010013"/>
        <c:axId val="22360100"/>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(Calc)'!$AM$3:$AM$500</c:f>
              <c:numCache>
                <c:formatCode>#,##0.00</c:formatCode>
                <c:ptCount val="498"/>
                <c:pt idx="0">
                  <c:v>57.63</c:v>
                </c:pt>
                <c:pt idx="1">
                  <c:v>58.2350632911392</c:v>
                </c:pt>
                <c:pt idx="2">
                  <c:v>58.8401265822785</c:v>
                </c:pt>
                <c:pt idx="3">
                  <c:v>59.4451898734177</c:v>
                </c:pt>
                <c:pt idx="4">
                  <c:v>60.050253164557</c:v>
                </c:pt>
                <c:pt idx="5">
                  <c:v>60.6553164556962</c:v>
                </c:pt>
                <c:pt idx="6">
                  <c:v>61.2603797468355</c:v>
                </c:pt>
                <c:pt idx="7">
                  <c:v>61.8654430379747</c:v>
                </c:pt>
                <c:pt idx="8">
                  <c:v>62.4705063291139</c:v>
                </c:pt>
                <c:pt idx="9">
                  <c:v>63.0755696202532</c:v>
                </c:pt>
                <c:pt idx="10">
                  <c:v>63.6806329113924</c:v>
                </c:pt>
                <c:pt idx="11">
                  <c:v>64.2856962025317</c:v>
                </c:pt>
                <c:pt idx="12">
                  <c:v>64.8907594936709</c:v>
                </c:pt>
                <c:pt idx="13">
                  <c:v>65.4958227848101</c:v>
                </c:pt>
                <c:pt idx="14">
                  <c:v>66.1008860759494</c:v>
                </c:pt>
                <c:pt idx="15">
                  <c:v>66.7059493670886</c:v>
                </c:pt>
                <c:pt idx="16">
                  <c:v>67.3110126582279</c:v>
                </c:pt>
                <c:pt idx="17">
                  <c:v>67.9160759493671</c:v>
                </c:pt>
                <c:pt idx="18">
                  <c:v>68.5211392405063</c:v>
                </c:pt>
                <c:pt idx="19">
                  <c:v>69.1262025316456</c:v>
                </c:pt>
                <c:pt idx="20">
                  <c:v>69.7312658227848</c:v>
                </c:pt>
                <c:pt idx="21">
                  <c:v>70.3363291139241</c:v>
                </c:pt>
                <c:pt idx="22">
                  <c:v>70.9413924050633</c:v>
                </c:pt>
                <c:pt idx="23">
                  <c:v>71.5464556962025</c:v>
                </c:pt>
                <c:pt idx="24">
                  <c:v>72.1515189873418</c:v>
                </c:pt>
                <c:pt idx="25">
                  <c:v>72.756582278481</c:v>
                </c:pt>
                <c:pt idx="26">
                  <c:v>73.3616455696203</c:v>
                </c:pt>
                <c:pt idx="27">
                  <c:v>73.9667088607595</c:v>
                </c:pt>
                <c:pt idx="28">
                  <c:v>74.5717721518987</c:v>
                </c:pt>
                <c:pt idx="29">
                  <c:v>75.176835443038</c:v>
                </c:pt>
                <c:pt idx="30">
                  <c:v>75.7818987341772</c:v>
                </c:pt>
                <c:pt idx="31">
                  <c:v>76.3869620253165</c:v>
                </c:pt>
                <c:pt idx="32">
                  <c:v>76.9920253164557</c:v>
                </c:pt>
                <c:pt idx="33">
                  <c:v>77.5970886075949</c:v>
                </c:pt>
                <c:pt idx="34">
                  <c:v>78.2021518987342</c:v>
                </c:pt>
                <c:pt idx="35">
                  <c:v>78.8072151898734</c:v>
                </c:pt>
                <c:pt idx="36">
                  <c:v>79.4122784810127</c:v>
                </c:pt>
                <c:pt idx="37">
                  <c:v>80.0173417721519</c:v>
                </c:pt>
                <c:pt idx="38">
                  <c:v>80.6224050632911</c:v>
                </c:pt>
                <c:pt idx="39">
                  <c:v>81.2274683544304</c:v>
                </c:pt>
                <c:pt idx="40">
                  <c:v>81.8325316455696</c:v>
                </c:pt>
                <c:pt idx="41">
                  <c:v>82.4375949367089</c:v>
                </c:pt>
                <c:pt idx="42">
                  <c:v>83.0426582278481</c:v>
                </c:pt>
                <c:pt idx="43">
                  <c:v>83.6477215189873</c:v>
                </c:pt>
                <c:pt idx="44">
                  <c:v>84.2527848101266</c:v>
                </c:pt>
                <c:pt idx="45">
                  <c:v>84.8578481012658</c:v>
                </c:pt>
                <c:pt idx="46">
                  <c:v>85.4629113924051</c:v>
                </c:pt>
                <c:pt idx="47">
                  <c:v>86.0679746835443</c:v>
                </c:pt>
                <c:pt idx="48">
                  <c:v>86.6730379746835</c:v>
                </c:pt>
                <c:pt idx="49">
                  <c:v>87.2781012658228</c:v>
                </c:pt>
                <c:pt idx="50">
                  <c:v>87.883164556962</c:v>
                </c:pt>
                <c:pt idx="51">
                  <c:v>88.4882278481013</c:v>
                </c:pt>
                <c:pt idx="52">
                  <c:v>89.0932911392405</c:v>
                </c:pt>
                <c:pt idx="53">
                  <c:v>89.6983544303797</c:v>
                </c:pt>
                <c:pt idx="54">
                  <c:v>90.303417721519</c:v>
                </c:pt>
                <c:pt idx="55">
                  <c:v>90.9084810126582</c:v>
                </c:pt>
                <c:pt idx="56">
                  <c:v>91.5135443037975</c:v>
                </c:pt>
                <c:pt idx="57">
                  <c:v>92.1186075949367</c:v>
                </c:pt>
                <c:pt idx="58">
                  <c:v>92.723670886076</c:v>
                </c:pt>
                <c:pt idx="59">
                  <c:v>93.3287341772152</c:v>
                </c:pt>
                <c:pt idx="60">
                  <c:v>93.9337974683544</c:v>
                </c:pt>
                <c:pt idx="61">
                  <c:v>94.5388607594937</c:v>
                </c:pt>
                <c:pt idx="62">
                  <c:v>95.1439240506329</c:v>
                </c:pt>
                <c:pt idx="63">
                  <c:v>95.7489873417722</c:v>
                </c:pt>
                <c:pt idx="64">
                  <c:v>96.3540506329114</c:v>
                </c:pt>
                <c:pt idx="65">
                  <c:v>96.9591139240506</c:v>
                </c:pt>
                <c:pt idx="66">
                  <c:v>97.5641772151899</c:v>
                </c:pt>
                <c:pt idx="67">
                  <c:v>98.1692405063291</c:v>
                </c:pt>
                <c:pt idx="68">
                  <c:v>98.7743037974684</c:v>
                </c:pt>
                <c:pt idx="69">
                  <c:v>99.3793670886076</c:v>
                </c:pt>
                <c:pt idx="70">
                  <c:v>99.9844303797468</c:v>
                </c:pt>
                <c:pt idx="71">
                  <c:v>100.589493670886</c:v>
                </c:pt>
                <c:pt idx="72">
                  <c:v>101.194556962025</c:v>
                </c:pt>
                <c:pt idx="73">
                  <c:v>101.799620253165</c:v>
                </c:pt>
                <c:pt idx="74">
                  <c:v>102.404683544304</c:v>
                </c:pt>
                <c:pt idx="75">
                  <c:v>103.009746835443</c:v>
                </c:pt>
                <c:pt idx="76">
                  <c:v>103.614810126582</c:v>
                </c:pt>
                <c:pt idx="77">
                  <c:v>104.219873417722</c:v>
                </c:pt>
                <c:pt idx="78">
                  <c:v>104.824936708861</c:v>
                </c:pt>
                <c:pt idx="79">
                  <c:v>105.43</c:v>
                </c:pt>
                <c:pt idx="80">
                  <c:v>106.035063291139</c:v>
                </c:pt>
                <c:pt idx="81">
                  <c:v>106.640126582278</c:v>
                </c:pt>
                <c:pt idx="82">
                  <c:v>107.245189873418</c:v>
                </c:pt>
                <c:pt idx="83">
                  <c:v>107.850253164557</c:v>
                </c:pt>
                <c:pt idx="84">
                  <c:v>108.455316455696</c:v>
                </c:pt>
                <c:pt idx="85">
                  <c:v>109.060379746835</c:v>
                </c:pt>
                <c:pt idx="86">
                  <c:v>109.665443037975</c:v>
                </c:pt>
                <c:pt idx="87">
                  <c:v>110.270506329114</c:v>
                </c:pt>
                <c:pt idx="88">
                  <c:v>110.875569620253</c:v>
                </c:pt>
                <c:pt idx="89">
                  <c:v>111.480632911392</c:v>
                </c:pt>
                <c:pt idx="90">
                  <c:v>112.085696202532</c:v>
                </c:pt>
                <c:pt idx="91">
                  <c:v>112.690759493671</c:v>
                </c:pt>
                <c:pt idx="92">
                  <c:v>113.29582278481</c:v>
                </c:pt>
                <c:pt idx="93">
                  <c:v>113.900886075949</c:v>
                </c:pt>
                <c:pt idx="94">
                  <c:v>114.505949367089</c:v>
                </c:pt>
                <c:pt idx="95">
                  <c:v>115.111012658228</c:v>
                </c:pt>
                <c:pt idx="96">
                  <c:v>115.716075949367</c:v>
                </c:pt>
                <c:pt idx="97">
                  <c:v>116.321139240506</c:v>
                </c:pt>
                <c:pt idx="98">
                  <c:v>116.926202531646</c:v>
                </c:pt>
                <c:pt idx="99">
                  <c:v>117.531265822785</c:v>
                </c:pt>
                <c:pt idx="100">
                  <c:v>118.136329113924</c:v>
                </c:pt>
                <c:pt idx="101">
                  <c:v>118.741392405063</c:v>
                </c:pt>
                <c:pt idx="102">
                  <c:v>119.346455696203</c:v>
                </c:pt>
                <c:pt idx="103">
                  <c:v>119.951518987342</c:v>
                </c:pt>
                <c:pt idx="104">
                  <c:v>120.556582278481</c:v>
                </c:pt>
                <c:pt idx="105">
                  <c:v>121.16164556962</c:v>
                </c:pt>
                <c:pt idx="106">
                  <c:v>121.766708860759</c:v>
                </c:pt>
                <c:pt idx="107">
                  <c:v>122.371772151899</c:v>
                </c:pt>
                <c:pt idx="108">
                  <c:v>122.976835443038</c:v>
                </c:pt>
                <c:pt idx="109">
                  <c:v>123.581898734177</c:v>
                </c:pt>
                <c:pt idx="110">
                  <c:v>124.186962025316</c:v>
                </c:pt>
                <c:pt idx="111">
                  <c:v>124.792025316456</c:v>
                </c:pt>
                <c:pt idx="112">
                  <c:v>125.397088607595</c:v>
                </c:pt>
                <c:pt idx="113">
                  <c:v>126.002151898734</c:v>
                </c:pt>
                <c:pt idx="114">
                  <c:v>126.607215189873</c:v>
                </c:pt>
                <c:pt idx="115">
                  <c:v>127.212278481013</c:v>
                </c:pt>
                <c:pt idx="116">
                  <c:v>127.817341772152</c:v>
                </c:pt>
                <c:pt idx="117">
                  <c:v>128.422405063291</c:v>
                </c:pt>
                <c:pt idx="118">
                  <c:v>129.02746835443</c:v>
                </c:pt>
                <c:pt idx="119">
                  <c:v>129.63253164557</c:v>
                </c:pt>
                <c:pt idx="120">
                  <c:v>130.237594936709</c:v>
                </c:pt>
                <c:pt idx="121">
                  <c:v>130.842658227848</c:v>
                </c:pt>
                <c:pt idx="122">
                  <c:v>131.447721518987</c:v>
                </c:pt>
                <c:pt idx="123">
                  <c:v>132.052784810127</c:v>
                </c:pt>
                <c:pt idx="124">
                  <c:v>132.657848101266</c:v>
                </c:pt>
                <c:pt idx="125">
                  <c:v>133.262911392405</c:v>
                </c:pt>
                <c:pt idx="126">
                  <c:v>133.867974683544</c:v>
                </c:pt>
                <c:pt idx="127">
                  <c:v>134.473037974684</c:v>
                </c:pt>
                <c:pt idx="128">
                  <c:v>135.078101265823</c:v>
                </c:pt>
                <c:pt idx="129">
                  <c:v>135.683164556962</c:v>
                </c:pt>
                <c:pt idx="130">
                  <c:v>136.288227848101</c:v>
                </c:pt>
                <c:pt idx="131">
                  <c:v>136.893291139241</c:v>
                </c:pt>
                <c:pt idx="132">
                  <c:v>137.49835443038</c:v>
                </c:pt>
                <c:pt idx="133">
                  <c:v>138.103417721519</c:v>
                </c:pt>
                <c:pt idx="134">
                  <c:v>138.708481012658</c:v>
                </c:pt>
                <c:pt idx="135">
                  <c:v>139.313544303797</c:v>
                </c:pt>
                <c:pt idx="136">
                  <c:v>139.918607594937</c:v>
                </c:pt>
                <c:pt idx="137">
                  <c:v>140.523670886076</c:v>
                </c:pt>
                <c:pt idx="138">
                  <c:v>141.128734177215</c:v>
                </c:pt>
                <c:pt idx="139">
                  <c:v>141.733797468354</c:v>
                </c:pt>
                <c:pt idx="140">
                  <c:v>142.338860759494</c:v>
                </c:pt>
                <c:pt idx="141">
                  <c:v>142.943924050633</c:v>
                </c:pt>
                <c:pt idx="142">
                  <c:v>143.548987341772</c:v>
                </c:pt>
                <c:pt idx="143">
                  <c:v>144.154050632911</c:v>
                </c:pt>
                <c:pt idx="144">
                  <c:v>144.759113924051</c:v>
                </c:pt>
                <c:pt idx="145">
                  <c:v>145.36417721519</c:v>
                </c:pt>
                <c:pt idx="146">
                  <c:v>145.969240506329</c:v>
                </c:pt>
                <c:pt idx="147">
                  <c:v>146.574303797468</c:v>
                </c:pt>
                <c:pt idx="148">
                  <c:v>147.179367088608</c:v>
                </c:pt>
                <c:pt idx="149">
                  <c:v>147.784430379747</c:v>
                </c:pt>
                <c:pt idx="150">
                  <c:v>148.389493670886</c:v>
                </c:pt>
                <c:pt idx="151">
                  <c:v>148.994556962025</c:v>
                </c:pt>
                <c:pt idx="152">
                  <c:v>149.599620253165</c:v>
                </c:pt>
                <c:pt idx="153">
                  <c:v>150.204683544304</c:v>
                </c:pt>
                <c:pt idx="154">
                  <c:v>150.809746835443</c:v>
                </c:pt>
                <c:pt idx="155">
                  <c:v>151.414810126582</c:v>
                </c:pt>
                <c:pt idx="156">
                  <c:v>152.019873417722</c:v>
                </c:pt>
                <c:pt idx="157">
                  <c:v>152.624936708861</c:v>
                </c:pt>
                <c:pt idx="158">
                  <c:v>153.23</c:v>
                </c:pt>
                <c:pt idx="159">
                  <c:v>153.835063291139</c:v>
                </c:pt>
              </c:numCache>
            </c:numRef>
          </c:val>
          <c:smooth val="0"/>
        </c:ser>
        <c:hiLowLines>
          <c:spPr>
            <a:ln w="0">
              <a:noFill/>
            </a:ln>
          </c:spPr>
        </c:hiLowLines>
        <c:marker val="0"/>
        <c:axId val="21817294"/>
        <c:axId val="71854556"/>
      </c:lineChart>
      <c:dateAx>
        <c:axId val="6301001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360100"/>
        <c:auto val="1"/>
        <c:lblOffset val="100"/>
        <c:baseTimeUnit val="days"/>
      </c:dateAx>
      <c:valAx>
        <c:axId val="2236010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010013"/>
        <c:crosses val="autoZero"/>
        <c:crossBetween val="between"/>
      </c:valAx>
      <c:dateAx>
        <c:axId val="2181729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854556"/>
        <c:auto val="1"/>
        <c:lblOffset val="100"/>
        <c:baseTimeUnit val="days"/>
      </c:dateAx>
      <c:valAx>
        <c:axId val="7185455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81729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(Calc)'!$T$3:$T$500</c:f>
              <c:numCache>
                <c:formatCode>0.0%</c:formatCode>
                <c:ptCount val="498"/>
                <c:pt idx="0">
                  <c:v>-0.0146592709984151</c:v>
                </c:pt>
                <c:pt idx="1">
                  <c:v>0.00281463610776034</c:v>
                </c:pt>
                <c:pt idx="2">
                  <c:v>-0.0188452285485166</c:v>
                </c:pt>
                <c:pt idx="3">
                  <c:v>0.0143032284429914</c:v>
                </c:pt>
                <c:pt idx="4">
                  <c:v>-0.0124899274778404</c:v>
                </c:pt>
                <c:pt idx="5">
                  <c:v>-0.0330477356181151</c:v>
                </c:pt>
                <c:pt idx="6">
                  <c:v>0.0586497890295359</c:v>
                </c:pt>
                <c:pt idx="7">
                  <c:v>-0.00637704264647265</c:v>
                </c:pt>
                <c:pt idx="8">
                  <c:v>0.0256718812675492</c:v>
                </c:pt>
                <c:pt idx="9">
                  <c:v>0.00703949941337512</c:v>
                </c:pt>
                <c:pt idx="10">
                  <c:v>0.0135922330097087</c:v>
                </c:pt>
                <c:pt idx="11">
                  <c:v>0.00881226053639828</c:v>
                </c:pt>
                <c:pt idx="12">
                  <c:v>0.0277250284846182</c:v>
                </c:pt>
                <c:pt idx="13">
                  <c:v>0.0121951219512195</c:v>
                </c:pt>
                <c:pt idx="14">
                  <c:v>-0.00219058050383358</c:v>
                </c:pt>
                <c:pt idx="15">
                  <c:v>0.000731796560556219</c:v>
                </c:pt>
                <c:pt idx="16">
                  <c:v>-0.00219378427787942</c:v>
                </c:pt>
                <c:pt idx="17">
                  <c:v>-0.00952729937706109</c:v>
                </c:pt>
                <c:pt idx="18">
                  <c:v>0.00813910469848311</c:v>
                </c:pt>
                <c:pt idx="19">
                  <c:v>0.00954128440366975</c:v>
                </c:pt>
                <c:pt idx="20">
                  <c:v>0.00508905852417296</c:v>
                </c:pt>
                <c:pt idx="21">
                  <c:v>0.00831826401446656</c:v>
                </c:pt>
                <c:pt idx="22">
                  <c:v>0.0218794835007174</c:v>
                </c:pt>
                <c:pt idx="23">
                  <c:v>0.0217620217620218</c:v>
                </c:pt>
                <c:pt idx="24">
                  <c:v>0.0199244245963588</c:v>
                </c:pt>
                <c:pt idx="25">
                  <c:v>0.0154934321320308</c:v>
                </c:pt>
                <c:pt idx="26">
                  <c:v>0.0242122719734661</c:v>
                </c:pt>
                <c:pt idx="27">
                  <c:v>0.0155440414507773</c:v>
                </c:pt>
                <c:pt idx="28">
                  <c:v>-0.00255102040816324</c:v>
                </c:pt>
                <c:pt idx="29">
                  <c:v>-0.0255754475703325</c:v>
                </c:pt>
                <c:pt idx="30">
                  <c:v>-0.0177165354330708</c:v>
                </c:pt>
                <c:pt idx="31">
                  <c:v>0.0123580494321975</c:v>
                </c:pt>
                <c:pt idx="32">
                  <c:v>-0.0155064335202902</c:v>
                </c:pt>
                <c:pt idx="33">
                  <c:v>0.0224530831099197</c:v>
                </c:pt>
                <c:pt idx="34">
                  <c:v>0.0095050803015404</c:v>
                </c:pt>
                <c:pt idx="35">
                  <c:v>-0.0172077922077922</c:v>
                </c:pt>
                <c:pt idx="36">
                  <c:v>0.0115626032375289</c:v>
                </c:pt>
                <c:pt idx="37">
                  <c:v>-0.0212279555845853</c:v>
                </c:pt>
                <c:pt idx="38">
                  <c:v>-0.00200200200200196</c:v>
                </c:pt>
                <c:pt idx="39">
                  <c:v>0.0096957539284519</c:v>
                </c:pt>
                <c:pt idx="40">
                  <c:v>-0.00662251655629131</c:v>
                </c:pt>
                <c:pt idx="41">
                  <c:v>-0.0196666666666666</c:v>
                </c:pt>
                <c:pt idx="42">
                  <c:v>0.0384223053383204</c:v>
                </c:pt>
                <c:pt idx="43">
                  <c:v>0.0150622134905043</c:v>
                </c:pt>
                <c:pt idx="44">
                  <c:v>0.0180645161290323</c:v>
                </c:pt>
                <c:pt idx="45">
                  <c:v>-0.0288339670468948</c:v>
                </c:pt>
                <c:pt idx="46">
                  <c:v>-0.000978792822185937</c:v>
                </c:pt>
                <c:pt idx="47">
                  <c:v>0.0163291966035271</c:v>
                </c:pt>
                <c:pt idx="48">
                  <c:v>0.0327763496143958</c:v>
                </c:pt>
                <c:pt idx="49">
                  <c:v>0.00311138767890484</c:v>
                </c:pt>
                <c:pt idx="50">
                  <c:v>-0.0412531017369727</c:v>
                </c:pt>
                <c:pt idx="51">
                  <c:v>0.025558071821417</c:v>
                </c:pt>
                <c:pt idx="52">
                  <c:v>0.0173501577287067</c:v>
                </c:pt>
                <c:pt idx="53">
                  <c:v>0.00217054263565886</c:v>
                </c:pt>
                <c:pt idx="54">
                  <c:v>0.0185643564356437</c:v>
                </c:pt>
                <c:pt idx="55">
                  <c:v>0.00425273390036463</c:v>
                </c:pt>
                <c:pt idx="56">
                  <c:v>-0.00483968542044777</c:v>
                </c:pt>
                <c:pt idx="57">
                  <c:v>-0.0191489361702126</c:v>
                </c:pt>
                <c:pt idx="58">
                  <c:v>0.000619770684846532</c:v>
                </c:pt>
                <c:pt idx="59">
                  <c:v>0.0774233508826263</c:v>
                </c:pt>
                <c:pt idx="60">
                  <c:v>-0.0152342627191722</c:v>
                </c:pt>
                <c:pt idx="61">
                  <c:v>0.0385288966725044</c:v>
                </c:pt>
                <c:pt idx="62">
                  <c:v>0.00196739741427776</c:v>
                </c:pt>
                <c:pt idx="63">
                  <c:v>-0.000841514726507731</c:v>
                </c:pt>
                <c:pt idx="64">
                  <c:v>-0.0415496911847276</c:v>
                </c:pt>
                <c:pt idx="65">
                  <c:v>-0.0304628002343292</c:v>
                </c:pt>
                <c:pt idx="66">
                  <c:v>0.00936555891238666</c:v>
                </c:pt>
                <c:pt idx="67">
                  <c:v>0.00748278958395687</c:v>
                </c:pt>
                <c:pt idx="68">
                  <c:v>0</c:v>
                </c:pt>
                <c:pt idx="69">
                  <c:v>0.0386215092097446</c:v>
                </c:pt>
                <c:pt idx="70">
                  <c:v>0.00257437070938193</c:v>
                </c:pt>
                <c:pt idx="71">
                  <c:v>-0.0102710413694722</c:v>
                </c:pt>
                <c:pt idx="72">
                  <c:v>-0.0074949553185355</c:v>
                </c:pt>
                <c:pt idx="73">
                  <c:v>0.01161777519605</c:v>
                </c:pt>
                <c:pt idx="74">
                  <c:v>-0.00344530577088709</c:v>
                </c:pt>
                <c:pt idx="75">
                  <c:v>-0.00460962258715081</c:v>
                </c:pt>
                <c:pt idx="76">
                  <c:v>-0.0144717800289436</c:v>
                </c:pt>
                <c:pt idx="77">
                  <c:v>-0.0187958883994126</c:v>
                </c:pt>
                <c:pt idx="78">
                  <c:v>0.0170607602514217</c:v>
                </c:pt>
                <c:pt idx="79">
                  <c:v>-0.0164802825191288</c:v>
                </c:pt>
                <c:pt idx="80">
                  <c:v>-0.0924596050269301</c:v>
                </c:pt>
                <c:pt idx="81">
                  <c:v>0.0211012199142764</c:v>
                </c:pt>
                <c:pt idx="82">
                  <c:v>0.00678075556990643</c:v>
                </c:pt>
                <c:pt idx="83">
                  <c:v>0.033033996151379</c:v>
                </c:pt>
                <c:pt idx="84">
                  <c:v>0.0192486805339955</c:v>
                </c:pt>
                <c:pt idx="85">
                  <c:v>-0.00152299725860483</c:v>
                </c:pt>
                <c:pt idx="86">
                  <c:v>0.0430140329469189</c:v>
                </c:pt>
                <c:pt idx="87">
                  <c:v>-0.0348054986838257</c:v>
                </c:pt>
                <c:pt idx="88">
                  <c:v>0.00787878787878782</c:v>
                </c:pt>
                <c:pt idx="89">
                  <c:v>0.0234515935057127</c:v>
                </c:pt>
                <c:pt idx="90">
                  <c:v>0.0132197414806112</c:v>
                </c:pt>
                <c:pt idx="91">
                  <c:v>-0.00115975645114519</c:v>
                </c:pt>
                <c:pt idx="92">
                  <c:v>0.00870827285921627</c:v>
                </c:pt>
                <c:pt idx="93">
                  <c:v>0.0123741007194245</c:v>
                </c:pt>
                <c:pt idx="94">
                  <c:v>0.00255827174530987</c:v>
                </c:pt>
                <c:pt idx="95">
                  <c:v>-0.0212645307626879</c:v>
                </c:pt>
                <c:pt idx="96">
                  <c:v>0.0220162224797218</c:v>
                </c:pt>
                <c:pt idx="97">
                  <c:v>-0.0419501133786849</c:v>
                </c:pt>
                <c:pt idx="98">
                  <c:v>0.0100591715976333</c:v>
                </c:pt>
                <c:pt idx="99">
                  <c:v>0.0395430579964851</c:v>
                </c:pt>
                <c:pt idx="100">
                  <c:v>0.0259227951535643</c:v>
                </c:pt>
                <c:pt idx="101">
                  <c:v>0.00906344410876159</c:v>
                </c:pt>
                <c:pt idx="102">
                  <c:v>0.00762112139357662</c:v>
                </c:pt>
                <c:pt idx="103">
                  <c:v>0.000810372771474777</c:v>
                </c:pt>
                <c:pt idx="104">
                  <c:v>-0.00134952766531704</c:v>
                </c:pt>
                <c:pt idx="105">
                  <c:v>0.00783783783783787</c:v>
                </c:pt>
                <c:pt idx="106">
                  <c:v>0.00348618932689737</c:v>
                </c:pt>
                <c:pt idx="107">
                  <c:v>-0.0331373597006949</c:v>
                </c:pt>
                <c:pt idx="108">
                  <c:v>0.0140961857379767</c:v>
                </c:pt>
                <c:pt idx="109">
                  <c:v>0.0258926137912239</c:v>
                </c:pt>
                <c:pt idx="110">
                  <c:v>-0.00611052072263563</c:v>
                </c:pt>
                <c:pt idx="111">
                  <c:v>0.00213846565089559</c:v>
                </c:pt>
                <c:pt idx="112">
                  <c:v>0.0112029874633235</c:v>
                </c:pt>
                <c:pt idx="113">
                  <c:v>-0.0200474808757584</c:v>
                </c:pt>
                <c:pt idx="114">
                  <c:v>0.0341857335127862</c:v>
                </c:pt>
                <c:pt idx="115">
                  <c:v>0.0156168662155127</c:v>
                </c:pt>
                <c:pt idx="116">
                  <c:v>0.0107637109174781</c:v>
                </c:pt>
                <c:pt idx="117">
                  <c:v>-0.00431034482758608</c:v>
                </c:pt>
                <c:pt idx="118">
                  <c:v>0.00662083015024195</c:v>
                </c:pt>
                <c:pt idx="119">
                  <c:v>-0.00935997976220604</c:v>
                </c:pt>
                <c:pt idx="120">
                  <c:v>0.025791624106231</c:v>
                </c:pt>
                <c:pt idx="121">
                  <c:v>-0.0204132437142146</c:v>
                </c:pt>
                <c:pt idx="122">
                  <c:v>0.00635324015247774</c:v>
                </c:pt>
                <c:pt idx="123">
                  <c:v>-0.00984848484848488</c:v>
                </c:pt>
                <c:pt idx="124">
                  <c:v>0.0244835501147667</c:v>
                </c:pt>
                <c:pt idx="125">
                  <c:v>-0.0042320139407519</c:v>
                </c:pt>
                <c:pt idx="126">
                  <c:v>0.002</c:v>
                </c:pt>
                <c:pt idx="127">
                  <c:v>0.00349301397205593</c:v>
                </c:pt>
                <c:pt idx="128">
                  <c:v>-0.00919940328194924</c:v>
                </c:pt>
                <c:pt idx="129">
                  <c:v>-0.0215809284818067</c:v>
                </c:pt>
                <c:pt idx="130">
                  <c:v>0.00102590407796876</c:v>
                </c:pt>
                <c:pt idx="131">
                  <c:v>-0.0122982321291315</c:v>
                </c:pt>
                <c:pt idx="132">
                  <c:v>0.0280155642023348</c:v>
                </c:pt>
                <c:pt idx="133">
                  <c:v>-0.00428967953570536</c:v>
                </c:pt>
                <c:pt idx="134">
                  <c:v>0.0534718702483528</c:v>
                </c:pt>
                <c:pt idx="135">
                  <c:v>-0.00553283617993738</c:v>
                </c:pt>
                <c:pt idx="136">
                  <c:v>0.0256410256410256</c:v>
                </c:pt>
                <c:pt idx="137">
                  <c:v>0.0245283018867923</c:v>
                </c:pt>
                <c:pt idx="138">
                  <c:v>-0.0257826887661141</c:v>
                </c:pt>
                <c:pt idx="139">
                  <c:v>0.0396975425330812</c:v>
                </c:pt>
                <c:pt idx="140">
                  <c:v>0.0540909090909092</c:v>
                </c:pt>
                <c:pt idx="141">
                  <c:v>-0.011211729193618</c:v>
                </c:pt>
                <c:pt idx="142">
                  <c:v>0.00610553859572605</c:v>
                </c:pt>
                <c:pt idx="143">
                  <c:v>-0.0223233636757694</c:v>
                </c:pt>
                <c:pt idx="144">
                  <c:v>0.0206162713367324</c:v>
                </c:pt>
                <c:pt idx="145">
                  <c:v>0.0175933970460469</c:v>
                </c:pt>
                <c:pt idx="146">
                  <c:v>0.0089647812166489</c:v>
                </c:pt>
                <c:pt idx="147">
                  <c:v>0.00867357732176854</c:v>
                </c:pt>
                <c:pt idx="148">
                  <c:v>0.00692114093959728</c:v>
                </c:pt>
                <c:pt idx="149">
                  <c:v>0.0333263903353469</c:v>
                </c:pt>
                <c:pt idx="150">
                  <c:v>0.0352751461398912</c:v>
                </c:pt>
                <c:pt idx="151">
                  <c:v>0.043613707165109</c:v>
                </c:pt>
                <c:pt idx="152">
                  <c:v>0.0324626865671642</c:v>
                </c:pt>
                <c:pt idx="153">
                  <c:v>0.00379472352728572</c:v>
                </c:pt>
                <c:pt idx="154">
                  <c:v>-0.00666066606660665</c:v>
                </c:pt>
                <c:pt idx="155">
                  <c:v>-0.0235592606016672</c:v>
                </c:pt>
                <c:pt idx="156">
                  <c:v>-0.016332590942836</c:v>
                </c:pt>
                <c:pt idx="157">
                  <c:v>-0.0264150943396226</c:v>
                </c:pt>
                <c:pt idx="158">
                  <c:v>0.00426356589147292</c:v>
                </c:pt>
              </c:numCache>
            </c:numRef>
          </c:val>
        </c:ser>
        <c:gapWidth val="150"/>
        <c:overlap val="0"/>
        <c:axId val="98397746"/>
        <c:axId val="52801015"/>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(Calc)'!$AN$3:$AN$500</c:f>
              <c:numCache>
                <c:formatCode>#,##0.00</c:formatCode>
                <c:ptCount val="498"/>
                <c:pt idx="0">
                  <c:v>25.24</c:v>
                </c:pt>
                <c:pt idx="1">
                  <c:v>25.4082278481013</c:v>
                </c:pt>
                <c:pt idx="2">
                  <c:v>25.5764556962025</c:v>
                </c:pt>
                <c:pt idx="3">
                  <c:v>25.7446835443038</c:v>
                </c:pt>
                <c:pt idx="4">
                  <c:v>25.9129113924051</c:v>
                </c:pt>
                <c:pt idx="5">
                  <c:v>26.0811392405063</c:v>
                </c:pt>
                <c:pt idx="6">
                  <c:v>26.2493670886076</c:v>
                </c:pt>
                <c:pt idx="7">
                  <c:v>26.4175949367089</c:v>
                </c:pt>
                <c:pt idx="8">
                  <c:v>26.5858227848101</c:v>
                </c:pt>
                <c:pt idx="9">
                  <c:v>26.7540506329114</c:v>
                </c:pt>
                <c:pt idx="10">
                  <c:v>26.9222784810127</c:v>
                </c:pt>
                <c:pt idx="11">
                  <c:v>27.0905063291139</c:v>
                </c:pt>
                <c:pt idx="12">
                  <c:v>27.2587341772152</c:v>
                </c:pt>
                <c:pt idx="13">
                  <c:v>27.4269620253165</c:v>
                </c:pt>
                <c:pt idx="14">
                  <c:v>27.5951898734177</c:v>
                </c:pt>
                <c:pt idx="15">
                  <c:v>27.763417721519</c:v>
                </c:pt>
                <c:pt idx="16">
                  <c:v>27.9316455696203</c:v>
                </c:pt>
                <c:pt idx="17">
                  <c:v>28.0998734177215</c:v>
                </c:pt>
                <c:pt idx="18">
                  <c:v>28.2681012658228</c:v>
                </c:pt>
                <c:pt idx="19">
                  <c:v>28.4363291139241</c:v>
                </c:pt>
                <c:pt idx="20">
                  <c:v>28.6045569620253</c:v>
                </c:pt>
                <c:pt idx="21">
                  <c:v>28.7727848101266</c:v>
                </c:pt>
                <c:pt idx="22">
                  <c:v>28.9410126582278</c:v>
                </c:pt>
                <c:pt idx="23">
                  <c:v>29.1092405063291</c:v>
                </c:pt>
                <c:pt idx="24">
                  <c:v>29.2774683544304</c:v>
                </c:pt>
                <c:pt idx="25">
                  <c:v>29.4456962025316</c:v>
                </c:pt>
                <c:pt idx="26">
                  <c:v>29.6139240506329</c:v>
                </c:pt>
                <c:pt idx="27">
                  <c:v>29.7821518987342</c:v>
                </c:pt>
                <c:pt idx="28">
                  <c:v>29.9503797468354</c:v>
                </c:pt>
                <c:pt idx="29">
                  <c:v>30.1186075949367</c:v>
                </c:pt>
                <c:pt idx="30">
                  <c:v>30.286835443038</c:v>
                </c:pt>
                <c:pt idx="31">
                  <c:v>30.4550632911392</c:v>
                </c:pt>
                <c:pt idx="32">
                  <c:v>30.6232911392405</c:v>
                </c:pt>
                <c:pt idx="33">
                  <c:v>30.7915189873418</c:v>
                </c:pt>
                <c:pt idx="34">
                  <c:v>30.959746835443</c:v>
                </c:pt>
                <c:pt idx="35">
                  <c:v>31.1279746835443</c:v>
                </c:pt>
                <c:pt idx="36">
                  <c:v>31.2962025316456</c:v>
                </c:pt>
                <c:pt idx="37">
                  <c:v>31.4644303797468</c:v>
                </c:pt>
                <c:pt idx="38">
                  <c:v>31.6326582278481</c:v>
                </c:pt>
                <c:pt idx="39">
                  <c:v>31.8008860759494</c:v>
                </c:pt>
                <c:pt idx="40">
                  <c:v>31.9691139240506</c:v>
                </c:pt>
                <c:pt idx="41">
                  <c:v>32.1373417721519</c:v>
                </c:pt>
                <c:pt idx="42">
                  <c:v>32.3055696202532</c:v>
                </c:pt>
                <c:pt idx="43">
                  <c:v>32.4737974683544</c:v>
                </c:pt>
                <c:pt idx="44">
                  <c:v>32.6420253164557</c:v>
                </c:pt>
                <c:pt idx="45">
                  <c:v>32.810253164557</c:v>
                </c:pt>
                <c:pt idx="46">
                  <c:v>32.9784810126582</c:v>
                </c:pt>
                <c:pt idx="47">
                  <c:v>33.1467088607595</c:v>
                </c:pt>
                <c:pt idx="48">
                  <c:v>33.3149367088608</c:v>
                </c:pt>
                <c:pt idx="49">
                  <c:v>33.483164556962</c:v>
                </c:pt>
                <c:pt idx="50">
                  <c:v>33.6513924050633</c:v>
                </c:pt>
                <c:pt idx="51">
                  <c:v>33.8196202531646</c:v>
                </c:pt>
                <c:pt idx="52">
                  <c:v>33.9878481012658</c:v>
                </c:pt>
                <c:pt idx="53">
                  <c:v>34.1560759493671</c:v>
                </c:pt>
                <c:pt idx="54">
                  <c:v>34.3243037974684</c:v>
                </c:pt>
                <c:pt idx="55">
                  <c:v>34.4925316455696</c:v>
                </c:pt>
                <c:pt idx="56">
                  <c:v>34.6607594936709</c:v>
                </c:pt>
                <c:pt idx="57">
                  <c:v>34.8289873417722</c:v>
                </c:pt>
                <c:pt idx="58">
                  <c:v>34.9972151898734</c:v>
                </c:pt>
                <c:pt idx="59">
                  <c:v>35.1654430379747</c:v>
                </c:pt>
                <c:pt idx="60">
                  <c:v>35.333670886076</c:v>
                </c:pt>
                <c:pt idx="61">
                  <c:v>35.5018987341772</c:v>
                </c:pt>
                <c:pt idx="62">
                  <c:v>35.6701265822785</c:v>
                </c:pt>
                <c:pt idx="63">
                  <c:v>35.8383544303797</c:v>
                </c:pt>
                <c:pt idx="64">
                  <c:v>36.006582278481</c:v>
                </c:pt>
                <c:pt idx="65">
                  <c:v>36.1748101265823</c:v>
                </c:pt>
                <c:pt idx="66">
                  <c:v>36.3430379746835</c:v>
                </c:pt>
                <c:pt idx="67">
                  <c:v>36.5112658227848</c:v>
                </c:pt>
                <c:pt idx="68">
                  <c:v>36.6794936708861</c:v>
                </c:pt>
                <c:pt idx="69">
                  <c:v>36.8477215189873</c:v>
                </c:pt>
                <c:pt idx="70">
                  <c:v>37.0159493670886</c:v>
                </c:pt>
                <c:pt idx="71">
                  <c:v>37.1841772151899</c:v>
                </c:pt>
                <c:pt idx="72">
                  <c:v>37.3524050632911</c:v>
                </c:pt>
                <c:pt idx="73">
                  <c:v>37.5206329113924</c:v>
                </c:pt>
                <c:pt idx="74">
                  <c:v>37.6888607594937</c:v>
                </c:pt>
                <c:pt idx="75">
                  <c:v>37.8570886075949</c:v>
                </c:pt>
                <c:pt idx="76">
                  <c:v>38.0253164556962</c:v>
                </c:pt>
                <c:pt idx="77">
                  <c:v>38.1935443037975</c:v>
                </c:pt>
                <c:pt idx="78">
                  <c:v>38.3617721518987</c:v>
                </c:pt>
                <c:pt idx="79">
                  <c:v>38.53</c:v>
                </c:pt>
                <c:pt idx="80">
                  <c:v>38.6982278481013</c:v>
                </c:pt>
                <c:pt idx="81">
                  <c:v>38.8664556962025</c:v>
                </c:pt>
                <c:pt idx="82">
                  <c:v>39.0346835443038</c:v>
                </c:pt>
                <c:pt idx="83">
                  <c:v>39.2029113924051</c:v>
                </c:pt>
                <c:pt idx="84">
                  <c:v>39.3711392405063</c:v>
                </c:pt>
                <c:pt idx="85">
                  <c:v>39.5393670886076</c:v>
                </c:pt>
                <c:pt idx="86">
                  <c:v>39.7075949367089</c:v>
                </c:pt>
                <c:pt idx="87">
                  <c:v>39.8758227848101</c:v>
                </c:pt>
                <c:pt idx="88">
                  <c:v>40.0440506329114</c:v>
                </c:pt>
                <c:pt idx="89">
                  <c:v>40.2122784810127</c:v>
                </c:pt>
                <c:pt idx="90">
                  <c:v>40.3805063291139</c:v>
                </c:pt>
                <c:pt idx="91">
                  <c:v>40.5487341772152</c:v>
                </c:pt>
                <c:pt idx="92">
                  <c:v>40.7169620253165</c:v>
                </c:pt>
                <c:pt idx="93">
                  <c:v>40.8851898734177</c:v>
                </c:pt>
                <c:pt idx="94">
                  <c:v>41.053417721519</c:v>
                </c:pt>
                <c:pt idx="95">
                  <c:v>41.2216455696203</c:v>
                </c:pt>
                <c:pt idx="96">
                  <c:v>41.3898734177215</c:v>
                </c:pt>
                <c:pt idx="97">
                  <c:v>41.5581012658228</c:v>
                </c:pt>
                <c:pt idx="98">
                  <c:v>41.7263291139241</c:v>
                </c:pt>
                <c:pt idx="99">
                  <c:v>41.8945569620253</c:v>
                </c:pt>
                <c:pt idx="100">
                  <c:v>42.0627848101266</c:v>
                </c:pt>
                <c:pt idx="101">
                  <c:v>42.2310126582279</c:v>
                </c:pt>
                <c:pt idx="102">
                  <c:v>42.3992405063291</c:v>
                </c:pt>
                <c:pt idx="103">
                  <c:v>42.5674683544304</c:v>
                </c:pt>
                <c:pt idx="104">
                  <c:v>42.7356962025316</c:v>
                </c:pt>
                <c:pt idx="105">
                  <c:v>42.9039240506329</c:v>
                </c:pt>
                <c:pt idx="106">
                  <c:v>43.0721518987342</c:v>
                </c:pt>
                <c:pt idx="107">
                  <c:v>43.2403797468354</c:v>
                </c:pt>
                <c:pt idx="108">
                  <c:v>43.4086075949367</c:v>
                </c:pt>
                <c:pt idx="109">
                  <c:v>43.576835443038</c:v>
                </c:pt>
                <c:pt idx="110">
                  <c:v>43.7450632911392</c:v>
                </c:pt>
                <c:pt idx="111">
                  <c:v>43.9132911392405</c:v>
                </c:pt>
                <c:pt idx="112">
                  <c:v>44.0815189873418</c:v>
                </c:pt>
                <c:pt idx="113">
                  <c:v>44.249746835443</c:v>
                </c:pt>
                <c:pt idx="114">
                  <c:v>44.4179746835443</c:v>
                </c:pt>
                <c:pt idx="115">
                  <c:v>44.5862025316456</c:v>
                </c:pt>
                <c:pt idx="116">
                  <c:v>44.7544303797468</c:v>
                </c:pt>
                <c:pt idx="117">
                  <c:v>44.9226582278481</c:v>
                </c:pt>
                <c:pt idx="118">
                  <c:v>45.0908860759494</c:v>
                </c:pt>
                <c:pt idx="119">
                  <c:v>45.2591139240506</c:v>
                </c:pt>
                <c:pt idx="120">
                  <c:v>45.4273417721519</c:v>
                </c:pt>
                <c:pt idx="121">
                  <c:v>45.5955696202532</c:v>
                </c:pt>
                <c:pt idx="122">
                  <c:v>45.7637974683544</c:v>
                </c:pt>
                <c:pt idx="123">
                  <c:v>45.9320253164557</c:v>
                </c:pt>
                <c:pt idx="124">
                  <c:v>46.100253164557</c:v>
                </c:pt>
                <c:pt idx="125">
                  <c:v>46.2684810126582</c:v>
                </c:pt>
                <c:pt idx="126">
                  <c:v>46.4367088607595</c:v>
                </c:pt>
                <c:pt idx="127">
                  <c:v>46.6049367088608</c:v>
                </c:pt>
                <c:pt idx="128">
                  <c:v>46.773164556962</c:v>
                </c:pt>
                <c:pt idx="129">
                  <c:v>46.9413924050633</c:v>
                </c:pt>
                <c:pt idx="130">
                  <c:v>47.1096202531646</c:v>
                </c:pt>
                <c:pt idx="131">
                  <c:v>47.2778481012658</c:v>
                </c:pt>
                <c:pt idx="132">
                  <c:v>47.4460759493671</c:v>
                </c:pt>
                <c:pt idx="133">
                  <c:v>47.6143037974684</c:v>
                </c:pt>
                <c:pt idx="134">
                  <c:v>47.7825316455696</c:v>
                </c:pt>
                <c:pt idx="135">
                  <c:v>47.9507594936709</c:v>
                </c:pt>
                <c:pt idx="136">
                  <c:v>48.1189873417722</c:v>
                </c:pt>
                <c:pt idx="137">
                  <c:v>48.2872151898734</c:v>
                </c:pt>
                <c:pt idx="138">
                  <c:v>48.4554430379747</c:v>
                </c:pt>
                <c:pt idx="139">
                  <c:v>48.623670886076</c:v>
                </c:pt>
                <c:pt idx="140">
                  <c:v>48.7918987341772</c:v>
                </c:pt>
                <c:pt idx="141">
                  <c:v>48.9601265822785</c:v>
                </c:pt>
                <c:pt idx="142">
                  <c:v>49.1283544303797</c:v>
                </c:pt>
                <c:pt idx="143">
                  <c:v>49.296582278481</c:v>
                </c:pt>
                <c:pt idx="144">
                  <c:v>49.4648101265823</c:v>
                </c:pt>
                <c:pt idx="145">
                  <c:v>49.6330379746835</c:v>
                </c:pt>
                <c:pt idx="146">
                  <c:v>49.8012658227848</c:v>
                </c:pt>
                <c:pt idx="147">
                  <c:v>49.9694936708861</c:v>
                </c:pt>
                <c:pt idx="148">
                  <c:v>50.1377215189873</c:v>
                </c:pt>
                <c:pt idx="149">
                  <c:v>50.3059493670886</c:v>
                </c:pt>
                <c:pt idx="150">
                  <c:v>50.4741772151899</c:v>
                </c:pt>
                <c:pt idx="151">
                  <c:v>50.6424050632911</c:v>
                </c:pt>
                <c:pt idx="152">
                  <c:v>50.8106329113924</c:v>
                </c:pt>
                <c:pt idx="153">
                  <c:v>50.9788607594937</c:v>
                </c:pt>
                <c:pt idx="154">
                  <c:v>51.1470886075949</c:v>
                </c:pt>
                <c:pt idx="155">
                  <c:v>51.3153164556962</c:v>
                </c:pt>
                <c:pt idx="156">
                  <c:v>51.4835443037975</c:v>
                </c:pt>
                <c:pt idx="157">
                  <c:v>51.6517721518987</c:v>
                </c:pt>
                <c:pt idx="158">
                  <c:v>51.82</c:v>
                </c:pt>
                <c:pt idx="159">
                  <c:v>51.9882278481013</c:v>
                </c:pt>
              </c:numCache>
            </c:numRef>
          </c:val>
          <c:smooth val="0"/>
        </c:ser>
        <c:hiLowLines>
          <c:spPr>
            <a:ln w="0">
              <a:noFill/>
            </a:ln>
          </c:spPr>
        </c:hiLowLines>
        <c:marker val="0"/>
        <c:axId val="39598228"/>
        <c:axId val="51175464"/>
      </c:lineChart>
      <c:dateAx>
        <c:axId val="9839774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801015"/>
        <c:auto val="1"/>
        <c:lblOffset val="100"/>
        <c:baseTimeUnit val="days"/>
      </c:dateAx>
      <c:valAx>
        <c:axId val="5280101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397746"/>
        <c:crosses val="autoZero"/>
        <c:crossBetween val="between"/>
      </c:valAx>
      <c:dateAx>
        <c:axId val="3959822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175464"/>
        <c:auto val="1"/>
        <c:lblOffset val="100"/>
        <c:baseTimeUnit val="days"/>
      </c:dateAx>
      <c:valAx>
        <c:axId val="5117546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59822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(Calc)'!$V$3:$V$500</c:f>
              <c:numCache>
                <c:formatCode>0.0%</c:formatCode>
                <c:ptCount val="498"/>
                <c:pt idx="0">
                  <c:v>-0.0248270593727454</c:v>
                </c:pt>
                <c:pt idx="1">
                  <c:v>-0.0215858647401863</c:v>
                </c:pt>
                <c:pt idx="2">
                  <c:v>0.0218841740058715</c:v>
                </c:pt>
                <c:pt idx="3">
                  <c:v>0.0111865587185513</c:v>
                </c:pt>
                <c:pt idx="4">
                  <c:v>-0.0180362446730662</c:v>
                </c:pt>
                <c:pt idx="5">
                  <c:v>-0.0176223040504998</c:v>
                </c:pt>
                <c:pt idx="6">
                  <c:v>0.062516733601071</c:v>
                </c:pt>
                <c:pt idx="7">
                  <c:v>0.00890344798622467</c:v>
                </c:pt>
                <c:pt idx="8">
                  <c:v>0.0175664987720101</c:v>
                </c:pt>
                <c:pt idx="9">
                  <c:v>0.019022294947842</c:v>
                </c:pt>
                <c:pt idx="10">
                  <c:v>0.00843034925732633</c:v>
                </c:pt>
                <c:pt idx="11">
                  <c:v>-0.00274681528662424</c:v>
                </c:pt>
                <c:pt idx="12">
                  <c:v>0.00894175881202353</c:v>
                </c:pt>
                <c:pt idx="13">
                  <c:v>0.0015430267062313</c:v>
                </c:pt>
                <c:pt idx="14">
                  <c:v>0.00742672039187808</c:v>
                </c:pt>
                <c:pt idx="15">
                  <c:v>-0.0025096070896401</c:v>
                </c:pt>
                <c:pt idx="16">
                  <c:v>0.0172183347747463</c:v>
                </c:pt>
                <c:pt idx="17">
                  <c:v>0.0255062606276086</c:v>
                </c:pt>
                <c:pt idx="18">
                  <c:v>-0.0109285498944831</c:v>
                </c:pt>
                <c:pt idx="19">
                  <c:v>0.0344814447915873</c:v>
                </c:pt>
                <c:pt idx="20">
                  <c:v>-0.000847114286766648</c:v>
                </c:pt>
                <c:pt idx="21">
                  <c:v>0.00770421704511959</c:v>
                </c:pt>
                <c:pt idx="22">
                  <c:v>0.0180707466071623</c:v>
                </c:pt>
                <c:pt idx="23">
                  <c:v>-0.00154503970392728</c:v>
                </c:pt>
                <c:pt idx="24">
                  <c:v>-0.0110119476032819</c:v>
                </c:pt>
                <c:pt idx="25">
                  <c:v>0.0106979113601631</c:v>
                </c:pt>
                <c:pt idx="26">
                  <c:v>0.000792050691244439</c:v>
                </c:pt>
                <c:pt idx="27">
                  <c:v>-0.0147492625368733</c:v>
                </c:pt>
                <c:pt idx="28">
                  <c:v>-0.00697385716372123</c:v>
                </c:pt>
                <c:pt idx="29">
                  <c:v>-0.00422840754494991</c:v>
                </c:pt>
                <c:pt idx="30">
                  <c:v>-0.0224134111217783</c:v>
                </c:pt>
                <c:pt idx="31">
                  <c:v>0.0175637393767705</c:v>
                </c:pt>
                <c:pt idx="32">
                  <c:v>-0.0219376391982181</c:v>
                </c:pt>
                <c:pt idx="33">
                  <c:v>0.045618429541918</c:v>
                </c:pt>
                <c:pt idx="34">
                  <c:v>-0.000435555878189553</c:v>
                </c:pt>
                <c:pt idx="35">
                  <c:v>-0.0200443008097606</c:v>
                </c:pt>
                <c:pt idx="36">
                  <c:v>-0.00737392077667032</c:v>
                </c:pt>
                <c:pt idx="37">
                  <c:v>0.0227713901747051</c:v>
                </c:pt>
                <c:pt idx="38">
                  <c:v>-0.0287247244324403</c:v>
                </c:pt>
                <c:pt idx="39">
                  <c:v>0.0168351433617675</c:v>
                </c:pt>
                <c:pt idx="40">
                  <c:v>-0.0463431760227649</c:v>
                </c:pt>
                <c:pt idx="41">
                  <c:v>0.0300716915326487</c:v>
                </c:pt>
                <c:pt idx="42">
                  <c:v>-0.0170798690794177</c:v>
                </c:pt>
                <c:pt idx="43">
                  <c:v>-0.00107168829180526</c:v>
                </c:pt>
                <c:pt idx="44">
                  <c:v>-0.0226062301237595</c:v>
                </c:pt>
                <c:pt idx="45">
                  <c:v>0.0274804970794622</c:v>
                </c:pt>
                <c:pt idx="46">
                  <c:v>-0.0236550934757727</c:v>
                </c:pt>
                <c:pt idx="47">
                  <c:v>0.0293474013286441</c:v>
                </c:pt>
                <c:pt idx="48">
                  <c:v>0.000227781785050007</c:v>
                </c:pt>
                <c:pt idx="49">
                  <c:v>0.0334003871408508</c:v>
                </c:pt>
                <c:pt idx="50">
                  <c:v>0.0108348330701145</c:v>
                </c:pt>
                <c:pt idx="51">
                  <c:v>0.028558971005014</c:v>
                </c:pt>
                <c:pt idx="52">
                  <c:v>-0.00897272855729814</c:v>
                </c:pt>
                <c:pt idx="53">
                  <c:v>-0.0337206815427391</c:v>
                </c:pt>
                <c:pt idx="54">
                  <c:v>0.010033938320791</c:v>
                </c:pt>
                <c:pt idx="55">
                  <c:v>-0.000328707085463953</c:v>
                </c:pt>
                <c:pt idx="56">
                  <c:v>0.0459975886887583</c:v>
                </c:pt>
                <c:pt idx="57">
                  <c:v>-0.030562347188264</c:v>
                </c:pt>
                <c:pt idx="58">
                  <c:v>0.0319582057286976</c:v>
                </c:pt>
                <c:pt idx="59">
                  <c:v>0.0589344319530758</c:v>
                </c:pt>
                <c:pt idx="60">
                  <c:v>0.00764919221892524</c:v>
                </c:pt>
                <c:pt idx="61">
                  <c:v>0.000916170407695649</c:v>
                </c:pt>
                <c:pt idx="62">
                  <c:v>0.0166394246485782</c:v>
                </c:pt>
                <c:pt idx="63">
                  <c:v>-0.0129264606578989</c:v>
                </c:pt>
                <c:pt idx="64">
                  <c:v>0.0119881421637291</c:v>
                </c:pt>
                <c:pt idx="65">
                  <c:v>0.00946402704007721</c:v>
                </c:pt>
                <c:pt idx="66">
                  <c:v>0.00296565579259545</c:v>
                </c:pt>
                <c:pt idx="67">
                  <c:v>-0.0117639577769298</c:v>
                </c:pt>
                <c:pt idx="68">
                  <c:v>-0.0228428029084357</c:v>
                </c:pt>
                <c:pt idx="69">
                  <c:v>0.0386869485052022</c:v>
                </c:pt>
                <c:pt idx="70">
                  <c:v>0.0330934795701652</c:v>
                </c:pt>
                <c:pt idx="71">
                  <c:v>0.0351323985149274</c:v>
                </c:pt>
                <c:pt idx="72">
                  <c:v>0.0182001422812426</c:v>
                </c:pt>
                <c:pt idx="73">
                  <c:v>0.0183697234352256</c:v>
                </c:pt>
                <c:pt idx="74">
                  <c:v>-0.0149223864383523</c:v>
                </c:pt>
                <c:pt idx="75">
                  <c:v>0.0406570126817378</c:v>
                </c:pt>
                <c:pt idx="76">
                  <c:v>-0.047936419408812</c:v>
                </c:pt>
                <c:pt idx="77">
                  <c:v>-0.039161125918983</c:v>
                </c:pt>
                <c:pt idx="78">
                  <c:v>0.0116449213510548</c:v>
                </c:pt>
                <c:pt idx="79">
                  <c:v>0.0214246971614536</c:v>
                </c:pt>
                <c:pt idx="80">
                  <c:v>-0.0866743369619731</c:v>
                </c:pt>
                <c:pt idx="81">
                  <c:v>0.0647307729577829</c:v>
                </c:pt>
                <c:pt idx="82">
                  <c:v>-0.0113763917119194</c:v>
                </c:pt>
                <c:pt idx="83">
                  <c:v>0.0168773781760156</c:v>
                </c:pt>
                <c:pt idx="84">
                  <c:v>0.0370873317641378</c:v>
                </c:pt>
                <c:pt idx="85">
                  <c:v>0.0141996682864376</c:v>
                </c:pt>
                <c:pt idx="86">
                  <c:v>0.0374121359919666</c:v>
                </c:pt>
                <c:pt idx="87">
                  <c:v>-0.0317210099836831</c:v>
                </c:pt>
                <c:pt idx="88">
                  <c:v>0.0329601279561294</c:v>
                </c:pt>
                <c:pt idx="89">
                  <c:v>0.0137698390753747</c:v>
                </c:pt>
                <c:pt idx="90">
                  <c:v>-0.0469125027274711</c:v>
                </c:pt>
                <c:pt idx="91">
                  <c:v>-0.0404933608058607</c:v>
                </c:pt>
                <c:pt idx="92">
                  <c:v>0.0296758030361777</c:v>
                </c:pt>
                <c:pt idx="93">
                  <c:v>0.0293998377939984</c:v>
                </c:pt>
                <c:pt idx="94">
                  <c:v>-0.0304735642533555</c:v>
                </c:pt>
                <c:pt idx="95">
                  <c:v>0.00322149988390996</c:v>
                </c:pt>
                <c:pt idx="96">
                  <c:v>0.0229120259206757</c:v>
                </c:pt>
                <c:pt idx="97">
                  <c:v>-0.0495489125823694</c:v>
                </c:pt>
                <c:pt idx="98">
                  <c:v>-0.00758770494242278</c:v>
                </c:pt>
                <c:pt idx="99">
                  <c:v>0.0246461981290478</c:v>
                </c:pt>
                <c:pt idx="100">
                  <c:v>0.0161526306548838</c:v>
                </c:pt>
                <c:pt idx="101">
                  <c:v>0.00498185797385253</c:v>
                </c:pt>
                <c:pt idx="102">
                  <c:v>-0.0243273446230551</c:v>
                </c:pt>
                <c:pt idx="103">
                  <c:v>-0.0110425844346549</c:v>
                </c:pt>
                <c:pt idx="104">
                  <c:v>0.00641444437845218</c:v>
                </c:pt>
                <c:pt idx="105">
                  <c:v>-0.0124225435231631</c:v>
                </c:pt>
                <c:pt idx="106">
                  <c:v>0.0369595745316562</c:v>
                </c:pt>
                <c:pt idx="107">
                  <c:v>-0.0176914654526594</c:v>
                </c:pt>
                <c:pt idx="108">
                  <c:v>-0.00510383667722636</c:v>
                </c:pt>
                <c:pt idx="109">
                  <c:v>0.0160386815260334</c:v>
                </c:pt>
                <c:pt idx="110">
                  <c:v>-0.0190934942835587</c:v>
                </c:pt>
                <c:pt idx="111">
                  <c:v>-0.0138740977399124</c:v>
                </c:pt>
                <c:pt idx="112">
                  <c:v>-0.0158992050397481</c:v>
                </c:pt>
                <c:pt idx="113">
                  <c:v>-0.00618808108520053</c:v>
                </c:pt>
                <c:pt idx="114">
                  <c:v>0.0196920434329182</c:v>
                </c:pt>
                <c:pt idx="115">
                  <c:v>-0.00956563590422332</c:v>
                </c:pt>
                <c:pt idx="116">
                  <c:v>0.0500820020652373</c:v>
                </c:pt>
                <c:pt idx="117">
                  <c:v>0.00410701373825018</c:v>
                </c:pt>
                <c:pt idx="118">
                  <c:v>0.0164472736699599</c:v>
                </c:pt>
                <c:pt idx="119">
                  <c:v>-0.0240024937655859</c:v>
                </c:pt>
                <c:pt idx="120">
                  <c:v>0.0094944978368805</c:v>
                </c:pt>
                <c:pt idx="121">
                  <c:v>-0.0613782788771284</c:v>
                </c:pt>
                <c:pt idx="122">
                  <c:v>-0.00646564932279203</c:v>
                </c:pt>
                <c:pt idx="123">
                  <c:v>-0.013323875026987</c:v>
                </c:pt>
                <c:pt idx="124">
                  <c:v>0.0302897689975306</c:v>
                </c:pt>
                <c:pt idx="125">
                  <c:v>-0.0508191747572816</c:v>
                </c:pt>
                <c:pt idx="126">
                  <c:v>0.0218635128655904</c:v>
                </c:pt>
                <c:pt idx="127">
                  <c:v>-0.00250242422346647</c:v>
                </c:pt>
                <c:pt idx="128">
                  <c:v>-0.00868638088369023</c:v>
                </c:pt>
                <c:pt idx="129">
                  <c:v>-0.0322029609009237</c:v>
                </c:pt>
                <c:pt idx="130">
                  <c:v>-0.0179773811858535</c:v>
                </c:pt>
                <c:pt idx="131">
                  <c:v>-0.0202369857542271</c:v>
                </c:pt>
                <c:pt idx="132">
                  <c:v>0.0178692757168093</c:v>
                </c:pt>
                <c:pt idx="133">
                  <c:v>0.0118483412322274</c:v>
                </c:pt>
                <c:pt idx="134">
                  <c:v>0.0415938252465613</c:v>
                </c:pt>
                <c:pt idx="135">
                  <c:v>-0.0239723858382418</c:v>
                </c:pt>
                <c:pt idx="136">
                  <c:v>0.0601213458356316</c:v>
                </c:pt>
                <c:pt idx="137">
                  <c:v>-0.0281569443594295</c:v>
                </c:pt>
                <c:pt idx="138">
                  <c:v>0.0239654846633495</c:v>
                </c:pt>
                <c:pt idx="139">
                  <c:v>0.00959557127479616</c:v>
                </c:pt>
                <c:pt idx="140">
                  <c:v>-0.00767660767051503</c:v>
                </c:pt>
                <c:pt idx="141">
                  <c:v>-0.00853415195702212</c:v>
                </c:pt>
                <c:pt idx="142">
                  <c:v>-0.00365359011672917</c:v>
                </c:pt>
                <c:pt idx="143">
                  <c:v>0.0150408651605083</c:v>
                </c:pt>
                <c:pt idx="144">
                  <c:v>0.0274928818540858</c:v>
                </c:pt>
                <c:pt idx="145">
                  <c:v>0.0770239265814485</c:v>
                </c:pt>
                <c:pt idx="146">
                  <c:v>-0.0363525701322415</c:v>
                </c:pt>
                <c:pt idx="147">
                  <c:v>0.0275034451079468</c:v>
                </c:pt>
                <c:pt idx="148">
                  <c:v>-0.00787929589270742</c:v>
                </c:pt>
                <c:pt idx="149">
                  <c:v>0.0292046862678834</c:v>
                </c:pt>
                <c:pt idx="150">
                  <c:v>-0.00990559584074435</c:v>
                </c:pt>
                <c:pt idx="151">
                  <c:v>0.0064118508691926</c:v>
                </c:pt>
                <c:pt idx="152">
                  <c:v>0.0189207744061515</c:v>
                </c:pt>
                <c:pt idx="153">
                  <c:v>0.0284605433376455</c:v>
                </c:pt>
                <c:pt idx="154">
                  <c:v>-0.0171121593291406</c:v>
                </c:pt>
                <c:pt idx="155">
                  <c:v>-0.0123177006958701</c:v>
                </c:pt>
                <c:pt idx="156">
                  <c:v>-0.00583074638952619</c:v>
                </c:pt>
                <c:pt idx="157">
                  <c:v>-0.00247087892693265</c:v>
                </c:pt>
                <c:pt idx="158">
                  <c:v>-0.0182916870814959</c:v>
                </c:pt>
              </c:numCache>
            </c:numRef>
          </c:val>
        </c:ser>
        <c:gapWidth val="150"/>
        <c:overlap val="0"/>
        <c:axId val="51746494"/>
        <c:axId val="30679473"/>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(Calc)'!$AO$3:$AO$500</c:f>
              <c:numCache>
                <c:formatCode>#,##0.00</c:formatCode>
                <c:ptCount val="498"/>
                <c:pt idx="0">
                  <c:v>235.63</c:v>
                </c:pt>
                <c:pt idx="1">
                  <c:v>236.421329113924</c:v>
                </c:pt>
                <c:pt idx="2">
                  <c:v>237.212658227848</c:v>
                </c:pt>
                <c:pt idx="3">
                  <c:v>238.003987341772</c:v>
                </c:pt>
                <c:pt idx="4">
                  <c:v>238.795316455696</c:v>
                </c:pt>
                <c:pt idx="5">
                  <c:v>239.58664556962</c:v>
                </c:pt>
                <c:pt idx="6">
                  <c:v>240.377974683544</c:v>
                </c:pt>
                <c:pt idx="7">
                  <c:v>241.169303797468</c:v>
                </c:pt>
                <c:pt idx="8">
                  <c:v>241.960632911392</c:v>
                </c:pt>
                <c:pt idx="9">
                  <c:v>242.751962025316</c:v>
                </c:pt>
                <c:pt idx="10">
                  <c:v>243.543291139241</c:v>
                </c:pt>
                <c:pt idx="11">
                  <c:v>244.334620253165</c:v>
                </c:pt>
                <c:pt idx="12">
                  <c:v>245.125949367089</c:v>
                </c:pt>
                <c:pt idx="13">
                  <c:v>245.917278481013</c:v>
                </c:pt>
                <c:pt idx="14">
                  <c:v>246.708607594937</c:v>
                </c:pt>
                <c:pt idx="15">
                  <c:v>247.499936708861</c:v>
                </c:pt>
                <c:pt idx="16">
                  <c:v>248.291265822785</c:v>
                </c:pt>
                <c:pt idx="17">
                  <c:v>249.082594936709</c:v>
                </c:pt>
                <c:pt idx="18">
                  <c:v>249.873924050633</c:v>
                </c:pt>
                <c:pt idx="19">
                  <c:v>250.665253164557</c:v>
                </c:pt>
                <c:pt idx="20">
                  <c:v>251.456582278481</c:v>
                </c:pt>
                <c:pt idx="21">
                  <c:v>252.247911392405</c:v>
                </c:pt>
                <c:pt idx="22">
                  <c:v>253.039240506329</c:v>
                </c:pt>
                <c:pt idx="23">
                  <c:v>253.830569620253</c:v>
                </c:pt>
                <c:pt idx="24">
                  <c:v>254.621898734177</c:v>
                </c:pt>
                <c:pt idx="25">
                  <c:v>255.413227848101</c:v>
                </c:pt>
                <c:pt idx="26">
                  <c:v>256.204556962025</c:v>
                </c:pt>
                <c:pt idx="27">
                  <c:v>256.995886075949</c:v>
                </c:pt>
                <c:pt idx="28">
                  <c:v>257.787215189873</c:v>
                </c:pt>
                <c:pt idx="29">
                  <c:v>258.578544303797</c:v>
                </c:pt>
                <c:pt idx="30">
                  <c:v>259.369873417722</c:v>
                </c:pt>
                <c:pt idx="31">
                  <c:v>260.161202531646</c:v>
                </c:pt>
                <c:pt idx="32">
                  <c:v>260.95253164557</c:v>
                </c:pt>
                <c:pt idx="33">
                  <c:v>261.743860759494</c:v>
                </c:pt>
                <c:pt idx="34">
                  <c:v>262.535189873418</c:v>
                </c:pt>
                <c:pt idx="35">
                  <c:v>263.326518987342</c:v>
                </c:pt>
                <c:pt idx="36">
                  <c:v>264.117848101266</c:v>
                </c:pt>
                <c:pt idx="37">
                  <c:v>264.90917721519</c:v>
                </c:pt>
                <c:pt idx="38">
                  <c:v>265.700506329114</c:v>
                </c:pt>
                <c:pt idx="39">
                  <c:v>266.491835443038</c:v>
                </c:pt>
                <c:pt idx="40">
                  <c:v>267.283164556962</c:v>
                </c:pt>
                <c:pt idx="41">
                  <c:v>268.074493670886</c:v>
                </c:pt>
                <c:pt idx="42">
                  <c:v>268.86582278481</c:v>
                </c:pt>
                <c:pt idx="43">
                  <c:v>269.657151898734</c:v>
                </c:pt>
                <c:pt idx="44">
                  <c:v>270.448481012658</c:v>
                </c:pt>
                <c:pt idx="45">
                  <c:v>271.239810126582</c:v>
                </c:pt>
                <c:pt idx="46">
                  <c:v>272.031139240506</c:v>
                </c:pt>
                <c:pt idx="47">
                  <c:v>272.82246835443</c:v>
                </c:pt>
                <c:pt idx="48">
                  <c:v>273.613797468354</c:v>
                </c:pt>
                <c:pt idx="49">
                  <c:v>274.405126582279</c:v>
                </c:pt>
                <c:pt idx="50">
                  <c:v>275.196455696203</c:v>
                </c:pt>
                <c:pt idx="51">
                  <c:v>275.987784810127</c:v>
                </c:pt>
                <c:pt idx="52">
                  <c:v>276.779113924051</c:v>
                </c:pt>
                <c:pt idx="53">
                  <c:v>277.570443037975</c:v>
                </c:pt>
                <c:pt idx="54">
                  <c:v>278.361772151899</c:v>
                </c:pt>
                <c:pt idx="55">
                  <c:v>279.153101265823</c:v>
                </c:pt>
                <c:pt idx="56">
                  <c:v>279.944430379747</c:v>
                </c:pt>
                <c:pt idx="57">
                  <c:v>280.735759493671</c:v>
                </c:pt>
                <c:pt idx="58">
                  <c:v>281.527088607595</c:v>
                </c:pt>
                <c:pt idx="59">
                  <c:v>282.318417721519</c:v>
                </c:pt>
                <c:pt idx="60">
                  <c:v>283.109746835443</c:v>
                </c:pt>
                <c:pt idx="61">
                  <c:v>283.901075949367</c:v>
                </c:pt>
                <c:pt idx="62">
                  <c:v>284.692405063291</c:v>
                </c:pt>
                <c:pt idx="63">
                  <c:v>285.483734177215</c:v>
                </c:pt>
                <c:pt idx="64">
                  <c:v>286.275063291139</c:v>
                </c:pt>
                <c:pt idx="65">
                  <c:v>287.066392405063</c:v>
                </c:pt>
                <c:pt idx="66">
                  <c:v>287.857721518987</c:v>
                </c:pt>
                <c:pt idx="67">
                  <c:v>288.649050632911</c:v>
                </c:pt>
                <c:pt idx="68">
                  <c:v>289.440379746835</c:v>
                </c:pt>
                <c:pt idx="69">
                  <c:v>290.23170886076</c:v>
                </c:pt>
                <c:pt idx="70">
                  <c:v>291.023037974684</c:v>
                </c:pt>
                <c:pt idx="71">
                  <c:v>291.814367088608</c:v>
                </c:pt>
                <c:pt idx="72">
                  <c:v>292.605696202532</c:v>
                </c:pt>
                <c:pt idx="73">
                  <c:v>293.397025316456</c:v>
                </c:pt>
                <c:pt idx="74">
                  <c:v>294.18835443038</c:v>
                </c:pt>
                <c:pt idx="75">
                  <c:v>294.979683544304</c:v>
                </c:pt>
                <c:pt idx="76">
                  <c:v>295.771012658228</c:v>
                </c:pt>
                <c:pt idx="77">
                  <c:v>296.562341772152</c:v>
                </c:pt>
                <c:pt idx="78">
                  <c:v>297.353670886076</c:v>
                </c:pt>
                <c:pt idx="79">
                  <c:v>298.145</c:v>
                </c:pt>
                <c:pt idx="80">
                  <c:v>298.936329113924</c:v>
                </c:pt>
                <c:pt idx="81">
                  <c:v>299.727658227848</c:v>
                </c:pt>
                <c:pt idx="82">
                  <c:v>300.518987341772</c:v>
                </c:pt>
                <c:pt idx="83">
                  <c:v>301.310316455696</c:v>
                </c:pt>
                <c:pt idx="84">
                  <c:v>302.10164556962</c:v>
                </c:pt>
                <c:pt idx="85">
                  <c:v>302.892974683544</c:v>
                </c:pt>
                <c:pt idx="86">
                  <c:v>303.684303797468</c:v>
                </c:pt>
                <c:pt idx="87">
                  <c:v>304.475632911392</c:v>
                </c:pt>
                <c:pt idx="88">
                  <c:v>305.266962025317</c:v>
                </c:pt>
                <c:pt idx="89">
                  <c:v>306.058291139241</c:v>
                </c:pt>
                <c:pt idx="90">
                  <c:v>306.849620253165</c:v>
                </c:pt>
                <c:pt idx="91">
                  <c:v>307.640949367089</c:v>
                </c:pt>
                <c:pt idx="92">
                  <c:v>308.432278481013</c:v>
                </c:pt>
                <c:pt idx="93">
                  <c:v>309.223607594937</c:v>
                </c:pt>
                <c:pt idx="94">
                  <c:v>310.014936708861</c:v>
                </c:pt>
                <c:pt idx="95">
                  <c:v>310.806265822785</c:v>
                </c:pt>
                <c:pt idx="96">
                  <c:v>311.597594936709</c:v>
                </c:pt>
                <c:pt idx="97">
                  <c:v>312.388924050633</c:v>
                </c:pt>
                <c:pt idx="98">
                  <c:v>313.180253164557</c:v>
                </c:pt>
                <c:pt idx="99">
                  <c:v>313.971582278481</c:v>
                </c:pt>
                <c:pt idx="100">
                  <c:v>314.762911392405</c:v>
                </c:pt>
                <c:pt idx="101">
                  <c:v>315.554240506329</c:v>
                </c:pt>
                <c:pt idx="102">
                  <c:v>316.345569620253</c:v>
                </c:pt>
                <c:pt idx="103">
                  <c:v>317.136898734177</c:v>
                </c:pt>
                <c:pt idx="104">
                  <c:v>317.928227848101</c:v>
                </c:pt>
                <c:pt idx="105">
                  <c:v>318.719556962025</c:v>
                </c:pt>
                <c:pt idx="106">
                  <c:v>319.510886075949</c:v>
                </c:pt>
                <c:pt idx="107">
                  <c:v>320.302215189873</c:v>
                </c:pt>
                <c:pt idx="108">
                  <c:v>321.093544303798</c:v>
                </c:pt>
                <c:pt idx="109">
                  <c:v>321.884873417722</c:v>
                </c:pt>
                <c:pt idx="110">
                  <c:v>322.676202531646</c:v>
                </c:pt>
                <c:pt idx="111">
                  <c:v>323.46753164557</c:v>
                </c:pt>
                <c:pt idx="112">
                  <c:v>324.258860759494</c:v>
                </c:pt>
                <c:pt idx="113">
                  <c:v>325.050189873418</c:v>
                </c:pt>
                <c:pt idx="114">
                  <c:v>325.841518987342</c:v>
                </c:pt>
                <c:pt idx="115">
                  <c:v>326.632848101266</c:v>
                </c:pt>
                <c:pt idx="116">
                  <c:v>327.42417721519</c:v>
                </c:pt>
                <c:pt idx="117">
                  <c:v>328.215506329114</c:v>
                </c:pt>
                <c:pt idx="118">
                  <c:v>329.006835443038</c:v>
                </c:pt>
                <c:pt idx="119">
                  <c:v>329.798164556962</c:v>
                </c:pt>
                <c:pt idx="120">
                  <c:v>330.589493670886</c:v>
                </c:pt>
                <c:pt idx="121">
                  <c:v>331.38082278481</c:v>
                </c:pt>
                <c:pt idx="122">
                  <c:v>332.172151898734</c:v>
                </c:pt>
                <c:pt idx="123">
                  <c:v>332.963481012658</c:v>
                </c:pt>
                <c:pt idx="124">
                  <c:v>333.754810126582</c:v>
                </c:pt>
                <c:pt idx="125">
                  <c:v>334.546139240506</c:v>
                </c:pt>
                <c:pt idx="126">
                  <c:v>335.33746835443</c:v>
                </c:pt>
                <c:pt idx="127">
                  <c:v>336.128797468354</c:v>
                </c:pt>
                <c:pt idx="128">
                  <c:v>336.920126582279</c:v>
                </c:pt>
                <c:pt idx="129">
                  <c:v>337.711455696203</c:v>
                </c:pt>
                <c:pt idx="130">
                  <c:v>338.502784810127</c:v>
                </c:pt>
                <c:pt idx="131">
                  <c:v>339.294113924051</c:v>
                </c:pt>
                <c:pt idx="132">
                  <c:v>340.085443037975</c:v>
                </c:pt>
                <c:pt idx="133">
                  <c:v>340.876772151899</c:v>
                </c:pt>
                <c:pt idx="134">
                  <c:v>341.668101265823</c:v>
                </c:pt>
                <c:pt idx="135">
                  <c:v>342.459430379747</c:v>
                </c:pt>
                <c:pt idx="136">
                  <c:v>343.250759493671</c:v>
                </c:pt>
                <c:pt idx="137">
                  <c:v>344.042088607595</c:v>
                </c:pt>
                <c:pt idx="138">
                  <c:v>344.833417721519</c:v>
                </c:pt>
                <c:pt idx="139">
                  <c:v>345.624746835443</c:v>
                </c:pt>
                <c:pt idx="140">
                  <c:v>346.416075949367</c:v>
                </c:pt>
                <c:pt idx="141">
                  <c:v>347.207405063291</c:v>
                </c:pt>
                <c:pt idx="142">
                  <c:v>347.998734177215</c:v>
                </c:pt>
                <c:pt idx="143">
                  <c:v>348.790063291139</c:v>
                </c:pt>
                <c:pt idx="144">
                  <c:v>349.581392405063</c:v>
                </c:pt>
                <c:pt idx="145">
                  <c:v>350.372721518987</c:v>
                </c:pt>
                <c:pt idx="146">
                  <c:v>351.164050632911</c:v>
                </c:pt>
                <c:pt idx="147">
                  <c:v>351.955379746835</c:v>
                </c:pt>
                <c:pt idx="148">
                  <c:v>352.74670886076</c:v>
                </c:pt>
                <c:pt idx="149">
                  <c:v>353.538037974684</c:v>
                </c:pt>
                <c:pt idx="150">
                  <c:v>354.329367088608</c:v>
                </c:pt>
                <c:pt idx="151">
                  <c:v>355.120696202532</c:v>
                </c:pt>
                <c:pt idx="152">
                  <c:v>355.912025316456</c:v>
                </c:pt>
                <c:pt idx="153">
                  <c:v>356.70335443038</c:v>
                </c:pt>
                <c:pt idx="154">
                  <c:v>357.494683544304</c:v>
                </c:pt>
                <c:pt idx="155">
                  <c:v>358.286012658228</c:v>
                </c:pt>
                <c:pt idx="156">
                  <c:v>359.077341772152</c:v>
                </c:pt>
                <c:pt idx="157">
                  <c:v>359.868670886076</c:v>
                </c:pt>
                <c:pt idx="158">
                  <c:v>360.66</c:v>
                </c:pt>
                <c:pt idx="159">
                  <c:v>361.451329113924</c:v>
                </c:pt>
              </c:numCache>
            </c:numRef>
          </c:val>
          <c:smooth val="0"/>
        </c:ser>
        <c:hiLowLines>
          <c:spPr>
            <a:ln w="0">
              <a:noFill/>
            </a:ln>
          </c:spPr>
        </c:hiLowLines>
        <c:marker val="0"/>
        <c:axId val="17158070"/>
        <c:axId val="1229538"/>
      </c:lineChart>
      <c:dateAx>
        <c:axId val="5174649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679473"/>
        <c:auto val="1"/>
        <c:lblOffset val="100"/>
        <c:baseTimeUnit val="days"/>
      </c:dateAx>
      <c:valAx>
        <c:axId val="3067947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746494"/>
        <c:crosses val="autoZero"/>
        <c:crossBetween val="between"/>
      </c:valAx>
      <c:dateAx>
        <c:axId val="1715807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29538"/>
        <c:auto val="1"/>
        <c:lblOffset val="100"/>
        <c:baseTimeUnit val="days"/>
      </c:dateAx>
      <c:valAx>
        <c:axId val="122953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15807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283320</xdr:colOff>
      <xdr:row>174</xdr:row>
      <xdr:rowOff>106200</xdr:rowOff>
    </xdr:to>
    <xdr:graphicFrame>
      <xdr:nvGraphicFramePr>
        <xdr:cNvPr id="1" name="Chart 1"/>
        <xdr:cNvGraphicFramePr/>
      </xdr:nvGraphicFramePr>
      <xdr:xfrm>
        <a:off x="0" y="31204080"/>
        <a:ext cx="2641680" cy="22014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304920</xdr:colOff>
      <xdr:row>174</xdr:row>
      <xdr:rowOff>106200</xdr:rowOff>
    </xdr:to>
    <xdr:graphicFrame>
      <xdr:nvGraphicFramePr>
        <xdr:cNvPr id="2" name="Chart 2"/>
        <xdr:cNvGraphicFramePr/>
      </xdr:nvGraphicFramePr>
      <xdr:xfrm>
        <a:off x="3554640" y="31204080"/>
        <a:ext cx="2298960" cy="22014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70920</xdr:colOff>
      <xdr:row>174</xdr:row>
      <xdr:rowOff>106200</xdr:rowOff>
    </xdr:to>
    <xdr:graphicFrame>
      <xdr:nvGraphicFramePr>
        <xdr:cNvPr id="3" name="Chart 3"/>
        <xdr:cNvGraphicFramePr/>
      </xdr:nvGraphicFramePr>
      <xdr:xfrm>
        <a:off x="6744960" y="31204080"/>
        <a:ext cx="2358360" cy="22014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323280</xdr:colOff>
      <xdr:row>174</xdr:row>
      <xdr:rowOff>106200</xdr:rowOff>
    </xdr:to>
    <xdr:graphicFrame>
      <xdr:nvGraphicFramePr>
        <xdr:cNvPr id="4" name="Chart 4"/>
        <xdr:cNvGraphicFramePr/>
      </xdr:nvGraphicFramePr>
      <xdr:xfrm>
        <a:off x="10464840" y="31204080"/>
        <a:ext cx="4620960" cy="22014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283320</xdr:colOff>
      <xdr:row>190</xdr:row>
      <xdr:rowOff>106200</xdr:rowOff>
    </xdr:to>
    <xdr:graphicFrame>
      <xdr:nvGraphicFramePr>
        <xdr:cNvPr id="5" name="Chart 5"/>
        <xdr:cNvGraphicFramePr/>
      </xdr:nvGraphicFramePr>
      <xdr:xfrm>
        <a:off x="0" y="34251840"/>
        <a:ext cx="2641680" cy="220176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304920</xdr:colOff>
      <xdr:row>190</xdr:row>
      <xdr:rowOff>106200</xdr:rowOff>
    </xdr:to>
    <xdr:graphicFrame>
      <xdr:nvGraphicFramePr>
        <xdr:cNvPr id="6" name="Chart 6"/>
        <xdr:cNvGraphicFramePr/>
      </xdr:nvGraphicFramePr>
      <xdr:xfrm>
        <a:off x="3554640" y="34251840"/>
        <a:ext cx="2298960" cy="220176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70920</xdr:colOff>
      <xdr:row>190</xdr:row>
      <xdr:rowOff>106200</xdr:rowOff>
    </xdr:to>
    <xdr:graphicFrame>
      <xdr:nvGraphicFramePr>
        <xdr:cNvPr id="7" name="Chart 7"/>
        <xdr:cNvGraphicFramePr/>
      </xdr:nvGraphicFramePr>
      <xdr:xfrm>
        <a:off x="6744960" y="34251840"/>
        <a:ext cx="2358360" cy="22017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323280</xdr:colOff>
      <xdr:row>190</xdr:row>
      <xdr:rowOff>106200</xdr:rowOff>
    </xdr:to>
    <xdr:graphicFrame>
      <xdr:nvGraphicFramePr>
        <xdr:cNvPr id="8" name="Chart 8"/>
        <xdr:cNvGraphicFramePr/>
      </xdr:nvGraphicFramePr>
      <xdr:xfrm>
        <a:off x="10464840" y="34251840"/>
        <a:ext cx="4620960" cy="220176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283320</xdr:colOff>
      <xdr:row>206</xdr:row>
      <xdr:rowOff>105480</xdr:rowOff>
    </xdr:to>
    <xdr:graphicFrame>
      <xdr:nvGraphicFramePr>
        <xdr:cNvPr id="9" name="Chart 9"/>
        <xdr:cNvGraphicFramePr/>
      </xdr:nvGraphicFramePr>
      <xdr:xfrm>
        <a:off x="0" y="37299960"/>
        <a:ext cx="2641680" cy="22010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304920</xdr:colOff>
      <xdr:row>206</xdr:row>
      <xdr:rowOff>105480</xdr:rowOff>
    </xdr:to>
    <xdr:graphicFrame>
      <xdr:nvGraphicFramePr>
        <xdr:cNvPr id="10" name="Chart 10"/>
        <xdr:cNvGraphicFramePr/>
      </xdr:nvGraphicFramePr>
      <xdr:xfrm>
        <a:off x="3554640" y="37299960"/>
        <a:ext cx="2298960" cy="220104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70920</xdr:colOff>
      <xdr:row>206</xdr:row>
      <xdr:rowOff>105480</xdr:rowOff>
    </xdr:to>
    <xdr:graphicFrame>
      <xdr:nvGraphicFramePr>
        <xdr:cNvPr id="11" name="Chart 11"/>
        <xdr:cNvGraphicFramePr/>
      </xdr:nvGraphicFramePr>
      <xdr:xfrm>
        <a:off x="6744960" y="37299960"/>
        <a:ext cx="2358360" cy="220104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323280</xdr:colOff>
      <xdr:row>206</xdr:row>
      <xdr:rowOff>105480</xdr:rowOff>
    </xdr:to>
    <xdr:graphicFrame>
      <xdr:nvGraphicFramePr>
        <xdr:cNvPr id="12" name="Chart 12"/>
        <xdr:cNvGraphicFramePr/>
      </xdr:nvGraphicFramePr>
      <xdr:xfrm>
        <a:off x="10464840" y="37299960"/>
        <a:ext cx="4620960" cy="220104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283320</xdr:colOff>
      <xdr:row>222</xdr:row>
      <xdr:rowOff>106200</xdr:rowOff>
    </xdr:to>
    <xdr:graphicFrame>
      <xdr:nvGraphicFramePr>
        <xdr:cNvPr id="13" name="Chart 13"/>
        <xdr:cNvGraphicFramePr/>
      </xdr:nvGraphicFramePr>
      <xdr:xfrm>
        <a:off x="0" y="40348080"/>
        <a:ext cx="2641680" cy="220140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304920</xdr:colOff>
      <xdr:row>222</xdr:row>
      <xdr:rowOff>106200</xdr:rowOff>
    </xdr:to>
    <xdr:graphicFrame>
      <xdr:nvGraphicFramePr>
        <xdr:cNvPr id="14" name="Chart 14"/>
        <xdr:cNvGraphicFramePr/>
      </xdr:nvGraphicFramePr>
      <xdr:xfrm>
        <a:off x="3554640" y="40348080"/>
        <a:ext cx="2298960" cy="220140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70920</xdr:colOff>
      <xdr:row>222</xdr:row>
      <xdr:rowOff>106200</xdr:rowOff>
    </xdr:to>
    <xdr:graphicFrame>
      <xdr:nvGraphicFramePr>
        <xdr:cNvPr id="15" name="Chart 15"/>
        <xdr:cNvGraphicFramePr/>
      </xdr:nvGraphicFramePr>
      <xdr:xfrm>
        <a:off x="6744960" y="40348080"/>
        <a:ext cx="2358360" cy="22014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323280</xdr:colOff>
      <xdr:row>222</xdr:row>
      <xdr:rowOff>106200</xdr:rowOff>
    </xdr:to>
    <xdr:graphicFrame>
      <xdr:nvGraphicFramePr>
        <xdr:cNvPr id="16" name="Chart 16"/>
        <xdr:cNvGraphicFramePr/>
      </xdr:nvGraphicFramePr>
      <xdr:xfrm>
        <a:off x="10464840" y="40348080"/>
        <a:ext cx="4620960" cy="220140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283320</xdr:colOff>
      <xdr:row>238</xdr:row>
      <xdr:rowOff>106200</xdr:rowOff>
    </xdr:to>
    <xdr:graphicFrame>
      <xdr:nvGraphicFramePr>
        <xdr:cNvPr id="17" name="Chart 17"/>
        <xdr:cNvGraphicFramePr/>
      </xdr:nvGraphicFramePr>
      <xdr:xfrm>
        <a:off x="0" y="43395840"/>
        <a:ext cx="2641680" cy="220176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304920</xdr:colOff>
      <xdr:row>238</xdr:row>
      <xdr:rowOff>106200</xdr:rowOff>
    </xdr:to>
    <xdr:graphicFrame>
      <xdr:nvGraphicFramePr>
        <xdr:cNvPr id="18" name="Chart 18"/>
        <xdr:cNvGraphicFramePr/>
      </xdr:nvGraphicFramePr>
      <xdr:xfrm>
        <a:off x="3554640" y="43395840"/>
        <a:ext cx="2298960" cy="220176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4</xdr:col>
      <xdr:colOff>338760</xdr:colOff>
      <xdr:row>252</xdr:row>
      <xdr:rowOff>106200</xdr:rowOff>
    </xdr:to>
    <xdr:graphicFrame>
      <xdr:nvGraphicFramePr>
        <xdr:cNvPr id="19" name="Chart 19"/>
        <xdr:cNvGraphicFramePr/>
      </xdr:nvGraphicFramePr>
      <xdr:xfrm>
        <a:off x="0" y="46063080"/>
        <a:ext cx="2298240" cy="220140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52"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50" headerRowCount="1" totalsRowCount="0" totalsRowShown="0">
  <autoFilter ref="A1:J50"/>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51" headerRowCount="1" totalsRowCount="0" totalsRowShown="0">
  <tableColumns count="19">
    <tableColumn id="1" name="Ticker"/>
    <tableColumn id="2" name="Company"/>
    <tableColumn id="3" name="Rule 6&#10;Composite&#10;≥65?"/>
    <tableColumn id="4" name="Rule 7&#10;Tier1&#10;≥3.0?"/>
    <tableColumn id="5" name="Rule 8&#10;No Tier1&#10;=1?"/>
    <tableColumn id="6" name="Rule 9&#10;Above / reclaimed&#10;200-wk MA?&#10;(Y/N)"/>
    <tableColumn id="7" name="Rule 10&#10;Monthly MACD&#10;positive / turning?&#10;(Y/N)"/>
    <tableColumn id="8" name="Staging&#10;Result&#10;(Rules 9-10)"/>
    <tableColumn id="9" name="Rule 11&#10;Binary event&#10;risk present?&#10;(Y/N)"/>
    <tableColumn id="10" name="Risk included&#10;in thesis?&#10;(Y/N)"/>
    <tableColumn id="11" name="Rule 11&#10;Result"/>
    <tableColumn id="12" name="Base Case&#10;&gt;10%?"/>
    <tableColumn id="13" name="Rule 12&#10;Bear Case&#10;≥0%?"/>
    <tableColumn id="14" name="Rule 13&#10;Scenario tags&#10;OK?"/>
    <tableColumn id="15" name="P/FCF&#10;(current)"/>
    <tableColumn id="16" name="Consensus FCF&#10;growth, 2-yr&#10;annualized"/>
    <tableColumn id="17" name="Rule 14&#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51" headerRowCount="1" totalsRowCount="0" totalsRowShown="0">
  <autoFilter ref="A2:Q51"/>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49"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AC44" headerRowCount="1" totalsRowCount="0" totalsRowShown="0">
  <autoFilter ref="A2:AC44"/>
  <tableColumns count="29">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 / Exited)"/>
    <tableColumn id="10" name="Exit&#10;Date"/>
    <tableColumn id="11" name="Exit&#10;Price"/>
    <tableColumn id="12" name="Exit&#10;Reason"/>
    <tableColumn id="13" name="Current /&#10;Exit Price"/>
    <tableColumn id="14" name="SPY Price&#10;(current / exit)"/>
    <tableColumn id="15" name="Total Return&#10;Since Entry"/>
    <tableColumn id="16" name="SPY Return&#10;Same Period"/>
    <tableColumn id="17" name="Excess&#10;Return"/>
    <tableColumn id="18" name="Type"/>
    <tableColumn id="19" name="Basis"/>
    <tableColumn id="20" name="Lot&#10;Shares"/>
    <tableColumn id="21" name="Shares"/>
    <tableColumn id="22" name="Entry&#10;Value"/>
    <tableColumn id="23" name="Current /&#10;Exit Value"/>
    <tableColumn id="24" name="Gain /&#10;(Loss)"/>
    <tableColumn id="25" name="YTD Base&#10;Price"/>
    <tableColumn id="26" name="YTD Base&#10;Value"/>
    <tableColumn id="27" name="YTD Gain /&#10;(Loss)"/>
    <tableColumn id="28" name="YTD&#10;Return"/>
    <tableColumn id="29" name="SPY Gain&#10;(same $)"/>
  </tableColumns>
</table>
</file>

<file path=xl/tables/table9.xml><?xml version="1.0" encoding="utf-8"?>
<table xmlns="http://schemas.openxmlformats.org/spreadsheetml/2006/main" id="9" name="ProcessChecklistTable" displayName="ProcessChecklistTable" ref="A4:F121"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M22" headerRowCount="1" totalsRowCount="0" totalsRowShown="0">
  <tableColumns count="13">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 id="13" name="Trims Taken&#10;(0-3, Rule 34)"/>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6" t="s">
        <v>23</v>
      </c>
    </row>
    <row r="28" customFormat="false" ht="14.25" hidden="false" customHeight="true" outlineLevel="0" collapsed="false">
      <c r="A28" s="6" t="s">
        <v>24</v>
      </c>
    </row>
    <row r="29" customFormat="false" ht="14.25" hidden="false" customHeight="true" outlineLevel="0" collapsed="false">
      <c r="A29" s="3" t="s">
        <v>25</v>
      </c>
    </row>
    <row r="30" customFormat="false" ht="14.25" hidden="false" customHeight="true" outlineLevel="0" collapsed="false">
      <c r="A30" s="3" t="s">
        <v>26</v>
      </c>
    </row>
    <row r="31" customFormat="false" ht="32.25" hidden="false" customHeight="true" outlineLevel="0" collapsed="false">
      <c r="A31" s="3"/>
    </row>
    <row r="32" customFormat="false" ht="14.25" hidden="false" customHeight="true" outlineLevel="0" collapsed="false">
      <c r="A32" s="5" t="s">
        <v>27</v>
      </c>
    </row>
    <row r="33" customFormat="false" ht="32.25" hidden="false" customHeight="true" outlineLevel="0" collapsed="false">
      <c r="A33" s="3" t="s">
        <v>28</v>
      </c>
    </row>
    <row r="34" customFormat="false" ht="14.25" hidden="false" customHeight="true" outlineLevel="0" collapsed="false">
      <c r="A34" s="3" t="s">
        <v>29</v>
      </c>
    </row>
    <row r="35" customFormat="false" ht="21.75" hidden="false" customHeight="true" outlineLevel="0" collapsed="false"/>
    <row r="36" customFormat="false" ht="14.25" hidden="false" customHeight="true" outlineLevel="0" collapsed="false">
      <c r="A36" s="7" t="s">
        <v>30</v>
      </c>
    </row>
    <row r="37" customFormat="false" ht="14.25" hidden="false" customHeight="true" outlineLevel="0" collapsed="false">
      <c r="A37" s="8" t="s">
        <v>31</v>
      </c>
    </row>
    <row r="38" customFormat="false" ht="14.25" hidden="false" customHeight="true" outlineLevel="0" collapsed="false">
      <c r="A38" s="3"/>
    </row>
    <row r="39" customFormat="false" ht="14.25" hidden="false" customHeight="true" outlineLevel="0" collapsed="false">
      <c r="A39" s="5"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28.5" hidden="false" customHeight="true" outlineLevel="0" collapsed="false">
      <c r="A47" s="3" t="s">
        <v>40</v>
      </c>
    </row>
    <row r="48" customFormat="false" ht="42.75" hidden="false" customHeight="true" outlineLevel="0" collapsed="false">
      <c r="A48" s="3" t="s">
        <v>41</v>
      </c>
    </row>
    <row r="49" customFormat="false" ht="14.25" hidden="false" customHeight="true" outlineLevel="0" collapsed="false">
      <c r="A49" s="3"/>
    </row>
    <row r="50" customFormat="false" ht="45.75" hidden="false" customHeight="true" outlineLevel="0" collapsed="false">
      <c r="A50" s="3" t="s">
        <v>42</v>
      </c>
    </row>
    <row r="51" customFormat="false" ht="34.5" hidden="false" customHeight="true" outlineLevel="0" collapsed="false">
      <c r="A51" s="3"/>
    </row>
    <row r="52" customFormat="false" ht="14.25" hidden="false" customHeight="true" outlineLevel="0" collapsed="false">
      <c r="A52" s="9" t="s">
        <v>43</v>
      </c>
    </row>
    <row r="53" customFormat="false" ht="75" hidden="false" customHeight="true" outlineLevel="0" collapsed="false">
      <c r="A53" s="9"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row r="58" customFormat="false" ht="14.25" hidden="false" customHeight="true" outlineLevel="0" collapsed="false">
      <c r="A58" s="1" t="s">
        <v>49</v>
      </c>
    </row>
    <row r="59" customFormat="false" ht="14.25" hidden="false" customHeight="true" outlineLevel="0" collapsed="false">
      <c r="A59" s="1" t="s">
        <v>50</v>
      </c>
    </row>
    <row r="61" customFormat="false" ht="79.5" hidden="false" customHeight="true" outlineLevel="0" collapsed="false">
      <c r="A61" s="3" t="s">
        <v>51</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E5" activeCellId="0" sqref="E5"/>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3"/>
    <col collapsed="false" customWidth="true" hidden="false" outlineLevel="0" max="6" min="6" style="1" width="8"/>
  </cols>
  <sheetData>
    <row r="1" s="11" customFormat="true" ht="54" hidden="false" customHeight="true" outlineLevel="0" collapsed="false">
      <c r="A1" s="10" t="s">
        <v>52</v>
      </c>
      <c r="B1" s="10"/>
      <c r="C1" s="10"/>
      <c r="D1" s="10"/>
      <c r="E1" s="10"/>
      <c r="F1" s="10"/>
    </row>
    <row r="2" customFormat="false" ht="15" hidden="false" customHeight="true" outlineLevel="0" collapsed="false">
      <c r="A2" s="12" t="s">
        <v>53</v>
      </c>
      <c r="B2" s="12"/>
      <c r="C2" s="12"/>
      <c r="D2" s="12"/>
      <c r="E2" s="12"/>
      <c r="F2" s="12"/>
    </row>
    <row r="4" customFormat="false" ht="15" hidden="false" customHeight="true" outlineLevel="0" collapsed="false">
      <c r="A4" s="13" t="s">
        <v>54</v>
      </c>
      <c r="B4" s="13"/>
      <c r="C4" s="13"/>
      <c r="D4" s="13"/>
      <c r="E4" s="13"/>
      <c r="F4" s="13"/>
    </row>
    <row r="5" customFormat="false" ht="15" hidden="false" customHeight="true" outlineLevel="0" collapsed="false">
      <c r="A5" s="14" t="s">
        <v>55</v>
      </c>
      <c r="B5" s="14"/>
      <c r="C5" s="14"/>
      <c r="D5" s="14"/>
      <c r="E5" s="15" t="n">
        <f aca="false">COUNTIF('Watch List Tracker'!K3:K22,"*SELL WITHIN 30 DAYS*")</f>
        <v>1</v>
      </c>
      <c r="F5" s="15"/>
    </row>
    <row r="6" customFormat="false" ht="15" hidden="false" customHeight="true" outlineLevel="0" collapsed="false">
      <c r="A6" s="14" t="s">
        <v>56</v>
      </c>
      <c r="B6" s="14"/>
      <c r="C6" s="14"/>
      <c r="D6" s="14"/>
      <c r="E6" s="15" t="n">
        <f aca="false">COUNTIF('Watch List Tracker'!K3:K22,"DEADLINE APPROACHING")</f>
        <v>0</v>
      </c>
      <c r="F6" s="15"/>
    </row>
    <row r="7" customFormat="false" ht="15" hidden="false" customHeight="true" outlineLevel="0" collapsed="false">
      <c r="A7" s="14" t="s">
        <v>57</v>
      </c>
      <c r="B7" s="14"/>
      <c r="C7" s="14"/>
      <c r="D7" s="14"/>
      <c r="E7" s="15" t="n">
        <f aca="false">COUNTIF('Watch List Tracker'!K3:K22,"*RECOVERED*")</f>
        <v>0</v>
      </c>
      <c r="F7" s="15"/>
    </row>
    <row r="8" customFormat="false" ht="15" hidden="false" customHeight="true" outlineLevel="0" collapsed="false">
      <c r="A8" s="16"/>
      <c r="B8" s="16"/>
      <c r="C8" s="16"/>
      <c r="D8" s="16"/>
    </row>
    <row r="9" customFormat="false" ht="15" hidden="false" customHeight="true" outlineLevel="0" collapsed="false">
      <c r="A9" s="13" t="s">
        <v>58</v>
      </c>
      <c r="B9" s="13"/>
      <c r="C9" s="13"/>
      <c r="D9" s="13"/>
      <c r="E9" s="13"/>
      <c r="F9" s="13"/>
    </row>
    <row r="10" customFormat="false" ht="15" hidden="false" customHeight="true" outlineLevel="0" collapsed="false">
      <c r="A10" s="14" t="s">
        <v>59</v>
      </c>
      <c r="B10" s="14"/>
      <c r="C10" s="14"/>
      <c r="D10" s="14"/>
      <c r="E10" s="15" t="n">
        <f aca="false">COUNTIF('Holding Monitor'!AB4:AB23,"*ACTION REQUIRED*")</f>
        <v>0</v>
      </c>
      <c r="F10" s="15"/>
    </row>
    <row r="11" customFormat="false" ht="15" hidden="false" customHeight="true" outlineLevel="0" collapsed="false">
      <c r="A11" s="14" t="s">
        <v>60</v>
      </c>
      <c r="B11" s="14"/>
      <c r="C11" s="14"/>
      <c r="D11" s="14"/>
      <c r="E11" s="15" t="n">
        <f aca="false">COUNTIF('Holding Monitor'!AB4:AB23,"*Hold Through*")</f>
        <v>0</v>
      </c>
      <c r="F11" s="15"/>
    </row>
    <row r="12" customFormat="false" ht="15" hidden="false" customHeight="true" outlineLevel="0" collapsed="false">
      <c r="A12" s="16"/>
      <c r="B12" s="16"/>
      <c r="C12" s="16"/>
      <c r="D12" s="16"/>
    </row>
    <row r="13" customFormat="false" ht="15" hidden="false" customHeight="true" outlineLevel="0" collapsed="false">
      <c r="A13" s="13" t="s">
        <v>61</v>
      </c>
      <c r="B13" s="13"/>
      <c r="C13" s="13"/>
      <c r="D13" s="13"/>
      <c r="E13" s="13"/>
      <c r="F13" s="13"/>
    </row>
    <row r="14" customFormat="false" ht="15" hidden="false" customHeight="true" outlineLevel="0" collapsed="false">
      <c r="A14" s="14" t="s">
        <v>62</v>
      </c>
      <c r="B14" s="14"/>
      <c r="C14" s="14"/>
      <c r="D14" s="14"/>
      <c r="E14" s="17" t="str">
        <f aca="false">'Correlation Matrix'!J3</f>
        <v>REVIEW REQUIRED</v>
      </c>
      <c r="F14" s="17"/>
    </row>
    <row r="15" customFormat="false" ht="15" hidden="false" customHeight="true" outlineLevel="0" collapsed="false">
      <c r="A15" s="14" t="s">
        <v>63</v>
      </c>
      <c r="B15" s="14"/>
      <c r="C15" s="14"/>
      <c r="D15" s="14"/>
      <c r="E15" s="18" t="n">
        <f aca="false">'Correlation Matrix'!J2</f>
        <v>11</v>
      </c>
      <c r="F15" s="18"/>
    </row>
    <row r="16" customFormat="false" ht="15" hidden="false" customHeight="true" outlineLevel="0" collapsed="false">
      <c r="A16" s="16"/>
      <c r="B16" s="16"/>
      <c r="C16" s="16"/>
      <c r="D16" s="16"/>
    </row>
    <row r="17" customFormat="false" ht="15" hidden="false" customHeight="true" outlineLevel="0" collapsed="false">
      <c r="A17" s="13" t="s">
        <v>64</v>
      </c>
      <c r="B17" s="13"/>
      <c r="C17" s="13"/>
      <c r="D17" s="13"/>
      <c r="E17" s="13"/>
      <c r="F17" s="13"/>
    </row>
    <row r="18" customFormat="false" ht="15" hidden="false" customHeight="true" outlineLevel="0" collapsed="false">
      <c r="A18" s="14" t="s">
        <v>65</v>
      </c>
      <c r="B18" s="14"/>
      <c r="C18" s="14"/>
      <c r="D18" s="14"/>
      <c r="E18" s="15" t="str">
        <f aca="false">IFERROR(INDEX('Portfolio Drawdown Log'!E3:E42,COUNT('Portfolio Drawdown Log'!D3:D42)),"No entries yet")</f>
        <v>Normal</v>
      </c>
      <c r="F18" s="15"/>
    </row>
    <row r="19" customFormat="false" ht="15" hidden="false" customHeight="true" outlineLevel="0" collapsed="false">
      <c r="A19" s="14" t="s">
        <v>66</v>
      </c>
      <c r="B19" s="14"/>
      <c r="C19" s="14"/>
      <c r="D19" s="14"/>
      <c r="E19" s="19" t="n">
        <f aca="false">IFERROR(INDEX('Portfolio Drawdown Log'!D3:D42,COUNT('Portfolio Drawdown Log'!D3:D42)),"")</f>
        <v>0</v>
      </c>
      <c r="F19" s="19"/>
    </row>
    <row r="20" customFormat="false" ht="15" hidden="false" customHeight="true" outlineLevel="0" collapsed="false">
      <c r="A20" s="14" t="s">
        <v>67</v>
      </c>
      <c r="B20" s="14"/>
      <c r="C20" s="14"/>
      <c r="D20" s="14"/>
      <c r="E20" s="15" t="str">
        <f aca="false">IFERROR(INDEX('Portfolio Drawdown Log'!F3:F42,COUNT('Portfolio Drawdown Log'!D3:D42)),"")</f>
        <v>5-15%</v>
      </c>
      <c r="F20" s="15"/>
    </row>
    <row r="21" customFormat="false" ht="15" hidden="false" customHeight="true" outlineLevel="0" collapsed="false">
      <c r="A21" s="16"/>
      <c r="B21" s="16"/>
      <c r="C21" s="16"/>
      <c r="D21" s="16"/>
    </row>
    <row r="22" customFormat="false" ht="15" hidden="false" customHeight="true" outlineLevel="0" collapsed="false">
      <c r="A22" s="13" t="s">
        <v>68</v>
      </c>
      <c r="B22" s="13"/>
      <c r="C22" s="13"/>
      <c r="D22" s="13"/>
      <c r="E22" s="13"/>
      <c r="F22" s="13"/>
    </row>
    <row r="23" customFormat="false" ht="15" hidden="false" customHeight="true" outlineLevel="0" collapsed="false">
      <c r="A23" s="14" t="s">
        <v>69</v>
      </c>
      <c r="B23" s="14"/>
      <c r="C23" s="14"/>
      <c r="D23" s="14"/>
      <c r="E23" s="15" t="n">
        <f aca="false">COUNTIF(Scoring!AH3:AH60,"FAIL")</f>
        <v>19</v>
      </c>
      <c r="F23" s="15"/>
    </row>
    <row r="24" customFormat="false" ht="15" hidden="false" customHeight="true" outlineLevel="0" collapsed="false">
      <c r="A24" s="14" t="s">
        <v>70</v>
      </c>
      <c r="B24" s="14"/>
      <c r="C24" s="14"/>
      <c r="D24" s="14"/>
      <c r="E24" s="15" t="n">
        <f aca="false">COUNTIF(Scoring!AJ3:AJ60,"AVOID")</f>
        <v>21</v>
      </c>
      <c r="F24" s="15"/>
    </row>
    <row r="25" customFormat="false" ht="15" hidden="false" customHeight="true" outlineLevel="0" collapsed="false">
      <c r="A25" s="14" t="s">
        <v>71</v>
      </c>
      <c r="B25" s="14"/>
      <c r="C25" s="14"/>
      <c r="D25" s="14"/>
      <c r="E25" s="15" t="n">
        <f aca="false">COUNTIF(Scoring!AI3:AI60,"REVIEW")</f>
        <v>14</v>
      </c>
      <c r="F25" s="15"/>
    </row>
    <row r="26" customFormat="false" ht="15" hidden="false" customHeight="true" outlineLevel="0" collapsed="false">
      <c r="A26" s="14" t="s">
        <v>72</v>
      </c>
      <c r="B26" s="14"/>
      <c r="C26" s="14"/>
      <c r="D26" s="14"/>
      <c r="E26" s="15" t="n">
        <f aca="false">COUNTIF(Scoring!AK3:AK60,"CAP AT BUY")</f>
        <v>0</v>
      </c>
      <c r="F26" s="15"/>
    </row>
    <row r="27" customFormat="false" ht="15" hidden="false" customHeight="true" outlineLevel="0" collapsed="false">
      <c r="A27" s="13" t="s">
        <v>73</v>
      </c>
      <c r="B27" s="13"/>
      <c r="C27" s="13"/>
      <c r="D27" s="13"/>
      <c r="E27" s="13"/>
      <c r="F27" s="13"/>
    </row>
    <row r="28" customFormat="false" ht="15" hidden="false" customHeight="true" outlineLevel="0" collapsed="false">
      <c r="A28" s="20" t="s">
        <v>74</v>
      </c>
      <c r="B28" s="20"/>
      <c r="C28" s="20"/>
      <c r="D28" s="20"/>
      <c r="E28" s="15" t="n">
        <f aca="false">COUNTIF('Entry Checklist'!R3:R51,"NO*")</f>
        <v>2</v>
      </c>
      <c r="F28" s="15"/>
    </row>
    <row r="29" customFormat="false" ht="15" hidden="false" customHeight="true" outlineLevel="0" collapsed="false">
      <c r="A29" s="20" t="s">
        <v>75</v>
      </c>
      <c r="B29" s="20"/>
      <c r="C29" s="20"/>
      <c r="D29" s="20"/>
      <c r="E29" s="15" t="n">
        <f aca="false">COUNTIF('Entry Checklist'!H3:H51,"*50%*")</f>
        <v>1</v>
      </c>
      <c r="F29" s="15"/>
    </row>
    <row r="30" customFormat="false" ht="15" hidden="false" customHeight="true" outlineLevel="0" collapsed="false">
      <c r="A30" s="16"/>
      <c r="B30" s="16"/>
      <c r="C30" s="16"/>
      <c r="D30" s="16"/>
    </row>
    <row r="31" customFormat="false" ht="55.5" hidden="false" customHeight="true" outlineLevel="0" collapsed="false">
      <c r="A31" s="21" t="s">
        <v>76</v>
      </c>
      <c r="B31" s="21"/>
      <c r="C31" s="21"/>
      <c r="D31" s="21"/>
      <c r="E31" s="21"/>
      <c r="F31" s="21"/>
    </row>
    <row r="32" customFormat="false" ht="29.25" hidden="false" customHeight="true" outlineLevel="0" collapsed="false">
      <c r="A32" s="22" t="s">
        <v>77</v>
      </c>
      <c r="B32" s="22"/>
      <c r="C32" s="22"/>
      <c r="D32" s="22"/>
      <c r="E32" s="15" t="n">
        <f aca="false">COUNTIF(Scoring!AP3:AP60,"LOW CONF")</f>
        <v>2</v>
      </c>
      <c r="F32" s="15"/>
    </row>
    <row r="33" customFormat="false" ht="15" hidden="false" customHeight="true" outlineLevel="0" collapsed="false">
      <c r="A33" s="14" t="s">
        <v>78</v>
      </c>
      <c r="B33" s="14"/>
      <c r="C33" s="14"/>
      <c r="D33" s="14"/>
      <c r="E33" s="15" t="n">
        <f aca="false">COUNTIF(Scoring!AS3:AS60,"Increased")</f>
        <v>5</v>
      </c>
      <c r="F33" s="15"/>
    </row>
    <row r="34" customFormat="false" ht="15" hidden="false" customHeight="true" outlineLevel="0" collapsed="false">
      <c r="A34" s="16"/>
      <c r="B34" s="16"/>
      <c r="C34" s="16"/>
      <c r="D34" s="16"/>
    </row>
    <row r="35" customFormat="false" ht="15" hidden="false" customHeight="true" outlineLevel="0" collapsed="false">
      <c r="A35" s="16"/>
      <c r="B35" s="16"/>
      <c r="C35" s="16"/>
      <c r="D35" s="16"/>
    </row>
    <row r="36" customFormat="false" ht="15" hidden="false" customHeight="true" outlineLevel="0" collapsed="false">
      <c r="A36" s="16"/>
      <c r="B36" s="16"/>
      <c r="C36" s="16"/>
      <c r="D36" s="16"/>
    </row>
    <row r="37" customFormat="false" ht="15" hidden="false" customHeight="true" outlineLevel="0" collapsed="false">
      <c r="A37" s="16"/>
      <c r="B37" s="16"/>
      <c r="C37" s="16"/>
      <c r="D37" s="16"/>
    </row>
    <row r="38" customFormat="false" ht="15" hidden="false" customHeight="true" outlineLevel="0" collapsed="false">
      <c r="A38" s="16"/>
      <c r="B38" s="16"/>
      <c r="C38" s="16"/>
      <c r="D38" s="16"/>
    </row>
    <row r="39" customFormat="false" ht="15" hidden="false" customHeight="true" outlineLevel="0" collapsed="false">
      <c r="A39" s="16"/>
      <c r="B39" s="16"/>
      <c r="C39" s="16"/>
      <c r="D39" s="16"/>
    </row>
    <row r="40" customFormat="false" ht="15" hidden="false" customHeight="true" outlineLevel="0" collapsed="false">
      <c r="A40" s="16"/>
      <c r="B40" s="16"/>
      <c r="C40" s="16"/>
      <c r="D40" s="16"/>
    </row>
    <row r="41" customFormat="false" ht="15" hidden="false" customHeight="true" outlineLevel="0" collapsed="false">
      <c r="A41" s="16"/>
      <c r="B41" s="16"/>
      <c r="C41" s="16"/>
      <c r="D41" s="16"/>
    </row>
    <row r="42" customFormat="false" ht="15" hidden="false" customHeight="true" outlineLevel="0" collapsed="false">
      <c r="A42" s="16"/>
      <c r="B42" s="16"/>
      <c r="C42" s="16"/>
      <c r="D42" s="16"/>
    </row>
    <row r="43" customFormat="false" ht="15" hidden="false" customHeight="true" outlineLevel="0" collapsed="false">
      <c r="A43" s="16"/>
      <c r="B43" s="16"/>
      <c r="C43" s="16"/>
      <c r="D43" s="16"/>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D22" activeCellId="0" sqref="D22"/>
    </sheetView>
  </sheetViews>
  <sheetFormatPr defaultColWidth="8.66796875" defaultRowHeight="15" customHeight="false" zeroHeight="false" outlineLevelRow="2" outlineLevelCol="0"/>
  <cols>
    <col collapsed="false" customWidth="true" hidden="false" outlineLevel="0" max="1" min="1" style="1" width="11"/>
    <col collapsed="false" customWidth="true" hidden="false" outlineLevel="0" max="2" min="2" style="23" width="9"/>
    <col collapsed="false" customWidth="true" hidden="false" outlineLevel="0" max="3" min="3" style="1" width="30"/>
    <col collapsed="false" customWidth="true" hidden="false" outlineLevel="0" max="4" min="4" style="23" width="11.16"/>
    <col collapsed="false" customWidth="true" hidden="false" outlineLevel="0" max="5" min="5" style="1" width="11.83"/>
    <col collapsed="false" customWidth="true" hidden="false" outlineLevel="0" max="6" min="6" style="24" width="10"/>
    <col collapsed="false" customWidth="true" hidden="false" outlineLevel="0" max="7" min="7" style="1" width="13.67"/>
    <col collapsed="false" customWidth="true" hidden="false" outlineLevel="0" max="8" min="8" style="1" width="13"/>
    <col collapsed="false" customWidth="true" hidden="false" outlineLevel="0" max="9" min="9" style="1" width="9.83"/>
    <col collapsed="false" customWidth="true" hidden="false" outlineLevel="0" max="10" min="10" style="23" width="11"/>
    <col collapsed="false" customWidth="false" hidden="false" outlineLevel="0" max="11" min="11" style="23" width="8.67"/>
    <col collapsed="false" customWidth="true" hidden="false" outlineLevel="0" max="12" min="12" style="23"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5" t="s">
        <v>79</v>
      </c>
      <c r="B1" s="25"/>
      <c r="C1" s="25"/>
      <c r="D1" s="25"/>
      <c r="E1" s="25"/>
      <c r="F1" s="25"/>
      <c r="G1" s="25"/>
      <c r="H1" s="25"/>
      <c r="I1" s="25"/>
      <c r="J1" s="25"/>
      <c r="K1" s="25"/>
      <c r="L1" s="25"/>
      <c r="M1" s="25"/>
      <c r="O1" s="26" t="s">
        <v>80</v>
      </c>
      <c r="P1" s="26"/>
    </row>
    <row r="2" customFormat="false" ht="26.25" hidden="false" customHeight="true" outlineLevel="0" collapsed="false">
      <c r="A2" s="27" t="s">
        <v>81</v>
      </c>
      <c r="B2" s="27" t="s">
        <v>82</v>
      </c>
      <c r="C2" s="27" t="s">
        <v>83</v>
      </c>
      <c r="D2" s="27" t="s">
        <v>84</v>
      </c>
      <c r="E2" s="27" t="s">
        <v>85</v>
      </c>
      <c r="F2" s="27" t="s">
        <v>86</v>
      </c>
      <c r="G2" s="27" t="s">
        <v>87</v>
      </c>
      <c r="H2" s="27" t="s">
        <v>88</v>
      </c>
      <c r="I2" s="27" t="s">
        <v>89</v>
      </c>
      <c r="J2" s="27" t="s">
        <v>90</v>
      </c>
      <c r="K2" s="27" t="s">
        <v>91</v>
      </c>
      <c r="L2" s="27" t="s">
        <v>92</v>
      </c>
      <c r="M2" s="27" t="s">
        <v>93</v>
      </c>
      <c r="O2" s="1" t="s">
        <v>94</v>
      </c>
    </row>
    <row r="3" customFormat="false" ht="15" hidden="false" customHeight="true" outlineLevel="0" collapsed="false">
      <c r="A3" s="28" t="s">
        <v>95</v>
      </c>
      <c r="B3" s="29" t="s">
        <v>96</v>
      </c>
      <c r="C3" s="30" t="s">
        <v>97</v>
      </c>
      <c r="D3" s="31" t="s">
        <v>98</v>
      </c>
      <c r="E3" s="32" t="n">
        <v>65</v>
      </c>
      <c r="F3" s="33" t="n">
        <f aca="false">IF(IFERROR(INDEX('Monitor &amp; Recheck Triggers'!$H$3:$H$51,MATCH($B3,'Monitor &amp; Recheck Triggers'!$A$3:$A$51,0)),"")="",237.69,INDEX('Monitor &amp; Recheck Triggers'!$H$3:$H$51,MATCH($B3,'Monitor &amp; Recheck Triggers'!$A$3:$A$51,0)))</f>
        <v>237.69</v>
      </c>
      <c r="G3" s="34" t="n">
        <f aca="false">E3*F3</f>
        <v>15449.85</v>
      </c>
      <c r="H3" s="35" t="n">
        <v>19163.84</v>
      </c>
      <c r="I3" s="36" t="n">
        <f aca="false">G3-H3</f>
        <v>-3713.99</v>
      </c>
      <c r="J3" s="37" t="n">
        <f aca="false">IF(H3=0,"",G3/H3-1)</f>
        <v>-0.193801972882262</v>
      </c>
      <c r="K3" s="37" t="n">
        <f aca="false">IFERROR(G3/SUM(G3:G24),"")</f>
        <v>0.0390355509488583</v>
      </c>
      <c r="L3" s="37" t="n">
        <f aca="false">IFERROR(G3/(SUM(G3:G24,G28:G47)),"")</f>
        <v>0.0216815394229361</v>
      </c>
      <c r="M3" s="28" t="s">
        <v>99</v>
      </c>
      <c r="O3" s="1" t="s">
        <v>100</v>
      </c>
    </row>
    <row r="4" customFormat="false" ht="15" hidden="false" customHeight="true" outlineLevel="0" collapsed="false">
      <c r="A4" s="28" t="s">
        <v>95</v>
      </c>
      <c r="B4" s="29" t="s">
        <v>101</v>
      </c>
      <c r="C4" s="30" t="s">
        <v>102</v>
      </c>
      <c r="D4" s="31" t="s">
        <v>98</v>
      </c>
      <c r="E4" s="32" t="n">
        <v>70</v>
      </c>
      <c r="F4" s="33" t="n">
        <f aca="false">IF(IFERROR(INDEX('Monitor &amp; Recheck Triggers'!$H$3:$H$51,MATCH($B4,'Monitor &amp; Recheck Triggers'!$A$3:$A$51,0)),"")="",207.35,INDEX('Monitor &amp; Recheck Triggers'!$H$3:$H$51,MATCH($B4,'Monitor &amp; Recheck Triggers'!$A$3:$A$51,0)))</f>
        <v>207.35</v>
      </c>
      <c r="G4" s="34" t="n">
        <f aca="false">E4*F4</f>
        <v>14514.5</v>
      </c>
      <c r="H4" s="35" t="n">
        <v>10182.2</v>
      </c>
      <c r="I4" s="36" t="n">
        <f aca="false">G4-H4</f>
        <v>4332.3</v>
      </c>
      <c r="J4" s="37" t="n">
        <f aca="false">IF(H4=0,"",G4/H4-1)</f>
        <v>0.425477794582703</v>
      </c>
      <c r="K4" s="37" t="n">
        <f aca="false">IFERROR(G4/SUM(G3:G24),"")</f>
        <v>0.0366722980642016</v>
      </c>
      <c r="L4" s="37" t="n">
        <f aca="false">IFERROR(G4/(SUM(G3:G24,G28:G47)),"")</f>
        <v>0.0203689164590081</v>
      </c>
      <c r="M4" s="28"/>
    </row>
    <row r="5" customFormat="false" ht="15" hidden="false" customHeight="true" outlineLevel="0" collapsed="false">
      <c r="A5" s="28" t="s">
        <v>95</v>
      </c>
      <c r="B5" s="29" t="s">
        <v>103</v>
      </c>
      <c r="C5" s="30" t="s">
        <v>104</v>
      </c>
      <c r="D5" s="31" t="s">
        <v>98</v>
      </c>
      <c r="E5" s="32" t="n">
        <v>7</v>
      </c>
      <c r="F5" s="33" t="n">
        <f aca="false">IF(IFERROR(INDEX('Monitor &amp; Recheck Triggers'!$H$3:$H$51,MATCH($B5,'Monitor &amp; Recheck Triggers'!$A$3:$A$51,0)),"")="",1867.31,INDEX('Monitor &amp; Recheck Triggers'!$H$3:$H$51,MATCH($B5,'Monitor &amp; Recheck Triggers'!$A$3:$A$51,0)))</f>
        <v>1867.31</v>
      </c>
      <c r="G5" s="34" t="n">
        <f aca="false">E5*F5</f>
        <v>13071.17</v>
      </c>
      <c r="H5" s="35" t="n">
        <v>9989.88</v>
      </c>
      <c r="I5" s="36" t="n">
        <f aca="false">G5-H5</f>
        <v>3081.29</v>
      </c>
      <c r="J5" s="37" t="n">
        <f aca="false">IF(H5=0,"",G5/H5-1)</f>
        <v>0.308441142436146</v>
      </c>
      <c r="K5" s="37" t="n">
        <f aca="false">IFERROR(G5/SUM(G3:G24),"")</f>
        <v>0.0330255842287264</v>
      </c>
      <c r="L5" s="37" t="n">
        <f aca="false">IFERROR(G5/(SUM(G3:G24,G28:G47)),"")</f>
        <v>0.0183434200111263</v>
      </c>
      <c r="M5" s="28"/>
    </row>
    <row r="6" customFormat="false" ht="15" hidden="false" customHeight="true" outlineLevel="0" collapsed="false">
      <c r="A6" s="28" t="s">
        <v>95</v>
      </c>
      <c r="B6" s="29" t="s">
        <v>105</v>
      </c>
      <c r="C6" s="30" t="s">
        <v>106</v>
      </c>
      <c r="D6" s="31" t="s">
        <v>98</v>
      </c>
      <c r="E6" s="32" t="n">
        <v>40</v>
      </c>
      <c r="F6" s="33" t="n">
        <f aca="false">IF(IFERROR(INDEX('Monitor &amp; Recheck Triggers'!$H$3:$H$51,MATCH($B6,'Monitor &amp; Recheck Triggers'!$A$3:$A$51,0)),"")="",270.04,INDEX('Monitor &amp; Recheck Triggers'!$H$3:$H$51,MATCH($B6,'Monitor &amp; Recheck Triggers'!$A$3:$A$51,0)))</f>
        <v>270.04</v>
      </c>
      <c r="G6" s="34" t="n">
        <f aca="false">E6*F6</f>
        <v>10801.6</v>
      </c>
      <c r="H6" s="35" t="n">
        <v>4991.35</v>
      </c>
      <c r="I6" s="36" t="n">
        <f aca="false">G6-H6</f>
        <v>5810.25</v>
      </c>
      <c r="J6" s="37" t="n">
        <f aca="false">IF(H6=0,"",G6/H6-1)</f>
        <v>1.16406383042664</v>
      </c>
      <c r="K6" s="37" t="n">
        <f aca="false">IFERROR(G6/SUM(G3:G24),"")</f>
        <v>0.0272912945516745</v>
      </c>
      <c r="L6" s="37" t="n">
        <f aca="false">IFERROR(G6/(SUM(G3:G24,G28:G47)),"")</f>
        <v>0.0151584200643234</v>
      </c>
      <c r="M6" s="28"/>
    </row>
    <row r="7" customFormat="false" ht="15" hidden="false" customHeight="true" outlineLevel="0" collapsed="false">
      <c r="A7" s="28" t="s">
        <v>95</v>
      </c>
      <c r="B7" s="29" t="s">
        <v>107</v>
      </c>
      <c r="C7" s="30" t="s">
        <v>108</v>
      </c>
      <c r="D7" s="31" t="s">
        <v>98</v>
      </c>
      <c r="E7" s="32" t="n">
        <v>100</v>
      </c>
      <c r="F7" s="33" t="n">
        <f aca="false">IF(IFERROR(INDEX('Monitor &amp; Recheck Triggers'!$H$3:$H$51,MATCH($B7,'Monitor &amp; Recheck Triggers'!$A$3:$A$51,0)),"")="",206.89,INDEX('Monitor &amp; Recheck Triggers'!$H$3:$H$51,MATCH($B7,'Monitor &amp; Recheck Triggers'!$A$3:$A$51,0)))</f>
        <v>206.89</v>
      </c>
      <c r="G7" s="34" t="n">
        <f aca="false">E7*F7</f>
        <v>20689</v>
      </c>
      <c r="H7" s="35" t="n">
        <v>15412.54</v>
      </c>
      <c r="I7" s="36" t="n">
        <f aca="false">G7-H7</f>
        <v>5276.46</v>
      </c>
      <c r="J7" s="37" t="n">
        <f aca="false">IF(H7=0,"",G7/H7-1)</f>
        <v>0.342348503231784</v>
      </c>
      <c r="K7" s="37" t="n">
        <f aca="false">IFERROR(G7/SUM(G3:G24),"")</f>
        <v>0.0522727737538507</v>
      </c>
      <c r="L7" s="37" t="n">
        <f aca="false">IFERROR(G7/(SUM(G3:G24,G28:G47)),"")</f>
        <v>0.0290338980068496</v>
      </c>
      <c r="M7" s="28"/>
    </row>
    <row r="8" customFormat="false" ht="15" hidden="false" customHeight="true" outlineLevel="0" collapsed="false">
      <c r="A8" s="28" t="s">
        <v>95</v>
      </c>
      <c r="B8" s="29" t="s">
        <v>109</v>
      </c>
      <c r="C8" s="30" t="s">
        <v>110</v>
      </c>
      <c r="D8" s="31" t="s">
        <v>98</v>
      </c>
      <c r="E8" s="32" t="n">
        <v>7</v>
      </c>
      <c r="F8" s="33" t="n">
        <f aca="false">IF(IFERROR(INDEX('Monitor &amp; Recheck Triggers'!$H$3:$H$51,MATCH($B8,'Monitor &amp; Recheck Triggers'!$A$3:$A$51,0)),"")="",1074.89,INDEX('Monitor &amp; Recheck Triggers'!$H$3:$H$51,MATCH($B8,'Monitor &amp; Recheck Triggers'!$A$3:$A$51,0)))</f>
        <v>1074.89</v>
      </c>
      <c r="G8" s="34" t="n">
        <f aca="false">E8*F8</f>
        <v>7524.23</v>
      </c>
      <c r="H8" s="35" t="n">
        <v>5836.11</v>
      </c>
      <c r="I8" s="36" t="n">
        <f aca="false">G8-H8</f>
        <v>1688.12</v>
      </c>
      <c r="J8" s="37" t="n">
        <f aca="false">IF(H8=0,"",G8/H8-1)</f>
        <v>0.289254314946086</v>
      </c>
      <c r="K8" s="37" t="n">
        <f aca="false">IFERROR(G8/SUM(G3:G24),"")</f>
        <v>0.0190107000078272</v>
      </c>
      <c r="L8" s="37" t="n">
        <f aca="false">IFERROR(G8/(SUM(G3:G24,G28:G47)),"")</f>
        <v>0.0105591244816124</v>
      </c>
      <c r="M8" s="28"/>
    </row>
    <row r="9" customFormat="false" ht="15" hidden="false" customHeight="true" outlineLevel="0" collapsed="false">
      <c r="A9" s="28" t="s">
        <v>95</v>
      </c>
      <c r="B9" s="29" t="s">
        <v>111</v>
      </c>
      <c r="C9" s="30" t="s">
        <v>112</v>
      </c>
      <c r="D9" s="31" t="s">
        <v>98</v>
      </c>
      <c r="E9" s="32" t="n">
        <v>155</v>
      </c>
      <c r="F9" s="33" t="n">
        <f aca="false">IF(IFERROR(INDEX('Monitor &amp; Recheck Triggers'!$H$3:$H$51,MATCH($B9,'Monitor &amp; Recheck Triggers'!$A$3:$A$51,0)),"")="",233.95,INDEX('Monitor &amp; Recheck Triggers'!$H$3:$H$51,MATCH($B9,'Monitor &amp; Recheck Triggers'!$A$3:$A$51,0)))</f>
        <v>233.95</v>
      </c>
      <c r="G9" s="34" t="n">
        <f aca="false">E9*F9</f>
        <v>36262.25</v>
      </c>
      <c r="H9" s="35" t="n">
        <v>26639.79</v>
      </c>
      <c r="I9" s="36" t="n">
        <f aca="false">G9-H9</f>
        <v>9622.46</v>
      </c>
      <c r="J9" s="37" t="n">
        <f aca="false">IF(H9=0,"",G9/H9-1)</f>
        <v>0.361206300800419</v>
      </c>
      <c r="K9" s="37" t="n">
        <f aca="false">IFERROR(G9/SUM(G3:G24),"")</f>
        <v>0.0916201068227354</v>
      </c>
      <c r="L9" s="37" t="n">
        <f aca="false">IFERROR(G9/(SUM(G3:G24,G28:G47)),"")</f>
        <v>0.0508886107592867</v>
      </c>
      <c r="M9" s="28"/>
    </row>
    <row r="10" customFormat="false" ht="15" hidden="false" customHeight="true" outlineLevel="0" collapsed="false">
      <c r="A10" s="28" t="s">
        <v>95</v>
      </c>
      <c r="B10" s="29" t="s">
        <v>113</v>
      </c>
      <c r="C10" s="30" t="s">
        <v>114</v>
      </c>
      <c r="D10" s="31" t="s">
        <v>98</v>
      </c>
      <c r="E10" s="32" t="n">
        <v>70</v>
      </c>
      <c r="F10" s="33" t="n">
        <f aca="false">IF(IFERROR(INDEX('Monitor &amp; Recheck Triggers'!$H$3:$H$51,MATCH($B10,'Monitor &amp; Recheck Triggers'!$A$3:$A$51,0)),"")="",188.75,INDEX('Monitor &amp; Recheck Triggers'!$H$3:$H$51,MATCH($B10,'Monitor &amp; Recheck Triggers'!$A$3:$A$51,0)))</f>
        <v>188.75</v>
      </c>
      <c r="G10" s="34" t="n">
        <f aca="false">E10*F10</f>
        <v>13212.5</v>
      </c>
      <c r="H10" s="35" t="n">
        <v>11612.3</v>
      </c>
      <c r="I10" s="36" t="n">
        <f aca="false">G10-H10</f>
        <v>1600.2</v>
      </c>
      <c r="J10" s="37" t="n">
        <f aca="false">IF(H10=0,"",G10/H10-1)</f>
        <v>0.137802158056544</v>
      </c>
      <c r="K10" s="37" t="n">
        <f aca="false">IFERROR(G10/SUM(G3:G24),"")</f>
        <v>0.0333826682402606</v>
      </c>
      <c r="L10" s="37" t="n">
        <f aca="false">IFERROR(G10/(SUM(G3:G24,G28:G47)),"")</f>
        <v>0.0185417553973368</v>
      </c>
      <c r="M10" s="28"/>
    </row>
    <row r="11" customFormat="false" ht="15" hidden="false" customHeight="true" outlineLevel="0" collapsed="false">
      <c r="A11" s="28" t="s">
        <v>95</v>
      </c>
      <c r="B11" s="29" t="s">
        <v>115</v>
      </c>
      <c r="C11" s="30" t="s">
        <v>116</v>
      </c>
      <c r="D11" s="31" t="s">
        <v>98</v>
      </c>
      <c r="E11" s="32" t="n">
        <v>25</v>
      </c>
      <c r="F11" s="33" t="n">
        <f aca="false">IF(IFERROR(INDEX('Monitor &amp; Recheck Triggers'!$H$3:$H$51,MATCH($B11,'Monitor &amp; Recheck Triggers'!$A$3:$A$51,0)),"")="",472.78,INDEX('Monitor &amp; Recheck Triggers'!$H$3:$H$51,MATCH($B11,'Monitor &amp; Recheck Triggers'!$A$3:$A$51,0)))</f>
        <v>472.78</v>
      </c>
      <c r="G11" s="34" t="n">
        <f aca="false">E11*F11</f>
        <v>11819.5</v>
      </c>
      <c r="H11" s="35" t="n">
        <v>6069.64</v>
      </c>
      <c r="I11" s="36" t="n">
        <f aca="false">G11-H11</f>
        <v>5749.86</v>
      </c>
      <c r="J11" s="37" t="n">
        <f aca="false">IF(H11=0,"",G11/H11-1)</f>
        <v>0.94731483251066</v>
      </c>
      <c r="K11" s="37" t="n">
        <f aca="false">IFERROR(G11/SUM(G3:G24),"")</f>
        <v>0.0298631180522808</v>
      </c>
      <c r="L11" s="37" t="n">
        <f aca="false">IFERROR(G11/(SUM(G3:G24,G28:G47)),"")</f>
        <v>0.0165868895302798</v>
      </c>
      <c r="M11" s="28"/>
    </row>
    <row r="12" customFormat="false" ht="15" hidden="false" customHeight="true" outlineLevel="0" collapsed="false">
      <c r="A12" s="28" t="s">
        <v>95</v>
      </c>
      <c r="B12" s="29" t="s">
        <v>117</v>
      </c>
      <c r="C12" s="30" t="s">
        <v>118</v>
      </c>
      <c r="D12" s="31" t="s">
        <v>98</v>
      </c>
      <c r="E12" s="32" t="n">
        <v>30</v>
      </c>
      <c r="F12" s="33" t="n">
        <f aca="false">IF(IFERROR(INDEX('Monitor &amp; Recheck Triggers'!$H$3:$H$51,MATCH($B12,'Monitor &amp; Recheck Triggers'!$A$3:$A$51,0)),"")="",252.18,INDEX('Monitor &amp; Recheck Triggers'!$H$3:$H$51,MATCH($B12,'Monitor &amp; Recheck Triggers'!$A$3:$A$51,0)))</f>
        <v>252.18</v>
      </c>
      <c r="G12" s="34" t="n">
        <f aca="false">E12*F12</f>
        <v>7565.4</v>
      </c>
      <c r="H12" s="35" t="n">
        <v>7876.8</v>
      </c>
      <c r="I12" s="36" t="n">
        <f aca="false">G12-H12</f>
        <v>-311.4</v>
      </c>
      <c r="J12" s="37" t="n">
        <f aca="false">IF(H12=0,"",G12/H12-1)</f>
        <v>-0.0395338208409506</v>
      </c>
      <c r="K12" s="37" t="n">
        <f aca="false">IFERROR(G12/SUM(G3:G24),"")</f>
        <v>0.0191147200230742</v>
      </c>
      <c r="L12" s="37" t="n">
        <f aca="false">IFERROR(G12/(SUM(G3:G24,G28:G47)),"")</f>
        <v>0.010616900380928</v>
      </c>
      <c r="M12" s="28"/>
    </row>
    <row r="13" customFormat="false" ht="15" hidden="false" customHeight="true" outlineLevel="0" collapsed="false">
      <c r="A13" s="28" t="s">
        <v>95</v>
      </c>
      <c r="B13" s="29" t="s">
        <v>119</v>
      </c>
      <c r="C13" s="30" t="s">
        <v>120</v>
      </c>
      <c r="D13" s="31" t="s">
        <v>98</v>
      </c>
      <c r="E13" s="32" t="n">
        <v>50</v>
      </c>
      <c r="F13" s="33" t="n">
        <f aca="false">IF(IFERROR(INDEX('Monitor &amp; Recheck Triggers'!$H$3:$H$51,MATCH($B13,'Monitor &amp; Recheck Triggers'!$A$3:$A$51,0)),"")="",360.66,INDEX('Monitor &amp; Recheck Triggers'!$H$3:$H$51,MATCH($B13,'Monitor &amp; Recheck Triggers'!$A$3:$A$51,0)))</f>
        <v>360.66</v>
      </c>
      <c r="G13" s="34" t="n">
        <f aca="false">E13*F13</f>
        <v>18033</v>
      </c>
      <c r="H13" s="35" t="n">
        <v>18448.63</v>
      </c>
      <c r="I13" s="36" t="n">
        <f aca="false">G13-H13</f>
        <v>-415.630000000001</v>
      </c>
      <c r="J13" s="37" t="n">
        <f aca="false">IF(H13=0,"",G13/H13-1)</f>
        <v>-0.0225290441620869</v>
      </c>
      <c r="K13" s="37" t="n">
        <f aca="false">IFERROR(G13/SUM(G3:G24),"")</f>
        <v>0.0455621310408038</v>
      </c>
      <c r="L13" s="37" t="n">
        <f aca="false">IFERROR(G13/(SUM(G3:G24,G28:G47)),"")</f>
        <v>0.0253066017090009</v>
      </c>
      <c r="M13" s="28" t="s">
        <v>121</v>
      </c>
    </row>
    <row r="14" customFormat="false" ht="15" hidden="false" customHeight="true" outlineLevel="0" collapsed="false">
      <c r="A14" s="28" t="s">
        <v>95</v>
      </c>
      <c r="B14" s="38" t="s">
        <v>122</v>
      </c>
      <c r="C14" s="30" t="s">
        <v>123</v>
      </c>
      <c r="D14" s="31" t="s">
        <v>124</v>
      </c>
      <c r="E14" s="32" t="n">
        <v>648.04</v>
      </c>
      <c r="F14" s="33" t="n">
        <v>1</v>
      </c>
      <c r="G14" s="34" t="n">
        <f aca="false">E14*F14</f>
        <v>648.04</v>
      </c>
      <c r="H14" s="35" t="n">
        <v>648.04</v>
      </c>
      <c r="I14" s="36" t="n">
        <f aca="false">G14-H14</f>
        <v>0</v>
      </c>
      <c r="J14" s="37" t="n">
        <f aca="false">IF(H14=0,"",G14/H14-1)</f>
        <v>0</v>
      </c>
      <c r="K14" s="37" t="n">
        <f aca="false">IFERROR(G14/SUM(G3:G24),"")</f>
        <v>0.00163733618364568</v>
      </c>
      <c r="L14" s="37" t="n">
        <f aca="false">IFERROR(G14/(SUM(G3:G24,G28:G47)),"")</f>
        <v>0.000909426616286859</v>
      </c>
      <c r="M14" s="28" t="s">
        <v>125</v>
      </c>
    </row>
    <row r="15" customFormat="false" ht="15" hidden="false" customHeight="true" outlineLevel="0" collapsed="false">
      <c r="A15" s="28" t="s">
        <v>95</v>
      </c>
      <c r="B15" s="38" t="s">
        <v>126</v>
      </c>
      <c r="C15" s="30" t="s">
        <v>127</v>
      </c>
      <c r="D15" s="31" t="s">
        <v>124</v>
      </c>
      <c r="E15" s="32" t="n">
        <v>0</v>
      </c>
      <c r="F15" s="33" t="n">
        <v>1</v>
      </c>
      <c r="G15" s="34" t="n">
        <f aca="false">E15*F15</f>
        <v>0</v>
      </c>
      <c r="H15" s="35" t="n">
        <v>0</v>
      </c>
      <c r="I15" s="36" t="n">
        <f aca="false">G15-H15</f>
        <v>0</v>
      </c>
      <c r="J15" s="37" t="str">
        <f aca="false">IF(H15=0,"",G15/H15-1)</f>
        <v/>
      </c>
      <c r="K15" s="37" t="n">
        <f aca="false">IFERROR(G15/SUM(G3:G24),"")</f>
        <v>0</v>
      </c>
      <c r="L15" s="37" t="n">
        <f aca="false">IFERROR(G15/(SUM(G3:G24,G28:G47)),"")</f>
        <v>0</v>
      </c>
      <c r="M15" s="28"/>
    </row>
    <row r="16" customFormat="false" ht="15" hidden="false" customHeight="true" outlineLevel="0" collapsed="false">
      <c r="A16" s="28" t="s">
        <v>95</v>
      </c>
      <c r="B16" s="38" t="s">
        <v>128</v>
      </c>
      <c r="C16" s="30" t="s">
        <v>129</v>
      </c>
      <c r="D16" s="31" t="s">
        <v>98</v>
      </c>
      <c r="E16" s="32" t="n">
        <v>150</v>
      </c>
      <c r="F16" s="33" t="n">
        <f aca="false">IF(IFERROR(INDEX('Monitor &amp; Recheck Triggers'!$H$3:$H$51,MATCH($B16,'Monitor &amp; Recheck Triggers'!$A$3:$A$51,0)),"")="",153.05,INDEX('Monitor &amp; Recheck Triggers'!$H$3:$H$51,MATCH($B16,'Monitor &amp; Recheck Triggers'!$A$3:$A$51,0)))</f>
        <v>153.05</v>
      </c>
      <c r="G16" s="34" t="n">
        <f aca="false">E16*F16</f>
        <v>22957.5</v>
      </c>
      <c r="H16" s="35" t="n">
        <v>24518.25</v>
      </c>
      <c r="I16" s="36" t="n">
        <f aca="false">G16-H16</f>
        <v>-1560.75</v>
      </c>
      <c r="J16" s="37" t="n">
        <f aca="false">IF(H16=0,"",G16/H16-1)</f>
        <v>-0.0636566639136154</v>
      </c>
      <c r="K16" s="37" t="n">
        <f aca="false">IFERROR(G16/SUM(G3:G24),"")</f>
        <v>0.0580043599716771</v>
      </c>
      <c r="L16" s="37" t="n">
        <f aca="false">IFERROR(G16/(SUM(G3:G24,G28:G47)),"")</f>
        <v>0.0322173963696771</v>
      </c>
      <c r="M16" s="28" t="s">
        <v>130</v>
      </c>
    </row>
    <row r="17" customFormat="false" ht="15" hidden="false" customHeight="true" outlineLevel="0" collapsed="false">
      <c r="A17" s="28" t="s">
        <v>95</v>
      </c>
      <c r="B17" s="38" t="s">
        <v>131</v>
      </c>
      <c r="C17" s="30" t="s">
        <v>132</v>
      </c>
      <c r="D17" s="31" t="s">
        <v>98</v>
      </c>
      <c r="E17" s="32" t="n">
        <v>451.304</v>
      </c>
      <c r="F17" s="33" t="n">
        <f aca="false">IF(IFERROR(INDEX('Monitor &amp; Recheck Triggers'!$H$3:$H$51,MATCH($B17,'Monitor &amp; Recheck Triggers'!$A$3:$A$51,0)),"")="",51.82,INDEX('Monitor &amp; Recheck Triggers'!$H$3:$H$51,MATCH($B17,'Monitor &amp; Recheck Triggers'!$A$3:$A$51,0)))</f>
        <v>51.82</v>
      </c>
      <c r="G17" s="34" t="n">
        <f aca="false">E17*F17</f>
        <v>23386.57328</v>
      </c>
      <c r="H17" s="35" t="n">
        <v>24999.99</v>
      </c>
      <c r="I17" s="36" t="n">
        <f aca="false">G17-H17</f>
        <v>-1613.41672</v>
      </c>
      <c r="J17" s="37" t="n">
        <f aca="false">IF(H17=0,"",G17/H17-1)</f>
        <v>-0.0645366946146779</v>
      </c>
      <c r="K17" s="37" t="n">
        <f aca="false">IFERROR(G17/SUM(G3:G24),"")</f>
        <v>0.0590884554083469</v>
      </c>
      <c r="L17" s="37" t="n">
        <f aca="false">IFERROR(G17/(SUM(G3:G24,G28:G47)),"")</f>
        <v>0.0328195361468043</v>
      </c>
      <c r="M17" s="28" t="s">
        <v>133</v>
      </c>
    </row>
    <row r="18" customFormat="false" ht="15" hidden="false" customHeight="true" outlineLevel="0" collapsed="false">
      <c r="A18" s="28" t="s">
        <v>95</v>
      </c>
      <c r="B18" s="38" t="s">
        <v>134</v>
      </c>
      <c r="C18" s="30" t="s">
        <v>135</v>
      </c>
      <c r="D18" s="31" t="s">
        <v>98</v>
      </c>
      <c r="E18" s="32" t="n">
        <v>700</v>
      </c>
      <c r="F18" s="33" t="n">
        <f aca="false">IF(IFERROR(INDEX('Monitor &amp; Recheck Triggers'!$H$3:$H$51,MATCH($B18,'Monitor &amp; Recheck Triggers'!$A$3:$A$51,0)),"")="",32.72,INDEX('Monitor &amp; Recheck Triggers'!$H$3:$H$51,MATCH($B18,'Monitor &amp; Recheck Triggers'!$A$3:$A$51,0)))</f>
        <v>32.72</v>
      </c>
      <c r="G18" s="34" t="n">
        <f aca="false">E18*F18</f>
        <v>22904</v>
      </c>
      <c r="H18" s="35" t="n">
        <v>24377.5</v>
      </c>
      <c r="I18" s="36" t="n">
        <f aca="false">G18-H18</f>
        <v>-1473.5</v>
      </c>
      <c r="J18" s="37" t="n">
        <f aca="false">IF(H18=0,"",G18/H18-1)</f>
        <v>-0.0604450825556353</v>
      </c>
      <c r="K18" s="37" t="n">
        <f aca="false">IFERROR(G18/SUM(G3:G24),"")</f>
        <v>0.0578691870104015</v>
      </c>
      <c r="L18" s="37" t="n">
        <f aca="false">IFERROR(G18/(SUM(G3:G24,G28:G47)),"")</f>
        <v>0.0321423171709065</v>
      </c>
      <c r="M18" s="28" t="s">
        <v>130</v>
      </c>
    </row>
    <row r="19" customFormat="false" ht="15" hidden="false" customHeight="true" outlineLevel="0" collapsed="false">
      <c r="A19" s="28" t="s">
        <v>95</v>
      </c>
      <c r="B19" s="38" t="s">
        <v>136</v>
      </c>
      <c r="C19" s="30" t="s">
        <v>137</v>
      </c>
      <c r="D19" s="31" t="s">
        <v>98</v>
      </c>
      <c r="E19" s="32" t="n">
        <v>150</v>
      </c>
      <c r="F19" s="33" t="n">
        <f aca="false">IF(IFERROR(INDEX('Monitor &amp; Recheck Triggers'!$H$3:$H$51,MATCH($B19,'Monitor &amp; Recheck Triggers'!$A$3:$A$51,0)),"")="",156.46,INDEX('Monitor &amp; Recheck Triggers'!$H$3:$H$51,MATCH($B19,'Monitor &amp; Recheck Triggers'!$A$3:$A$51,0)))</f>
        <v>156.46</v>
      </c>
      <c r="G19" s="34" t="n">
        <f aca="false">E19*F19</f>
        <v>23469</v>
      </c>
      <c r="H19" s="35" t="n">
        <v>24598.5</v>
      </c>
      <c r="I19" s="36" t="n">
        <f aca="false">G19-H19</f>
        <v>-1129.5</v>
      </c>
      <c r="J19" s="37" t="n">
        <f aca="false">IF(H19=0,"",G19/H19-1)</f>
        <v>-0.0459174339898775</v>
      </c>
      <c r="K19" s="37" t="n">
        <f aca="false">IFERROR(G19/SUM(G3:G24),"")</f>
        <v>0.0592967145453682</v>
      </c>
      <c r="L19" s="37" t="n">
        <f aca="false">IFERROR(G19/(SUM(G3:G24,G28:G47)),"")</f>
        <v>0.0329352096439052</v>
      </c>
      <c r="M19" s="28" t="s">
        <v>130</v>
      </c>
    </row>
    <row r="20" customFormat="false" ht="15" hidden="false" customHeight="true" outlineLevel="0" collapsed="false">
      <c r="A20" s="28" t="s">
        <v>95</v>
      </c>
      <c r="B20" s="38" t="s">
        <v>138</v>
      </c>
      <c r="C20" s="30" t="s">
        <v>139</v>
      </c>
      <c r="D20" s="31" t="s">
        <v>98</v>
      </c>
      <c r="E20" s="32" t="n">
        <v>1000</v>
      </c>
      <c r="F20" s="33" t="n">
        <f aca="false">IF(IFERROR(INDEX('Monitor &amp; Recheck Triggers'!$H$3:$H$51,MATCH($B20,'Monitor &amp; Recheck Triggers'!$A$3:$A$51,0)),"")="",51.17,INDEX('Monitor &amp; Recheck Triggers'!$H$3:$H$51,MATCH($B20,'Monitor &amp; Recheck Triggers'!$A$3:$A$51,0)))</f>
        <v>51.17</v>
      </c>
      <c r="G20" s="34" t="n">
        <f aca="false">E20*F20</f>
        <v>51170</v>
      </c>
      <c r="H20" s="35" t="n">
        <v>53709</v>
      </c>
      <c r="I20" s="36" t="n">
        <f aca="false">G20-H20</f>
        <v>-2539</v>
      </c>
      <c r="J20" s="37" t="n">
        <f aca="false">IF(H20=0,"",G20/H20-1)</f>
        <v>-0.0472732689121004</v>
      </c>
      <c r="K20" s="37" t="n">
        <f aca="false">IFERROR(G20/SUM(G3:G24),"")</f>
        <v>0.129285989317248</v>
      </c>
      <c r="L20" s="37" t="n">
        <f aca="false">IFERROR(G20/(SUM(G3:G24,G28:G47)),"")</f>
        <v>0.071809394412997</v>
      </c>
      <c r="M20" s="28" t="s">
        <v>130</v>
      </c>
    </row>
    <row r="21" customFormat="false" ht="15" hidden="false" customHeight="true" outlineLevel="0" collapsed="false">
      <c r="A21" s="28" t="s">
        <v>95</v>
      </c>
      <c r="B21" s="38" t="s">
        <v>140</v>
      </c>
      <c r="C21" s="30" t="s">
        <v>141</v>
      </c>
      <c r="D21" s="31" t="s">
        <v>98</v>
      </c>
      <c r="E21" s="32" t="n">
        <v>70</v>
      </c>
      <c r="F21" s="33" t="n">
        <f aca="false">IF(IFERROR(INDEX('Monitor &amp; Recheck Triggers'!$H$3:$H$51,MATCH($B21,'Monitor &amp; Recheck Triggers'!$A$3:$A$51,0)),"")="",153.23,INDEX('Monitor &amp; Recheck Triggers'!$H$3:$H$51,MATCH($B21,'Monitor &amp; Recheck Triggers'!$A$3:$A$51,0)))</f>
        <v>153.23</v>
      </c>
      <c r="G21" s="34" t="n">
        <f aca="false">E21*F21</f>
        <v>10726.1</v>
      </c>
      <c r="H21" s="35" t="n">
        <v>10287.89</v>
      </c>
      <c r="I21" s="36" t="n">
        <f aca="false">G21-H21</f>
        <v>438.209999999999</v>
      </c>
      <c r="J21" s="37" t="n">
        <f aca="false">IF(H21=0,"",G21/H21-1)</f>
        <v>0.0425947400292965</v>
      </c>
      <c r="K21" s="37" t="n">
        <f aca="false">IFERROR(G21/SUM(G3:G24),"")</f>
        <v>0.0271005364474444</v>
      </c>
      <c r="L21" s="37" t="n">
        <f aca="false">IFERROR(G21/(SUM(G3:G24,G28:G47)),"")</f>
        <v>0.0150524671763386</v>
      </c>
      <c r="M21" s="28" t="s">
        <v>142</v>
      </c>
    </row>
    <row r="22" customFormat="false" ht="15" hidden="false" customHeight="true" outlineLevel="0" collapsed="false">
      <c r="A22" s="28" t="s">
        <v>95</v>
      </c>
      <c r="B22" s="29" t="s">
        <v>143</v>
      </c>
      <c r="C22" s="30" t="s">
        <v>144</v>
      </c>
      <c r="D22" s="31" t="s">
        <v>98</v>
      </c>
      <c r="E22" s="32" t="n">
        <v>75</v>
      </c>
      <c r="F22" s="33" t="n">
        <f aca="false">IF(IFERROR(INDEX('Monitor &amp; Recheck Triggers'!$H$3:$H$51,MATCH($B22,'Monitor &amp; Recheck Triggers'!$A$3:$A$51,0)),"")="",309.56,INDEX('Monitor &amp; Recheck Triggers'!$H$3:$H$51,MATCH($B22,'Monitor &amp; Recheck Triggers'!$A$3:$A$51,0)))</f>
        <v>309.56</v>
      </c>
      <c r="G22" s="34" t="n">
        <f aca="false">E22*F22</f>
        <v>23217</v>
      </c>
      <c r="H22" s="35" t="n">
        <v>23603.25</v>
      </c>
      <c r="I22" s="36" t="n">
        <f aca="false">G22-H22</f>
        <v>-386.25</v>
      </c>
      <c r="J22" s="37" t="n">
        <f aca="false">IF(H22=0,"",G22/H22-1)</f>
        <v>-0.01636427186934</v>
      </c>
      <c r="K22" s="37" t="n">
        <f aca="false">IFERROR(G22/SUM(G3:G24),"")</f>
        <v>0.058660011998799</v>
      </c>
      <c r="L22" s="37" t="n">
        <f aca="false">IFERROR(G22/(SUM(G3:G24,G28:G47)),"")</f>
        <v>0.0325815655674527</v>
      </c>
      <c r="M22" s="28" t="s">
        <v>145</v>
      </c>
    </row>
    <row r="23" customFormat="false" ht="13.5" hidden="false" customHeight="true" outlineLevel="0" collapsed="false">
      <c r="A23" s="28" t="s">
        <v>95</v>
      </c>
      <c r="B23" s="29" t="s">
        <v>146</v>
      </c>
      <c r="C23" s="30" t="s">
        <v>147</v>
      </c>
      <c r="D23" s="31" t="s">
        <v>98</v>
      </c>
      <c r="E23" s="32" t="n">
        <v>300</v>
      </c>
      <c r="F23" s="33" t="n">
        <f aca="false">IF(IFERROR(INDEX('Monitor &amp; Recheck Triggers'!$H$3:$H$51,MATCH($B23,'Monitor &amp; Recheck Triggers'!$A$3:$A$51,0)),"")="",67.06,INDEX('Monitor &amp; Recheck Triggers'!$H$3:$H$51,MATCH($B23,'Monitor &amp; Recheck Triggers'!$A$3:$A$51,0)))</f>
        <v>67.06</v>
      </c>
      <c r="G23" s="34" t="n">
        <f aca="false">E23*F23</f>
        <v>20118</v>
      </c>
      <c r="H23" s="35" t="n">
        <v>20938.5</v>
      </c>
      <c r="I23" s="36" t="n">
        <f aca="false">G23-H23</f>
        <v>-820.5</v>
      </c>
      <c r="J23" s="37" t="n">
        <f aca="false">IF(H23=0,"",G23/H23-1)</f>
        <v>-0.0391861881223583</v>
      </c>
      <c r="K23" s="37" t="n">
        <f aca="false">IFERROR(G23/SUM(G3:G24),"")</f>
        <v>0.0508300866344419</v>
      </c>
      <c r="L23" s="37" t="n">
        <f aca="false">IFERROR(G23/(SUM(G3:G24,G28:G47)),"")</f>
        <v>0.0282325854367925</v>
      </c>
      <c r="M23" s="28" t="s">
        <v>148</v>
      </c>
    </row>
    <row r="24" customFormat="false" ht="15" hidden="false" customHeight="true" outlineLevel="0" collapsed="false">
      <c r="A24" s="28" t="s">
        <v>95</v>
      </c>
      <c r="B24" s="29" t="s">
        <v>149</v>
      </c>
      <c r="C24" s="30" t="s">
        <v>150</v>
      </c>
      <c r="D24" s="31" t="s">
        <v>98</v>
      </c>
      <c r="E24" s="32" t="n">
        <v>100</v>
      </c>
      <c r="F24" s="33" t="n">
        <f aca="false">IF(IFERROR(INDEX('Monitor &amp; Recheck Triggers'!$H$3:$H$51,MATCH($B24,'Monitor &amp; Recheck Triggers'!$A$3:$A$51,0)),"")="",282.5,INDEX('Monitor &amp; Recheck Triggers'!$H$3:$H$51,MATCH($B24,'Monitor &amp; Recheck Triggers'!$A$3:$A$51,0)))</f>
        <v>282.5</v>
      </c>
      <c r="G24" s="34" t="n">
        <f aca="false">E24*F24</f>
        <v>28250</v>
      </c>
      <c r="H24" s="35" t="n">
        <v>28325</v>
      </c>
      <c r="I24" s="36" t="n">
        <f aca="false">G24-H24</f>
        <v>-75</v>
      </c>
      <c r="J24" s="37" t="n">
        <f aca="false">IF(H24=0,"",G24/H24-1)</f>
        <v>-0.00264783759929388</v>
      </c>
      <c r="K24" s="37" t="n">
        <f aca="false">IFERROR(G24/SUM(G3:G24),"")</f>
        <v>0.071376376748334</v>
      </c>
      <c r="L24" s="37" t="n">
        <f aca="false">IFERROR(G24/(SUM(G3:G24,G28:G47)),"")</f>
        <v>0.0396446236499348</v>
      </c>
      <c r="M24" s="28" t="s">
        <v>151</v>
      </c>
    </row>
    <row r="25" customFormat="false" ht="15" hidden="false" customHeight="true" outlineLevel="0" collapsed="false">
      <c r="A25" s="39" t="s">
        <v>152</v>
      </c>
      <c r="B25" s="40" t="n">
        <f aca="false">SUBTOTAL(103,B3:B24)</f>
        <v>22</v>
      </c>
      <c r="C25" s="41" t="s">
        <v>153</v>
      </c>
      <c r="D25" s="42"/>
      <c r="E25" s="43"/>
      <c r="F25" s="44"/>
      <c r="G25" s="45" t="n">
        <f aca="false">SUM(G3:G24)</f>
        <v>395789.21328</v>
      </c>
      <c r="H25" s="46" t="n">
        <f aca="false">SUM(H3:H24)</f>
        <v>372229</v>
      </c>
      <c r="I25" s="47" t="n">
        <f aca="false">SUM(I3:I24)</f>
        <v>23560.21328</v>
      </c>
      <c r="J25" s="48" t="n">
        <f aca="false">CurrentPositionsTable[[#This Row],[Unrealized G/L ($)]]/CurrentPositionsTable[[#This Row],[Cost Basis
($)]]</f>
        <v>0.0632949428443243</v>
      </c>
      <c r="K25" s="48" t="n">
        <f aca="false">SUM(K3:K24)</f>
        <v>1</v>
      </c>
      <c r="L25" s="48" t="n">
        <f aca="false">SUM(L3:L24)</f>
        <v>0.555430598413784</v>
      </c>
      <c r="M25" s="49"/>
      <c r="N25" s="50"/>
      <c r="O25" s="50"/>
    </row>
    <row r="26" customFormat="false" ht="15" hidden="false" customHeight="true" outlineLevel="0" collapsed="false">
      <c r="E26" s="51"/>
      <c r="F26" s="33"/>
      <c r="I26" s="52" t="s">
        <v>154</v>
      </c>
      <c r="J26" s="53" t="n">
        <f aca="false">I25/(H25-H14-H15)</f>
        <v>0.0634053297025768</v>
      </c>
    </row>
    <row r="27" customFormat="false" ht="15" hidden="false" customHeight="true" outlineLevel="1" collapsed="false">
      <c r="E27" s="51"/>
      <c r="F27" s="33"/>
    </row>
    <row r="28" customFormat="false" ht="15" hidden="false" customHeight="true" outlineLevel="1" collapsed="false">
      <c r="A28" s="28" t="s">
        <v>155</v>
      </c>
      <c r="B28" s="38" t="s">
        <v>156</v>
      </c>
      <c r="C28" s="30" t="s">
        <v>157</v>
      </c>
      <c r="D28" s="31" t="s">
        <v>124</v>
      </c>
      <c r="E28" s="32" t="n">
        <v>27966.4</v>
      </c>
      <c r="F28" s="33" t="n">
        <v>1</v>
      </c>
      <c r="G28" s="34" t="n">
        <f aca="false">E28*F28</f>
        <v>27966.4</v>
      </c>
      <c r="H28" s="35" t="n">
        <v>27966.4</v>
      </c>
      <c r="I28" s="36" t="n">
        <f aca="false">G28-H28</f>
        <v>0</v>
      </c>
      <c r="J28" s="37" t="n">
        <f aca="false">IF(H28=0,"",G28/H28-1)</f>
        <v>0</v>
      </c>
      <c r="K28" s="37" t="n">
        <f aca="false">IFERROR(G28/SUM(G28:G47),"")</f>
        <v>0.0882801056234268</v>
      </c>
      <c r="L28" s="37" t="n">
        <f aca="false">IFERROR(G28/(SUM(G3:G24,G28:G47)),"")</f>
        <v>0.0392466337289748</v>
      </c>
      <c r="M28" s="28" t="s">
        <v>158</v>
      </c>
    </row>
    <row r="29" customFormat="false" ht="15" hidden="false" customHeight="true" outlineLevel="0" collapsed="false">
      <c r="A29" s="28" t="s">
        <v>155</v>
      </c>
      <c r="B29" s="38" t="s">
        <v>159</v>
      </c>
      <c r="C29" s="30" t="s">
        <v>160</v>
      </c>
      <c r="D29" s="31" t="s">
        <v>161</v>
      </c>
      <c r="E29" s="32" t="n">
        <v>850.35693</v>
      </c>
      <c r="F29" s="33" t="n">
        <f aca="false">IF(IFERROR(INDEX('Monitor &amp; Recheck Triggers'!$H$3:$H$51,MATCH($B29,'Monitor &amp; Recheck Triggers'!$A$3:$A$51,0)),"")="",61.04,INDEX('Monitor &amp; Recheck Triggers'!$H$3:$H$51,MATCH($B29,'Monitor &amp; Recheck Triggers'!$A$3:$A$51,0)))</f>
        <v>61.04</v>
      </c>
      <c r="G29" s="34" t="n">
        <f aca="false">E29*F29</f>
        <v>51905.7870072</v>
      </c>
      <c r="H29" s="35" t="n">
        <v>43005.36</v>
      </c>
      <c r="I29" s="36" t="n">
        <f aca="false">G29-H29</f>
        <v>8900.4270072</v>
      </c>
      <c r="J29" s="37" t="n">
        <f aca="false">IF(H29=0,"",G29/H29-1)</f>
        <v>0.206960876672117</v>
      </c>
      <c r="K29" s="37" t="n">
        <f aca="false">IFERROR(G29/SUM(G28:G47),"")</f>
        <v>0.163848345137834</v>
      </c>
      <c r="L29" s="37" t="n">
        <f aca="false">IFERROR(G29/(SUM(G3:G24,G28:G47)),"")</f>
        <v>0.0728419607488185</v>
      </c>
      <c r="M29" s="28" t="s">
        <v>162</v>
      </c>
    </row>
    <row r="30" customFormat="false" ht="15" hidden="true" customHeight="true" outlineLevel="2" collapsed="false">
      <c r="A30" s="28" t="s">
        <v>155</v>
      </c>
      <c r="B30" s="29" t="s">
        <v>163</v>
      </c>
      <c r="C30" s="30" t="s">
        <v>164</v>
      </c>
      <c r="D30" s="31" t="s">
        <v>98</v>
      </c>
      <c r="E30" s="32" t="n">
        <v>400.00001</v>
      </c>
      <c r="F30" s="33" t="n">
        <f aca="false">IF(IFERROR(INDEX('Monitor &amp; Recheck Triggers'!$H$3:$H$51,MATCH($B30,'Monitor &amp; Recheck Triggers'!$A$3:$A$51,0)),"")="",120.03,INDEX('Monitor &amp; Recheck Triggers'!$H$3:$H$51,MATCH($B30,'Monitor &amp; Recheck Triggers'!$A$3:$A$51,0)))</f>
        <v>120.03</v>
      </c>
      <c r="G30" s="34" t="n">
        <f aca="false">E30*F30</f>
        <v>48012.0012003</v>
      </c>
      <c r="H30" s="35" t="n">
        <v>45116.29</v>
      </c>
      <c r="I30" s="36" t="n">
        <f aca="false">G30-H30</f>
        <v>2895.71120029999</v>
      </c>
      <c r="J30" s="37" t="n">
        <f aca="false">IF(H30=0,"",G30/H30-1)</f>
        <v>0.0641832739416293</v>
      </c>
      <c r="K30" s="37" t="n">
        <f aca="false">IFERROR(G30/SUM(G28:G47),"")</f>
        <v>0.151557030477808</v>
      </c>
      <c r="L30" s="37" t="n">
        <f aca="false">IFERROR(G30/(SUM(G3:G24,G28:G47)),"")</f>
        <v>0.0673776183457031</v>
      </c>
      <c r="M30" s="28" t="s">
        <v>165</v>
      </c>
    </row>
    <row r="31" customFormat="false" ht="15" hidden="false" customHeight="true" outlineLevel="0" collapsed="false">
      <c r="A31" s="28" t="s">
        <v>155</v>
      </c>
      <c r="B31" s="29" t="s">
        <v>166</v>
      </c>
      <c r="C31" s="30" t="s">
        <v>167</v>
      </c>
      <c r="D31" s="31" t="s">
        <v>98</v>
      </c>
      <c r="E31" s="32" t="n">
        <v>0</v>
      </c>
      <c r="F31" s="33" t="n">
        <f aca="false">IF(IFERROR(INDEX('Monitor &amp; Recheck Triggers'!$H$3:$H$51,MATCH($B31,'Monitor &amp; Recheck Triggers'!$A$3:$A$51,0)),"")="",56.12,INDEX('Monitor &amp; Recheck Triggers'!$H$3:$H$51,MATCH($B31,'Monitor &amp; Recheck Triggers'!$A$3:$A$51,0)))</f>
        <v>56.12</v>
      </c>
      <c r="G31" s="34" t="n">
        <f aca="false">E31*F31</f>
        <v>0</v>
      </c>
      <c r="H31" s="35" t="n">
        <v>0</v>
      </c>
      <c r="I31" s="36" t="n">
        <f aca="false">G31-H31</f>
        <v>0</v>
      </c>
      <c r="J31" s="37" t="str">
        <f aca="false">IF(H31=0,"",G31/H31-1)</f>
        <v/>
      </c>
      <c r="K31" s="37" t="n">
        <f aca="false">IFERROR(G31/SUM(G28:G47),"")</f>
        <v>0</v>
      </c>
      <c r="L31" s="37" t="n">
        <f aca="false">IFERROR(G31/(SUM(G3:G24,G28:G47)),"")</f>
        <v>0</v>
      </c>
      <c r="M31" s="28" t="s">
        <v>168</v>
      </c>
    </row>
    <row r="32" customFormat="false" ht="15" hidden="false" customHeight="true" outlineLevel="0" collapsed="false">
      <c r="A32" s="28" t="s">
        <v>155</v>
      </c>
      <c r="B32" s="38" t="s">
        <v>169</v>
      </c>
      <c r="C32" s="30" t="s">
        <v>170</v>
      </c>
      <c r="D32" s="31" t="s">
        <v>161</v>
      </c>
      <c r="E32" s="32" t="n">
        <v>500</v>
      </c>
      <c r="F32" s="33" t="n">
        <f aca="false">IF(IFERROR(INDEX('Monitor &amp; Recheck Triggers'!$H$3:$H$51,MATCH($B32,'Monitor &amp; Recheck Triggers'!$A$3:$A$51,0)),"")="",69.42,INDEX('Monitor &amp; Recheck Triggers'!$H$3:$H$51,MATCH($B32,'Monitor &amp; Recheck Triggers'!$A$3:$A$51,0)))</f>
        <v>69.42</v>
      </c>
      <c r="G32" s="34" t="n">
        <f aca="false">E32*F32</f>
        <v>34710</v>
      </c>
      <c r="H32" s="35" t="n">
        <v>30666</v>
      </c>
      <c r="I32" s="36" t="n">
        <f aca="false">G32-H32</f>
        <v>4044</v>
      </c>
      <c r="J32" s="37" t="n">
        <f aca="false">IF(H32=0,"",G32/H32-1)</f>
        <v>0.131872432009392</v>
      </c>
      <c r="K32" s="37" t="n">
        <f aca="false">IFERROR(G32/SUM(G28:G47),"")</f>
        <v>0.109567283103622</v>
      </c>
      <c r="L32" s="37" t="n">
        <f aca="false">IFERROR(G32/(SUM(G3:G24,G28:G47)),"")</f>
        <v>0.0487102614828049</v>
      </c>
      <c r="M32" s="28" t="s">
        <v>171</v>
      </c>
    </row>
    <row r="33" customFormat="false" ht="15" hidden="false" customHeight="true" outlineLevel="0" collapsed="false">
      <c r="A33" s="28" t="s">
        <v>155</v>
      </c>
      <c r="B33" s="29" t="s">
        <v>172</v>
      </c>
      <c r="C33" s="30" t="s">
        <v>173</v>
      </c>
      <c r="D33" s="31" t="s">
        <v>98</v>
      </c>
      <c r="E33" s="32" t="n">
        <v>35.07587</v>
      </c>
      <c r="F33" s="33" t="n">
        <f aca="false">IF(IFERROR(INDEX('Monitor &amp; Recheck Triggers'!$H$3:$H$51,MATCH($B33,'Monitor &amp; Recheck Triggers'!$A$3:$A$51,0)),"")="",355.14,INDEX('Monitor &amp; Recheck Triggers'!$H$3:$H$51,MATCH($B33,'Monitor &amp; Recheck Triggers'!$A$3:$A$51,0)))</f>
        <v>355.14</v>
      </c>
      <c r="G33" s="34" t="n">
        <f aca="false">E33*F33</f>
        <v>12456.8444718</v>
      </c>
      <c r="H33" s="35" t="n">
        <v>12653.43</v>
      </c>
      <c r="I33" s="36" t="n">
        <f aca="false">G33-H33</f>
        <v>-196.585528199999</v>
      </c>
      <c r="J33" s="37" t="n">
        <f aca="false">IF(H33=0,"",G33/H33-1)</f>
        <v>-0.0155361453929882</v>
      </c>
      <c r="K33" s="37" t="n">
        <f aca="false">IFERROR(G33/SUM(G28:G47),"")</f>
        <v>0.0393218843220831</v>
      </c>
      <c r="L33" s="37" t="n">
        <f aca="false">IFERROR(G33/(SUM(G3:G24,G28:G47)),"")</f>
        <v>0.0174813065823109</v>
      </c>
      <c r="M33" s="28"/>
    </row>
    <row r="34" customFormat="false" ht="15" hidden="false" customHeight="true" outlineLevel="0" collapsed="false">
      <c r="A34" s="28" t="s">
        <v>155</v>
      </c>
      <c r="B34" s="29" t="s">
        <v>111</v>
      </c>
      <c r="C34" s="30" t="s">
        <v>112</v>
      </c>
      <c r="D34" s="31" t="s">
        <v>98</v>
      </c>
      <c r="E34" s="32" t="n">
        <v>59.02188</v>
      </c>
      <c r="F34" s="33" t="n">
        <f aca="false">IF(IFERROR(INDEX('Monitor &amp; Recheck Triggers'!$H$3:$H$51,MATCH($B34,'Monitor &amp; Recheck Triggers'!$A$3:$A$51,0)),"")="",233.95,INDEX('Monitor &amp; Recheck Triggers'!$H$3:$H$51,MATCH($B34,'Monitor &amp; Recheck Triggers'!$A$3:$A$51,0)))</f>
        <v>233.95</v>
      </c>
      <c r="G34" s="34" t="n">
        <f aca="false">E34*F34</f>
        <v>13808.168826</v>
      </c>
      <c r="H34" s="35" t="n">
        <v>11377.73</v>
      </c>
      <c r="I34" s="36" t="n">
        <f aca="false">G34-H34</f>
        <v>2430.438826</v>
      </c>
      <c r="J34" s="37" t="n">
        <f aca="false">IF(H34=0,"",G34/H34-1)</f>
        <v>0.213613684451995</v>
      </c>
      <c r="K34" s="37" t="n">
        <f aca="false">IFERROR(G34/SUM(G28:G47),"")</f>
        <v>0.0435875408499267</v>
      </c>
      <c r="L34" s="37" t="n">
        <f aca="false">IFERROR(G34/(SUM(G3:G24,G28:G47)),"")</f>
        <v>0.0193776869522666</v>
      </c>
      <c r="M34" s="28"/>
    </row>
    <row r="35" customFormat="false" ht="15" hidden="false" customHeight="true" outlineLevel="1" collapsed="false">
      <c r="A35" s="28" t="s">
        <v>155</v>
      </c>
      <c r="B35" s="29" t="s">
        <v>174</v>
      </c>
      <c r="C35" s="30" t="s">
        <v>175</v>
      </c>
      <c r="D35" s="31" t="s">
        <v>98</v>
      </c>
      <c r="E35" s="32" t="n">
        <v>65</v>
      </c>
      <c r="F35" s="33" t="n">
        <f aca="false">IF(IFERROR(INDEX('Monitor &amp; Recheck Triggers'!$H$3:$H$51,MATCH($B35,'Monitor &amp; Recheck Triggers'!$A$3:$A$51,0)),"")="",504.73,INDEX('Monitor &amp; Recheck Triggers'!$H$3:$H$51,MATCH($B35,'Monitor &amp; Recheck Triggers'!$A$3:$A$51,0)))</f>
        <v>504.73</v>
      </c>
      <c r="G35" s="34" t="n">
        <f aca="false">E35*F35</f>
        <v>32807.45</v>
      </c>
      <c r="H35" s="35" t="n">
        <v>31479.64</v>
      </c>
      <c r="I35" s="36" t="n">
        <f aca="false">G35-H35</f>
        <v>1327.81000000001</v>
      </c>
      <c r="J35" s="37" t="n">
        <f aca="false">IF(H35=0,"",G35/H35-1)</f>
        <v>0.0421799613972715</v>
      </c>
      <c r="K35" s="37" t="n">
        <f aca="false">IFERROR(G35/SUM(G28:G47),"")</f>
        <v>0.103561600750733</v>
      </c>
      <c r="L35" s="37" t="n">
        <f aca="false">IFERROR(G35/(SUM(G3:G24,G28:G47)),"")</f>
        <v>0.0460403188730639</v>
      </c>
      <c r="M35" s="28" t="s">
        <v>176</v>
      </c>
    </row>
    <row r="36" customFormat="false" ht="15" hidden="false" customHeight="true" outlineLevel="1" collapsed="false">
      <c r="A36" s="28" t="s">
        <v>155</v>
      </c>
      <c r="B36" s="38" t="s">
        <v>140</v>
      </c>
      <c r="C36" s="30" t="s">
        <v>141</v>
      </c>
      <c r="D36" s="31" t="s">
        <v>98</v>
      </c>
      <c r="E36" s="32" t="n">
        <v>76.93745</v>
      </c>
      <c r="F36" s="33" t="n">
        <f aca="false">IF(IFERROR(INDEX('Monitor &amp; Recheck Triggers'!$H$3:$H$51,MATCH($B36,'Monitor &amp; Recheck Triggers'!$A$3:$A$51,0)),"")="",153.23,INDEX('Monitor &amp; Recheck Triggers'!$H$3:$H$51,MATCH($B36,'Monitor &amp; Recheck Triggers'!$A$3:$A$51,0)))</f>
        <v>153.23</v>
      </c>
      <c r="G36" s="34" t="n">
        <f aca="false">E36*F36</f>
        <v>11789.1254635</v>
      </c>
      <c r="H36" s="35" t="n">
        <v>9318.79</v>
      </c>
      <c r="I36" s="36" t="n">
        <f aca="false">G36-H36</f>
        <v>2470.3354635</v>
      </c>
      <c r="J36" s="37" t="n">
        <f aca="false">IF(H36=0,"",G36/H36-1)</f>
        <v>0.26509186959895</v>
      </c>
      <c r="K36" s="37" t="n">
        <f aca="false">IFERROR(G36/SUM(G28:G47),"")</f>
        <v>0.037214129853167</v>
      </c>
      <c r="L36" s="37" t="n">
        <f aca="false">IFERROR(G36/(SUM(G3:G24,G28:G47)),"")</f>
        <v>0.0165442634393742</v>
      </c>
      <c r="M36" s="28"/>
    </row>
    <row r="37" customFormat="false" ht="15" hidden="false" customHeight="true" outlineLevel="0" collapsed="false">
      <c r="A37" s="28" t="s">
        <v>155</v>
      </c>
      <c r="B37" s="38" t="s">
        <v>131</v>
      </c>
      <c r="C37" s="30" t="s">
        <v>132</v>
      </c>
      <c r="D37" s="31" t="s">
        <v>98</v>
      </c>
      <c r="E37" s="32" t="n">
        <v>200</v>
      </c>
      <c r="F37" s="33" t="n">
        <f aca="false">IF(IFERROR(INDEX('Monitor &amp; Recheck Triggers'!$H$3:$H$51,MATCH($B37,'Monitor &amp; Recheck Triggers'!$A$3:$A$51,0)),"")="",51.82,INDEX('Monitor &amp; Recheck Triggers'!$H$3:$H$51,MATCH($B37,'Monitor &amp; Recheck Triggers'!$A$3:$A$51,0)))</f>
        <v>51.82</v>
      </c>
      <c r="G37" s="34" t="n">
        <f aca="false">E37*F37</f>
        <v>10364</v>
      </c>
      <c r="H37" s="35" t="n">
        <v>9257</v>
      </c>
      <c r="I37" s="36" t="n">
        <f aca="false">G37-H37</f>
        <v>1107</v>
      </c>
      <c r="J37" s="37" t="n">
        <f aca="false">IF(H37=0,"",G37/H37-1)</f>
        <v>0.119585178783623</v>
      </c>
      <c r="K37" s="37" t="n">
        <f aca="false">IFERROR(G37/SUM(G28:G47),"")</f>
        <v>0.0327155091352907</v>
      </c>
      <c r="L37" s="37" t="n">
        <f aca="false">IFERROR(G37/(SUM(G3:G24,G28:G47)),"")</f>
        <v>0.0145443143188646</v>
      </c>
      <c r="M37" s="28"/>
    </row>
    <row r="38" customFormat="false" ht="15" hidden="false" customHeight="true" outlineLevel="0" collapsed="false">
      <c r="A38" s="28" t="s">
        <v>155</v>
      </c>
      <c r="B38" s="29" t="s">
        <v>101</v>
      </c>
      <c r="C38" s="30" t="s">
        <v>102</v>
      </c>
      <c r="D38" s="31" t="s">
        <v>98</v>
      </c>
      <c r="E38" s="32" t="n">
        <v>50</v>
      </c>
      <c r="F38" s="33" t="n">
        <f aca="false">IF(IFERROR(INDEX('Monitor &amp; Recheck Triggers'!$H$3:$H$51,MATCH($B38,'Monitor &amp; Recheck Triggers'!$A$3:$A$51,0)),"")="",207.35,INDEX('Monitor &amp; Recheck Triggers'!$H$3:$H$51,MATCH($B38,'Monitor &amp; Recheck Triggers'!$A$3:$A$51,0)))</f>
        <v>207.35</v>
      </c>
      <c r="G38" s="34" t="n">
        <f aca="false">E38*F38</f>
        <v>10367.5</v>
      </c>
      <c r="H38" s="35" t="n">
        <v>7394.5</v>
      </c>
      <c r="I38" s="36" t="n">
        <f aca="false">G38-H38</f>
        <v>2973</v>
      </c>
      <c r="J38" s="37" t="n">
        <f aca="false">IF(H38=0,"",G38/H38-1)</f>
        <v>0.402055581851376</v>
      </c>
      <c r="K38" s="37" t="n">
        <f aca="false">IFERROR(G38/SUM(G28:G47),"")</f>
        <v>0.032726557406419</v>
      </c>
      <c r="L38" s="37" t="n">
        <f aca="false">IFERROR(G38/(SUM(G3:G24,G28:G47)),"")</f>
        <v>0.0145492260421487</v>
      </c>
      <c r="M38" s="28"/>
    </row>
    <row r="39" customFormat="false" ht="15" hidden="false" customHeight="true" outlineLevel="0" collapsed="false">
      <c r="A39" s="28" t="s">
        <v>155</v>
      </c>
      <c r="B39" s="29" t="s">
        <v>105</v>
      </c>
      <c r="C39" s="30" t="s">
        <v>106</v>
      </c>
      <c r="D39" s="31" t="s">
        <v>98</v>
      </c>
      <c r="E39" s="32" t="n">
        <v>45</v>
      </c>
      <c r="F39" s="33" t="n">
        <f aca="false">IF(IFERROR(INDEX('Monitor &amp; Recheck Triggers'!$H$3:$H$51,MATCH($B39,'Monitor &amp; Recheck Triggers'!$A$3:$A$51,0)),"")="",270.04,INDEX('Monitor &amp; Recheck Triggers'!$H$3:$H$51,MATCH($B39,'Monitor &amp; Recheck Triggers'!$A$3:$A$51,0)))</f>
        <v>270.04</v>
      </c>
      <c r="G39" s="34" t="n">
        <f aca="false">E39*F39</f>
        <v>12151.8</v>
      </c>
      <c r="H39" s="35" t="n">
        <v>7099.31</v>
      </c>
      <c r="I39" s="36" t="n">
        <f aca="false">G39-H39</f>
        <v>5052.49</v>
      </c>
      <c r="J39" s="37" t="n">
        <f aca="false">IF(H39=0,"",G39/H39-1)</f>
        <v>0.711687473853093</v>
      </c>
      <c r="K39" s="37" t="n">
        <f aca="false">IFERROR(G39/SUM(G28:G47),"")</f>
        <v>0.0383589660276173</v>
      </c>
      <c r="L39" s="37" t="n">
        <f aca="false">IFERROR(G39/(SUM(G3:G24,G28:G47)),"")</f>
        <v>0.0170532225723638</v>
      </c>
      <c r="M39" s="28"/>
    </row>
    <row r="40" customFormat="false" ht="15" hidden="true" customHeight="true" outlineLevel="2" collapsed="false">
      <c r="A40" s="28" t="s">
        <v>155</v>
      </c>
      <c r="B40" s="29" t="s">
        <v>177</v>
      </c>
      <c r="C40" s="30" t="s">
        <v>178</v>
      </c>
      <c r="D40" s="31" t="s">
        <v>98</v>
      </c>
      <c r="E40" s="32" t="n">
        <v>125.44837</v>
      </c>
      <c r="F40" s="33" t="n">
        <f aca="false">IF(IFERROR(INDEX('Monitor &amp; Recheck Triggers'!$H$3:$H$51,MATCH($B40,'Monitor &amp; Recheck Triggers'!$A$3:$A$51,0)),"")="",128.91,INDEX('Monitor &amp; Recheck Triggers'!$H$3:$H$51,MATCH($B40,'Monitor &amp; Recheck Triggers'!$A$3:$A$51,0)))</f>
        <v>128.91</v>
      </c>
      <c r="G40" s="34" t="n">
        <f aca="false">E40*F40</f>
        <v>16171.5493767</v>
      </c>
      <c r="H40" s="35" t="n">
        <v>16585.43</v>
      </c>
      <c r="I40" s="36" t="n">
        <f aca="false">G40-H40</f>
        <v>-413.880623300001</v>
      </c>
      <c r="J40" s="37" t="n">
        <f aca="false">IF(H40=0,"",G40/H40-1)</f>
        <v>-0.0249544704780039</v>
      </c>
      <c r="K40" s="37" t="n">
        <f aca="false">IFERROR(G40/SUM(G28:G47),"")</f>
        <v>0.0510479034509103</v>
      </c>
      <c r="L40" s="37" t="n">
        <f aca="false">IFERROR(G40/(SUM(G3:G24,G28:G47)),"")</f>
        <v>0.0226943358894021</v>
      </c>
      <c r="M40" s="28" t="s">
        <v>179</v>
      </c>
    </row>
    <row r="41" customFormat="false" ht="15" hidden="true" customHeight="true" outlineLevel="2" collapsed="false">
      <c r="A41" s="28" t="s">
        <v>155</v>
      </c>
      <c r="B41" s="29" t="s">
        <v>180</v>
      </c>
      <c r="C41" s="30" t="s">
        <v>181</v>
      </c>
      <c r="D41" s="31" t="s">
        <v>98</v>
      </c>
      <c r="E41" s="32" t="n">
        <v>0</v>
      </c>
      <c r="F41" s="33" t="n">
        <f aca="false">IF(IFERROR(INDEX('Monitor &amp; Recheck Triggers'!$H$3:$H$51,MATCH($B41,'Monitor &amp; Recheck Triggers'!$A$3:$A$51,0)),"")="",86.07,INDEX('Monitor &amp; Recheck Triggers'!$H$3:$H$51,MATCH($B41,'Monitor &amp; Recheck Triggers'!$A$3:$A$51,0)))</f>
        <v>86.07</v>
      </c>
      <c r="G41" s="34" t="n">
        <f aca="false">E41*F41</f>
        <v>0</v>
      </c>
      <c r="H41" s="35" t="n">
        <v>0</v>
      </c>
      <c r="I41" s="36" t="n">
        <f aca="false">G41-H41</f>
        <v>0</v>
      </c>
      <c r="J41" s="37" t="str">
        <f aca="false">IF(H41=0,"",G41/H41-1)</f>
        <v/>
      </c>
      <c r="K41" s="37" t="n">
        <f aca="false">IFERROR(G41/SUM(G28:G47),"")</f>
        <v>0</v>
      </c>
      <c r="L41" s="37" t="n">
        <f aca="false">IFERROR(G41/(SUM(G3:G24,G28:G47)),"")</f>
        <v>0</v>
      </c>
      <c r="M41" s="28" t="s">
        <v>182</v>
      </c>
    </row>
    <row r="42" customFormat="false" ht="15" hidden="true" customHeight="true" outlineLevel="2" collapsed="false">
      <c r="A42" s="28" t="s">
        <v>155</v>
      </c>
      <c r="B42" s="29" t="s">
        <v>183</v>
      </c>
      <c r="C42" s="30" t="s">
        <v>184</v>
      </c>
      <c r="D42" s="31" t="s">
        <v>98</v>
      </c>
      <c r="E42" s="32" t="n">
        <v>0</v>
      </c>
      <c r="F42" s="33" t="n">
        <f aca="false">IF(IFERROR(INDEX('Monitor &amp; Recheck Triggers'!$H$3:$H$51,MATCH($B42,'Monitor &amp; Recheck Triggers'!$A$3:$A$51,0)),"")="",327.35,INDEX('Monitor &amp; Recheck Triggers'!$H$3:$H$51,MATCH($B42,'Monitor &amp; Recheck Triggers'!$A$3:$A$51,0)))</f>
        <v>327.35</v>
      </c>
      <c r="G42" s="34" t="n">
        <f aca="false">E42*F42</f>
        <v>0</v>
      </c>
      <c r="H42" s="35" t="n">
        <v>0</v>
      </c>
      <c r="I42" s="36" t="n">
        <f aca="false">G42-H42</f>
        <v>0</v>
      </c>
      <c r="J42" s="37" t="str">
        <f aca="false">IF(H42=0,"",G42/H42-1)</f>
        <v/>
      </c>
      <c r="K42" s="37" t="n">
        <f aca="false">IFERROR(G42/SUM(G28:G47),"")</f>
        <v>0</v>
      </c>
      <c r="L42" s="37" t="n">
        <f aca="false">IFERROR(G42/(SUM(G3:G24,G28:G47)),"")</f>
        <v>0</v>
      </c>
      <c r="M42" s="28" t="s">
        <v>185</v>
      </c>
    </row>
    <row r="43" customFormat="false" ht="15" hidden="false" customHeight="true" outlineLevel="1" collapsed="true">
      <c r="A43" s="28" t="s">
        <v>155</v>
      </c>
      <c r="B43" s="29" t="s">
        <v>186</v>
      </c>
      <c r="C43" s="30" t="s">
        <v>187</v>
      </c>
      <c r="D43" s="31" t="s">
        <v>98</v>
      </c>
      <c r="E43" s="32" t="n">
        <v>0</v>
      </c>
      <c r="F43" s="33" t="n">
        <f aca="false">IF(IFERROR(INDEX('Monitor &amp; Recheck Triggers'!$H$3:$H$51,MATCH($B43,'Monitor &amp; Recheck Triggers'!$A$3:$A$51,0)),"")="",120.16,INDEX('Monitor &amp; Recheck Triggers'!$H$3:$H$51,MATCH($B43,'Monitor &amp; Recheck Triggers'!$A$3:$A$51,0)))</f>
        <v>120.16</v>
      </c>
      <c r="G43" s="34" t="n">
        <f aca="false">E43*F43</f>
        <v>0</v>
      </c>
      <c r="H43" s="35" t="n">
        <v>0</v>
      </c>
      <c r="I43" s="36" t="n">
        <f aca="false">G43-H43</f>
        <v>0</v>
      </c>
      <c r="J43" s="37" t="str">
        <f aca="false">IF(H43=0,"",G43/H43-1)</f>
        <v/>
      </c>
      <c r="K43" s="37" t="n">
        <f aca="false">IFERROR(G43/SUM(G28:G47),"")</f>
        <v>0</v>
      </c>
      <c r="L43" s="37" t="n">
        <f aca="false">IFERROR(G43/(SUM(G3:G24,G28:G47)),"")</f>
        <v>0</v>
      </c>
      <c r="M43" s="28" t="s">
        <v>188</v>
      </c>
    </row>
    <row r="44" customFormat="false" ht="15" hidden="true" customHeight="true" outlineLevel="2" collapsed="false">
      <c r="A44" s="28" t="s">
        <v>155</v>
      </c>
      <c r="B44" s="38" t="s">
        <v>189</v>
      </c>
      <c r="C44" s="30" t="s">
        <v>190</v>
      </c>
      <c r="D44" s="31" t="s">
        <v>124</v>
      </c>
      <c r="E44" s="32" t="n">
        <v>20408.02</v>
      </c>
      <c r="F44" s="33" t="n">
        <v>1</v>
      </c>
      <c r="G44" s="34" t="n">
        <f aca="false">E44*F44</f>
        <v>20408.02</v>
      </c>
      <c r="H44" s="35" t="n">
        <v>20408.02</v>
      </c>
      <c r="I44" s="36" t="n">
        <f aca="false">G44-H44</f>
        <v>0</v>
      </c>
      <c r="J44" s="37" t="n">
        <f aca="false">IF(H44=0,"",G44/H44-1)</f>
        <v>0</v>
      </c>
      <c r="K44" s="37" t="n">
        <f aca="false">IFERROR(G44/SUM(G28:G47),"")</f>
        <v>0.064420953757545</v>
      </c>
      <c r="L44" s="37" t="n">
        <f aca="false">IFERROR(G44/(SUM(G3:G24,G28:G47)),"")</f>
        <v>0.0286395848616051</v>
      </c>
      <c r="M44" s="28" t="s">
        <v>191</v>
      </c>
    </row>
    <row r="45" customFormat="false" ht="15" hidden="false" customHeight="true" outlineLevel="0" collapsed="false">
      <c r="A45" s="28" t="s">
        <v>155</v>
      </c>
      <c r="B45" s="29" t="s">
        <v>192</v>
      </c>
      <c r="C45" s="30" t="s">
        <v>193</v>
      </c>
      <c r="D45" s="31" t="s">
        <v>98</v>
      </c>
      <c r="E45" s="32" t="n">
        <v>0</v>
      </c>
      <c r="F45" s="33" t="n">
        <f aca="false">IF(IFERROR(INDEX('Monitor &amp; Recheck Triggers'!$H$3:$H$51,MATCH($B45,'Monitor &amp; Recheck Triggers'!$A$3:$A$51,0)),"")="",37.61,INDEX('Monitor &amp; Recheck Triggers'!$H$3:$H$51,MATCH($B45,'Monitor &amp; Recheck Triggers'!$A$3:$A$51,0)))</f>
        <v>37.61</v>
      </c>
      <c r="G45" s="34" t="n">
        <f aca="false">E45*F45</f>
        <v>0</v>
      </c>
      <c r="H45" s="35" t="n">
        <v>0</v>
      </c>
      <c r="I45" s="36" t="n">
        <f aca="false">G45-H45</f>
        <v>0</v>
      </c>
      <c r="J45" s="37" t="str">
        <f aca="false">IF(H45=0,"",G45/H45-1)</f>
        <v/>
      </c>
      <c r="K45" s="37" t="n">
        <f aca="false">IFERROR(G45/SUM(G28:G47),"")</f>
        <v>0</v>
      </c>
      <c r="L45" s="37" t="n">
        <f aca="false">IFERROR(G45/(SUM(G3:G24,G28:G47)),"")</f>
        <v>0</v>
      </c>
      <c r="M45" s="28" t="s">
        <v>194</v>
      </c>
    </row>
    <row r="46" customFormat="false" ht="15" hidden="false" customHeight="true" outlineLevel="1" collapsed="false">
      <c r="A46" s="28" t="s">
        <v>155</v>
      </c>
      <c r="B46" s="29" t="s">
        <v>113</v>
      </c>
      <c r="C46" s="30" t="s">
        <v>114</v>
      </c>
      <c r="D46" s="31" t="s">
        <v>98</v>
      </c>
      <c r="E46" s="32" t="n">
        <v>20</v>
      </c>
      <c r="F46" s="33" t="n">
        <f aca="false">IF(IFERROR(INDEX('Monitor &amp; Recheck Triggers'!$H$3:$H$51,MATCH($B46,'Monitor &amp; Recheck Triggers'!$A$3:$A$51,0)),"")="",188.75,INDEX('Monitor &amp; Recheck Triggers'!$H$3:$H$51,MATCH($B46,'Monitor &amp; Recheck Triggers'!$A$3:$A$51,0)))</f>
        <v>188.75</v>
      </c>
      <c r="G46" s="34" t="n">
        <f aca="false">E46*F46</f>
        <v>3775</v>
      </c>
      <c r="H46" s="35" t="n">
        <v>3178</v>
      </c>
      <c r="I46" s="36" t="n">
        <f aca="false">G46-H46</f>
        <v>597</v>
      </c>
      <c r="J46" s="37" t="n">
        <f aca="false">IF(H46=0,"",G46/H46-1)</f>
        <v>0.18785399622404</v>
      </c>
      <c r="K46" s="37" t="n">
        <f aca="false">IFERROR(G46/SUM(G28:G47),"")</f>
        <v>0.0119163495740759</v>
      </c>
      <c r="L46" s="37" t="n">
        <f aca="false">IFERROR(G46/(SUM(G3:G24,G28:G47)),"")</f>
        <v>0.00529764439923908</v>
      </c>
      <c r="M46" s="28"/>
    </row>
    <row r="47" customFormat="false" ht="13.5" hidden="false" customHeight="true" outlineLevel="0" collapsed="false">
      <c r="A47" s="28" t="s">
        <v>155</v>
      </c>
      <c r="B47" s="38" t="s">
        <v>195</v>
      </c>
      <c r="C47" s="30" t="s">
        <v>196</v>
      </c>
      <c r="D47" s="31" t="s">
        <v>161</v>
      </c>
      <c r="E47" s="32" t="n">
        <v>180</v>
      </c>
      <c r="F47" s="33" t="n">
        <f aca="false">IF(IFERROR(INDEX('Monitor &amp; Recheck Triggers'!$H$3:$H$51,MATCH($B47,'Monitor &amp; Recheck Triggers'!$A$3:$A$51,0)),"")="",56.1,INDEX('Monitor &amp; Recheck Triggers'!$H$3:$H$51,MATCH($B47,'Monitor &amp; Recheck Triggers'!$A$3:$A$51,0)))</f>
        <v>56.1</v>
      </c>
      <c r="G47" s="34" t="n">
        <f aca="false">E47*F47</f>
        <v>10098</v>
      </c>
      <c r="H47" s="35" t="n">
        <v>10500.57</v>
      </c>
      <c r="I47" s="36" t="n">
        <f aca="false">G47-H47</f>
        <v>-402.57</v>
      </c>
      <c r="J47" s="37" t="n">
        <f aca="false">IF(H47=0,"",G47/H47-1)</f>
        <v>-0.0383379187986938</v>
      </c>
      <c r="K47" s="37" t="n">
        <f aca="false">IFERROR(G47/SUM(G28:G47),"")</f>
        <v>0.0318758405295413</v>
      </c>
      <c r="L47" s="37" t="n">
        <f aca="false">IFERROR(G47/(SUM(G3:G24,G28:G47)),"")</f>
        <v>0.0141710233492758</v>
      </c>
      <c r="M47" s="28" t="s">
        <v>130</v>
      </c>
    </row>
    <row r="48" customFormat="false" ht="15" hidden="false" customHeight="true" outlineLevel="0" collapsed="false">
      <c r="A48" s="39" t="s">
        <v>152</v>
      </c>
      <c r="B48" s="40" t="n">
        <f aca="false">SUBTOTAL(103,B28:B47)</f>
        <v>15</v>
      </c>
      <c r="C48" s="41" t="s">
        <v>197</v>
      </c>
      <c r="D48" s="42"/>
      <c r="E48" s="43"/>
      <c r="F48" s="44"/>
      <c r="G48" s="45" t="n">
        <f aca="false">SUM(G28:G47)</f>
        <v>316791.6463455</v>
      </c>
      <c r="H48" s="46" t="n">
        <f aca="false">SUM(H28:H47)</f>
        <v>286006.47</v>
      </c>
      <c r="I48" s="47" t="n">
        <f aca="false">SUM(I28:I47)</f>
        <v>30785.1763455</v>
      </c>
      <c r="J48" s="48" t="n">
        <f aca="false">CurrentPositionsTable[[#This Row],[Unrealized G/L ($)]]/CurrentPositionsTable[[#This Row],[Cost Basis
($)]]</f>
        <v>0.107638041704092</v>
      </c>
      <c r="K48" s="48" t="n">
        <f aca="false">SUM(K28:K47)</f>
        <v>1</v>
      </c>
      <c r="L48" s="48" t="n">
        <f aca="false">SUM(L28:L47)</f>
        <v>0.444569401586216</v>
      </c>
      <c r="M48" s="49"/>
      <c r="N48" s="50"/>
      <c r="O48" s="50"/>
    </row>
    <row r="49" customFormat="false" ht="15" hidden="false" customHeight="true" outlineLevel="0" collapsed="false">
      <c r="E49" s="51"/>
      <c r="I49" s="52" t="s">
        <v>154</v>
      </c>
      <c r="J49" s="53" t="n">
        <f aca="false">I48/(H48-H44-H28)</f>
        <v>0.129549765469346</v>
      </c>
    </row>
    <row r="50" customFormat="false" ht="15" hidden="false" customHeight="true" outlineLevel="0" collapsed="false">
      <c r="E50" s="51"/>
    </row>
    <row r="51" customFormat="false" ht="15" hidden="false" customHeight="true" outlineLevel="0" collapsed="false">
      <c r="A51" s="28"/>
      <c r="B51" s="29"/>
      <c r="C51" s="30" t="s">
        <v>198</v>
      </c>
      <c r="D51" s="31"/>
      <c r="E51" s="32"/>
      <c r="F51" s="30"/>
      <c r="G51" s="34" t="n">
        <f aca="false">SUM(G3:G24)+SUM(G28:G47)</f>
        <v>712580.8596255</v>
      </c>
      <c r="H51" s="35" t="n">
        <f aca="false">SUM(H3:H24)+SUM(H28:H47)</f>
        <v>658235.47</v>
      </c>
      <c r="I51" s="36" t="n">
        <f aca="false">SUM(I3:I24)+SUM(I28:I47)</f>
        <v>54345.3896255</v>
      </c>
    </row>
    <row r="52" customFormat="false" ht="14.25" hidden="false" customHeight="true" outlineLevel="0" collapsed="false">
      <c r="A52" s="28"/>
      <c r="B52" s="29"/>
      <c r="C52" s="30" t="s">
        <v>199</v>
      </c>
      <c r="D52" s="31"/>
      <c r="E52" s="32"/>
      <c r="F52" s="30"/>
      <c r="G52" s="34" t="n">
        <f aca="false">SUM(G14:G21)+G28+G29+G30+G32+G36+G37+G44+G47</f>
        <v>370514.546951</v>
      </c>
      <c r="H52" s="35" t="n">
        <f aca="false">SUM(H14:H21)+H28+H29+H30+H32+H36+H37+H44+H47</f>
        <v>359377.6</v>
      </c>
      <c r="I52" s="36" t="n">
        <f aca="false">G52-H52</f>
        <v>11136.946951</v>
      </c>
      <c r="L52" s="37" t="n">
        <f aca="false">IFERROR(G52/G51,"")</f>
        <v>0.519961407812337</v>
      </c>
      <c r="M52" s="28" t="s">
        <v>200</v>
      </c>
    </row>
    <row r="53" customFormat="false" ht="142.5" hidden="false" customHeight="true" outlineLevel="0" collapsed="false">
      <c r="A53" s="54" t="s">
        <v>201</v>
      </c>
      <c r="B53" s="54"/>
      <c r="C53" s="54"/>
      <c r="D53" s="54"/>
      <c r="E53" s="54"/>
      <c r="F53" s="54"/>
      <c r="G53" s="54"/>
      <c r="H53" s="54"/>
      <c r="I53" s="54"/>
      <c r="J53" s="54"/>
      <c r="K53" s="54"/>
      <c r="L53" s="54"/>
      <c r="M53" s="54"/>
    </row>
  </sheetData>
  <mergeCells count="3">
    <mergeCell ref="A1:M1"/>
    <mergeCell ref="O1:P1"/>
    <mergeCell ref="A53:M53"/>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1"/>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2" topLeftCell="A3" activePane="bottomLeft" state="frozen"/>
      <selection pane="topLeft" activeCell="A1" activeCellId="0" sqref="A1"/>
      <selection pane="bottomLeft" activeCell="I61" activeCellId="0" sqref="I61"/>
    </sheetView>
  </sheetViews>
  <sheetFormatPr defaultColWidth="8.66796875" defaultRowHeight="15" customHeight="false" zeroHeight="false" outlineLevelRow="1" outlineLevelCol="0"/>
  <cols>
    <col collapsed="false" customWidth="true" hidden="false" outlineLevel="0" max="1" min="1" style="55" width="8"/>
    <col collapsed="false" customWidth="true" hidden="false" outlineLevel="0" max="2" min="2" style="1" width="10.66"/>
    <col collapsed="false" customWidth="true" hidden="false" outlineLevel="0" max="3" min="3" style="1" width="11"/>
    <col collapsed="false" customWidth="true" hidden="false" outlineLevel="0" max="5" min="4" style="1" width="7.83"/>
    <col collapsed="false" customWidth="true" hidden="false" outlineLevel="0" max="6" min="6" style="1" width="14"/>
    <col collapsed="false" customWidth="true" hidden="false" outlineLevel="0" max="7" min="7" style="56" width="8.16"/>
    <col collapsed="false" customWidth="true" hidden="false" outlineLevel="0" max="9" min="8" style="1" width="8.34"/>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7.33"/>
    <col collapsed="false" customWidth="true" hidden="false" outlineLevel="0" max="14" min="14" style="1" width="17.16"/>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60" hidden="false" customHeight="true" outlineLevel="0" collapsed="false">
      <c r="A1" s="57" t="s">
        <v>202</v>
      </c>
      <c r="B1" s="57"/>
      <c r="C1" s="57"/>
      <c r="D1" s="57"/>
      <c r="E1" s="57"/>
      <c r="F1" s="57"/>
      <c r="G1" s="57"/>
      <c r="H1" s="57"/>
      <c r="I1" s="57"/>
      <c r="J1" s="57"/>
      <c r="K1" s="57"/>
      <c r="L1" s="57"/>
      <c r="M1" s="57"/>
      <c r="N1" s="57"/>
      <c r="O1" s="57"/>
      <c r="P1" s="58" t="s">
        <v>203</v>
      </c>
      <c r="Q1" s="59" t="n">
        <v>46300</v>
      </c>
    </row>
    <row r="2" s="62" customFormat="true" ht="42" hidden="false" customHeight="true" outlineLevel="0" collapsed="false">
      <c r="A2" s="60" t="s">
        <v>82</v>
      </c>
      <c r="B2" s="60" t="s">
        <v>204</v>
      </c>
      <c r="C2" s="60" t="s">
        <v>205</v>
      </c>
      <c r="D2" s="60" t="s">
        <v>206</v>
      </c>
      <c r="E2" s="60" t="s">
        <v>207</v>
      </c>
      <c r="F2" s="60" t="s">
        <v>208</v>
      </c>
      <c r="G2" s="61" t="s">
        <v>209</v>
      </c>
      <c r="H2" s="60" t="s">
        <v>210</v>
      </c>
      <c r="I2" s="60" t="s">
        <v>211</v>
      </c>
      <c r="J2" s="60" t="s">
        <v>212</v>
      </c>
      <c r="K2" s="60" t="s">
        <v>213</v>
      </c>
      <c r="L2" s="60" t="s">
        <v>214</v>
      </c>
      <c r="M2" s="60" t="s">
        <v>215</v>
      </c>
      <c r="N2" s="60" t="s">
        <v>216</v>
      </c>
      <c r="O2" s="60" t="s">
        <v>217</v>
      </c>
      <c r="P2" s="60" t="s">
        <v>218</v>
      </c>
      <c r="Q2" s="60" t="s">
        <v>219</v>
      </c>
    </row>
    <row r="3" customFormat="false" ht="15" hidden="false" customHeight="true" outlineLevel="0" collapsed="false">
      <c r="A3" s="63" t="s">
        <v>96</v>
      </c>
      <c r="B3" s="64" t="s">
        <v>220</v>
      </c>
      <c r="C3" s="65" t="n">
        <v>46295</v>
      </c>
      <c r="D3" s="64" t="n">
        <v>85.8</v>
      </c>
      <c r="E3" s="64" t="n">
        <v>4.57</v>
      </c>
      <c r="F3" s="66" t="s">
        <v>221</v>
      </c>
      <c r="G3" s="67" t="n">
        <v>239.94</v>
      </c>
      <c r="H3" s="68" t="str">
        <f aca="false" t="array" ref="H3:H3">IFERROR(INDEX(_xlfn.stockhistory(A3,TODAY()-5,TODAY(),0,0,1),ROWS(_xlfn.stockhistory(A3,TODAY()-5,TODAY(),0,0,1)),1),"")</f>
        <v/>
      </c>
      <c r="I3" s="69" t="str">
        <f aca="false">IF(OR(G3="",H3=""),"",H3/G3-1)</f>
        <v/>
      </c>
      <c r="J3" s="70" t="n">
        <v>46365</v>
      </c>
      <c r="K3" s="64" t="s">
        <v>222</v>
      </c>
      <c r="L3" s="71" t="s">
        <v>223</v>
      </c>
      <c r="M3" s="64" t="s">
        <v>224</v>
      </c>
      <c r="N3" s="71"/>
      <c r="O3" s="72" t="n">
        <f aca="true">IF(C3="","",TODAY()-C3)</f>
        <v>8</v>
      </c>
      <c r="P3" s="73"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INSIDER ACTIVITY</v>
      </c>
      <c r="Q3" s="71"/>
    </row>
    <row r="4" customFormat="false" ht="15" hidden="false" customHeight="true" outlineLevel="0" collapsed="false">
      <c r="A4" s="63" t="s">
        <v>101</v>
      </c>
      <c r="B4" s="64" t="s">
        <v>220</v>
      </c>
      <c r="C4" s="65" t="n">
        <v>46278</v>
      </c>
      <c r="D4" s="64" t="n">
        <v>81</v>
      </c>
      <c r="E4" s="64" t="n">
        <v>4.29</v>
      </c>
      <c r="F4" s="66" t="s">
        <v>221</v>
      </c>
      <c r="G4" s="67" t="n">
        <v>199.59</v>
      </c>
      <c r="H4" s="68" t="str">
        <f aca="false" t="array" ref="H4:H4">IFERROR(INDEX(_xlfn.stockhistory(A4,TODAY()-5,TODAY(),0,0,1),ROWS(_xlfn.stockhistory(A4,TODAY()-5,TODAY(),0,0,1)),1),"")</f>
        <v/>
      </c>
      <c r="I4" s="69" t="str">
        <f aca="false">IF(OR(G4="",H4=""),"",H4/G4-1)</f>
        <v/>
      </c>
      <c r="J4" s="70" t="n">
        <v>46329</v>
      </c>
      <c r="K4" s="64" t="s">
        <v>222</v>
      </c>
      <c r="L4" s="71" t="s">
        <v>225</v>
      </c>
      <c r="M4" s="64" t="s">
        <v>224</v>
      </c>
      <c r="N4" s="71"/>
      <c r="O4" s="72" t="n">
        <f aca="true">IF(C4="","",TODAY()-C4)</f>
        <v>25</v>
      </c>
      <c r="P4" s="73"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71"/>
    </row>
    <row r="5" customFormat="false" ht="15" hidden="false" customHeight="true" outlineLevel="0" collapsed="false">
      <c r="A5" s="63" t="s">
        <v>103</v>
      </c>
      <c r="B5" s="64" t="s">
        <v>220</v>
      </c>
      <c r="C5" s="65" t="n">
        <v>46278</v>
      </c>
      <c r="D5" s="64" t="n">
        <v>77.2</v>
      </c>
      <c r="E5" s="64" t="n">
        <v>3.86</v>
      </c>
      <c r="F5" s="66" t="s">
        <v>226</v>
      </c>
      <c r="G5" s="67" t="n">
        <v>1698.3</v>
      </c>
      <c r="H5" s="68" t="str">
        <f aca="false" t="array" ref="H5:H5">IFERROR(INDEX(_xlfn.stockhistory(A5,TODAY()-5,TODAY(),0,0,1),ROWS(_xlfn.stockhistory(A5,TODAY()-5,TODAY(),0,0,1)),1),"")</f>
        <v/>
      </c>
      <c r="I5" s="69" t="str">
        <f aca="false">IF(OR(G5="",H5=""),"",H5/G5-1)</f>
        <v/>
      </c>
      <c r="J5" s="70" t="n">
        <v>46309</v>
      </c>
      <c r="K5" s="64" t="s">
        <v>224</v>
      </c>
      <c r="L5" s="71"/>
      <c r="M5" s="64" t="s">
        <v>224</v>
      </c>
      <c r="N5" s="71"/>
      <c r="O5" s="72" t="n">
        <f aca="true">IF(C5="","",TODAY()-C5)</f>
        <v>25</v>
      </c>
      <c r="P5" s="73"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DUE — EARNINGS WINDOW</v>
      </c>
      <c r="Q5" s="71"/>
    </row>
    <row r="6" customFormat="false" ht="15" hidden="false" customHeight="true" outlineLevel="0" collapsed="false">
      <c r="A6" s="63" t="s">
        <v>105</v>
      </c>
      <c r="B6" s="64" t="s">
        <v>220</v>
      </c>
      <c r="C6" s="65" t="n">
        <v>46278</v>
      </c>
      <c r="D6" s="64" t="n">
        <v>63.4</v>
      </c>
      <c r="E6" s="64" t="n">
        <v>3.5</v>
      </c>
      <c r="F6" s="66" t="s">
        <v>227</v>
      </c>
      <c r="G6" s="67" t="n">
        <v>206.74</v>
      </c>
      <c r="H6" s="68" t="str">
        <f aca="false" t="array" ref="H6:H6">IFERROR(INDEX(_xlfn.stockhistory(A6,TODAY()-5,TODAY(),0,0,1),ROWS(_xlfn.stockhistory(A6,TODAY()-5,TODAY(),0,0,1)),1),"")</f>
        <v/>
      </c>
      <c r="I6" s="69" t="str">
        <f aca="false">IF(OR(G6="",H6=""),"",H6/G6-1)</f>
        <v/>
      </c>
      <c r="J6" s="70" t="n">
        <v>46357</v>
      </c>
      <c r="K6" s="64" t="s">
        <v>222</v>
      </c>
      <c r="L6" s="71" t="s">
        <v>228</v>
      </c>
      <c r="M6" s="64" t="s">
        <v>224</v>
      </c>
      <c r="N6" s="71"/>
      <c r="O6" s="72" t="n">
        <f aca="true">IF(C6="","",TODAY()-C6)</f>
        <v>25</v>
      </c>
      <c r="P6" s="73"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71"/>
    </row>
    <row r="7" customFormat="false" ht="15" hidden="false" customHeight="true" outlineLevel="0" collapsed="false">
      <c r="A7" s="63" t="s">
        <v>107</v>
      </c>
      <c r="B7" s="64" t="s">
        <v>220</v>
      </c>
      <c r="C7" s="65" t="n">
        <v>46278</v>
      </c>
      <c r="D7" s="64" t="n">
        <v>72.6</v>
      </c>
      <c r="E7" s="64" t="n">
        <v>3.71</v>
      </c>
      <c r="F7" s="66" t="s">
        <v>226</v>
      </c>
      <c r="G7" s="67" t="n">
        <v>180.64</v>
      </c>
      <c r="H7" s="68" t="str">
        <f aca="false" t="array" ref="H7:H7">IFERROR(INDEX(_xlfn.stockhistory(A7,TODAY()-5,TODAY(),0,0,1),ROWS(_xlfn.stockhistory(A7,TODAY()-5,TODAY(),0,0,1)),1),"")</f>
        <v/>
      </c>
      <c r="I7" s="69" t="str">
        <f aca="false">IF(OR(G7="",H7=""),"",H7/G7-1)</f>
        <v/>
      </c>
      <c r="J7" s="70" t="n">
        <v>46323</v>
      </c>
      <c r="K7" s="64" t="s">
        <v>222</v>
      </c>
      <c r="L7" s="71" t="s">
        <v>229</v>
      </c>
      <c r="M7" s="64" t="s">
        <v>224</v>
      </c>
      <c r="N7" s="71"/>
      <c r="O7" s="72" t="n">
        <f aca="true">IF(C7="","",TODAY()-C7)</f>
        <v>25</v>
      </c>
      <c r="P7" s="73"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71"/>
    </row>
    <row r="8" customFormat="false" ht="15" hidden="false" customHeight="true" outlineLevel="0" collapsed="false">
      <c r="A8" s="63" t="s">
        <v>109</v>
      </c>
      <c r="B8" s="64" t="s">
        <v>220</v>
      </c>
      <c r="C8" s="65" t="n">
        <v>46278</v>
      </c>
      <c r="D8" s="64" t="n">
        <v>67.8</v>
      </c>
      <c r="E8" s="64" t="n">
        <v>3.36</v>
      </c>
      <c r="F8" s="66" t="s">
        <v>226</v>
      </c>
      <c r="G8" s="67" t="n">
        <v>975.26</v>
      </c>
      <c r="H8" s="68" t="str">
        <f aca="false" t="array" ref="H8:H8">IFERROR(INDEX(_xlfn.stockhistory(A8,TODAY()-5,TODAY(),0,0,1),ROWS(_xlfn.stockhistory(A8,TODAY()-5,TODAY(),0,0,1)),1),"")</f>
        <v/>
      </c>
      <c r="I8" s="69" t="str">
        <f aca="false">IF(OR(G8="",H8=""),"",H8/G8-1)</f>
        <v/>
      </c>
      <c r="J8" s="70" t="n">
        <v>46379</v>
      </c>
      <c r="K8" s="64" t="s">
        <v>224</v>
      </c>
      <c r="L8" s="71"/>
      <c r="M8" s="64" t="s">
        <v>224</v>
      </c>
      <c r="N8" s="71"/>
      <c r="O8" s="72" t="n">
        <f aca="true">IF(C8="","",TODAY()-C8)</f>
        <v>25</v>
      </c>
      <c r="P8" s="73"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Monitor Only</v>
      </c>
      <c r="Q8" s="71"/>
    </row>
    <row r="9" customFormat="false" ht="15" hidden="false" customHeight="true" outlineLevel="0" collapsed="false">
      <c r="A9" s="63" t="s">
        <v>111</v>
      </c>
      <c r="B9" s="64" t="s">
        <v>220</v>
      </c>
      <c r="C9" s="65" t="n">
        <v>46278</v>
      </c>
      <c r="D9" s="64" t="n">
        <v>89.2</v>
      </c>
      <c r="E9" s="64" t="n">
        <v>4.29</v>
      </c>
      <c r="F9" s="66" t="s">
        <v>221</v>
      </c>
      <c r="G9" s="67" t="n">
        <v>218.29</v>
      </c>
      <c r="H9" s="68" t="str">
        <f aca="false" t="array" ref="H9:H9">IFERROR(INDEX(_xlfn.stockhistory(A9,TODAY()-5,TODAY(),0,0,1),ROWS(_xlfn.stockhistory(A9,TODAY()-5,TODAY(),0,0,1)),1),"")</f>
        <v/>
      </c>
      <c r="I9" s="69" t="str">
        <f aca="false">IF(OR(G9="",H9=""),"",H9/G9-1)</f>
        <v/>
      </c>
      <c r="J9" s="70" t="n">
        <v>46343</v>
      </c>
      <c r="K9" s="64" t="s">
        <v>222</v>
      </c>
      <c r="L9" s="71" t="s">
        <v>230</v>
      </c>
      <c r="M9" s="64" t="s">
        <v>224</v>
      </c>
      <c r="N9" s="71"/>
      <c r="O9" s="72" t="n">
        <f aca="true">IF(C9="","",TODAY()-C9)</f>
        <v>25</v>
      </c>
      <c r="P9" s="73"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71"/>
    </row>
    <row r="10" customFormat="false" ht="15" hidden="false" customHeight="true" outlineLevel="0" collapsed="false">
      <c r="A10" s="63" t="s">
        <v>113</v>
      </c>
      <c r="B10" s="64" t="s">
        <v>220</v>
      </c>
      <c r="C10" s="65" t="n">
        <v>46278</v>
      </c>
      <c r="D10" s="64" t="n">
        <v>76.2</v>
      </c>
      <c r="E10" s="64" t="n">
        <v>4.07</v>
      </c>
      <c r="F10" s="66" t="s">
        <v>226</v>
      </c>
      <c r="G10" s="67" t="n">
        <v>167.23</v>
      </c>
      <c r="H10" s="68" t="str">
        <f aca="false" t="array" ref="H10:H10">IFERROR(INDEX(_xlfn.stockhistory(A10,TODAY()-5,TODAY(),0,0,1),ROWS(_xlfn.stockhistory(A10,TODAY()-5,TODAY(),0,0,1)),1),"")</f>
        <v/>
      </c>
      <c r="I10" s="69" t="str">
        <f aca="false">IF(OR(G10="",H10=""),"",H10/G10-1)</f>
        <v/>
      </c>
      <c r="J10" s="70" t="n">
        <v>46328</v>
      </c>
      <c r="K10" s="64" t="s">
        <v>222</v>
      </c>
      <c r="L10" s="71" t="s">
        <v>231</v>
      </c>
      <c r="M10" s="64" t="s">
        <v>224</v>
      </c>
      <c r="N10" s="71"/>
      <c r="O10" s="72" t="n">
        <f aca="true">IF(C10="","",TODAY()-C10)</f>
        <v>25</v>
      </c>
      <c r="P10" s="73"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71"/>
    </row>
    <row r="11" customFormat="false" ht="15" hidden="false" customHeight="true" outlineLevel="0" collapsed="false">
      <c r="A11" s="63" t="s">
        <v>115</v>
      </c>
      <c r="B11" s="64" t="s">
        <v>220</v>
      </c>
      <c r="C11" s="65" t="n">
        <v>46278</v>
      </c>
      <c r="D11" s="64" t="n">
        <v>84</v>
      </c>
      <c r="E11" s="64" t="n">
        <v>4.21</v>
      </c>
      <c r="F11" s="66" t="s">
        <v>221</v>
      </c>
      <c r="G11" s="67" t="n">
        <v>433.24</v>
      </c>
      <c r="H11" s="68" t="str">
        <f aca="false" t="array" ref="H11:H11">IFERROR(INDEX(_xlfn.stockhistory(A11,TODAY()-5,TODAY(),0,0,1),ROWS(_xlfn.stockhistory(A11,TODAY()-5,TODAY(),0,0,1)),1),"")</f>
        <v/>
      </c>
      <c r="I11" s="69" t="str">
        <f aca="false">IF(OR(G11="",H11=""),"",H11/G11-1)</f>
        <v/>
      </c>
      <c r="J11" s="70" t="n">
        <v>46310</v>
      </c>
      <c r="K11" s="64" t="s">
        <v>222</v>
      </c>
      <c r="L11" s="71" t="s">
        <v>232</v>
      </c>
      <c r="M11" s="64" t="s">
        <v>224</v>
      </c>
      <c r="N11" s="71"/>
      <c r="O11" s="72" t="n">
        <f aca="true">IF(C11="","",TODAY()-C11)</f>
        <v>25</v>
      </c>
      <c r="P11" s="73"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EARNINGS WINDOW</v>
      </c>
      <c r="Q11" s="71"/>
    </row>
    <row r="12" customFormat="false" ht="15" hidden="false" customHeight="true" outlineLevel="0" collapsed="false">
      <c r="A12" s="63" t="s">
        <v>117</v>
      </c>
      <c r="B12" s="64" t="s">
        <v>220</v>
      </c>
      <c r="C12" s="65" t="n">
        <v>46278</v>
      </c>
      <c r="D12" s="64" t="n">
        <v>76.8</v>
      </c>
      <c r="E12" s="64" t="n">
        <v>3.93</v>
      </c>
      <c r="F12" s="66" t="s">
        <v>226</v>
      </c>
      <c r="G12" s="67" t="n">
        <v>257.06</v>
      </c>
      <c r="H12" s="68" t="str">
        <f aca="false" t="array" ref="H12:H12">IFERROR(INDEX(_xlfn.stockhistory(A12,TODAY()-5,TODAY(),0,0,1),ROWS(_xlfn.stockhistory(A12,TODAY()-5,TODAY(),0,0,1)),1),"")</f>
        <v/>
      </c>
      <c r="I12" s="69" t="str">
        <f aca="false">IF(OR(G12="",H12=""),"",H12/G12-1)</f>
        <v/>
      </c>
      <c r="J12" s="70" t="n">
        <v>46316</v>
      </c>
      <c r="K12" s="64" t="s">
        <v>224</v>
      </c>
      <c r="L12" s="71"/>
      <c r="M12" s="64" t="s">
        <v>224</v>
      </c>
      <c r="N12" s="71"/>
      <c r="O12" s="72" t="n">
        <f aca="true">IF(C12="","",TODAY()-C12)</f>
        <v>25</v>
      </c>
      <c r="P12" s="73"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Monitor Only</v>
      </c>
      <c r="Q12" s="71"/>
    </row>
    <row r="13" customFormat="false" ht="15" hidden="false" customHeight="true" outlineLevel="0" collapsed="false">
      <c r="A13" s="63" t="s">
        <v>172</v>
      </c>
      <c r="B13" s="64" t="s">
        <v>220</v>
      </c>
      <c r="C13" s="65" t="n">
        <v>46300</v>
      </c>
      <c r="D13" s="64" t="n">
        <v>74.8</v>
      </c>
      <c r="E13" s="64" t="n">
        <v>3.64</v>
      </c>
      <c r="F13" s="66" t="s">
        <v>226</v>
      </c>
      <c r="G13" s="67" t="n">
        <v>355.14</v>
      </c>
      <c r="H13" s="68" t="str">
        <f aca="false" t="array" ref="H13:H13">IFERROR(INDEX(_xlfn.stockhistory(A13,TODAY()-5,TODAY(),0,0,1),ROWS(_xlfn.stockhistory(A13,TODAY()-5,TODAY(),0,0,1)),1),"")</f>
        <v/>
      </c>
      <c r="I13" s="69" t="str">
        <f aca="false">IF(OR(G13="",H13=""),"",H13/G13-1)</f>
        <v/>
      </c>
      <c r="J13" s="70" t="n">
        <v>46365</v>
      </c>
      <c r="K13" s="64" t="s">
        <v>222</v>
      </c>
      <c r="L13" s="71" t="s">
        <v>233</v>
      </c>
      <c r="M13" s="64" t="s">
        <v>224</v>
      </c>
      <c r="N13" s="71"/>
      <c r="O13" s="72" t="n">
        <f aca="true">IF(C13="","",TODAY()-C13)</f>
        <v>3</v>
      </c>
      <c r="P13" s="73"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DUE — INSIDER ACTIVITY</v>
      </c>
      <c r="Q13" s="71" t="s">
        <v>234</v>
      </c>
    </row>
    <row r="14" customFormat="false" ht="15" hidden="false" customHeight="true" outlineLevel="0" collapsed="false">
      <c r="A14" s="63" t="s">
        <v>177</v>
      </c>
      <c r="B14" s="64" t="s">
        <v>220</v>
      </c>
      <c r="C14" s="65" t="n">
        <v>46295</v>
      </c>
      <c r="D14" s="64" t="n">
        <v>76</v>
      </c>
      <c r="E14" s="64" t="n">
        <v>3.93</v>
      </c>
      <c r="F14" s="66" t="s">
        <v>226</v>
      </c>
      <c r="G14" s="67" t="n">
        <v>129.84</v>
      </c>
      <c r="H14" s="68" t="str">
        <f aca="false" t="array" ref="H14:H14">IFERROR(INDEX(_xlfn.stockhistory(A14,TODAY()-5,TODAY(),0,0,1),ROWS(_xlfn.stockhistory(A14,TODAY()-5,TODAY(),0,0,1)),1),"")</f>
        <v/>
      </c>
      <c r="I14" s="69" t="str">
        <f aca="false">IF(OR(G14="",H14=""),"",H14/G14-1)</f>
        <v/>
      </c>
      <c r="J14" s="70" t="n">
        <v>46310</v>
      </c>
      <c r="K14" s="64" t="s">
        <v>224</v>
      </c>
      <c r="L14" s="71"/>
      <c r="M14" s="64" t="s">
        <v>224</v>
      </c>
      <c r="N14" s="71"/>
      <c r="O14" s="72" t="n">
        <f aca="true">IF(C14="","",TODAY()-C14)</f>
        <v>8</v>
      </c>
      <c r="P14" s="73"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DUE — EARNINGS WINDOW</v>
      </c>
      <c r="Q14" s="71"/>
    </row>
    <row r="15" customFormat="false" ht="15" hidden="false" customHeight="true" outlineLevel="0" collapsed="false">
      <c r="A15" s="63" t="s">
        <v>174</v>
      </c>
      <c r="B15" s="64" t="s">
        <v>220</v>
      </c>
      <c r="C15" s="65" t="n">
        <v>46300</v>
      </c>
      <c r="D15" s="64" t="n">
        <v>70.6</v>
      </c>
      <c r="E15" s="64" t="n">
        <v>3.43</v>
      </c>
      <c r="F15" s="66" t="s">
        <v>226</v>
      </c>
      <c r="G15" s="67" t="n">
        <v>504.73</v>
      </c>
      <c r="H15" s="68" t="str">
        <f aca="false" t="array" ref="H15:H15">IFERROR(INDEX(_xlfn.stockhistory(A15,TODAY()-5,TODAY(),0,0,1),ROWS(_xlfn.stockhistory(A15,TODAY()-5,TODAY(),0,0,1)),1),"")</f>
        <v/>
      </c>
      <c r="I15" s="69" t="str">
        <f aca="false">IF(OR(G15="",H15=""),"",H15/G15-1)</f>
        <v/>
      </c>
      <c r="J15" s="70" t="n">
        <v>46328</v>
      </c>
      <c r="K15" s="64" t="s">
        <v>224</v>
      </c>
      <c r="L15" s="71"/>
      <c r="M15" s="64" t="s">
        <v>224</v>
      </c>
      <c r="N15" s="71"/>
      <c r="O15" s="72" t="n">
        <f aca="true">IF(C15="","",TODAY()-C15)</f>
        <v>3</v>
      </c>
      <c r="P15" s="73"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71" t="s">
        <v>235</v>
      </c>
    </row>
    <row r="16" customFormat="false" ht="15" hidden="false" customHeight="true" outlineLevel="1" collapsed="false">
      <c r="A16" s="63" t="s">
        <v>236</v>
      </c>
      <c r="B16" s="71" t="s">
        <v>237</v>
      </c>
      <c r="C16" s="65" t="n">
        <v>46246</v>
      </c>
      <c r="D16" s="64"/>
      <c r="E16" s="64" t="n">
        <v>1.36</v>
      </c>
      <c r="F16" s="66"/>
      <c r="G16" s="67" t="n">
        <v>53.52</v>
      </c>
      <c r="H16" s="68" t="str">
        <f aca="false" t="array" ref="H16:H16">IFERROR(INDEX(_xlfn.stockhistory(A16,TODAY()-5,TODAY(),0,0,1),ROWS(_xlfn.stockhistory(A16,TODAY()-5,TODAY(),0,0,1)),1),"")</f>
        <v/>
      </c>
      <c r="I16" s="69" t="str">
        <f aca="false">IF(OR(G16="",H16=""),"",H16/G16-1)</f>
        <v/>
      </c>
      <c r="J16" s="70" t="n">
        <v>46331</v>
      </c>
      <c r="K16" s="64" t="s">
        <v>224</v>
      </c>
      <c r="L16" s="71"/>
      <c r="M16" s="64" t="s">
        <v>224</v>
      </c>
      <c r="N16" s="71"/>
      <c r="O16" s="72" t="n">
        <f aca="true">IF(C16="","",TODAY()-C16)</f>
        <v>57</v>
      </c>
      <c r="P16" s="73"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71"/>
    </row>
    <row r="17" customFormat="false" ht="15" hidden="false" customHeight="true" outlineLevel="1" collapsed="false">
      <c r="A17" s="63" t="s">
        <v>238</v>
      </c>
      <c r="B17" s="71" t="s">
        <v>237</v>
      </c>
      <c r="C17" s="65" t="n">
        <v>46246</v>
      </c>
      <c r="D17" s="64"/>
      <c r="E17" s="64" t="n">
        <v>2.79</v>
      </c>
      <c r="F17" s="66"/>
      <c r="G17" s="67" t="n">
        <v>125.22</v>
      </c>
      <c r="H17" s="68" t="str">
        <f aca="false" t="array" ref="H17:H17">IFERROR(INDEX(_xlfn.stockhistory(A17,TODAY()-5,TODAY(),0,0,1),ROWS(_xlfn.stockhistory(A17,TODAY()-5,TODAY(),0,0,1)),1),"")</f>
        <v/>
      </c>
      <c r="I17" s="69" t="str">
        <f aca="false">IF(OR(G17="",H17=""),"",H17/G17-1)</f>
        <v/>
      </c>
      <c r="J17" s="70" t="n">
        <v>46350</v>
      </c>
      <c r="K17" s="64" t="s">
        <v>222</v>
      </c>
      <c r="L17" s="71" t="s">
        <v>239</v>
      </c>
      <c r="M17" s="64" t="s">
        <v>224</v>
      </c>
      <c r="N17" s="71"/>
      <c r="O17" s="72" t="n">
        <f aca="true">IF(C17="","",TODAY()-C17)</f>
        <v>57</v>
      </c>
      <c r="P17" s="73"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71"/>
    </row>
    <row r="18" customFormat="false" ht="15" hidden="false" customHeight="true" outlineLevel="1" collapsed="false">
      <c r="A18" s="63" t="s">
        <v>240</v>
      </c>
      <c r="B18" s="71" t="s">
        <v>237</v>
      </c>
      <c r="C18" s="65" t="n">
        <v>46245</v>
      </c>
      <c r="D18" s="64"/>
      <c r="E18" s="64" t="n">
        <v>1.79</v>
      </c>
      <c r="F18" s="66"/>
      <c r="G18" s="67" t="n">
        <v>44.84</v>
      </c>
      <c r="H18" s="68" t="str">
        <f aca="false" t="array" ref="H18:H18">IFERROR(INDEX(_xlfn.stockhistory(A18,TODAY()-5,TODAY(),0,0,1),ROWS(_xlfn.stockhistory(A18,TODAY()-5,TODAY(),0,0,1)),1),"")</f>
        <v/>
      </c>
      <c r="I18" s="69" t="str">
        <f aca="false">IF(OR(G18="",H18=""),"",H18/G18-1)</f>
        <v/>
      </c>
      <c r="J18" s="70" t="n">
        <v>46328</v>
      </c>
      <c r="K18" s="64" t="s">
        <v>224</v>
      </c>
      <c r="L18" s="71"/>
      <c r="M18" s="64" t="s">
        <v>224</v>
      </c>
      <c r="N18" s="71"/>
      <c r="O18" s="72" t="n">
        <f aca="true">IF(C18="","",TODAY()-C18)</f>
        <v>58</v>
      </c>
      <c r="P18" s="73"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71"/>
    </row>
    <row r="19" customFormat="false" ht="15" hidden="false" customHeight="true" outlineLevel="1" collapsed="false">
      <c r="A19" s="63" t="s">
        <v>241</v>
      </c>
      <c r="B19" s="71" t="s">
        <v>237</v>
      </c>
      <c r="C19" s="65" t="n">
        <v>46245</v>
      </c>
      <c r="D19" s="64"/>
      <c r="E19" s="64" t="n">
        <v>1.86</v>
      </c>
      <c r="F19" s="66"/>
      <c r="G19" s="67" t="n">
        <v>12.41</v>
      </c>
      <c r="H19" s="68" t="str">
        <f aca="false" t="array" ref="H19:H19">IFERROR(INDEX(_xlfn.stockhistory(A19,TODAY()-5,TODAY(),0,0,1),ROWS(_xlfn.stockhistory(A19,TODAY()-5,TODAY(),0,0,1)),1),"")</f>
        <v/>
      </c>
      <c r="I19" s="69" t="str">
        <f aca="false">IF(OR(G19="",H19=""),"",H19/G19-1)</f>
        <v/>
      </c>
      <c r="J19" s="70" t="n">
        <v>46314</v>
      </c>
      <c r="K19" s="64" t="s">
        <v>224</v>
      </c>
      <c r="L19" s="71"/>
      <c r="M19" s="64" t="s">
        <v>224</v>
      </c>
      <c r="N19" s="71"/>
      <c r="O19" s="72" t="n">
        <f aca="true">IF(C19="","",TODAY()-C19)</f>
        <v>58</v>
      </c>
      <c r="P19" s="73"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71"/>
    </row>
    <row r="20" customFormat="false" ht="15" hidden="false" customHeight="true" outlineLevel="0" collapsed="false">
      <c r="A20" s="63" t="s">
        <v>242</v>
      </c>
      <c r="B20" s="74" t="s">
        <v>243</v>
      </c>
      <c r="C20" s="65" t="n">
        <v>46245</v>
      </c>
      <c r="D20" s="64"/>
      <c r="E20" s="64" t="n">
        <v>3.71</v>
      </c>
      <c r="F20" s="66"/>
      <c r="G20" s="67" t="n">
        <v>32</v>
      </c>
      <c r="H20" s="68" t="str">
        <f aca="false" t="array" ref="H20:H20">IFERROR(INDEX(_xlfn.stockhistory(A20,TODAY()-5,TODAY(),0,0,1),ROWS(_xlfn.stockhistory(A20,TODAY()-5,TODAY(),0,0,1)),1),"")</f>
        <v/>
      </c>
      <c r="I20" s="69" t="str">
        <f aca="false">IF(OR(G20="",H20=""),"",H20/G20-1)</f>
        <v/>
      </c>
      <c r="J20" s="70" t="n">
        <v>46323</v>
      </c>
      <c r="K20" s="64" t="s">
        <v>224</v>
      </c>
      <c r="L20" s="71"/>
      <c r="M20" s="64" t="s">
        <v>224</v>
      </c>
      <c r="N20" s="71"/>
      <c r="O20" s="72" t="n">
        <f aca="true">IF(C20="","",TODAY()-C20)</f>
        <v>58</v>
      </c>
      <c r="P20" s="73"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71"/>
    </row>
    <row r="21" customFormat="false" ht="15" hidden="false" customHeight="true" outlineLevel="0" collapsed="false">
      <c r="A21" s="63" t="s">
        <v>244</v>
      </c>
      <c r="B21" s="74" t="s">
        <v>243</v>
      </c>
      <c r="C21" s="65" t="n">
        <v>46245</v>
      </c>
      <c r="D21" s="64" t="n">
        <v>77.4</v>
      </c>
      <c r="E21" s="64" t="n">
        <v>4.14</v>
      </c>
      <c r="F21" s="66" t="s">
        <v>226</v>
      </c>
      <c r="G21" s="67" t="n">
        <v>944.32</v>
      </c>
      <c r="H21" s="68" t="str">
        <f aca="false" t="array" ref="H21:H21">IFERROR(INDEX(_xlfn.stockhistory(A21,TODAY()-5,TODAY(),0,0,1),ROWS(_xlfn.stockhistory(A21,TODAY()-5,TODAY(),0,0,1)),1),"")</f>
        <v/>
      </c>
      <c r="I21" s="69" t="str">
        <f aca="false">IF(OR(G21="",H21=""),"",H21/G21-1)</f>
        <v/>
      </c>
      <c r="J21" s="70" t="n">
        <v>46366</v>
      </c>
      <c r="K21" s="64" t="s">
        <v>224</v>
      </c>
      <c r="L21" s="71"/>
      <c r="M21" s="64" t="s">
        <v>224</v>
      </c>
      <c r="N21" s="71"/>
      <c r="O21" s="72" t="n">
        <f aca="true">IF(C21="","",TODAY()-C21)</f>
        <v>58</v>
      </c>
      <c r="P21" s="73"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71"/>
    </row>
    <row r="22" customFormat="false" ht="15" hidden="false" customHeight="true" outlineLevel="1" collapsed="false">
      <c r="A22" s="63" t="s">
        <v>245</v>
      </c>
      <c r="B22" s="75" t="s">
        <v>237</v>
      </c>
      <c r="C22" s="65" t="n">
        <v>46245</v>
      </c>
      <c r="D22" s="64"/>
      <c r="E22" s="64" t="n">
        <v>1.21</v>
      </c>
      <c r="F22" s="66"/>
      <c r="G22" s="67" t="n">
        <v>14.39</v>
      </c>
      <c r="H22" s="68" t="str">
        <f aca="false" t="array" ref="H22:H22">IFERROR(INDEX(_xlfn.stockhistory(A22,TODAY()-5,TODAY(),0,0,1),ROWS(_xlfn.stockhistory(A22,TODAY()-5,TODAY(),0,0,1)),1),"")</f>
        <v/>
      </c>
      <c r="I22" s="69" t="str">
        <f aca="false">IF(OR(G22="",H22=""),"",H22/G22-1)</f>
        <v/>
      </c>
      <c r="J22" s="70" t="n">
        <v>46328</v>
      </c>
      <c r="K22" s="64" t="s">
        <v>224</v>
      </c>
      <c r="L22" s="71"/>
      <c r="M22" s="64" t="s">
        <v>224</v>
      </c>
      <c r="N22" s="71"/>
      <c r="O22" s="72" t="n">
        <f aca="true">IF(C22="","",TODAY()-C22)</f>
        <v>58</v>
      </c>
      <c r="P22" s="73"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71"/>
    </row>
    <row r="23" customFormat="false" ht="15" hidden="false" customHeight="true" outlineLevel="1" collapsed="false">
      <c r="A23" s="63" t="s">
        <v>246</v>
      </c>
      <c r="B23" s="75" t="s">
        <v>237</v>
      </c>
      <c r="C23" s="65" t="n">
        <v>46245</v>
      </c>
      <c r="D23" s="64"/>
      <c r="E23" s="64" t="n">
        <v>2.36</v>
      </c>
      <c r="F23" s="66"/>
      <c r="G23" s="67" t="n">
        <v>94.94</v>
      </c>
      <c r="H23" s="68" t="str">
        <f aca="false" t="array" ref="H23:H23">IFERROR(INDEX(_xlfn.stockhistory(A23,TODAY()-5,TODAY(),0,0,1),ROWS(_xlfn.stockhistory(A23,TODAY()-5,TODAY(),0,0,1)),1),"")</f>
        <v/>
      </c>
      <c r="I23" s="69" t="str">
        <f aca="false">IF(OR(G23="",H23=""),"",H23/G23-1)</f>
        <v/>
      </c>
      <c r="J23" s="70" t="n">
        <v>46240</v>
      </c>
      <c r="K23" s="64" t="s">
        <v>224</v>
      </c>
      <c r="L23" s="71"/>
      <c r="M23" s="64" t="s">
        <v>224</v>
      </c>
      <c r="N23" s="71"/>
      <c r="O23" s="72" t="n">
        <f aca="true">IF(C23="","",TODAY()-C23)</f>
        <v>58</v>
      </c>
      <c r="P23" s="73"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71"/>
    </row>
    <row r="24" customFormat="false" ht="15" hidden="false" customHeight="true" outlineLevel="1" collapsed="false">
      <c r="A24" s="63" t="s">
        <v>247</v>
      </c>
      <c r="B24" s="75" t="s">
        <v>237</v>
      </c>
      <c r="C24" s="65" t="n">
        <v>46258</v>
      </c>
      <c r="D24" s="64"/>
      <c r="E24" s="64" t="n">
        <v>2.93</v>
      </c>
      <c r="F24" s="66"/>
      <c r="G24" s="67" t="n">
        <v>110.61</v>
      </c>
      <c r="H24" s="68" t="str">
        <f aca="false" t="array" ref="H24:H24">IFERROR(INDEX(_xlfn.stockhistory(A24,TODAY()-5,TODAY(),0,0,1),ROWS(_xlfn.stockhistory(A24,TODAY()-5,TODAY(),0,0,1)),1),"")</f>
        <v/>
      </c>
      <c r="I24" s="69" t="str">
        <f aca="false">IF(OR(G24="",H24=""),"",H24/G24-1)</f>
        <v/>
      </c>
      <c r="J24" s="70" t="n">
        <v>46338</v>
      </c>
      <c r="K24" s="64" t="s">
        <v>222</v>
      </c>
      <c r="L24" s="71" t="s">
        <v>248</v>
      </c>
      <c r="M24" s="64" t="s">
        <v>224</v>
      </c>
      <c r="N24" s="71"/>
      <c r="O24" s="72" t="n">
        <f aca="true">IF(C24="","",TODAY()-C24)</f>
        <v>45</v>
      </c>
      <c r="P24" s="73"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71"/>
    </row>
    <row r="25" customFormat="false" ht="15" hidden="false" customHeight="true" outlineLevel="0" collapsed="false">
      <c r="A25" s="63" t="s">
        <v>249</v>
      </c>
      <c r="B25" s="74" t="s">
        <v>243</v>
      </c>
      <c r="C25" s="65" t="n">
        <v>46245</v>
      </c>
      <c r="D25" s="64"/>
      <c r="E25" s="64" t="n">
        <v>4.86</v>
      </c>
      <c r="F25" s="66"/>
      <c r="G25" s="67" t="n">
        <v>357.34</v>
      </c>
      <c r="H25" s="68" t="str">
        <f aca="false" t="array" ref="H25:H25">IFERROR(INDEX(_xlfn.stockhistory(A25,TODAY()-5,TODAY(),0,0,1),ROWS(_xlfn.stockhistory(A25,TODAY()-5,TODAY(),0,0,1)),1),"")</f>
        <v/>
      </c>
      <c r="I25" s="69" t="str">
        <f aca="false">IF(OR(G25="",H25=""),"",H25/G25-1)</f>
        <v/>
      </c>
      <c r="J25" s="70" t="n">
        <v>46308</v>
      </c>
      <c r="K25" s="64" t="s">
        <v>224</v>
      </c>
      <c r="L25" s="71"/>
      <c r="M25" s="64" t="s">
        <v>224</v>
      </c>
      <c r="N25" s="71"/>
      <c r="O25" s="72" t="n">
        <f aca="true">IF(C25="","",TODAY()-C25)</f>
        <v>58</v>
      </c>
      <c r="P25" s="73"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DUE — EARNINGS WINDOW</v>
      </c>
      <c r="Q25" s="71"/>
    </row>
    <row r="26" customFormat="false" ht="15" hidden="false" customHeight="true" outlineLevel="1" collapsed="false">
      <c r="A26" s="63" t="s">
        <v>250</v>
      </c>
      <c r="B26" s="75" t="s">
        <v>237</v>
      </c>
      <c r="C26" s="65" t="n">
        <v>46245</v>
      </c>
      <c r="D26" s="64"/>
      <c r="E26" s="64" t="n">
        <v>2.14</v>
      </c>
      <c r="F26" s="66"/>
      <c r="G26" s="67" t="n">
        <v>87.78</v>
      </c>
      <c r="H26" s="68" t="str">
        <f aca="false" t="array" ref="H26:H26">IFERROR(INDEX(_xlfn.stockhistory(A26,TODAY()-5,TODAY(),0,0,1),ROWS(_xlfn.stockhistory(A26,TODAY()-5,TODAY(),0,0,1)),1),"")</f>
        <v/>
      </c>
      <c r="I26" s="69" t="str">
        <f aca="false">IF(OR(G26="",H26=""),"",H26/G26-1)</f>
        <v/>
      </c>
      <c r="J26" s="70" t="n">
        <v>46328</v>
      </c>
      <c r="K26" s="64" t="s">
        <v>222</v>
      </c>
      <c r="L26" s="71" t="s">
        <v>251</v>
      </c>
      <c r="M26" s="64" t="s">
        <v>224</v>
      </c>
      <c r="N26" s="71"/>
      <c r="O26" s="72" t="n">
        <f aca="true">IF(C26="","",TODAY()-C26)</f>
        <v>58</v>
      </c>
      <c r="P26" s="73"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71"/>
    </row>
    <row r="27" customFormat="false" ht="15" hidden="false" customHeight="true" outlineLevel="0" collapsed="false">
      <c r="A27" s="63" t="s">
        <v>252</v>
      </c>
      <c r="B27" s="74" t="s">
        <v>243</v>
      </c>
      <c r="C27" s="65" t="n">
        <v>46276</v>
      </c>
      <c r="D27" s="64"/>
      <c r="E27" s="64" t="n">
        <v>3.07</v>
      </c>
      <c r="F27" s="66"/>
      <c r="G27" s="67" t="n">
        <v>20.78</v>
      </c>
      <c r="H27" s="68" t="str">
        <f aca="false" t="array" ref="H27:H27">IFERROR(INDEX(_xlfn.stockhistory(A27,TODAY()-5,TODAY(),0,0,1),ROWS(_xlfn.stockhistory(A27,TODAY()-5,TODAY(),0,0,1)),1),"")</f>
        <v/>
      </c>
      <c r="I27" s="69" t="str">
        <f aca="false">IF(OR(G27="",H27=""),"",H27/G27-1)</f>
        <v/>
      </c>
      <c r="J27" s="70" t="n">
        <v>46329</v>
      </c>
      <c r="K27" s="64" t="s">
        <v>222</v>
      </c>
      <c r="L27" s="71" t="s">
        <v>253</v>
      </c>
      <c r="M27" s="64" t="s">
        <v>224</v>
      </c>
      <c r="N27" s="71"/>
      <c r="O27" s="72" t="n">
        <f aca="true">IF(C27="","",TODAY()-C27)</f>
        <v>27</v>
      </c>
      <c r="P27" s="73"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71"/>
    </row>
    <row r="28" customFormat="false" ht="15" hidden="false" customHeight="true" outlineLevel="0" collapsed="false">
      <c r="A28" s="63" t="s">
        <v>254</v>
      </c>
      <c r="B28" s="74" t="s">
        <v>243</v>
      </c>
      <c r="C28" s="65" t="n">
        <v>46247</v>
      </c>
      <c r="D28" s="64"/>
      <c r="E28" s="64" t="n">
        <v>3.5</v>
      </c>
      <c r="F28" s="66"/>
      <c r="G28" s="67" t="n">
        <v>453.33</v>
      </c>
      <c r="H28" s="68" t="str">
        <f aca="false" t="array" ref="H28:H28">IFERROR(INDEX(_xlfn.stockhistory(A28,TODAY()-5,TODAY(),0,0,1),ROWS(_xlfn.stockhistory(A28,TODAY()-5,TODAY(),0,0,1)),1),"")</f>
        <v/>
      </c>
      <c r="I28" s="69" t="str">
        <f aca="false">IF(OR(G28="",H28=""),"",H28/G28-1)</f>
        <v/>
      </c>
      <c r="J28" s="70" t="n">
        <v>46329</v>
      </c>
      <c r="K28" s="64" t="s">
        <v>222</v>
      </c>
      <c r="L28" s="71" t="s">
        <v>255</v>
      </c>
      <c r="M28" s="64" t="s">
        <v>224</v>
      </c>
      <c r="N28" s="71"/>
      <c r="O28" s="72" t="n">
        <f aca="true">IF(C28="","",TODAY()-C28)</f>
        <v>56</v>
      </c>
      <c r="P28" s="73"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71"/>
    </row>
    <row r="29" customFormat="false" ht="15" hidden="false" customHeight="true" outlineLevel="0" collapsed="false">
      <c r="A29" s="63" t="s">
        <v>256</v>
      </c>
      <c r="B29" s="74" t="s">
        <v>243</v>
      </c>
      <c r="C29" s="65" t="n">
        <v>46246</v>
      </c>
      <c r="D29" s="64"/>
      <c r="E29" s="64" t="n">
        <v>3.43</v>
      </c>
      <c r="F29" s="66"/>
      <c r="G29" s="67" t="n">
        <v>79.63</v>
      </c>
      <c r="H29" s="68" t="str">
        <f aca="false" t="array" ref="H29:H29">IFERROR(INDEX(_xlfn.stockhistory(A29,TODAY()-5,TODAY(),0,0,1),ROWS(_xlfn.stockhistory(A29,TODAY()-5,TODAY(),0,0,1)),1),"")</f>
        <v/>
      </c>
      <c r="I29" s="69" t="str">
        <f aca="false">IF(OR(G29="",H29=""),"",H29/G29-1)</f>
        <v/>
      </c>
      <c r="J29" s="70" t="n">
        <v>46330</v>
      </c>
      <c r="K29" s="64" t="s">
        <v>222</v>
      </c>
      <c r="L29" s="71" t="s">
        <v>257</v>
      </c>
      <c r="M29" s="64" t="s">
        <v>224</v>
      </c>
      <c r="N29" s="71"/>
      <c r="O29" s="72" t="n">
        <f aca="true">IF(C29="","",TODAY()-C29)</f>
        <v>57</v>
      </c>
      <c r="P29" s="73"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71"/>
    </row>
    <row r="30" customFormat="false" ht="15" hidden="false" customHeight="true" outlineLevel="0" collapsed="false">
      <c r="A30" s="63" t="s">
        <v>143</v>
      </c>
      <c r="B30" s="74" t="s">
        <v>220</v>
      </c>
      <c r="C30" s="65" t="n">
        <v>46278</v>
      </c>
      <c r="D30" s="64" t="n">
        <v>84.2</v>
      </c>
      <c r="E30" s="64" t="n">
        <v>4.14</v>
      </c>
      <c r="F30" s="66" t="s">
        <v>221</v>
      </c>
      <c r="G30" s="67" t="n">
        <v>323.66</v>
      </c>
      <c r="H30" s="68" t="str">
        <f aca="false" t="array" ref="H30:H30">IFERROR(INDEX(_xlfn.stockhistory(A30,TODAY()-5,TODAY(),0,0,1),ROWS(_xlfn.stockhistory(A30,TODAY()-5,TODAY(),0,0,1)),1),"")</f>
        <v/>
      </c>
      <c r="I30" s="69" t="str">
        <f aca="false">IF(OR(G30="",H30=""),"",H30/G30-1)</f>
        <v/>
      </c>
      <c r="J30" s="70" t="n">
        <v>46315</v>
      </c>
      <c r="K30" s="64" t="s">
        <v>224</v>
      </c>
      <c r="L30" s="71"/>
      <c r="M30" s="64" t="s">
        <v>224</v>
      </c>
      <c r="N30" s="71"/>
      <c r="O30" s="72" t="n">
        <f aca="true">IF(C30="","",TODAY()-C30)</f>
        <v>25</v>
      </c>
      <c r="P30" s="73"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Monitor Only</v>
      </c>
      <c r="Q30" s="71"/>
    </row>
    <row r="31" customFormat="false" ht="15" hidden="false" customHeight="true" outlineLevel="1" collapsed="false">
      <c r="A31" s="63" t="s">
        <v>258</v>
      </c>
      <c r="B31" s="75" t="s">
        <v>237</v>
      </c>
      <c r="C31" s="65" t="n">
        <v>46246</v>
      </c>
      <c r="D31" s="64"/>
      <c r="E31" s="64" t="n">
        <v>2.5</v>
      </c>
      <c r="F31" s="66"/>
      <c r="G31" s="67" t="n">
        <v>8.64</v>
      </c>
      <c r="H31" s="68" t="str">
        <f aca="false" t="array" ref="H31:H31">IFERROR(INDEX(_xlfn.stockhistory(A31,TODAY()-5,TODAY(),0,0,1),ROWS(_xlfn.stockhistory(A31,TODAY()-5,TODAY(),0,0,1)),1),"")</f>
        <v/>
      </c>
      <c r="I31" s="69" t="str">
        <f aca="false">IF(OR(G31="",H31=""),"",H31/G31-1)</f>
        <v/>
      </c>
      <c r="J31" s="70" t="n">
        <v>46331</v>
      </c>
      <c r="K31" s="64" t="s">
        <v>224</v>
      </c>
      <c r="L31" s="71"/>
      <c r="M31" s="64"/>
      <c r="N31" s="71"/>
      <c r="O31" s="72" t="n">
        <f aca="true">IF(C31="","",TODAY()-C31)</f>
        <v>57</v>
      </c>
      <c r="P31" s="73"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71"/>
    </row>
    <row r="32" customFormat="false" ht="15" hidden="false" customHeight="true" outlineLevel="1" collapsed="false">
      <c r="A32" s="63" t="s">
        <v>259</v>
      </c>
      <c r="B32" s="75" t="s">
        <v>237</v>
      </c>
      <c r="C32" s="65" t="n">
        <v>46245</v>
      </c>
      <c r="D32" s="64"/>
      <c r="E32" s="64" t="n">
        <v>1.93</v>
      </c>
      <c r="F32" s="66"/>
      <c r="G32" s="67" t="n">
        <v>24.3</v>
      </c>
      <c r="H32" s="68" t="str">
        <f aca="false" t="array" ref="H32:H32">IFERROR(INDEX(_xlfn.stockhistory(A32,TODAY()-5,TODAY(),0,0,1),ROWS(_xlfn.stockhistory(A32,TODAY()-5,TODAY(),0,0,1)),1),"")</f>
        <v/>
      </c>
      <c r="I32" s="69" t="str">
        <f aca="false">IF(OR(G32="",H32=""),"",H32/G32-1)</f>
        <v/>
      </c>
      <c r="J32" s="70" t="n">
        <v>46261</v>
      </c>
      <c r="K32" s="64" t="s">
        <v>224</v>
      </c>
      <c r="L32" s="71"/>
      <c r="M32" s="64" t="s">
        <v>224</v>
      </c>
      <c r="N32" s="71"/>
      <c r="O32" s="72" t="n">
        <f aca="true">IF(C32="","",TODAY()-C32)</f>
        <v>58</v>
      </c>
      <c r="P32" s="73"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71"/>
    </row>
    <row r="33" customFormat="false" ht="15" hidden="false" customHeight="true" outlineLevel="1" collapsed="false">
      <c r="A33" s="63" t="s">
        <v>260</v>
      </c>
      <c r="B33" s="75" t="s">
        <v>237</v>
      </c>
      <c r="C33" s="65" t="n">
        <v>46245</v>
      </c>
      <c r="D33" s="64"/>
      <c r="E33" s="64" t="n">
        <v>2.07</v>
      </c>
      <c r="F33" s="66"/>
      <c r="G33" s="67" t="n">
        <v>21.48</v>
      </c>
      <c r="H33" s="68" t="str">
        <f aca="false" t="array" ref="H33:H33">IFERROR(INDEX(_xlfn.stockhistory(A33,TODAY()-5,TODAY(),0,0,1),ROWS(_xlfn.stockhistory(A33,TODAY()-5,TODAY(),0,0,1)),1),"")</f>
        <v/>
      </c>
      <c r="I33" s="69" t="str">
        <f aca="false">IF(OR(G33="",H33=""),"",H33/G33-1)</f>
        <v/>
      </c>
      <c r="J33" s="70" t="n">
        <v>46309</v>
      </c>
      <c r="K33" s="64" t="s">
        <v>222</v>
      </c>
      <c r="L33" s="71" t="s">
        <v>261</v>
      </c>
      <c r="M33" s="64" t="s">
        <v>224</v>
      </c>
      <c r="N33" s="71"/>
      <c r="O33" s="72" t="n">
        <f aca="true">IF(C33="","",TODAY()-C33)</f>
        <v>58</v>
      </c>
      <c r="P33" s="73"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EARNINGS WINDOW</v>
      </c>
      <c r="Q33" s="71"/>
    </row>
    <row r="34" customFormat="false" ht="15" hidden="false" customHeight="true" outlineLevel="0" collapsed="false">
      <c r="A34" s="63" t="s">
        <v>262</v>
      </c>
      <c r="B34" s="74" t="s">
        <v>243</v>
      </c>
      <c r="C34" s="65" t="n">
        <v>46245</v>
      </c>
      <c r="D34" s="64"/>
      <c r="E34" s="64" t="n">
        <v>4.5</v>
      </c>
      <c r="F34" s="66"/>
      <c r="G34" s="67" t="n">
        <v>490.53</v>
      </c>
      <c r="H34" s="68" t="str">
        <f aca="false" t="array" ref="H34:H34">IFERROR(INDEX(_xlfn.stockhistory(A34,TODAY()-5,TODAY(),0,0,1),ROWS(_xlfn.stockhistory(A34,TODAY()-5,TODAY(),0,0,1)),1),"")</f>
        <v/>
      </c>
      <c r="I34" s="69" t="str">
        <f aca="false">IF(OR(G34="",H34=""),"",H34/G34-1)</f>
        <v/>
      </c>
      <c r="J34" s="70" t="n">
        <v>46325</v>
      </c>
      <c r="K34" s="64" t="s">
        <v>222</v>
      </c>
      <c r="L34" s="71" t="s">
        <v>263</v>
      </c>
      <c r="M34" s="64" t="s">
        <v>224</v>
      </c>
      <c r="N34" s="71"/>
      <c r="O34" s="72" t="n">
        <f aca="true">IF(C34="","",TODAY()-C34)</f>
        <v>58</v>
      </c>
      <c r="P34" s="73"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71"/>
    </row>
    <row r="35" customFormat="false" ht="15" hidden="false" customHeight="true" outlineLevel="1" collapsed="false">
      <c r="A35" s="63" t="s">
        <v>264</v>
      </c>
      <c r="B35" s="75" t="s">
        <v>237</v>
      </c>
      <c r="C35" s="65" t="n">
        <v>46245</v>
      </c>
      <c r="D35" s="64"/>
      <c r="E35" s="64" t="n">
        <v>2.5</v>
      </c>
      <c r="F35" s="66"/>
      <c r="G35" s="67" t="n">
        <v>85.74</v>
      </c>
      <c r="H35" s="68" t="str">
        <f aca="false" t="array" ref="H35:H35">IFERROR(INDEX(_xlfn.stockhistory(A35,TODAY()-5,TODAY(),0,0,1),ROWS(_xlfn.stockhistory(A35,TODAY()-5,TODAY(),0,0,1)),1),"")</f>
        <v/>
      </c>
      <c r="I35" s="69" t="str">
        <f aca="false">IF(OR(G35="",H35=""),"",H35/G35-1)</f>
        <v/>
      </c>
      <c r="J35" s="70" t="n">
        <v>46322</v>
      </c>
      <c r="K35" s="64" t="s">
        <v>224</v>
      </c>
      <c r="L35" s="71"/>
      <c r="M35" s="64" t="s">
        <v>224</v>
      </c>
      <c r="N35" s="71"/>
      <c r="O35" s="72" t="n">
        <f aca="true">IF(C35="","",TODAY()-C35)</f>
        <v>58</v>
      </c>
      <c r="P35" s="73"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71"/>
    </row>
    <row r="36" customFormat="false" ht="15" hidden="false" customHeight="true" outlineLevel="0" collapsed="false">
      <c r="A36" s="63" t="s">
        <v>146</v>
      </c>
      <c r="B36" s="74" t="s">
        <v>220</v>
      </c>
      <c r="C36" s="65" t="n">
        <v>46278</v>
      </c>
      <c r="D36" s="64" t="n">
        <v>83.8</v>
      </c>
      <c r="E36" s="64" t="n">
        <v>4.21</v>
      </c>
      <c r="F36" s="66" t="s">
        <v>221</v>
      </c>
      <c r="G36" s="67" t="n">
        <v>77.4</v>
      </c>
      <c r="H36" s="68" t="str">
        <f aca="false" t="array" ref="H36:H36">IFERROR(INDEX(_xlfn.stockhistory(A36,TODAY()-5,TODAY(),0,0,1),ROWS(_xlfn.stockhistory(A36,TODAY()-5,TODAY(),0,0,1)),1),"")</f>
        <v/>
      </c>
      <c r="I36" s="69" t="str">
        <f aca="false">IF(OR(G36="",H36=""),"",H36/G36-1)</f>
        <v/>
      </c>
      <c r="J36" s="70" t="n">
        <v>46315</v>
      </c>
      <c r="K36" s="64" t="s">
        <v>222</v>
      </c>
      <c r="L36" s="71" t="s">
        <v>265</v>
      </c>
      <c r="M36" s="64" t="s">
        <v>224</v>
      </c>
      <c r="N36" s="71"/>
      <c r="O36" s="72" t="n">
        <f aca="true">IF(C36="","",TODAY()-C36)</f>
        <v>25</v>
      </c>
      <c r="P36" s="73"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71"/>
    </row>
    <row r="37" customFormat="false" ht="15" hidden="false" customHeight="true" outlineLevel="1" collapsed="false">
      <c r="A37" s="63" t="s">
        <v>266</v>
      </c>
      <c r="B37" s="75" t="s">
        <v>237</v>
      </c>
      <c r="C37" s="65" t="n">
        <v>46246</v>
      </c>
      <c r="D37" s="64"/>
      <c r="E37" s="64" t="n">
        <v>1.57</v>
      </c>
      <c r="F37" s="66"/>
      <c r="G37" s="67" t="n">
        <v>40.51</v>
      </c>
      <c r="H37" s="68" t="str">
        <f aca="false" t="array" ref="H37:H37">IFERROR(INDEX(_xlfn.stockhistory(A37,TODAY()-5,TODAY(),0,0,1),ROWS(_xlfn.stockhistory(A37,TODAY()-5,TODAY(),0,0,1)),1),"")</f>
        <v/>
      </c>
      <c r="I37" s="69" t="str">
        <f aca="false">IF(OR(G37="",H37=""),"",H37/G37-1)</f>
        <v/>
      </c>
      <c r="J37" s="70" t="n">
        <v>46373</v>
      </c>
      <c r="K37" s="64" t="s">
        <v>222</v>
      </c>
      <c r="L37" s="71" t="s">
        <v>267</v>
      </c>
      <c r="M37" s="64" t="s">
        <v>222</v>
      </c>
      <c r="N37" s="71" t="s">
        <v>268</v>
      </c>
      <c r="O37" s="72" t="n">
        <f aca="true">IF(C37="","",TODAY()-C37)</f>
        <v>57</v>
      </c>
      <c r="P37" s="73"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71"/>
    </row>
    <row r="38" customFormat="false" ht="15" hidden="false" customHeight="true" outlineLevel="1" collapsed="false">
      <c r="A38" s="63" t="s">
        <v>269</v>
      </c>
      <c r="B38" s="75" t="s">
        <v>237</v>
      </c>
      <c r="C38" s="65" t="n">
        <v>46245</v>
      </c>
      <c r="D38" s="64"/>
      <c r="E38" s="64" t="n">
        <v>2.64</v>
      </c>
      <c r="F38" s="66"/>
      <c r="G38" s="67" t="n">
        <v>21.02</v>
      </c>
      <c r="H38" s="68" t="str">
        <f aca="false" t="array" ref="H38:H38">IFERROR(INDEX(_xlfn.stockhistory(A38,TODAY()-5,TODAY(),0,0,1),ROWS(_xlfn.stockhistory(A38,TODAY()-5,TODAY(),0,0,1)),1),"")</f>
        <v/>
      </c>
      <c r="I38" s="69" t="str">
        <f aca="false">IF(OR(G38="",H38=""),"",H38/G38-1)</f>
        <v/>
      </c>
      <c r="J38" s="70" t="n">
        <v>46322</v>
      </c>
      <c r="K38" s="64" t="s">
        <v>222</v>
      </c>
      <c r="L38" s="71" t="s">
        <v>270</v>
      </c>
      <c r="M38" s="64" t="s">
        <v>222</v>
      </c>
      <c r="N38" s="71" t="s">
        <v>271</v>
      </c>
      <c r="O38" s="72" t="n">
        <f aca="true">IF(C38="","",TODAY()-C38)</f>
        <v>58</v>
      </c>
      <c r="P38" s="73"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71"/>
    </row>
    <row r="39" customFormat="false" ht="15" hidden="false" customHeight="true" outlineLevel="1" collapsed="false">
      <c r="A39" s="63" t="s">
        <v>192</v>
      </c>
      <c r="B39" s="75" t="s">
        <v>237</v>
      </c>
      <c r="C39" s="65" t="n">
        <v>46240</v>
      </c>
      <c r="D39" s="64"/>
      <c r="E39" s="64" t="n">
        <v>2.64</v>
      </c>
      <c r="F39" s="66"/>
      <c r="G39" s="67" t="n">
        <v>37.34</v>
      </c>
      <c r="H39" s="68" t="str">
        <f aca="false" t="array" ref="H39:H39">IFERROR(INDEX(_xlfn.stockhistory(A39,TODAY()-5,TODAY(),0,0,1),ROWS(_xlfn.stockhistory(A39,TODAY()-5,TODAY(),0,0,1)),1),"")</f>
        <v/>
      </c>
      <c r="I39" s="69" t="str">
        <f aca="false">IF(OR(G39="",H39=""),"",H39/G39-1)</f>
        <v/>
      </c>
      <c r="J39" s="70" t="n">
        <v>46337</v>
      </c>
      <c r="K39" s="64" t="s">
        <v>222</v>
      </c>
      <c r="L39" s="71" t="s">
        <v>272</v>
      </c>
      <c r="M39" s="64" t="s">
        <v>224</v>
      </c>
      <c r="N39" s="71"/>
      <c r="O39" s="72" t="n">
        <f aca="true">IF(C39="","",TODAY()-C39)</f>
        <v>63</v>
      </c>
      <c r="P39" s="73"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71"/>
    </row>
    <row r="40" customFormat="false" ht="15" hidden="false" customHeight="true" outlineLevel="0" collapsed="false">
      <c r="A40" s="63" t="s">
        <v>273</v>
      </c>
      <c r="B40" s="74" t="s">
        <v>243</v>
      </c>
      <c r="C40" s="65" t="n">
        <v>46245</v>
      </c>
      <c r="D40" s="64"/>
      <c r="E40" s="64" t="n">
        <v>4.21</v>
      </c>
      <c r="F40" s="66"/>
      <c r="G40" s="67" t="n">
        <v>145.21</v>
      </c>
      <c r="H40" s="68" t="str">
        <f aca="false" t="array" ref="H40:H40">IFERROR(INDEX(_xlfn.stockhistory(A40,TODAY()-5,TODAY(),0,0,1),ROWS(_xlfn.stockhistory(A40,TODAY()-5,TODAY(),0,0,1)),1),"")</f>
        <v/>
      </c>
      <c r="I40" s="69" t="str">
        <f aca="false">IF(OR(G40="",H40=""),"",H40/G40-1)</f>
        <v/>
      </c>
      <c r="J40" s="70" t="n">
        <v>46317</v>
      </c>
      <c r="K40" s="64" t="s">
        <v>222</v>
      </c>
      <c r="L40" s="71" t="s">
        <v>274</v>
      </c>
      <c r="M40" s="64" t="s">
        <v>224</v>
      </c>
      <c r="N40" s="71"/>
      <c r="O40" s="72" t="n">
        <f aca="true">IF(C40="","",TODAY()-C40)</f>
        <v>58</v>
      </c>
      <c r="P40" s="73"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71"/>
    </row>
    <row r="41" customFormat="false" ht="15" hidden="false" customHeight="true" outlineLevel="0" collapsed="false">
      <c r="A41" s="63" t="s">
        <v>275</v>
      </c>
      <c r="B41" s="74" t="s">
        <v>243</v>
      </c>
      <c r="C41" s="65" t="n">
        <v>46247</v>
      </c>
      <c r="D41" s="64"/>
      <c r="E41" s="64" t="n">
        <v>3.29</v>
      </c>
      <c r="F41" s="66"/>
      <c r="G41" s="67" t="n">
        <v>1058.87</v>
      </c>
      <c r="H41" s="68" t="str">
        <f aca="false" t="array" ref="H41:H41">IFERROR(INDEX(_xlfn.stockhistory(A41,TODAY()-5,TODAY(),0,0,1),ROWS(_xlfn.stockhistory(A41,TODAY()-5,TODAY(),0,0,1)),1),"")</f>
        <v/>
      </c>
      <c r="I41" s="69" t="str">
        <f aca="false">IF(OR(G41="",H41=""),"",H41/G41-1)</f>
        <v/>
      </c>
      <c r="J41" s="70" t="n">
        <v>46331</v>
      </c>
      <c r="K41" s="64" t="s">
        <v>222</v>
      </c>
      <c r="L41" s="71" t="s">
        <v>276</v>
      </c>
      <c r="M41" s="64" t="s">
        <v>224</v>
      </c>
      <c r="N41" s="71"/>
      <c r="O41" s="72" t="n">
        <f aca="true">IF(C41="","",TODAY()-C41)</f>
        <v>56</v>
      </c>
      <c r="P41" s="73"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71"/>
    </row>
    <row r="42" customFormat="false" ht="15" hidden="false" customHeight="true" outlineLevel="1" collapsed="false">
      <c r="A42" s="63" t="s">
        <v>277</v>
      </c>
      <c r="B42" s="71" t="s">
        <v>237</v>
      </c>
      <c r="C42" s="65" t="n">
        <v>46245</v>
      </c>
      <c r="D42" s="64"/>
      <c r="E42" s="64" t="n">
        <v>1.36</v>
      </c>
      <c r="F42" s="66"/>
      <c r="G42" s="67" t="n">
        <v>24.32</v>
      </c>
      <c r="H42" s="68" t="str">
        <f aca="false" t="array" ref="H42:H42">IFERROR(INDEX(_xlfn.stockhistory(A42,TODAY()-5,TODAY(),0,0,1),ROWS(_xlfn.stockhistory(A42,TODAY()-5,TODAY(),0,0,1)),1),"")</f>
        <v/>
      </c>
      <c r="I42" s="69" t="str">
        <f aca="false">IF(OR(G42="",H42=""),"",H42/G42-1)</f>
        <v/>
      </c>
      <c r="J42" s="70" t="n">
        <v>46331</v>
      </c>
      <c r="K42" s="64" t="s">
        <v>224</v>
      </c>
      <c r="L42" s="71"/>
      <c r="M42" s="64" t="s">
        <v>222</v>
      </c>
      <c r="N42" s="71" t="s">
        <v>278</v>
      </c>
      <c r="O42" s="72" t="n">
        <f aca="true">IF(C42="","",TODAY()-C42)</f>
        <v>58</v>
      </c>
      <c r="P42" s="73"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71"/>
    </row>
    <row r="43" customFormat="false" ht="15" hidden="false" customHeight="true" outlineLevel="1" collapsed="false">
      <c r="A43" s="76" t="s">
        <v>180</v>
      </c>
      <c r="B43" s="77" t="s">
        <v>237</v>
      </c>
      <c r="C43" s="78" t="n">
        <v>46240</v>
      </c>
      <c r="D43" s="79"/>
      <c r="E43" s="79" t="n">
        <v>1.86</v>
      </c>
      <c r="F43" s="66"/>
      <c r="G43" s="80" t="n">
        <v>87.2</v>
      </c>
      <c r="H43" s="81" t="str">
        <f aca="false" t="array" ref="H43:H43">IFERROR(INDEX(_xlfn.stockhistory(A43,TODAY()-5,TODAY(),0,0,1),ROWS(_xlfn.stockhistory(A43,TODAY()-5,TODAY(),0,0,1)),1),"")</f>
        <v/>
      </c>
      <c r="I43" s="19" t="str">
        <f aca="false">IF(OR(G43="",H43=""),"",H43/G43-1)</f>
        <v/>
      </c>
      <c r="J43" s="82" t="n">
        <v>46323</v>
      </c>
      <c r="K43" s="79" t="s">
        <v>222</v>
      </c>
      <c r="L43" s="77" t="s">
        <v>279</v>
      </c>
      <c r="M43" s="79" t="s">
        <v>224</v>
      </c>
      <c r="N43" s="77"/>
      <c r="O43" s="83" t="n">
        <f aca="true">IF(C43="","",TODAY()-C43)</f>
        <v>63</v>
      </c>
      <c r="P43" s="15"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7"/>
    </row>
    <row r="44" customFormat="false" ht="15" hidden="false" customHeight="true" outlineLevel="1" collapsed="false">
      <c r="A44" s="76" t="s">
        <v>183</v>
      </c>
      <c r="B44" s="77" t="s">
        <v>237</v>
      </c>
      <c r="C44" s="78" t="n">
        <v>46240</v>
      </c>
      <c r="D44" s="79"/>
      <c r="E44" s="79" t="n">
        <v>1.93</v>
      </c>
      <c r="F44" s="66"/>
      <c r="G44" s="80" t="n">
        <v>319.53</v>
      </c>
      <c r="H44" s="81" t="str">
        <f aca="false" t="array" ref="H44:H44">IFERROR(INDEX(_xlfn.stockhistory(A44,TODAY()-5,TODAY(),0,0,1),ROWS(_xlfn.stockhistory(A44,TODAY()-5,TODAY(),0,0,1)),1),"")</f>
        <v/>
      </c>
      <c r="I44" s="19" t="str">
        <f aca="false">IF(OR(G44="",H44=""),"",H44/G44-1)</f>
        <v/>
      </c>
      <c r="J44" s="82" t="n">
        <v>46316</v>
      </c>
      <c r="K44" s="79" t="s">
        <v>224</v>
      </c>
      <c r="L44" s="77"/>
      <c r="M44" s="79" t="s">
        <v>224</v>
      </c>
      <c r="N44" s="77"/>
      <c r="O44" s="83" t="n">
        <f aca="true">IF(C44="","",TODAY()-C44)</f>
        <v>63</v>
      </c>
      <c r="P44" s="15"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7"/>
    </row>
    <row r="45" customFormat="false" ht="15" hidden="false" customHeight="true" outlineLevel="0" collapsed="false">
      <c r="A45" s="76" t="s">
        <v>119</v>
      </c>
      <c r="B45" s="79" t="s">
        <v>220</v>
      </c>
      <c r="C45" s="78" t="n">
        <v>46278</v>
      </c>
      <c r="D45" s="79" t="n">
        <v>73.4</v>
      </c>
      <c r="E45" s="79" t="n">
        <v>3.64</v>
      </c>
      <c r="F45" s="66" t="s">
        <v>226</v>
      </c>
      <c r="G45" s="80" t="n">
        <v>370.45</v>
      </c>
      <c r="H45" s="81" t="str">
        <f aca="false" t="array" ref="H45:H45">IFERROR(INDEX(_xlfn.stockhistory(A45,TODAY()-5,TODAY(),0,0,1),ROWS(_xlfn.stockhistory(A45,TODAY()-5,TODAY(),0,0,1)),1),"")</f>
        <v/>
      </c>
      <c r="I45" s="19" t="str">
        <f aca="false">IF(OR(G45="",H45=""),"",H45/G45-1)</f>
        <v/>
      </c>
      <c r="J45" s="82" t="n">
        <v>46322</v>
      </c>
      <c r="K45" s="79" t="s">
        <v>222</v>
      </c>
      <c r="L45" s="77" t="s">
        <v>280</v>
      </c>
      <c r="M45" s="79" t="s">
        <v>224</v>
      </c>
      <c r="N45" s="77"/>
      <c r="O45" s="83" t="n">
        <f aca="true">IF(C45="","",TODAY()-C45)</f>
        <v>25</v>
      </c>
      <c r="P45" s="15"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7"/>
    </row>
    <row r="46" customFormat="false" ht="15" hidden="false" customHeight="true" outlineLevel="1" collapsed="false">
      <c r="A46" s="76" t="s">
        <v>281</v>
      </c>
      <c r="B46" s="77" t="s">
        <v>237</v>
      </c>
      <c r="C46" s="78" t="n">
        <v>46246</v>
      </c>
      <c r="D46" s="79"/>
      <c r="E46" s="79" t="n">
        <v>2.86</v>
      </c>
      <c r="F46" s="66"/>
      <c r="G46" s="80" t="n">
        <v>14.57</v>
      </c>
      <c r="H46" s="81" t="str">
        <f aca="false" t="array" ref="H46:H46">IFERROR(INDEX(_xlfn.stockhistory(A46,TODAY()-5,TODAY(),0,0,1),ROWS(_xlfn.stockhistory(A46,TODAY()-5,TODAY(),0,0,1)),1),"")</f>
        <v/>
      </c>
      <c r="I46" s="19" t="str">
        <f aca="false">IF(OR(G46="",H46=""),"",H46/G46-1)</f>
        <v/>
      </c>
      <c r="J46" s="82" t="n">
        <v>46321</v>
      </c>
      <c r="K46" s="79" t="s">
        <v>222</v>
      </c>
      <c r="L46" s="77" t="s">
        <v>282</v>
      </c>
      <c r="M46" s="79" t="s">
        <v>224</v>
      </c>
      <c r="N46" s="77"/>
      <c r="O46" s="83" t="n">
        <f aca="true">IF(C46="","",TODAY()-C46)</f>
        <v>57</v>
      </c>
      <c r="P46" s="15"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7"/>
    </row>
    <row r="47" customFormat="false" ht="15" hidden="false" customHeight="true" outlineLevel="0" collapsed="false">
      <c r="A47" s="76" t="s">
        <v>283</v>
      </c>
      <c r="B47" s="74" t="s">
        <v>243</v>
      </c>
      <c r="C47" s="78" t="n">
        <v>46245</v>
      </c>
      <c r="D47" s="79"/>
      <c r="E47" s="79" t="n">
        <v>4.29</v>
      </c>
      <c r="F47" s="66"/>
      <c r="G47" s="80" t="n">
        <v>144.75</v>
      </c>
      <c r="H47" s="81" t="str">
        <f aca="false" t="array" ref="H47:H47">IFERROR(INDEX(_xlfn.stockhistory(A47,TODAY()-5,TODAY(),0,0,1),ROWS(_xlfn.stockhistory(A47,TODAY()-5,TODAY(),0,0,1)),1),"")</f>
        <v/>
      </c>
      <c r="I47" s="19" t="str">
        <f aca="false">IF(OR(G47="",H47=""),"",H47/G47-1)</f>
        <v/>
      </c>
      <c r="J47" s="82" t="n">
        <v>46329</v>
      </c>
      <c r="K47" s="79" t="s">
        <v>222</v>
      </c>
      <c r="L47" s="77" t="s">
        <v>284</v>
      </c>
      <c r="M47" s="79" t="s">
        <v>224</v>
      </c>
      <c r="N47" s="77"/>
      <c r="O47" s="83" t="n">
        <f aca="true">IF(C47="","",TODAY()-C47)</f>
        <v>58</v>
      </c>
      <c r="P47" s="15"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7"/>
    </row>
    <row r="48" customFormat="false" ht="15" hidden="false" customHeight="true" outlineLevel="0" collapsed="false">
      <c r="A48" s="63" t="s">
        <v>285</v>
      </c>
      <c r="B48" s="74" t="s">
        <v>243</v>
      </c>
      <c r="C48" s="65" t="n">
        <v>46276</v>
      </c>
      <c r="D48" s="64"/>
      <c r="E48" s="64" t="n">
        <v>4</v>
      </c>
      <c r="F48" s="66"/>
      <c r="G48" s="67" t="n">
        <v>63.85</v>
      </c>
      <c r="H48" s="68" t="str">
        <f aca="false" t="array" ref="H48:H48">IFERROR(INDEX(_xlfn.stockhistory(A48,TODAY()-5,TODAY(),0,0,1),ROWS(_xlfn.stockhistory(A48,TODAY()-5,TODAY(),0,0,1)),1),"")</f>
        <v/>
      </c>
      <c r="I48" s="69" t="str">
        <f aca="false">IF(OR(G48="",H48=""),"",H48/G48-1)</f>
        <v/>
      </c>
      <c r="J48" s="70" t="n">
        <v>46329</v>
      </c>
      <c r="K48" s="64" t="s">
        <v>224</v>
      </c>
      <c r="L48" s="71"/>
      <c r="M48" s="64" t="s">
        <v>224</v>
      </c>
      <c r="N48" s="71"/>
      <c r="O48" s="72" t="n">
        <f aca="true">IF(C48="","",TODAY()-C48)</f>
        <v>27</v>
      </c>
      <c r="P48" s="73"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71" t="s">
        <v>286</v>
      </c>
    </row>
    <row r="49" customFormat="false" ht="15" hidden="false" customHeight="true" outlineLevel="0" collapsed="false">
      <c r="A49" s="63" t="s">
        <v>287</v>
      </c>
      <c r="B49" s="74" t="s">
        <v>243</v>
      </c>
      <c r="C49" s="65" t="n">
        <v>46278</v>
      </c>
      <c r="D49" s="64" t="n">
        <v>70.8</v>
      </c>
      <c r="E49" s="64" t="n">
        <v>3.5</v>
      </c>
      <c r="F49" s="66" t="s">
        <v>226</v>
      </c>
      <c r="G49" s="67" t="n">
        <v>101.95</v>
      </c>
      <c r="H49" s="68" t="str">
        <f aca="false" t="array" ref="H49:H49">IFERROR(INDEX(_xlfn.stockhistory(A49,TODAY()-5,TODAY(),0,0,1),ROWS(_xlfn.stockhistory(A49,TODAY()-5,TODAY(),0,0,1)),1),"")</f>
        <v/>
      </c>
      <c r="I49" s="69" t="str">
        <f aca="false">IF(OR(G49="",H49=""),"",H49/G49-1)</f>
        <v/>
      </c>
      <c r="J49" s="70" t="n">
        <v>46316</v>
      </c>
      <c r="K49" s="64" t="s">
        <v>224</v>
      </c>
      <c r="L49" s="71"/>
      <c r="M49" s="64" t="s">
        <v>224</v>
      </c>
      <c r="N49" s="71"/>
      <c r="O49" s="72" t="n">
        <f aca="true">IF(C49="","",TODAY()-C49)</f>
        <v>25</v>
      </c>
      <c r="P49" s="73" t="str">
        <f aca="true">IF(A49="","",IF(O49&gt;180,"DUE — STALE (&gt;180 days)",IF(J49&lt;&gt;"",IF(ABS(J49-TODAY())&lt;=7,"DUE — EARNINGS WINDOW",IF(I49&lt;&gt;"",IF(ABS(I49)&gt;=0.2,"DUE — PRICE MOVE ±20%",IF(K49="Y","DUE — INSIDER ACTIVITY",IF(I49&lt;&gt;"",IF(ABS(I49)&gt;=0.15,"WATCH — PRICE MOVE ±15%",IF(M49="Y","WATCH — ANALYST SHIFT","Monitor Only")),IF(M49="Y","WATCH — ANALYST SHIFT","Monitor Only")))),IF(K49="Y","DUE — INSIDER ACTIVITY",IF(I49&lt;&gt;"",IF(ABS(I49)&gt;=0.15,"WATCH — PRICE MOVE ±15%",IF(M49="Y","WATCH — ANALYST SHIFT","Monitor Only")),IF(M49="Y","WATCH — ANALYST SHIFT","Monitor Only"))))),IF(I49&lt;&gt;"",IF(ABS(I49)&gt;=0.2,"DUE — PRICE MOVE ±20%",IF(K49="Y","DUE — INSIDER ACTIVITY",IF(I49&lt;&gt;"",IF(ABS(I49)&gt;=0.15,"WATCH — PRICE MOVE ±15%",IF(M49="Y","WATCH — ANALYST SHIFT","Monitor Only")),IF(M49="Y","WATCH — ANALYST SHIFT","Monitor Only")))),IF(K49="Y","DUE — INSIDER ACTIVITY",IF(I49&lt;&gt;"",IF(ABS(I49)&gt;=0.15,"WATCH — PRICE MOVE ±15%",IF(M49="Y","WATCH — ANALYST SHIFT","Monitor Only")),IF(M49="Y","WATCH — ANALYST SHIFT","Monitor Only")))))))</f>
        <v>Monitor Only</v>
      </c>
      <c r="Q49" s="71" t="s">
        <v>288</v>
      </c>
    </row>
    <row r="50" customFormat="false" ht="15" hidden="false" customHeight="true" outlineLevel="0" collapsed="false">
      <c r="A50" s="63" t="s">
        <v>289</v>
      </c>
      <c r="B50" s="74" t="s">
        <v>243</v>
      </c>
      <c r="C50" s="65" t="n">
        <v>46278</v>
      </c>
      <c r="D50" s="64" t="n">
        <v>72.4</v>
      </c>
      <c r="E50" s="64" t="n">
        <v>3.5</v>
      </c>
      <c r="F50" s="66" t="s">
        <v>226</v>
      </c>
      <c r="G50" s="67" t="n">
        <v>56.06</v>
      </c>
      <c r="H50" s="68" t="str">
        <f aca="false" t="array" ref="H50:H50">IFERROR(INDEX(_xlfn.stockhistory(A50,TODAY()-5,TODAY(),0,0,1),ROWS(_xlfn.stockhistory(A50,TODAY()-5,TODAY(),0,0,1)),1),"")</f>
        <v/>
      </c>
      <c r="I50" s="69" t="str">
        <f aca="false">IF(OR(G50="",H50=""),"",H50/G50-1)</f>
        <v/>
      </c>
      <c r="J50" s="70" t="n">
        <v>46318</v>
      </c>
      <c r="K50" s="64" t="s">
        <v>224</v>
      </c>
      <c r="L50" s="71"/>
      <c r="M50" s="64" t="s">
        <v>224</v>
      </c>
      <c r="N50" s="71"/>
      <c r="O50" s="72" t="n">
        <f aca="true">IF(C50="","",TODAY()-C50)</f>
        <v>25</v>
      </c>
      <c r="P50" s="73" t="str">
        <f aca="true">IF(A50="","",IF(O50&gt;180,"DUE — STALE (&gt;180 days)",IF(J50&lt;&gt;"",IF(ABS(J50-TODAY())&lt;=7,"DUE — EARNINGS WINDOW",IF(I50&lt;&gt;"",IF(ABS(I50)&gt;=0.2,"DUE — PRICE MOVE ±20%",IF(K50="Y","DUE — INSIDER ACTIVITY",IF(I50&lt;&gt;"",IF(ABS(I50)&gt;=0.15,"WATCH — PRICE MOVE ±15%",IF(M50="Y","WATCH — ANALYST SHIFT","Monitor Only")),IF(M50="Y","WATCH — ANALYST SHIFT","Monitor Only")))),IF(K50="Y","DUE — INSIDER ACTIVITY",IF(I50&lt;&gt;"",IF(ABS(I50)&gt;=0.15,"WATCH — PRICE MOVE ±15%",IF(M50="Y","WATCH — ANALYST SHIFT","Monitor Only")),IF(M50="Y","WATCH — ANALYST SHIFT","Monitor Only"))))),IF(I50&lt;&gt;"",IF(ABS(I50)&gt;=0.2,"DUE — PRICE MOVE ±20%",IF(K50="Y","DUE — INSIDER ACTIVITY",IF(I50&lt;&gt;"",IF(ABS(I50)&gt;=0.15,"WATCH — PRICE MOVE ±15%",IF(M50="Y","WATCH — ANALYST SHIFT","Monitor Only")),IF(M50="Y","WATCH — ANALYST SHIFT","Monitor Only")))),IF(K50="Y","DUE — INSIDER ACTIVITY",IF(I50&lt;&gt;"",IF(ABS(I50)&gt;=0.15,"WATCH — PRICE MOVE ±15%",IF(M50="Y","WATCH — ANALYST SHIFT","Monitor Only")),IF(M50="Y","WATCH — ANALYST SHIFT","Monitor Only")))))))</f>
        <v>Monitor Only</v>
      </c>
      <c r="Q50" s="71" t="s">
        <v>290</v>
      </c>
    </row>
    <row r="51" customFormat="false" ht="15" hidden="false" customHeight="true" outlineLevel="0" collapsed="false">
      <c r="A51" s="63" t="s">
        <v>149</v>
      </c>
      <c r="B51" s="74" t="s">
        <v>220</v>
      </c>
      <c r="C51" s="65" t="n">
        <v>46297</v>
      </c>
      <c r="D51" s="64" t="n">
        <v>81.6</v>
      </c>
      <c r="E51" s="64" t="n">
        <v>4.29</v>
      </c>
      <c r="F51" s="66" t="s">
        <v>221</v>
      </c>
      <c r="G51" s="67" t="n">
        <v>273.33</v>
      </c>
      <c r="H51" s="68" t="str">
        <f aca="false" t="array" ref="H51:H51">IFERROR(INDEX(_xlfn.stockhistory(A51,TODAY()-5,TODAY(),0,0,1),ROWS(_xlfn.stockhistory(A51,TODAY()-5,TODAY(),0,0,1)),1),"")</f>
        <v/>
      </c>
      <c r="I51" s="69" t="str">
        <f aca="false">IF(OR(G51="",H51=""),"",H51/G51-1)</f>
        <v/>
      </c>
      <c r="J51" s="70" t="n">
        <v>46351</v>
      </c>
      <c r="K51" s="64" t="s">
        <v>222</v>
      </c>
      <c r="L51" s="71" t="s">
        <v>291</v>
      </c>
      <c r="M51" s="64" t="s">
        <v>224</v>
      </c>
      <c r="N51" s="71"/>
      <c r="O51" s="72" t="n">
        <f aca="true">IF(C51="","",TODAY()-C51)</f>
        <v>6</v>
      </c>
      <c r="P51" s="73" t="str">
        <f aca="true">IF(A51="","",IF(O51&gt;180,"DUE — STALE (&gt;180 days)",IF(J51&lt;&gt;"",IF(ABS(J51-TODAY())&lt;=7,"DUE — EARNINGS WINDOW",IF(I51&lt;&gt;"",IF(ABS(I51)&gt;=0.2,"DUE — PRICE MOVE ±20%",IF(K51="Y","DUE — INSIDER ACTIVITY",IF(I51&lt;&gt;"",IF(ABS(I51)&gt;=0.15,"WATCH — PRICE MOVE ±15%",IF(M51="Y","WATCH — ANALYST SHIFT","Monitor Only")),IF(M51="Y","WATCH — ANALYST SHIFT","Monitor Only")))),IF(K51="Y","DUE — INSIDER ACTIVITY",IF(I51&lt;&gt;"",IF(ABS(I51)&gt;=0.15,"WATCH — PRICE MOVE ±15%",IF(M51="Y","WATCH — ANALYST SHIFT","Monitor Only")),IF(M51="Y","WATCH — ANALYST SHIFT","Monitor Only"))))),IF(I51&lt;&gt;"",IF(ABS(I51)&gt;=0.2,"DUE — PRICE MOVE ±20%",IF(K51="Y","DUE — INSIDER ACTIVITY",IF(I51&lt;&gt;"",IF(ABS(I51)&gt;=0.15,"WATCH — PRICE MOVE ±15%",IF(M51="Y","WATCH — ANALYST SHIFT","Monitor Only")),IF(M51="Y","WATCH — ANALYST SHIFT","Monitor Only")))),IF(K51="Y","DUE — INSIDER ACTIVITY",IF(I51&lt;&gt;"",IF(ABS(I51)&gt;=0.15,"WATCH — PRICE MOVE ±15%",IF(M51="Y","WATCH — ANALYST SHIFT","Monitor Only")),IF(M51="Y","WATCH — ANALYST SHIFT","Monitor Only")))))))</f>
        <v>DUE — INSIDER ACTIVITY</v>
      </c>
      <c r="Q51" s="71" t="s">
        <v>292</v>
      </c>
    </row>
  </sheetData>
  <mergeCells count="1">
    <mergeCell ref="A1:O1"/>
  </mergeCells>
  <conditionalFormatting sqref="F3:F51">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51">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51">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51" type="list">
      <formula1>"Owned,Owned - Tier1 AVOID,Closed,Watch List,Tier-1 Avoid (external),Near-Miss"</formula1>
      <formula2>0</formula2>
    </dataValidation>
    <dataValidation allowBlank="true" errorStyle="stop" operator="between" showDropDown="false" showErrorMessage="false" showInputMessage="false" sqref="K3:K51 M3:M51"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13.00390625" defaultRowHeight="12.75" customHeight="false" zeroHeight="false" outlineLevelRow="0" outlineLevelCol="0"/>
  <cols>
    <col collapsed="false" customWidth="true" hidden="false" outlineLevel="0" max="1" min="1" style="84" width="12"/>
    <col collapsed="false" customWidth="true" hidden="false" outlineLevel="0" max="2" min="2" style="84" width="6.67"/>
    <col collapsed="false" customWidth="true" hidden="false" outlineLevel="0" max="3" min="3" style="84" width="6.51"/>
    <col collapsed="false" customWidth="true" hidden="false" outlineLevel="0" max="5" min="4" style="84" width="7"/>
    <col collapsed="false" customWidth="true" hidden="false" outlineLevel="0" max="6" min="6" style="84" width="7.16"/>
    <col collapsed="false" customWidth="true" hidden="false" outlineLevel="0" max="7" min="7" style="84" width="6.51"/>
    <col collapsed="false" customWidth="true" hidden="false" outlineLevel="0" max="8" min="8" style="84" width="7"/>
    <col collapsed="false" customWidth="true" hidden="false" outlineLevel="0" max="9" min="9" style="84" width="6.83"/>
    <col collapsed="false" customWidth="true" hidden="false" outlineLevel="0" max="10" min="10" style="84" width="5.66"/>
    <col collapsed="false" customWidth="true" hidden="false" outlineLevel="0" max="11" min="11" style="84" width="6.16"/>
    <col collapsed="false" customWidth="true" hidden="false" outlineLevel="0" max="13" min="12" style="84" width="5.66"/>
    <col collapsed="false" customWidth="true" hidden="false" outlineLevel="0" max="14" min="14" style="84" width="6.51"/>
    <col collapsed="false" customWidth="true" hidden="false" outlineLevel="0" max="16" min="15" style="84" width="6.83"/>
    <col collapsed="false" customWidth="true" hidden="false" outlineLevel="0" max="17" min="17" style="84" width="6.51"/>
    <col collapsed="false" customWidth="true" hidden="false" outlineLevel="0" max="18" min="18" style="84" width="6.33"/>
    <col collapsed="false" customWidth="true" hidden="false" outlineLevel="0" max="19" min="19" style="84" width="6.83"/>
    <col collapsed="false" customWidth="true" hidden="false" outlineLevel="0" max="27" min="20" style="84" width="6.51"/>
    <col collapsed="false" customWidth="false" hidden="false" outlineLevel="0" max="16384" min="28" style="84" width="13"/>
  </cols>
  <sheetData>
    <row r="1" customFormat="false" ht="25.5" hidden="false" customHeight="true" outlineLevel="0" collapsed="false">
      <c r="A1" s="85" t="s">
        <v>293</v>
      </c>
      <c r="B1" s="86"/>
      <c r="C1" s="86"/>
      <c r="D1" s="86"/>
      <c r="E1" s="86"/>
      <c r="F1" s="86"/>
      <c r="G1" s="86"/>
      <c r="H1" s="86"/>
      <c r="I1" s="86"/>
      <c r="J1" s="86"/>
      <c r="K1" s="86"/>
      <c r="L1" s="86"/>
      <c r="M1" s="86"/>
      <c r="N1" s="86"/>
      <c r="O1" s="86"/>
      <c r="P1" s="86"/>
      <c r="Q1" s="86"/>
    </row>
    <row r="2" customFormat="false" ht="15" hidden="false" customHeight="true" outlineLevel="0" collapsed="false">
      <c r="A2" s="87" t="s">
        <v>294</v>
      </c>
      <c r="B2" s="87" t="s">
        <v>96</v>
      </c>
      <c r="C2" s="87" t="s">
        <v>101</v>
      </c>
      <c r="D2" s="87" t="s">
        <v>103</v>
      </c>
      <c r="E2" s="87" t="s">
        <v>172</v>
      </c>
      <c r="F2" s="87" t="s">
        <v>105</v>
      </c>
      <c r="G2" s="87" t="s">
        <v>107</v>
      </c>
      <c r="H2" s="87" t="s">
        <v>109</v>
      </c>
      <c r="I2" s="87" t="s">
        <v>111</v>
      </c>
      <c r="J2" s="87" t="s">
        <v>177</v>
      </c>
      <c r="K2" s="87" t="s">
        <v>113</v>
      </c>
      <c r="L2" s="87" t="s">
        <v>115</v>
      </c>
      <c r="M2" s="87" t="s">
        <v>117</v>
      </c>
      <c r="N2" s="87" t="s">
        <v>174</v>
      </c>
      <c r="O2" s="87" t="s">
        <v>163</v>
      </c>
      <c r="P2" s="87" t="s">
        <v>128</v>
      </c>
      <c r="Q2" s="87" t="s">
        <v>169</v>
      </c>
      <c r="R2" s="87" t="s">
        <v>159</v>
      </c>
      <c r="S2" s="87" t="s">
        <v>140</v>
      </c>
      <c r="T2" s="87" t="s">
        <v>131</v>
      </c>
      <c r="U2" s="87" t="s">
        <v>134</v>
      </c>
      <c r="V2" s="87" t="s">
        <v>119</v>
      </c>
      <c r="W2" s="87" t="s">
        <v>136</v>
      </c>
      <c r="X2" s="87" t="s">
        <v>138</v>
      </c>
      <c r="Y2" s="87" t="s">
        <v>195</v>
      </c>
      <c r="Z2" s="87" t="s">
        <v>143</v>
      </c>
      <c r="AA2" s="87" t="s">
        <v>146</v>
      </c>
      <c r="AB2" s="87" t="s">
        <v>149</v>
      </c>
    </row>
    <row r="3" customFormat="false" ht="15" hidden="false" customHeight="true" outlineLevel="0" collapsed="false">
      <c r="A3" s="88" t="n">
        <v>45184</v>
      </c>
      <c r="B3" s="89" t="n">
        <v>528.89</v>
      </c>
      <c r="C3" s="89" t="n">
        <v>46.18</v>
      </c>
      <c r="D3" s="89" t="n">
        <v>582.01</v>
      </c>
      <c r="E3" s="89" t="n">
        <v>82</v>
      </c>
      <c r="F3" s="89" t="n">
        <v>41.36</v>
      </c>
      <c r="G3" s="89" t="n">
        <v>44.35</v>
      </c>
      <c r="H3" s="89" t="n">
        <v>69.11</v>
      </c>
      <c r="I3" s="89" t="n">
        <v>43.77</v>
      </c>
      <c r="J3" s="89" t="n">
        <v>111.84</v>
      </c>
      <c r="K3" s="89" t="n">
        <v>15.33</v>
      </c>
      <c r="L3" s="89" t="n">
        <v>85.75</v>
      </c>
      <c r="M3" s="89" t="n">
        <v>38.02</v>
      </c>
      <c r="N3" s="89" t="n">
        <v>348.9</v>
      </c>
      <c r="O3" s="89" t="n">
        <v>75.31</v>
      </c>
      <c r="P3" s="89" t="n">
        <v>100.59</v>
      </c>
      <c r="Q3" s="89"/>
      <c r="R3" s="89" t="n">
        <v>34.48</v>
      </c>
      <c r="S3" s="89" t="n">
        <v>57.63</v>
      </c>
      <c r="T3" s="89" t="n">
        <v>25.24</v>
      </c>
      <c r="U3" s="89" t="n">
        <v>21.8</v>
      </c>
      <c r="V3" s="89" t="n">
        <v>235.63</v>
      </c>
      <c r="W3" s="89" t="n">
        <v>98.59</v>
      </c>
      <c r="X3" s="89"/>
      <c r="Y3" s="89" t="n">
        <v>43.23</v>
      </c>
      <c r="Z3" s="89" t="n">
        <v>90.68</v>
      </c>
      <c r="AA3" s="89" t="n">
        <v>39.69</v>
      </c>
      <c r="AB3" s="89" t="n">
        <v>209.01</v>
      </c>
    </row>
    <row r="4" customFormat="false" ht="15" hidden="false" customHeight="true" outlineLevel="0" collapsed="false">
      <c r="A4" s="70" t="n">
        <v>45191</v>
      </c>
      <c r="B4" s="67" t="n">
        <v>512.9</v>
      </c>
      <c r="C4" s="67" t="n">
        <v>45.08</v>
      </c>
      <c r="D4" s="67" t="n">
        <v>572.69</v>
      </c>
      <c r="E4" s="67" t="n">
        <v>80.26</v>
      </c>
      <c r="F4" s="67" t="n">
        <v>40.64</v>
      </c>
      <c r="G4" s="67" t="n">
        <v>44.12</v>
      </c>
      <c r="H4" s="67" t="n">
        <v>68.12</v>
      </c>
      <c r="I4" s="67" t="n">
        <v>41.49</v>
      </c>
      <c r="J4" s="67" t="n">
        <v>103.57</v>
      </c>
      <c r="K4" s="67" t="n">
        <v>14.13</v>
      </c>
      <c r="L4" s="67" t="n">
        <v>82.28</v>
      </c>
      <c r="M4" s="67" t="n">
        <v>36.31</v>
      </c>
      <c r="N4" s="67" t="n">
        <v>349.53</v>
      </c>
      <c r="O4" s="67" t="n">
        <v>73.11</v>
      </c>
      <c r="P4" s="67" t="n">
        <v>98.44</v>
      </c>
      <c r="Q4" s="67"/>
      <c r="R4" s="67" t="n">
        <v>33.55</v>
      </c>
      <c r="S4" s="67" t="n">
        <v>56.23</v>
      </c>
      <c r="T4" s="67" t="n">
        <v>24.87</v>
      </c>
      <c r="U4" s="67" t="n">
        <v>21.3</v>
      </c>
      <c r="V4" s="67" t="n">
        <v>229.78</v>
      </c>
      <c r="W4" s="67" t="n">
        <v>96.44</v>
      </c>
      <c r="X4" s="67"/>
      <c r="Y4" s="67" t="n">
        <v>42.42</v>
      </c>
      <c r="Z4" s="67" t="n">
        <v>87.35</v>
      </c>
      <c r="AA4" s="67" t="n">
        <v>37.98</v>
      </c>
      <c r="AB4" s="67" t="n">
        <v>203.14</v>
      </c>
    </row>
    <row r="5" customFormat="false" ht="15" hidden="false" customHeight="true" outlineLevel="0" collapsed="false">
      <c r="A5" s="70" t="n">
        <v>45198</v>
      </c>
      <c r="B5" s="67" t="n">
        <v>509.9</v>
      </c>
      <c r="C5" s="67" t="n">
        <v>45.98</v>
      </c>
      <c r="D5" s="67" t="n">
        <v>574.21</v>
      </c>
      <c r="E5" s="67" t="n">
        <v>80.41</v>
      </c>
      <c r="F5" s="67" t="n">
        <v>41.85</v>
      </c>
      <c r="G5" s="67" t="n">
        <v>44.79</v>
      </c>
      <c r="H5" s="67" t="n">
        <v>67.28</v>
      </c>
      <c r="I5" s="67" t="n">
        <v>43.37</v>
      </c>
      <c r="J5" s="67" t="n">
        <v>101.88</v>
      </c>
      <c r="K5" s="67" t="n">
        <v>16</v>
      </c>
      <c r="L5" s="67" t="n">
        <v>83.49</v>
      </c>
      <c r="M5" s="67" t="n">
        <v>37.06</v>
      </c>
      <c r="N5" s="67" t="n">
        <v>347.74</v>
      </c>
      <c r="O5" s="67" t="n">
        <v>74.31</v>
      </c>
      <c r="P5" s="67" t="n">
        <v>96.59</v>
      </c>
      <c r="Q5" s="67" t="n">
        <v>48.9</v>
      </c>
      <c r="R5" s="67" t="n">
        <v>33.57</v>
      </c>
      <c r="S5" s="67" t="n">
        <v>56.06</v>
      </c>
      <c r="T5" s="67" t="n">
        <v>24.94</v>
      </c>
      <c r="U5" s="67" t="n">
        <v>21.14</v>
      </c>
      <c r="V5" s="67" t="n">
        <v>224.82</v>
      </c>
      <c r="W5" s="67" t="n">
        <v>95.21</v>
      </c>
      <c r="X5" s="67"/>
      <c r="Y5" s="67" t="n">
        <v>41.95</v>
      </c>
      <c r="Z5" s="67" t="n">
        <v>86.86</v>
      </c>
      <c r="AA5" s="67" t="n">
        <v>37.76</v>
      </c>
      <c r="AB5" s="67" t="n">
        <v>203.45</v>
      </c>
    </row>
    <row r="6" customFormat="false" ht="15" hidden="false" customHeight="true" outlineLevel="0" collapsed="false">
      <c r="A6" s="70" t="n">
        <v>45205</v>
      </c>
      <c r="B6" s="67" t="n">
        <v>526.68</v>
      </c>
      <c r="C6" s="67" t="n">
        <v>48.51</v>
      </c>
      <c r="D6" s="67" t="n">
        <v>582.69</v>
      </c>
      <c r="E6" s="67" t="n">
        <v>81.83</v>
      </c>
      <c r="F6" s="67" t="n">
        <v>44.17</v>
      </c>
      <c r="G6" s="67" t="n">
        <v>45.7</v>
      </c>
      <c r="H6" s="67" t="n">
        <v>69.3</v>
      </c>
      <c r="I6" s="67" t="n">
        <v>45.63</v>
      </c>
      <c r="J6" s="67" t="n">
        <v>98.88</v>
      </c>
      <c r="K6" s="67" t="n">
        <v>16.61</v>
      </c>
      <c r="L6" s="67" t="n">
        <v>85.79</v>
      </c>
      <c r="M6" s="67" t="n">
        <v>39.62</v>
      </c>
      <c r="N6" s="67" t="n">
        <v>360.62</v>
      </c>
      <c r="O6" s="67" t="n">
        <v>72.07</v>
      </c>
      <c r="P6" s="67" t="n">
        <v>94.44</v>
      </c>
      <c r="Q6" s="67" t="n">
        <v>49.06</v>
      </c>
      <c r="R6" s="67" t="n">
        <v>34.01</v>
      </c>
      <c r="S6" s="67" t="n">
        <v>56.68</v>
      </c>
      <c r="T6" s="67" t="n">
        <v>24.47</v>
      </c>
      <c r="U6" s="67" t="n">
        <v>20.8</v>
      </c>
      <c r="V6" s="67" t="n">
        <v>229.74</v>
      </c>
      <c r="W6" s="67" t="n">
        <v>93.36</v>
      </c>
      <c r="X6" s="67"/>
      <c r="Y6" s="67" t="n">
        <v>41.8</v>
      </c>
      <c r="Z6" s="67" t="n">
        <v>87.59</v>
      </c>
      <c r="AA6" s="67" t="n">
        <v>38.15</v>
      </c>
      <c r="AB6" s="67" t="n">
        <v>209.6</v>
      </c>
    </row>
    <row r="7" customFormat="false" ht="15" hidden="false" customHeight="true" outlineLevel="0" collapsed="false">
      <c r="A7" s="70" t="n">
        <v>45212</v>
      </c>
      <c r="B7" s="67" t="n">
        <v>548.76</v>
      </c>
      <c r="C7" s="67" t="n">
        <v>47.46</v>
      </c>
      <c r="D7" s="67" t="n">
        <v>585.03</v>
      </c>
      <c r="E7" s="67" t="n">
        <v>85.5</v>
      </c>
      <c r="F7" s="67" t="n">
        <v>46.43</v>
      </c>
      <c r="G7" s="67" t="n">
        <v>47.54</v>
      </c>
      <c r="H7" s="67" t="n">
        <v>68.56</v>
      </c>
      <c r="I7" s="67" t="n">
        <v>45.33</v>
      </c>
      <c r="J7" s="67" t="n">
        <v>99.56</v>
      </c>
      <c r="K7" s="67" t="n">
        <v>17.36</v>
      </c>
      <c r="L7" s="67" t="n">
        <v>86.92</v>
      </c>
      <c r="M7" s="67" t="n">
        <v>38.95</v>
      </c>
      <c r="N7" s="67" t="n">
        <v>371</v>
      </c>
      <c r="O7" s="67" t="n">
        <v>72.26</v>
      </c>
      <c r="P7" s="67" t="n">
        <v>95.73</v>
      </c>
      <c r="Q7" s="67" t="n">
        <v>49.23</v>
      </c>
      <c r="R7" s="67" t="n">
        <v>34.1</v>
      </c>
      <c r="S7" s="67" t="n">
        <v>57</v>
      </c>
      <c r="T7" s="67" t="n">
        <v>24.82</v>
      </c>
      <c r="U7" s="67" t="n">
        <v>21.01</v>
      </c>
      <c r="V7" s="67" t="n">
        <v>232.31</v>
      </c>
      <c r="W7" s="67" t="n">
        <v>94.42</v>
      </c>
      <c r="X7" s="67"/>
      <c r="Y7" s="67" t="n">
        <v>42.16</v>
      </c>
      <c r="Z7" s="67" t="n">
        <v>85.94</v>
      </c>
      <c r="AA7" s="67" t="n">
        <v>35.57</v>
      </c>
      <c r="AB7" s="67" t="n">
        <v>216.11</v>
      </c>
    </row>
    <row r="8" customFormat="false" ht="15" hidden="false" customHeight="true" outlineLevel="0" collapsed="false">
      <c r="A8" s="70" t="n">
        <v>45219</v>
      </c>
      <c r="B8" s="67" t="n">
        <v>540.96</v>
      </c>
      <c r="C8" s="67" t="n">
        <v>46.53</v>
      </c>
      <c r="D8" s="67" t="n">
        <v>565.86</v>
      </c>
      <c r="E8" s="67" t="n">
        <v>82.64</v>
      </c>
      <c r="F8" s="67" t="n">
        <v>44.69</v>
      </c>
      <c r="G8" s="67" t="n">
        <v>45.16</v>
      </c>
      <c r="H8" s="67" t="n">
        <v>66.59</v>
      </c>
      <c r="I8" s="67" t="n">
        <v>41.26</v>
      </c>
      <c r="J8" s="67" t="n">
        <v>93</v>
      </c>
      <c r="K8" s="67" t="n">
        <v>16.11</v>
      </c>
      <c r="L8" s="67" t="n">
        <v>87.73</v>
      </c>
      <c r="M8" s="67" t="n">
        <v>36.6</v>
      </c>
      <c r="N8" s="67" t="n">
        <v>361.86</v>
      </c>
      <c r="O8" s="67" t="n">
        <v>71.05</v>
      </c>
      <c r="P8" s="67" t="n">
        <v>93.91</v>
      </c>
      <c r="Q8" s="67" t="n">
        <v>48.67</v>
      </c>
      <c r="R8" s="67" t="n">
        <v>33.43</v>
      </c>
      <c r="S8" s="67" t="n">
        <v>55.35</v>
      </c>
      <c r="T8" s="67" t="n">
        <v>24.51</v>
      </c>
      <c r="U8" s="67" t="n">
        <v>20.7</v>
      </c>
      <c r="V8" s="67" t="n">
        <v>228.12</v>
      </c>
      <c r="W8" s="67" t="n">
        <v>93.27</v>
      </c>
      <c r="X8" s="67"/>
      <c r="Y8" s="67" t="n">
        <v>41.54</v>
      </c>
      <c r="Z8" s="67" t="n">
        <v>83.35</v>
      </c>
      <c r="AA8" s="67" t="n">
        <v>40.1</v>
      </c>
      <c r="AB8" s="67" t="n">
        <v>200.39</v>
      </c>
    </row>
    <row r="9" customFormat="false" ht="15" hidden="false" customHeight="true" outlineLevel="0" collapsed="false">
      <c r="A9" s="70" t="n">
        <v>45226</v>
      </c>
      <c r="B9" s="67" t="n">
        <v>508.12</v>
      </c>
      <c r="C9" s="67" t="n">
        <v>44.05</v>
      </c>
      <c r="D9" s="67" t="n">
        <v>575.52</v>
      </c>
      <c r="E9" s="67" t="n">
        <v>81.16</v>
      </c>
      <c r="F9" s="67" t="n">
        <v>43.21</v>
      </c>
      <c r="G9" s="67" t="n">
        <v>44.72</v>
      </c>
      <c r="H9" s="67" t="n">
        <v>65.03</v>
      </c>
      <c r="I9" s="67" t="n">
        <v>40.38</v>
      </c>
      <c r="J9" s="67" t="n">
        <v>88.36</v>
      </c>
      <c r="K9" s="67" t="n">
        <v>15.07</v>
      </c>
      <c r="L9" s="67" t="n">
        <v>82.62</v>
      </c>
      <c r="M9" s="67" t="n">
        <v>36.28</v>
      </c>
      <c r="N9" s="67" t="n">
        <v>355.28</v>
      </c>
      <c r="O9" s="67" t="n">
        <v>69.95</v>
      </c>
      <c r="P9" s="67" t="n">
        <v>92.4</v>
      </c>
      <c r="Q9" s="67" t="n">
        <v>47.83</v>
      </c>
      <c r="R9" s="67" t="n">
        <v>32.73</v>
      </c>
      <c r="S9" s="67" t="n">
        <v>54.23</v>
      </c>
      <c r="T9" s="67" t="n">
        <v>23.7</v>
      </c>
      <c r="U9" s="67" t="n">
        <v>19.99</v>
      </c>
      <c r="V9" s="67" t="n">
        <v>224.1</v>
      </c>
      <c r="W9" s="67" t="n">
        <v>90.96</v>
      </c>
      <c r="X9" s="67"/>
      <c r="Y9" s="67" t="n">
        <v>40.62</v>
      </c>
      <c r="Z9" s="67" t="n">
        <v>83.56</v>
      </c>
      <c r="AA9" s="67" t="n">
        <v>39.79</v>
      </c>
      <c r="AB9" s="67" t="n">
        <v>189.52</v>
      </c>
    </row>
    <row r="10" customFormat="false" ht="15" hidden="false" customHeight="true" outlineLevel="0" collapsed="false">
      <c r="A10" s="70" t="n">
        <v>45233</v>
      </c>
      <c r="B10" s="67" t="n">
        <v>563.66</v>
      </c>
      <c r="C10" s="67" t="n">
        <v>53.12</v>
      </c>
      <c r="D10" s="67" t="n">
        <v>628.24</v>
      </c>
      <c r="E10" s="67" t="n">
        <v>85.45</v>
      </c>
      <c r="F10" s="67" t="n">
        <v>47.06</v>
      </c>
      <c r="G10" s="67" t="n">
        <v>48.79</v>
      </c>
      <c r="H10" s="67" t="n">
        <v>71.9</v>
      </c>
      <c r="I10" s="67" t="n">
        <v>44.87</v>
      </c>
      <c r="J10" s="67" t="n">
        <v>96.74</v>
      </c>
      <c r="K10" s="67" t="n">
        <v>18.89</v>
      </c>
      <c r="L10" s="67" t="n">
        <v>88.19</v>
      </c>
      <c r="M10" s="67" t="n">
        <v>40.28</v>
      </c>
      <c r="N10" s="67" t="n">
        <v>376.2</v>
      </c>
      <c r="O10" s="67" t="n">
        <v>74.96</v>
      </c>
      <c r="P10" s="67" t="n">
        <v>97.82</v>
      </c>
      <c r="Q10" s="67" t="n">
        <v>49.76</v>
      </c>
      <c r="R10" s="67" t="n">
        <v>34.61</v>
      </c>
      <c r="S10" s="67" t="n">
        <v>57.4</v>
      </c>
      <c r="T10" s="67" t="n">
        <v>25.09</v>
      </c>
      <c r="U10" s="67" t="n">
        <v>20.99</v>
      </c>
      <c r="V10" s="67" t="n">
        <v>238.11</v>
      </c>
      <c r="W10" s="67" t="n">
        <v>95.67</v>
      </c>
      <c r="X10" s="67"/>
      <c r="Y10" s="67" t="n">
        <v>42.55</v>
      </c>
      <c r="Z10" s="67" t="n">
        <v>85.58</v>
      </c>
      <c r="AA10" s="67" t="n">
        <v>43.24</v>
      </c>
      <c r="AB10" s="67" t="n">
        <v>194.59</v>
      </c>
    </row>
    <row r="11" customFormat="false" ht="15" hidden="false" customHeight="true" outlineLevel="0" collapsed="false">
      <c r="A11" s="70" t="n">
        <v>45240</v>
      </c>
      <c r="B11" s="67" t="n">
        <v>597.22</v>
      </c>
      <c r="C11" s="67" t="n">
        <v>51.71</v>
      </c>
      <c r="D11" s="67" t="n">
        <v>646.7</v>
      </c>
      <c r="E11" s="67" t="n">
        <v>92.69</v>
      </c>
      <c r="F11" s="67" t="n">
        <v>49.08</v>
      </c>
      <c r="G11" s="67" t="n">
        <v>52.17</v>
      </c>
      <c r="H11" s="67" t="n">
        <v>74.65</v>
      </c>
      <c r="I11" s="67" t="n">
        <v>48.19</v>
      </c>
      <c r="J11" s="67" t="n">
        <v>94.93</v>
      </c>
      <c r="K11" s="67" t="n">
        <v>19.67</v>
      </c>
      <c r="L11" s="67" t="n">
        <v>93.62</v>
      </c>
      <c r="M11" s="67" t="n">
        <v>41.67</v>
      </c>
      <c r="N11" s="67" t="n">
        <v>373.65</v>
      </c>
      <c r="O11" s="67" t="n">
        <v>72.4</v>
      </c>
      <c r="P11" s="67" t="n">
        <v>95.61</v>
      </c>
      <c r="Q11" s="67" t="n">
        <v>50.26</v>
      </c>
      <c r="R11" s="67" t="n">
        <v>35.33</v>
      </c>
      <c r="S11" s="67" t="n">
        <v>59.09</v>
      </c>
      <c r="T11" s="67" t="n">
        <v>24.93</v>
      </c>
      <c r="U11" s="67" t="n">
        <v>20.75</v>
      </c>
      <c r="V11" s="67" t="n">
        <v>240.23</v>
      </c>
      <c r="W11" s="67" t="n">
        <v>94.59</v>
      </c>
      <c r="X11" s="67"/>
      <c r="Y11" s="67" t="n">
        <v>42.72</v>
      </c>
      <c r="Z11" s="67" t="n">
        <v>90.57</v>
      </c>
      <c r="AA11" s="67" t="n">
        <v>44.72</v>
      </c>
      <c r="AB11" s="67" t="n">
        <v>165.08</v>
      </c>
    </row>
    <row r="12" customFormat="false" ht="15" hidden="false" customHeight="true" outlineLevel="0" collapsed="false">
      <c r="A12" s="70" t="n">
        <v>45247</v>
      </c>
      <c r="B12" s="67" t="n">
        <v>602.66</v>
      </c>
      <c r="C12" s="67" t="n">
        <v>53.66</v>
      </c>
      <c r="D12" s="67" t="n">
        <v>670.96</v>
      </c>
      <c r="E12" s="67" t="n">
        <v>94.65</v>
      </c>
      <c r="F12" s="67" t="n">
        <v>51.77</v>
      </c>
      <c r="G12" s="67" t="n">
        <v>53.32</v>
      </c>
      <c r="H12" s="67" t="n">
        <v>76.83</v>
      </c>
      <c r="I12" s="67" t="n">
        <v>49.15</v>
      </c>
      <c r="J12" s="67" t="n">
        <v>99.94</v>
      </c>
      <c r="K12" s="67" t="n">
        <v>20.49</v>
      </c>
      <c r="L12" s="67" t="n">
        <v>95.68</v>
      </c>
      <c r="M12" s="67" t="n">
        <v>43.12</v>
      </c>
      <c r="N12" s="67" t="n">
        <v>350.5</v>
      </c>
      <c r="O12" s="67" t="n">
        <v>76.42</v>
      </c>
      <c r="P12" s="67" t="n">
        <v>99</v>
      </c>
      <c r="Q12" s="67" t="n">
        <v>50.91</v>
      </c>
      <c r="R12" s="67" t="n">
        <v>35.66</v>
      </c>
      <c r="S12" s="67" t="n">
        <v>60.37</v>
      </c>
      <c r="T12" s="67" t="n">
        <v>25.57</v>
      </c>
      <c r="U12" s="67" t="n">
        <v>21.25</v>
      </c>
      <c r="V12" s="67" t="n">
        <v>244.45</v>
      </c>
      <c r="W12" s="67" t="n">
        <v>97.01</v>
      </c>
      <c r="X12" s="67"/>
      <c r="Y12" s="67" t="n">
        <v>43.09</v>
      </c>
      <c r="Z12" s="67" t="n">
        <v>94.23</v>
      </c>
      <c r="AA12" s="67" t="n">
        <v>46.59</v>
      </c>
      <c r="AB12" s="67" t="n">
        <v>176.54</v>
      </c>
    </row>
    <row r="13" customFormat="false" ht="15" hidden="false" customHeight="true" outlineLevel="0" collapsed="false">
      <c r="A13" s="70" t="n">
        <v>45254</v>
      </c>
      <c r="B13" s="67" t="n">
        <v>619.43</v>
      </c>
      <c r="C13" s="67" t="n">
        <v>54.6</v>
      </c>
      <c r="D13" s="67" t="n">
        <v>675.94</v>
      </c>
      <c r="E13" s="67" t="n">
        <v>94.76</v>
      </c>
      <c r="F13" s="67" t="n">
        <v>52.67</v>
      </c>
      <c r="G13" s="67" t="n">
        <v>54.41</v>
      </c>
      <c r="H13" s="67" t="n">
        <v>76.15</v>
      </c>
      <c r="I13" s="67" t="n">
        <v>47.63</v>
      </c>
      <c r="J13" s="67" t="n">
        <v>101.69</v>
      </c>
      <c r="K13" s="67" t="n">
        <v>19.2</v>
      </c>
      <c r="L13" s="67" t="n">
        <v>94</v>
      </c>
      <c r="M13" s="67" t="n">
        <v>42.52</v>
      </c>
      <c r="N13" s="67" t="n">
        <v>353.04</v>
      </c>
      <c r="O13" s="67" t="n">
        <v>76.43</v>
      </c>
      <c r="P13" s="67" t="n">
        <v>99.35</v>
      </c>
      <c r="Q13" s="67" t="n">
        <v>51.13</v>
      </c>
      <c r="R13" s="67" t="n">
        <v>35.85</v>
      </c>
      <c r="S13" s="67" t="n">
        <v>60.7</v>
      </c>
      <c r="T13" s="67" t="n">
        <v>25.75</v>
      </c>
      <c r="U13" s="67" t="n">
        <v>21.45</v>
      </c>
      <c r="V13" s="67" t="n">
        <v>249.1</v>
      </c>
      <c r="W13" s="67" t="n">
        <v>97.69</v>
      </c>
      <c r="X13" s="67"/>
      <c r="Y13" s="67" t="n">
        <v>43.42</v>
      </c>
      <c r="Z13" s="67" t="n">
        <v>94.27</v>
      </c>
      <c r="AA13" s="67" t="n">
        <v>47.96</v>
      </c>
      <c r="AB13" s="67" t="n">
        <v>176.57</v>
      </c>
    </row>
    <row r="14" customFormat="false" ht="15" hidden="false" customHeight="true" outlineLevel="0" collapsed="false">
      <c r="A14" s="70" t="n">
        <v>45261</v>
      </c>
      <c r="B14" s="67" t="n">
        <v>612.47</v>
      </c>
      <c r="C14" s="67" t="n">
        <v>54.16</v>
      </c>
      <c r="D14" s="67" t="n">
        <v>676.94</v>
      </c>
      <c r="E14" s="67" t="n">
        <v>90.03</v>
      </c>
      <c r="F14" s="67" t="n">
        <v>58.76</v>
      </c>
      <c r="G14" s="67" t="n">
        <v>53.76</v>
      </c>
      <c r="H14" s="67" t="n">
        <v>75.22</v>
      </c>
      <c r="I14" s="67" t="n">
        <v>46.63</v>
      </c>
      <c r="J14" s="67" t="n">
        <v>107.37</v>
      </c>
      <c r="K14" s="67" t="n">
        <v>20.27</v>
      </c>
      <c r="L14" s="67" t="n">
        <v>94.69</v>
      </c>
      <c r="M14" s="67" t="n">
        <v>44.97</v>
      </c>
      <c r="N14" s="67" t="n">
        <v>351.16</v>
      </c>
      <c r="O14" s="67" t="n">
        <v>78.99</v>
      </c>
      <c r="P14" s="67" t="n">
        <v>102.26</v>
      </c>
      <c r="Q14" s="67" t="n">
        <v>51.18</v>
      </c>
      <c r="R14" s="67" t="n">
        <v>35.92</v>
      </c>
      <c r="S14" s="67" t="n">
        <v>60.57</v>
      </c>
      <c r="T14" s="67" t="n">
        <v>26.1</v>
      </c>
      <c r="U14" s="67" t="n">
        <v>21.85</v>
      </c>
      <c r="V14" s="67" t="n">
        <v>251.2</v>
      </c>
      <c r="W14" s="67" t="n">
        <v>99.38</v>
      </c>
      <c r="X14" s="67"/>
      <c r="Y14" s="67" t="n">
        <v>43.62</v>
      </c>
      <c r="Z14" s="67" t="n">
        <v>96.25</v>
      </c>
      <c r="AA14" s="67" t="n">
        <v>46.57</v>
      </c>
      <c r="AB14" s="67" t="n">
        <v>178.84</v>
      </c>
    </row>
    <row r="15" customFormat="false" ht="15" hidden="false" customHeight="true" outlineLevel="0" collapsed="false">
      <c r="A15" s="70" t="n">
        <v>45268</v>
      </c>
      <c r="B15" s="67" t="n">
        <v>610.01</v>
      </c>
      <c r="C15" s="67" t="n">
        <v>56.01</v>
      </c>
      <c r="D15" s="67" t="n">
        <v>681.07</v>
      </c>
      <c r="E15" s="67" t="n">
        <v>91.41</v>
      </c>
      <c r="F15" s="67" t="n">
        <v>60.64</v>
      </c>
      <c r="G15" s="67" t="n">
        <v>52.33</v>
      </c>
      <c r="H15" s="67" t="n">
        <v>74.26</v>
      </c>
      <c r="I15" s="67" t="n">
        <v>47.37</v>
      </c>
      <c r="J15" s="67" t="n">
        <v>108.82</v>
      </c>
      <c r="K15" s="67" t="n">
        <v>17.77</v>
      </c>
      <c r="L15" s="67" t="n">
        <v>96.42</v>
      </c>
      <c r="M15" s="67" t="n">
        <v>46.98</v>
      </c>
      <c r="N15" s="67" t="n">
        <v>350.15</v>
      </c>
      <c r="O15" s="67" t="n">
        <v>79.65</v>
      </c>
      <c r="P15" s="67" t="n">
        <v>102.48</v>
      </c>
      <c r="Q15" s="67" t="n">
        <v>51.37</v>
      </c>
      <c r="R15" s="67" t="n">
        <v>36.18</v>
      </c>
      <c r="S15" s="67" t="n">
        <v>60.79</v>
      </c>
      <c r="T15" s="67" t="n">
        <v>26.33</v>
      </c>
      <c r="U15" s="67" t="n">
        <v>21.89</v>
      </c>
      <c r="V15" s="67" t="n">
        <v>250.51</v>
      </c>
      <c r="W15" s="67" t="n">
        <v>99.15</v>
      </c>
      <c r="X15" s="67"/>
      <c r="Y15" s="67" t="n">
        <v>43.49</v>
      </c>
      <c r="Z15" s="67" t="n">
        <v>94.75</v>
      </c>
      <c r="AA15" s="67" t="n">
        <v>45.38</v>
      </c>
      <c r="AB15" s="67" t="n">
        <v>172.71</v>
      </c>
    </row>
    <row r="16" customFormat="false" ht="15" hidden="false" customHeight="true" outlineLevel="0" collapsed="false">
      <c r="A16" s="70" t="n">
        <v>45275</v>
      </c>
      <c r="B16" s="67" t="n">
        <v>584.68</v>
      </c>
      <c r="C16" s="67" t="n">
        <v>58.9</v>
      </c>
      <c r="D16" s="67" t="n">
        <v>736.36</v>
      </c>
      <c r="E16" s="67" t="n">
        <v>109.37</v>
      </c>
      <c r="F16" s="67" t="n">
        <v>65.02</v>
      </c>
      <c r="G16" s="67" t="n">
        <v>57.29</v>
      </c>
      <c r="H16" s="67" t="n">
        <v>80.64</v>
      </c>
      <c r="I16" s="67" t="n">
        <v>48.75</v>
      </c>
      <c r="J16" s="67" t="n">
        <v>122.68</v>
      </c>
      <c r="K16" s="67" t="n">
        <v>18.2</v>
      </c>
      <c r="L16" s="67" t="n">
        <v>98.99</v>
      </c>
      <c r="M16" s="67" t="n">
        <v>47.57</v>
      </c>
      <c r="N16" s="67" t="n">
        <v>410.68</v>
      </c>
      <c r="O16" s="67" t="n">
        <v>84.02</v>
      </c>
      <c r="P16" s="67" t="n">
        <v>105.54</v>
      </c>
      <c r="Q16" s="67" t="n">
        <v>51.84</v>
      </c>
      <c r="R16" s="67" t="n">
        <v>36.73</v>
      </c>
      <c r="S16" s="67" t="n">
        <v>62.87</v>
      </c>
      <c r="T16" s="67" t="n">
        <v>27.06</v>
      </c>
      <c r="U16" s="67" t="n">
        <v>22.77</v>
      </c>
      <c r="V16" s="67" t="n">
        <v>252.75</v>
      </c>
      <c r="W16" s="67" t="n">
        <v>102.56</v>
      </c>
      <c r="X16" s="67"/>
      <c r="Y16" s="67" t="n">
        <v>44.02</v>
      </c>
      <c r="Z16" s="67" t="n">
        <v>96.83</v>
      </c>
      <c r="AA16" s="67" t="n">
        <v>47.21</v>
      </c>
      <c r="AB16" s="67" t="n">
        <v>180.67</v>
      </c>
    </row>
    <row r="17" customFormat="false" ht="15" hidden="false" customHeight="true" outlineLevel="0" collapsed="false">
      <c r="A17" s="70" t="n">
        <v>45282</v>
      </c>
      <c r="B17" s="67" t="n">
        <v>598.75</v>
      </c>
      <c r="C17" s="67" t="n">
        <v>59.56</v>
      </c>
      <c r="D17" s="67" t="n">
        <v>735.94</v>
      </c>
      <c r="E17" s="67" t="n">
        <v>109.11</v>
      </c>
      <c r="F17" s="67" t="n">
        <v>63.91</v>
      </c>
      <c r="G17" s="67" t="n">
        <v>57.05</v>
      </c>
      <c r="H17" s="67" t="n">
        <v>85.68</v>
      </c>
      <c r="I17" s="67" t="n">
        <v>48.69</v>
      </c>
      <c r="J17" s="67" t="n">
        <v>120.98</v>
      </c>
      <c r="K17" s="67" t="n">
        <v>17.41</v>
      </c>
      <c r="L17" s="67" t="n">
        <v>99.57</v>
      </c>
      <c r="M17" s="67" t="n">
        <v>48.62</v>
      </c>
      <c r="N17" s="67" t="n">
        <v>405.25</v>
      </c>
      <c r="O17" s="67" t="n">
        <v>86.35</v>
      </c>
      <c r="P17" s="67" t="n">
        <v>105.82</v>
      </c>
      <c r="Q17" s="67" t="n">
        <v>51.9</v>
      </c>
      <c r="R17" s="67" t="n">
        <v>36.84</v>
      </c>
      <c r="S17" s="67" t="n">
        <v>63.81</v>
      </c>
      <c r="T17" s="67" t="n">
        <v>27.39</v>
      </c>
      <c r="U17" s="67" t="n">
        <v>22.89</v>
      </c>
      <c r="V17" s="67" t="n">
        <v>253.14</v>
      </c>
      <c r="W17" s="67" t="n">
        <v>103.26</v>
      </c>
      <c r="X17" s="67"/>
      <c r="Y17" s="67" t="n">
        <v>44.08</v>
      </c>
      <c r="Z17" s="67" t="n">
        <v>99.55</v>
      </c>
      <c r="AA17" s="67" t="n">
        <v>48.68</v>
      </c>
      <c r="AB17" s="67" t="n">
        <v>190.85</v>
      </c>
    </row>
    <row r="18" customFormat="false" ht="15" hidden="false" customHeight="true" outlineLevel="0" collapsed="false">
      <c r="A18" s="70" t="n">
        <v>45289</v>
      </c>
      <c r="B18" s="67" t="n">
        <v>596.6</v>
      </c>
      <c r="C18" s="67" t="n">
        <v>58.88</v>
      </c>
      <c r="D18" s="67" t="n">
        <v>740.23</v>
      </c>
      <c r="E18" s="67" t="n">
        <v>108.56</v>
      </c>
      <c r="F18" s="67" t="n">
        <v>63.83</v>
      </c>
      <c r="G18" s="67" t="n">
        <v>56.92</v>
      </c>
      <c r="H18" s="67" t="n">
        <v>84.65</v>
      </c>
      <c r="I18" s="67" t="n">
        <v>49.38</v>
      </c>
      <c r="J18" s="67" t="n">
        <v>121.8</v>
      </c>
      <c r="K18" s="67" t="n">
        <v>17.17</v>
      </c>
      <c r="L18" s="67" t="n">
        <v>100.4</v>
      </c>
      <c r="M18" s="67" t="n">
        <v>47.87</v>
      </c>
      <c r="N18" s="67" t="n">
        <v>406.89</v>
      </c>
      <c r="O18" s="67" t="n">
        <v>86.03</v>
      </c>
      <c r="P18" s="67" t="n">
        <v>106.25</v>
      </c>
      <c r="Q18" s="67" t="n">
        <v>51.99</v>
      </c>
      <c r="R18" s="67" t="n">
        <v>36.96</v>
      </c>
      <c r="S18" s="67" t="n">
        <v>64.26</v>
      </c>
      <c r="T18" s="67" t="n">
        <v>27.33</v>
      </c>
      <c r="U18" s="67" t="n">
        <v>22.98</v>
      </c>
      <c r="V18" s="67" t="n">
        <v>255.02</v>
      </c>
      <c r="W18" s="67" t="n">
        <v>103.89</v>
      </c>
      <c r="X18" s="67"/>
      <c r="Y18" s="67" t="n">
        <v>44.31</v>
      </c>
      <c r="Z18" s="67" t="n">
        <v>100.35</v>
      </c>
      <c r="AA18" s="67" t="n">
        <v>48.69</v>
      </c>
      <c r="AB18" s="67" t="n">
        <v>192.52</v>
      </c>
    </row>
    <row r="19" customFormat="false" ht="15" hidden="false" customHeight="true" outlineLevel="0" collapsed="false">
      <c r="A19" s="70" t="n">
        <v>45296</v>
      </c>
      <c r="B19" s="67" t="n">
        <v>564.6</v>
      </c>
      <c r="C19" s="67" t="n">
        <v>57.73</v>
      </c>
      <c r="D19" s="67" t="n">
        <v>687.83</v>
      </c>
      <c r="E19" s="67" t="n">
        <v>102.04</v>
      </c>
      <c r="F19" s="67" t="n">
        <v>61.87</v>
      </c>
      <c r="G19" s="67" t="n">
        <v>53.3</v>
      </c>
      <c r="H19" s="67" t="n">
        <v>82.78</v>
      </c>
      <c r="I19" s="67" t="n">
        <v>48.96</v>
      </c>
      <c r="J19" s="67" t="n">
        <v>119.3</v>
      </c>
      <c r="K19" s="67" t="n">
        <v>15.98</v>
      </c>
      <c r="L19" s="67" t="n">
        <v>96.16</v>
      </c>
      <c r="M19" s="67" t="n">
        <v>46.16</v>
      </c>
      <c r="N19" s="67" t="n">
        <v>416.5</v>
      </c>
      <c r="O19" s="67" t="n">
        <v>83.8</v>
      </c>
      <c r="P19" s="67" t="n">
        <v>107</v>
      </c>
      <c r="Q19" s="67" t="n">
        <v>51.76</v>
      </c>
      <c r="R19" s="67" t="n">
        <v>36.38</v>
      </c>
      <c r="S19" s="67" t="n">
        <v>63.6</v>
      </c>
      <c r="T19" s="67" t="n">
        <v>27.35</v>
      </c>
      <c r="U19" s="67" t="n">
        <v>23.05</v>
      </c>
      <c r="V19" s="67" t="n">
        <v>254.38</v>
      </c>
      <c r="W19" s="67" t="n">
        <v>104.12</v>
      </c>
      <c r="X19" s="67"/>
      <c r="Y19" s="67" t="n">
        <v>44.12</v>
      </c>
      <c r="Z19" s="67" t="n">
        <v>99.29</v>
      </c>
      <c r="AA19" s="67" t="n">
        <v>47.41</v>
      </c>
      <c r="AB19" s="67" t="n">
        <v>185.69</v>
      </c>
    </row>
    <row r="20" customFormat="false" ht="15" hidden="false" customHeight="true" outlineLevel="0" collapsed="false">
      <c r="A20" s="70" t="n">
        <v>45303</v>
      </c>
      <c r="B20" s="67" t="n">
        <v>596.54</v>
      </c>
      <c r="C20" s="67" t="n">
        <v>63.01</v>
      </c>
      <c r="D20" s="67" t="n">
        <v>697.49</v>
      </c>
      <c r="E20" s="67" t="n">
        <v>107.72</v>
      </c>
      <c r="F20" s="67" t="n">
        <v>70.84</v>
      </c>
      <c r="G20" s="67" t="n">
        <v>54.89</v>
      </c>
      <c r="H20" s="67" t="n">
        <v>81.72</v>
      </c>
      <c r="I20" s="67" t="n">
        <v>54.55</v>
      </c>
      <c r="J20" s="67" t="n">
        <v>120.2</v>
      </c>
      <c r="K20" s="67" t="n">
        <v>16.76</v>
      </c>
      <c r="L20" s="67" t="n">
        <v>97.73</v>
      </c>
      <c r="M20" s="67" t="n">
        <v>49.36</v>
      </c>
      <c r="N20" s="67" t="n">
        <v>433.4</v>
      </c>
      <c r="O20" s="67" t="n">
        <v>82.85</v>
      </c>
      <c r="P20" s="67" t="n">
        <v>105.52</v>
      </c>
      <c r="Q20" s="67" t="n">
        <v>52.27</v>
      </c>
      <c r="R20" s="67" t="n">
        <v>37.38</v>
      </c>
      <c r="S20" s="67" t="n">
        <v>65.57</v>
      </c>
      <c r="T20" s="67" t="n">
        <v>27.29</v>
      </c>
      <c r="U20" s="67" t="n">
        <v>23.02</v>
      </c>
      <c r="V20" s="67" t="n">
        <v>258.76</v>
      </c>
      <c r="W20" s="67" t="n">
        <v>103.76</v>
      </c>
      <c r="X20" s="67"/>
      <c r="Y20" s="67" t="n">
        <v>44.57</v>
      </c>
      <c r="Z20" s="67" t="n">
        <v>102.05</v>
      </c>
      <c r="AA20" s="67" t="n">
        <v>49.22</v>
      </c>
      <c r="AB20" s="67" t="n">
        <v>208.69</v>
      </c>
    </row>
    <row r="21" customFormat="false" ht="15" hidden="false" customHeight="true" outlineLevel="0" collapsed="false">
      <c r="A21" s="70" t="n">
        <v>45310</v>
      </c>
      <c r="B21" s="67" t="n">
        <v>611.55</v>
      </c>
      <c r="C21" s="67" t="n">
        <v>65.88</v>
      </c>
      <c r="D21" s="67" t="n">
        <v>741.12</v>
      </c>
      <c r="E21" s="67" t="n">
        <v>117.79</v>
      </c>
      <c r="F21" s="67" t="n">
        <v>72.64</v>
      </c>
      <c r="G21" s="67" t="n">
        <v>60.02</v>
      </c>
      <c r="H21" s="67" t="n">
        <v>86.8</v>
      </c>
      <c r="I21" s="67" t="n">
        <v>59.32</v>
      </c>
      <c r="J21" s="67" t="n">
        <v>117.36</v>
      </c>
      <c r="K21" s="67" t="n">
        <v>16.78</v>
      </c>
      <c r="L21" s="67" t="n">
        <v>110.24</v>
      </c>
      <c r="M21" s="67" t="n">
        <v>53.49</v>
      </c>
      <c r="N21" s="67" t="n">
        <v>435.02</v>
      </c>
      <c r="O21" s="67" t="n">
        <v>83.1</v>
      </c>
      <c r="P21" s="67" t="n">
        <v>104.13</v>
      </c>
      <c r="Q21" s="67" t="n">
        <v>52.58</v>
      </c>
      <c r="R21" s="67" t="n">
        <v>38.04</v>
      </c>
      <c r="S21" s="67" t="n">
        <v>66.96</v>
      </c>
      <c r="T21" s="67" t="n">
        <v>27.03</v>
      </c>
      <c r="U21" s="67" t="n">
        <v>23.12</v>
      </c>
      <c r="V21" s="67" t="n">
        <v>265.36</v>
      </c>
      <c r="W21" s="67" t="n">
        <v>103.89</v>
      </c>
      <c r="X21" s="67"/>
      <c r="Y21" s="67" t="n">
        <v>44.7</v>
      </c>
      <c r="Z21" s="67" t="n">
        <v>102.06</v>
      </c>
      <c r="AA21" s="67" t="n">
        <v>48.29</v>
      </c>
      <c r="AB21" s="67" t="n">
        <v>207.15</v>
      </c>
    </row>
    <row r="22" customFormat="false" ht="15" hidden="false" customHeight="true" outlineLevel="0" collapsed="false">
      <c r="A22" s="70" t="n">
        <v>45317</v>
      </c>
      <c r="B22" s="67" t="n">
        <v>613.93</v>
      </c>
      <c r="C22" s="67" t="n">
        <v>66.1</v>
      </c>
      <c r="D22" s="67" t="n">
        <v>848.61</v>
      </c>
      <c r="E22" s="67" t="n">
        <v>117.18</v>
      </c>
      <c r="F22" s="67" t="n">
        <v>72.58</v>
      </c>
      <c r="G22" s="67" t="n">
        <v>58.69</v>
      </c>
      <c r="H22" s="67" t="n">
        <v>87.34</v>
      </c>
      <c r="I22" s="67" t="n">
        <v>60.85</v>
      </c>
      <c r="J22" s="67" t="n">
        <v>115.93</v>
      </c>
      <c r="K22" s="67" t="n">
        <v>16.35</v>
      </c>
      <c r="L22" s="67" t="n">
        <v>113.2</v>
      </c>
      <c r="M22" s="67" t="n">
        <v>53.28</v>
      </c>
      <c r="N22" s="67" t="n">
        <v>430.17</v>
      </c>
      <c r="O22" s="67" t="n">
        <v>85.06</v>
      </c>
      <c r="P22" s="67" t="n">
        <v>105.77</v>
      </c>
      <c r="Q22" s="67" t="n">
        <v>52.91</v>
      </c>
      <c r="R22" s="67" t="n">
        <v>38.34</v>
      </c>
      <c r="S22" s="67" t="n">
        <v>68.04</v>
      </c>
      <c r="T22" s="67" t="n">
        <v>27.25</v>
      </c>
      <c r="U22" s="67" t="n">
        <v>23.25</v>
      </c>
      <c r="V22" s="67" t="n">
        <v>262.46</v>
      </c>
      <c r="W22" s="67" t="n">
        <v>105.16</v>
      </c>
      <c r="X22" s="67"/>
      <c r="Y22" s="67" t="n">
        <v>45.08</v>
      </c>
      <c r="Z22" s="67" t="n">
        <v>103.15</v>
      </c>
      <c r="AA22" s="67" t="n">
        <v>57.04</v>
      </c>
      <c r="AB22" s="67" t="n">
        <v>208.73</v>
      </c>
    </row>
    <row r="23" customFormat="false" ht="15" hidden="false" customHeight="true" outlineLevel="0" collapsed="false">
      <c r="A23" s="70" t="n">
        <v>45324</v>
      </c>
      <c r="B23" s="67" t="n">
        <v>634.76</v>
      </c>
      <c r="C23" s="67" t="n">
        <v>68.28</v>
      </c>
      <c r="D23" s="67" t="n">
        <v>871.02</v>
      </c>
      <c r="E23" s="67" t="n">
        <v>119.07</v>
      </c>
      <c r="F23" s="67" t="n">
        <v>75.89</v>
      </c>
      <c r="G23" s="67" t="n">
        <v>59.17</v>
      </c>
      <c r="H23" s="67" t="n">
        <v>85.78</v>
      </c>
      <c r="I23" s="67" t="n">
        <v>65.97</v>
      </c>
      <c r="J23" s="67" t="n">
        <v>118.1</v>
      </c>
      <c r="K23" s="67" t="n">
        <v>17.02</v>
      </c>
      <c r="L23" s="67" t="n">
        <v>111.74</v>
      </c>
      <c r="M23" s="67" t="n">
        <v>61.27</v>
      </c>
      <c r="N23" s="67" t="n">
        <v>424.68</v>
      </c>
      <c r="O23" s="67" t="n">
        <v>83.47</v>
      </c>
      <c r="P23" s="67" t="n">
        <v>104.41</v>
      </c>
      <c r="Q23" s="67" t="n">
        <v>53.66</v>
      </c>
      <c r="R23" s="67" t="n">
        <v>38.71</v>
      </c>
      <c r="S23" s="67" t="n">
        <v>71.15</v>
      </c>
      <c r="T23" s="67" t="n">
        <v>27.51</v>
      </c>
      <c r="U23" s="67" t="n">
        <v>23.24</v>
      </c>
      <c r="V23" s="67" t="n">
        <v>271.51</v>
      </c>
      <c r="W23" s="67" t="n">
        <v>105.29</v>
      </c>
      <c r="X23" s="67"/>
      <c r="Y23" s="67" t="n">
        <v>45.53</v>
      </c>
      <c r="Z23" s="67" t="n">
        <v>107.35</v>
      </c>
      <c r="AA23" s="67" t="n">
        <v>56.46</v>
      </c>
      <c r="AB23" s="67" t="n">
        <v>206.8</v>
      </c>
    </row>
    <row r="24" customFormat="false" ht="15" hidden="false" customHeight="true" outlineLevel="0" collapsed="false">
      <c r="A24" s="70" t="n">
        <v>45331</v>
      </c>
      <c r="B24" s="67" t="n">
        <v>627.21</v>
      </c>
      <c r="C24" s="67" t="n">
        <v>70.61</v>
      </c>
      <c r="D24" s="67" t="n">
        <v>930.29</v>
      </c>
      <c r="E24" s="67" t="n">
        <v>124.82</v>
      </c>
      <c r="F24" s="67" t="n">
        <v>82.33</v>
      </c>
      <c r="G24" s="67" t="n">
        <v>63.63</v>
      </c>
      <c r="H24" s="67" t="n">
        <v>84.87</v>
      </c>
      <c r="I24" s="67" t="n">
        <v>71.92</v>
      </c>
      <c r="J24" s="67" t="n">
        <v>121.05</v>
      </c>
      <c r="K24" s="67" t="n">
        <v>24.38</v>
      </c>
      <c r="L24" s="67" t="n">
        <v>128.5</v>
      </c>
      <c r="M24" s="67" t="n">
        <v>63.31</v>
      </c>
      <c r="N24" s="67" t="n">
        <v>422.91</v>
      </c>
      <c r="O24" s="67" t="n">
        <v>84.22</v>
      </c>
      <c r="P24" s="67" t="n">
        <v>103.48</v>
      </c>
      <c r="Q24" s="67" t="n">
        <v>53.89</v>
      </c>
      <c r="R24" s="67" t="n">
        <v>39.12</v>
      </c>
      <c r="S24" s="67" t="n">
        <v>72.85</v>
      </c>
      <c r="T24" s="67" t="n">
        <v>27.65</v>
      </c>
      <c r="U24" s="67" t="n">
        <v>23.18</v>
      </c>
      <c r="V24" s="67" t="n">
        <v>271.28</v>
      </c>
      <c r="W24" s="67" t="n">
        <v>105.06</v>
      </c>
      <c r="X24" s="67"/>
      <c r="Y24" s="67" t="n">
        <v>45.5</v>
      </c>
      <c r="Z24" s="67" t="n">
        <v>109.51</v>
      </c>
      <c r="AA24" s="67" t="n">
        <v>56.13</v>
      </c>
      <c r="AB24" s="67" t="n">
        <v>216.76</v>
      </c>
    </row>
    <row r="25" customFormat="false" ht="15" hidden="false" customHeight="true" outlineLevel="0" collapsed="false">
      <c r="A25" s="70" t="n">
        <v>45338</v>
      </c>
      <c r="B25" s="67" t="n">
        <v>546.66</v>
      </c>
      <c r="C25" s="67" t="n">
        <v>65.44</v>
      </c>
      <c r="D25" s="67" t="n">
        <v>910.05</v>
      </c>
      <c r="E25" s="67" t="n">
        <v>121.12</v>
      </c>
      <c r="F25" s="67" t="n">
        <v>82.31</v>
      </c>
      <c r="G25" s="67" t="n">
        <v>64.9</v>
      </c>
      <c r="H25" s="67" t="n">
        <v>78.86</v>
      </c>
      <c r="I25" s="67" t="n">
        <v>72.4</v>
      </c>
      <c r="J25" s="67" t="n">
        <v>121.88</v>
      </c>
      <c r="K25" s="67" t="n">
        <v>24.44</v>
      </c>
      <c r="L25" s="67" t="n">
        <v>122.3</v>
      </c>
      <c r="M25" s="67" t="n">
        <v>62.76</v>
      </c>
      <c r="N25" s="67" t="n">
        <v>422.2</v>
      </c>
      <c r="O25" s="67" t="n">
        <v>84.82</v>
      </c>
      <c r="P25" s="67" t="n">
        <v>104.69</v>
      </c>
      <c r="Q25" s="67" t="n">
        <v>53.59</v>
      </c>
      <c r="R25" s="67" t="n">
        <v>38.99</v>
      </c>
      <c r="S25" s="67" t="n">
        <v>73.46</v>
      </c>
      <c r="T25" s="67" t="n">
        <v>27.88</v>
      </c>
      <c r="U25" s="67" t="n">
        <v>23.24</v>
      </c>
      <c r="V25" s="67" t="n">
        <v>273.37</v>
      </c>
      <c r="W25" s="67" t="n">
        <v>106.04</v>
      </c>
      <c r="X25" s="67"/>
      <c r="Y25" s="67" t="n">
        <v>45.56</v>
      </c>
      <c r="Z25" s="67" t="n">
        <v>117.27</v>
      </c>
      <c r="AA25" s="67" t="n">
        <v>58.4</v>
      </c>
      <c r="AB25" s="67" t="n">
        <v>219.35</v>
      </c>
    </row>
    <row r="26" customFormat="false" ht="15" hidden="false" customHeight="true" outlineLevel="0" collapsed="false">
      <c r="A26" s="70" t="n">
        <v>45345</v>
      </c>
      <c r="B26" s="67" t="n">
        <v>553.44</v>
      </c>
      <c r="C26" s="67" t="n">
        <v>66.92</v>
      </c>
      <c r="D26" s="67" t="n">
        <v>914.27</v>
      </c>
      <c r="E26" s="67" t="n">
        <v>126.07</v>
      </c>
      <c r="F26" s="67" t="n">
        <v>77.87</v>
      </c>
      <c r="G26" s="67" t="n">
        <v>65.63</v>
      </c>
      <c r="H26" s="67" t="n">
        <v>85.31</v>
      </c>
      <c r="I26" s="67" t="n">
        <v>78.59</v>
      </c>
      <c r="J26" s="67" t="n">
        <v>121.72</v>
      </c>
      <c r="K26" s="67" t="n">
        <v>22.97</v>
      </c>
      <c r="L26" s="67" t="n">
        <v>125.04</v>
      </c>
      <c r="M26" s="67" t="n">
        <v>62.49</v>
      </c>
      <c r="N26" s="67" t="n">
        <v>430.11</v>
      </c>
      <c r="O26" s="67" t="n">
        <v>84.54</v>
      </c>
      <c r="P26" s="67" t="n">
        <v>105.57</v>
      </c>
      <c r="Q26" s="67" t="n">
        <v>54</v>
      </c>
      <c r="R26" s="67" t="n">
        <v>39.48</v>
      </c>
      <c r="S26" s="67" t="n">
        <v>75.1</v>
      </c>
      <c r="T26" s="67" t="n">
        <v>28.49</v>
      </c>
      <c r="U26" s="67" t="n">
        <v>23.51</v>
      </c>
      <c r="V26" s="67" t="n">
        <v>278.31</v>
      </c>
      <c r="W26" s="67" t="n">
        <v>107.55</v>
      </c>
      <c r="X26" s="67"/>
      <c r="Y26" s="67" t="n">
        <v>46.09</v>
      </c>
      <c r="Z26" s="67" t="n">
        <v>120.55</v>
      </c>
      <c r="AA26" s="67" t="n">
        <v>58.36</v>
      </c>
      <c r="AB26" s="67" t="n">
        <v>221.64</v>
      </c>
    </row>
    <row r="27" customFormat="false" ht="15" hidden="false" customHeight="true" outlineLevel="0" collapsed="false">
      <c r="A27" s="70" t="n">
        <v>45352</v>
      </c>
      <c r="B27" s="67" t="n">
        <v>570.93</v>
      </c>
      <c r="C27" s="67" t="n">
        <v>71.93</v>
      </c>
      <c r="D27" s="67" t="n">
        <v>970.78</v>
      </c>
      <c r="E27" s="67" t="n">
        <v>136.07</v>
      </c>
      <c r="F27" s="67" t="n">
        <v>78.65</v>
      </c>
      <c r="G27" s="67" t="n">
        <v>70.42</v>
      </c>
      <c r="H27" s="67" t="n">
        <v>94.38</v>
      </c>
      <c r="I27" s="67" t="n">
        <v>82.04</v>
      </c>
      <c r="J27" s="67" t="n">
        <v>122.99</v>
      </c>
      <c r="K27" s="67" t="n">
        <v>24.93</v>
      </c>
      <c r="L27" s="67" t="n">
        <v>129.26</v>
      </c>
      <c r="M27" s="67" t="n">
        <v>70.34</v>
      </c>
      <c r="N27" s="67" t="n">
        <v>432.76</v>
      </c>
      <c r="O27" s="67" t="n">
        <v>85.87</v>
      </c>
      <c r="P27" s="67" t="n">
        <v>105.59</v>
      </c>
      <c r="Q27" s="67" t="n">
        <v>54.34</v>
      </c>
      <c r="R27" s="67" t="n">
        <v>39.98</v>
      </c>
      <c r="S27" s="67" t="n">
        <v>77.21</v>
      </c>
      <c r="T27" s="67" t="n">
        <v>29.11</v>
      </c>
      <c r="U27" s="67" t="n">
        <v>23.59</v>
      </c>
      <c r="V27" s="67" t="n">
        <v>277.88</v>
      </c>
      <c r="W27" s="67" t="n">
        <v>108.11</v>
      </c>
      <c r="X27" s="67"/>
      <c r="Y27" s="67" t="n">
        <v>46.28</v>
      </c>
      <c r="Z27" s="67" t="n">
        <v>124.74</v>
      </c>
      <c r="AA27" s="67" t="n">
        <v>61.93</v>
      </c>
      <c r="AB27" s="67" t="n">
        <v>222.01</v>
      </c>
    </row>
    <row r="28" customFormat="false" ht="15" hidden="false" customHeight="true" outlineLevel="0" collapsed="false">
      <c r="A28" s="70" t="n">
        <v>45359</v>
      </c>
      <c r="B28" s="67" t="n">
        <v>551.69</v>
      </c>
      <c r="C28" s="67" t="n">
        <v>68.28</v>
      </c>
      <c r="D28" s="67" t="n">
        <v>974.11</v>
      </c>
      <c r="E28" s="67" t="n">
        <v>127.27</v>
      </c>
      <c r="F28" s="67" t="n">
        <v>80.71</v>
      </c>
      <c r="G28" s="67" t="n">
        <v>68.62</v>
      </c>
      <c r="H28" s="67" t="n">
        <v>96.83</v>
      </c>
      <c r="I28" s="67" t="n">
        <v>87.28</v>
      </c>
      <c r="J28" s="67" t="n">
        <v>123.42</v>
      </c>
      <c r="K28" s="67" t="n">
        <v>26.04</v>
      </c>
      <c r="L28" s="67" t="n">
        <v>141.3</v>
      </c>
      <c r="M28" s="67" t="n">
        <v>69.14</v>
      </c>
      <c r="N28" s="67" t="n">
        <v>413.59</v>
      </c>
      <c r="O28" s="67" t="n">
        <v>85.97</v>
      </c>
      <c r="P28" s="67" t="n">
        <v>108.41</v>
      </c>
      <c r="Q28" s="67" t="n">
        <v>54.37</v>
      </c>
      <c r="R28" s="67" t="n">
        <v>39.92</v>
      </c>
      <c r="S28" s="67" t="n">
        <v>77.51</v>
      </c>
      <c r="T28" s="67" t="n">
        <v>29.69</v>
      </c>
      <c r="U28" s="67" t="n">
        <v>23.67</v>
      </c>
      <c r="V28" s="67" t="n">
        <v>274.82</v>
      </c>
      <c r="W28" s="67" t="n">
        <v>109.2</v>
      </c>
      <c r="X28" s="67"/>
      <c r="Y28" s="67" t="n">
        <v>46.51</v>
      </c>
      <c r="Z28" s="67" t="n">
        <v>132.06</v>
      </c>
      <c r="AA28" s="67" t="n">
        <v>60.48</v>
      </c>
      <c r="AB28" s="67" t="n">
        <v>227.79</v>
      </c>
    </row>
    <row r="29" customFormat="false" ht="15" hidden="false" customHeight="true" outlineLevel="0" collapsed="false">
      <c r="A29" s="70" t="n">
        <v>45366</v>
      </c>
      <c r="B29" s="67" t="n">
        <v>492.46</v>
      </c>
      <c r="C29" s="67" t="n">
        <v>69.43</v>
      </c>
      <c r="D29" s="67" t="n">
        <v>921.09</v>
      </c>
      <c r="E29" s="67" t="n">
        <v>120.15</v>
      </c>
      <c r="F29" s="67" t="n">
        <v>78.91</v>
      </c>
      <c r="G29" s="67" t="n">
        <v>67.11</v>
      </c>
      <c r="H29" s="67" t="n">
        <v>92.5</v>
      </c>
      <c r="I29" s="67" t="n">
        <v>87.59</v>
      </c>
      <c r="J29" s="67" t="n">
        <v>118.76</v>
      </c>
      <c r="K29" s="67" t="n">
        <v>23.49</v>
      </c>
      <c r="L29" s="67" t="n">
        <v>132.23</v>
      </c>
      <c r="M29" s="67" t="n">
        <v>73.91</v>
      </c>
      <c r="N29" s="67" t="n">
        <v>407.69</v>
      </c>
      <c r="O29" s="67" t="n">
        <v>85.24</v>
      </c>
      <c r="P29" s="67" t="n">
        <v>108.06</v>
      </c>
      <c r="Q29" s="67" t="n">
        <v>54.38</v>
      </c>
      <c r="R29" s="67" t="n">
        <v>39.71</v>
      </c>
      <c r="S29" s="67" t="n">
        <v>77.11</v>
      </c>
      <c r="T29" s="67" t="n">
        <v>30.15</v>
      </c>
      <c r="U29" s="67" t="n">
        <v>23.71</v>
      </c>
      <c r="V29" s="67" t="n">
        <v>277.76</v>
      </c>
      <c r="W29" s="67" t="n">
        <v>109.43</v>
      </c>
      <c r="X29" s="67"/>
      <c r="Y29" s="67" t="n">
        <v>46.41</v>
      </c>
      <c r="Z29" s="67" t="n">
        <v>132.79</v>
      </c>
      <c r="AA29" s="67" t="n">
        <v>60.59</v>
      </c>
      <c r="AB29" s="67" t="n">
        <v>226.98</v>
      </c>
    </row>
    <row r="30" customFormat="false" ht="15" hidden="false" customHeight="true" outlineLevel="0" collapsed="false">
      <c r="A30" s="70" t="n">
        <v>45373</v>
      </c>
      <c r="B30" s="67" t="n">
        <v>499.52</v>
      </c>
      <c r="C30" s="67" t="n">
        <v>76.61</v>
      </c>
      <c r="D30" s="67" t="n">
        <v>960.03</v>
      </c>
      <c r="E30" s="67" t="n">
        <v>132.19</v>
      </c>
      <c r="F30" s="67" t="n">
        <v>81.89</v>
      </c>
      <c r="G30" s="67" t="n">
        <v>69.73</v>
      </c>
      <c r="H30" s="67" t="n">
        <v>109.32</v>
      </c>
      <c r="I30" s="67" t="n">
        <v>94.02</v>
      </c>
      <c r="J30" s="67" t="n">
        <v>118.4</v>
      </c>
      <c r="K30" s="67" t="n">
        <v>24.18</v>
      </c>
      <c r="L30" s="67" t="n">
        <v>136.22</v>
      </c>
      <c r="M30" s="67" t="n">
        <v>82.25</v>
      </c>
      <c r="N30" s="67" t="n">
        <v>415.66</v>
      </c>
      <c r="O30" s="67" t="n">
        <v>87.57</v>
      </c>
      <c r="P30" s="67" t="n">
        <v>109.81</v>
      </c>
      <c r="Q30" s="67" t="n">
        <v>55.04</v>
      </c>
      <c r="R30" s="67" t="n">
        <v>40.73</v>
      </c>
      <c r="S30" s="67" t="n">
        <v>79.43</v>
      </c>
      <c r="T30" s="67" t="n">
        <v>30.88</v>
      </c>
      <c r="U30" s="67" t="n">
        <v>24.15</v>
      </c>
      <c r="V30" s="67" t="n">
        <v>277.98</v>
      </c>
      <c r="W30" s="67" t="n">
        <v>111.45</v>
      </c>
      <c r="X30" s="67"/>
      <c r="Y30" s="67" t="n">
        <v>46.81</v>
      </c>
      <c r="Z30" s="67" t="n">
        <v>137.71</v>
      </c>
      <c r="AA30" s="67" t="n">
        <v>62.8</v>
      </c>
      <c r="AB30" s="67" t="n">
        <v>230.42</v>
      </c>
    </row>
    <row r="31" customFormat="false" ht="15" hidden="false" customHeight="true" outlineLevel="0" collapsed="false">
      <c r="A31" s="70" t="n">
        <v>45380</v>
      </c>
      <c r="B31" s="67" t="n">
        <v>504.6</v>
      </c>
      <c r="C31" s="67" t="n">
        <v>72.5</v>
      </c>
      <c r="D31" s="67" t="n">
        <v>950.73</v>
      </c>
      <c r="E31" s="67" t="n">
        <v>129.45</v>
      </c>
      <c r="F31" s="67" t="n">
        <v>80.15</v>
      </c>
      <c r="G31" s="67" t="n">
        <v>68.55</v>
      </c>
      <c r="H31" s="67" t="n">
        <v>117.05</v>
      </c>
      <c r="I31" s="67" t="n">
        <v>90.1</v>
      </c>
      <c r="J31" s="67" t="n">
        <v>119.87</v>
      </c>
      <c r="K31" s="67" t="n">
        <v>23.01</v>
      </c>
      <c r="L31" s="67" t="n">
        <v>131.87</v>
      </c>
      <c r="M31" s="67" t="n">
        <v>81.43</v>
      </c>
      <c r="N31" s="67" t="n">
        <v>418.01</v>
      </c>
      <c r="O31" s="67" t="n">
        <v>90.08</v>
      </c>
      <c r="P31" s="67" t="n">
        <v>112.58</v>
      </c>
      <c r="Q31" s="67" t="n">
        <v>55.08</v>
      </c>
      <c r="R31" s="67" t="n">
        <v>40.71</v>
      </c>
      <c r="S31" s="67" t="n">
        <v>78.83</v>
      </c>
      <c r="T31" s="67" t="n">
        <v>31.36</v>
      </c>
      <c r="U31" s="67" t="n">
        <v>24.53</v>
      </c>
      <c r="V31" s="67" t="n">
        <v>273.88</v>
      </c>
      <c r="W31" s="67" t="n">
        <v>113.24</v>
      </c>
      <c r="X31" s="67"/>
      <c r="Y31" s="67" t="n">
        <v>47.13</v>
      </c>
      <c r="Z31" s="67" t="n">
        <v>138.01</v>
      </c>
      <c r="AA31" s="67" t="n">
        <v>60.73</v>
      </c>
      <c r="AB31" s="67" t="n">
        <v>231.69</v>
      </c>
    </row>
    <row r="32" customFormat="false" ht="15" hidden="false" customHeight="true" outlineLevel="0" collapsed="false">
      <c r="A32" s="70" t="n">
        <v>45387</v>
      </c>
      <c r="B32" s="67" t="n">
        <v>485.12</v>
      </c>
      <c r="C32" s="67" t="n">
        <v>74.4</v>
      </c>
      <c r="D32" s="67" t="n">
        <v>959.63</v>
      </c>
      <c r="E32" s="67" t="n">
        <v>130.82</v>
      </c>
      <c r="F32" s="67" t="n">
        <v>78.88</v>
      </c>
      <c r="G32" s="67" t="n">
        <v>67.01</v>
      </c>
      <c r="H32" s="67" t="n">
        <v>122.7</v>
      </c>
      <c r="I32" s="67" t="n">
        <v>87.76</v>
      </c>
      <c r="J32" s="67" t="n">
        <v>114.82</v>
      </c>
      <c r="K32" s="67" t="n">
        <v>22.96</v>
      </c>
      <c r="L32" s="67" t="n">
        <v>137.01</v>
      </c>
      <c r="M32" s="67" t="n">
        <v>85.09</v>
      </c>
      <c r="N32" s="67" t="n">
        <v>406.67</v>
      </c>
      <c r="O32" s="67" t="n">
        <v>88.14</v>
      </c>
      <c r="P32" s="67" t="n">
        <v>110.58</v>
      </c>
      <c r="Q32" s="67" t="n">
        <v>54.87</v>
      </c>
      <c r="R32" s="67" t="n">
        <v>40.54</v>
      </c>
      <c r="S32" s="67" t="n">
        <v>79.06</v>
      </c>
      <c r="T32" s="67" t="n">
        <v>31.28</v>
      </c>
      <c r="U32" s="67" t="n">
        <v>24.03</v>
      </c>
      <c r="V32" s="67" t="n">
        <v>271.97</v>
      </c>
      <c r="W32" s="67" t="n">
        <v>111.62</v>
      </c>
      <c r="X32" s="67"/>
      <c r="Y32" s="67" t="n">
        <v>46.77</v>
      </c>
      <c r="Z32" s="67" t="n">
        <v>153.98</v>
      </c>
      <c r="AA32" s="67" t="n">
        <v>63.62</v>
      </c>
      <c r="AB32" s="67" t="n">
        <v>214.73</v>
      </c>
    </row>
    <row r="33" customFormat="false" ht="15" hidden="false" customHeight="true" outlineLevel="0" collapsed="false">
      <c r="A33" s="70" t="n">
        <v>45394</v>
      </c>
      <c r="B33" s="67" t="n">
        <v>474.09</v>
      </c>
      <c r="C33" s="67" t="n">
        <v>67.81</v>
      </c>
      <c r="D33" s="67" t="n">
        <v>942.28</v>
      </c>
      <c r="E33" s="67" t="n">
        <v>131.27</v>
      </c>
      <c r="F33" s="67" t="n">
        <v>77.26</v>
      </c>
      <c r="G33" s="67" t="n">
        <v>66.81</v>
      </c>
      <c r="H33" s="67" t="n">
        <v>121.65</v>
      </c>
      <c r="I33" s="67" t="n">
        <v>87.94</v>
      </c>
      <c r="J33" s="67" t="n">
        <v>109.54</v>
      </c>
      <c r="K33" s="67" t="n">
        <v>22.67</v>
      </c>
      <c r="L33" s="67" t="n">
        <v>138.14</v>
      </c>
      <c r="M33" s="67" t="n">
        <v>83.64</v>
      </c>
      <c r="N33" s="67" t="n">
        <v>396.55</v>
      </c>
      <c r="O33" s="67" t="n">
        <v>85.42</v>
      </c>
      <c r="P33" s="67" t="n">
        <v>107.42</v>
      </c>
      <c r="Q33" s="67" t="n">
        <v>54.52</v>
      </c>
      <c r="R33" s="67" t="n">
        <v>40.4</v>
      </c>
      <c r="S33" s="67" t="n">
        <v>77.95</v>
      </c>
      <c r="T33" s="67" t="n">
        <v>30.48</v>
      </c>
      <c r="U33" s="67" t="n">
        <v>23.36</v>
      </c>
      <c r="V33" s="67" t="n">
        <v>270.82</v>
      </c>
      <c r="W33" s="67" t="n">
        <v>108.66</v>
      </c>
      <c r="X33" s="67"/>
      <c r="Y33" s="67" t="n">
        <v>46.05</v>
      </c>
      <c r="Z33" s="67" t="n">
        <v>152.6</v>
      </c>
      <c r="AA33" s="67" t="n">
        <v>62.28</v>
      </c>
      <c r="AB33" s="67" t="n">
        <v>206.74</v>
      </c>
    </row>
    <row r="34" customFormat="false" ht="15" hidden="false" customHeight="true" outlineLevel="0" collapsed="false">
      <c r="A34" s="70" t="n">
        <v>45401</v>
      </c>
      <c r="B34" s="67" t="n">
        <v>465.02</v>
      </c>
      <c r="C34" s="67" t="n">
        <v>61.52</v>
      </c>
      <c r="D34" s="67" t="n">
        <v>842.06</v>
      </c>
      <c r="E34" s="67" t="n">
        <v>117.66</v>
      </c>
      <c r="F34" s="67" t="n">
        <v>70.66</v>
      </c>
      <c r="G34" s="67" t="n">
        <v>61.64</v>
      </c>
      <c r="H34" s="67" t="n">
        <v>106.01</v>
      </c>
      <c r="I34" s="67" t="n">
        <v>75.98</v>
      </c>
      <c r="J34" s="67" t="n">
        <v>95.26</v>
      </c>
      <c r="K34" s="67" t="n">
        <v>20.47</v>
      </c>
      <c r="L34" s="67" t="n">
        <v>123.77</v>
      </c>
      <c r="M34" s="67" t="n">
        <v>74.79</v>
      </c>
      <c r="N34" s="67" t="n">
        <v>394.28</v>
      </c>
      <c r="O34" s="67" t="n">
        <v>84.65</v>
      </c>
      <c r="P34" s="67" t="n">
        <v>108.48</v>
      </c>
      <c r="Q34" s="67" t="n">
        <v>53.46</v>
      </c>
      <c r="R34" s="67" t="n">
        <v>38.46</v>
      </c>
      <c r="S34" s="67" t="n">
        <v>73.52</v>
      </c>
      <c r="T34" s="67" t="n">
        <v>29.94</v>
      </c>
      <c r="U34" s="67" t="n">
        <v>23.32</v>
      </c>
      <c r="V34" s="67" t="n">
        <v>264.75</v>
      </c>
      <c r="W34" s="67" t="n">
        <v>108.51</v>
      </c>
      <c r="X34" s="67"/>
      <c r="Y34" s="67" t="n">
        <v>45.44</v>
      </c>
      <c r="Z34" s="67" t="n">
        <v>146.12</v>
      </c>
      <c r="AA34" s="67" t="n">
        <v>55.5</v>
      </c>
      <c r="AB34" s="67" t="n">
        <v>198.38</v>
      </c>
    </row>
    <row r="35" customFormat="false" ht="15" hidden="false" customHeight="true" outlineLevel="0" collapsed="false">
      <c r="A35" s="70" t="n">
        <v>45408</v>
      </c>
      <c r="B35" s="67" t="n">
        <v>477.56</v>
      </c>
      <c r="C35" s="67" t="n">
        <v>66.18</v>
      </c>
      <c r="D35" s="67" t="n">
        <v>902.15</v>
      </c>
      <c r="E35" s="67" t="n">
        <v>131.27</v>
      </c>
      <c r="F35" s="67" t="n">
        <v>76.02</v>
      </c>
      <c r="G35" s="67" t="n">
        <v>69.31</v>
      </c>
      <c r="H35" s="67" t="n">
        <v>114.02</v>
      </c>
      <c r="I35" s="67" t="n">
        <v>87.49</v>
      </c>
      <c r="J35" s="67" t="n">
        <v>95.79</v>
      </c>
      <c r="K35" s="67" t="n">
        <v>22.52</v>
      </c>
      <c r="L35" s="67" t="n">
        <v>134.05</v>
      </c>
      <c r="M35" s="67" t="n">
        <v>93.21</v>
      </c>
      <c r="N35" s="67" t="n">
        <v>397.48</v>
      </c>
      <c r="O35" s="67" t="n">
        <v>86.75</v>
      </c>
      <c r="P35" s="67" t="n">
        <v>109.47</v>
      </c>
      <c r="Q35" s="67" t="n">
        <v>54.56</v>
      </c>
      <c r="R35" s="67" t="n">
        <v>39.84</v>
      </c>
      <c r="S35" s="67" t="n">
        <v>75.73</v>
      </c>
      <c r="T35" s="67" t="n">
        <v>30.31</v>
      </c>
      <c r="U35" s="67" t="n">
        <v>23.57</v>
      </c>
      <c r="V35" s="67" t="n">
        <v>269.4</v>
      </c>
      <c r="W35" s="67" t="n">
        <v>109.85</v>
      </c>
      <c r="X35" s="67"/>
      <c r="Y35" s="67" t="n">
        <v>46.12</v>
      </c>
      <c r="Z35" s="67" t="n">
        <v>160.22</v>
      </c>
      <c r="AA35" s="67" t="n">
        <v>56.12</v>
      </c>
      <c r="AB35" s="67" t="n">
        <v>200.91</v>
      </c>
    </row>
    <row r="36" customFormat="false" ht="15" hidden="false" customHeight="true" outlineLevel="0" collapsed="false">
      <c r="A36" s="70" t="n">
        <v>45415</v>
      </c>
      <c r="B36" s="67" t="n">
        <v>486.18</v>
      </c>
      <c r="C36" s="67" t="n">
        <v>68.6</v>
      </c>
      <c r="D36" s="67" t="n">
        <v>885.13</v>
      </c>
      <c r="E36" s="67" t="n">
        <v>124.83</v>
      </c>
      <c r="F36" s="67" t="n">
        <v>77.55</v>
      </c>
      <c r="G36" s="67" t="n">
        <v>68.36</v>
      </c>
      <c r="H36" s="67" t="n">
        <v>113.88</v>
      </c>
      <c r="I36" s="67" t="n">
        <v>88.54</v>
      </c>
      <c r="J36" s="67" t="n">
        <v>97.47</v>
      </c>
      <c r="K36" s="67" t="n">
        <v>23.33</v>
      </c>
      <c r="L36" s="67" t="n">
        <v>137.21</v>
      </c>
      <c r="M36" s="67" t="n">
        <v>92.73</v>
      </c>
      <c r="N36" s="67" t="n">
        <v>401.08</v>
      </c>
      <c r="O36" s="67" t="n">
        <v>87.34</v>
      </c>
      <c r="P36" s="67" t="n">
        <v>110.81</v>
      </c>
      <c r="Q36" s="67" t="n">
        <v>54.79</v>
      </c>
      <c r="R36" s="67" t="n">
        <v>40.24</v>
      </c>
      <c r="S36" s="67" t="n">
        <v>76.47</v>
      </c>
      <c r="T36" s="67" t="n">
        <v>29.84</v>
      </c>
      <c r="U36" s="67" t="n">
        <v>23.72</v>
      </c>
      <c r="V36" s="67" t="n">
        <v>263.49</v>
      </c>
      <c r="W36" s="67" t="n">
        <v>109.62</v>
      </c>
      <c r="X36" s="67"/>
      <c r="Y36" s="67" t="n">
        <v>46.21</v>
      </c>
      <c r="Z36" s="67" t="n">
        <v>161.96</v>
      </c>
      <c r="AA36" s="67" t="n">
        <v>57.93</v>
      </c>
      <c r="AB36" s="67" t="n">
        <v>203.45</v>
      </c>
    </row>
    <row r="37" customFormat="false" ht="15" hidden="false" customHeight="true" outlineLevel="0" collapsed="false">
      <c r="A37" s="70" t="n">
        <v>45422</v>
      </c>
      <c r="B37" s="67" t="n">
        <v>482.29</v>
      </c>
      <c r="C37" s="67" t="n">
        <v>78.51</v>
      </c>
      <c r="D37" s="67" t="n">
        <v>913.26</v>
      </c>
      <c r="E37" s="67" t="n">
        <v>130.17</v>
      </c>
      <c r="F37" s="67" t="n">
        <v>80.19</v>
      </c>
      <c r="G37" s="67" t="n">
        <v>70.49</v>
      </c>
      <c r="H37" s="67" t="n">
        <v>120.38</v>
      </c>
      <c r="I37" s="67" t="n">
        <v>89.62</v>
      </c>
      <c r="J37" s="67" t="n">
        <v>98.95</v>
      </c>
      <c r="K37" s="67" t="n">
        <v>20.6</v>
      </c>
      <c r="L37" s="67" t="n">
        <v>144.67</v>
      </c>
      <c r="M37" s="67" t="n">
        <v>95.12</v>
      </c>
      <c r="N37" s="67" t="n">
        <v>422.78</v>
      </c>
      <c r="O37" s="67" t="n">
        <v>88.85</v>
      </c>
      <c r="P37" s="67" t="n">
        <v>113.55</v>
      </c>
      <c r="Q37" s="67" t="n">
        <v>55.64</v>
      </c>
      <c r="R37" s="67" t="n">
        <v>40.8</v>
      </c>
      <c r="S37" s="67" t="n">
        <v>78.17</v>
      </c>
      <c r="T37" s="67" t="n">
        <v>30.51</v>
      </c>
      <c r="U37" s="67" t="n">
        <v>24.12</v>
      </c>
      <c r="V37" s="67" t="n">
        <v>275.51</v>
      </c>
      <c r="W37" s="67" t="n">
        <v>112.19</v>
      </c>
      <c r="X37" s="67"/>
      <c r="Y37" s="67" t="n">
        <v>47.07</v>
      </c>
      <c r="Z37" s="67" t="n">
        <v>161.24</v>
      </c>
      <c r="AA37" s="67" t="n">
        <v>61.09</v>
      </c>
      <c r="AB37" s="67" t="n">
        <v>203.78</v>
      </c>
    </row>
    <row r="38" customFormat="false" ht="15" hidden="false" customHeight="true" outlineLevel="0" collapsed="false">
      <c r="A38" s="70" t="n">
        <v>45429</v>
      </c>
      <c r="B38" s="67" t="n">
        <v>483.43</v>
      </c>
      <c r="C38" s="67" t="n">
        <v>79.97</v>
      </c>
      <c r="D38" s="67" t="n">
        <v>908.04</v>
      </c>
      <c r="E38" s="67" t="n">
        <v>136.27</v>
      </c>
      <c r="F38" s="67" t="n">
        <v>86.48</v>
      </c>
      <c r="G38" s="67" t="n">
        <v>73.52</v>
      </c>
      <c r="H38" s="67" t="n">
        <v>124.4</v>
      </c>
      <c r="I38" s="67" t="n">
        <v>92.22</v>
      </c>
      <c r="J38" s="67" t="n">
        <v>102.64</v>
      </c>
      <c r="K38" s="67" t="n">
        <v>21.76</v>
      </c>
      <c r="L38" s="67" t="n">
        <v>147.02</v>
      </c>
      <c r="M38" s="67" t="n">
        <v>96.52</v>
      </c>
      <c r="N38" s="67" t="n">
        <v>445.21</v>
      </c>
      <c r="O38" s="67" t="n">
        <v>89.83</v>
      </c>
      <c r="P38" s="67" t="n">
        <v>114.93</v>
      </c>
      <c r="Q38" s="67" t="n">
        <v>56.24</v>
      </c>
      <c r="R38" s="67" t="n">
        <v>41.29</v>
      </c>
      <c r="S38" s="67" t="n">
        <v>79.35</v>
      </c>
      <c r="T38" s="67" t="n">
        <v>30.8</v>
      </c>
      <c r="U38" s="67" t="n">
        <v>24.36</v>
      </c>
      <c r="V38" s="67" t="n">
        <v>275.39</v>
      </c>
      <c r="W38" s="67" t="n">
        <v>113.72</v>
      </c>
      <c r="X38" s="67"/>
      <c r="Y38" s="67" t="n">
        <v>47.3</v>
      </c>
      <c r="Z38" s="67" t="n">
        <v>157.8</v>
      </c>
      <c r="AA38" s="67" t="n">
        <v>62.11</v>
      </c>
      <c r="AB38" s="67" t="n">
        <v>210.27</v>
      </c>
    </row>
    <row r="39" customFormat="false" ht="15" hidden="false" customHeight="true" outlineLevel="0" collapsed="false">
      <c r="A39" s="70" t="n">
        <v>45436</v>
      </c>
      <c r="B39" s="67" t="n">
        <v>475.43</v>
      </c>
      <c r="C39" s="67" t="n">
        <v>76.64</v>
      </c>
      <c r="D39" s="67" t="n">
        <v>938.72</v>
      </c>
      <c r="E39" s="67" t="n">
        <v>137.5</v>
      </c>
      <c r="F39" s="67" t="n">
        <v>87.87</v>
      </c>
      <c r="G39" s="67" t="n">
        <v>76.61</v>
      </c>
      <c r="H39" s="67" t="n">
        <v>128.57</v>
      </c>
      <c r="I39" s="67" t="n">
        <v>106.17</v>
      </c>
      <c r="J39" s="67" t="n">
        <v>96.42</v>
      </c>
      <c r="K39" s="67" t="n">
        <v>21.01</v>
      </c>
      <c r="L39" s="67" t="n">
        <v>155.08</v>
      </c>
      <c r="M39" s="67" t="n">
        <v>105.85</v>
      </c>
      <c r="N39" s="67" t="n">
        <v>456.95</v>
      </c>
      <c r="O39" s="67" t="n">
        <v>88.5</v>
      </c>
      <c r="P39" s="67" t="n">
        <v>112.58</v>
      </c>
      <c r="Q39" s="67" t="n">
        <v>56.3</v>
      </c>
      <c r="R39" s="67" t="n">
        <v>41.48</v>
      </c>
      <c r="S39" s="67" t="n">
        <v>80.9</v>
      </c>
      <c r="T39" s="67" t="n">
        <v>30.27</v>
      </c>
      <c r="U39" s="67" t="n">
        <v>23.76</v>
      </c>
      <c r="V39" s="67" t="n">
        <v>269.87</v>
      </c>
      <c r="W39" s="67" t="n">
        <v>111.73</v>
      </c>
      <c r="X39" s="67"/>
      <c r="Y39" s="67" t="n">
        <v>46.92</v>
      </c>
      <c r="Z39" s="67" t="n">
        <v>165.14</v>
      </c>
      <c r="AA39" s="67" t="n">
        <v>64.68</v>
      </c>
      <c r="AB39" s="67" t="n">
        <v>203.89</v>
      </c>
    </row>
    <row r="40" customFormat="false" ht="15" hidden="false" customHeight="true" outlineLevel="0" collapsed="false">
      <c r="A40" s="70" t="n">
        <v>45443</v>
      </c>
      <c r="B40" s="67" t="n">
        <v>444.76</v>
      </c>
      <c r="C40" s="67" t="n">
        <v>74.41</v>
      </c>
      <c r="D40" s="67" t="n">
        <v>942.77</v>
      </c>
      <c r="E40" s="67" t="n">
        <v>129.75</v>
      </c>
      <c r="F40" s="67" t="n">
        <v>78.42</v>
      </c>
      <c r="G40" s="67" t="n">
        <v>74.69</v>
      </c>
      <c r="H40" s="67" t="n">
        <v>124.11</v>
      </c>
      <c r="I40" s="67" t="n">
        <v>109.32</v>
      </c>
      <c r="J40" s="67" t="n">
        <v>101.71</v>
      </c>
      <c r="K40" s="67" t="n">
        <v>21.68</v>
      </c>
      <c r="L40" s="67" t="n">
        <v>146.4</v>
      </c>
      <c r="M40" s="67" t="n">
        <v>97.78</v>
      </c>
      <c r="N40" s="67" t="n">
        <v>455.34</v>
      </c>
      <c r="O40" s="67" t="n">
        <v>89.45</v>
      </c>
      <c r="P40" s="67" t="n">
        <v>113.76</v>
      </c>
      <c r="Q40" s="67" t="n">
        <v>56.15</v>
      </c>
      <c r="R40" s="67" t="n">
        <v>41.34</v>
      </c>
      <c r="S40" s="67" t="n">
        <v>80.01</v>
      </c>
      <c r="T40" s="67" t="n">
        <v>30.62</v>
      </c>
      <c r="U40" s="67" t="n">
        <v>23.9</v>
      </c>
      <c r="V40" s="67" t="n">
        <v>267.88</v>
      </c>
      <c r="W40" s="67" t="n">
        <v>112.31</v>
      </c>
      <c r="X40" s="67"/>
      <c r="Y40" s="67" t="n">
        <v>46.84</v>
      </c>
      <c r="Z40" s="67" t="n">
        <v>162.98</v>
      </c>
      <c r="AA40" s="67" t="n">
        <v>64.16</v>
      </c>
      <c r="AB40" s="67" t="n">
        <v>174.25</v>
      </c>
    </row>
    <row r="41" customFormat="false" ht="15" hidden="false" customHeight="true" outlineLevel="0" collapsed="false">
      <c r="A41" s="70" t="n">
        <v>45450</v>
      </c>
      <c r="B41" s="67" t="n">
        <v>465.43</v>
      </c>
      <c r="C41" s="67" t="n">
        <v>74.2</v>
      </c>
      <c r="D41" s="67" t="n">
        <v>1009.6</v>
      </c>
      <c r="E41" s="67" t="n">
        <v>137.38</v>
      </c>
      <c r="F41" s="67" t="n">
        <v>87.28</v>
      </c>
      <c r="G41" s="67" t="n">
        <v>75.61</v>
      </c>
      <c r="H41" s="67" t="n">
        <v>130.01</v>
      </c>
      <c r="I41" s="67" t="n">
        <v>120.54</v>
      </c>
      <c r="J41" s="67" t="n">
        <v>101.44</v>
      </c>
      <c r="K41" s="67" t="n">
        <v>23.31</v>
      </c>
      <c r="L41" s="67" t="n">
        <v>159.34</v>
      </c>
      <c r="M41" s="67" t="n">
        <v>87.42</v>
      </c>
      <c r="N41" s="67" t="n">
        <v>483.04</v>
      </c>
      <c r="O41" s="67" t="n">
        <v>86.4</v>
      </c>
      <c r="P41" s="67" t="n">
        <v>111.46</v>
      </c>
      <c r="Q41" s="67" t="n">
        <v>56.77</v>
      </c>
      <c r="R41" s="67" t="n">
        <v>41.92</v>
      </c>
      <c r="S41" s="67" t="n">
        <v>82.44</v>
      </c>
      <c r="T41" s="67" t="n">
        <v>29.97</v>
      </c>
      <c r="U41" s="67" t="n">
        <v>23.69</v>
      </c>
      <c r="V41" s="67" t="n">
        <v>273.98</v>
      </c>
      <c r="W41" s="67" t="n">
        <v>111.3</v>
      </c>
      <c r="X41" s="67"/>
      <c r="Y41" s="67" t="n">
        <v>46.88</v>
      </c>
      <c r="Z41" s="67" t="n">
        <v>159.8</v>
      </c>
      <c r="AA41" s="67" t="n">
        <v>64.15</v>
      </c>
      <c r="AB41" s="67" t="n">
        <v>183.14</v>
      </c>
    </row>
    <row r="42" customFormat="false" ht="15" hidden="false" customHeight="true" outlineLevel="0" collapsed="false">
      <c r="A42" s="70" t="n">
        <v>45457</v>
      </c>
      <c r="B42" s="67" t="n">
        <v>525.31</v>
      </c>
      <c r="C42" s="67" t="n">
        <v>82.12</v>
      </c>
      <c r="D42" s="67" t="n">
        <v>1009.09</v>
      </c>
      <c r="E42" s="67" t="n">
        <v>169.45</v>
      </c>
      <c r="F42" s="67" t="n">
        <v>96.36</v>
      </c>
      <c r="G42" s="67" t="n">
        <v>81.11</v>
      </c>
      <c r="H42" s="67" t="n">
        <v>140.35</v>
      </c>
      <c r="I42" s="67" t="n">
        <v>131.52</v>
      </c>
      <c r="J42" s="67" t="n">
        <v>103.36</v>
      </c>
      <c r="K42" s="67" t="n">
        <v>23.57</v>
      </c>
      <c r="L42" s="67" t="n">
        <v>167.73</v>
      </c>
      <c r="M42" s="67" t="n">
        <v>91.21</v>
      </c>
      <c r="N42" s="67" t="n">
        <v>480.73</v>
      </c>
      <c r="O42" s="67" t="n">
        <v>84.34</v>
      </c>
      <c r="P42" s="67" t="n">
        <v>109.58</v>
      </c>
      <c r="Q42" s="67" t="n">
        <v>57.29</v>
      </c>
      <c r="R42" s="67" t="n">
        <v>42.45</v>
      </c>
      <c r="S42" s="67" t="n">
        <v>85.92</v>
      </c>
      <c r="T42" s="67" t="n">
        <v>29.91</v>
      </c>
      <c r="U42" s="67" t="n">
        <v>23.36</v>
      </c>
      <c r="V42" s="67" t="n">
        <v>266.11</v>
      </c>
      <c r="W42" s="67" t="n">
        <v>110.83</v>
      </c>
      <c r="X42" s="67"/>
      <c r="Y42" s="67" t="n">
        <v>46.62</v>
      </c>
      <c r="Z42" s="67" t="n">
        <v>153.84</v>
      </c>
      <c r="AA42" s="67" t="n">
        <v>66.94</v>
      </c>
      <c r="AB42" s="67" t="n">
        <v>184.7</v>
      </c>
    </row>
    <row r="43" customFormat="false" ht="15" hidden="false" customHeight="true" outlineLevel="0" collapsed="false">
      <c r="A43" s="70" t="n">
        <v>45464</v>
      </c>
      <c r="B43" s="67" t="n">
        <v>533.44</v>
      </c>
      <c r="C43" s="67" t="n">
        <v>84.34</v>
      </c>
      <c r="D43" s="67" t="n">
        <v>1017.63</v>
      </c>
      <c r="E43" s="67" t="n">
        <v>161.99</v>
      </c>
      <c r="F43" s="67" t="n">
        <v>95.16</v>
      </c>
      <c r="G43" s="67" t="n">
        <v>80.29</v>
      </c>
      <c r="H43" s="67" t="n">
        <v>138.55</v>
      </c>
      <c r="I43" s="67" t="n">
        <v>126.22</v>
      </c>
      <c r="J43" s="67" t="n">
        <v>101.57</v>
      </c>
      <c r="K43" s="67" t="n">
        <v>23.84</v>
      </c>
      <c r="L43" s="67" t="n">
        <v>169.14</v>
      </c>
      <c r="M43" s="67" t="n">
        <v>90.38</v>
      </c>
      <c r="N43" s="67" t="n">
        <v>468.71</v>
      </c>
      <c r="O43" s="67" t="n">
        <v>85.25</v>
      </c>
      <c r="P43" s="67" t="n">
        <v>111.09</v>
      </c>
      <c r="Q43" s="67" t="n">
        <v>57.47</v>
      </c>
      <c r="R43" s="67" t="n">
        <v>42.49</v>
      </c>
      <c r="S43" s="67" t="n">
        <v>85.85</v>
      </c>
      <c r="T43" s="67" t="n">
        <v>30.2</v>
      </c>
      <c r="U43" s="67" t="n">
        <v>23.76</v>
      </c>
      <c r="V43" s="67" t="n">
        <v>270.59</v>
      </c>
      <c r="W43" s="67" t="n">
        <v>112.22</v>
      </c>
      <c r="X43" s="67"/>
      <c r="Y43" s="67" t="n">
        <v>47.03</v>
      </c>
      <c r="Z43" s="67" t="n">
        <v>162.09</v>
      </c>
      <c r="AA43" s="67" t="n">
        <v>68.61</v>
      </c>
      <c r="AB43" s="67" t="n">
        <v>184.88</v>
      </c>
    </row>
    <row r="44" customFormat="false" ht="15" hidden="false" customHeight="true" outlineLevel="0" collapsed="false">
      <c r="A44" s="70" t="n">
        <v>45471</v>
      </c>
      <c r="B44" s="67" t="n">
        <v>555.54</v>
      </c>
      <c r="C44" s="67" t="n">
        <v>87.62</v>
      </c>
      <c r="D44" s="67" t="n">
        <v>1004.01</v>
      </c>
      <c r="E44" s="67" t="n">
        <v>157.3</v>
      </c>
      <c r="F44" s="67" t="n">
        <v>95.8</v>
      </c>
      <c r="G44" s="67" t="n">
        <v>81.08</v>
      </c>
      <c r="H44" s="67" t="n">
        <v>130.59</v>
      </c>
      <c r="I44" s="67" t="n">
        <v>123.2</v>
      </c>
      <c r="J44" s="67" t="n">
        <v>104.27</v>
      </c>
      <c r="K44" s="67" t="n">
        <v>25.33</v>
      </c>
      <c r="L44" s="67" t="n">
        <v>169</v>
      </c>
      <c r="M44" s="67" t="n">
        <v>86.34</v>
      </c>
      <c r="N44" s="67" t="n">
        <v>468.72</v>
      </c>
      <c r="O44" s="67" t="n">
        <v>86.67</v>
      </c>
      <c r="P44" s="67" t="n">
        <v>111.42</v>
      </c>
      <c r="Q44" s="67" t="n">
        <v>57.71</v>
      </c>
      <c r="R44" s="67" t="n">
        <v>42.69</v>
      </c>
      <c r="S44" s="67" t="n">
        <v>86.01</v>
      </c>
      <c r="T44" s="67" t="n">
        <v>30</v>
      </c>
      <c r="U44" s="67" t="n">
        <v>23.9</v>
      </c>
      <c r="V44" s="67" t="n">
        <v>258.05</v>
      </c>
      <c r="W44" s="67" t="n">
        <v>111.95</v>
      </c>
      <c r="X44" s="67"/>
      <c r="Y44" s="67" t="n">
        <v>47.02</v>
      </c>
      <c r="Z44" s="67" t="n">
        <v>156.89</v>
      </c>
      <c r="AA44" s="67" t="n">
        <v>67.49</v>
      </c>
      <c r="AB44" s="67" t="n">
        <v>183.01</v>
      </c>
    </row>
    <row r="45" customFormat="false" ht="15" hidden="false" customHeight="true" outlineLevel="0" collapsed="false">
      <c r="A45" s="70" t="n">
        <v>45478</v>
      </c>
      <c r="B45" s="67" t="n">
        <v>578.34</v>
      </c>
      <c r="C45" s="67" t="n">
        <v>91.54</v>
      </c>
      <c r="D45" s="67" t="n">
        <v>1054.81</v>
      </c>
      <c r="E45" s="67" t="n">
        <v>166.88</v>
      </c>
      <c r="F45" s="67" t="n">
        <v>97.42</v>
      </c>
      <c r="G45" s="67" t="n">
        <v>84.1</v>
      </c>
      <c r="H45" s="67" t="n">
        <v>130.66</v>
      </c>
      <c r="I45" s="67" t="n">
        <v>125.48</v>
      </c>
      <c r="J45" s="67" t="n">
        <v>106.27</v>
      </c>
      <c r="K45" s="67" t="n">
        <v>27.23</v>
      </c>
      <c r="L45" s="67" t="n">
        <v>178.9</v>
      </c>
      <c r="M45" s="67" t="n">
        <v>91.53</v>
      </c>
      <c r="N45" s="67" t="n">
        <v>474.57</v>
      </c>
      <c r="O45" s="67" t="n">
        <v>85.24</v>
      </c>
      <c r="P45" s="67" t="n">
        <v>110.51</v>
      </c>
      <c r="Q45" s="67" t="n">
        <v>58.12</v>
      </c>
      <c r="R45" s="67" t="n">
        <v>43.31</v>
      </c>
      <c r="S45" s="67" t="n">
        <v>88.68</v>
      </c>
      <c r="T45" s="67" t="n">
        <v>29.41</v>
      </c>
      <c r="U45" s="67" t="n">
        <v>23.68</v>
      </c>
      <c r="V45" s="67" t="n">
        <v>265.81</v>
      </c>
      <c r="W45" s="67" t="n">
        <v>111.93</v>
      </c>
      <c r="X45" s="67"/>
      <c r="Y45" s="67" t="n">
        <v>47.04</v>
      </c>
      <c r="Z45" s="67" t="n">
        <v>158.4</v>
      </c>
      <c r="AA45" s="67" t="n">
        <v>69.07</v>
      </c>
      <c r="AB45" s="67" t="n">
        <v>183.46</v>
      </c>
    </row>
    <row r="46" customFormat="false" ht="15" hidden="false" customHeight="true" outlineLevel="0" collapsed="false">
      <c r="A46" s="70" t="n">
        <v>45485</v>
      </c>
      <c r="B46" s="67" t="n">
        <v>559.05</v>
      </c>
      <c r="C46" s="67" t="n">
        <v>90.47</v>
      </c>
      <c r="D46" s="67" t="n">
        <v>1065.4</v>
      </c>
      <c r="E46" s="67" t="n">
        <v>166.62</v>
      </c>
      <c r="F46" s="67" t="n">
        <v>92.83</v>
      </c>
      <c r="G46" s="67" t="n">
        <v>84.34</v>
      </c>
      <c r="H46" s="67" t="n">
        <v>132.72</v>
      </c>
      <c r="I46" s="67" t="n">
        <v>128.88</v>
      </c>
      <c r="J46" s="67" t="n">
        <v>111.55</v>
      </c>
      <c r="K46" s="67" t="n">
        <v>28.07</v>
      </c>
      <c r="L46" s="67" t="n">
        <v>182.16</v>
      </c>
      <c r="M46" s="67" t="n">
        <v>89.43</v>
      </c>
      <c r="N46" s="67" t="n">
        <v>488.74</v>
      </c>
      <c r="O46" s="67" t="n">
        <v>89.99</v>
      </c>
      <c r="P46" s="67" t="n">
        <v>115.16</v>
      </c>
      <c r="Q46" s="67" t="n">
        <v>58.32</v>
      </c>
      <c r="R46" s="67" t="n">
        <v>43.28</v>
      </c>
      <c r="S46" s="67" t="n">
        <v>88.5</v>
      </c>
      <c r="T46" s="67" t="n">
        <v>30.54</v>
      </c>
      <c r="U46" s="67" t="n">
        <v>24.48</v>
      </c>
      <c r="V46" s="67" t="n">
        <v>261.27</v>
      </c>
      <c r="W46" s="67" t="n">
        <v>114.67</v>
      </c>
      <c r="X46" s="67"/>
      <c r="Y46" s="67" t="n">
        <v>47.48</v>
      </c>
      <c r="Z46" s="67" t="n">
        <v>157.19</v>
      </c>
      <c r="AA46" s="67" t="n">
        <v>64.76</v>
      </c>
      <c r="AB46" s="67" t="n">
        <v>187.92</v>
      </c>
    </row>
    <row r="47" customFormat="false" ht="15" hidden="false" customHeight="true" outlineLevel="0" collapsed="false">
      <c r="A47" s="70" t="n">
        <v>45492</v>
      </c>
      <c r="B47" s="67" t="n">
        <v>551</v>
      </c>
      <c r="C47" s="67" t="n">
        <v>82.64</v>
      </c>
      <c r="D47" s="67" t="n">
        <v>878.98</v>
      </c>
      <c r="E47" s="67" t="n">
        <v>154.16</v>
      </c>
      <c r="F47" s="67" t="n">
        <v>76.24</v>
      </c>
      <c r="G47" s="67" t="n">
        <v>74.98</v>
      </c>
      <c r="H47" s="67" t="n">
        <v>113.55</v>
      </c>
      <c r="I47" s="67" t="n">
        <v>117.6</v>
      </c>
      <c r="J47" s="67" t="n">
        <v>114.9</v>
      </c>
      <c r="K47" s="67" t="n">
        <v>28.58</v>
      </c>
      <c r="L47" s="67" t="n">
        <v>161.18</v>
      </c>
      <c r="M47" s="67" t="n">
        <v>85.08</v>
      </c>
      <c r="N47" s="67" t="n">
        <v>491.57</v>
      </c>
      <c r="O47" s="67" t="n">
        <v>92.37</v>
      </c>
      <c r="P47" s="67" t="n">
        <v>116.79</v>
      </c>
      <c r="Q47" s="67" t="n">
        <v>57.93</v>
      </c>
      <c r="R47" s="67" t="n">
        <v>42</v>
      </c>
      <c r="S47" s="67" t="n">
        <v>84.92</v>
      </c>
      <c r="T47" s="67" t="n">
        <v>31</v>
      </c>
      <c r="U47" s="67" t="n">
        <v>24.93</v>
      </c>
      <c r="V47" s="67" t="n">
        <v>260.99</v>
      </c>
      <c r="W47" s="67" t="n">
        <v>115.57</v>
      </c>
      <c r="X47" s="67"/>
      <c r="Y47" s="67" t="n">
        <v>47.37</v>
      </c>
      <c r="Z47" s="67" t="n">
        <v>157.31</v>
      </c>
      <c r="AA47" s="67" t="n">
        <v>63.33</v>
      </c>
      <c r="AB47" s="67" t="n">
        <v>183.25</v>
      </c>
    </row>
    <row r="48" customFormat="false" ht="15" hidden="false" customHeight="true" outlineLevel="0" collapsed="false">
      <c r="A48" s="70" t="n">
        <v>45499</v>
      </c>
      <c r="B48" s="67" t="n">
        <v>542.44</v>
      </c>
      <c r="C48" s="67" t="n">
        <v>79.8</v>
      </c>
      <c r="D48" s="67" t="n">
        <v>872.13</v>
      </c>
      <c r="E48" s="67" t="n">
        <v>148.56</v>
      </c>
      <c r="F48" s="67" t="n">
        <v>64.04</v>
      </c>
      <c r="G48" s="67" t="n">
        <v>77.43</v>
      </c>
      <c r="H48" s="67" t="n">
        <v>108.73</v>
      </c>
      <c r="I48" s="67" t="n">
        <v>112.75</v>
      </c>
      <c r="J48" s="67" t="n">
        <v>113.9</v>
      </c>
      <c r="K48" s="67" t="n">
        <v>27.18</v>
      </c>
      <c r="L48" s="67" t="n">
        <v>157.46</v>
      </c>
      <c r="M48" s="67" t="n">
        <v>76.91</v>
      </c>
      <c r="N48" s="67" t="n">
        <v>495.26</v>
      </c>
      <c r="O48" s="67" t="n">
        <v>95.72</v>
      </c>
      <c r="P48" s="67" t="n">
        <v>119.26</v>
      </c>
      <c r="Q48" s="67" t="n">
        <v>57.69</v>
      </c>
      <c r="R48" s="67" t="n">
        <v>41.05</v>
      </c>
      <c r="S48" s="67" t="n">
        <v>83.32</v>
      </c>
      <c r="T48" s="67" t="n">
        <v>31.56</v>
      </c>
      <c r="U48" s="67" t="n">
        <v>25.35</v>
      </c>
      <c r="V48" s="67" t="n">
        <v>255.09</v>
      </c>
      <c r="W48" s="67" t="n">
        <v>116.6</v>
      </c>
      <c r="X48" s="67"/>
      <c r="Y48" s="67" t="n">
        <v>47.53</v>
      </c>
      <c r="Z48" s="67" t="n">
        <v>167.87</v>
      </c>
      <c r="AA48" s="67" t="n">
        <v>63.14</v>
      </c>
      <c r="AB48" s="67" t="n">
        <v>192.43</v>
      </c>
    </row>
    <row r="49" customFormat="false" ht="15" hidden="false" customHeight="true" outlineLevel="0" collapsed="false">
      <c r="A49" s="70" t="n">
        <v>45506</v>
      </c>
      <c r="B49" s="67" t="n">
        <v>526.17</v>
      </c>
      <c r="C49" s="67" t="n">
        <v>79.83</v>
      </c>
      <c r="D49" s="67" t="n">
        <v>796.01</v>
      </c>
      <c r="E49" s="67" t="n">
        <v>140.91</v>
      </c>
      <c r="F49" s="67" t="n">
        <v>54.47</v>
      </c>
      <c r="G49" s="67" t="n">
        <v>68.46</v>
      </c>
      <c r="H49" s="67" t="n">
        <v>92.12</v>
      </c>
      <c r="I49" s="67" t="n">
        <v>106.97</v>
      </c>
      <c r="J49" s="67" t="n">
        <v>115.11</v>
      </c>
      <c r="K49" s="67" t="n">
        <v>24.74</v>
      </c>
      <c r="L49" s="67" t="n">
        <v>145.71</v>
      </c>
      <c r="M49" s="67" t="n">
        <v>69.27</v>
      </c>
      <c r="N49" s="67" t="n">
        <v>494.46</v>
      </c>
      <c r="O49" s="67" t="n">
        <v>88.88</v>
      </c>
      <c r="P49" s="67" t="n">
        <v>117.54</v>
      </c>
      <c r="Q49" s="67" t="n">
        <v>57.07</v>
      </c>
      <c r="R49" s="67" t="n">
        <v>39.96</v>
      </c>
      <c r="S49" s="67" t="n">
        <v>80.84</v>
      </c>
      <c r="T49" s="67" t="n">
        <v>30.65</v>
      </c>
      <c r="U49" s="67" t="n">
        <v>24.84</v>
      </c>
      <c r="V49" s="67" t="n">
        <v>262.1</v>
      </c>
      <c r="W49" s="67" t="n">
        <v>113.85</v>
      </c>
      <c r="X49" s="67"/>
      <c r="Y49" s="67" t="n">
        <v>47.27</v>
      </c>
      <c r="Z49" s="67" t="n">
        <v>158.45</v>
      </c>
      <c r="AA49" s="67" t="n">
        <v>61.36</v>
      </c>
      <c r="AB49" s="67" t="n">
        <v>185.14</v>
      </c>
    </row>
    <row r="50" customFormat="false" ht="15" hidden="false" customHeight="true" outlineLevel="0" collapsed="false">
      <c r="A50" s="70" t="n">
        <v>45513</v>
      </c>
      <c r="B50" s="67" t="n">
        <v>536.3</v>
      </c>
      <c r="C50" s="67" t="n">
        <v>83.95</v>
      </c>
      <c r="D50" s="67" t="n">
        <v>846.36</v>
      </c>
      <c r="E50" s="67" t="n">
        <v>145.26</v>
      </c>
      <c r="F50" s="67" t="n">
        <v>60.22</v>
      </c>
      <c r="G50" s="67" t="n">
        <v>73.43</v>
      </c>
      <c r="H50" s="67" t="n">
        <v>92.5</v>
      </c>
      <c r="I50" s="67" t="n">
        <v>104.46</v>
      </c>
      <c r="J50" s="67" t="n">
        <v>113.18</v>
      </c>
      <c r="K50" s="67" t="n">
        <v>30.01</v>
      </c>
      <c r="L50" s="67" t="n">
        <v>162.49</v>
      </c>
      <c r="M50" s="67" t="n">
        <v>71.27</v>
      </c>
      <c r="N50" s="67" t="n">
        <v>468.45</v>
      </c>
      <c r="O50" s="67" t="n">
        <v>87.31</v>
      </c>
      <c r="P50" s="67" t="n">
        <v>116.35</v>
      </c>
      <c r="Q50" s="67" t="n">
        <v>57.11</v>
      </c>
      <c r="R50" s="67" t="n">
        <v>40.07</v>
      </c>
      <c r="S50" s="67" t="n">
        <v>82.24</v>
      </c>
      <c r="T50" s="67" t="n">
        <v>30.62</v>
      </c>
      <c r="U50" s="67" t="n">
        <v>24.64</v>
      </c>
      <c r="V50" s="67" t="n">
        <v>255.9</v>
      </c>
      <c r="W50" s="67" t="n">
        <v>113.61</v>
      </c>
      <c r="X50" s="67"/>
      <c r="Y50" s="67" t="n">
        <v>47.3</v>
      </c>
      <c r="Z50" s="67" t="n">
        <v>165.22</v>
      </c>
      <c r="AA50" s="67" t="n">
        <v>63.39</v>
      </c>
      <c r="AB50" s="67" t="n">
        <v>186.85</v>
      </c>
    </row>
    <row r="51" customFormat="false" ht="15" hidden="false" customHeight="true" outlineLevel="0" collapsed="false">
      <c r="A51" s="70" t="n">
        <v>45520</v>
      </c>
      <c r="B51" s="67" t="n">
        <v>553.46</v>
      </c>
      <c r="C51" s="67" t="n">
        <v>88.47</v>
      </c>
      <c r="D51" s="67" t="n">
        <v>903.52</v>
      </c>
      <c r="E51" s="67" t="n">
        <v>162.37</v>
      </c>
      <c r="F51" s="67" t="n">
        <v>65.64</v>
      </c>
      <c r="G51" s="67" t="n">
        <v>80.74</v>
      </c>
      <c r="H51" s="67" t="n">
        <v>107.32</v>
      </c>
      <c r="I51" s="67" t="n">
        <v>124.24</v>
      </c>
      <c r="J51" s="67" t="n">
        <v>114.06</v>
      </c>
      <c r="K51" s="67" t="n">
        <v>32.08</v>
      </c>
      <c r="L51" s="67" t="n">
        <v>169.71</v>
      </c>
      <c r="M51" s="67" t="n">
        <v>79.21</v>
      </c>
      <c r="N51" s="67" t="n">
        <v>477.37</v>
      </c>
      <c r="O51" s="67" t="n">
        <v>89.81</v>
      </c>
      <c r="P51" s="67" t="n">
        <v>119.33</v>
      </c>
      <c r="Q51" s="67" t="n">
        <v>58.6</v>
      </c>
      <c r="R51" s="67" t="n">
        <v>41.76</v>
      </c>
      <c r="S51" s="67" t="n">
        <v>86.93</v>
      </c>
      <c r="T51" s="67" t="n">
        <v>31.12</v>
      </c>
      <c r="U51" s="67" t="n">
        <v>25.2</v>
      </c>
      <c r="V51" s="67" t="n">
        <v>263.41</v>
      </c>
      <c r="W51" s="67" t="n">
        <v>116.79</v>
      </c>
      <c r="X51" s="67"/>
      <c r="Y51" s="67" t="n">
        <v>48.31</v>
      </c>
      <c r="Z51" s="67" t="n">
        <v>167.48</v>
      </c>
      <c r="AA51" s="67" t="n">
        <v>67.41</v>
      </c>
      <c r="AB51" s="67" t="n">
        <v>192.5</v>
      </c>
    </row>
    <row r="52" customFormat="false" ht="15" hidden="false" customHeight="true" outlineLevel="0" collapsed="false">
      <c r="A52" s="70" t="n">
        <v>45527</v>
      </c>
      <c r="B52" s="67" t="n">
        <v>558.3</v>
      </c>
      <c r="C52" s="67" t="n">
        <v>88.78</v>
      </c>
      <c r="D52" s="67" t="n">
        <v>892.3</v>
      </c>
      <c r="E52" s="67" t="n">
        <v>162.99</v>
      </c>
      <c r="F52" s="67" t="n">
        <v>67.89</v>
      </c>
      <c r="G52" s="67" t="n">
        <v>80.57</v>
      </c>
      <c r="H52" s="67" t="n">
        <v>102.21</v>
      </c>
      <c r="I52" s="67" t="n">
        <v>129.01</v>
      </c>
      <c r="J52" s="67" t="n">
        <v>119.64</v>
      </c>
      <c r="K52" s="67" t="n">
        <v>31.78</v>
      </c>
      <c r="L52" s="67" t="n">
        <v>166.54</v>
      </c>
      <c r="M52" s="67" t="n">
        <v>78.34</v>
      </c>
      <c r="N52" s="67" t="n">
        <v>481.24</v>
      </c>
      <c r="O52" s="67" t="n">
        <v>92.6</v>
      </c>
      <c r="P52" s="67" t="n">
        <v>121.81</v>
      </c>
      <c r="Q52" s="67" t="n">
        <v>59.12</v>
      </c>
      <c r="R52" s="67" t="n">
        <v>42.11</v>
      </c>
      <c r="S52" s="67" t="n">
        <v>88.13</v>
      </c>
      <c r="T52" s="67" t="n">
        <v>32.14</v>
      </c>
      <c r="U52" s="67" t="n">
        <v>25.67</v>
      </c>
      <c r="V52" s="67" t="n">
        <v>263.47</v>
      </c>
      <c r="W52" s="67" t="n">
        <v>118.72</v>
      </c>
      <c r="X52" s="67"/>
      <c r="Y52" s="67" t="n">
        <v>48.73</v>
      </c>
      <c r="Z52" s="67" t="n">
        <v>169.26</v>
      </c>
      <c r="AA52" s="67" t="n">
        <v>68.67</v>
      </c>
      <c r="AB52" s="67" t="n">
        <v>199.25</v>
      </c>
    </row>
    <row r="53" customFormat="false" ht="15" hidden="false" customHeight="true" outlineLevel="0" collapsed="false">
      <c r="A53" s="70" t="n">
        <v>45534</v>
      </c>
      <c r="B53" s="67" t="n">
        <v>574.41</v>
      </c>
      <c r="C53" s="67" t="n">
        <v>88.35</v>
      </c>
      <c r="D53" s="67" t="n">
        <v>888.97</v>
      </c>
      <c r="E53" s="67" t="n">
        <v>159.52</v>
      </c>
      <c r="F53" s="67" t="n">
        <v>69.32</v>
      </c>
      <c r="G53" s="67" t="n">
        <v>80.72</v>
      </c>
      <c r="H53" s="67" t="n">
        <v>95.64</v>
      </c>
      <c r="I53" s="67" t="n">
        <v>119.04</v>
      </c>
      <c r="J53" s="67" t="n">
        <v>118.67</v>
      </c>
      <c r="K53" s="67" t="n">
        <v>31.48</v>
      </c>
      <c r="L53" s="67" t="n">
        <v>166.95</v>
      </c>
      <c r="M53" s="67" t="n">
        <v>82.81</v>
      </c>
      <c r="N53" s="67" t="n">
        <v>495.89</v>
      </c>
      <c r="O53" s="67" t="n">
        <v>92.65</v>
      </c>
      <c r="P53" s="67" t="n">
        <v>123.48</v>
      </c>
      <c r="Q53" s="67" t="n">
        <v>59.33</v>
      </c>
      <c r="R53" s="67" t="n">
        <v>42.25</v>
      </c>
      <c r="S53" s="67" t="n">
        <v>87.78</v>
      </c>
      <c r="T53" s="67" t="n">
        <v>32.24</v>
      </c>
      <c r="U53" s="67" t="n">
        <v>25.99</v>
      </c>
      <c r="V53" s="67" t="n">
        <v>272.27</v>
      </c>
      <c r="W53" s="67" t="n">
        <v>120.22</v>
      </c>
      <c r="X53" s="67"/>
      <c r="Y53" s="67" t="n">
        <v>49.33</v>
      </c>
      <c r="Z53" s="67" t="n">
        <v>172.62</v>
      </c>
      <c r="AA53" s="67" t="n">
        <v>70.14</v>
      </c>
      <c r="AB53" s="67" t="n">
        <v>216.44</v>
      </c>
    </row>
    <row r="54" customFormat="false" ht="15" hidden="false" customHeight="true" outlineLevel="0" collapsed="false">
      <c r="A54" s="70" t="n">
        <v>45541</v>
      </c>
      <c r="B54" s="67" t="n">
        <v>563.41</v>
      </c>
      <c r="C54" s="67" t="n">
        <v>78.58</v>
      </c>
      <c r="D54" s="67" t="n">
        <v>740.38</v>
      </c>
      <c r="E54" s="67" t="n">
        <v>134.23</v>
      </c>
      <c r="F54" s="67" t="n">
        <v>61.6</v>
      </c>
      <c r="G54" s="67" t="n">
        <v>69.23</v>
      </c>
      <c r="H54" s="67" t="n">
        <v>85.84</v>
      </c>
      <c r="I54" s="67" t="n">
        <v>102.55</v>
      </c>
      <c r="J54" s="67" t="n">
        <v>118.13</v>
      </c>
      <c r="K54" s="67" t="n">
        <v>30.33</v>
      </c>
      <c r="L54" s="67" t="n">
        <v>152.48</v>
      </c>
      <c r="M54" s="67" t="n">
        <v>71.58</v>
      </c>
      <c r="N54" s="67" t="n">
        <v>468</v>
      </c>
      <c r="O54" s="67" t="n">
        <v>87.4</v>
      </c>
      <c r="P54" s="67" t="n">
        <v>120.84</v>
      </c>
      <c r="Q54" s="67" t="n">
        <v>57.73</v>
      </c>
      <c r="R54" s="67" t="n">
        <v>40.55</v>
      </c>
      <c r="S54" s="67" t="n">
        <v>82.53</v>
      </c>
      <c r="T54" s="67" t="n">
        <v>30.91</v>
      </c>
      <c r="U54" s="67" t="n">
        <v>25.21</v>
      </c>
      <c r="V54" s="67" t="n">
        <v>275.22</v>
      </c>
      <c r="W54" s="67" t="n">
        <v>116.18</v>
      </c>
      <c r="X54" s="67"/>
      <c r="Y54" s="67" t="n">
        <v>48.57</v>
      </c>
      <c r="Z54" s="67" t="n">
        <v>159.39</v>
      </c>
      <c r="AA54" s="67" t="n">
        <v>66.58</v>
      </c>
      <c r="AB54" s="67" t="n">
        <v>215.89</v>
      </c>
    </row>
    <row r="55" customFormat="false" ht="15" hidden="false" customHeight="true" outlineLevel="0" collapsed="false">
      <c r="A55" s="70" t="n">
        <v>45548</v>
      </c>
      <c r="B55" s="67" t="n">
        <v>536.87</v>
      </c>
      <c r="C55" s="67" t="n">
        <v>89.94</v>
      </c>
      <c r="D55" s="67" t="n">
        <v>802.9</v>
      </c>
      <c r="E55" s="67" t="n">
        <v>164.3</v>
      </c>
      <c r="F55" s="67" t="n">
        <v>64.78</v>
      </c>
      <c r="G55" s="67" t="n">
        <v>74.03</v>
      </c>
      <c r="H55" s="67" t="n">
        <v>90.65</v>
      </c>
      <c r="I55" s="67" t="n">
        <v>118.78</v>
      </c>
      <c r="J55" s="67" t="n">
        <v>120.68</v>
      </c>
      <c r="K55" s="67" t="n">
        <v>35.59</v>
      </c>
      <c r="L55" s="67" t="n">
        <v>168.34</v>
      </c>
      <c r="M55" s="67" t="n">
        <v>85.53</v>
      </c>
      <c r="N55" s="67" t="n">
        <v>485.37</v>
      </c>
      <c r="O55" s="67" t="n">
        <v>89.92</v>
      </c>
      <c r="P55" s="67" t="n">
        <v>123.08</v>
      </c>
      <c r="Q55" s="67" t="n">
        <v>59.23</v>
      </c>
      <c r="R55" s="67" t="n">
        <v>42.43</v>
      </c>
      <c r="S55" s="67" t="n">
        <v>87.61</v>
      </c>
      <c r="T55" s="67" t="n">
        <v>31.7</v>
      </c>
      <c r="U55" s="67" t="n">
        <v>25.63</v>
      </c>
      <c r="V55" s="67" t="n">
        <v>283.08</v>
      </c>
      <c r="W55" s="67" t="n">
        <v>118.96</v>
      </c>
      <c r="X55" s="67"/>
      <c r="Y55" s="67" t="n">
        <v>49.67</v>
      </c>
      <c r="Z55" s="67" t="n">
        <v>176.24</v>
      </c>
      <c r="AA55" s="67" t="n">
        <v>69.71</v>
      </c>
      <c r="AB55" s="67" t="n">
        <v>217.95</v>
      </c>
    </row>
    <row r="56" customFormat="false" ht="15" hidden="false" customHeight="true" outlineLevel="0" collapsed="false">
      <c r="A56" s="70" t="n">
        <v>45555</v>
      </c>
      <c r="B56" s="67" t="n">
        <v>522.3</v>
      </c>
      <c r="C56" s="67" t="n">
        <v>96.11</v>
      </c>
      <c r="D56" s="67" t="n">
        <v>782.17</v>
      </c>
      <c r="E56" s="67" t="n">
        <v>168.19</v>
      </c>
      <c r="F56" s="67" t="n">
        <v>74.96</v>
      </c>
      <c r="G56" s="67" t="n">
        <v>74.76</v>
      </c>
      <c r="H56" s="67" t="n">
        <v>90.33</v>
      </c>
      <c r="I56" s="67" t="n">
        <v>115.69</v>
      </c>
      <c r="J56" s="67" t="n">
        <v>117.36</v>
      </c>
      <c r="K56" s="67" t="n">
        <v>37.2</v>
      </c>
      <c r="L56" s="67" t="n">
        <v>169.89</v>
      </c>
      <c r="M56" s="67" t="n">
        <v>94.31</v>
      </c>
      <c r="N56" s="67" t="n">
        <v>464.92</v>
      </c>
      <c r="O56" s="67" t="n">
        <v>92.64</v>
      </c>
      <c r="P56" s="67" t="n">
        <v>124.57</v>
      </c>
      <c r="Q56" s="67" t="n">
        <v>59.72</v>
      </c>
      <c r="R56" s="67" t="n">
        <v>42.96</v>
      </c>
      <c r="S56" s="67" t="n">
        <v>89.03</v>
      </c>
      <c r="T56" s="67" t="n">
        <v>32.25</v>
      </c>
      <c r="U56" s="67" t="n">
        <v>25.97</v>
      </c>
      <c r="V56" s="67" t="n">
        <v>280.54</v>
      </c>
      <c r="W56" s="67" t="n">
        <v>120.69</v>
      </c>
      <c r="X56" s="67"/>
      <c r="Y56" s="67" t="n">
        <v>49.94</v>
      </c>
      <c r="Z56" s="67" t="n">
        <v>185.29</v>
      </c>
      <c r="AA56" s="67" t="n">
        <v>70.1</v>
      </c>
      <c r="AB56" s="67" t="n">
        <v>214.88</v>
      </c>
    </row>
    <row r="57" customFormat="false" ht="15" hidden="false" customHeight="true" outlineLevel="0" collapsed="false">
      <c r="A57" s="70" t="n">
        <v>45562</v>
      </c>
      <c r="B57" s="67" t="n">
        <v>515.48</v>
      </c>
      <c r="C57" s="67" t="n">
        <v>95.07</v>
      </c>
      <c r="D57" s="67" t="n">
        <v>827.67</v>
      </c>
      <c r="E57" s="67" t="n">
        <v>169.75</v>
      </c>
      <c r="F57" s="67" t="n">
        <v>71.46</v>
      </c>
      <c r="G57" s="67" t="n">
        <v>77.08</v>
      </c>
      <c r="H57" s="67" t="n">
        <v>106.83</v>
      </c>
      <c r="I57" s="67" t="n">
        <v>121.08</v>
      </c>
      <c r="J57" s="67" t="n">
        <v>117.47</v>
      </c>
      <c r="K57" s="67" t="n">
        <v>36.84</v>
      </c>
      <c r="L57" s="67" t="n">
        <v>173.68</v>
      </c>
      <c r="M57" s="67" t="n">
        <v>98.17</v>
      </c>
      <c r="N57" s="67" t="n">
        <v>462.88</v>
      </c>
      <c r="O57" s="67" t="n">
        <v>92.68</v>
      </c>
      <c r="P57" s="67" t="n">
        <v>125.53</v>
      </c>
      <c r="Q57" s="67" t="n">
        <v>60.13</v>
      </c>
      <c r="R57" s="67" t="n">
        <v>43.26</v>
      </c>
      <c r="S57" s="67" t="n">
        <v>88.91</v>
      </c>
      <c r="T57" s="67" t="n">
        <v>32.32</v>
      </c>
      <c r="U57" s="67" t="n">
        <v>26.13</v>
      </c>
      <c r="V57" s="67" t="n">
        <v>271.08</v>
      </c>
      <c r="W57" s="67" t="n">
        <v>121.41</v>
      </c>
      <c r="X57" s="67"/>
      <c r="Y57" s="67" t="n">
        <v>50.16</v>
      </c>
      <c r="Z57" s="67" t="n">
        <v>183.53</v>
      </c>
      <c r="AA57" s="67" t="n">
        <v>70.74</v>
      </c>
      <c r="AB57" s="67" t="n">
        <v>210.85</v>
      </c>
    </row>
    <row r="58" customFormat="false" ht="15" hidden="false" customHeight="true" outlineLevel="0" collapsed="false">
      <c r="A58" s="70" t="n">
        <v>45569</v>
      </c>
      <c r="B58" s="67" t="n">
        <v>507.22</v>
      </c>
      <c r="C58" s="67" t="n">
        <v>98.99</v>
      </c>
      <c r="D58" s="67" t="n">
        <v>819.27</v>
      </c>
      <c r="E58" s="67" t="n">
        <v>173.63</v>
      </c>
      <c r="F58" s="67" t="n">
        <v>73.06</v>
      </c>
      <c r="G58" s="67" t="n">
        <v>77.57</v>
      </c>
      <c r="H58" s="67" t="n">
        <v>101.61</v>
      </c>
      <c r="I58" s="67" t="n">
        <v>124.59</v>
      </c>
      <c r="J58" s="67" t="n">
        <v>114.51</v>
      </c>
      <c r="K58" s="67" t="n">
        <v>40.01</v>
      </c>
      <c r="L58" s="67" t="n">
        <v>176.8</v>
      </c>
      <c r="M58" s="67" t="n">
        <v>104.95</v>
      </c>
      <c r="N58" s="67" t="n">
        <v>455.31</v>
      </c>
      <c r="O58" s="67" t="n">
        <v>92.94</v>
      </c>
      <c r="P58" s="67" t="n">
        <v>125.03</v>
      </c>
      <c r="Q58" s="67" t="n">
        <v>60.21</v>
      </c>
      <c r="R58" s="67" t="n">
        <v>43.36</v>
      </c>
      <c r="S58" s="67" t="n">
        <v>90.24</v>
      </c>
      <c r="T58" s="67" t="n">
        <v>32.92</v>
      </c>
      <c r="U58" s="67" t="n">
        <v>26.26</v>
      </c>
      <c r="V58" s="67" t="n">
        <v>273.8</v>
      </c>
      <c r="W58" s="67" t="n">
        <v>122.28</v>
      </c>
      <c r="X58" s="67"/>
      <c r="Y58" s="67" t="n">
        <v>50.27</v>
      </c>
      <c r="Z58" s="67" t="n">
        <v>185.22</v>
      </c>
      <c r="AA58" s="67" t="n">
        <v>71.97</v>
      </c>
      <c r="AB58" s="67" t="n">
        <v>204.67</v>
      </c>
    </row>
    <row r="59" customFormat="false" ht="15" hidden="false" customHeight="true" outlineLevel="0" collapsed="false">
      <c r="A59" s="70" t="n">
        <v>45576</v>
      </c>
      <c r="B59" s="67" t="n">
        <v>495.42</v>
      </c>
      <c r="C59" s="67" t="n">
        <v>104.23</v>
      </c>
      <c r="D59" s="67" t="n">
        <v>826.83</v>
      </c>
      <c r="E59" s="67" t="n">
        <v>178.39</v>
      </c>
      <c r="F59" s="67" t="n">
        <v>80.05</v>
      </c>
      <c r="G59" s="67" t="n">
        <v>79.18</v>
      </c>
      <c r="H59" s="67" t="n">
        <v>106.37</v>
      </c>
      <c r="I59" s="67" t="n">
        <v>134.44</v>
      </c>
      <c r="J59" s="67" t="n">
        <v>112.47</v>
      </c>
      <c r="K59" s="67" t="n">
        <v>43.51</v>
      </c>
      <c r="L59" s="67" t="n">
        <v>186.21</v>
      </c>
      <c r="M59" s="67" t="n">
        <v>111.57</v>
      </c>
      <c r="N59" s="67" t="n">
        <v>481.71</v>
      </c>
      <c r="O59" s="67" t="n">
        <v>94.05</v>
      </c>
      <c r="P59" s="67" t="n">
        <v>125.1</v>
      </c>
      <c r="Q59" s="67" t="n">
        <v>60.7</v>
      </c>
      <c r="R59" s="67" t="n">
        <v>43.75</v>
      </c>
      <c r="S59" s="67" t="n">
        <v>92.19</v>
      </c>
      <c r="T59" s="67" t="n">
        <v>33.06</v>
      </c>
      <c r="U59" s="67" t="n">
        <v>26.56</v>
      </c>
      <c r="V59" s="67" t="n">
        <v>273.71</v>
      </c>
      <c r="W59" s="67" t="n">
        <v>123.64</v>
      </c>
      <c r="X59" s="67"/>
      <c r="Y59" s="67" t="n">
        <v>50.54</v>
      </c>
      <c r="Z59" s="67" t="n">
        <v>189.26</v>
      </c>
      <c r="AA59" s="67" t="n">
        <v>72.28</v>
      </c>
      <c r="AB59" s="67" t="n">
        <v>211.32</v>
      </c>
    </row>
    <row r="60" customFormat="false" ht="15" hidden="false" customHeight="true" outlineLevel="0" collapsed="false">
      <c r="A60" s="70" t="n">
        <v>45583</v>
      </c>
      <c r="B60" s="67" t="n">
        <v>494.9</v>
      </c>
      <c r="C60" s="67" t="n">
        <v>100.5</v>
      </c>
      <c r="D60" s="67" t="n">
        <v>711.34</v>
      </c>
      <c r="E60" s="67" t="n">
        <v>176.83</v>
      </c>
      <c r="F60" s="67" t="n">
        <v>77.54</v>
      </c>
      <c r="G60" s="67" t="n">
        <v>66.84</v>
      </c>
      <c r="H60" s="67" t="n">
        <v>110.58</v>
      </c>
      <c r="I60" s="67" t="n">
        <v>137.63</v>
      </c>
      <c r="J60" s="67" t="n">
        <v>114.58</v>
      </c>
      <c r="K60" s="67" t="n">
        <v>42.97</v>
      </c>
      <c r="L60" s="67" t="n">
        <v>195.94</v>
      </c>
      <c r="M60" s="67" t="n">
        <v>111.98</v>
      </c>
      <c r="N60" s="67" t="n">
        <v>483</v>
      </c>
      <c r="O60" s="67" t="n">
        <v>95.23</v>
      </c>
      <c r="P60" s="67" t="n">
        <v>127.52</v>
      </c>
      <c r="Q60" s="67" t="n">
        <v>61.2</v>
      </c>
      <c r="R60" s="67" t="n">
        <v>44.08</v>
      </c>
      <c r="S60" s="67" t="n">
        <v>92.59</v>
      </c>
      <c r="T60" s="67" t="n">
        <v>32.9</v>
      </c>
      <c r="U60" s="67" t="n">
        <v>26.81</v>
      </c>
      <c r="V60" s="67" t="n">
        <v>286.3</v>
      </c>
      <c r="W60" s="67" t="n">
        <v>124.89</v>
      </c>
      <c r="X60" s="67"/>
      <c r="Y60" s="67" t="n">
        <v>50.91</v>
      </c>
      <c r="Z60" s="67" t="n">
        <v>190.69</v>
      </c>
      <c r="AA60" s="67" t="n">
        <v>76.39</v>
      </c>
      <c r="AB60" s="67" t="n">
        <v>221.32</v>
      </c>
    </row>
    <row r="61" customFormat="false" ht="15" hidden="false" customHeight="true" outlineLevel="0" collapsed="false">
      <c r="A61" s="70" t="n">
        <v>45590</v>
      </c>
      <c r="B61" s="67" t="n">
        <v>483.72</v>
      </c>
      <c r="C61" s="67" t="n">
        <v>98.52</v>
      </c>
      <c r="D61" s="67" t="n">
        <v>699.97</v>
      </c>
      <c r="E61" s="67" t="n">
        <v>170.06</v>
      </c>
      <c r="F61" s="67" t="n">
        <v>75.15</v>
      </c>
      <c r="G61" s="67" t="n">
        <v>66.31</v>
      </c>
      <c r="H61" s="67" t="n">
        <v>107.36</v>
      </c>
      <c r="I61" s="67" t="n">
        <v>141.16</v>
      </c>
      <c r="J61" s="67" t="n">
        <v>109.94</v>
      </c>
      <c r="K61" s="67" t="n">
        <v>44.86</v>
      </c>
      <c r="L61" s="67" t="n">
        <v>198.54</v>
      </c>
      <c r="M61" s="67" t="n">
        <v>111.9</v>
      </c>
      <c r="N61" s="67" t="n">
        <v>477.7</v>
      </c>
      <c r="O61" s="67" t="n">
        <v>92.06</v>
      </c>
      <c r="P61" s="67" t="n">
        <v>124.51</v>
      </c>
      <c r="Q61" s="67" t="n">
        <v>61.03</v>
      </c>
      <c r="R61" s="67" t="n">
        <v>44.18</v>
      </c>
      <c r="S61" s="67" t="n">
        <v>91.23</v>
      </c>
      <c r="T61" s="67" t="n">
        <v>32.27</v>
      </c>
      <c r="U61" s="67" t="n">
        <v>26.19</v>
      </c>
      <c r="V61" s="67" t="n">
        <v>277.55</v>
      </c>
      <c r="W61" s="67" t="n">
        <v>122.04</v>
      </c>
      <c r="X61" s="67"/>
      <c r="Y61" s="67" t="n">
        <v>50.34</v>
      </c>
      <c r="Z61" s="67" t="n">
        <v>177.32</v>
      </c>
      <c r="AA61" s="67" t="n">
        <v>75.47</v>
      </c>
      <c r="AB61" s="67" t="n">
        <v>212.23</v>
      </c>
    </row>
    <row r="62" customFormat="false" ht="15" hidden="false" customHeight="true" outlineLevel="0" collapsed="false">
      <c r="A62" s="70" t="n">
        <v>45597</v>
      </c>
      <c r="B62" s="67" t="n">
        <v>482.8</v>
      </c>
      <c r="C62" s="67" t="n">
        <v>98.54</v>
      </c>
      <c r="D62" s="67" t="n">
        <v>665.15</v>
      </c>
      <c r="E62" s="67" t="n">
        <v>166.04</v>
      </c>
      <c r="F62" s="67" t="n">
        <v>75.78</v>
      </c>
      <c r="G62" s="67" t="n">
        <v>65.94</v>
      </c>
      <c r="H62" s="67" t="n">
        <v>99.22</v>
      </c>
      <c r="I62" s="67" t="n">
        <v>135.04</v>
      </c>
      <c r="J62" s="67" t="n">
        <v>106.07</v>
      </c>
      <c r="K62" s="67" t="n">
        <v>41.92</v>
      </c>
      <c r="L62" s="67" t="n">
        <v>188.3</v>
      </c>
      <c r="M62" s="67" t="n">
        <v>106.64</v>
      </c>
      <c r="N62" s="67" t="n">
        <v>471.12</v>
      </c>
      <c r="O62" s="67" t="n">
        <v>91.84</v>
      </c>
      <c r="P62" s="67" t="n">
        <v>124.39</v>
      </c>
      <c r="Q62" s="67" t="n">
        <v>60.49</v>
      </c>
      <c r="R62" s="67" t="n">
        <v>43.81</v>
      </c>
      <c r="S62" s="67" t="n">
        <v>89.98</v>
      </c>
      <c r="T62" s="67" t="n">
        <v>32.29</v>
      </c>
      <c r="U62" s="67" t="n">
        <v>26.15</v>
      </c>
      <c r="V62" s="67" t="n">
        <v>286.42</v>
      </c>
      <c r="W62" s="67" t="n">
        <v>121.19</v>
      </c>
      <c r="X62" s="67"/>
      <c r="Y62" s="67" t="n">
        <v>50.01</v>
      </c>
      <c r="Z62" s="67" t="n">
        <v>169.99</v>
      </c>
      <c r="AA62" s="67" t="n">
        <v>75.61</v>
      </c>
      <c r="AB62" s="67" t="n">
        <v>212.78</v>
      </c>
    </row>
    <row r="63" customFormat="false" ht="15" hidden="false" customHeight="true" outlineLevel="0" collapsed="false">
      <c r="A63" s="70" t="n">
        <v>45604</v>
      </c>
      <c r="B63" s="67" t="n">
        <v>494.68</v>
      </c>
      <c r="C63" s="67" t="n">
        <v>100.11</v>
      </c>
      <c r="D63" s="67" t="n">
        <v>659.96</v>
      </c>
      <c r="E63" s="67" t="n">
        <v>180.51</v>
      </c>
      <c r="F63" s="67" t="n">
        <v>82.51</v>
      </c>
      <c r="G63" s="67" t="n">
        <v>67.72</v>
      </c>
      <c r="H63" s="67" t="n">
        <v>111.33</v>
      </c>
      <c r="I63" s="67" t="n">
        <v>147.23</v>
      </c>
      <c r="J63" s="67" t="n">
        <v>108.34</v>
      </c>
      <c r="K63" s="67" t="n">
        <v>58.39</v>
      </c>
      <c r="L63" s="67" t="n">
        <v>196.35</v>
      </c>
      <c r="M63" s="67" t="n">
        <v>125.45</v>
      </c>
      <c r="N63" s="67" t="n">
        <v>516.74</v>
      </c>
      <c r="O63" s="67" t="n">
        <v>99.98</v>
      </c>
      <c r="P63" s="67" t="n">
        <v>128.71</v>
      </c>
      <c r="Q63" s="67" t="n">
        <v>61.96</v>
      </c>
      <c r="R63" s="67" t="n">
        <v>45.5</v>
      </c>
      <c r="S63" s="67" t="n">
        <v>95.36</v>
      </c>
      <c r="T63" s="67" t="n">
        <v>34.79</v>
      </c>
      <c r="U63" s="67" t="n">
        <v>27.06</v>
      </c>
      <c r="V63" s="67" t="n">
        <v>303.3</v>
      </c>
      <c r="W63" s="67" t="n">
        <v>125.91</v>
      </c>
      <c r="X63" s="67"/>
      <c r="Y63" s="67" t="n">
        <v>51.35</v>
      </c>
      <c r="Z63" s="67" t="n">
        <v>182.97</v>
      </c>
      <c r="AA63" s="67" t="n">
        <v>79.5</v>
      </c>
      <c r="AB63" s="67" t="n">
        <v>235</v>
      </c>
    </row>
    <row r="64" customFormat="false" ht="15" hidden="false" customHeight="true" outlineLevel="0" collapsed="false">
      <c r="A64" s="70" t="n">
        <v>45611</v>
      </c>
      <c r="B64" s="67" t="n">
        <v>503.37</v>
      </c>
      <c r="C64" s="67" t="n">
        <v>93.6</v>
      </c>
      <c r="D64" s="67" t="n">
        <v>649.28</v>
      </c>
      <c r="E64" s="67" t="n">
        <v>162.03</v>
      </c>
      <c r="F64" s="67" t="n">
        <v>84.19</v>
      </c>
      <c r="G64" s="67" t="n">
        <v>60.53</v>
      </c>
      <c r="H64" s="67" t="n">
        <v>95.85</v>
      </c>
      <c r="I64" s="67" t="n">
        <v>141.6</v>
      </c>
      <c r="J64" s="67" t="n">
        <v>106.09</v>
      </c>
      <c r="K64" s="67" t="n">
        <v>65.77</v>
      </c>
      <c r="L64" s="67" t="n">
        <v>181.53</v>
      </c>
      <c r="M64" s="67" t="n">
        <v>120.58</v>
      </c>
      <c r="N64" s="67" t="n">
        <v>465.7</v>
      </c>
      <c r="O64" s="67" t="n">
        <v>98.04</v>
      </c>
      <c r="P64" s="67" t="n">
        <v>128.87</v>
      </c>
      <c r="Q64" s="67" t="n">
        <v>61.37</v>
      </c>
      <c r="R64" s="67" t="n">
        <v>44.75</v>
      </c>
      <c r="S64" s="67" t="n">
        <v>92.42</v>
      </c>
      <c r="T64" s="67" t="n">
        <v>34.26</v>
      </c>
      <c r="U64" s="67" t="n">
        <v>26.64</v>
      </c>
      <c r="V64" s="67" t="n">
        <v>305.62</v>
      </c>
      <c r="W64" s="67" t="n">
        <v>124.2</v>
      </c>
      <c r="X64" s="67"/>
      <c r="Y64" s="67" t="n">
        <v>50.7</v>
      </c>
      <c r="Z64" s="67" t="n">
        <v>175.17</v>
      </c>
      <c r="AA64" s="67" t="n">
        <v>82.4</v>
      </c>
      <c r="AB64" s="67" t="n">
        <v>213.36</v>
      </c>
    </row>
    <row r="65" customFormat="false" ht="15" hidden="false" customHeight="true" outlineLevel="0" collapsed="false">
      <c r="A65" s="70" t="n">
        <v>45618</v>
      </c>
      <c r="B65" s="67" t="n">
        <v>512.15</v>
      </c>
      <c r="C65" s="67" t="n">
        <v>101.62</v>
      </c>
      <c r="D65" s="67" t="n">
        <v>663.32</v>
      </c>
      <c r="E65" s="67" t="n">
        <v>161.43</v>
      </c>
      <c r="F65" s="67" t="n">
        <v>93.07</v>
      </c>
      <c r="G65" s="67" t="n">
        <v>63.18</v>
      </c>
      <c r="H65" s="67" t="n">
        <v>102.11</v>
      </c>
      <c r="I65" s="67" t="n">
        <v>141.57</v>
      </c>
      <c r="J65" s="67" t="n">
        <v>108.31</v>
      </c>
      <c r="K65" s="67" t="n">
        <v>64.35</v>
      </c>
      <c r="L65" s="67" t="n">
        <v>185.5</v>
      </c>
      <c r="M65" s="67" t="n">
        <v>139.81</v>
      </c>
      <c r="N65" s="67" t="n">
        <v>450.97</v>
      </c>
      <c r="O65" s="67" t="n">
        <v>101.62</v>
      </c>
      <c r="P65" s="67" t="n">
        <v>132.37</v>
      </c>
      <c r="Q65" s="67" t="n">
        <v>61.83</v>
      </c>
      <c r="R65" s="67" t="n">
        <v>45.52</v>
      </c>
      <c r="S65" s="67" t="n">
        <v>94.07</v>
      </c>
      <c r="T65" s="67" t="n">
        <v>35.58</v>
      </c>
      <c r="U65" s="67" t="n">
        <v>27.31</v>
      </c>
      <c r="V65" s="67" t="n">
        <v>305.9</v>
      </c>
      <c r="W65" s="67" t="n">
        <v>126.98</v>
      </c>
      <c r="X65" s="67"/>
      <c r="Y65" s="67" t="n">
        <v>51.46</v>
      </c>
      <c r="Z65" s="67" t="n">
        <v>179.35</v>
      </c>
      <c r="AA65" s="67" t="n">
        <v>89.78</v>
      </c>
      <c r="AB65" s="67" t="n">
        <v>216.58</v>
      </c>
    </row>
    <row r="66" customFormat="false" ht="15" hidden="false" customHeight="true" outlineLevel="0" collapsed="false">
      <c r="A66" s="70" t="n">
        <v>45625</v>
      </c>
      <c r="B66" s="67" t="n">
        <v>515.93</v>
      </c>
      <c r="C66" s="67" t="n">
        <v>101.46</v>
      </c>
      <c r="D66" s="67" t="n">
        <v>676.86</v>
      </c>
      <c r="E66" s="67" t="n">
        <v>159.32</v>
      </c>
      <c r="F66" s="67" t="n">
        <v>86.49</v>
      </c>
      <c r="G66" s="67" t="n">
        <v>63.92</v>
      </c>
      <c r="H66" s="67" t="n">
        <v>97.45</v>
      </c>
      <c r="I66" s="67" t="n">
        <v>137.88</v>
      </c>
      <c r="J66" s="67" t="n">
        <v>109.23</v>
      </c>
      <c r="K66" s="67" t="n">
        <v>67.08</v>
      </c>
      <c r="L66" s="67" t="n">
        <v>180.21</v>
      </c>
      <c r="M66" s="67" t="n">
        <v>127.29</v>
      </c>
      <c r="N66" s="67" t="n">
        <v>468.13</v>
      </c>
      <c r="O66" s="67" t="n">
        <v>102.31</v>
      </c>
      <c r="P66" s="67" t="n">
        <v>133.61</v>
      </c>
      <c r="Q66" s="67" t="n">
        <v>62.21</v>
      </c>
      <c r="R66" s="67" t="n">
        <v>45.94</v>
      </c>
      <c r="S66" s="67" t="n">
        <v>95.3</v>
      </c>
      <c r="T66" s="67" t="n">
        <v>35.65</v>
      </c>
      <c r="U66" s="67" t="n">
        <v>27.48</v>
      </c>
      <c r="V66" s="67" t="n">
        <v>310.99</v>
      </c>
      <c r="W66" s="67" t="n">
        <v>128.04</v>
      </c>
      <c r="X66" s="67"/>
      <c r="Y66" s="67" t="n">
        <v>52.03</v>
      </c>
      <c r="Z66" s="67" t="n">
        <v>180.35</v>
      </c>
      <c r="AA66" s="67" t="n">
        <v>88.68</v>
      </c>
      <c r="AB66" s="67" t="n">
        <v>227.85</v>
      </c>
    </row>
    <row r="67" customFormat="false" ht="15" hidden="false" customHeight="true" outlineLevel="0" collapsed="false">
      <c r="A67" s="70" t="n">
        <v>45632</v>
      </c>
      <c r="B67" s="67" t="n">
        <v>552.96</v>
      </c>
      <c r="C67" s="67" t="n">
        <v>108.25</v>
      </c>
      <c r="D67" s="67" t="n">
        <v>698.91</v>
      </c>
      <c r="E67" s="67" t="n">
        <v>176.47</v>
      </c>
      <c r="F67" s="67" t="n">
        <v>91.41</v>
      </c>
      <c r="G67" s="67" t="n">
        <v>64.05</v>
      </c>
      <c r="H67" s="67" t="n">
        <v>100.65</v>
      </c>
      <c r="I67" s="67" t="n">
        <v>142.07</v>
      </c>
      <c r="J67" s="67" t="n">
        <v>104.76</v>
      </c>
      <c r="K67" s="67" t="n">
        <v>76.34</v>
      </c>
      <c r="L67" s="67" t="n">
        <v>198.13</v>
      </c>
      <c r="M67" s="67" t="n">
        <v>133.57</v>
      </c>
      <c r="N67" s="67" t="n">
        <v>462.1</v>
      </c>
      <c r="O67" s="67" t="n">
        <v>100.18</v>
      </c>
      <c r="P67" s="67" t="n">
        <v>130.23</v>
      </c>
      <c r="Q67" s="67" t="n">
        <v>62.44</v>
      </c>
      <c r="R67" s="67" t="n">
        <v>46.79</v>
      </c>
      <c r="S67" s="67" t="n">
        <v>97.14</v>
      </c>
      <c r="T67" s="67" t="n">
        <v>35.62</v>
      </c>
      <c r="U67" s="67" t="n">
        <v>26.82</v>
      </c>
      <c r="V67" s="67" t="n">
        <v>306.97</v>
      </c>
      <c r="W67" s="67" t="n">
        <v>126.2</v>
      </c>
      <c r="X67" s="67"/>
      <c r="Y67" s="67" t="n">
        <v>51.59</v>
      </c>
      <c r="Z67" s="67" t="n">
        <v>173.83</v>
      </c>
      <c r="AA67" s="67" t="n">
        <v>93.47</v>
      </c>
      <c r="AB67" s="67" t="n">
        <v>250.45</v>
      </c>
    </row>
    <row r="68" customFormat="false" ht="15" hidden="false" customHeight="true" outlineLevel="0" collapsed="false">
      <c r="A68" s="70" t="n">
        <v>45639</v>
      </c>
      <c r="B68" s="67" t="n">
        <v>465.69</v>
      </c>
      <c r="C68" s="67" t="n">
        <v>112.37</v>
      </c>
      <c r="D68" s="67" t="n">
        <v>708.38</v>
      </c>
      <c r="E68" s="67" t="n">
        <v>220.97</v>
      </c>
      <c r="F68" s="67" t="n">
        <v>92</v>
      </c>
      <c r="G68" s="67" t="n">
        <v>64.58</v>
      </c>
      <c r="H68" s="67" t="n">
        <v>101.97</v>
      </c>
      <c r="I68" s="67" t="n">
        <v>133.9</v>
      </c>
      <c r="J68" s="67" t="n">
        <v>103.95</v>
      </c>
      <c r="K68" s="67" t="n">
        <v>76.07</v>
      </c>
      <c r="L68" s="67" t="n">
        <v>196.77</v>
      </c>
      <c r="M68" s="67" t="n">
        <v>125.51</v>
      </c>
      <c r="N68" s="67" t="n">
        <v>463.73</v>
      </c>
      <c r="O68" s="67" t="n">
        <v>98.94</v>
      </c>
      <c r="P68" s="67" t="n">
        <v>127.6</v>
      </c>
      <c r="Q68" s="67" t="n">
        <v>62.33</v>
      </c>
      <c r="R68" s="67" t="n">
        <v>46.97</v>
      </c>
      <c r="S68" s="67" t="n">
        <v>96.23</v>
      </c>
      <c r="T68" s="67" t="n">
        <v>34.14</v>
      </c>
      <c r="U68" s="67" t="n">
        <v>26.42</v>
      </c>
      <c r="V68" s="67" t="n">
        <v>310.65</v>
      </c>
      <c r="W68" s="67" t="n">
        <v>125.31</v>
      </c>
      <c r="X68" s="67"/>
      <c r="Y68" s="67" t="n">
        <v>51.17</v>
      </c>
      <c r="Z68" s="67" t="n">
        <v>164.36</v>
      </c>
      <c r="AA68" s="67" t="n">
        <v>91.89</v>
      </c>
      <c r="AB68" s="67" t="n">
        <v>228.78</v>
      </c>
    </row>
    <row r="69" customFormat="false" ht="15" hidden="false" customHeight="true" outlineLevel="0" collapsed="false">
      <c r="A69" s="70" t="n">
        <v>45646</v>
      </c>
      <c r="B69" s="67" t="n">
        <v>447.17</v>
      </c>
      <c r="C69" s="67" t="n">
        <v>112.81</v>
      </c>
      <c r="D69" s="67" t="n">
        <v>695.66</v>
      </c>
      <c r="E69" s="67" t="n">
        <v>217.03</v>
      </c>
      <c r="F69" s="67" t="n">
        <v>90.57</v>
      </c>
      <c r="G69" s="67" t="n">
        <v>62.17</v>
      </c>
      <c r="H69" s="67" t="n">
        <v>89.66</v>
      </c>
      <c r="I69" s="67" t="n">
        <v>134.35</v>
      </c>
      <c r="J69" s="67" t="n">
        <v>97.48</v>
      </c>
      <c r="K69" s="67" t="n">
        <v>80.55</v>
      </c>
      <c r="L69" s="67" t="n">
        <v>193.07</v>
      </c>
      <c r="M69" s="67" t="n">
        <v>119.79</v>
      </c>
      <c r="N69" s="67" t="n">
        <v>397.27</v>
      </c>
      <c r="O69" s="67" t="n">
        <v>93.61</v>
      </c>
      <c r="P69" s="67" t="n">
        <v>123.57</v>
      </c>
      <c r="Q69" s="67" t="n">
        <v>61.57</v>
      </c>
      <c r="R69" s="67" t="n">
        <v>46.45</v>
      </c>
      <c r="S69" s="67" t="n">
        <v>94.07</v>
      </c>
      <c r="T69" s="67" t="n">
        <v>33.1</v>
      </c>
      <c r="U69" s="67" t="n">
        <v>25.63</v>
      </c>
      <c r="V69" s="67" t="n">
        <v>313.59</v>
      </c>
      <c r="W69" s="67" t="n">
        <v>121.73</v>
      </c>
      <c r="X69" s="67"/>
      <c r="Y69" s="67" t="n">
        <v>50.12</v>
      </c>
      <c r="Z69" s="67" t="n">
        <v>166.69</v>
      </c>
      <c r="AA69" s="67" t="n">
        <v>90.9</v>
      </c>
      <c r="AB69" s="67" t="n">
        <v>224.15</v>
      </c>
    </row>
    <row r="70" customFormat="false" ht="15" hidden="false" customHeight="true" outlineLevel="0" collapsed="false">
      <c r="A70" s="70" t="n">
        <v>45653</v>
      </c>
      <c r="B70" s="67" t="n">
        <v>446.48</v>
      </c>
      <c r="C70" s="67" t="n">
        <v>113.03</v>
      </c>
      <c r="D70" s="67" t="n">
        <v>703.46</v>
      </c>
      <c r="E70" s="67" t="n">
        <v>238.27</v>
      </c>
      <c r="F70" s="67" t="n">
        <v>88.75</v>
      </c>
      <c r="G70" s="67" t="n">
        <v>63.7</v>
      </c>
      <c r="H70" s="67" t="n">
        <v>88.18</v>
      </c>
      <c r="I70" s="67" t="n">
        <v>136.65</v>
      </c>
      <c r="J70" s="67" t="n">
        <v>99.29</v>
      </c>
      <c r="K70" s="67" t="n">
        <v>79.08</v>
      </c>
      <c r="L70" s="67" t="n">
        <v>197.4</v>
      </c>
      <c r="M70" s="67" t="n">
        <v>114.87</v>
      </c>
      <c r="N70" s="67" t="n">
        <v>408.76</v>
      </c>
      <c r="O70" s="67" t="n">
        <v>93.98</v>
      </c>
      <c r="P70" s="67" t="n">
        <v>124.13</v>
      </c>
      <c r="Q70" s="67" t="n">
        <v>61.97</v>
      </c>
      <c r="R70" s="67" t="n">
        <v>46.88</v>
      </c>
      <c r="S70" s="67" t="n">
        <v>95.26</v>
      </c>
      <c r="T70" s="67" t="n">
        <v>33.41</v>
      </c>
      <c r="U70" s="67" t="n">
        <v>25.8</v>
      </c>
      <c r="V70" s="67" t="n">
        <v>314.52</v>
      </c>
      <c r="W70" s="67" t="n">
        <v>123.18</v>
      </c>
      <c r="X70" s="67"/>
      <c r="Y70" s="67" t="n">
        <v>50.34</v>
      </c>
      <c r="Z70" s="67" t="n">
        <v>168.66</v>
      </c>
      <c r="AA70" s="67" t="n">
        <v>90.75</v>
      </c>
      <c r="AB70" s="67" t="n">
        <v>214.01</v>
      </c>
    </row>
    <row r="71" customFormat="false" ht="15" hidden="false" customHeight="true" outlineLevel="0" collapsed="false">
      <c r="A71" s="70" t="n">
        <v>45660</v>
      </c>
      <c r="B71" s="67" t="n">
        <v>430.57</v>
      </c>
      <c r="C71" s="67" t="n">
        <v>115.2</v>
      </c>
      <c r="D71" s="67" t="n">
        <v>704.22</v>
      </c>
      <c r="E71" s="67" t="n">
        <v>229.2</v>
      </c>
      <c r="F71" s="67" t="n">
        <v>89.75</v>
      </c>
      <c r="G71" s="67" t="n">
        <v>64.9</v>
      </c>
      <c r="H71" s="67" t="n">
        <v>89.53</v>
      </c>
      <c r="I71" s="67" t="n">
        <v>144.09</v>
      </c>
      <c r="J71" s="67" t="n">
        <v>99.66</v>
      </c>
      <c r="K71" s="67" t="n">
        <v>79.89</v>
      </c>
      <c r="L71" s="67" t="n">
        <v>204.23</v>
      </c>
      <c r="M71" s="67" t="n">
        <v>125.4</v>
      </c>
      <c r="N71" s="67" t="n">
        <v>407.11</v>
      </c>
      <c r="O71" s="67" t="n">
        <v>94.72</v>
      </c>
      <c r="P71" s="67" t="n">
        <v>124.06</v>
      </c>
      <c r="Q71" s="67" t="n">
        <v>61.72</v>
      </c>
      <c r="R71" s="67" t="n">
        <v>46.72</v>
      </c>
      <c r="S71" s="67" t="n">
        <v>95.55</v>
      </c>
      <c r="T71" s="67" t="n">
        <v>33.66</v>
      </c>
      <c r="U71" s="67" t="n">
        <v>25.77</v>
      </c>
      <c r="V71" s="67" t="n">
        <v>310.82</v>
      </c>
      <c r="W71" s="67" t="n">
        <v>122.97</v>
      </c>
      <c r="X71" s="67"/>
      <c r="Y71" s="67" t="n">
        <v>50.27</v>
      </c>
      <c r="Z71" s="67" t="n">
        <v>170.52</v>
      </c>
      <c r="AA71" s="67" t="n">
        <v>88.11</v>
      </c>
      <c r="AB71" s="67" t="n">
        <v>213.03</v>
      </c>
    </row>
    <row r="72" customFormat="false" ht="15" hidden="false" customHeight="true" outlineLevel="0" collapsed="false">
      <c r="A72" s="70" t="n">
        <v>45667</v>
      </c>
      <c r="B72" s="67" t="n">
        <v>405.92</v>
      </c>
      <c r="C72" s="67" t="n">
        <v>114.34</v>
      </c>
      <c r="D72" s="67" t="n">
        <v>728.52</v>
      </c>
      <c r="E72" s="67" t="n">
        <v>221.08</v>
      </c>
      <c r="F72" s="67" t="n">
        <v>87.21</v>
      </c>
      <c r="G72" s="67" t="n">
        <v>67.48</v>
      </c>
      <c r="H72" s="67" t="n">
        <v>98.96</v>
      </c>
      <c r="I72" s="67" t="n">
        <v>135.56</v>
      </c>
      <c r="J72" s="67" t="n">
        <v>97.74</v>
      </c>
      <c r="K72" s="67" t="n">
        <v>67.26</v>
      </c>
      <c r="L72" s="67" t="n">
        <v>204</v>
      </c>
      <c r="M72" s="67" t="n">
        <v>128.66</v>
      </c>
      <c r="N72" s="67" t="n">
        <v>409.56</v>
      </c>
      <c r="O72" s="67" t="n">
        <v>92.23</v>
      </c>
      <c r="P72" s="67" t="n">
        <v>120.96</v>
      </c>
      <c r="Q72" s="67" t="n">
        <v>60.97</v>
      </c>
      <c r="R72" s="67" t="n">
        <v>45.82</v>
      </c>
      <c r="S72" s="67" t="n">
        <v>94.26</v>
      </c>
      <c r="T72" s="67" t="n">
        <v>33.66</v>
      </c>
      <c r="U72" s="67" t="n">
        <v>25.37</v>
      </c>
      <c r="V72" s="67" t="n">
        <v>303.72</v>
      </c>
      <c r="W72" s="67" t="n">
        <v>120.76</v>
      </c>
      <c r="X72" s="67"/>
      <c r="Y72" s="67" t="n">
        <v>49.47</v>
      </c>
      <c r="Z72" s="67" t="n">
        <v>170.26</v>
      </c>
      <c r="AA72" s="67" t="n">
        <v>83.77</v>
      </c>
      <c r="AB72" s="67" t="n">
        <v>217.75</v>
      </c>
    </row>
    <row r="73" customFormat="false" ht="15" hidden="false" customHeight="true" outlineLevel="0" collapsed="false">
      <c r="A73" s="70" t="n">
        <v>45674</v>
      </c>
      <c r="B73" s="67" t="n">
        <v>429.99</v>
      </c>
      <c r="C73" s="67" t="n">
        <v>119.95</v>
      </c>
      <c r="D73" s="67" t="n">
        <v>745.59</v>
      </c>
      <c r="E73" s="67" t="n">
        <v>234.02</v>
      </c>
      <c r="F73" s="67" t="n">
        <v>89.25</v>
      </c>
      <c r="G73" s="67" t="n">
        <v>74.83</v>
      </c>
      <c r="H73" s="67" t="n">
        <v>105.34</v>
      </c>
      <c r="I73" s="67" t="n">
        <v>137.35</v>
      </c>
      <c r="J73" s="67" t="n">
        <v>103.29</v>
      </c>
      <c r="K73" s="67" t="n">
        <v>71.77</v>
      </c>
      <c r="L73" s="67" t="n">
        <v>207.06</v>
      </c>
      <c r="M73" s="67" t="n">
        <v>135.59</v>
      </c>
      <c r="N73" s="67" t="n">
        <v>422</v>
      </c>
      <c r="O73" s="67" t="n">
        <v>96.74</v>
      </c>
      <c r="P73" s="67" t="n">
        <v>126.81</v>
      </c>
      <c r="Q73" s="67" t="n">
        <v>62.02</v>
      </c>
      <c r="R73" s="67" t="n">
        <v>46.88</v>
      </c>
      <c r="S73" s="67" t="n">
        <v>97.29</v>
      </c>
      <c r="T73" s="67" t="n">
        <v>34.96</v>
      </c>
      <c r="U73" s="67" t="n">
        <v>26.29</v>
      </c>
      <c r="V73" s="67" t="n">
        <v>315.47</v>
      </c>
      <c r="W73" s="67" t="n">
        <v>126.1</v>
      </c>
      <c r="X73" s="67"/>
      <c r="Y73" s="67" t="n">
        <v>50.72</v>
      </c>
      <c r="Z73" s="67" t="n">
        <v>181.32</v>
      </c>
      <c r="AA73" s="67" t="n">
        <v>85.81</v>
      </c>
      <c r="AB73" s="67" t="n">
        <v>216.59</v>
      </c>
    </row>
    <row r="74" customFormat="false" ht="15" hidden="false" customHeight="true" outlineLevel="0" collapsed="false">
      <c r="A74" s="70" t="n">
        <v>45681</v>
      </c>
      <c r="B74" s="67" t="n">
        <v>435.38</v>
      </c>
      <c r="C74" s="67" t="n">
        <v>129.17</v>
      </c>
      <c r="D74" s="67" t="n">
        <v>721.85</v>
      </c>
      <c r="E74" s="67" t="n">
        <v>241.18</v>
      </c>
      <c r="F74" s="67" t="n">
        <v>93.73</v>
      </c>
      <c r="G74" s="67" t="n">
        <v>74.07</v>
      </c>
      <c r="H74" s="67" t="n">
        <v>102.79</v>
      </c>
      <c r="I74" s="67" t="n">
        <v>142.25</v>
      </c>
      <c r="J74" s="67" t="n">
        <v>112.21</v>
      </c>
      <c r="K74" s="67" t="n">
        <v>78.98</v>
      </c>
      <c r="L74" s="67" t="n">
        <v>217.22</v>
      </c>
      <c r="M74" s="67" t="n">
        <v>146.01</v>
      </c>
      <c r="N74" s="67" t="n">
        <v>439.62</v>
      </c>
      <c r="O74" s="67" t="n">
        <v>97.23</v>
      </c>
      <c r="P74" s="67" t="n">
        <v>127.09</v>
      </c>
      <c r="Q74" s="67" t="n">
        <v>62.66</v>
      </c>
      <c r="R74" s="67" t="n">
        <v>47.53</v>
      </c>
      <c r="S74" s="67" t="n">
        <v>99.93</v>
      </c>
      <c r="T74" s="67" t="n">
        <v>35.05</v>
      </c>
      <c r="U74" s="67" t="n">
        <v>26.36</v>
      </c>
      <c r="V74" s="67" t="n">
        <v>325.91</v>
      </c>
      <c r="W74" s="67" t="n">
        <v>127.41</v>
      </c>
      <c r="X74" s="67"/>
      <c r="Y74" s="67" t="n">
        <v>51.24</v>
      </c>
      <c r="Z74" s="67" t="n">
        <v>195.11</v>
      </c>
      <c r="AA74" s="67" t="n">
        <v>97.76</v>
      </c>
      <c r="AB74" s="67" t="n">
        <v>223.4</v>
      </c>
    </row>
    <row r="75" customFormat="false" ht="15" hidden="false" customHeight="true" outlineLevel="0" collapsed="false">
      <c r="A75" s="70" t="n">
        <v>45688</v>
      </c>
      <c r="B75" s="67" t="n">
        <v>437.45</v>
      </c>
      <c r="C75" s="67" t="n">
        <v>115.23</v>
      </c>
      <c r="D75" s="67" t="n">
        <v>728.81</v>
      </c>
      <c r="E75" s="67" t="n">
        <v>218.09</v>
      </c>
      <c r="F75" s="67" t="n">
        <v>99.52</v>
      </c>
      <c r="G75" s="67" t="n">
        <v>72.93</v>
      </c>
      <c r="H75" s="67" t="n">
        <v>90.89</v>
      </c>
      <c r="I75" s="67" t="n">
        <v>119.76</v>
      </c>
      <c r="J75" s="67" t="n">
        <v>112.51</v>
      </c>
      <c r="K75" s="67" t="n">
        <v>82.49</v>
      </c>
      <c r="L75" s="67" t="n">
        <v>204.93</v>
      </c>
      <c r="M75" s="67" t="n">
        <v>116.77</v>
      </c>
      <c r="N75" s="67" t="n">
        <v>461.68</v>
      </c>
      <c r="O75" s="67" t="n">
        <v>95.76</v>
      </c>
      <c r="P75" s="67" t="n">
        <v>126.76</v>
      </c>
      <c r="Q75" s="67" t="n">
        <v>62.12</v>
      </c>
      <c r="R75" s="67" t="n">
        <v>47.04</v>
      </c>
      <c r="S75" s="67" t="n">
        <v>98.66</v>
      </c>
      <c r="T75" s="67" t="n">
        <v>34.69</v>
      </c>
      <c r="U75" s="67" t="n">
        <v>26.14</v>
      </c>
      <c r="V75" s="67" t="n">
        <v>337.36</v>
      </c>
      <c r="W75" s="67" t="n">
        <v>126.74</v>
      </c>
      <c r="X75" s="67"/>
      <c r="Y75" s="67" t="n">
        <v>51.13</v>
      </c>
      <c r="Z75" s="67" t="n">
        <v>201.87</v>
      </c>
      <c r="AA75" s="67" t="n">
        <v>97.68</v>
      </c>
      <c r="AB75" s="67" t="n">
        <v>233.26</v>
      </c>
    </row>
    <row r="76" customFormat="false" ht="15" hidden="false" customHeight="true" outlineLevel="0" collapsed="false">
      <c r="A76" s="70" t="n">
        <v>45695</v>
      </c>
      <c r="B76" s="67" t="n">
        <v>433.07</v>
      </c>
      <c r="C76" s="67" t="n">
        <v>118.47</v>
      </c>
      <c r="D76" s="67" t="n">
        <v>717.37</v>
      </c>
      <c r="E76" s="67" t="n">
        <v>221.63</v>
      </c>
      <c r="F76" s="67" t="n">
        <v>105.4</v>
      </c>
      <c r="G76" s="67" t="n">
        <v>73.86</v>
      </c>
      <c r="H76" s="67" t="n">
        <v>91.95</v>
      </c>
      <c r="I76" s="67" t="n">
        <v>129.5</v>
      </c>
      <c r="J76" s="67" t="n">
        <v>110.72</v>
      </c>
      <c r="K76" s="67" t="n">
        <v>110.85</v>
      </c>
      <c r="L76" s="67" t="n">
        <v>201.79</v>
      </c>
      <c r="M76" s="67" t="n">
        <v>121.12</v>
      </c>
      <c r="N76" s="67" t="n">
        <v>469.32</v>
      </c>
      <c r="O76" s="67" t="n">
        <v>94.65</v>
      </c>
      <c r="P76" s="67" t="n">
        <v>126.15</v>
      </c>
      <c r="Q76" s="67" t="n">
        <v>62.08</v>
      </c>
      <c r="R76" s="67" t="n">
        <v>47.16</v>
      </c>
      <c r="S76" s="67" t="n">
        <v>100.62</v>
      </c>
      <c r="T76" s="67" t="n">
        <v>34.43</v>
      </c>
      <c r="U76" s="67" t="n">
        <v>25.88</v>
      </c>
      <c r="V76" s="67" t="n">
        <v>343.5</v>
      </c>
      <c r="W76" s="67" t="n">
        <v>126.7</v>
      </c>
      <c r="X76" s="67"/>
      <c r="Y76" s="67" t="n">
        <v>51.25</v>
      </c>
      <c r="Z76" s="67" t="n">
        <v>203.57</v>
      </c>
      <c r="AA76" s="67" t="n">
        <v>101.39</v>
      </c>
      <c r="AB76" s="67" t="n">
        <v>237.2</v>
      </c>
    </row>
    <row r="77" customFormat="false" ht="15" hidden="false" customHeight="true" outlineLevel="0" collapsed="false">
      <c r="A77" s="70" t="n">
        <v>45702</v>
      </c>
      <c r="B77" s="67" t="n">
        <v>460.16</v>
      </c>
      <c r="C77" s="67" t="n">
        <v>106.87</v>
      </c>
      <c r="D77" s="67" t="n">
        <v>742.44</v>
      </c>
      <c r="E77" s="67" t="n">
        <v>229.69</v>
      </c>
      <c r="F77" s="67" t="n">
        <v>112.93</v>
      </c>
      <c r="G77" s="67" t="n">
        <v>74.16</v>
      </c>
      <c r="H77" s="67" t="n">
        <v>99.14</v>
      </c>
      <c r="I77" s="67" t="n">
        <v>138.49</v>
      </c>
      <c r="J77" s="67" t="n">
        <v>114.02</v>
      </c>
      <c r="K77" s="67" t="n">
        <v>119.16</v>
      </c>
      <c r="L77" s="67" t="n">
        <v>199.62</v>
      </c>
      <c r="M77" s="67" t="n">
        <v>107.82</v>
      </c>
      <c r="N77" s="67" t="n">
        <v>459</v>
      </c>
      <c r="O77" s="67" t="n">
        <v>94.94</v>
      </c>
      <c r="P77" s="67" t="n">
        <v>127.66</v>
      </c>
      <c r="Q77" s="67" t="n">
        <v>62.73</v>
      </c>
      <c r="R77" s="67" t="n">
        <v>48.07</v>
      </c>
      <c r="S77" s="67" t="n">
        <v>101.64</v>
      </c>
      <c r="T77" s="67" t="n">
        <v>34.83</v>
      </c>
      <c r="U77" s="67" t="n">
        <v>26.1</v>
      </c>
      <c r="V77" s="67" t="n">
        <v>349.81</v>
      </c>
      <c r="W77" s="67" t="n">
        <v>128.09</v>
      </c>
      <c r="X77" s="67"/>
      <c r="Y77" s="67" t="n">
        <v>51.59</v>
      </c>
      <c r="Z77" s="67" t="n">
        <v>206.53</v>
      </c>
      <c r="AA77" s="67" t="n">
        <v>105.86</v>
      </c>
      <c r="AB77" s="67" t="n">
        <v>234</v>
      </c>
    </row>
    <row r="78" customFormat="false" ht="15" hidden="false" customHeight="true" outlineLevel="0" collapsed="false">
      <c r="A78" s="70" t="n">
        <v>45709</v>
      </c>
      <c r="B78" s="67" t="n">
        <v>444.32</v>
      </c>
      <c r="C78" s="67" t="n">
        <v>98.3</v>
      </c>
      <c r="D78" s="67" t="n">
        <v>728.28</v>
      </c>
      <c r="E78" s="67" t="n">
        <v>215.51</v>
      </c>
      <c r="F78" s="67" t="n">
        <v>101.67</v>
      </c>
      <c r="G78" s="67" t="n">
        <v>74.51</v>
      </c>
      <c r="H78" s="67" t="n">
        <v>98.46</v>
      </c>
      <c r="I78" s="67" t="n">
        <v>134.08</v>
      </c>
      <c r="J78" s="67" t="n">
        <v>114.14</v>
      </c>
      <c r="K78" s="67" t="n">
        <v>101.35</v>
      </c>
      <c r="L78" s="67" t="n">
        <v>194.08</v>
      </c>
      <c r="M78" s="67" t="n">
        <v>95.79</v>
      </c>
      <c r="N78" s="67" t="n">
        <v>484.24</v>
      </c>
      <c r="O78" s="67" t="n">
        <v>91.47</v>
      </c>
      <c r="P78" s="67" t="n">
        <v>128.59</v>
      </c>
      <c r="Q78" s="67" t="n">
        <v>62.17</v>
      </c>
      <c r="R78" s="67" t="n">
        <v>47.49</v>
      </c>
      <c r="S78" s="67" t="n">
        <v>98.53</v>
      </c>
      <c r="T78" s="67" t="n">
        <v>34.71</v>
      </c>
      <c r="U78" s="67" t="n">
        <v>26.49</v>
      </c>
      <c r="V78" s="67" t="n">
        <v>344.59</v>
      </c>
      <c r="W78" s="67" t="n">
        <v>127.66</v>
      </c>
      <c r="X78" s="67"/>
      <c r="Y78" s="67" t="n">
        <v>51.55</v>
      </c>
      <c r="Z78" s="67" t="n">
        <v>198.16</v>
      </c>
      <c r="AA78" s="67" t="n">
        <v>100.32</v>
      </c>
      <c r="AB78" s="67" t="n">
        <v>225.79</v>
      </c>
    </row>
    <row r="79" customFormat="false" ht="15" hidden="false" customHeight="true" outlineLevel="0" collapsed="false">
      <c r="A79" s="70" t="n">
        <v>45716</v>
      </c>
      <c r="B79" s="67" t="n">
        <v>438.56</v>
      </c>
      <c r="C79" s="67" t="n">
        <v>93.05</v>
      </c>
      <c r="D79" s="67" t="n">
        <v>700.49</v>
      </c>
      <c r="E79" s="67" t="n">
        <v>196.56</v>
      </c>
      <c r="F79" s="67" t="n">
        <v>97.42</v>
      </c>
      <c r="G79" s="67" t="n">
        <v>70.18</v>
      </c>
      <c r="H79" s="67" t="n">
        <v>93.27</v>
      </c>
      <c r="I79" s="67" t="n">
        <v>124.59</v>
      </c>
      <c r="J79" s="67" t="n">
        <v>116.92</v>
      </c>
      <c r="K79" s="67" t="n">
        <v>84.92</v>
      </c>
      <c r="L79" s="67" t="n">
        <v>176.74</v>
      </c>
      <c r="M79" s="67" t="n">
        <v>94.97</v>
      </c>
      <c r="N79" s="67" t="n">
        <v>479.79</v>
      </c>
      <c r="O79" s="67" t="n">
        <v>90.44</v>
      </c>
      <c r="P79" s="67" t="n">
        <v>129.91</v>
      </c>
      <c r="Q79" s="67" t="n">
        <v>61.77</v>
      </c>
      <c r="R79" s="67" t="n">
        <v>46.18</v>
      </c>
      <c r="S79" s="67" t="n">
        <v>98.42</v>
      </c>
      <c r="T79" s="67" t="n">
        <v>34.55</v>
      </c>
      <c r="U79" s="67" t="n">
        <v>26.8</v>
      </c>
      <c r="V79" s="67" t="n">
        <v>358.6</v>
      </c>
      <c r="W79" s="67" t="n">
        <v>128.36</v>
      </c>
      <c r="X79" s="67"/>
      <c r="Y79" s="67" t="n">
        <v>51.79</v>
      </c>
      <c r="Z79" s="67" t="n">
        <v>205.25</v>
      </c>
      <c r="AA79" s="67" t="n">
        <v>98.06</v>
      </c>
      <c r="AB79" s="67" t="n">
        <v>224.14</v>
      </c>
    </row>
    <row r="80" customFormat="false" ht="15" hidden="false" customHeight="true" outlineLevel="0" collapsed="false">
      <c r="A80" s="70" t="n">
        <v>45723</v>
      </c>
      <c r="B80" s="67" t="n">
        <v>449.4</v>
      </c>
      <c r="C80" s="67" t="n">
        <v>83.36</v>
      </c>
      <c r="D80" s="67" t="n">
        <v>723.35</v>
      </c>
      <c r="E80" s="67" t="n">
        <v>192.16</v>
      </c>
      <c r="F80" s="67" t="n">
        <v>83.38</v>
      </c>
      <c r="G80" s="67" t="n">
        <v>70.42</v>
      </c>
      <c r="H80" s="67" t="n">
        <v>92.6</v>
      </c>
      <c r="I80" s="67" t="n">
        <v>112.4</v>
      </c>
      <c r="J80" s="67" t="n">
        <v>113.14</v>
      </c>
      <c r="K80" s="67" t="n">
        <v>84.91</v>
      </c>
      <c r="L80" s="67" t="n">
        <v>173.38</v>
      </c>
      <c r="M80" s="67" t="n">
        <v>84.86</v>
      </c>
      <c r="N80" s="67" t="n">
        <v>488.29</v>
      </c>
      <c r="O80" s="67" t="n">
        <v>86.38</v>
      </c>
      <c r="P80" s="67" t="n">
        <v>126.34</v>
      </c>
      <c r="Q80" s="67" t="n">
        <v>60.69</v>
      </c>
      <c r="R80" s="67" t="n">
        <v>44.73</v>
      </c>
      <c r="S80" s="67" t="n">
        <v>93.24</v>
      </c>
      <c r="T80" s="67" t="n">
        <v>34.05</v>
      </c>
      <c r="U80" s="67" t="n">
        <v>26.73</v>
      </c>
      <c r="V80" s="67" t="n">
        <v>341.41</v>
      </c>
      <c r="W80" s="67" t="n">
        <v>125.66</v>
      </c>
      <c r="X80" s="67"/>
      <c r="Y80" s="67" t="n">
        <v>51.02</v>
      </c>
      <c r="Z80" s="67" t="n">
        <v>192.23</v>
      </c>
      <c r="AA80" s="67" t="n">
        <v>89.11</v>
      </c>
      <c r="AB80" s="67" t="n">
        <v>246.8</v>
      </c>
    </row>
    <row r="81" customFormat="false" ht="15" hidden="false" customHeight="true" outlineLevel="0" collapsed="false">
      <c r="A81" s="70" t="n">
        <v>45730</v>
      </c>
      <c r="B81" s="67" t="n">
        <v>394.74</v>
      </c>
      <c r="C81" s="67" t="n">
        <v>83.51</v>
      </c>
      <c r="D81" s="67" t="n">
        <v>705.35</v>
      </c>
      <c r="E81" s="67" t="n">
        <v>192.73</v>
      </c>
      <c r="F81" s="67" t="n">
        <v>88.43</v>
      </c>
      <c r="G81" s="67" t="n">
        <v>70.59</v>
      </c>
      <c r="H81" s="67" t="n">
        <v>100.4</v>
      </c>
      <c r="I81" s="67" t="n">
        <v>121.36</v>
      </c>
      <c r="J81" s="67" t="n">
        <v>105.57</v>
      </c>
      <c r="K81" s="67" t="n">
        <v>86.24</v>
      </c>
      <c r="L81" s="67" t="n">
        <v>170.44</v>
      </c>
      <c r="M81" s="67" t="n">
        <v>87.27</v>
      </c>
      <c r="N81" s="67" t="n">
        <v>504.77</v>
      </c>
      <c r="O81" s="67" t="n">
        <v>84.76</v>
      </c>
      <c r="P81" s="67" t="n">
        <v>125.28</v>
      </c>
      <c r="Q81" s="67" t="n">
        <v>59.83</v>
      </c>
      <c r="R81" s="67" t="n">
        <v>43.78</v>
      </c>
      <c r="S81" s="67" t="n">
        <v>92.57</v>
      </c>
      <c r="T81" s="67" t="n">
        <v>33.41</v>
      </c>
      <c r="U81" s="67" t="n">
        <v>25.96</v>
      </c>
      <c r="V81" s="67" t="n">
        <v>328.04</v>
      </c>
      <c r="W81" s="67" t="n">
        <v>122.84</v>
      </c>
      <c r="X81" s="67"/>
      <c r="Y81" s="67" t="n">
        <v>49.93</v>
      </c>
      <c r="Z81" s="67" t="n">
        <v>195.83</v>
      </c>
      <c r="AA81" s="67" t="n">
        <v>91.8</v>
      </c>
      <c r="AB81" s="67" t="n">
        <v>234.06</v>
      </c>
    </row>
    <row r="82" customFormat="false" ht="15" hidden="false" customHeight="true" outlineLevel="0" collapsed="false">
      <c r="A82" s="70" t="n">
        <v>45737</v>
      </c>
      <c r="B82" s="67" t="n">
        <v>387.26</v>
      </c>
      <c r="C82" s="67" t="n">
        <v>83.13</v>
      </c>
      <c r="D82" s="67" t="n">
        <v>707.54</v>
      </c>
      <c r="E82" s="67" t="n">
        <v>189.47</v>
      </c>
      <c r="F82" s="67" t="n">
        <v>90.56</v>
      </c>
      <c r="G82" s="67" t="n">
        <v>69.95</v>
      </c>
      <c r="H82" s="67" t="n">
        <v>94.36</v>
      </c>
      <c r="I82" s="67" t="n">
        <v>117.4</v>
      </c>
      <c r="J82" s="67" t="n">
        <v>103.21</v>
      </c>
      <c r="K82" s="67" t="n">
        <v>90.96</v>
      </c>
      <c r="L82" s="67" t="n">
        <v>173.69</v>
      </c>
      <c r="M82" s="67" t="n">
        <v>88.48</v>
      </c>
      <c r="N82" s="67" t="n">
        <v>503.2</v>
      </c>
      <c r="O82" s="67" t="n">
        <v>85.58</v>
      </c>
      <c r="P82" s="67" t="n">
        <v>125.88</v>
      </c>
      <c r="Q82" s="67" t="n">
        <v>59.71</v>
      </c>
      <c r="R82" s="67" t="n">
        <v>43.94</v>
      </c>
      <c r="S82" s="67" t="n">
        <v>92.92</v>
      </c>
      <c r="T82" s="67" t="n">
        <v>33.98</v>
      </c>
      <c r="U82" s="67" t="n">
        <v>26.07</v>
      </c>
      <c r="V82" s="67" t="n">
        <v>331.86</v>
      </c>
      <c r="W82" s="67" t="n">
        <v>123.76</v>
      </c>
      <c r="X82" s="67"/>
      <c r="Y82" s="67" t="n">
        <v>50.07</v>
      </c>
      <c r="Z82" s="67" t="n">
        <v>202.8</v>
      </c>
      <c r="AA82" s="67" t="n">
        <v>96.03</v>
      </c>
      <c r="AB82" s="67" t="n">
        <v>236.77</v>
      </c>
    </row>
    <row r="83" customFormat="false" ht="15" hidden="false" customHeight="true" outlineLevel="0" collapsed="false">
      <c r="A83" s="70" t="n">
        <v>45744</v>
      </c>
      <c r="B83" s="67" t="n">
        <v>385.71</v>
      </c>
      <c r="C83" s="67" t="n">
        <v>77.94</v>
      </c>
      <c r="D83" s="67" t="n">
        <v>666.41</v>
      </c>
      <c r="E83" s="67" t="n">
        <v>167.19</v>
      </c>
      <c r="F83" s="67" t="n">
        <v>89.28</v>
      </c>
      <c r="G83" s="67" t="n">
        <v>66.69</v>
      </c>
      <c r="H83" s="67" t="n">
        <v>88.1</v>
      </c>
      <c r="I83" s="67" t="n">
        <v>109.39</v>
      </c>
      <c r="J83" s="67" t="n">
        <v>105.14</v>
      </c>
      <c r="K83" s="67" t="n">
        <v>85.85</v>
      </c>
      <c r="L83" s="67" t="n">
        <v>162.41</v>
      </c>
      <c r="M83" s="67" t="n">
        <v>74.12</v>
      </c>
      <c r="N83" s="67" t="n">
        <v>492.69</v>
      </c>
      <c r="O83" s="67" t="n">
        <v>85.18</v>
      </c>
      <c r="P83" s="67" t="n">
        <v>125.85</v>
      </c>
      <c r="Q83" s="67" t="n">
        <v>59.02</v>
      </c>
      <c r="R83" s="67" t="n">
        <v>43.11</v>
      </c>
      <c r="S83" s="67" t="n">
        <v>91.09</v>
      </c>
      <c r="T83" s="67" t="n">
        <v>33.42</v>
      </c>
      <c r="U83" s="67" t="n">
        <v>26.14</v>
      </c>
      <c r="V83" s="67" t="n">
        <v>338.97</v>
      </c>
      <c r="W83" s="67" t="n">
        <v>122.94</v>
      </c>
      <c r="X83" s="67"/>
      <c r="Y83" s="67" t="n">
        <v>49.69</v>
      </c>
      <c r="Z83" s="67" t="n">
        <v>198.58</v>
      </c>
      <c r="AA83" s="67" t="n">
        <v>93.39</v>
      </c>
      <c r="AB83" s="67" t="n">
        <v>234.21</v>
      </c>
    </row>
    <row r="84" customFormat="false" ht="15" hidden="false" customHeight="true" outlineLevel="0" collapsed="false">
      <c r="A84" s="70" t="n">
        <v>45751</v>
      </c>
      <c r="B84" s="67" t="n">
        <v>349.07</v>
      </c>
      <c r="C84" s="67" t="n">
        <v>64.37</v>
      </c>
      <c r="D84" s="67" t="n">
        <v>598.21</v>
      </c>
      <c r="E84" s="67" t="n">
        <v>144.62</v>
      </c>
      <c r="F84" s="67" t="n">
        <v>80.41</v>
      </c>
      <c r="G84" s="67" t="n">
        <v>57.08</v>
      </c>
      <c r="H84" s="67" t="n">
        <v>64.56</v>
      </c>
      <c r="I84" s="67" t="n">
        <v>94.07</v>
      </c>
      <c r="J84" s="67" t="n">
        <v>93.51</v>
      </c>
      <c r="K84" s="67" t="n">
        <v>74.01</v>
      </c>
      <c r="L84" s="67" t="n">
        <v>144.28</v>
      </c>
      <c r="M84" s="67" t="n">
        <v>59.31</v>
      </c>
      <c r="N84" s="67" t="n">
        <v>474.62</v>
      </c>
      <c r="O84" s="67" t="n">
        <v>76.26</v>
      </c>
      <c r="P84" s="67" t="n">
        <v>115.74</v>
      </c>
      <c r="Q84" s="67" t="n">
        <v>56.73</v>
      </c>
      <c r="R84" s="67" t="n">
        <v>39.19</v>
      </c>
      <c r="S84" s="67" t="n">
        <v>81.34</v>
      </c>
      <c r="T84" s="67" t="n">
        <v>30.33</v>
      </c>
      <c r="U84" s="67" t="n">
        <v>23.96</v>
      </c>
      <c r="V84" s="67" t="n">
        <v>309.59</v>
      </c>
      <c r="W84" s="67" t="n">
        <v>112.8</v>
      </c>
      <c r="X84" s="67"/>
      <c r="Y84" s="67" t="n">
        <v>46.04</v>
      </c>
      <c r="Z84" s="67" t="n">
        <v>165.73</v>
      </c>
      <c r="AA84" s="67" t="n">
        <v>85.59</v>
      </c>
      <c r="AB84" s="67" t="n">
        <v>213.68</v>
      </c>
    </row>
    <row r="85" customFormat="false" ht="15" hidden="false" customHeight="true" outlineLevel="0" collapsed="false">
      <c r="A85" s="70" t="n">
        <v>45758</v>
      </c>
      <c r="B85" s="67" t="n">
        <v>352.47</v>
      </c>
      <c r="C85" s="67" t="n">
        <v>72.67</v>
      </c>
      <c r="D85" s="67" t="n">
        <v>660.71</v>
      </c>
      <c r="E85" s="67" t="n">
        <v>179.86</v>
      </c>
      <c r="F85" s="67" t="n">
        <v>94.47</v>
      </c>
      <c r="G85" s="67" t="n">
        <v>66.36</v>
      </c>
      <c r="H85" s="67" t="n">
        <v>69.37</v>
      </c>
      <c r="I85" s="67" t="n">
        <v>110.65</v>
      </c>
      <c r="J85" s="67" t="n">
        <v>91.6</v>
      </c>
      <c r="K85" s="67" t="n">
        <v>88.55</v>
      </c>
      <c r="L85" s="67" t="n">
        <v>154.38</v>
      </c>
      <c r="M85" s="67" t="n">
        <v>69.49</v>
      </c>
      <c r="N85" s="67" t="n">
        <v>484.22</v>
      </c>
      <c r="O85" s="67" t="n">
        <v>77.22</v>
      </c>
      <c r="P85" s="67" t="n">
        <v>117.6</v>
      </c>
      <c r="Q85" s="67" t="n">
        <v>57.8</v>
      </c>
      <c r="R85" s="67" t="n">
        <v>41.66</v>
      </c>
      <c r="S85" s="67" t="n">
        <v>88.75</v>
      </c>
      <c r="T85" s="67" t="n">
        <v>30.97</v>
      </c>
      <c r="U85" s="67" t="n">
        <v>23.98</v>
      </c>
      <c r="V85" s="67" t="n">
        <v>329.63</v>
      </c>
      <c r="W85" s="67" t="n">
        <v>116.65</v>
      </c>
      <c r="X85" s="67"/>
      <c r="Y85" s="67" t="n">
        <v>47.66</v>
      </c>
      <c r="Z85" s="67" t="n">
        <v>180.49</v>
      </c>
      <c r="AA85" s="67" t="n">
        <v>91.83</v>
      </c>
      <c r="AB85" s="67" t="n">
        <v>218</v>
      </c>
    </row>
    <row r="86" customFormat="false" ht="15" hidden="false" customHeight="true" outlineLevel="0" collapsed="false">
      <c r="A86" s="70" t="n">
        <v>45765</v>
      </c>
      <c r="B86" s="67" t="n">
        <v>348.8</v>
      </c>
      <c r="C86" s="67" t="n">
        <v>71.2</v>
      </c>
      <c r="D86" s="67" t="n">
        <v>632.4</v>
      </c>
      <c r="E86" s="67" t="n">
        <v>169.04</v>
      </c>
      <c r="F86" s="67" t="n">
        <v>93.9</v>
      </c>
      <c r="G86" s="67" t="n">
        <v>62.81</v>
      </c>
      <c r="H86" s="67" t="n">
        <v>68.63</v>
      </c>
      <c r="I86" s="67" t="n">
        <v>101.23</v>
      </c>
      <c r="J86" s="67" t="n">
        <v>97.19</v>
      </c>
      <c r="K86" s="67" t="n">
        <v>93.78</v>
      </c>
      <c r="L86" s="67" t="n">
        <v>149.13</v>
      </c>
      <c r="M86" s="67" t="n">
        <v>73.09</v>
      </c>
      <c r="N86" s="67" t="n">
        <v>489.1</v>
      </c>
      <c r="O86" s="67" t="n">
        <v>78.66</v>
      </c>
      <c r="P86" s="67" t="n">
        <v>119.33</v>
      </c>
      <c r="Q86" s="67" t="n">
        <v>57.45</v>
      </c>
      <c r="R86" s="67" t="n">
        <v>40.99</v>
      </c>
      <c r="S86" s="67" t="n">
        <v>87.21</v>
      </c>
      <c r="T86" s="67" t="n">
        <v>31.18</v>
      </c>
      <c r="U86" s="67" t="n">
        <v>24.09</v>
      </c>
      <c r="V86" s="67" t="n">
        <v>325.88</v>
      </c>
      <c r="W86" s="67" t="n">
        <v>116.47</v>
      </c>
      <c r="X86" s="67"/>
      <c r="Y86" s="67" t="n">
        <v>47.47</v>
      </c>
      <c r="Z86" s="67" t="n">
        <v>180.61</v>
      </c>
      <c r="AA86" s="67" t="n">
        <v>97.3</v>
      </c>
      <c r="AB86" s="67" t="n">
        <v>215.95</v>
      </c>
    </row>
    <row r="87" customFormat="false" ht="15" hidden="false" customHeight="true" outlineLevel="0" collapsed="false">
      <c r="A87" s="70" t="n">
        <v>45772</v>
      </c>
      <c r="B87" s="67" t="n">
        <v>367.72</v>
      </c>
      <c r="C87" s="67" t="n">
        <v>77.91</v>
      </c>
      <c r="D87" s="67" t="n">
        <v>669.06</v>
      </c>
      <c r="E87" s="67" t="n">
        <v>190.12</v>
      </c>
      <c r="F87" s="67" t="n">
        <v>106.22</v>
      </c>
      <c r="G87" s="67" t="n">
        <v>68.77</v>
      </c>
      <c r="H87" s="67" t="n">
        <v>79.58</v>
      </c>
      <c r="I87" s="67" t="n">
        <v>110.73</v>
      </c>
      <c r="J87" s="67" t="n">
        <v>97.32</v>
      </c>
      <c r="K87" s="67" t="n">
        <v>112.78</v>
      </c>
      <c r="L87" s="67" t="n">
        <v>162.26</v>
      </c>
      <c r="M87" s="67" t="n">
        <v>86.8</v>
      </c>
      <c r="N87" s="67" t="n">
        <v>493.84</v>
      </c>
      <c r="O87" s="67" t="n">
        <v>80.87</v>
      </c>
      <c r="P87" s="67" t="n">
        <v>121.04</v>
      </c>
      <c r="Q87" s="67" t="n">
        <v>58.47</v>
      </c>
      <c r="R87" s="67" t="n">
        <v>42.96</v>
      </c>
      <c r="S87" s="67" t="n">
        <v>92.9</v>
      </c>
      <c r="T87" s="67" t="n">
        <v>32.21</v>
      </c>
      <c r="U87" s="67" t="n">
        <v>24.33</v>
      </c>
      <c r="V87" s="67" t="n">
        <v>331.38</v>
      </c>
      <c r="W87" s="67" t="n">
        <v>118.85</v>
      </c>
      <c r="X87" s="67"/>
      <c r="Y87" s="67" t="n">
        <v>48.54</v>
      </c>
      <c r="Z87" s="67" t="n">
        <v>197.14</v>
      </c>
      <c r="AA87" s="67" t="n">
        <v>110.15</v>
      </c>
      <c r="AB87" s="67" t="n">
        <v>227.54</v>
      </c>
    </row>
    <row r="88" customFormat="false" ht="15" hidden="false" customHeight="true" outlineLevel="0" collapsed="false">
      <c r="A88" s="70" t="n">
        <v>45779</v>
      </c>
      <c r="B88" s="67" t="n">
        <v>380.87</v>
      </c>
      <c r="C88" s="67" t="n">
        <v>91.02</v>
      </c>
      <c r="D88" s="67" t="n">
        <v>684.08</v>
      </c>
      <c r="E88" s="67" t="n">
        <v>201.32</v>
      </c>
      <c r="F88" s="67" t="n">
        <v>110.14</v>
      </c>
      <c r="G88" s="67" t="n">
        <v>69.12</v>
      </c>
      <c r="H88" s="67" t="n">
        <v>80.51</v>
      </c>
      <c r="I88" s="67" t="n">
        <v>114.21</v>
      </c>
      <c r="J88" s="67" t="n">
        <v>100.34</v>
      </c>
      <c r="K88" s="67" t="n">
        <v>124.28</v>
      </c>
      <c r="L88" s="67" t="n">
        <v>176.2</v>
      </c>
      <c r="M88" s="67" t="n">
        <v>94.84</v>
      </c>
      <c r="N88" s="67" t="n">
        <v>501.15</v>
      </c>
      <c r="O88" s="67" t="n">
        <v>83.61</v>
      </c>
      <c r="P88" s="67" t="n">
        <v>123.05</v>
      </c>
      <c r="Q88" s="67" t="n">
        <v>59.43</v>
      </c>
      <c r="R88" s="67" t="n">
        <v>43.81</v>
      </c>
      <c r="S88" s="67" t="n">
        <v>96.64</v>
      </c>
      <c r="T88" s="67" t="n">
        <v>32.83</v>
      </c>
      <c r="U88" s="67" t="n">
        <v>24.7</v>
      </c>
      <c r="V88" s="67" t="n">
        <v>343.67</v>
      </c>
      <c r="W88" s="67" t="n">
        <v>121.35</v>
      </c>
      <c r="X88" s="67"/>
      <c r="Y88" s="67" t="n">
        <v>49.58</v>
      </c>
      <c r="Z88" s="67" t="n">
        <v>206.35</v>
      </c>
      <c r="AA88" s="67" t="n">
        <v>115.65</v>
      </c>
      <c r="AB88" s="67" t="n">
        <v>236.49</v>
      </c>
    </row>
    <row r="89" customFormat="false" ht="15" hidden="false" customHeight="true" outlineLevel="0" collapsed="false">
      <c r="A89" s="70" t="n">
        <v>45786</v>
      </c>
      <c r="B89" s="67" t="n">
        <v>383.28</v>
      </c>
      <c r="C89" s="67" t="n">
        <v>86.52</v>
      </c>
      <c r="D89" s="67" t="n">
        <v>699.81</v>
      </c>
      <c r="E89" s="67" t="n">
        <v>205.83</v>
      </c>
      <c r="F89" s="67" t="n">
        <v>102.64</v>
      </c>
      <c r="G89" s="67" t="n">
        <v>69.43</v>
      </c>
      <c r="H89" s="67" t="n">
        <v>85.64</v>
      </c>
      <c r="I89" s="67" t="n">
        <v>116.36</v>
      </c>
      <c r="J89" s="67" t="n">
        <v>101.77</v>
      </c>
      <c r="K89" s="67" t="n">
        <v>117.3</v>
      </c>
      <c r="L89" s="67" t="n">
        <v>173.49</v>
      </c>
      <c r="M89" s="67" t="n">
        <v>93.9</v>
      </c>
      <c r="N89" s="67" t="n">
        <v>424.99</v>
      </c>
      <c r="O89" s="67" t="n">
        <v>84.58</v>
      </c>
      <c r="P89" s="67" t="n">
        <v>122.9</v>
      </c>
      <c r="Q89" s="67" t="n">
        <v>59.28</v>
      </c>
      <c r="R89" s="67" t="n">
        <v>43.93</v>
      </c>
      <c r="S89" s="67" t="n">
        <v>97.31</v>
      </c>
      <c r="T89" s="67" t="n">
        <v>32.78</v>
      </c>
      <c r="U89" s="67" t="n">
        <v>24.38</v>
      </c>
      <c r="V89" s="67" t="n">
        <v>348.55</v>
      </c>
      <c r="W89" s="67" t="n">
        <v>121.2</v>
      </c>
      <c r="X89" s="67"/>
      <c r="Y89" s="67" t="n">
        <v>49.57</v>
      </c>
      <c r="Z89" s="67" t="n">
        <v>213.56</v>
      </c>
      <c r="AA89" s="67" t="n">
        <v>114.02</v>
      </c>
      <c r="AB89" s="67" t="n">
        <v>237.05</v>
      </c>
    </row>
    <row r="90" customFormat="false" ht="15" hidden="false" customHeight="true" outlineLevel="0" collapsed="false">
      <c r="A90" s="70" t="n">
        <v>45793</v>
      </c>
      <c r="B90" s="67" t="n">
        <v>417.13</v>
      </c>
      <c r="C90" s="67" t="n">
        <v>96.42</v>
      </c>
      <c r="D90" s="67" t="n">
        <v>741.32</v>
      </c>
      <c r="E90" s="67" t="n">
        <v>226</v>
      </c>
      <c r="F90" s="67" t="n">
        <v>109.82</v>
      </c>
      <c r="G90" s="67" t="n">
        <v>78.33</v>
      </c>
      <c r="H90" s="67" t="n">
        <v>97.75</v>
      </c>
      <c r="I90" s="67" t="n">
        <v>135.06</v>
      </c>
      <c r="J90" s="67" t="n">
        <v>105.23</v>
      </c>
      <c r="K90" s="67" t="n">
        <v>129.52</v>
      </c>
      <c r="L90" s="67" t="n">
        <v>190.88</v>
      </c>
      <c r="M90" s="67" t="n">
        <v>105.86</v>
      </c>
      <c r="N90" s="67" t="n">
        <v>438.65</v>
      </c>
      <c r="O90" s="67" t="n">
        <v>88.72</v>
      </c>
      <c r="P90" s="67" t="n">
        <v>126.84</v>
      </c>
      <c r="Q90" s="67" t="n">
        <v>61.02</v>
      </c>
      <c r="R90" s="67" t="n">
        <v>44.69</v>
      </c>
      <c r="S90" s="67" t="n">
        <v>103.95</v>
      </c>
      <c r="T90" s="67" t="n">
        <v>34.19</v>
      </c>
      <c r="U90" s="67" t="n">
        <v>25.21</v>
      </c>
      <c r="V90" s="67" t="n">
        <v>361.59</v>
      </c>
      <c r="W90" s="67" t="n">
        <v>125.26</v>
      </c>
      <c r="X90" s="67"/>
      <c r="Y90" s="67" t="n">
        <v>50.1</v>
      </c>
      <c r="Z90" s="67" t="n">
        <v>230.27</v>
      </c>
      <c r="AA90" s="67" t="n">
        <v>119.15</v>
      </c>
      <c r="AB90" s="67" t="n">
        <v>242.78</v>
      </c>
    </row>
    <row r="91" customFormat="false" ht="15" hidden="false" customHeight="true" outlineLevel="0" collapsed="false">
      <c r="A91" s="70" t="n">
        <v>45800</v>
      </c>
      <c r="B91" s="67" t="n">
        <v>407.69</v>
      </c>
      <c r="C91" s="67" t="n">
        <v>91.2</v>
      </c>
      <c r="D91" s="67" t="n">
        <v>725.86</v>
      </c>
      <c r="E91" s="67" t="n">
        <v>226.11</v>
      </c>
      <c r="F91" s="67" t="n">
        <v>113.9</v>
      </c>
      <c r="G91" s="67" t="n">
        <v>75.15</v>
      </c>
      <c r="H91" s="67" t="n">
        <v>93.13</v>
      </c>
      <c r="I91" s="67" t="n">
        <v>130.96</v>
      </c>
      <c r="J91" s="67" t="n">
        <v>99.04</v>
      </c>
      <c r="K91" s="67" t="n">
        <v>123.31</v>
      </c>
      <c r="L91" s="67" t="n">
        <v>188.68</v>
      </c>
      <c r="M91" s="67" t="n">
        <v>103.96</v>
      </c>
      <c r="N91" s="67" t="n">
        <v>436</v>
      </c>
      <c r="O91" s="67" t="n">
        <v>85.17</v>
      </c>
      <c r="P91" s="67" t="n">
        <v>123.56</v>
      </c>
      <c r="Q91" s="67" t="n">
        <v>60.01</v>
      </c>
      <c r="R91" s="67" t="n">
        <v>44.28</v>
      </c>
      <c r="S91" s="67" t="n">
        <v>101.63</v>
      </c>
      <c r="T91" s="67" t="n">
        <v>33</v>
      </c>
      <c r="U91" s="67" t="n">
        <v>24.53</v>
      </c>
      <c r="V91" s="67" t="n">
        <v>350.12</v>
      </c>
      <c r="W91" s="67" t="n">
        <v>122.5</v>
      </c>
      <c r="X91" s="67"/>
      <c r="Y91" s="67" t="n">
        <v>49.46</v>
      </c>
      <c r="Z91" s="67" t="n">
        <v>231.28</v>
      </c>
      <c r="AA91" s="67" t="n">
        <v>118.54</v>
      </c>
      <c r="AB91" s="67" t="n">
        <v>233</v>
      </c>
    </row>
    <row r="92" customFormat="false" ht="15" hidden="false" customHeight="true" outlineLevel="0" collapsed="false">
      <c r="A92" s="70" t="n">
        <v>45807</v>
      </c>
      <c r="B92" s="67" t="n">
        <v>415.09</v>
      </c>
      <c r="C92" s="67" t="n">
        <v>86.64</v>
      </c>
      <c r="D92" s="67" t="n">
        <v>730.1</v>
      </c>
      <c r="E92" s="67" t="n">
        <v>239.31</v>
      </c>
      <c r="F92" s="67" t="n">
        <v>117.84</v>
      </c>
      <c r="G92" s="67" t="n">
        <v>75.12</v>
      </c>
      <c r="H92" s="67" t="n">
        <v>94.22</v>
      </c>
      <c r="I92" s="67" t="n">
        <v>134.79</v>
      </c>
      <c r="J92" s="67" t="n">
        <v>103.38</v>
      </c>
      <c r="K92" s="67" t="n">
        <v>131.78</v>
      </c>
      <c r="L92" s="67" t="n">
        <v>190</v>
      </c>
      <c r="M92" s="67" t="n">
        <v>107.75</v>
      </c>
      <c r="N92" s="67" t="n">
        <v>442.05</v>
      </c>
      <c r="O92" s="67" t="n">
        <v>86.17</v>
      </c>
      <c r="P92" s="67" t="n">
        <v>124.36</v>
      </c>
      <c r="Q92" s="67" t="n">
        <v>60.66</v>
      </c>
      <c r="R92" s="67" t="n">
        <v>44.78</v>
      </c>
      <c r="S92" s="67" t="n">
        <v>104.1</v>
      </c>
      <c r="T92" s="67" t="n">
        <v>33.26</v>
      </c>
      <c r="U92" s="67" t="n">
        <v>24.8</v>
      </c>
      <c r="V92" s="67" t="n">
        <v>361.66</v>
      </c>
      <c r="W92" s="67" t="n">
        <v>124.36</v>
      </c>
      <c r="X92" s="67"/>
      <c r="Y92" s="67" t="n">
        <v>49.96</v>
      </c>
      <c r="Z92" s="67" t="n">
        <v>244.31</v>
      </c>
      <c r="AA92" s="67" t="n">
        <v>120.72</v>
      </c>
      <c r="AB92" s="67" t="n">
        <v>279.7</v>
      </c>
    </row>
    <row r="93" customFormat="false" ht="15" hidden="false" customHeight="true" outlineLevel="0" collapsed="false">
      <c r="A93" s="70" t="n">
        <v>45814</v>
      </c>
      <c r="B93" s="67" t="n">
        <v>416.92</v>
      </c>
      <c r="C93" s="67" t="n">
        <v>97.25</v>
      </c>
      <c r="D93" s="67" t="n">
        <v>746.2</v>
      </c>
      <c r="E93" s="67" t="n">
        <v>244.11</v>
      </c>
      <c r="F93" s="67" t="n">
        <v>117.1</v>
      </c>
      <c r="G93" s="67" t="n">
        <v>80.19</v>
      </c>
      <c r="H93" s="67" t="n">
        <v>108.28</v>
      </c>
      <c r="I93" s="67" t="n">
        <v>141.36</v>
      </c>
      <c r="J93" s="67" t="n">
        <v>103.56</v>
      </c>
      <c r="K93" s="67" t="n">
        <v>127.72</v>
      </c>
      <c r="L93" s="67" t="n">
        <v>201.66</v>
      </c>
      <c r="M93" s="67" t="n">
        <v>115.17</v>
      </c>
      <c r="N93" s="67" t="n">
        <v>450.5</v>
      </c>
      <c r="O93" s="67" t="n">
        <v>87.76</v>
      </c>
      <c r="P93" s="67" t="n">
        <v>124.82</v>
      </c>
      <c r="Q93" s="67" t="n">
        <v>61.25</v>
      </c>
      <c r="R93" s="67" t="n">
        <v>45.37</v>
      </c>
      <c r="S93" s="67" t="n">
        <v>105.65</v>
      </c>
      <c r="T93" s="67" t="n">
        <v>34.04</v>
      </c>
      <c r="U93" s="67" t="n">
        <v>25.15</v>
      </c>
      <c r="V93" s="67" t="n">
        <v>366.64</v>
      </c>
      <c r="W93" s="67" t="n">
        <v>125.73</v>
      </c>
      <c r="X93" s="67"/>
      <c r="Y93" s="67" t="n">
        <v>50.4</v>
      </c>
      <c r="Z93" s="67" t="n">
        <v>253.97</v>
      </c>
      <c r="AA93" s="67" t="n">
        <v>124.15</v>
      </c>
      <c r="AB93" s="67" t="n">
        <v>285.36</v>
      </c>
    </row>
    <row r="94" customFormat="false" ht="15" hidden="false" customHeight="true" outlineLevel="0" collapsed="false">
      <c r="A94" s="70" t="n">
        <v>45821</v>
      </c>
      <c r="B94" s="67" t="n">
        <v>391.68</v>
      </c>
      <c r="C94" s="67" t="n">
        <v>92.35</v>
      </c>
      <c r="D94" s="67" t="n">
        <v>754.11</v>
      </c>
      <c r="E94" s="67" t="n">
        <v>245.86</v>
      </c>
      <c r="F94" s="67" t="n">
        <v>120.15</v>
      </c>
      <c r="G94" s="67" t="n">
        <v>86.11</v>
      </c>
      <c r="H94" s="67" t="n">
        <v>115.31</v>
      </c>
      <c r="I94" s="67" t="n">
        <v>141.62</v>
      </c>
      <c r="J94" s="67" t="n">
        <v>102.12</v>
      </c>
      <c r="K94" s="67" t="n">
        <v>137.4</v>
      </c>
      <c r="L94" s="67" t="n">
        <v>208.23</v>
      </c>
      <c r="M94" s="67" t="n">
        <v>110.78</v>
      </c>
      <c r="N94" s="67" t="n">
        <v>455.45</v>
      </c>
      <c r="O94" s="67" t="n">
        <v>87.23</v>
      </c>
      <c r="P94" s="67" t="n">
        <v>124.38</v>
      </c>
      <c r="Q94" s="67" t="n">
        <v>61.24</v>
      </c>
      <c r="R94" s="67" t="n">
        <v>45.28</v>
      </c>
      <c r="S94" s="67" t="n">
        <v>104.9</v>
      </c>
      <c r="T94" s="67" t="n">
        <v>34.49</v>
      </c>
      <c r="U94" s="67" t="n">
        <v>25.49</v>
      </c>
      <c r="V94" s="67" t="n">
        <v>349.44</v>
      </c>
      <c r="W94" s="67" t="n">
        <v>125.82</v>
      </c>
      <c r="X94" s="67"/>
      <c r="Y94" s="67" t="n">
        <v>50.4</v>
      </c>
      <c r="Z94" s="67" t="n">
        <v>235.06</v>
      </c>
      <c r="AA94" s="67" t="n">
        <v>121.21</v>
      </c>
      <c r="AB94" s="67" t="n">
        <v>282.55</v>
      </c>
    </row>
    <row r="95" customFormat="false" ht="15" hidden="false" customHeight="true" outlineLevel="0" collapsed="false">
      <c r="A95" s="70" t="n">
        <v>45828</v>
      </c>
      <c r="B95" s="67" t="n">
        <v>376.92</v>
      </c>
      <c r="C95" s="67" t="n">
        <v>86.25</v>
      </c>
      <c r="D95" s="67" t="n">
        <v>749.68</v>
      </c>
      <c r="E95" s="67" t="n">
        <v>247.72</v>
      </c>
      <c r="F95" s="67" t="n">
        <v>119.07</v>
      </c>
      <c r="G95" s="67" t="n">
        <v>84.36</v>
      </c>
      <c r="H95" s="67" t="n">
        <v>123.29</v>
      </c>
      <c r="I95" s="67" t="n">
        <v>143.5</v>
      </c>
      <c r="J95" s="67" t="n">
        <v>101.57</v>
      </c>
      <c r="K95" s="67" t="n">
        <v>137.3</v>
      </c>
      <c r="L95" s="67" t="n">
        <v>206.66</v>
      </c>
      <c r="M95" s="67" t="n">
        <v>118.38</v>
      </c>
      <c r="N95" s="67" t="n">
        <v>440.87</v>
      </c>
      <c r="O95" s="67" t="n">
        <v>87.38</v>
      </c>
      <c r="P95" s="67" t="n">
        <v>124.75</v>
      </c>
      <c r="Q95" s="67" t="n">
        <v>61.29</v>
      </c>
      <c r="R95" s="67" t="n">
        <v>45.42</v>
      </c>
      <c r="S95" s="67" t="n">
        <v>105.64</v>
      </c>
      <c r="T95" s="67" t="n">
        <v>34.45</v>
      </c>
      <c r="U95" s="67" t="n">
        <v>25.3</v>
      </c>
      <c r="V95" s="67" t="n">
        <v>335.29</v>
      </c>
      <c r="W95" s="67" t="n">
        <v>125.77</v>
      </c>
      <c r="X95" s="67"/>
      <c r="Y95" s="67" t="n">
        <v>50.14</v>
      </c>
      <c r="Z95" s="67" t="n">
        <v>237.81</v>
      </c>
      <c r="AA95" s="67" t="n">
        <v>123.14</v>
      </c>
      <c r="AB95" s="67" t="n">
        <v>280.08</v>
      </c>
    </row>
    <row r="96" customFormat="false" ht="15" hidden="false" customHeight="true" outlineLevel="0" collapsed="false">
      <c r="A96" s="70" t="n">
        <v>45835</v>
      </c>
      <c r="B96" s="67" t="n">
        <v>385.83</v>
      </c>
      <c r="C96" s="67" t="n">
        <v>99.39</v>
      </c>
      <c r="D96" s="67" t="n">
        <v>788.74</v>
      </c>
      <c r="E96" s="67" t="n">
        <v>266.9</v>
      </c>
      <c r="F96" s="67" t="n">
        <v>124.83</v>
      </c>
      <c r="G96" s="67" t="n">
        <v>88.32</v>
      </c>
      <c r="H96" s="67" t="n">
        <v>124.44</v>
      </c>
      <c r="I96" s="67" t="n">
        <v>157.36</v>
      </c>
      <c r="J96" s="67" t="n">
        <v>101.5</v>
      </c>
      <c r="K96" s="67" t="n">
        <v>130.74</v>
      </c>
      <c r="L96" s="67" t="n">
        <v>225.46</v>
      </c>
      <c r="M96" s="67" t="n">
        <v>126.99</v>
      </c>
      <c r="N96" s="67" t="n">
        <v>441.3</v>
      </c>
      <c r="O96" s="67" t="n">
        <v>89.61</v>
      </c>
      <c r="P96" s="67" t="n">
        <v>126.47</v>
      </c>
      <c r="Q96" s="67" t="n">
        <v>62.05</v>
      </c>
      <c r="R96" s="67" t="n">
        <v>46.73</v>
      </c>
      <c r="S96" s="67" t="n">
        <v>110.73</v>
      </c>
      <c r="T96" s="67" t="n">
        <v>34.75</v>
      </c>
      <c r="U96" s="67" t="n">
        <v>25.25</v>
      </c>
      <c r="V96" s="67" t="n">
        <v>345.24</v>
      </c>
      <c r="W96" s="67" t="n">
        <v>128.58</v>
      </c>
      <c r="X96" s="67"/>
      <c r="Y96" s="67" t="n">
        <v>50.96</v>
      </c>
      <c r="Z96" s="67" t="n">
        <v>252.85</v>
      </c>
      <c r="AA96" s="67" t="n">
        <v>132.31</v>
      </c>
      <c r="AB96" s="67" t="n">
        <v>283.41</v>
      </c>
    </row>
    <row r="97" customFormat="false" ht="15" hidden="false" customHeight="true" outlineLevel="0" collapsed="false">
      <c r="A97" s="70" t="n">
        <v>45842</v>
      </c>
      <c r="B97" s="67" t="n">
        <v>379.31</v>
      </c>
      <c r="C97" s="67" t="n">
        <v>102.52</v>
      </c>
      <c r="D97" s="67" t="n">
        <v>787.3</v>
      </c>
      <c r="E97" s="67" t="n">
        <v>272.68</v>
      </c>
      <c r="F97" s="67" t="n">
        <v>128.52</v>
      </c>
      <c r="G97" s="67" t="n">
        <v>91.76</v>
      </c>
      <c r="H97" s="67" t="n">
        <v>121.98</v>
      </c>
      <c r="I97" s="67" t="n">
        <v>158.95</v>
      </c>
      <c r="J97" s="67" t="n">
        <v>103.81</v>
      </c>
      <c r="K97" s="67" t="n">
        <v>134.36</v>
      </c>
      <c r="L97" s="67" t="n">
        <v>231.61</v>
      </c>
      <c r="M97" s="67" t="n">
        <v>127.67</v>
      </c>
      <c r="N97" s="67" t="n">
        <v>459.62</v>
      </c>
      <c r="O97" s="67" t="n">
        <v>93.34</v>
      </c>
      <c r="P97" s="67" t="n">
        <v>130.79</v>
      </c>
      <c r="Q97" s="67" t="n">
        <v>62.46</v>
      </c>
      <c r="R97" s="67" t="n">
        <v>47.06</v>
      </c>
      <c r="S97" s="67" t="n">
        <v>111.39</v>
      </c>
      <c r="T97" s="67" t="n">
        <v>35.18</v>
      </c>
      <c r="U97" s="67" t="n">
        <v>26.17</v>
      </c>
      <c r="V97" s="67" t="n">
        <v>355.39</v>
      </c>
      <c r="W97" s="67" t="n">
        <v>131.78</v>
      </c>
      <c r="X97" s="67"/>
      <c r="Y97" s="67" t="n">
        <v>51.59</v>
      </c>
      <c r="Z97" s="67" t="n">
        <v>245.27</v>
      </c>
      <c r="AA97" s="67" t="n">
        <v>129.72</v>
      </c>
      <c r="AB97" s="67" t="n">
        <v>284.29</v>
      </c>
    </row>
    <row r="98" customFormat="false" ht="15" hidden="false" customHeight="true" outlineLevel="0" collapsed="false">
      <c r="A98" s="70" t="n">
        <v>45849</v>
      </c>
      <c r="B98" s="67" t="n">
        <v>363.35</v>
      </c>
      <c r="C98" s="67" t="n">
        <v>108.57</v>
      </c>
      <c r="D98" s="67" t="n">
        <v>794.67</v>
      </c>
      <c r="E98" s="67" t="n">
        <v>271.89</v>
      </c>
      <c r="F98" s="67" t="n">
        <v>119.61</v>
      </c>
      <c r="G98" s="67" t="n">
        <v>91.76</v>
      </c>
      <c r="H98" s="67" t="n">
        <v>124.33</v>
      </c>
      <c r="I98" s="67" t="n">
        <v>164.52</v>
      </c>
      <c r="J98" s="67" t="n">
        <v>104.91</v>
      </c>
      <c r="K98" s="67" t="n">
        <v>142.1</v>
      </c>
      <c r="L98" s="67" t="n">
        <v>227.27</v>
      </c>
      <c r="M98" s="67" t="n">
        <v>123.13</v>
      </c>
      <c r="N98" s="67" t="n">
        <v>468.85</v>
      </c>
      <c r="O98" s="67" t="n">
        <v>93.22</v>
      </c>
      <c r="P98" s="67" t="n">
        <v>130.35</v>
      </c>
      <c r="Q98" s="67" t="n">
        <v>62.56</v>
      </c>
      <c r="R98" s="67" t="n">
        <v>47.23</v>
      </c>
      <c r="S98" s="67" t="n">
        <v>111.05</v>
      </c>
      <c r="T98" s="67" t="n">
        <v>35.27</v>
      </c>
      <c r="U98" s="67" t="n">
        <v>26.15</v>
      </c>
      <c r="V98" s="67" t="n">
        <v>344.56</v>
      </c>
      <c r="W98" s="67" t="n">
        <v>130.89</v>
      </c>
      <c r="X98" s="67"/>
      <c r="Y98" s="67" t="n">
        <v>51.41</v>
      </c>
      <c r="Z98" s="67" t="n">
        <v>254.13</v>
      </c>
      <c r="AA98" s="67" t="n">
        <v>124.51</v>
      </c>
      <c r="AB98" s="67" t="n">
        <v>275.89</v>
      </c>
    </row>
    <row r="99" customFormat="false" ht="15" hidden="false" customHeight="true" outlineLevel="0" collapsed="false">
      <c r="A99" s="70" t="n">
        <v>45856</v>
      </c>
      <c r="B99" s="67" t="n">
        <v>365.79</v>
      </c>
      <c r="C99" s="67" t="n">
        <v>111.78</v>
      </c>
      <c r="D99" s="67" t="n">
        <v>727.93</v>
      </c>
      <c r="E99" s="67" t="n">
        <v>280.77</v>
      </c>
      <c r="F99" s="67" t="n">
        <v>118.99</v>
      </c>
      <c r="G99" s="67" t="n">
        <v>92.41</v>
      </c>
      <c r="H99" s="67" t="n">
        <v>114.21</v>
      </c>
      <c r="I99" s="67" t="n">
        <v>171.99</v>
      </c>
      <c r="J99" s="67" t="n">
        <v>102.61</v>
      </c>
      <c r="K99" s="67" t="n">
        <v>153.52</v>
      </c>
      <c r="L99" s="67" t="n">
        <v>237.13</v>
      </c>
      <c r="M99" s="67" t="n">
        <v>128.89</v>
      </c>
      <c r="N99" s="67" t="n">
        <v>459.81</v>
      </c>
      <c r="O99" s="67" t="n">
        <v>92.12</v>
      </c>
      <c r="P99" s="67" t="n">
        <v>129.8</v>
      </c>
      <c r="Q99" s="67" t="n">
        <v>62.78</v>
      </c>
      <c r="R99" s="67" t="n">
        <v>47.52</v>
      </c>
      <c r="S99" s="67" t="n">
        <v>112.7</v>
      </c>
      <c r="T99" s="67" t="n">
        <v>34.52</v>
      </c>
      <c r="U99" s="67" t="n">
        <v>25.86</v>
      </c>
      <c r="V99" s="67" t="n">
        <v>345.67</v>
      </c>
      <c r="W99" s="67" t="n">
        <v>130.69</v>
      </c>
      <c r="X99" s="67"/>
      <c r="Y99" s="67" t="n">
        <v>51.6</v>
      </c>
      <c r="Z99" s="67" t="n">
        <v>261.94</v>
      </c>
      <c r="AA99" s="67" t="n">
        <v>120.92</v>
      </c>
      <c r="AB99" s="67" t="n">
        <v>282.29</v>
      </c>
    </row>
    <row r="100" customFormat="false" ht="15" hidden="false" customHeight="true" outlineLevel="0" collapsed="false">
      <c r="A100" s="70" t="n">
        <v>45863</v>
      </c>
      <c r="B100" s="67" t="n">
        <v>370.74</v>
      </c>
      <c r="C100" s="67" t="n">
        <v>114.28</v>
      </c>
      <c r="D100" s="67" t="n">
        <v>704.81</v>
      </c>
      <c r="E100" s="67" t="n">
        <v>287.55</v>
      </c>
      <c r="F100" s="67" t="n">
        <v>116.98</v>
      </c>
      <c r="G100" s="67" t="n">
        <v>89.53</v>
      </c>
      <c r="H100" s="67" t="n">
        <v>111.08</v>
      </c>
      <c r="I100" s="67" t="n">
        <v>173.08</v>
      </c>
      <c r="J100" s="67" t="n">
        <v>105.99</v>
      </c>
      <c r="K100" s="67" t="n">
        <v>158.8</v>
      </c>
      <c r="L100" s="67" t="n">
        <v>242.26</v>
      </c>
      <c r="M100" s="67" t="n">
        <v>137.29</v>
      </c>
      <c r="N100" s="67" t="n">
        <v>469.65</v>
      </c>
      <c r="O100" s="67" t="n">
        <v>93.48</v>
      </c>
      <c r="P100" s="67" t="n">
        <v>132.16</v>
      </c>
      <c r="Q100" s="67" t="n">
        <v>62.92</v>
      </c>
      <c r="R100" s="67" t="n">
        <v>47.86</v>
      </c>
      <c r="S100" s="67" t="n">
        <v>113.89</v>
      </c>
      <c r="T100" s="67" t="n">
        <v>35.28</v>
      </c>
      <c r="U100" s="67" t="n">
        <v>26.14</v>
      </c>
      <c r="V100" s="67" t="n">
        <v>353.59</v>
      </c>
      <c r="W100" s="67" t="n">
        <v>132.54</v>
      </c>
      <c r="X100" s="67"/>
      <c r="Y100" s="67" t="n">
        <v>51.92</v>
      </c>
      <c r="Z100" s="67" t="n">
        <v>270.22</v>
      </c>
      <c r="AA100" s="67" t="n">
        <v>118.05</v>
      </c>
      <c r="AB100" s="67" t="n">
        <v>290.41</v>
      </c>
    </row>
    <row r="101" customFormat="false" ht="15" hidden="false" customHeight="true" outlineLevel="0" collapsed="false">
      <c r="A101" s="70" t="n">
        <v>45870</v>
      </c>
      <c r="B101" s="67" t="n">
        <v>347.8</v>
      </c>
      <c r="C101" s="67" t="n">
        <v>117.57</v>
      </c>
      <c r="D101" s="67" t="n">
        <v>685.31</v>
      </c>
      <c r="E101" s="67" t="n">
        <v>286.02</v>
      </c>
      <c r="F101" s="67" t="n">
        <v>111.67</v>
      </c>
      <c r="G101" s="67" t="n">
        <v>88</v>
      </c>
      <c r="H101" s="67" t="n">
        <v>104.71</v>
      </c>
      <c r="I101" s="67" t="n">
        <v>173.3</v>
      </c>
      <c r="J101" s="67" t="n">
        <v>100.82</v>
      </c>
      <c r="K101" s="67" t="n">
        <v>154.27</v>
      </c>
      <c r="L101" s="67" t="n">
        <v>232.01</v>
      </c>
      <c r="M101" s="67" t="n">
        <v>141.4</v>
      </c>
      <c r="N101" s="67" t="n">
        <v>462.13</v>
      </c>
      <c r="O101" s="67" t="n">
        <v>88.78</v>
      </c>
      <c r="P101" s="67" t="n">
        <v>128.19</v>
      </c>
      <c r="Q101" s="67" t="n">
        <v>62.26</v>
      </c>
      <c r="R101" s="67" t="n">
        <v>47.13</v>
      </c>
      <c r="S101" s="67" t="n">
        <v>112.1</v>
      </c>
      <c r="T101" s="67" t="n">
        <v>33.8</v>
      </c>
      <c r="U101" s="67" t="n">
        <v>25.24</v>
      </c>
      <c r="V101" s="67" t="n">
        <v>336.07</v>
      </c>
      <c r="W101" s="67" t="n">
        <v>128.95</v>
      </c>
      <c r="X101" s="67"/>
      <c r="Y101" s="67" t="n">
        <v>50.69</v>
      </c>
      <c r="Z101" s="67" t="n">
        <v>268.02</v>
      </c>
      <c r="AA101" s="67" t="n">
        <v>115.86</v>
      </c>
      <c r="AB101" s="67" t="n">
        <v>281.35</v>
      </c>
    </row>
    <row r="102" customFormat="false" ht="15" hidden="false" customHeight="true" outlineLevel="0" collapsed="false">
      <c r="A102" s="70" t="n">
        <v>45877</v>
      </c>
      <c r="B102" s="67" t="n">
        <v>341.05</v>
      </c>
      <c r="C102" s="67" t="n">
        <v>139.18</v>
      </c>
      <c r="D102" s="67" t="n">
        <v>717.59</v>
      </c>
      <c r="E102" s="67" t="n">
        <v>302.2</v>
      </c>
      <c r="F102" s="67" t="n">
        <v>106.12</v>
      </c>
      <c r="G102" s="67" t="n">
        <v>90.79</v>
      </c>
      <c r="H102" s="67" t="n">
        <v>118.7</v>
      </c>
      <c r="I102" s="67" t="n">
        <v>182.25</v>
      </c>
      <c r="J102" s="67" t="n">
        <v>101.56</v>
      </c>
      <c r="K102" s="67" t="n">
        <v>186.96</v>
      </c>
      <c r="L102" s="67" t="n">
        <v>238.54</v>
      </c>
      <c r="M102" s="67" t="n">
        <v>139.74</v>
      </c>
      <c r="N102" s="67" t="n">
        <v>366.54</v>
      </c>
      <c r="O102" s="67" t="n">
        <v>90.85</v>
      </c>
      <c r="P102" s="67" t="n">
        <v>130.26</v>
      </c>
      <c r="Q102" s="67" t="n">
        <v>62.98</v>
      </c>
      <c r="R102" s="67" t="n">
        <v>48.46</v>
      </c>
      <c r="S102" s="67" t="n">
        <v>116.02</v>
      </c>
      <c r="T102" s="67" t="n">
        <v>34.14</v>
      </c>
      <c r="U102" s="67" t="n">
        <v>25.72</v>
      </c>
      <c r="V102" s="67" t="n">
        <v>333.52</v>
      </c>
      <c r="W102" s="67" t="n">
        <v>131.32</v>
      </c>
      <c r="X102" s="67"/>
      <c r="Y102" s="67" t="n">
        <v>51.1</v>
      </c>
      <c r="Z102" s="67" t="n">
        <v>273.62</v>
      </c>
      <c r="AA102" s="67" t="n">
        <v>121.16</v>
      </c>
      <c r="AB102" s="67" t="n">
        <v>282.13</v>
      </c>
    </row>
    <row r="103" customFormat="false" ht="15" hidden="false" customHeight="true" outlineLevel="0" collapsed="false">
      <c r="A103" s="70" t="n">
        <v>45884</v>
      </c>
      <c r="B103" s="67" t="n">
        <v>354.85</v>
      </c>
      <c r="C103" s="67" t="n">
        <v>137.3</v>
      </c>
      <c r="D103" s="67" t="n">
        <v>737.3</v>
      </c>
      <c r="E103" s="67" t="n">
        <v>303.56</v>
      </c>
      <c r="F103" s="67" t="n">
        <v>106.97</v>
      </c>
      <c r="G103" s="67" t="n">
        <v>86.84</v>
      </c>
      <c r="H103" s="67" t="n">
        <v>120.68</v>
      </c>
      <c r="I103" s="67" t="n">
        <v>180.01</v>
      </c>
      <c r="J103" s="67" t="n">
        <v>102.43</v>
      </c>
      <c r="K103" s="67" t="n">
        <v>177.17</v>
      </c>
      <c r="L103" s="67" t="n">
        <v>235.63</v>
      </c>
      <c r="M103" s="67" t="n">
        <v>132.89</v>
      </c>
      <c r="N103" s="67" t="n">
        <v>392.79</v>
      </c>
      <c r="O103" s="67" t="n">
        <v>93.56</v>
      </c>
      <c r="P103" s="67" t="n">
        <v>132.26</v>
      </c>
      <c r="Q103" s="67" t="n">
        <v>63.44</v>
      </c>
      <c r="R103" s="67" t="n">
        <v>48.88</v>
      </c>
      <c r="S103" s="67" t="n">
        <v>116.14</v>
      </c>
      <c r="T103" s="67" t="n">
        <v>35.49</v>
      </c>
      <c r="U103" s="67" t="n">
        <v>26.15</v>
      </c>
      <c r="V103" s="67" t="n">
        <v>341.74</v>
      </c>
      <c r="W103" s="67" t="n">
        <v>132.92</v>
      </c>
      <c r="X103" s="67"/>
      <c r="Y103" s="67" t="n">
        <v>51.68</v>
      </c>
      <c r="Z103" s="67" t="n">
        <v>266.5</v>
      </c>
      <c r="AA103" s="67" t="n">
        <v>123.89</v>
      </c>
      <c r="AB103" s="67" t="n">
        <v>280.61</v>
      </c>
    </row>
    <row r="104" customFormat="false" ht="15" hidden="false" customHeight="true" outlineLevel="0" collapsed="false">
      <c r="A104" s="70" t="n">
        <v>45891</v>
      </c>
      <c r="B104" s="67" t="n">
        <v>362.09</v>
      </c>
      <c r="C104" s="67" t="n">
        <v>133.25</v>
      </c>
      <c r="D104" s="67" t="n">
        <v>749.95</v>
      </c>
      <c r="E104" s="67" t="n">
        <v>291.33</v>
      </c>
      <c r="F104" s="67" t="n">
        <v>105.14</v>
      </c>
      <c r="G104" s="67" t="n">
        <v>86.56</v>
      </c>
      <c r="H104" s="67" t="n">
        <v>117.49</v>
      </c>
      <c r="I104" s="67" t="n">
        <v>177.55</v>
      </c>
      <c r="J104" s="67" t="n">
        <v>107.9</v>
      </c>
      <c r="K104" s="67" t="n">
        <v>158.74</v>
      </c>
      <c r="L104" s="67" t="n">
        <v>229.82</v>
      </c>
      <c r="M104" s="67" t="n">
        <v>125.8</v>
      </c>
      <c r="N104" s="67" t="n">
        <v>395.12</v>
      </c>
      <c r="O104" s="67" t="n">
        <v>97.28</v>
      </c>
      <c r="P104" s="67" t="n">
        <v>136.08</v>
      </c>
      <c r="Q104" s="67" t="n">
        <v>63.67</v>
      </c>
      <c r="R104" s="67" t="n">
        <v>48.76</v>
      </c>
      <c r="S104" s="67" t="n">
        <v>115.35</v>
      </c>
      <c r="T104" s="67" t="n">
        <v>36.41</v>
      </c>
      <c r="U104" s="67" t="n">
        <v>26.75</v>
      </c>
      <c r="V104" s="67" t="n">
        <v>347.26</v>
      </c>
      <c r="W104" s="67" t="n">
        <v>135.03</v>
      </c>
      <c r="X104" s="67"/>
      <c r="Y104" s="67" t="n">
        <v>52.3</v>
      </c>
      <c r="Z104" s="67" t="n">
        <v>265.18</v>
      </c>
      <c r="AA104" s="67" t="n">
        <v>120.46</v>
      </c>
      <c r="AB104" s="67" t="n">
        <v>290.86</v>
      </c>
    </row>
    <row r="105" customFormat="false" ht="15" hidden="false" customHeight="true" outlineLevel="0" collapsed="false">
      <c r="A105" s="70" t="n">
        <v>45898</v>
      </c>
      <c r="B105" s="67" t="n">
        <v>356.7</v>
      </c>
      <c r="C105" s="67" t="n">
        <v>136.55</v>
      </c>
      <c r="D105" s="67" t="n">
        <v>737.76</v>
      </c>
      <c r="E105" s="67" t="n">
        <v>294.69</v>
      </c>
      <c r="F105" s="67" t="n">
        <v>105.93</v>
      </c>
      <c r="G105" s="67" t="n">
        <v>86.73</v>
      </c>
      <c r="H105" s="67" t="n">
        <v>118.82</v>
      </c>
      <c r="I105" s="67" t="n">
        <v>173.75</v>
      </c>
      <c r="J105" s="67" t="n">
        <v>109.34</v>
      </c>
      <c r="K105" s="67" t="n">
        <v>156.71</v>
      </c>
      <c r="L105" s="67" t="n">
        <v>227.73</v>
      </c>
      <c r="M105" s="67" t="n">
        <v>127.38</v>
      </c>
      <c r="N105" s="67" t="n">
        <v>391.02</v>
      </c>
      <c r="O105" s="67" t="n">
        <v>98.1</v>
      </c>
      <c r="P105" s="67" t="n">
        <v>135.78</v>
      </c>
      <c r="Q105" s="67" t="n">
        <v>63.68</v>
      </c>
      <c r="R105" s="67" t="n">
        <v>48.77</v>
      </c>
      <c r="S105" s="67" t="n">
        <v>115.32</v>
      </c>
      <c r="T105" s="67" t="n">
        <v>36.74</v>
      </c>
      <c r="U105" s="67" t="n">
        <v>26.72</v>
      </c>
      <c r="V105" s="67" t="n">
        <v>348.99</v>
      </c>
      <c r="W105" s="67" t="n">
        <v>135.05</v>
      </c>
      <c r="X105" s="67"/>
      <c r="Y105" s="67" t="n">
        <v>52.1</v>
      </c>
      <c r="Z105" s="67" t="n">
        <v>273.81</v>
      </c>
      <c r="AA105" s="67" t="n">
        <v>120.82</v>
      </c>
      <c r="AB105" s="67" t="n">
        <v>269.2</v>
      </c>
    </row>
    <row r="106" customFormat="false" ht="15" hidden="false" customHeight="true" outlineLevel="0" collapsed="false">
      <c r="A106" s="70" t="n">
        <v>45905</v>
      </c>
      <c r="B106" s="67" t="n">
        <v>348.97</v>
      </c>
      <c r="C106" s="67" t="n">
        <v>142.85</v>
      </c>
      <c r="D106" s="67" t="n">
        <v>776.58</v>
      </c>
      <c r="E106" s="67" t="n">
        <v>331.85</v>
      </c>
      <c r="F106" s="67" t="n">
        <v>104.41</v>
      </c>
      <c r="G106" s="67" t="n">
        <v>90.02</v>
      </c>
      <c r="H106" s="67" t="n">
        <v>131.16</v>
      </c>
      <c r="I106" s="67" t="n">
        <v>166.61</v>
      </c>
      <c r="J106" s="67" t="n">
        <v>109.22</v>
      </c>
      <c r="K106" s="67" t="n">
        <v>153.11</v>
      </c>
      <c r="L106" s="67" t="n">
        <v>240.1</v>
      </c>
      <c r="M106" s="67" t="n">
        <v>123.83</v>
      </c>
      <c r="N106" s="67" t="n">
        <v>396.12</v>
      </c>
      <c r="O106" s="67" t="n">
        <v>99.17</v>
      </c>
      <c r="P106" s="67" t="n">
        <v>135.66</v>
      </c>
      <c r="Q106" s="67" t="n">
        <v>63.82</v>
      </c>
      <c r="R106" s="67" t="n">
        <v>49.25</v>
      </c>
      <c r="S106" s="67" t="n">
        <v>115.89</v>
      </c>
      <c r="T106" s="67" t="n">
        <v>37.02</v>
      </c>
      <c r="U106" s="67" t="n">
        <v>26.45</v>
      </c>
      <c r="V106" s="67" t="n">
        <v>340.5</v>
      </c>
      <c r="W106" s="67" t="n">
        <v>135.4</v>
      </c>
      <c r="X106" s="67"/>
      <c r="Y106" s="67" t="n">
        <v>52.1</v>
      </c>
      <c r="Z106" s="67" t="n">
        <v>277.82</v>
      </c>
      <c r="AA106" s="67" t="n">
        <v>124.38</v>
      </c>
      <c r="AB106" s="67" t="n">
        <v>272.93</v>
      </c>
    </row>
    <row r="107" customFormat="false" ht="15" hidden="false" customHeight="true" outlineLevel="0" collapsed="false">
      <c r="A107" s="70" t="n">
        <v>45912</v>
      </c>
      <c r="B107" s="67" t="n">
        <v>349.36</v>
      </c>
      <c r="C107" s="67" t="n">
        <v>139.39</v>
      </c>
      <c r="D107" s="67" t="n">
        <v>808.54</v>
      </c>
      <c r="E107" s="67" t="n">
        <v>356.6</v>
      </c>
      <c r="F107" s="67" t="n">
        <v>109.03</v>
      </c>
      <c r="G107" s="67" t="n">
        <v>95.88</v>
      </c>
      <c r="H107" s="67" t="n">
        <v>156.98</v>
      </c>
      <c r="I107" s="67" t="n">
        <v>177.4</v>
      </c>
      <c r="J107" s="67" t="n">
        <v>110.85</v>
      </c>
      <c r="K107" s="67" t="n">
        <v>171.43</v>
      </c>
      <c r="L107" s="67" t="n">
        <v>255.81</v>
      </c>
      <c r="M107" s="67" t="n">
        <v>134.66</v>
      </c>
      <c r="N107" s="67" t="n">
        <v>394.53</v>
      </c>
      <c r="O107" s="67" t="n">
        <v>98.38</v>
      </c>
      <c r="P107" s="67" t="n">
        <v>135.84</v>
      </c>
      <c r="Q107" s="67" t="n">
        <v>64.36</v>
      </c>
      <c r="R107" s="67" t="n">
        <v>49.92</v>
      </c>
      <c r="S107" s="67" t="n">
        <v>119.28</v>
      </c>
      <c r="T107" s="67" t="n">
        <v>37.05</v>
      </c>
      <c r="U107" s="67" t="n">
        <v>26.3</v>
      </c>
      <c r="V107" s="67" t="n">
        <v>336.74</v>
      </c>
      <c r="W107" s="67" t="n">
        <v>137.18</v>
      </c>
      <c r="X107" s="67"/>
      <c r="Y107" s="67" t="n">
        <v>52.21</v>
      </c>
      <c r="Z107" s="67" t="n">
        <v>280.27</v>
      </c>
      <c r="AA107" s="67" t="n">
        <v>118.84</v>
      </c>
      <c r="AB107" s="67" t="n">
        <v>276.43</v>
      </c>
    </row>
    <row r="108" customFormat="false" ht="15" hidden="false" customHeight="true" outlineLevel="0" collapsed="false">
      <c r="A108" s="70" t="n">
        <v>45919</v>
      </c>
      <c r="B108" s="67" t="n">
        <v>365.9</v>
      </c>
      <c r="C108" s="67" t="n">
        <v>149.61</v>
      </c>
      <c r="D108" s="67" t="n">
        <v>926.05</v>
      </c>
      <c r="E108" s="67" t="n">
        <v>341.81</v>
      </c>
      <c r="F108" s="67" t="n">
        <v>125.64</v>
      </c>
      <c r="G108" s="67" t="n">
        <v>103.92</v>
      </c>
      <c r="H108" s="67" t="n">
        <v>162.47</v>
      </c>
      <c r="I108" s="67" t="n">
        <v>176.25</v>
      </c>
      <c r="J108" s="67" t="n">
        <v>110.05</v>
      </c>
      <c r="K108" s="67" t="n">
        <v>182.39</v>
      </c>
      <c r="L108" s="67" t="n">
        <v>262.1</v>
      </c>
      <c r="M108" s="67" t="n">
        <v>143.45</v>
      </c>
      <c r="N108" s="67" t="n">
        <v>383.12</v>
      </c>
      <c r="O108" s="67" t="n">
        <v>98.94</v>
      </c>
      <c r="P108" s="67" t="n">
        <v>135.46</v>
      </c>
      <c r="Q108" s="67" t="n">
        <v>64.49</v>
      </c>
      <c r="R108" s="67" t="n">
        <v>50.47</v>
      </c>
      <c r="S108" s="67" t="n">
        <v>120.72</v>
      </c>
      <c r="T108" s="67" t="n">
        <v>37</v>
      </c>
      <c r="U108" s="67" t="n">
        <v>26.15</v>
      </c>
      <c r="V108" s="67" t="n">
        <v>338.9</v>
      </c>
      <c r="W108" s="67" t="n">
        <v>137.1</v>
      </c>
      <c r="X108" s="67"/>
      <c r="Y108" s="67" t="n">
        <v>52.17</v>
      </c>
      <c r="Z108" s="67" t="n">
        <v>299.62</v>
      </c>
      <c r="AA108" s="67" t="n">
        <v>122.7</v>
      </c>
      <c r="AB108" s="67" t="n">
        <v>277.79</v>
      </c>
    </row>
    <row r="109" customFormat="false" ht="15" hidden="false" customHeight="true" outlineLevel="0" collapsed="false">
      <c r="A109" s="70" t="n">
        <v>45926</v>
      </c>
      <c r="B109" s="67" t="n">
        <v>360.37</v>
      </c>
      <c r="C109" s="67" t="n">
        <v>142.5</v>
      </c>
      <c r="D109" s="67" t="n">
        <v>945.29</v>
      </c>
      <c r="E109" s="67" t="n">
        <v>332.06</v>
      </c>
      <c r="F109" s="67" t="n">
        <v>120.36</v>
      </c>
      <c r="G109" s="67" t="n">
        <v>105.86</v>
      </c>
      <c r="H109" s="67" t="n">
        <v>157.02</v>
      </c>
      <c r="I109" s="67" t="n">
        <v>177.76</v>
      </c>
      <c r="J109" s="67" t="n">
        <v>110.71</v>
      </c>
      <c r="K109" s="67" t="n">
        <v>177.57</v>
      </c>
      <c r="L109" s="67" t="n">
        <v>270.5</v>
      </c>
      <c r="M109" s="67" t="n">
        <v>138.47</v>
      </c>
      <c r="N109" s="67" t="n">
        <v>385.74</v>
      </c>
      <c r="O109" s="67" t="n">
        <v>99.24</v>
      </c>
      <c r="P109" s="67" t="n">
        <v>136.5</v>
      </c>
      <c r="Q109" s="67" t="n">
        <v>64.51</v>
      </c>
      <c r="R109" s="67" t="n">
        <v>50.55</v>
      </c>
      <c r="S109" s="67" t="n">
        <v>119.57</v>
      </c>
      <c r="T109" s="67" t="n">
        <v>37.29</v>
      </c>
      <c r="U109" s="67" t="n">
        <v>26.29</v>
      </c>
      <c r="V109" s="67" t="n">
        <v>334.69</v>
      </c>
      <c r="W109" s="67" t="n">
        <v>137.42</v>
      </c>
      <c r="X109" s="67"/>
      <c r="Y109" s="67" t="n">
        <v>52.24</v>
      </c>
      <c r="Z109" s="67" t="n">
        <v>293.49</v>
      </c>
      <c r="AA109" s="67" t="n">
        <v>121.06</v>
      </c>
      <c r="AB109" s="67" t="n">
        <v>290.27</v>
      </c>
    </row>
    <row r="110" customFormat="false" ht="15" hidden="false" customHeight="true" outlineLevel="0" collapsed="false">
      <c r="A110" s="70" t="n">
        <v>45933</v>
      </c>
      <c r="B110" s="67" t="n">
        <v>346.74</v>
      </c>
      <c r="C110" s="67" t="n">
        <v>145.5</v>
      </c>
      <c r="D110" s="67" t="n">
        <v>1025.47</v>
      </c>
      <c r="E110" s="67" t="n">
        <v>335.87</v>
      </c>
      <c r="F110" s="67" t="n">
        <v>122.47</v>
      </c>
      <c r="G110" s="67" t="n">
        <v>109.56</v>
      </c>
      <c r="H110" s="67" t="n">
        <v>187.65</v>
      </c>
      <c r="I110" s="67" t="n">
        <v>187.17</v>
      </c>
      <c r="J110" s="67" t="n">
        <v>113.5</v>
      </c>
      <c r="K110" s="67" t="n">
        <v>173.07</v>
      </c>
      <c r="L110" s="67" t="n">
        <v>289.13</v>
      </c>
      <c r="M110" s="67" t="n">
        <v>160.03</v>
      </c>
      <c r="N110" s="67" t="n">
        <v>403.3</v>
      </c>
      <c r="O110" s="67" t="n">
        <v>99.35</v>
      </c>
      <c r="P110" s="67" t="n">
        <v>138.19</v>
      </c>
      <c r="Q110" s="67" t="n">
        <v>64.72</v>
      </c>
      <c r="R110" s="67" t="n">
        <v>50.97</v>
      </c>
      <c r="S110" s="67" t="n">
        <v>119.08</v>
      </c>
      <c r="T110" s="67" t="n">
        <v>37.42</v>
      </c>
      <c r="U110" s="67" t="n">
        <v>26.48</v>
      </c>
      <c r="V110" s="67" t="n">
        <v>347.06</v>
      </c>
      <c r="W110" s="67" t="n">
        <v>138.17</v>
      </c>
      <c r="X110" s="67"/>
      <c r="Y110" s="67" t="n">
        <v>52.66</v>
      </c>
      <c r="Z110" s="67" t="n">
        <v>295.86</v>
      </c>
      <c r="AA110" s="67" t="n">
        <v>115.33</v>
      </c>
      <c r="AB110" s="67" t="n">
        <v>296.28</v>
      </c>
    </row>
    <row r="111" customFormat="false" ht="15" hidden="false" customHeight="true" outlineLevel="0" collapsed="false">
      <c r="A111" s="70" t="n">
        <v>45940</v>
      </c>
      <c r="B111" s="67" t="n">
        <v>337.51</v>
      </c>
      <c r="C111" s="67" t="n">
        <v>154.1</v>
      </c>
      <c r="D111" s="67" t="n">
        <v>930.06</v>
      </c>
      <c r="E111" s="67" t="n">
        <v>322.23</v>
      </c>
      <c r="F111" s="67" t="n">
        <v>123.42</v>
      </c>
      <c r="G111" s="67" t="n">
        <v>97.75</v>
      </c>
      <c r="H111" s="67" t="n">
        <v>181.42</v>
      </c>
      <c r="I111" s="67" t="n">
        <v>182.72</v>
      </c>
      <c r="J111" s="67" t="n">
        <v>107.84</v>
      </c>
      <c r="K111" s="67" t="n">
        <v>175.44</v>
      </c>
      <c r="L111" s="67" t="n">
        <v>277.72</v>
      </c>
      <c r="M111" s="67" t="n">
        <v>168.83</v>
      </c>
      <c r="N111" s="67" t="n">
        <v>407.79</v>
      </c>
      <c r="O111" s="67" t="n">
        <v>93.95</v>
      </c>
      <c r="P111" s="67" t="n">
        <v>133.41</v>
      </c>
      <c r="Q111" s="67" t="n">
        <v>63.9</v>
      </c>
      <c r="R111" s="67" t="n">
        <v>50.12</v>
      </c>
      <c r="S111" s="67" t="n">
        <v>117.51</v>
      </c>
      <c r="T111" s="67" t="n">
        <v>36.18</v>
      </c>
      <c r="U111" s="67" t="n">
        <v>25.64</v>
      </c>
      <c r="V111" s="67" t="n">
        <v>340.92</v>
      </c>
      <c r="W111" s="67" t="n">
        <v>134.19</v>
      </c>
      <c r="X111" s="67"/>
      <c r="Y111" s="67" t="n">
        <v>51.71</v>
      </c>
      <c r="Z111" s="67" t="n">
        <v>290.37</v>
      </c>
      <c r="AA111" s="67" t="n">
        <v>122.01</v>
      </c>
      <c r="AB111" s="67" t="n">
        <v>286.59</v>
      </c>
    </row>
    <row r="112" customFormat="false" ht="15" hidden="false" customHeight="true" outlineLevel="0" collapsed="false">
      <c r="A112" s="70" t="n">
        <v>45947</v>
      </c>
      <c r="B112" s="67" t="n">
        <v>333.26</v>
      </c>
      <c r="C112" s="67" t="n">
        <v>143.1</v>
      </c>
      <c r="D112" s="67" t="n">
        <v>1022.53</v>
      </c>
      <c r="E112" s="67" t="n">
        <v>346.75</v>
      </c>
      <c r="F112" s="67" t="n">
        <v>121.16</v>
      </c>
      <c r="G112" s="67" t="n">
        <v>110.07</v>
      </c>
      <c r="H112" s="67" t="n">
        <v>202.18</v>
      </c>
      <c r="I112" s="67" t="n">
        <v>182.78</v>
      </c>
      <c r="J112" s="67" t="n">
        <v>120.3</v>
      </c>
      <c r="K112" s="67" t="n">
        <v>178.15</v>
      </c>
      <c r="L112" s="67" t="n">
        <v>291.99</v>
      </c>
      <c r="M112" s="67" t="n">
        <v>173.81</v>
      </c>
      <c r="N112" s="67" t="n">
        <v>416.81</v>
      </c>
      <c r="O112" s="67" t="n">
        <v>95.79</v>
      </c>
      <c r="P112" s="67" t="n">
        <v>135.37</v>
      </c>
      <c r="Q112" s="67" t="n">
        <v>64.53</v>
      </c>
      <c r="R112" s="67" t="n">
        <v>51.15</v>
      </c>
      <c r="S112" s="67" t="n">
        <v>119.41</v>
      </c>
      <c r="T112" s="67" t="n">
        <v>36.69</v>
      </c>
      <c r="U112" s="67" t="n">
        <v>25.88</v>
      </c>
      <c r="V112" s="67" t="n">
        <v>339.18</v>
      </c>
      <c r="W112" s="67" t="n">
        <v>136.76</v>
      </c>
      <c r="X112" s="67"/>
      <c r="Y112" s="67" t="n">
        <v>52.5</v>
      </c>
      <c r="Z112" s="67" t="n">
        <v>298.99</v>
      </c>
      <c r="AA112" s="67" t="n">
        <v>119.94</v>
      </c>
      <c r="AB112" s="67" t="n">
        <v>283.73</v>
      </c>
    </row>
    <row r="113" customFormat="false" ht="15" hidden="false" customHeight="true" outlineLevel="0" collapsed="false">
      <c r="A113" s="70" t="n">
        <v>45954</v>
      </c>
      <c r="B113" s="67" t="n">
        <v>353.52</v>
      </c>
      <c r="C113" s="67" t="n">
        <v>153.82</v>
      </c>
      <c r="D113" s="67" t="n">
        <v>1026.34</v>
      </c>
      <c r="E113" s="67" t="n">
        <v>351.52</v>
      </c>
      <c r="F113" s="67" t="n">
        <v>131.83</v>
      </c>
      <c r="G113" s="67" t="n">
        <v>117.65</v>
      </c>
      <c r="H113" s="67" t="n">
        <v>218.81</v>
      </c>
      <c r="I113" s="67" t="n">
        <v>185.81</v>
      </c>
      <c r="J113" s="67" t="n">
        <v>122.58</v>
      </c>
      <c r="K113" s="67" t="n">
        <v>184.63</v>
      </c>
      <c r="L113" s="67" t="n">
        <v>291.87</v>
      </c>
      <c r="M113" s="67" t="n">
        <v>185.86</v>
      </c>
      <c r="N113" s="67" t="n">
        <v>421.39</v>
      </c>
      <c r="O113" s="67" t="n">
        <v>98.61</v>
      </c>
      <c r="P113" s="67" t="n">
        <v>137.67</v>
      </c>
      <c r="Q113" s="67" t="n">
        <v>65.18</v>
      </c>
      <c r="R113" s="67" t="n">
        <v>52.1</v>
      </c>
      <c r="S113" s="67" t="n">
        <v>120.69</v>
      </c>
      <c r="T113" s="67" t="n">
        <v>37.64</v>
      </c>
      <c r="U113" s="67" t="n">
        <v>26.11</v>
      </c>
      <c r="V113" s="67" t="n">
        <v>344.62</v>
      </c>
      <c r="W113" s="67" t="n">
        <v>138.24</v>
      </c>
      <c r="X113" s="67"/>
      <c r="Y113" s="67" t="n">
        <v>53.05</v>
      </c>
      <c r="Z113" s="67" t="n">
        <v>302.7</v>
      </c>
      <c r="AA113" s="67" t="n">
        <v>109.47</v>
      </c>
      <c r="AB113" s="67" t="n">
        <v>293.02</v>
      </c>
    </row>
    <row r="114" customFormat="false" ht="15" hidden="false" customHeight="true" outlineLevel="0" collapsed="false">
      <c r="A114" s="70" t="n">
        <v>45961</v>
      </c>
      <c r="B114" s="67" t="n">
        <v>340.31</v>
      </c>
      <c r="C114" s="67" t="n">
        <v>157.69</v>
      </c>
      <c r="D114" s="67" t="n">
        <v>1054.17</v>
      </c>
      <c r="E114" s="67" t="n">
        <v>366.9</v>
      </c>
      <c r="F114" s="67" t="n">
        <v>135.75</v>
      </c>
      <c r="G114" s="67" t="n">
        <v>120.23</v>
      </c>
      <c r="H114" s="67" t="n">
        <v>223.55</v>
      </c>
      <c r="I114" s="67" t="n">
        <v>202.01</v>
      </c>
      <c r="J114" s="67" t="n">
        <v>120.31</v>
      </c>
      <c r="K114" s="67" t="n">
        <v>200.47</v>
      </c>
      <c r="L114" s="67" t="n">
        <v>297.28</v>
      </c>
      <c r="M114" s="67" t="n">
        <v>192.65</v>
      </c>
      <c r="N114" s="67" t="n">
        <v>425.57</v>
      </c>
      <c r="O114" s="67" t="n">
        <v>96.52</v>
      </c>
      <c r="P114" s="67" t="n">
        <v>134.39</v>
      </c>
      <c r="Q114" s="67" t="n">
        <v>65.22</v>
      </c>
      <c r="R114" s="67" t="n">
        <v>52.59</v>
      </c>
      <c r="S114" s="67" t="n">
        <v>120.68</v>
      </c>
      <c r="T114" s="67" t="n">
        <v>37.41</v>
      </c>
      <c r="U114" s="67" t="n">
        <v>25.84</v>
      </c>
      <c r="V114" s="67" t="n">
        <v>338.04</v>
      </c>
      <c r="W114" s="67" t="n">
        <v>137.22</v>
      </c>
      <c r="X114" s="67"/>
      <c r="Y114" s="67" t="n">
        <v>52.52</v>
      </c>
      <c r="Z114" s="67" t="n">
        <v>307.76</v>
      </c>
      <c r="AA114" s="67" t="n">
        <v>111.89</v>
      </c>
      <c r="AB114" s="67" t="n">
        <v>291.2</v>
      </c>
    </row>
    <row r="115" customFormat="false" ht="15" hidden="false" customHeight="true" outlineLevel="0" collapsed="false">
      <c r="A115" s="70" t="n">
        <v>45968</v>
      </c>
      <c r="B115" s="67" t="n">
        <v>326.95</v>
      </c>
      <c r="C115" s="67" t="n">
        <v>134.65</v>
      </c>
      <c r="D115" s="67" t="n">
        <v>1012.1</v>
      </c>
      <c r="E115" s="67" t="n">
        <v>346.85</v>
      </c>
      <c r="F115" s="67" t="n">
        <v>134.95</v>
      </c>
      <c r="G115" s="67" t="n">
        <v>118.7</v>
      </c>
      <c r="H115" s="67" t="n">
        <v>237.69</v>
      </c>
      <c r="I115" s="67" t="n">
        <v>187.7</v>
      </c>
      <c r="J115" s="67" t="n">
        <v>121.78</v>
      </c>
      <c r="K115" s="67" t="n">
        <v>177.93</v>
      </c>
      <c r="L115" s="67" t="n">
        <v>283.5</v>
      </c>
      <c r="M115" s="67" t="n">
        <v>179.61</v>
      </c>
      <c r="N115" s="67" t="n">
        <v>409.47</v>
      </c>
      <c r="O115" s="67" t="n">
        <v>96.46</v>
      </c>
      <c r="P115" s="67" t="n">
        <v>135.39</v>
      </c>
      <c r="Q115" s="67" t="n">
        <v>64.89</v>
      </c>
      <c r="R115" s="67" t="n">
        <v>51.77</v>
      </c>
      <c r="S115" s="67" t="n">
        <v>117.54</v>
      </c>
      <c r="T115" s="67" t="n">
        <v>37.49</v>
      </c>
      <c r="U115" s="67" t="n">
        <v>25.81</v>
      </c>
      <c r="V115" s="67" t="n">
        <v>333.35</v>
      </c>
      <c r="W115" s="67" t="n">
        <v>136.92</v>
      </c>
      <c r="X115" s="67"/>
      <c r="Y115" s="67" t="n">
        <v>52.44</v>
      </c>
      <c r="Z115" s="67" t="n">
        <v>306.09</v>
      </c>
      <c r="AA115" s="67" t="n">
        <v>110.37</v>
      </c>
      <c r="AB115" s="67" t="n">
        <v>294.86</v>
      </c>
    </row>
    <row r="116" customFormat="false" ht="15" hidden="false" customHeight="true" outlineLevel="0" collapsed="false">
      <c r="A116" s="70" t="n">
        <v>45975</v>
      </c>
      <c r="B116" s="67" t="n">
        <v>331.11</v>
      </c>
      <c r="C116" s="67" t="n">
        <v>131.37</v>
      </c>
      <c r="D116" s="67" t="n">
        <v>1002.17</v>
      </c>
      <c r="E116" s="67" t="n">
        <v>339.93</v>
      </c>
      <c r="F116" s="67" t="n">
        <v>134.39</v>
      </c>
      <c r="G116" s="67" t="n">
        <v>112.82</v>
      </c>
      <c r="H116" s="67" t="n">
        <v>246.59</v>
      </c>
      <c r="I116" s="67" t="n">
        <v>189.72</v>
      </c>
      <c r="J116" s="67" t="n">
        <v>119.09</v>
      </c>
      <c r="K116" s="67" t="n">
        <v>174.01</v>
      </c>
      <c r="L116" s="67" t="n">
        <v>281.84</v>
      </c>
      <c r="M116" s="67" t="n">
        <v>170.79</v>
      </c>
      <c r="N116" s="67" t="n">
        <v>437.15</v>
      </c>
      <c r="O116" s="67" t="n">
        <v>96.32</v>
      </c>
      <c r="P116" s="67" t="n">
        <v>135.81</v>
      </c>
      <c r="Q116" s="67" t="n">
        <v>64.99</v>
      </c>
      <c r="R116" s="67" t="n">
        <v>51.87</v>
      </c>
      <c r="S116" s="67" t="n">
        <v>116.84</v>
      </c>
      <c r="T116" s="67" t="n">
        <v>37.91</v>
      </c>
      <c r="U116" s="67" t="n">
        <v>26.32</v>
      </c>
      <c r="V116" s="67" t="n">
        <v>328.05</v>
      </c>
      <c r="W116" s="67" t="n">
        <v>137.64</v>
      </c>
      <c r="X116" s="67"/>
      <c r="Y116" s="67" t="n">
        <v>52.71</v>
      </c>
      <c r="Z116" s="67" t="n">
        <v>303.65</v>
      </c>
      <c r="AA116" s="67" t="n">
        <v>111.22</v>
      </c>
      <c r="AB116" s="67" t="n">
        <v>293.36</v>
      </c>
    </row>
    <row r="117" customFormat="false" ht="15" hidden="false" customHeight="true" outlineLevel="0" collapsed="false">
      <c r="A117" s="70" t="n">
        <v>45982</v>
      </c>
      <c r="B117" s="67" t="n">
        <v>324.19</v>
      </c>
      <c r="C117" s="67" t="n">
        <v>117.43</v>
      </c>
      <c r="D117" s="67" t="n">
        <v>961.95</v>
      </c>
      <c r="E117" s="67" t="n">
        <v>337.69</v>
      </c>
      <c r="F117" s="67" t="n">
        <v>122.67</v>
      </c>
      <c r="G117" s="67" t="n">
        <v>109.31</v>
      </c>
      <c r="H117" s="67" t="n">
        <v>207.17</v>
      </c>
      <c r="I117" s="67" t="n">
        <v>178.45</v>
      </c>
      <c r="J117" s="67" t="n">
        <v>121.96</v>
      </c>
      <c r="K117" s="67" t="n">
        <v>154.85</v>
      </c>
      <c r="L117" s="67" t="n">
        <v>272.18</v>
      </c>
      <c r="M117" s="67" t="n">
        <v>159.66</v>
      </c>
      <c r="N117" s="67" t="n">
        <v>426.76</v>
      </c>
      <c r="O117" s="67" t="n">
        <v>95.57</v>
      </c>
      <c r="P117" s="67" t="n">
        <v>135.14</v>
      </c>
      <c r="Q117" s="67" t="n">
        <v>64.41</v>
      </c>
      <c r="R117" s="67" t="n">
        <v>50.45</v>
      </c>
      <c r="S117" s="67" t="n">
        <v>113.34</v>
      </c>
      <c r="T117" s="67" t="n">
        <v>37.15</v>
      </c>
      <c r="U117" s="67" t="n">
        <v>26.18</v>
      </c>
      <c r="V117" s="67" t="n">
        <v>326.02</v>
      </c>
      <c r="W117" s="67" t="n">
        <v>136.75</v>
      </c>
      <c r="X117" s="67"/>
      <c r="Y117" s="67" t="n">
        <v>52.57</v>
      </c>
      <c r="Z117" s="67" t="n">
        <v>286.34</v>
      </c>
      <c r="AA117" s="67" t="n">
        <v>104.31</v>
      </c>
      <c r="AB117" s="67" t="n">
        <v>244.06</v>
      </c>
    </row>
    <row r="118" customFormat="false" ht="15" hidden="false" customHeight="true" outlineLevel="0" collapsed="false">
      <c r="A118" s="70" t="n">
        <v>45989</v>
      </c>
      <c r="B118" s="67" t="n">
        <v>320.13</v>
      </c>
      <c r="C118" s="67" t="n">
        <v>130.68</v>
      </c>
      <c r="D118" s="67" t="n">
        <v>1054.93</v>
      </c>
      <c r="E118" s="67" t="n">
        <v>399.99</v>
      </c>
      <c r="F118" s="67" t="n">
        <v>127.29</v>
      </c>
      <c r="G118" s="67" t="n">
        <v>117.11</v>
      </c>
      <c r="H118" s="67" t="n">
        <v>236.25</v>
      </c>
      <c r="I118" s="67" t="n">
        <v>176.58</v>
      </c>
      <c r="J118" s="67" t="n">
        <v>124.62</v>
      </c>
      <c r="K118" s="67" t="n">
        <v>168.45</v>
      </c>
      <c r="L118" s="67" t="n">
        <v>288.46</v>
      </c>
      <c r="M118" s="67" t="n">
        <v>179.61</v>
      </c>
      <c r="N118" s="67" t="n">
        <v>433.61</v>
      </c>
      <c r="O118" s="67" t="n">
        <v>99.81</v>
      </c>
      <c r="P118" s="67" t="n">
        <v>138.62</v>
      </c>
      <c r="Q118" s="67" t="n">
        <v>65.81</v>
      </c>
      <c r="R118" s="67" t="n">
        <v>52.76</v>
      </c>
      <c r="S118" s="67" t="n">
        <v>119.11</v>
      </c>
      <c r="T118" s="67" t="n">
        <v>38.42</v>
      </c>
      <c r="U118" s="67" t="n">
        <v>26.66</v>
      </c>
      <c r="V118" s="67" t="n">
        <v>332.44</v>
      </c>
      <c r="W118" s="67" t="n">
        <v>141.96</v>
      </c>
      <c r="X118" s="67"/>
      <c r="Y118" s="67" t="n">
        <v>53.8</v>
      </c>
      <c r="Z118" s="67" t="n">
        <v>297.3</v>
      </c>
      <c r="AA118" s="67" t="n">
        <v>107.58</v>
      </c>
      <c r="AB118" s="67" t="n">
        <v>240.29</v>
      </c>
    </row>
    <row r="119" customFormat="false" ht="15" hidden="false" customHeight="true" outlineLevel="0" collapsed="false">
      <c r="A119" s="70" t="n">
        <v>45996</v>
      </c>
      <c r="B119" s="67" t="n">
        <v>346.26</v>
      </c>
      <c r="C119" s="67" t="n">
        <v>128.59</v>
      </c>
      <c r="D119" s="67" t="n">
        <v>1094.21</v>
      </c>
      <c r="E119" s="67" t="n">
        <v>387.36</v>
      </c>
      <c r="F119" s="67" t="n">
        <v>128.01</v>
      </c>
      <c r="G119" s="67" t="n">
        <v>121</v>
      </c>
      <c r="H119" s="67" t="n">
        <v>236.99</v>
      </c>
      <c r="I119" s="67" t="n">
        <v>181.98</v>
      </c>
      <c r="J119" s="67" t="n">
        <v>124.08</v>
      </c>
      <c r="K119" s="67" t="n">
        <v>181.76</v>
      </c>
      <c r="L119" s="67" t="n">
        <v>291.63</v>
      </c>
      <c r="M119" s="67" t="n">
        <v>188.89</v>
      </c>
      <c r="N119" s="67" t="n">
        <v>455.48</v>
      </c>
      <c r="O119" s="67" t="n">
        <v>101.56</v>
      </c>
      <c r="P119" s="67" t="n">
        <v>136.97</v>
      </c>
      <c r="Q119" s="67" t="n">
        <v>65.96</v>
      </c>
      <c r="R119" s="67" t="n">
        <v>53.27</v>
      </c>
      <c r="S119" s="67" t="n">
        <v>119.84</v>
      </c>
      <c r="T119" s="67" t="n">
        <v>39.02</v>
      </c>
      <c r="U119" s="67" t="n">
        <v>26.77</v>
      </c>
      <c r="V119" s="67" t="n">
        <v>329.26</v>
      </c>
      <c r="W119" s="67" t="n">
        <v>141.74</v>
      </c>
      <c r="X119" s="67"/>
      <c r="Y119" s="67" t="n">
        <v>53.7</v>
      </c>
      <c r="Z119" s="67" t="n">
        <v>282.85</v>
      </c>
      <c r="AA119" s="67" t="n">
        <v>100.24</v>
      </c>
      <c r="AB119" s="67" t="n">
        <v>242</v>
      </c>
    </row>
    <row r="120" customFormat="false" ht="15" hidden="false" customHeight="true" outlineLevel="0" collapsed="false">
      <c r="A120" s="70" t="n">
        <v>46003</v>
      </c>
      <c r="B120" s="67" t="n">
        <v>356.43</v>
      </c>
      <c r="C120" s="67" t="n">
        <v>124.76</v>
      </c>
      <c r="D120" s="67" t="n">
        <v>1075.68</v>
      </c>
      <c r="E120" s="67" t="n">
        <v>357.27</v>
      </c>
      <c r="F120" s="67" t="n">
        <v>126.19</v>
      </c>
      <c r="G120" s="67" t="n">
        <v>118.95</v>
      </c>
      <c r="H120" s="67" t="n">
        <v>240.9</v>
      </c>
      <c r="I120" s="67" t="n">
        <v>174.61</v>
      </c>
      <c r="J120" s="67" t="n">
        <v>126.22</v>
      </c>
      <c r="K120" s="67" t="n">
        <v>183.57</v>
      </c>
      <c r="L120" s="67" t="n">
        <v>289.76</v>
      </c>
      <c r="M120" s="67" t="n">
        <v>161.16</v>
      </c>
      <c r="N120" s="67" t="n">
        <v>452.04</v>
      </c>
      <c r="O120" s="67" t="n">
        <v>103.74</v>
      </c>
      <c r="P120" s="67" t="n">
        <v>139.19</v>
      </c>
      <c r="Q120" s="67" t="n">
        <v>65.88</v>
      </c>
      <c r="R120" s="67" t="n">
        <v>52.69</v>
      </c>
      <c r="S120" s="67" t="n">
        <v>118.1</v>
      </c>
      <c r="T120" s="67" t="n">
        <v>39.44</v>
      </c>
      <c r="U120" s="67" t="n">
        <v>27.02</v>
      </c>
      <c r="V120" s="67" t="n">
        <v>345.75</v>
      </c>
      <c r="W120" s="67" t="n">
        <v>142.52</v>
      </c>
      <c r="X120" s="67"/>
      <c r="Y120" s="67" t="n">
        <v>53.98</v>
      </c>
      <c r="Z120" s="67" t="n">
        <v>298.66</v>
      </c>
      <c r="AA120" s="67" t="n">
        <v>95.19</v>
      </c>
      <c r="AB120" s="67" t="n">
        <v>223.26</v>
      </c>
    </row>
    <row r="121" customFormat="false" ht="15" hidden="false" customHeight="true" outlineLevel="0" collapsed="false">
      <c r="A121" s="70" t="n">
        <v>46010</v>
      </c>
      <c r="B121" s="67" t="n">
        <v>355.86</v>
      </c>
      <c r="C121" s="67" t="n">
        <v>131.12</v>
      </c>
      <c r="D121" s="67" t="n">
        <v>1050.97</v>
      </c>
      <c r="E121" s="67" t="n">
        <v>337.85</v>
      </c>
      <c r="F121" s="67" t="n">
        <v>120.32</v>
      </c>
      <c r="G121" s="67" t="n">
        <v>124.11</v>
      </c>
      <c r="H121" s="67" t="n">
        <v>265.66</v>
      </c>
      <c r="I121" s="67" t="n">
        <v>180.57</v>
      </c>
      <c r="J121" s="67" t="n">
        <v>124.32</v>
      </c>
      <c r="K121" s="67" t="n">
        <v>193.38</v>
      </c>
      <c r="L121" s="67" t="n">
        <v>286.7</v>
      </c>
      <c r="M121" s="67" t="n">
        <v>159.71</v>
      </c>
      <c r="N121" s="67" t="n">
        <v>456.2</v>
      </c>
      <c r="O121" s="67" t="n">
        <v>102.8</v>
      </c>
      <c r="P121" s="67" t="n">
        <v>138.55</v>
      </c>
      <c r="Q121" s="67" t="n">
        <v>66.03</v>
      </c>
      <c r="R121" s="67" t="n">
        <v>53.08</v>
      </c>
      <c r="S121" s="67" t="n">
        <v>118.53</v>
      </c>
      <c r="T121" s="67" t="n">
        <v>39.27</v>
      </c>
      <c r="U121" s="67" t="n">
        <v>26.8</v>
      </c>
      <c r="V121" s="67" t="n">
        <v>347.17</v>
      </c>
      <c r="W121" s="67" t="n">
        <v>140.83</v>
      </c>
      <c r="X121" s="67" t="n">
        <v>44.15</v>
      </c>
      <c r="Y121" s="67" t="n">
        <v>53.8</v>
      </c>
      <c r="Z121" s="67" t="n">
        <v>306.03</v>
      </c>
      <c r="AA121" s="67" t="n">
        <v>94.39</v>
      </c>
      <c r="AB121" s="67" t="n">
        <v>221.86</v>
      </c>
    </row>
    <row r="122" customFormat="false" ht="15" hidden="false" customHeight="true" outlineLevel="0" collapsed="false">
      <c r="A122" s="70" t="n">
        <v>46017</v>
      </c>
      <c r="B122" s="67" t="n">
        <v>353.8</v>
      </c>
      <c r="C122" s="67" t="n">
        <v>131.84</v>
      </c>
      <c r="D122" s="67" t="n">
        <v>1067.62</v>
      </c>
      <c r="E122" s="67" t="n">
        <v>350.2</v>
      </c>
      <c r="F122" s="67" t="n">
        <v>120.3</v>
      </c>
      <c r="G122" s="67" t="n">
        <v>127.49</v>
      </c>
      <c r="H122" s="67" t="n">
        <v>284.51</v>
      </c>
      <c r="I122" s="67" t="n">
        <v>190.09</v>
      </c>
      <c r="J122" s="67" t="n">
        <v>125.76</v>
      </c>
      <c r="K122" s="67" t="n">
        <v>188.71</v>
      </c>
      <c r="L122" s="67" t="n">
        <v>300.48</v>
      </c>
      <c r="M122" s="67" t="n">
        <v>167.46</v>
      </c>
      <c r="N122" s="67" t="n">
        <v>462.9</v>
      </c>
      <c r="O122" s="67" t="n">
        <v>102.71</v>
      </c>
      <c r="P122" s="67" t="n">
        <v>139.28</v>
      </c>
      <c r="Q122" s="67" t="n">
        <v>66.73</v>
      </c>
      <c r="R122" s="67" t="n">
        <v>53.74</v>
      </c>
      <c r="S122" s="67" t="n">
        <v>120.66</v>
      </c>
      <c r="T122" s="67" t="n">
        <v>39.53</v>
      </c>
      <c r="U122" s="67" t="n">
        <v>26.98</v>
      </c>
      <c r="V122" s="67" t="n">
        <v>352.88</v>
      </c>
      <c r="W122" s="67" t="n">
        <v>142.56</v>
      </c>
      <c r="X122" s="67" t="n">
        <v>44.85</v>
      </c>
      <c r="Y122" s="67" t="n">
        <v>54.25</v>
      </c>
      <c r="Z122" s="67" t="n">
        <v>313.93</v>
      </c>
      <c r="AA122" s="67" t="n">
        <v>94.47</v>
      </c>
      <c r="AB122" s="67" t="n">
        <v>224.65</v>
      </c>
    </row>
    <row r="123" customFormat="false" ht="15" hidden="false" customHeight="true" outlineLevel="0" collapsed="false">
      <c r="A123" s="70" t="n">
        <v>46024</v>
      </c>
      <c r="B123" s="67" t="n">
        <v>333.3</v>
      </c>
      <c r="C123" s="67" t="n">
        <v>133.6</v>
      </c>
      <c r="D123" s="67" t="n">
        <v>1158.22</v>
      </c>
      <c r="E123" s="67" t="n">
        <v>345.71</v>
      </c>
      <c r="F123" s="67" t="n">
        <v>113.39</v>
      </c>
      <c r="G123" s="67" t="n">
        <v>126.98</v>
      </c>
      <c r="H123" s="67" t="n">
        <v>315.24</v>
      </c>
      <c r="I123" s="67" t="n">
        <v>188.41</v>
      </c>
      <c r="J123" s="67" t="n">
        <v>126.1</v>
      </c>
      <c r="K123" s="67" t="n">
        <v>167.86</v>
      </c>
      <c r="L123" s="67" t="n">
        <v>317.12</v>
      </c>
      <c r="M123" s="67" t="n">
        <v>175.49</v>
      </c>
      <c r="N123" s="67" t="n">
        <v>452.13</v>
      </c>
      <c r="O123" s="67" t="n">
        <v>102.14</v>
      </c>
      <c r="P123" s="67" t="n">
        <v>139.29</v>
      </c>
      <c r="Q123" s="67" t="n">
        <v>66.18</v>
      </c>
      <c r="R123" s="67" t="n">
        <v>53.12</v>
      </c>
      <c r="S123" s="67" t="n">
        <v>118.96</v>
      </c>
      <c r="T123" s="67" t="n">
        <v>39.16</v>
      </c>
      <c r="U123" s="67" t="n">
        <v>27.06</v>
      </c>
      <c r="V123" s="67" t="n">
        <v>344.41</v>
      </c>
      <c r="W123" s="67" t="n">
        <v>142.24</v>
      </c>
      <c r="X123" s="67" t="n">
        <v>45.31</v>
      </c>
      <c r="Y123" s="67" t="n">
        <v>53.99</v>
      </c>
      <c r="Z123" s="67" t="n">
        <v>319.88</v>
      </c>
      <c r="AA123" s="67" t="n">
        <v>90.99</v>
      </c>
      <c r="AB123" s="67" t="n">
        <v>219.49</v>
      </c>
    </row>
    <row r="124" customFormat="false" ht="15" hidden="false" customHeight="true" outlineLevel="0" collapsed="false">
      <c r="A124" s="70" t="n">
        <v>46031</v>
      </c>
      <c r="B124" s="67" t="n">
        <v>333.95</v>
      </c>
      <c r="C124" s="67" t="n">
        <v>122.89</v>
      </c>
      <c r="D124" s="67" t="n">
        <v>1267.79</v>
      </c>
      <c r="E124" s="67" t="n">
        <v>343.08</v>
      </c>
      <c r="F124" s="67" t="n">
        <v>117.65</v>
      </c>
      <c r="G124" s="67" t="n">
        <v>139.48</v>
      </c>
      <c r="H124" s="67" t="n">
        <v>344.89</v>
      </c>
      <c r="I124" s="67" t="n">
        <v>184.43</v>
      </c>
      <c r="J124" s="67" t="n">
        <v>126.44</v>
      </c>
      <c r="K124" s="67" t="n">
        <v>177.49</v>
      </c>
      <c r="L124" s="67" t="n">
        <v>321.11</v>
      </c>
      <c r="M124" s="67" t="n">
        <v>163.47</v>
      </c>
      <c r="N124" s="67" t="n">
        <v>463.86</v>
      </c>
      <c r="O124" s="67" t="n">
        <v>106.31</v>
      </c>
      <c r="P124" s="67" t="n">
        <v>142.21</v>
      </c>
      <c r="Q124" s="67" t="n">
        <v>66.78</v>
      </c>
      <c r="R124" s="67" t="n">
        <v>54.1</v>
      </c>
      <c r="S124" s="67" t="n">
        <v>119.31</v>
      </c>
      <c r="T124" s="67" t="n">
        <v>40.17</v>
      </c>
      <c r="U124" s="67" t="n">
        <v>27.86</v>
      </c>
      <c r="V124" s="67" t="n">
        <v>347.68</v>
      </c>
      <c r="W124" s="67" t="n">
        <v>144.69</v>
      </c>
      <c r="X124" s="67" t="n">
        <v>44.4</v>
      </c>
      <c r="Y124" s="67" t="n">
        <v>54.87</v>
      </c>
      <c r="Z124" s="67" t="n">
        <v>320.72</v>
      </c>
      <c r="AA124" s="67" t="n">
        <v>89.46</v>
      </c>
      <c r="AB124" s="67" t="n">
        <v>240.12</v>
      </c>
    </row>
    <row r="125" customFormat="false" ht="15" hidden="false" customHeight="true" outlineLevel="0" collapsed="false">
      <c r="A125" s="70" t="n">
        <v>46038</v>
      </c>
      <c r="B125" s="67" t="n">
        <v>296.12</v>
      </c>
      <c r="C125" s="67" t="n">
        <v>129.83</v>
      </c>
      <c r="D125" s="67" t="n">
        <v>1352.07</v>
      </c>
      <c r="E125" s="67" t="n">
        <v>349.78</v>
      </c>
      <c r="F125" s="67" t="n">
        <v>113.47</v>
      </c>
      <c r="G125" s="67" t="n">
        <v>156.2</v>
      </c>
      <c r="H125" s="67" t="n">
        <v>362.54</v>
      </c>
      <c r="I125" s="67" t="n">
        <v>185.8</v>
      </c>
      <c r="J125" s="67" t="n">
        <v>130.16</v>
      </c>
      <c r="K125" s="67" t="n">
        <v>170.96</v>
      </c>
      <c r="L125" s="67" t="n">
        <v>339.73</v>
      </c>
      <c r="M125" s="67" t="n">
        <v>176.81</v>
      </c>
      <c r="N125" s="67" t="n">
        <v>441.36</v>
      </c>
      <c r="O125" s="67" t="n">
        <v>107.48</v>
      </c>
      <c r="P125" s="67" t="n">
        <v>144.06</v>
      </c>
      <c r="Q125" s="67" t="n">
        <v>66.48</v>
      </c>
      <c r="R125" s="67" t="n">
        <v>53.88</v>
      </c>
      <c r="S125" s="67" t="n">
        <v>119.28</v>
      </c>
      <c r="T125" s="67" t="n">
        <v>39.35</v>
      </c>
      <c r="U125" s="67" t="n">
        <v>28.21</v>
      </c>
      <c r="V125" s="67" t="n">
        <v>326.34</v>
      </c>
      <c r="W125" s="67" t="n">
        <v>146.28</v>
      </c>
      <c r="X125" s="67" t="n">
        <v>45.69</v>
      </c>
      <c r="Y125" s="67" t="n">
        <v>55.02</v>
      </c>
      <c r="Z125" s="67" t="n">
        <v>324.24</v>
      </c>
      <c r="AA125" s="67" t="n">
        <v>88</v>
      </c>
      <c r="AB125" s="67" t="n">
        <v>222.21</v>
      </c>
    </row>
    <row r="126" customFormat="false" ht="15" hidden="false" customHeight="true" outlineLevel="0" collapsed="false">
      <c r="A126" s="70" t="n">
        <v>46045</v>
      </c>
      <c r="B126" s="67" t="n">
        <v>301.07</v>
      </c>
      <c r="C126" s="67" t="n">
        <v>136.34</v>
      </c>
      <c r="D126" s="67" t="n">
        <v>1382.4</v>
      </c>
      <c r="E126" s="67" t="n">
        <v>318.3</v>
      </c>
      <c r="F126" s="67" t="n">
        <v>113.12</v>
      </c>
      <c r="G126" s="67" t="n">
        <v>150.72</v>
      </c>
      <c r="H126" s="67" t="n">
        <v>399.42</v>
      </c>
      <c r="I126" s="67" t="n">
        <v>187.23</v>
      </c>
      <c r="J126" s="67" t="n">
        <v>124.24</v>
      </c>
      <c r="K126" s="67" t="n">
        <v>169.6</v>
      </c>
      <c r="L126" s="67" t="n">
        <v>332.26</v>
      </c>
      <c r="M126" s="67" t="n">
        <v>182.36</v>
      </c>
      <c r="N126" s="67" t="n">
        <v>468.41</v>
      </c>
      <c r="O126" s="67" t="n">
        <v>107.46</v>
      </c>
      <c r="P126" s="67" t="n">
        <v>144.42</v>
      </c>
      <c r="Q126" s="67" t="n">
        <v>66.46</v>
      </c>
      <c r="R126" s="67" t="n">
        <v>54.16</v>
      </c>
      <c r="S126" s="67" t="n">
        <v>117.22</v>
      </c>
      <c r="T126" s="67" t="n">
        <v>39.6</v>
      </c>
      <c r="U126" s="67" t="n">
        <v>28.44</v>
      </c>
      <c r="V126" s="67" t="n">
        <v>324.23</v>
      </c>
      <c r="W126" s="67" t="n">
        <v>145.12</v>
      </c>
      <c r="X126" s="67" t="n">
        <v>46.75</v>
      </c>
      <c r="Y126" s="67" t="n">
        <v>54.99</v>
      </c>
      <c r="Z126" s="67" t="n">
        <v>293.08</v>
      </c>
      <c r="AA126" s="67" t="n">
        <v>86.12</v>
      </c>
      <c r="AB126" s="67" t="n">
        <v>222</v>
      </c>
    </row>
    <row r="127" customFormat="false" ht="15" hidden="false" customHeight="true" outlineLevel="0" collapsed="false">
      <c r="A127" s="70" t="n">
        <v>46052</v>
      </c>
      <c r="B127" s="67" t="n">
        <v>293.25</v>
      </c>
      <c r="C127" s="67" t="n">
        <v>141.74</v>
      </c>
      <c r="D127" s="67" t="n">
        <v>1416.2</v>
      </c>
      <c r="E127" s="67" t="n">
        <v>329.48</v>
      </c>
      <c r="F127" s="67" t="n">
        <v>110.35</v>
      </c>
      <c r="G127" s="67" t="n">
        <v>142.27</v>
      </c>
      <c r="H127" s="67" t="n">
        <v>414.64</v>
      </c>
      <c r="I127" s="67" t="n">
        <v>190.68</v>
      </c>
      <c r="J127" s="67" t="n">
        <v>127.57</v>
      </c>
      <c r="K127" s="67" t="n">
        <v>146.59</v>
      </c>
      <c r="L127" s="67" t="n">
        <v>327.98</v>
      </c>
      <c r="M127" s="67" t="n">
        <v>186.05</v>
      </c>
      <c r="N127" s="67" t="n">
        <v>469.9</v>
      </c>
      <c r="O127" s="67" t="n">
        <v>108.24</v>
      </c>
      <c r="P127" s="67" t="n">
        <v>146.93</v>
      </c>
      <c r="Q127" s="67" t="n">
        <v>66.7</v>
      </c>
      <c r="R127" s="67" t="n">
        <v>54.35</v>
      </c>
      <c r="S127" s="67" t="n">
        <v>119.15</v>
      </c>
      <c r="T127" s="67" t="n">
        <v>39.21</v>
      </c>
      <c r="U127" s="67" t="n">
        <v>29.1</v>
      </c>
      <c r="V127" s="67" t="n">
        <v>319.91</v>
      </c>
      <c r="W127" s="67" t="n">
        <v>147.35</v>
      </c>
      <c r="X127" s="67" t="n">
        <v>47.61</v>
      </c>
      <c r="Y127" s="67" t="n">
        <v>55.16</v>
      </c>
      <c r="Z127" s="67" t="n">
        <v>305.96</v>
      </c>
      <c r="AA127" s="67" t="n">
        <v>83.49</v>
      </c>
      <c r="AB127" s="67" t="n">
        <v>203.92</v>
      </c>
    </row>
    <row r="128" customFormat="false" ht="15" hidden="false" customHeight="true" outlineLevel="0" collapsed="false">
      <c r="A128" s="70" t="n">
        <v>46059</v>
      </c>
      <c r="B128" s="67" t="n">
        <v>268.38</v>
      </c>
      <c r="C128" s="67" t="n">
        <v>137.49</v>
      </c>
      <c r="D128" s="67" t="n">
        <v>1406.25</v>
      </c>
      <c r="E128" s="67" t="n">
        <v>331.1</v>
      </c>
      <c r="F128" s="67" t="n">
        <v>98.88</v>
      </c>
      <c r="G128" s="67" t="n">
        <v>143.76</v>
      </c>
      <c r="H128" s="67" t="n">
        <v>394.46</v>
      </c>
      <c r="I128" s="67" t="n">
        <v>184.98</v>
      </c>
      <c r="J128" s="67" t="n">
        <v>133.82</v>
      </c>
      <c r="K128" s="67" t="n">
        <v>135.9</v>
      </c>
      <c r="L128" s="67" t="n">
        <v>346.13</v>
      </c>
      <c r="M128" s="67" t="n">
        <v>195.44</v>
      </c>
      <c r="N128" s="67" t="n">
        <v>477.92</v>
      </c>
      <c r="O128" s="67" t="n">
        <v>114.1</v>
      </c>
      <c r="P128" s="67" t="n">
        <v>151.79</v>
      </c>
      <c r="Q128" s="67" t="n">
        <v>66.89</v>
      </c>
      <c r="R128" s="67" t="n">
        <v>53.51</v>
      </c>
      <c r="S128" s="67" t="n">
        <v>119.12</v>
      </c>
      <c r="T128" s="67" t="n">
        <v>40.17</v>
      </c>
      <c r="U128" s="67" t="n">
        <v>30.71</v>
      </c>
      <c r="V128" s="67" t="n">
        <v>329.6</v>
      </c>
      <c r="W128" s="67" t="n">
        <v>152.76</v>
      </c>
      <c r="X128" s="67" t="n">
        <v>48.53</v>
      </c>
      <c r="Y128" s="67" t="n">
        <v>56.01</v>
      </c>
      <c r="Z128" s="67" t="n">
        <v>320.13</v>
      </c>
      <c r="AA128" s="67" t="n">
        <v>82.2</v>
      </c>
      <c r="AB128" s="67" t="n">
        <v>183.65</v>
      </c>
    </row>
    <row r="129" customFormat="false" ht="15" hidden="false" customHeight="true" outlineLevel="0" collapsed="false">
      <c r="A129" s="70" t="n">
        <v>46066</v>
      </c>
      <c r="B129" s="67" t="n">
        <v>263.97</v>
      </c>
      <c r="C129" s="67" t="n">
        <v>141.59</v>
      </c>
      <c r="D129" s="67" t="n">
        <v>1401.73</v>
      </c>
      <c r="E129" s="67" t="n">
        <v>323.39</v>
      </c>
      <c r="F129" s="67" t="n">
        <v>107.41</v>
      </c>
      <c r="G129" s="67" t="n">
        <v>145.87</v>
      </c>
      <c r="H129" s="67" t="n">
        <v>411.42</v>
      </c>
      <c r="I129" s="67" t="n">
        <v>182.38</v>
      </c>
      <c r="J129" s="67" t="n">
        <v>135.79</v>
      </c>
      <c r="K129" s="67" t="n">
        <v>131.41</v>
      </c>
      <c r="L129" s="67" t="n">
        <v>363.5</v>
      </c>
      <c r="M129" s="67" t="n">
        <v>234.37</v>
      </c>
      <c r="N129" s="67" t="n">
        <v>491.47</v>
      </c>
      <c r="O129" s="67" t="n">
        <v>113.81</v>
      </c>
      <c r="P129" s="67" t="n">
        <v>154.23</v>
      </c>
      <c r="Q129" s="67" t="n">
        <v>66.31</v>
      </c>
      <c r="R129" s="67" t="n">
        <v>53.01</v>
      </c>
      <c r="S129" s="67" t="n">
        <v>117.54</v>
      </c>
      <c r="T129" s="67" t="n">
        <v>40</v>
      </c>
      <c r="U129" s="67" t="n">
        <v>30.85</v>
      </c>
      <c r="V129" s="67" t="n">
        <v>312.85</v>
      </c>
      <c r="W129" s="67" t="n">
        <v>152.66</v>
      </c>
      <c r="X129" s="67" t="n">
        <v>50.42</v>
      </c>
      <c r="Y129" s="67" t="n">
        <v>56.19</v>
      </c>
      <c r="Z129" s="67" t="n">
        <v>314.56</v>
      </c>
      <c r="AA129" s="67" t="n">
        <v>76.87</v>
      </c>
      <c r="AB129" s="67" t="n">
        <v>174.11</v>
      </c>
    </row>
    <row r="130" customFormat="false" ht="15" hidden="false" customHeight="true" outlineLevel="0" collapsed="false">
      <c r="A130" s="70" t="n">
        <v>46073</v>
      </c>
      <c r="B130" s="67" t="n">
        <v>258.61</v>
      </c>
      <c r="C130" s="67" t="n">
        <v>132.79</v>
      </c>
      <c r="D130" s="67" t="n">
        <v>1464.49</v>
      </c>
      <c r="E130" s="67" t="n">
        <v>330.83</v>
      </c>
      <c r="F130" s="67" t="n">
        <v>97.15</v>
      </c>
      <c r="G130" s="67" t="n">
        <v>149.24</v>
      </c>
      <c r="H130" s="67" t="n">
        <v>427.92</v>
      </c>
      <c r="I130" s="67" t="n">
        <v>189.38</v>
      </c>
      <c r="J130" s="67" t="n">
        <v>138.27</v>
      </c>
      <c r="K130" s="67" t="n">
        <v>135.24</v>
      </c>
      <c r="L130" s="67" t="n">
        <v>367.65</v>
      </c>
      <c r="M130" s="67" t="n">
        <v>243.58</v>
      </c>
      <c r="N130" s="67" t="n">
        <v>476.9</v>
      </c>
      <c r="O130" s="67" t="n">
        <v>114.45</v>
      </c>
      <c r="P130" s="67" t="n">
        <v>153.13</v>
      </c>
      <c r="Q130" s="67" t="n">
        <v>66.76</v>
      </c>
      <c r="R130" s="67" t="n">
        <v>53.6</v>
      </c>
      <c r="S130" s="67" t="n">
        <v>119.24</v>
      </c>
      <c r="T130" s="67" t="n">
        <v>40.08</v>
      </c>
      <c r="U130" s="67" t="n">
        <v>30.85</v>
      </c>
      <c r="V130" s="67" t="n">
        <v>319.69</v>
      </c>
      <c r="W130" s="67" t="n">
        <v>152.85</v>
      </c>
      <c r="X130" s="67" t="n">
        <v>50.57</v>
      </c>
      <c r="Y130" s="67" t="n">
        <v>56.37</v>
      </c>
      <c r="Z130" s="67" t="n">
        <v>342.29</v>
      </c>
      <c r="AA130" s="67" t="n">
        <v>78.67</v>
      </c>
      <c r="AB130" s="67" t="n">
        <v>180.31</v>
      </c>
    </row>
    <row r="131" customFormat="false" ht="15" hidden="false" customHeight="true" outlineLevel="0" collapsed="false">
      <c r="A131" s="70" t="n">
        <v>46080</v>
      </c>
      <c r="B131" s="67" t="n">
        <v>262.41</v>
      </c>
      <c r="C131" s="67" t="n">
        <v>133.5</v>
      </c>
      <c r="D131" s="67" t="n">
        <v>1445.53</v>
      </c>
      <c r="E131" s="67" t="n">
        <v>317.8</v>
      </c>
      <c r="F131" s="67" t="n">
        <v>93</v>
      </c>
      <c r="G131" s="67" t="n">
        <v>152.09</v>
      </c>
      <c r="H131" s="67" t="n">
        <v>412.13</v>
      </c>
      <c r="I131" s="67" t="n">
        <v>176.78</v>
      </c>
      <c r="J131" s="67" t="n">
        <v>139.31</v>
      </c>
      <c r="K131" s="67" t="n">
        <v>137.19</v>
      </c>
      <c r="L131" s="67" t="n">
        <v>371.66</v>
      </c>
      <c r="M131" s="67" t="n">
        <v>254.71</v>
      </c>
      <c r="N131" s="67" t="n">
        <v>496.83</v>
      </c>
      <c r="O131" s="67" t="n">
        <v>111.91</v>
      </c>
      <c r="P131" s="67" t="n">
        <v>152.62</v>
      </c>
      <c r="Q131" s="67" t="n">
        <v>66.38</v>
      </c>
      <c r="R131" s="67" t="n">
        <v>53.5</v>
      </c>
      <c r="S131" s="67" t="n">
        <v>118.76</v>
      </c>
      <c r="T131" s="67" t="n">
        <v>40.22</v>
      </c>
      <c r="U131" s="67" t="n">
        <v>31.01</v>
      </c>
      <c r="V131" s="67" t="n">
        <v>318.89</v>
      </c>
      <c r="W131" s="67" t="n">
        <v>152.35</v>
      </c>
      <c r="X131" s="67" t="n">
        <v>51.08</v>
      </c>
      <c r="Y131" s="67" t="n">
        <v>56.73</v>
      </c>
      <c r="Z131" s="67" t="n">
        <v>341.34</v>
      </c>
      <c r="AA131" s="67" t="n">
        <v>96.24</v>
      </c>
      <c r="AB131" s="67" t="n">
        <v>182.01</v>
      </c>
    </row>
    <row r="132" customFormat="false" ht="15" hidden="false" customHeight="true" outlineLevel="0" collapsed="false">
      <c r="A132" s="70" t="n">
        <v>46087</v>
      </c>
      <c r="B132" s="67" t="n">
        <v>283.62</v>
      </c>
      <c r="C132" s="67" t="n">
        <v>132.89</v>
      </c>
      <c r="D132" s="67" t="n">
        <v>1288.32</v>
      </c>
      <c r="E132" s="67" t="n">
        <v>328.67</v>
      </c>
      <c r="F132" s="67" t="n">
        <v>107.25</v>
      </c>
      <c r="G132" s="67" t="n">
        <v>134.13</v>
      </c>
      <c r="H132" s="67" t="n">
        <v>370.09</v>
      </c>
      <c r="I132" s="67" t="n">
        <v>177.4</v>
      </c>
      <c r="J132" s="67" t="n">
        <v>131.46</v>
      </c>
      <c r="K132" s="67" t="n">
        <v>157.16</v>
      </c>
      <c r="L132" s="67" t="n">
        <v>336.25</v>
      </c>
      <c r="M132" s="67" t="n">
        <v>241.61</v>
      </c>
      <c r="N132" s="67" t="n">
        <v>456.69</v>
      </c>
      <c r="O132" s="67" t="n">
        <v>107.62</v>
      </c>
      <c r="P132" s="67" t="n">
        <v>148.85</v>
      </c>
      <c r="Q132" s="67" t="n">
        <v>65.63</v>
      </c>
      <c r="R132" s="67" t="n">
        <v>52.86</v>
      </c>
      <c r="S132" s="67" t="n">
        <v>117.53</v>
      </c>
      <c r="T132" s="67" t="n">
        <v>39.85</v>
      </c>
      <c r="U132" s="67" t="n">
        <v>30.38</v>
      </c>
      <c r="V132" s="67" t="n">
        <v>316.12</v>
      </c>
      <c r="W132" s="67" t="n">
        <v>148.11</v>
      </c>
      <c r="X132" s="67" t="n">
        <v>51.59</v>
      </c>
      <c r="Y132" s="67" t="n">
        <v>55.36</v>
      </c>
      <c r="Z132" s="67" t="n">
        <v>322.24</v>
      </c>
      <c r="AA132" s="67" t="n">
        <v>99.02</v>
      </c>
      <c r="AB132" s="67" t="n">
        <v>195.49</v>
      </c>
    </row>
    <row r="133" customFormat="false" ht="15" hidden="false" customHeight="true" outlineLevel="0" collapsed="false">
      <c r="A133" s="70" t="n">
        <v>46094</v>
      </c>
      <c r="B133" s="67" t="n">
        <v>249.32</v>
      </c>
      <c r="C133" s="67" t="n">
        <v>133.57</v>
      </c>
      <c r="D133" s="67" t="n">
        <v>1341.02</v>
      </c>
      <c r="E133" s="67" t="n">
        <v>320.39</v>
      </c>
      <c r="F133" s="67" t="n">
        <v>110.44</v>
      </c>
      <c r="G133" s="67" t="n">
        <v>141.52</v>
      </c>
      <c r="H133" s="67" t="n">
        <v>425.89</v>
      </c>
      <c r="I133" s="67" t="n">
        <v>179.84</v>
      </c>
      <c r="J133" s="67" t="n">
        <v>128.73</v>
      </c>
      <c r="K133" s="67" t="n">
        <v>150.95</v>
      </c>
      <c r="L133" s="67" t="n">
        <v>335.67</v>
      </c>
      <c r="M133" s="67" t="n">
        <v>258.7</v>
      </c>
      <c r="N133" s="67" t="n">
        <v>469.34</v>
      </c>
      <c r="O133" s="67" t="n">
        <v>105.56</v>
      </c>
      <c r="P133" s="67" t="n">
        <v>147.04</v>
      </c>
      <c r="Q133" s="67" t="n">
        <v>64.75</v>
      </c>
      <c r="R133" s="67" t="n">
        <v>52.59</v>
      </c>
      <c r="S133" s="67" t="n">
        <v>115.49</v>
      </c>
      <c r="T133" s="67" t="n">
        <v>38.99</v>
      </c>
      <c r="U133" s="67" t="n">
        <v>30.06</v>
      </c>
      <c r="V133" s="67" t="n">
        <v>305.94</v>
      </c>
      <c r="W133" s="67" t="n">
        <v>145.84</v>
      </c>
      <c r="X133" s="67" t="n">
        <v>51.37</v>
      </c>
      <c r="Y133" s="67" t="n">
        <v>54.41</v>
      </c>
      <c r="Z133" s="67" t="n">
        <v>299.32</v>
      </c>
      <c r="AA133" s="67" t="n">
        <v>95.31</v>
      </c>
      <c r="AB133" s="67" t="n">
        <v>178.88</v>
      </c>
    </row>
    <row r="134" customFormat="false" ht="15" hidden="false" customHeight="true" outlineLevel="0" collapsed="false">
      <c r="A134" s="70" t="n">
        <v>46101</v>
      </c>
      <c r="B134" s="67" t="n">
        <v>248.15</v>
      </c>
      <c r="C134" s="67" t="n">
        <v>131.22</v>
      </c>
      <c r="D134" s="67" t="n">
        <v>1312.68</v>
      </c>
      <c r="E134" s="67" t="n">
        <v>308.81</v>
      </c>
      <c r="F134" s="67" t="n">
        <v>102.25</v>
      </c>
      <c r="G134" s="67" t="n">
        <v>149.51</v>
      </c>
      <c r="H134" s="67" t="n">
        <v>422.66</v>
      </c>
      <c r="I134" s="67" t="n">
        <v>172.31</v>
      </c>
      <c r="J134" s="67" t="n">
        <v>126.09</v>
      </c>
      <c r="K134" s="67" t="n">
        <v>150.68</v>
      </c>
      <c r="L134" s="67" t="n">
        <v>327.59</v>
      </c>
      <c r="M134" s="67" t="n">
        <v>255.76</v>
      </c>
      <c r="N134" s="67" t="n">
        <v>454</v>
      </c>
      <c r="O134" s="67" t="n">
        <v>105.35</v>
      </c>
      <c r="P134" s="67" t="n">
        <v>143.6</v>
      </c>
      <c r="Q134" s="67" t="n">
        <v>64.03</v>
      </c>
      <c r="R134" s="67" t="n">
        <v>51.85</v>
      </c>
      <c r="S134" s="67" t="n">
        <v>113.1</v>
      </c>
      <c r="T134" s="67" t="n">
        <v>39.03</v>
      </c>
      <c r="U134" s="67" t="n">
        <v>29.66</v>
      </c>
      <c r="V134" s="67" t="n">
        <v>300.44</v>
      </c>
      <c r="W134" s="67" t="n">
        <v>143.48</v>
      </c>
      <c r="X134" s="67" t="n">
        <v>51.9</v>
      </c>
      <c r="Y134" s="67" t="n">
        <v>53.46</v>
      </c>
      <c r="Z134" s="67" t="n">
        <v>286.43</v>
      </c>
      <c r="AA134" s="67" t="n">
        <v>91.82</v>
      </c>
      <c r="AB134" s="67" t="n">
        <v>184.07</v>
      </c>
    </row>
    <row r="135" customFormat="false" ht="15" hidden="false" customHeight="true" outlineLevel="0" collapsed="false">
      <c r="A135" s="70" t="n">
        <v>46108</v>
      </c>
      <c r="B135" s="67" t="n">
        <v>234.84</v>
      </c>
      <c r="C135" s="67" t="n">
        <v>120.77</v>
      </c>
      <c r="D135" s="67" t="n">
        <v>1297.95</v>
      </c>
      <c r="E135" s="67" t="n">
        <v>299.66</v>
      </c>
      <c r="F135" s="67" t="n">
        <v>92.39</v>
      </c>
      <c r="G135" s="67" t="n">
        <v>143.97</v>
      </c>
      <c r="H135" s="67" t="n">
        <v>357.02</v>
      </c>
      <c r="I135" s="67" t="n">
        <v>167.14</v>
      </c>
      <c r="J135" s="67" t="n">
        <v>126.96</v>
      </c>
      <c r="K135" s="67" t="n">
        <v>143.06</v>
      </c>
      <c r="L135" s="67" t="n">
        <v>325.1</v>
      </c>
      <c r="M135" s="67" t="n">
        <v>250.96</v>
      </c>
      <c r="N135" s="67" t="n">
        <v>433.07</v>
      </c>
      <c r="O135" s="67" t="n">
        <v>108.47</v>
      </c>
      <c r="P135" s="67" t="n">
        <v>147.11</v>
      </c>
      <c r="Q135" s="67" t="n">
        <v>63.21</v>
      </c>
      <c r="R135" s="67" t="n">
        <v>50.33</v>
      </c>
      <c r="S135" s="67" t="n">
        <v>109.96</v>
      </c>
      <c r="T135" s="67" t="n">
        <v>38.55</v>
      </c>
      <c r="U135" s="67" t="n">
        <v>29.96</v>
      </c>
      <c r="V135" s="67" t="n">
        <v>294.36</v>
      </c>
      <c r="W135" s="67" t="n">
        <v>144</v>
      </c>
      <c r="X135" s="67" t="n">
        <v>53.27</v>
      </c>
      <c r="Y135" s="67" t="n">
        <v>52.94</v>
      </c>
      <c r="Z135" s="67" t="n">
        <v>282.46</v>
      </c>
      <c r="AA135" s="67" t="n">
        <v>93.43</v>
      </c>
      <c r="AB135" s="67" t="n">
        <v>172.59</v>
      </c>
    </row>
    <row r="136" customFormat="false" ht="15" hidden="false" customHeight="true" outlineLevel="0" collapsed="false">
      <c r="A136" s="70" t="n">
        <v>46115</v>
      </c>
      <c r="B136" s="67" t="n">
        <v>242.92</v>
      </c>
      <c r="C136" s="67" t="n">
        <v>126.68</v>
      </c>
      <c r="D136" s="67" t="n">
        <v>1312.66</v>
      </c>
      <c r="E136" s="67" t="n">
        <v>313.48</v>
      </c>
      <c r="F136" s="67" t="n">
        <v>99.78</v>
      </c>
      <c r="G136" s="67" t="n">
        <v>151.32</v>
      </c>
      <c r="H136" s="67" t="n">
        <v>366.18</v>
      </c>
      <c r="I136" s="67" t="n">
        <v>176.99</v>
      </c>
      <c r="J136" s="67" t="n">
        <v>131.76</v>
      </c>
      <c r="K136" s="67" t="n">
        <v>148.46</v>
      </c>
      <c r="L136" s="67" t="n">
        <v>337.34</v>
      </c>
      <c r="M136" s="67" t="n">
        <v>261.17</v>
      </c>
      <c r="N136" s="67" t="n">
        <v>438.71</v>
      </c>
      <c r="O136" s="67" t="n">
        <v>110.65</v>
      </c>
      <c r="P136" s="67" t="n">
        <v>149.24</v>
      </c>
      <c r="Q136" s="67" t="n">
        <v>63.95</v>
      </c>
      <c r="R136" s="67" t="n">
        <v>52.22</v>
      </c>
      <c r="S136" s="67" t="n">
        <v>114.38</v>
      </c>
      <c r="T136" s="67" t="n">
        <v>39.63</v>
      </c>
      <c r="U136" s="67" t="n">
        <v>30.08</v>
      </c>
      <c r="V136" s="67" t="n">
        <v>299.62</v>
      </c>
      <c r="W136" s="67" t="n">
        <v>146.38</v>
      </c>
      <c r="X136" s="67" t="n">
        <v>52.29</v>
      </c>
      <c r="Y136" s="67" t="n">
        <v>54.2</v>
      </c>
      <c r="Z136" s="67" t="n">
        <v>280.81</v>
      </c>
      <c r="AA136" s="67" t="n">
        <v>98.66</v>
      </c>
      <c r="AB136" s="67" t="n">
        <v>173.98</v>
      </c>
    </row>
    <row r="137" customFormat="false" ht="15" hidden="false" customHeight="true" outlineLevel="0" collapsed="false">
      <c r="A137" s="70" t="n">
        <v>46122</v>
      </c>
      <c r="B137" s="67" t="n">
        <v>225.35</v>
      </c>
      <c r="C137" s="67" t="n">
        <v>147.35</v>
      </c>
      <c r="D137" s="67" t="n">
        <v>1473.15</v>
      </c>
      <c r="E137" s="67" t="n">
        <v>370.29</v>
      </c>
      <c r="F137" s="67" t="n">
        <v>94.75</v>
      </c>
      <c r="G137" s="67" t="n">
        <v>173.31</v>
      </c>
      <c r="H137" s="67" t="n">
        <v>420.53</v>
      </c>
      <c r="I137" s="67" t="n">
        <v>188.2</v>
      </c>
      <c r="J137" s="67" t="n">
        <v>135.13</v>
      </c>
      <c r="K137" s="67" t="n">
        <v>128.06</v>
      </c>
      <c r="L137" s="67" t="n">
        <v>368.74</v>
      </c>
      <c r="M137" s="67" t="n">
        <v>294.98</v>
      </c>
      <c r="N137" s="67" t="n">
        <v>436.27</v>
      </c>
      <c r="O137" s="67" t="n">
        <v>113.94</v>
      </c>
      <c r="P137" s="67" t="n">
        <v>150.01</v>
      </c>
      <c r="Q137" s="67" t="n">
        <v>65.25</v>
      </c>
      <c r="R137" s="67" t="n">
        <v>54.12</v>
      </c>
      <c r="S137" s="67" t="n">
        <v>122.95</v>
      </c>
      <c r="T137" s="67" t="n">
        <v>39.46</v>
      </c>
      <c r="U137" s="67" t="n">
        <v>30.08</v>
      </c>
      <c r="V137" s="67" t="n">
        <v>303.17</v>
      </c>
      <c r="W137" s="67" t="n">
        <v>150.29</v>
      </c>
      <c r="X137" s="67" t="n">
        <v>52.23</v>
      </c>
      <c r="Y137" s="67" t="n">
        <v>55.25</v>
      </c>
      <c r="Z137" s="67" t="n">
        <v>307.97</v>
      </c>
      <c r="AA137" s="67" t="n">
        <v>103.01</v>
      </c>
      <c r="AB137" s="67" t="n">
        <v>151.43</v>
      </c>
    </row>
    <row r="138" customFormat="false" ht="15" hidden="false" customHeight="true" outlineLevel="0" collapsed="false">
      <c r="A138" s="70" t="n">
        <v>46129</v>
      </c>
      <c r="B138" s="67" t="n">
        <v>244.45</v>
      </c>
      <c r="C138" s="67" t="n">
        <v>164.23</v>
      </c>
      <c r="D138" s="67" t="n">
        <v>1454.74</v>
      </c>
      <c r="E138" s="67" t="n">
        <v>405.16</v>
      </c>
      <c r="F138" s="67" t="n">
        <v>105.99</v>
      </c>
      <c r="G138" s="67" t="n">
        <v>178.71</v>
      </c>
      <c r="H138" s="67" t="n">
        <v>455</v>
      </c>
      <c r="I138" s="67" t="n">
        <v>201.22</v>
      </c>
      <c r="J138" s="67" t="n">
        <v>142.92</v>
      </c>
      <c r="K138" s="67" t="n">
        <v>146.39</v>
      </c>
      <c r="L138" s="67" t="n">
        <v>368.65</v>
      </c>
      <c r="M138" s="67" t="n">
        <v>307.2</v>
      </c>
      <c r="N138" s="67" t="n">
        <v>441.2</v>
      </c>
      <c r="O138" s="67" t="n">
        <v>116.71</v>
      </c>
      <c r="P138" s="67" t="n">
        <v>150.7</v>
      </c>
      <c r="Q138" s="67" t="n">
        <v>66.93</v>
      </c>
      <c r="R138" s="67" t="n">
        <v>55.1</v>
      </c>
      <c r="S138" s="67" t="n">
        <v>127.89</v>
      </c>
      <c r="T138" s="67" t="n">
        <v>41.57</v>
      </c>
      <c r="U138" s="67" t="n">
        <v>30.56</v>
      </c>
      <c r="V138" s="67" t="n">
        <v>315.78</v>
      </c>
      <c r="W138" s="67" t="n">
        <v>153.3</v>
      </c>
      <c r="X138" s="67" t="n">
        <v>50.92</v>
      </c>
      <c r="Y138" s="67" t="n">
        <v>55.49</v>
      </c>
      <c r="Z138" s="67" t="n">
        <v>303.75</v>
      </c>
      <c r="AA138" s="67" t="n">
        <v>97.31</v>
      </c>
      <c r="AB138" s="67" t="n">
        <v>167.95</v>
      </c>
    </row>
    <row r="139" customFormat="false" ht="15" hidden="false" customHeight="true" outlineLevel="0" collapsed="false">
      <c r="A139" s="70" t="n">
        <v>46136</v>
      </c>
      <c r="B139" s="67" t="n">
        <v>245.44</v>
      </c>
      <c r="C139" s="67" t="n">
        <v>176.91</v>
      </c>
      <c r="D139" s="67" t="n">
        <v>1452.64</v>
      </c>
      <c r="E139" s="67" t="n">
        <v>421.32</v>
      </c>
      <c r="F139" s="67" t="n">
        <v>112.03</v>
      </c>
      <c r="G139" s="67" t="n">
        <v>193.04</v>
      </c>
      <c r="H139" s="67" t="n">
        <v>496.64</v>
      </c>
      <c r="I139" s="67" t="n">
        <v>207.8</v>
      </c>
      <c r="J139" s="67" t="n">
        <v>139.96</v>
      </c>
      <c r="K139" s="67" t="n">
        <v>143.09</v>
      </c>
      <c r="L139" s="67" t="n">
        <v>400.45</v>
      </c>
      <c r="M139" s="67" t="n">
        <v>323.31</v>
      </c>
      <c r="N139" s="67" t="n">
        <v>430.29</v>
      </c>
      <c r="O139" s="67" t="n">
        <v>118.14</v>
      </c>
      <c r="P139" s="67" t="n">
        <v>149.48</v>
      </c>
      <c r="Q139" s="67" t="n">
        <v>67.08</v>
      </c>
      <c r="R139" s="67" t="n">
        <v>55.41</v>
      </c>
      <c r="S139" s="67" t="n">
        <v>131.1</v>
      </c>
      <c r="T139" s="67" t="n">
        <v>41.34</v>
      </c>
      <c r="U139" s="67" t="n">
        <v>30.71</v>
      </c>
      <c r="V139" s="67" t="n">
        <v>308.21</v>
      </c>
      <c r="W139" s="67" t="n">
        <v>153.14</v>
      </c>
      <c r="X139" s="67" t="n">
        <v>51.6</v>
      </c>
      <c r="Y139" s="67" t="n">
        <v>55.04</v>
      </c>
      <c r="Z139" s="67" t="n">
        <v>284.25</v>
      </c>
      <c r="AA139" s="67" t="n">
        <v>92.44</v>
      </c>
      <c r="AB139" s="67" t="n">
        <v>161.13</v>
      </c>
    </row>
    <row r="140" customFormat="false" ht="15" hidden="false" customHeight="true" outlineLevel="0" collapsed="false">
      <c r="A140" s="70" t="n">
        <v>46143</v>
      </c>
      <c r="B140" s="67" t="n">
        <v>250.71</v>
      </c>
      <c r="C140" s="67" t="n">
        <v>172.7</v>
      </c>
      <c r="D140" s="67" t="n">
        <v>1425.18</v>
      </c>
      <c r="E140" s="67" t="n">
        <v>419.85</v>
      </c>
      <c r="F140" s="67" t="n">
        <v>113.91</v>
      </c>
      <c r="G140" s="67" t="n">
        <v>172.21</v>
      </c>
      <c r="H140" s="67" t="n">
        <v>542.13</v>
      </c>
      <c r="I140" s="67" t="n">
        <v>198</v>
      </c>
      <c r="J140" s="67" t="n">
        <v>139.29</v>
      </c>
      <c r="K140" s="67" t="n">
        <v>144.07</v>
      </c>
      <c r="L140" s="67" t="n">
        <v>395.68</v>
      </c>
      <c r="M140" s="67" t="n">
        <v>328.16</v>
      </c>
      <c r="N140" s="67" t="n">
        <v>423.92</v>
      </c>
      <c r="O140" s="67" t="n">
        <v>119.13</v>
      </c>
      <c r="P140" s="67" t="n">
        <v>152.16</v>
      </c>
      <c r="Q140" s="67" t="n">
        <v>67.35</v>
      </c>
      <c r="R140" s="67" t="n">
        <v>55.85</v>
      </c>
      <c r="S140" s="67" t="n">
        <v>134</v>
      </c>
      <c r="T140" s="67" t="n">
        <v>42.4</v>
      </c>
      <c r="U140" s="67" t="n">
        <v>31.36</v>
      </c>
      <c r="V140" s="67" t="n">
        <v>326.74</v>
      </c>
      <c r="W140" s="67" t="n">
        <v>154.69</v>
      </c>
      <c r="X140" s="67" t="n">
        <v>54.25</v>
      </c>
      <c r="Y140" s="67" t="n">
        <v>54.99</v>
      </c>
      <c r="Z140" s="67" t="n">
        <v>286.15</v>
      </c>
      <c r="AA140" s="67" t="n">
        <v>92.06</v>
      </c>
      <c r="AB140" s="67" t="n">
        <v>171.6</v>
      </c>
    </row>
    <row r="141" customFormat="false" ht="15" hidden="false" customHeight="true" outlineLevel="0" collapsed="false">
      <c r="A141" s="70" t="n">
        <v>46150</v>
      </c>
      <c r="B141" s="67" t="n">
        <v>253.04</v>
      </c>
      <c r="C141" s="67" t="n">
        <v>141.77</v>
      </c>
      <c r="D141" s="67" t="n">
        <v>1589.96</v>
      </c>
      <c r="E141" s="67" t="n">
        <v>428.54</v>
      </c>
      <c r="F141" s="67" t="n">
        <v>131.94</v>
      </c>
      <c r="G141" s="67" t="n">
        <v>186.47</v>
      </c>
      <c r="H141" s="67" t="n">
        <v>746.7</v>
      </c>
      <c r="I141" s="67" t="n">
        <v>214.71</v>
      </c>
      <c r="J141" s="67" t="n">
        <v>141.92</v>
      </c>
      <c r="K141" s="67" t="n">
        <v>137.8</v>
      </c>
      <c r="L141" s="67" t="n">
        <v>409.62</v>
      </c>
      <c r="M141" s="67" t="n">
        <v>339.82</v>
      </c>
      <c r="N141" s="67" t="n">
        <v>429.82</v>
      </c>
      <c r="O141" s="67" t="n">
        <v>119.01</v>
      </c>
      <c r="P141" s="67" t="n">
        <v>149.85</v>
      </c>
      <c r="Q141" s="67" t="n">
        <v>67.48</v>
      </c>
      <c r="R141" s="67" t="n">
        <v>56.56</v>
      </c>
      <c r="S141" s="67" t="n">
        <v>143.36</v>
      </c>
      <c r="T141" s="67" t="n">
        <v>43.44</v>
      </c>
      <c r="U141" s="67" t="n">
        <v>31.12</v>
      </c>
      <c r="V141" s="67" t="n">
        <v>317.54</v>
      </c>
      <c r="W141" s="67" t="n">
        <v>153.65</v>
      </c>
      <c r="X141" s="67" t="n">
        <v>52.34</v>
      </c>
      <c r="Y141" s="67" t="n">
        <v>54.15</v>
      </c>
      <c r="Z141" s="67" t="n">
        <v>296.78</v>
      </c>
      <c r="AA141" s="67" t="n">
        <v>87.49</v>
      </c>
      <c r="AB141" s="67" t="n">
        <v>166.34</v>
      </c>
    </row>
    <row r="142" customFormat="false" ht="15" hidden="false" customHeight="true" outlineLevel="0" collapsed="false">
      <c r="A142" s="70" t="n">
        <v>46157</v>
      </c>
      <c r="B142" s="67" t="n">
        <v>247.6</v>
      </c>
      <c r="C142" s="67" t="n">
        <v>141.97</v>
      </c>
      <c r="D142" s="67" t="n">
        <v>1499.87</v>
      </c>
      <c r="E142" s="67" t="n">
        <v>423.75</v>
      </c>
      <c r="F142" s="67" t="n">
        <v>148.52</v>
      </c>
      <c r="G142" s="67" t="n">
        <v>180</v>
      </c>
      <c r="H142" s="67" t="n">
        <v>724.55</v>
      </c>
      <c r="I142" s="67" t="n">
        <v>224.81</v>
      </c>
      <c r="J142" s="67" t="n">
        <v>138.42</v>
      </c>
      <c r="K142" s="67" t="n">
        <v>133.99</v>
      </c>
      <c r="L142" s="67" t="n">
        <v>402.33</v>
      </c>
      <c r="M142" s="67" t="n">
        <v>370.77</v>
      </c>
      <c r="N142" s="67" t="n">
        <v>436.95</v>
      </c>
      <c r="O142" s="67" t="n">
        <v>116.44</v>
      </c>
      <c r="P142" s="67" t="n">
        <v>148.55</v>
      </c>
      <c r="Q142" s="67" t="n">
        <v>67.5</v>
      </c>
      <c r="R142" s="67" t="n">
        <v>56.71</v>
      </c>
      <c r="S142" s="67" t="n">
        <v>143.03</v>
      </c>
      <c r="T142" s="67" t="n">
        <v>42.32</v>
      </c>
      <c r="U142" s="67" t="n">
        <v>31.22</v>
      </c>
      <c r="V142" s="67" t="n">
        <v>325.15</v>
      </c>
      <c r="W142" s="67" t="n">
        <v>153.95</v>
      </c>
      <c r="X142" s="67" t="n">
        <v>54.5</v>
      </c>
      <c r="Y142" s="67" t="n">
        <v>54.09</v>
      </c>
      <c r="Z142" s="67" t="n">
        <v>281.18</v>
      </c>
      <c r="AA142" s="67" t="n">
        <v>87.02</v>
      </c>
      <c r="AB142" s="67" t="n">
        <v>158.86</v>
      </c>
    </row>
    <row r="143" customFormat="false" ht="15" hidden="false" customHeight="true" outlineLevel="0" collapsed="false">
      <c r="A143" s="70" t="n">
        <v>46164</v>
      </c>
      <c r="B143" s="67" t="n">
        <v>244.76</v>
      </c>
      <c r="C143" s="67" t="n">
        <v>154.03</v>
      </c>
      <c r="D143" s="67" t="n">
        <v>1630.79</v>
      </c>
      <c r="E143" s="67" t="n">
        <v>412.73</v>
      </c>
      <c r="F143" s="67" t="n">
        <v>165.87</v>
      </c>
      <c r="G143" s="67" t="n">
        <v>188.62</v>
      </c>
      <c r="H143" s="67" t="n">
        <v>750.88</v>
      </c>
      <c r="I143" s="67" t="n">
        <v>214.84</v>
      </c>
      <c r="J143" s="67" t="n">
        <v>143.71</v>
      </c>
      <c r="K143" s="67" t="n">
        <v>136.88</v>
      </c>
      <c r="L143" s="67" t="n">
        <v>402.5</v>
      </c>
      <c r="M143" s="67" t="n">
        <v>327.31</v>
      </c>
      <c r="N143" s="67" t="n">
        <v>434.52</v>
      </c>
      <c r="O143" s="67" t="n">
        <v>119.2</v>
      </c>
      <c r="P143" s="67" t="n">
        <v>153.27</v>
      </c>
      <c r="Q143" s="67" t="n">
        <v>67.55</v>
      </c>
      <c r="R143" s="67" t="n">
        <v>57.13</v>
      </c>
      <c r="S143" s="67" t="n">
        <v>144.48</v>
      </c>
      <c r="T143" s="67" t="n">
        <v>44</v>
      </c>
      <c r="U143" s="67" t="n">
        <v>32.31</v>
      </c>
      <c r="V143" s="67" t="n">
        <v>328.27</v>
      </c>
      <c r="W143" s="67" t="n">
        <v>156.85</v>
      </c>
      <c r="X143" s="67" t="n">
        <v>54.94</v>
      </c>
      <c r="Y143" s="67" t="n">
        <v>54.51</v>
      </c>
      <c r="Z143" s="67" t="n">
        <v>302.46</v>
      </c>
      <c r="AA143" s="67" t="n">
        <v>88.6</v>
      </c>
      <c r="AB143" s="67" t="n">
        <v>160.17</v>
      </c>
    </row>
    <row r="144" customFormat="false" ht="15" hidden="false" customHeight="true" outlineLevel="0" collapsed="false">
      <c r="A144" s="70" t="n">
        <v>46171</v>
      </c>
      <c r="B144" s="67" t="n">
        <v>259.21</v>
      </c>
      <c r="C144" s="67" t="n">
        <v>159.47</v>
      </c>
      <c r="D144" s="67" t="n">
        <v>1610.68</v>
      </c>
      <c r="E144" s="67" t="n">
        <v>445.25</v>
      </c>
      <c r="F144" s="67" t="n">
        <v>182.75</v>
      </c>
      <c r="G144" s="67" t="n">
        <v>191.95</v>
      </c>
      <c r="H144" s="67" t="n">
        <v>970.85</v>
      </c>
      <c r="I144" s="67" t="n">
        <v>210.66</v>
      </c>
      <c r="J144" s="67" t="n">
        <v>141.31</v>
      </c>
      <c r="K144" s="67" t="n">
        <v>156.54</v>
      </c>
      <c r="L144" s="67" t="n">
        <v>416.36</v>
      </c>
      <c r="M144" s="67" t="n">
        <v>315.57</v>
      </c>
      <c r="N144" s="67" t="n">
        <v>447.54</v>
      </c>
      <c r="O144" s="67" t="n">
        <v>119.22</v>
      </c>
      <c r="P144" s="67" t="n">
        <v>152.49</v>
      </c>
      <c r="Q144" s="67" t="n">
        <v>67.84</v>
      </c>
      <c r="R144" s="67" t="n">
        <v>58.02</v>
      </c>
      <c r="S144" s="67" t="n">
        <v>150.11</v>
      </c>
      <c r="T144" s="67" t="n">
        <v>46.38</v>
      </c>
      <c r="U144" s="67" t="n">
        <v>31.99</v>
      </c>
      <c r="V144" s="67" t="n">
        <v>325.75</v>
      </c>
      <c r="W144" s="67" t="n">
        <v>157.34</v>
      </c>
      <c r="X144" s="67" t="n">
        <v>51.99</v>
      </c>
      <c r="Y144" s="67" t="n">
        <v>54.23</v>
      </c>
      <c r="Z144" s="67" t="n">
        <v>323.36</v>
      </c>
      <c r="AA144" s="67" t="n">
        <v>86.02</v>
      </c>
      <c r="AB144" s="67" t="n">
        <v>174.34</v>
      </c>
    </row>
    <row r="145" customFormat="false" ht="15" hidden="false" customHeight="true" outlineLevel="0" collapsed="false">
      <c r="A145" s="70" t="n">
        <v>46178</v>
      </c>
      <c r="B145" s="67" t="n">
        <v>251.44</v>
      </c>
      <c r="C145" s="67" t="n">
        <v>154.27</v>
      </c>
      <c r="D145" s="67" t="n">
        <v>1639.62</v>
      </c>
      <c r="E145" s="67" t="n">
        <v>384.42</v>
      </c>
      <c r="F145" s="67" t="n">
        <v>167.76</v>
      </c>
      <c r="G145" s="67" t="n">
        <v>192.7</v>
      </c>
      <c r="H145" s="67" t="n">
        <v>863.88</v>
      </c>
      <c r="I145" s="67" t="n">
        <v>204.87</v>
      </c>
      <c r="J145" s="67" t="n">
        <v>142.37</v>
      </c>
      <c r="K145" s="67" t="n">
        <v>135.53</v>
      </c>
      <c r="L145" s="67" t="n">
        <v>413.09</v>
      </c>
      <c r="M145" s="67" t="n">
        <v>300.37</v>
      </c>
      <c r="N145" s="67" t="n">
        <v>446.83</v>
      </c>
      <c r="O145" s="67" t="n">
        <v>118.87</v>
      </c>
      <c r="P145" s="67" t="n">
        <v>152.92</v>
      </c>
      <c r="Q145" s="67" t="n">
        <v>67.13</v>
      </c>
      <c r="R145" s="67" t="n">
        <v>56.4</v>
      </c>
      <c r="S145" s="67" t="n">
        <v>143.82</v>
      </c>
      <c r="T145" s="67" t="n">
        <v>45.86</v>
      </c>
      <c r="U145" s="67" t="n">
        <v>31.79</v>
      </c>
      <c r="V145" s="67" t="n">
        <v>322.97</v>
      </c>
      <c r="W145" s="67" t="n">
        <v>156.4</v>
      </c>
      <c r="X145" s="67" t="n">
        <v>53.21</v>
      </c>
      <c r="Y145" s="67" t="n">
        <v>54.1</v>
      </c>
      <c r="Z145" s="67" t="n">
        <v>327.59</v>
      </c>
      <c r="AA145" s="67" t="n">
        <v>82.18</v>
      </c>
      <c r="AB145" s="67" t="n">
        <v>172.61</v>
      </c>
    </row>
    <row r="146" customFormat="false" ht="15" hidden="false" customHeight="true" outlineLevel="0" collapsed="false">
      <c r="A146" s="70" t="n">
        <v>46185</v>
      </c>
      <c r="B146" s="67" t="n">
        <v>204.02</v>
      </c>
      <c r="C146" s="67" t="n">
        <v>163.24</v>
      </c>
      <c r="D146" s="67" t="n">
        <v>1861.14</v>
      </c>
      <c r="E146" s="67" t="n">
        <v>380.77</v>
      </c>
      <c r="F146" s="67" t="n">
        <v>170.7</v>
      </c>
      <c r="G146" s="67" t="n">
        <v>254.25</v>
      </c>
      <c r="H146" s="67" t="n">
        <v>981.46</v>
      </c>
      <c r="I146" s="67" t="n">
        <v>204.96</v>
      </c>
      <c r="J146" s="67" t="n">
        <v>146.51</v>
      </c>
      <c r="K146" s="67" t="n">
        <v>127.99</v>
      </c>
      <c r="L146" s="67" t="n">
        <v>422.8</v>
      </c>
      <c r="M146" s="67" t="n">
        <v>302.73</v>
      </c>
      <c r="N146" s="67" t="n">
        <v>444.93</v>
      </c>
      <c r="O146" s="67" t="n">
        <v>123.97</v>
      </c>
      <c r="P146" s="67" t="n">
        <v>156.3</v>
      </c>
      <c r="Q146" s="67" t="n">
        <v>67.16</v>
      </c>
      <c r="R146" s="67" t="n">
        <v>57.32</v>
      </c>
      <c r="S146" s="67" t="n">
        <v>152</v>
      </c>
      <c r="T146" s="67" t="n">
        <v>46.14</v>
      </c>
      <c r="U146" s="67" t="n">
        <v>32.3</v>
      </c>
      <c r="V146" s="67" t="n">
        <v>321.79</v>
      </c>
      <c r="W146" s="67" t="n">
        <v>158.46</v>
      </c>
      <c r="X146" s="67" t="n">
        <v>53.55</v>
      </c>
      <c r="Y146" s="67" t="n">
        <v>54.61</v>
      </c>
      <c r="Z146" s="67" t="n">
        <v>334.88</v>
      </c>
      <c r="AA146" s="67" t="n">
        <v>80.34</v>
      </c>
      <c r="AB146" s="67" t="n">
        <v>159.54</v>
      </c>
    </row>
    <row r="147" customFormat="false" ht="15" hidden="false" customHeight="true" outlineLevel="0" collapsed="false">
      <c r="A147" s="70" t="n">
        <v>46192</v>
      </c>
      <c r="B147" s="67" t="n">
        <v>195.16</v>
      </c>
      <c r="C147" s="67" t="n">
        <v>169.67</v>
      </c>
      <c r="D147" s="67" t="n">
        <v>1927.19</v>
      </c>
      <c r="E147" s="67" t="n">
        <v>409.95</v>
      </c>
      <c r="F147" s="67" t="n">
        <v>171.21</v>
      </c>
      <c r="G147" s="67" t="n">
        <v>259.27</v>
      </c>
      <c r="H147" s="67" t="n">
        <v>1133.82</v>
      </c>
      <c r="I147" s="67" t="n">
        <v>210.45</v>
      </c>
      <c r="J147" s="67" t="n">
        <v>139.43</v>
      </c>
      <c r="K147" s="67" t="n">
        <v>128.47</v>
      </c>
      <c r="L147" s="67" t="n">
        <v>460.88</v>
      </c>
      <c r="M147" s="67" t="n">
        <v>332.97</v>
      </c>
      <c r="N147" s="67" t="n">
        <v>451.63</v>
      </c>
      <c r="O147" s="67" t="n">
        <v>121.6</v>
      </c>
      <c r="P147" s="67" t="n">
        <v>152.05</v>
      </c>
      <c r="Q147" s="67" t="n">
        <v>67.72</v>
      </c>
      <c r="R147" s="67" t="n">
        <v>58.74</v>
      </c>
      <c r="S147" s="67" t="n">
        <v>159.39</v>
      </c>
      <c r="T147" s="67" t="n">
        <v>45.11</v>
      </c>
      <c r="U147" s="67" t="n">
        <v>31.36</v>
      </c>
      <c r="V147" s="67" t="n">
        <v>326.63</v>
      </c>
      <c r="W147" s="67" t="n">
        <v>157.34</v>
      </c>
      <c r="X147" s="67" t="n">
        <v>52.37</v>
      </c>
      <c r="Y147" s="67" t="n">
        <v>54.67</v>
      </c>
      <c r="Z147" s="67" t="n">
        <v>357.19</v>
      </c>
      <c r="AA147" s="67" t="n">
        <v>77.38</v>
      </c>
      <c r="AB147" s="67" t="n">
        <v>153.3</v>
      </c>
    </row>
    <row r="148" customFormat="false" ht="15" hidden="false" customHeight="true" outlineLevel="0" collapsed="false">
      <c r="A148" s="70" t="n">
        <v>46199</v>
      </c>
      <c r="B148" s="67" t="n">
        <v>202.73</v>
      </c>
      <c r="C148" s="67" t="n">
        <v>157.6</v>
      </c>
      <c r="D148" s="67" t="n">
        <v>1792.3</v>
      </c>
      <c r="E148" s="67" t="n">
        <v>364.36</v>
      </c>
      <c r="F148" s="67" t="n">
        <v>175.27</v>
      </c>
      <c r="G148" s="67" t="n">
        <v>248.36</v>
      </c>
      <c r="H148" s="67" t="n">
        <v>1132.16</v>
      </c>
      <c r="I148" s="67" t="n">
        <v>192.31</v>
      </c>
      <c r="J148" s="67" t="n">
        <v>138.87</v>
      </c>
      <c r="K148" s="67" t="n">
        <v>112.93</v>
      </c>
      <c r="L148" s="67" t="n">
        <v>431.19</v>
      </c>
      <c r="M148" s="67" t="n">
        <v>303.88</v>
      </c>
      <c r="N148" s="67" t="n">
        <v>491.34</v>
      </c>
      <c r="O148" s="67" t="n">
        <v>124.53</v>
      </c>
      <c r="P148" s="67" t="n">
        <v>156.87</v>
      </c>
      <c r="Q148" s="67" t="n">
        <v>66.99</v>
      </c>
      <c r="R148" s="67" t="n">
        <v>56.9</v>
      </c>
      <c r="S148" s="67" t="n">
        <v>153.95</v>
      </c>
      <c r="T148" s="67" t="n">
        <v>46.04</v>
      </c>
      <c r="U148" s="67" t="n">
        <v>31.84</v>
      </c>
      <c r="V148" s="67" t="n">
        <v>335.61</v>
      </c>
      <c r="W148" s="67" t="n">
        <v>157.35</v>
      </c>
      <c r="X148" s="67" t="n">
        <v>54.1</v>
      </c>
      <c r="Y148" s="67" t="n">
        <v>54.73</v>
      </c>
      <c r="Z148" s="67" t="n">
        <v>368.54</v>
      </c>
      <c r="AA148" s="67" t="n">
        <v>73.81</v>
      </c>
      <c r="AB148" s="67" t="n">
        <v>171.36</v>
      </c>
    </row>
    <row r="149" customFormat="false" ht="15" hidden="false" customHeight="true" outlineLevel="0" collapsed="false">
      <c r="A149" s="70" t="n">
        <v>46206</v>
      </c>
      <c r="B149" s="67" t="n">
        <v>219.72</v>
      </c>
      <c r="C149" s="67" t="n">
        <v>159.99</v>
      </c>
      <c r="D149" s="67" t="n">
        <v>1767.03</v>
      </c>
      <c r="E149" s="67" t="n">
        <v>359.79</v>
      </c>
      <c r="F149" s="67" t="n">
        <v>193.98</v>
      </c>
      <c r="G149" s="67" t="n">
        <v>235.28</v>
      </c>
      <c r="H149" s="67" t="n">
        <v>975.41</v>
      </c>
      <c r="I149" s="67" t="n">
        <v>194.61</v>
      </c>
      <c r="J149" s="67" t="n">
        <v>138.33</v>
      </c>
      <c r="K149" s="67" t="n">
        <v>129.3</v>
      </c>
      <c r="L149" s="67" t="n">
        <v>433</v>
      </c>
      <c r="M149" s="67" t="n">
        <v>300.46</v>
      </c>
      <c r="N149" s="67" t="n">
        <v>528.04</v>
      </c>
      <c r="O149" s="67" t="n">
        <v>123.11</v>
      </c>
      <c r="P149" s="67" t="n">
        <v>157.78</v>
      </c>
      <c r="Q149" s="67" t="n">
        <v>67.5</v>
      </c>
      <c r="R149" s="67" t="n">
        <v>57.47</v>
      </c>
      <c r="S149" s="67" t="n">
        <v>150.58</v>
      </c>
      <c r="T149" s="67" t="n">
        <v>46.85</v>
      </c>
      <c r="U149" s="67" t="n">
        <v>32.13</v>
      </c>
      <c r="V149" s="67" t="n">
        <v>361.46</v>
      </c>
      <c r="W149" s="67" t="n">
        <v>158.6</v>
      </c>
      <c r="X149" s="67" t="n">
        <v>53.12</v>
      </c>
      <c r="Y149" s="67" t="n">
        <v>55.64</v>
      </c>
      <c r="Z149" s="67" t="n">
        <v>377.05</v>
      </c>
      <c r="AA149" s="67" t="n">
        <v>77.65</v>
      </c>
      <c r="AB149" s="67" t="n">
        <v>192.74</v>
      </c>
    </row>
    <row r="150" customFormat="false" ht="15" hidden="false" customHeight="true" outlineLevel="0" collapsed="false">
      <c r="A150" s="70" t="n">
        <v>46213</v>
      </c>
      <c r="B150" s="67" t="n">
        <v>223.64</v>
      </c>
      <c r="C150" s="67" t="n">
        <v>186.96</v>
      </c>
      <c r="D150" s="67" t="n">
        <v>1795</v>
      </c>
      <c r="E150" s="67" t="n">
        <v>399.24</v>
      </c>
      <c r="F150" s="67" t="n">
        <v>187.18</v>
      </c>
      <c r="G150" s="67" t="n">
        <v>231.26</v>
      </c>
      <c r="H150" s="67" t="n">
        <v>979.3</v>
      </c>
      <c r="I150" s="67" t="n">
        <v>210.72</v>
      </c>
      <c r="J150" s="67" t="n">
        <v>139.76</v>
      </c>
      <c r="K150" s="67" t="n">
        <v>126.79</v>
      </c>
      <c r="L150" s="67" t="n">
        <v>432.95</v>
      </c>
      <c r="M150" s="67" t="n">
        <v>318.78</v>
      </c>
      <c r="N150" s="67" t="n">
        <v>485.39</v>
      </c>
      <c r="O150" s="67" t="n">
        <v>123.55</v>
      </c>
      <c r="P150" s="67" t="n">
        <v>158.15</v>
      </c>
      <c r="Q150" s="67" t="n">
        <v>68.24</v>
      </c>
      <c r="R150" s="67" t="n">
        <v>58.55</v>
      </c>
      <c r="S150" s="67" t="n">
        <v>153.5</v>
      </c>
      <c r="T150" s="67" t="n">
        <v>47.27</v>
      </c>
      <c r="U150" s="67" t="n">
        <v>32.14</v>
      </c>
      <c r="V150" s="67" t="n">
        <v>348.32</v>
      </c>
      <c r="W150" s="67" t="n">
        <v>160.17</v>
      </c>
      <c r="X150" s="67" t="n">
        <v>53.54</v>
      </c>
      <c r="Y150" s="67" t="n">
        <v>55.69</v>
      </c>
      <c r="Z150" s="67" t="n">
        <v>359.27</v>
      </c>
      <c r="AA150" s="67" t="n">
        <v>73.37</v>
      </c>
      <c r="AB150" s="67" t="n">
        <v>190.12</v>
      </c>
    </row>
    <row r="151" customFormat="false" ht="15" hidden="false" customHeight="true" outlineLevel="0" collapsed="false">
      <c r="A151" s="70" t="n">
        <v>46220</v>
      </c>
      <c r="B151" s="67" t="n">
        <v>237.25</v>
      </c>
      <c r="C151" s="67" t="n">
        <v>168.61</v>
      </c>
      <c r="D151" s="67" t="n">
        <v>1745.32</v>
      </c>
      <c r="E151" s="67" t="n">
        <v>370.16</v>
      </c>
      <c r="F151" s="67" t="n">
        <v>203.08</v>
      </c>
      <c r="G151" s="67" t="n">
        <v>212.51</v>
      </c>
      <c r="H151" s="67" t="n">
        <v>848.95</v>
      </c>
      <c r="I151" s="67" t="n">
        <v>202.58</v>
      </c>
      <c r="J151" s="67" t="n">
        <v>148.61</v>
      </c>
      <c r="K151" s="67" t="n">
        <v>132.38</v>
      </c>
      <c r="L151" s="67" t="n">
        <v>397.3</v>
      </c>
      <c r="M151" s="67" t="n">
        <v>289.49</v>
      </c>
      <c r="N151" s="67" t="n">
        <v>485.65</v>
      </c>
      <c r="O151" s="67" t="n">
        <v>124.94</v>
      </c>
      <c r="P151" s="67" t="n">
        <v>160.51</v>
      </c>
      <c r="Q151" s="67" t="n">
        <v>67.61</v>
      </c>
      <c r="R151" s="67" t="n">
        <v>56.62</v>
      </c>
      <c r="S151" s="67" t="n">
        <v>143.66</v>
      </c>
      <c r="T151" s="67" t="n">
        <v>47.68</v>
      </c>
      <c r="U151" s="67" t="n">
        <v>32.65</v>
      </c>
      <c r="V151" s="67" t="n">
        <v>357.9</v>
      </c>
      <c r="W151" s="67" t="n">
        <v>159.28</v>
      </c>
      <c r="X151" s="67" t="n">
        <v>54.28</v>
      </c>
      <c r="Y151" s="67" t="n">
        <v>55.49</v>
      </c>
      <c r="Z151" s="67" t="n">
        <v>348.83</v>
      </c>
      <c r="AA151" s="67" t="n">
        <v>68.95</v>
      </c>
      <c r="AB151" s="67" t="n">
        <v>195.38</v>
      </c>
    </row>
    <row r="152" customFormat="false" ht="15" hidden="false" customHeight="true" outlineLevel="0" collapsed="false">
      <c r="A152" s="70" t="n">
        <v>46227</v>
      </c>
      <c r="B152" s="67" t="n">
        <v>225.11</v>
      </c>
      <c r="C152" s="67" t="n">
        <v>173.99</v>
      </c>
      <c r="D152" s="67" t="n">
        <v>1754.82</v>
      </c>
      <c r="E152" s="67" t="n">
        <v>381.23</v>
      </c>
      <c r="F152" s="67" t="n">
        <v>183.28</v>
      </c>
      <c r="G152" s="67" t="n">
        <v>210.28</v>
      </c>
      <c r="H152" s="67" t="n">
        <v>920.95</v>
      </c>
      <c r="I152" s="67" t="n">
        <v>206.61</v>
      </c>
      <c r="J152" s="67" t="n">
        <v>146.47</v>
      </c>
      <c r="K152" s="67" t="n">
        <v>122.92</v>
      </c>
      <c r="L152" s="67" t="n">
        <v>402.33</v>
      </c>
      <c r="M152" s="67" t="n">
        <v>290.29</v>
      </c>
      <c r="N152" s="67" t="n">
        <v>477.36</v>
      </c>
      <c r="O152" s="67" t="n">
        <v>124.87</v>
      </c>
      <c r="P152" s="67" t="n">
        <v>161.66</v>
      </c>
      <c r="Q152" s="67" t="n">
        <v>67.49</v>
      </c>
      <c r="R152" s="67" t="n">
        <v>56.09</v>
      </c>
      <c r="S152" s="67" t="n">
        <v>146.27</v>
      </c>
      <c r="T152" s="67" t="n">
        <v>48.01</v>
      </c>
      <c r="U152" s="67" t="n">
        <v>33.03</v>
      </c>
      <c r="V152" s="67" t="n">
        <v>355.08</v>
      </c>
      <c r="W152" s="67" t="n">
        <v>161.33</v>
      </c>
      <c r="X152" s="67" t="n">
        <v>54.27</v>
      </c>
      <c r="Y152" s="67" t="n">
        <v>55.73</v>
      </c>
      <c r="Z152" s="67" t="n">
        <v>353.73</v>
      </c>
      <c r="AA152" s="67" t="n">
        <v>70.09</v>
      </c>
      <c r="AB152" s="67" t="n">
        <v>186.24</v>
      </c>
    </row>
    <row r="153" customFormat="false" ht="15" hidden="false" customHeight="true" outlineLevel="0" collapsed="false">
      <c r="A153" s="70" t="n">
        <v>46234</v>
      </c>
      <c r="B153" s="67" t="n">
        <v>250.41</v>
      </c>
      <c r="C153" s="67" t="n">
        <v>180.35</v>
      </c>
      <c r="D153" s="67" t="n">
        <v>1629</v>
      </c>
      <c r="E153" s="67" t="n">
        <v>388.57</v>
      </c>
      <c r="F153" s="67" t="n">
        <v>190.86</v>
      </c>
      <c r="G153" s="67" t="n">
        <v>182.61</v>
      </c>
      <c r="H153" s="67" t="n">
        <v>823.03</v>
      </c>
      <c r="I153" s="67" t="n">
        <v>200.53</v>
      </c>
      <c r="J153" s="67" t="n">
        <v>143.47</v>
      </c>
      <c r="K153" s="67" t="n">
        <v>123.06</v>
      </c>
      <c r="L153" s="67" t="n">
        <v>403.17</v>
      </c>
      <c r="M153" s="67" t="n">
        <v>241.51</v>
      </c>
      <c r="N153" s="67" t="n">
        <v>477.1</v>
      </c>
      <c r="O153" s="67" t="n">
        <v>124.87</v>
      </c>
      <c r="P153" s="67" t="n">
        <v>159.89</v>
      </c>
      <c r="Q153" s="90" t="n">
        <v>68.36</v>
      </c>
      <c r="R153" s="67" t="n">
        <v>56.37</v>
      </c>
      <c r="S153" s="67" t="n">
        <v>143.6</v>
      </c>
      <c r="T153" s="67" t="n">
        <v>49.61</v>
      </c>
      <c r="U153" s="67" t="n">
        <v>33.21</v>
      </c>
      <c r="V153" s="67" t="n">
        <v>365.45</v>
      </c>
      <c r="W153" s="67" t="n">
        <v>161.07</v>
      </c>
      <c r="X153" s="67" t="n">
        <v>53.09</v>
      </c>
      <c r="Y153" s="67" t="n">
        <v>56.35</v>
      </c>
      <c r="Z153" s="67" t="n">
        <v>360.07</v>
      </c>
      <c r="AA153" s="67" t="n">
        <v>71.71</v>
      </c>
      <c r="AB153" s="67" t="n">
        <v>203.78</v>
      </c>
    </row>
    <row r="154" customFormat="false" ht="15" hidden="false" customHeight="true" outlineLevel="0" collapsed="false">
      <c r="A154" s="70" t="n">
        <v>46241</v>
      </c>
      <c r="B154" s="67" t="n">
        <v>265.21</v>
      </c>
      <c r="C154" s="67" t="n">
        <v>188.67</v>
      </c>
      <c r="D154" s="67" t="n">
        <v>1740.99</v>
      </c>
      <c r="E154" s="67" t="n">
        <v>426.98</v>
      </c>
      <c r="F154" s="67" t="n">
        <v>214.42</v>
      </c>
      <c r="G154" s="67" t="n">
        <v>197.89</v>
      </c>
      <c r="H154" s="67" t="n">
        <v>877.57</v>
      </c>
      <c r="I154" s="67" t="n">
        <v>223.71</v>
      </c>
      <c r="J154" s="67" t="n">
        <v>139.06</v>
      </c>
      <c r="K154" s="67" t="n">
        <v>172.01</v>
      </c>
      <c r="L154" s="67" t="n">
        <v>418.92</v>
      </c>
      <c r="M154" s="67" t="n">
        <v>272.33</v>
      </c>
      <c r="N154" s="67" t="n">
        <v>496.07</v>
      </c>
      <c r="O154" s="67" t="n">
        <v>126.47</v>
      </c>
      <c r="P154" s="67" t="n">
        <v>160.58</v>
      </c>
      <c r="Q154" s="67" t="n">
        <v>69.77</v>
      </c>
      <c r="R154" s="67" t="n">
        <v>58.52</v>
      </c>
      <c r="S154" s="67" t="n">
        <v>149.45</v>
      </c>
      <c r="T154" s="67" t="n">
        <v>51.36</v>
      </c>
      <c r="U154" s="67" t="n">
        <v>33.63</v>
      </c>
      <c r="V154" s="67" t="n">
        <v>361.83</v>
      </c>
      <c r="W154" s="67" t="n">
        <v>164.72</v>
      </c>
      <c r="X154" s="67" t="n">
        <v>51.7</v>
      </c>
      <c r="Y154" s="67" t="n">
        <v>56.86</v>
      </c>
      <c r="Z154" s="67" t="n">
        <v>370.08</v>
      </c>
      <c r="AA154" s="67" t="n">
        <v>74.14</v>
      </c>
      <c r="AB154" s="67" t="n">
        <v>230.47</v>
      </c>
    </row>
    <row r="155" customFormat="false" ht="15" hidden="false" customHeight="true" outlineLevel="0" collapsed="false">
      <c r="A155" s="70" t="n">
        <v>46248</v>
      </c>
      <c r="B155" s="67" t="n">
        <v>264.02</v>
      </c>
      <c r="C155" s="67" t="n">
        <v>198.82</v>
      </c>
      <c r="D155" s="67" t="n">
        <v>1844.08</v>
      </c>
      <c r="E155" s="67" t="n">
        <v>392.28</v>
      </c>
      <c r="F155" s="67" t="n">
        <v>216.95</v>
      </c>
      <c r="G155" s="67" t="n">
        <v>203.49</v>
      </c>
      <c r="H155" s="67" t="n">
        <v>971.66</v>
      </c>
      <c r="I155" s="67" t="n">
        <v>224.91</v>
      </c>
      <c r="J155" s="67" t="n">
        <v>139.92</v>
      </c>
      <c r="K155" s="67" t="n">
        <v>174.04</v>
      </c>
      <c r="L155" s="67" t="n">
        <v>425.21</v>
      </c>
      <c r="M155" s="67" t="n">
        <v>293.77</v>
      </c>
      <c r="N155" s="67" t="n">
        <v>505.75</v>
      </c>
      <c r="O155" s="67" t="n">
        <v>128.31</v>
      </c>
      <c r="P155" s="67" t="n">
        <v>164.15</v>
      </c>
      <c r="Q155" s="90" t="n">
        <v>70.06</v>
      </c>
      <c r="R155" s="67" t="n">
        <v>59.29</v>
      </c>
      <c r="S155" s="67" t="n">
        <v>153.06</v>
      </c>
      <c r="T155" s="67" t="n">
        <v>53.6</v>
      </c>
      <c r="U155" s="67" t="n">
        <v>34.25</v>
      </c>
      <c r="V155" s="67" t="n">
        <v>364.15</v>
      </c>
      <c r="W155" s="67" t="n">
        <v>165.6</v>
      </c>
      <c r="X155" s="67" t="n">
        <v>53.75</v>
      </c>
      <c r="Y155" s="67" t="n">
        <v>57.3</v>
      </c>
      <c r="Z155" s="67" t="n">
        <v>368.38</v>
      </c>
      <c r="AA155" s="67" t="n">
        <v>78.16</v>
      </c>
      <c r="AB155" s="67" t="n">
        <v>243.75</v>
      </c>
    </row>
    <row r="156" customFormat="false" ht="15" hidden="false" customHeight="true" outlineLevel="0" collapsed="false">
      <c r="A156" s="70" t="n">
        <v>46255</v>
      </c>
      <c r="B156" s="67" t="n">
        <v>275.3</v>
      </c>
      <c r="C156" s="67" t="n">
        <v>188.65</v>
      </c>
      <c r="D156" s="67" t="n">
        <v>1763.76</v>
      </c>
      <c r="E156" s="67" t="n">
        <v>367.78</v>
      </c>
      <c r="F156" s="67" t="n">
        <v>191.95</v>
      </c>
      <c r="G156" s="67" t="n">
        <v>183.99</v>
      </c>
      <c r="H156" s="67" t="n">
        <v>966.78</v>
      </c>
      <c r="I156" s="67" t="n">
        <v>214.48</v>
      </c>
      <c r="J156" s="67" t="n">
        <v>140.68</v>
      </c>
      <c r="K156" s="67" t="n">
        <v>179.94</v>
      </c>
      <c r="L156" s="67" t="n">
        <v>417.83</v>
      </c>
      <c r="M156" s="67" t="n">
        <v>261.89</v>
      </c>
      <c r="N156" s="67" t="n">
        <v>548.05</v>
      </c>
      <c r="O156" s="67" t="n">
        <v>126.04</v>
      </c>
      <c r="P156" s="67" t="n">
        <v>162.75</v>
      </c>
      <c r="Q156" s="67" t="n">
        <v>69.32</v>
      </c>
      <c r="R156" s="67" t="n">
        <v>58.61</v>
      </c>
      <c r="S156" s="67" t="n">
        <v>148.49</v>
      </c>
      <c r="T156" s="67" t="n">
        <v>55.34</v>
      </c>
      <c r="U156" s="67" t="n">
        <v>34.83</v>
      </c>
      <c r="V156" s="67" t="n">
        <v>371.04</v>
      </c>
      <c r="W156" s="67" t="n">
        <v>164.06</v>
      </c>
      <c r="X156" s="67" t="n">
        <v>53.23</v>
      </c>
      <c r="Y156" s="67" t="n">
        <v>57.2</v>
      </c>
      <c r="Z156" s="67" t="n">
        <v>348.37</v>
      </c>
      <c r="AA156" s="67" t="n">
        <v>79.59</v>
      </c>
      <c r="AB156" s="67" t="n">
        <v>247.9</v>
      </c>
    </row>
    <row r="157" customFormat="false" ht="15" hidden="false" customHeight="true" outlineLevel="0" collapsed="false">
      <c r="A157" s="70" t="n">
        <v>46262</v>
      </c>
      <c r="B157" s="67" t="n">
        <v>291.52</v>
      </c>
      <c r="C157" s="67" t="n">
        <v>195.38</v>
      </c>
      <c r="D157" s="67" t="n">
        <v>1696.16</v>
      </c>
      <c r="E157" s="67" t="n">
        <v>368.12</v>
      </c>
      <c r="F157" s="67" t="n">
        <v>218.4</v>
      </c>
      <c r="G157" s="67" t="n">
        <v>175.54</v>
      </c>
      <c r="H157" s="67" t="n">
        <v>932.86</v>
      </c>
      <c r="I157" s="67" t="n">
        <v>217.31</v>
      </c>
      <c r="J157" s="67" t="n">
        <v>139.59</v>
      </c>
      <c r="K157" s="67" t="n">
        <v>186.29</v>
      </c>
      <c r="L157" s="67" t="n">
        <v>416.4</v>
      </c>
      <c r="M157" s="67" t="n">
        <v>257.02</v>
      </c>
      <c r="N157" s="67" t="n">
        <v>541.69</v>
      </c>
      <c r="O157" s="67" t="n">
        <v>125.16</v>
      </c>
      <c r="P157" s="67" t="n">
        <v>162.46</v>
      </c>
      <c r="Q157" s="67" t="n">
        <v>69.6</v>
      </c>
      <c r="R157" s="67" t="n">
        <v>58.92</v>
      </c>
      <c r="S157" s="67" t="n">
        <v>146.54</v>
      </c>
      <c r="T157" s="67" t="n">
        <v>55.55</v>
      </c>
      <c r="U157" s="67" t="n">
        <v>34.62</v>
      </c>
      <c r="V157" s="67" t="n">
        <v>381.6</v>
      </c>
      <c r="W157" s="67" t="n">
        <v>163.34</v>
      </c>
      <c r="X157" s="67" t="n">
        <v>53.64</v>
      </c>
      <c r="Y157" s="67" t="n">
        <v>57.07</v>
      </c>
      <c r="Z157" s="67" t="n">
        <v>342.58</v>
      </c>
      <c r="AA157" s="67" t="n">
        <v>81.72</v>
      </c>
      <c r="AB157" s="67" t="n">
        <v>276.69</v>
      </c>
    </row>
    <row r="158" customFormat="false" ht="15" hidden="false" customHeight="true" outlineLevel="0" collapsed="false">
      <c r="A158" s="70" t="n">
        <v>46269</v>
      </c>
      <c r="B158" s="67" t="n">
        <v>266.51</v>
      </c>
      <c r="C158" s="67" t="n">
        <v>193.78</v>
      </c>
      <c r="D158" s="67" t="n">
        <v>1714.88</v>
      </c>
      <c r="E158" s="67" t="n">
        <v>357.25</v>
      </c>
      <c r="F158" s="67" t="n">
        <v>213.1</v>
      </c>
      <c r="G158" s="67" t="n">
        <v>185.6</v>
      </c>
      <c r="H158" s="67" t="n">
        <v>1016.59</v>
      </c>
      <c r="I158" s="67" t="n">
        <v>230.1</v>
      </c>
      <c r="J158" s="67" t="n">
        <v>136.26</v>
      </c>
      <c r="K158" s="67" t="n">
        <v>174.33</v>
      </c>
      <c r="L158" s="67" t="n">
        <v>427.76</v>
      </c>
      <c r="M158" s="67" t="n">
        <v>280.46</v>
      </c>
      <c r="N158" s="67" t="n">
        <v>546.12</v>
      </c>
      <c r="O158" s="67" t="n">
        <v>126.52</v>
      </c>
      <c r="P158" s="67" t="n">
        <v>162.91</v>
      </c>
      <c r="Q158" s="67" t="n">
        <v>69.63</v>
      </c>
      <c r="R158" s="67" t="n">
        <v>59.32</v>
      </c>
      <c r="S158" s="67" t="n">
        <v>149.48</v>
      </c>
      <c r="T158" s="67" t="n">
        <v>55.18</v>
      </c>
      <c r="U158" s="67" t="n">
        <v>34.52</v>
      </c>
      <c r="V158" s="67" t="n">
        <v>375.07</v>
      </c>
      <c r="W158" s="67" t="n">
        <v>163.32</v>
      </c>
      <c r="X158" s="67" t="n">
        <v>53.99</v>
      </c>
      <c r="Y158" s="67" t="n">
        <v>56.87</v>
      </c>
      <c r="Z158" s="67" t="n">
        <v>337.12</v>
      </c>
      <c r="AA158" s="67" t="n">
        <v>78.25</v>
      </c>
      <c r="AB158" s="67" t="n">
        <v>275.09</v>
      </c>
    </row>
    <row r="159" customFormat="false" ht="15" hidden="false" customHeight="true" outlineLevel="0" collapsed="false">
      <c r="A159" s="70" t="n">
        <v>46276</v>
      </c>
      <c r="B159" s="67" t="n">
        <v>252.23</v>
      </c>
      <c r="C159" s="67" t="n">
        <v>199.59</v>
      </c>
      <c r="D159" s="67" t="n">
        <v>1698.3</v>
      </c>
      <c r="E159" s="67" t="n">
        <v>361.33</v>
      </c>
      <c r="F159" s="67" t="n">
        <v>206.74</v>
      </c>
      <c r="G159" s="67" t="n">
        <v>180.64</v>
      </c>
      <c r="H159" s="67" t="n">
        <v>975.26</v>
      </c>
      <c r="I159" s="67" t="n">
        <v>218.29</v>
      </c>
      <c r="J159" s="67" t="n">
        <v>134.68</v>
      </c>
      <c r="K159" s="67" t="n">
        <v>167.23</v>
      </c>
      <c r="L159" s="67" t="n">
        <v>432.08</v>
      </c>
      <c r="M159" s="67" t="n">
        <v>257</v>
      </c>
      <c r="N159" s="67" t="n">
        <v>515.44</v>
      </c>
      <c r="O159" s="67" t="n">
        <v>124.5</v>
      </c>
      <c r="P159" s="67" t="n">
        <v>161.03</v>
      </c>
      <c r="Q159" s="67" t="n">
        <v>69.15</v>
      </c>
      <c r="R159" s="67" t="n">
        <v>59.23</v>
      </c>
      <c r="S159" s="67" t="n">
        <v>148.07</v>
      </c>
      <c r="T159" s="67" t="n">
        <v>53.88</v>
      </c>
      <c r="U159" s="67" t="n">
        <v>33.85</v>
      </c>
      <c r="V159" s="67" t="n">
        <v>370.45</v>
      </c>
      <c r="W159" s="67" t="n">
        <v>162.02</v>
      </c>
      <c r="X159" s="67" t="n">
        <v>53.36</v>
      </c>
      <c r="Y159" s="67" t="n">
        <v>56.31</v>
      </c>
      <c r="Z159" s="67" t="n">
        <v>323.66</v>
      </c>
      <c r="AA159" s="67" t="n">
        <v>77.4</v>
      </c>
      <c r="AB159" s="67" t="n">
        <v>262.4</v>
      </c>
    </row>
    <row r="160" customFormat="false" ht="15" hidden="false" customHeight="true" outlineLevel="0" collapsed="false">
      <c r="A160" s="70" t="n">
        <v>46283</v>
      </c>
      <c r="B160" s="67" t="n">
        <v>248.92</v>
      </c>
      <c r="C160" s="67" t="n">
        <v>199.39</v>
      </c>
      <c r="D160" s="67" t="n">
        <v>1679.92</v>
      </c>
      <c r="E160" s="67" t="n">
        <v>356.96</v>
      </c>
      <c r="F160" s="67" t="n">
        <v>237.65</v>
      </c>
      <c r="G160" s="67" t="n">
        <v>176.99</v>
      </c>
      <c r="H160" s="67" t="n">
        <v>1015.8</v>
      </c>
      <c r="I160" s="67" t="n">
        <v>222.27</v>
      </c>
      <c r="J160" s="67" t="n">
        <v>134.84</v>
      </c>
      <c r="K160" s="67" t="n">
        <v>177.64</v>
      </c>
      <c r="L160" s="67" t="n">
        <v>434.67</v>
      </c>
      <c r="M160" s="67" t="n">
        <v>249.39</v>
      </c>
      <c r="N160" s="67" t="n">
        <v>508.34</v>
      </c>
      <c r="O160" s="67" t="n">
        <v>121.96</v>
      </c>
      <c r="P160" s="67" t="n">
        <v>158.24</v>
      </c>
      <c r="Q160" s="67" t="n">
        <v>68.99</v>
      </c>
      <c r="R160" s="67" t="n">
        <v>59.68</v>
      </c>
      <c r="S160" s="67" t="n">
        <v>148.97</v>
      </c>
      <c r="T160" s="67" t="n">
        <v>53</v>
      </c>
      <c r="U160" s="67" t="n">
        <v>33.41</v>
      </c>
      <c r="V160" s="67" t="n">
        <v>368.29</v>
      </c>
      <c r="W160" s="67" t="n">
        <v>159.26</v>
      </c>
      <c r="X160" s="67" t="n">
        <v>52.81</v>
      </c>
      <c r="Y160" s="67" t="n">
        <v>55.9</v>
      </c>
      <c r="Z160" s="67" t="n">
        <v>314.27</v>
      </c>
      <c r="AA160" s="67" t="n">
        <v>71.79</v>
      </c>
      <c r="AB160" s="67" t="n">
        <v>260.21</v>
      </c>
    </row>
    <row r="161" customFormat="false" ht="15" hidden="false" customHeight="true" outlineLevel="0" collapsed="false">
      <c r="A161" s="70" t="n">
        <v>46290</v>
      </c>
      <c r="B161" s="67" t="n">
        <v>235.47</v>
      </c>
      <c r="C161" s="67" t="n">
        <v>206.55</v>
      </c>
      <c r="D161" s="67" t="n">
        <v>1743.94</v>
      </c>
      <c r="E161" s="67" t="n">
        <v>352.81</v>
      </c>
      <c r="F161" s="67" t="n">
        <v>252.13</v>
      </c>
      <c r="G161" s="67" t="n">
        <v>187.92</v>
      </c>
      <c r="H161" s="67" t="n">
        <v>1082.28</v>
      </c>
      <c r="I161" s="67" t="n">
        <v>225.07</v>
      </c>
      <c r="J161" s="67" t="n">
        <v>133.05</v>
      </c>
      <c r="K161" s="67" t="n">
        <v>189.67</v>
      </c>
      <c r="L161" s="67" t="n">
        <v>450.61</v>
      </c>
      <c r="M161" s="67" t="n">
        <v>253.28</v>
      </c>
      <c r="N161" s="67" t="n">
        <v>526.19</v>
      </c>
      <c r="O161" s="67" t="n">
        <v>120.41</v>
      </c>
      <c r="P161" s="67" t="n">
        <v>154.73</v>
      </c>
      <c r="Q161" s="67" t="n">
        <v>69.58</v>
      </c>
      <c r="R161" s="67" t="n">
        <v>60.67</v>
      </c>
      <c r="S161" s="67" t="n">
        <v>152.92</v>
      </c>
      <c r="T161" s="67" t="n">
        <v>51.6</v>
      </c>
      <c r="U161" s="67" t="n">
        <v>33.21</v>
      </c>
      <c r="V161" s="67" t="n">
        <v>367.38</v>
      </c>
      <c r="W161" s="67" t="n">
        <v>157.68</v>
      </c>
      <c r="X161" s="67" t="n">
        <v>51.1</v>
      </c>
      <c r="Y161" s="67" t="n">
        <v>56.42</v>
      </c>
      <c r="Z161" s="67" t="n">
        <v>327.09</v>
      </c>
      <c r="AA161" s="67" t="n">
        <v>71.15</v>
      </c>
      <c r="AB161" s="67" t="n">
        <v>280.68</v>
      </c>
    </row>
    <row r="162" customFormat="false" ht="15" hidden="false" customHeight="true" outlineLevel="0" collapsed="false">
      <c r="A162" s="70" t="n">
        <v>46297</v>
      </c>
      <c r="B162" s="67" t="n">
        <v>237.69</v>
      </c>
      <c r="C162" s="67" t="n">
        <v>207.35</v>
      </c>
      <c r="D162" s="67" t="n">
        <v>1867.31</v>
      </c>
      <c r="E162" s="67" t="n">
        <v>355.14</v>
      </c>
      <c r="F162" s="67" t="n">
        <v>270.04</v>
      </c>
      <c r="G162" s="67" t="n">
        <v>206.89</v>
      </c>
      <c r="H162" s="67" t="n">
        <v>1074.89</v>
      </c>
      <c r="I162" s="67" t="n">
        <v>233.95</v>
      </c>
      <c r="J162" s="67" t="n">
        <v>128.91</v>
      </c>
      <c r="K162" s="67" t="n">
        <v>188.75</v>
      </c>
      <c r="L162" s="67" t="n">
        <v>472.78</v>
      </c>
      <c r="M162" s="67" t="n">
        <v>252.18</v>
      </c>
      <c r="N162" s="67" t="n">
        <v>504.73</v>
      </c>
      <c r="O162" s="67" t="n">
        <v>120.03</v>
      </c>
      <c r="P162" s="67" t="n">
        <v>153.05</v>
      </c>
      <c r="Q162" s="67" t="n">
        <v>69.42</v>
      </c>
      <c r="R162" s="67" t="n">
        <v>61.04</v>
      </c>
      <c r="S162" s="67" t="n">
        <v>153.23</v>
      </c>
      <c r="T162" s="67" t="n">
        <v>51.82</v>
      </c>
      <c r="U162" s="67" t="n">
        <v>32.72</v>
      </c>
      <c r="V162" s="67" t="n">
        <v>360.66</v>
      </c>
      <c r="W162" s="67" t="n">
        <v>156.46</v>
      </c>
      <c r="X162" s="67" t="n">
        <v>51.17</v>
      </c>
      <c r="Y162" s="67" t="n">
        <v>56.1</v>
      </c>
      <c r="Z162" s="67" t="n">
        <v>309.56</v>
      </c>
      <c r="AA162" s="67" t="n">
        <v>67.06</v>
      </c>
      <c r="AB162" s="67" t="n">
        <v>273.33</v>
      </c>
    </row>
    <row r="163" customFormat="false" ht="15" hidden="false" customHeight="true" outlineLevel="0" collapsed="false">
      <c r="A163" s="70"/>
      <c r="B163" s="67"/>
      <c r="C163" s="67"/>
      <c r="D163" s="67"/>
      <c r="E163" s="67"/>
      <c r="F163" s="67"/>
      <c r="G163" s="67"/>
      <c r="H163" s="67"/>
      <c r="I163" s="67"/>
      <c r="J163" s="67"/>
      <c r="K163" s="67"/>
      <c r="L163" s="67"/>
      <c r="M163" s="67"/>
      <c r="N163" s="67"/>
      <c r="O163" s="67"/>
      <c r="P163" s="67"/>
      <c r="Q163" s="67"/>
      <c r="R163" s="67"/>
      <c r="S163" s="67"/>
      <c r="T163" s="67"/>
      <c r="U163" s="67"/>
      <c r="V163" s="67"/>
      <c r="W163" s="67"/>
      <c r="X163" s="67"/>
      <c r="Y163" s="67"/>
      <c r="Z163" s="67"/>
      <c r="AA163" s="67"/>
    </row>
    <row r="164" customFormat="false" ht="15" hidden="false" customHeight="true" outlineLevel="0" collapsed="false"/>
    <row r="165" customFormat="false" ht="15" hidden="false" customHeight="true" outlineLevel="0" collapsed="false">
      <c r="A165" s="91" t="n">
        <f aca="false">COUNT(A3:A163)</f>
        <v>160</v>
      </c>
      <c r="B165" s="91" t="s">
        <v>295</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5" activePane="bottomLeft" state="frozen"/>
      <selection pane="topLeft" activeCell="A1" activeCellId="0" sqref="A1"/>
      <selection pane="bottomLeft" activeCell="Q34" activeCellId="0" sqref="Q34"/>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16"/>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2" t="s">
        <v>82</v>
      </c>
      <c r="B1" s="92" t="s">
        <v>296</v>
      </c>
      <c r="C1" s="92" t="s">
        <v>297</v>
      </c>
      <c r="D1" s="93" t="s">
        <v>298</v>
      </c>
      <c r="E1" s="93" t="s">
        <v>299</v>
      </c>
      <c r="F1" s="92" t="s">
        <v>300</v>
      </c>
      <c r="G1" s="92" t="s">
        <v>301</v>
      </c>
      <c r="H1" s="92" t="s">
        <v>302</v>
      </c>
      <c r="I1" s="92" t="s">
        <v>303</v>
      </c>
      <c r="J1" s="92" t="s">
        <v>304</v>
      </c>
    </row>
    <row r="2" customFormat="false" ht="15" hidden="false" customHeight="true" outlineLevel="0" collapsed="false">
      <c r="A2" s="94" t="str">
        <f aca="false">IF(Scoring!A3="","",Scoring!A3)</f>
        <v>MU</v>
      </c>
      <c r="B2" s="95" t="str">
        <f aca="false">IF(Scoring!B3="","",Scoring!B3)</f>
        <v>Micron Technology</v>
      </c>
      <c r="C2" s="96" t="n">
        <f aca="false">IF(Scoring!C3="","",Scoring!C3)</f>
        <v>46278</v>
      </c>
      <c r="D2" s="97" t="n">
        <f aca="false">IF(Scoring!N3="","",Scoring!N3)</f>
        <v>3.35714285714286</v>
      </c>
      <c r="E2" s="98" t="n">
        <f aca="false">IF(Scoring!AF3="","",Scoring!AF3)</f>
        <v>67.8</v>
      </c>
      <c r="F2" s="66" t="str">
        <f aca="false">IF(Scoring!AG3&lt;&gt;"",Scoring!AG3,IF(Scoring!AH3="OK","PENDING",""))</f>
        <v>BUY</v>
      </c>
      <c r="G2" s="66" t="str">
        <f aca="false">IF(Scoring!AH3="","",Scoring!AH3)</f>
        <v>OK</v>
      </c>
      <c r="H2" s="66" t="str">
        <f aca="false">IF(Scoring!AI3="","",Scoring!AI3)</f>
        <v>OK</v>
      </c>
      <c r="I2" s="66" t="str">
        <f aca="false">IF(Scoring!AJ3="","",Scoring!AJ3)</f>
        <v>OK</v>
      </c>
      <c r="J2" s="66" t="str">
        <f aca="false">IF(Scoring!AK3="","",Scoring!AK3)</f>
        <v>OK</v>
      </c>
    </row>
    <row r="3" customFormat="false" ht="15" hidden="false" customHeight="true" outlineLevel="0" collapsed="false">
      <c r="A3" s="94" t="str">
        <f aca="false">IF(Scoring!A4="","",Scoring!A4)</f>
        <v>AVGO</v>
      </c>
      <c r="B3" s="95" t="str">
        <f aca="false">IF(Scoring!B4="","",Scoring!B4)</f>
        <v>Broadcom Inc.</v>
      </c>
      <c r="C3" s="96" t="n">
        <f aca="false">IF(Scoring!C4="","",Scoring!C4)</f>
        <v>46300</v>
      </c>
      <c r="D3" s="97" t="n">
        <f aca="false">IF(Scoring!N4="","",Scoring!N4)</f>
        <v>3.64285714285714</v>
      </c>
      <c r="E3" s="98" t="n">
        <f aca="false">IF(Scoring!AF4="","",Scoring!AF4)</f>
        <v>74.8</v>
      </c>
      <c r="F3" s="66" t="str">
        <f aca="false">IF(Scoring!AG4&lt;&gt;"",Scoring!AG4,IF(Scoring!AH4="OK","PENDING",""))</f>
        <v>BUY</v>
      </c>
      <c r="G3" s="66" t="str">
        <f aca="false">IF(Scoring!AH4="","",Scoring!AH4)</f>
        <v>OK</v>
      </c>
      <c r="H3" s="66" t="str">
        <f aca="false">IF(Scoring!AI4="","",Scoring!AI4)</f>
        <v>OK</v>
      </c>
      <c r="I3" s="66" t="str">
        <f aca="false">IF(Scoring!AJ4="","",Scoring!AJ4)</f>
        <v>OK</v>
      </c>
      <c r="J3" s="66" t="str">
        <f aca="false">IF(Scoring!AK4="","",Scoring!AK4)</f>
        <v>OK</v>
      </c>
    </row>
    <row r="4" customFormat="false" ht="15" hidden="false" customHeight="true" outlineLevel="0" collapsed="false">
      <c r="A4" s="94" t="str">
        <f aca="false">IF(Scoring!A5="","",Scoring!A5)</f>
        <v>PLTR</v>
      </c>
      <c r="B4" s="95" t="str">
        <f aca="false">IF(Scoring!B5="","",Scoring!B5)</f>
        <v>Palantir Technologies</v>
      </c>
      <c r="C4" s="96" t="n">
        <f aca="false">IF(Scoring!C5="","",Scoring!C5)</f>
        <v>46278</v>
      </c>
      <c r="D4" s="97" t="n">
        <f aca="false">IF(Scoring!N5="","",Scoring!N5)</f>
        <v>4.07142857142857</v>
      </c>
      <c r="E4" s="98" t="n">
        <f aca="false">IF(Scoring!AF5="","",Scoring!AF5)</f>
        <v>76.2</v>
      </c>
      <c r="F4" s="66" t="str">
        <f aca="false">IF(Scoring!AG5&lt;&gt;"",Scoring!AG5,IF(Scoring!AH5="OK","PENDING",""))</f>
        <v>BUY</v>
      </c>
      <c r="G4" s="66" t="str">
        <f aca="false">IF(Scoring!AH5="","",Scoring!AH5)</f>
        <v>OK</v>
      </c>
      <c r="H4" s="66" t="str">
        <f aca="false">IF(Scoring!AI5="","",Scoring!AI5)</f>
        <v>OK</v>
      </c>
      <c r="I4" s="66" t="str">
        <f aca="false">IF(Scoring!AJ5="","",Scoring!AJ5)</f>
        <v>OK</v>
      </c>
      <c r="J4" s="66" t="str">
        <f aca="false">IF(Scoring!AK5="","",Scoring!AK5)</f>
        <v>OK</v>
      </c>
    </row>
    <row r="5" customFormat="false" ht="15" hidden="false" customHeight="true" outlineLevel="0" collapsed="false">
      <c r="A5" s="94" t="str">
        <f aca="false">IF(Scoring!A6="","",Scoring!A6)</f>
        <v>NVDA</v>
      </c>
      <c r="B5" s="95" t="str">
        <f aca="false">IF(Scoring!B6="","",Scoring!B6)</f>
        <v>NVIDIA Corporation</v>
      </c>
      <c r="C5" s="96" t="n">
        <f aca="false">IF(Scoring!C6="","",Scoring!C6)</f>
        <v>46278</v>
      </c>
      <c r="D5" s="97" t="n">
        <f aca="false">IF(Scoring!N6="","",Scoring!N6)</f>
        <v>4.28571428571429</v>
      </c>
      <c r="E5" s="98" t="n">
        <f aca="false">IF(Scoring!AF6="","",Scoring!AF6)</f>
        <v>89.2</v>
      </c>
      <c r="F5" s="66" t="str">
        <f aca="false">IF(Scoring!AG6&lt;&gt;"",Scoring!AG6,IF(Scoring!AH6="OK","PENDING",""))</f>
        <v>STRONG BUY</v>
      </c>
      <c r="G5" s="66" t="str">
        <f aca="false">IF(Scoring!AH6="","",Scoring!AH6)</f>
        <v>OK</v>
      </c>
      <c r="H5" s="66" t="str">
        <f aca="false">IF(Scoring!AI6="","",Scoring!AI6)</f>
        <v>OK</v>
      </c>
      <c r="I5" s="66" t="str">
        <f aca="false">IF(Scoring!AJ6="","",Scoring!AJ6)</f>
        <v>OK</v>
      </c>
      <c r="J5" s="66" t="str">
        <f aca="false">IF(Scoring!AK6="","",Scoring!AK6)</f>
        <v>OK</v>
      </c>
    </row>
    <row r="6" customFormat="false" ht="15" hidden="false" customHeight="true" outlineLevel="0" collapsed="false">
      <c r="A6" s="94" t="str">
        <f aca="false">IF(Scoring!A7="","",Scoring!A7)</f>
        <v>VRTX</v>
      </c>
      <c r="B6" s="95" t="str">
        <f aca="false">IF(Scoring!B7="","",Scoring!B7)</f>
        <v>Vertex Pharmaceuticals</v>
      </c>
      <c r="C6" s="96" t="n">
        <f aca="false">IF(Scoring!C7="","",Scoring!C7)</f>
        <v>46300</v>
      </c>
      <c r="D6" s="97" t="n">
        <f aca="false">IF(Scoring!N7="","",Scoring!N7)</f>
        <v>3.42857142857143</v>
      </c>
      <c r="E6" s="98" t="n">
        <f aca="false">IF(Scoring!AF7="","",Scoring!AF7)</f>
        <v>70.6</v>
      </c>
      <c r="F6" s="66" t="str">
        <f aca="false">IF(Scoring!AG7&lt;&gt;"",Scoring!AG7,IF(Scoring!AH7="OK","PENDING",""))</f>
        <v>BUY</v>
      </c>
      <c r="G6" s="66" t="str">
        <f aca="false">IF(Scoring!AH7="","",Scoring!AH7)</f>
        <v>OK</v>
      </c>
      <c r="H6" s="66" t="str">
        <f aca="false">IF(Scoring!AI7="","",Scoring!AI7)</f>
        <v>OK</v>
      </c>
      <c r="I6" s="66" t="str">
        <f aca="false">IF(Scoring!AJ7="","",Scoring!AJ7)</f>
        <v>OK</v>
      </c>
      <c r="J6" s="66" t="str">
        <f aca="false">IF(Scoring!AK7="","",Scoring!AK7)</f>
        <v>OK</v>
      </c>
    </row>
    <row r="7" customFormat="false" ht="15" hidden="false" customHeight="true" outlineLevel="0" collapsed="false">
      <c r="A7" s="94" t="str">
        <f aca="false">IF(Scoring!A8="","",Scoring!A8)</f>
        <v>PLD</v>
      </c>
      <c r="B7" s="95" t="str">
        <f aca="false">IF(Scoring!B8="","",Scoring!B8)</f>
        <v>Prologis Inc. (REIT-adapted)</v>
      </c>
      <c r="C7" s="96" t="n">
        <f aca="false">IF(Scoring!C8="","",Scoring!C8)</f>
        <v>46295</v>
      </c>
      <c r="D7" s="97" t="n">
        <f aca="false">IF(Scoring!N8="","",Scoring!N8)</f>
        <v>3.92857142857143</v>
      </c>
      <c r="E7" s="98" t="n">
        <f aca="false">IF(Scoring!AF8="","",Scoring!AF8)</f>
        <v>76</v>
      </c>
      <c r="F7" s="66" t="str">
        <f aca="false">IF(Scoring!AG8&lt;&gt;"",Scoring!AG8,IF(Scoring!AH8="OK","PENDING",""))</f>
        <v>BUY</v>
      </c>
      <c r="G7" s="66" t="str">
        <f aca="false">IF(Scoring!AH8="","",Scoring!AH8)</f>
        <v>OK</v>
      </c>
      <c r="H7" s="66" t="str">
        <f aca="false">IF(Scoring!AI8="","",Scoring!AI8)</f>
        <v>OK</v>
      </c>
      <c r="I7" s="66" t="str">
        <f aca="false">IF(Scoring!AJ8="","",Scoring!AJ8)</f>
        <v>OK</v>
      </c>
      <c r="J7" s="66" t="str">
        <f aca="false">IF(Scoring!AK8="","",Scoring!AK8)</f>
        <v>OK</v>
      </c>
    </row>
    <row r="8" customFormat="false" ht="15" hidden="false" customHeight="true" outlineLevel="1" collapsed="false">
      <c r="A8" s="94" t="str">
        <f aca="false">IF(Scoring!A9="","",Scoring!A9)</f>
        <v>SFM</v>
      </c>
      <c r="B8" s="95" t="str">
        <f aca="false">IF(Scoring!B9="","",Scoring!B9)</f>
        <v>Sprouts Farmers Market</v>
      </c>
      <c r="C8" s="96" t="n">
        <f aca="false">IF(Scoring!C9="","",Scoring!C9)</f>
        <v>46240</v>
      </c>
      <c r="D8" s="97" t="n">
        <f aca="false">IF(Scoring!N9="","",Scoring!N9)</f>
        <v>1.85714285714286</v>
      </c>
      <c r="E8" s="98" t="str">
        <f aca="false">IF(Scoring!AF9="","",Scoring!AF9)</f>
        <v/>
      </c>
      <c r="F8" s="66" t="str">
        <f aca="false">IF(Scoring!AG9&lt;&gt;"",Scoring!AG9,IF(Scoring!AH9="OK","PENDING",""))</f>
        <v/>
      </c>
      <c r="G8" s="66" t="str">
        <f aca="false">IF(Scoring!AH9="","",Scoring!AH9)</f>
        <v>FAIL</v>
      </c>
      <c r="H8" s="66" t="str">
        <f aca="false">IF(Scoring!AI9="","",Scoring!AI9)</f>
        <v>REVIEW</v>
      </c>
      <c r="I8" s="66" t="str">
        <f aca="false">IF(Scoring!AJ9="","",Scoring!AJ9)</f>
        <v>AVOID</v>
      </c>
      <c r="J8" s="66" t="str">
        <f aca="false">IF(Scoring!AK9="","",Scoring!AK9)</f>
        <v>OK</v>
      </c>
    </row>
    <row r="9" customFormat="false" ht="15" hidden="false" customHeight="true" outlineLevel="1" collapsed="false">
      <c r="A9" s="94" t="str">
        <f aca="false">IF(Scoring!A10="","",Scoring!A10)</f>
        <v>ONON</v>
      </c>
      <c r="B9" s="95" t="str">
        <f aca="false">IF(Scoring!B10="","",Scoring!B10)</f>
        <v>On Holding AG</v>
      </c>
      <c r="C9" s="96" t="n">
        <f aca="false">IF(Scoring!C10="","",Scoring!C10)</f>
        <v>46240</v>
      </c>
      <c r="D9" s="97" t="n">
        <f aca="false">IF(Scoring!N10="","",Scoring!N10)</f>
        <v>2.64285714285714</v>
      </c>
      <c r="E9" s="98" t="str">
        <f aca="false">IF(Scoring!AF10="","",Scoring!AF10)</f>
        <v/>
      </c>
      <c r="F9" s="66" t="str">
        <f aca="false">IF(Scoring!AG10&lt;&gt;"",Scoring!AG10,IF(Scoring!AH10="OK","PENDING",""))</f>
        <v/>
      </c>
      <c r="G9" s="66" t="str">
        <f aca="false">IF(Scoring!AH10="","",Scoring!AH10)</f>
        <v>FAIL</v>
      </c>
      <c r="H9" s="66" t="str">
        <f aca="false">IF(Scoring!AI10="","",Scoring!AI10)</f>
        <v>OK</v>
      </c>
      <c r="I9" s="66" t="str">
        <f aca="false">IF(Scoring!AJ10="","",Scoring!AJ10)</f>
        <v>AVOID</v>
      </c>
      <c r="J9" s="66" t="str">
        <f aca="false">IF(Scoring!AK10="","",Scoring!AK10)</f>
        <v>OK</v>
      </c>
    </row>
    <row r="10" customFormat="false" ht="15" hidden="false" customHeight="true" outlineLevel="1" collapsed="false">
      <c r="A10" s="94" t="str">
        <f aca="false">IF(Scoring!A11="","",Scoring!A11)</f>
        <v>TSLA</v>
      </c>
      <c r="B10" s="95" t="str">
        <f aca="false">IF(Scoring!B11="","",Scoring!B11)</f>
        <v>Tesla Inc.</v>
      </c>
      <c r="C10" s="96" t="n">
        <f aca="false">IF(Scoring!C11="","",Scoring!C11)</f>
        <v>46240</v>
      </c>
      <c r="D10" s="97" t="n">
        <f aca="false">IF(Scoring!N11="","",Scoring!N11)</f>
        <v>1.92857142857143</v>
      </c>
      <c r="E10" s="98" t="str">
        <f aca="false">IF(Scoring!AF11="","",Scoring!AF11)</f>
        <v/>
      </c>
      <c r="F10" s="66" t="str">
        <f aca="false">IF(Scoring!AG11&lt;&gt;"",Scoring!AG11,IF(Scoring!AH11="OK","PENDING",""))</f>
        <v/>
      </c>
      <c r="G10" s="66" t="str">
        <f aca="false">IF(Scoring!AH11="","",Scoring!AH11)</f>
        <v>FAIL</v>
      </c>
      <c r="H10" s="66" t="str">
        <f aca="false">IF(Scoring!AI11="","",Scoring!AI11)</f>
        <v>REVIEW</v>
      </c>
      <c r="I10" s="66" t="str">
        <f aca="false">IF(Scoring!AJ11="","",Scoring!AJ11)</f>
        <v>AVOID</v>
      </c>
      <c r="J10" s="66" t="str">
        <f aca="false">IF(Scoring!AK11="","",Scoring!AK11)</f>
        <v>OK</v>
      </c>
    </row>
    <row r="11" customFormat="false" ht="15" hidden="false" customHeight="true" outlineLevel="0" collapsed="false">
      <c r="A11" s="94" t="str">
        <f aca="false">IF(Scoring!A12="","",Scoring!A12)</f>
        <v>ADBE</v>
      </c>
      <c r="B11" s="95" t="str">
        <f aca="false">IF(Scoring!B12="","",Scoring!B12)</f>
        <v>Adobe Inc.</v>
      </c>
      <c r="C11" s="96" t="n">
        <f aca="false">IF(Scoring!C12="","",Scoring!C12)</f>
        <v>46295</v>
      </c>
      <c r="D11" s="97" t="n">
        <f aca="false">IF(Scoring!N12="","",Scoring!N12)</f>
        <v>4.57142857142857</v>
      </c>
      <c r="E11" s="98" t="n">
        <f aca="false">IF(Scoring!AF12="","",Scoring!AF12)</f>
        <v>85.8</v>
      </c>
      <c r="F11" s="66" t="str">
        <f aca="false">IF(Scoring!AG12&lt;&gt;"",Scoring!AG12,IF(Scoring!AH12="OK","PENDING",""))</f>
        <v>STRONG BUY</v>
      </c>
      <c r="G11" s="66" t="str">
        <f aca="false">IF(Scoring!AH12="","",Scoring!AH12)</f>
        <v>OK</v>
      </c>
      <c r="H11" s="66" t="str">
        <f aca="false">IF(Scoring!AI12="","",Scoring!AI12)</f>
        <v>OK</v>
      </c>
      <c r="I11" s="66" t="str">
        <f aca="false">IF(Scoring!AJ12="","",Scoring!AJ12)</f>
        <v>OK</v>
      </c>
      <c r="J11" s="66" t="str">
        <f aca="false">IF(Scoring!AK12="","",Scoring!AK12)</f>
        <v>OK</v>
      </c>
    </row>
    <row r="12" customFormat="false" ht="15" hidden="false" customHeight="true" outlineLevel="0" collapsed="false">
      <c r="A12" s="94" t="str">
        <f aca="false">IF(Scoring!A13="","",Scoring!A13)</f>
        <v>ANET</v>
      </c>
      <c r="B12" s="95" t="str">
        <f aca="false">IF(Scoring!B13="","",Scoring!B13)</f>
        <v>Arista Networks</v>
      </c>
      <c r="C12" s="96" t="n">
        <f aca="false">IF(Scoring!C13="","",Scoring!C13)</f>
        <v>46278</v>
      </c>
      <c r="D12" s="97" t="n">
        <f aca="false">IF(Scoring!N13="","",Scoring!N13)</f>
        <v>4.28571428571429</v>
      </c>
      <c r="E12" s="98" t="n">
        <f aca="false">IF(Scoring!AF13="","",Scoring!AF13)</f>
        <v>81</v>
      </c>
      <c r="F12" s="66" t="str">
        <f aca="false">IF(Scoring!AG13&lt;&gt;"",Scoring!AG13,IF(Scoring!AH13="OK","PENDING",""))</f>
        <v>STRONG BUY</v>
      </c>
      <c r="G12" s="66" t="str">
        <f aca="false">IF(Scoring!AH13="","",Scoring!AH13)</f>
        <v>OK</v>
      </c>
      <c r="H12" s="66" t="str">
        <f aca="false">IF(Scoring!AI13="","",Scoring!AI13)</f>
        <v>OK</v>
      </c>
      <c r="I12" s="66" t="str">
        <f aca="false">IF(Scoring!AJ13="","",Scoring!AJ13)</f>
        <v>OK</v>
      </c>
      <c r="J12" s="66" t="str">
        <f aca="false">IF(Scoring!AK13="","",Scoring!AK13)</f>
        <v>OK</v>
      </c>
    </row>
    <row r="13" customFormat="false" ht="15" hidden="false" customHeight="true" outlineLevel="0" collapsed="false">
      <c r="A13" s="94" t="str">
        <f aca="false">IF(Scoring!A14="","",Scoring!A14)</f>
        <v>ASML</v>
      </c>
      <c r="B13" s="95" t="str">
        <f aca="false">IF(Scoring!B14="","",Scoring!B14)</f>
        <v>ASML Holding</v>
      </c>
      <c r="C13" s="96" t="n">
        <f aca="false">IF(Scoring!C14="","",Scoring!C14)</f>
        <v>46278</v>
      </c>
      <c r="D13" s="97" t="n">
        <f aca="false">IF(Scoring!N14="","",Scoring!N14)</f>
        <v>3.85714285714286</v>
      </c>
      <c r="E13" s="98" t="n">
        <f aca="false">IF(Scoring!AF14="","",Scoring!AF14)</f>
        <v>77.2</v>
      </c>
      <c r="F13" s="66" t="str">
        <f aca="false">IF(Scoring!AG14&lt;&gt;"",Scoring!AG14,IF(Scoring!AH14="OK","PENDING",""))</f>
        <v>BUY</v>
      </c>
      <c r="G13" s="66" t="str">
        <f aca="false">IF(Scoring!AH14="","",Scoring!AH14)</f>
        <v>OK</v>
      </c>
      <c r="H13" s="66" t="str">
        <f aca="false">IF(Scoring!AI14="","",Scoring!AI14)</f>
        <v>OK</v>
      </c>
      <c r="I13" s="66" t="str">
        <f aca="false">IF(Scoring!AJ14="","",Scoring!AJ14)</f>
        <v>OK</v>
      </c>
      <c r="J13" s="66" t="str">
        <f aca="false">IF(Scoring!AK14="","",Scoring!AK14)</f>
        <v>OK</v>
      </c>
    </row>
    <row r="14" customFormat="false" ht="15" hidden="false" customHeight="true" outlineLevel="0" collapsed="false">
      <c r="A14" s="94" t="str">
        <f aca="false">IF(Scoring!A15="","",Scoring!A15)</f>
        <v>CRWD</v>
      </c>
      <c r="B14" s="95" t="str">
        <f aca="false">IF(Scoring!B15="","",Scoring!B15)</f>
        <v>CrowdStrike Holdings</v>
      </c>
      <c r="C14" s="96" t="n">
        <f aca="false">IF(Scoring!C15="","",Scoring!C15)</f>
        <v>46278</v>
      </c>
      <c r="D14" s="97" t="n">
        <f aca="false">IF(Scoring!N15="","",Scoring!N15)</f>
        <v>3.5</v>
      </c>
      <c r="E14" s="98" t="n">
        <f aca="false">IF(Scoring!AF15="","",Scoring!AF15)</f>
        <v>63.4</v>
      </c>
      <c r="F14" s="66" t="str">
        <f aca="false">IF(Scoring!AG15&lt;&gt;"",Scoring!AG15,IF(Scoring!AH15="OK","PENDING",""))</f>
        <v>AVOID</v>
      </c>
      <c r="G14" s="66" t="str">
        <f aca="false">IF(Scoring!AH15="","",Scoring!AH15)</f>
        <v>OK</v>
      </c>
      <c r="H14" s="66" t="str">
        <f aca="false">IF(Scoring!AI15="","",Scoring!AI15)</f>
        <v>OK</v>
      </c>
      <c r="I14" s="66" t="str">
        <f aca="false">IF(Scoring!AJ15="","",Scoring!AJ15)</f>
        <v>AVOID</v>
      </c>
      <c r="J14" s="66" t="str">
        <f aca="false">IF(Scoring!AK15="","",Scoring!AK15)</f>
        <v>OK</v>
      </c>
    </row>
    <row r="15" customFormat="false" ht="15" hidden="false" customHeight="true" outlineLevel="0" collapsed="false">
      <c r="A15" s="94" t="str">
        <f aca="false">IF(Scoring!A16="","",Scoring!A16)</f>
        <v>KLAC</v>
      </c>
      <c r="B15" s="95" t="str">
        <f aca="false">IF(Scoring!B16="","",Scoring!B16)</f>
        <v>KLA Corporation</v>
      </c>
      <c r="C15" s="96" t="n">
        <f aca="false">IF(Scoring!C16="","",Scoring!C16)</f>
        <v>46278</v>
      </c>
      <c r="D15" s="97" t="n">
        <f aca="false">IF(Scoring!N16="","",Scoring!N16)</f>
        <v>3.71428571428572</v>
      </c>
      <c r="E15" s="98" t="n">
        <f aca="false">IF(Scoring!AF16="","",Scoring!AF16)</f>
        <v>72.6</v>
      </c>
      <c r="F15" s="66" t="str">
        <f aca="false">IF(Scoring!AG16&lt;&gt;"",Scoring!AG16,IF(Scoring!AH16="OK","PENDING",""))</f>
        <v>BUY</v>
      </c>
      <c r="G15" s="66" t="str">
        <f aca="false">IF(Scoring!AH16="","",Scoring!AH16)</f>
        <v>OK</v>
      </c>
      <c r="H15" s="66" t="str">
        <f aca="false">IF(Scoring!AI16="","",Scoring!AI16)</f>
        <v>OK</v>
      </c>
      <c r="I15" s="66" t="str">
        <f aca="false">IF(Scoring!AJ16="","",Scoring!AJ16)</f>
        <v>OK</v>
      </c>
      <c r="J15" s="66" t="str">
        <f aca="false">IF(Scoring!AK16="","",Scoring!AK16)</f>
        <v>OK</v>
      </c>
    </row>
    <row r="16" customFormat="false" ht="15" hidden="false" customHeight="true" outlineLevel="0" collapsed="false">
      <c r="A16" s="94" t="str">
        <f aca="false">IF(Scoring!A17="","",Scoring!A17)</f>
        <v>TSM</v>
      </c>
      <c r="B16" s="95" t="str">
        <f aca="false">IF(Scoring!B17="","",Scoring!B17)</f>
        <v>Taiwan Semiconductor Mfg.</v>
      </c>
      <c r="C16" s="96" t="n">
        <f aca="false">IF(Scoring!C17="","",Scoring!C17)</f>
        <v>46278</v>
      </c>
      <c r="D16" s="97" t="n">
        <f aca="false">IF(Scoring!N17="","",Scoring!N17)</f>
        <v>4.21428571428571</v>
      </c>
      <c r="E16" s="98" t="n">
        <f aca="false">IF(Scoring!AF17="","",Scoring!AF17)</f>
        <v>84</v>
      </c>
      <c r="F16" s="66" t="str">
        <f aca="false">IF(Scoring!AG17&lt;&gt;"",Scoring!AG17,IF(Scoring!AH17="OK","PENDING",""))</f>
        <v>STRONG BUY</v>
      </c>
      <c r="G16" s="66" t="str">
        <f aca="false">IF(Scoring!AH17="","",Scoring!AH17)</f>
        <v>OK</v>
      </c>
      <c r="H16" s="66" t="str">
        <f aca="false">IF(Scoring!AI17="","",Scoring!AI17)</f>
        <v>OK</v>
      </c>
      <c r="I16" s="66" t="str">
        <f aca="false">IF(Scoring!AJ17="","",Scoring!AJ17)</f>
        <v>OK</v>
      </c>
      <c r="J16" s="66" t="str">
        <f aca="false">IF(Scoring!AK17="","",Scoring!AK17)</f>
        <v>OK</v>
      </c>
    </row>
    <row r="17" customFormat="false" ht="15" hidden="false" customHeight="true" outlineLevel="0" collapsed="false">
      <c r="A17" s="94" t="str">
        <f aca="false">IF(Scoring!A18="","",Scoring!A18)</f>
        <v>VRT</v>
      </c>
      <c r="B17" s="95" t="str">
        <f aca="false">IF(Scoring!B18="","",Scoring!B18)</f>
        <v>Vertiv Holdings</v>
      </c>
      <c r="C17" s="96" t="n">
        <f aca="false">IF(Scoring!C18="","",Scoring!C18)</f>
        <v>46278</v>
      </c>
      <c r="D17" s="97" t="n">
        <f aca="false">IF(Scoring!N18="","",Scoring!N18)</f>
        <v>3.92857142857143</v>
      </c>
      <c r="E17" s="98" t="n">
        <f aca="false">IF(Scoring!AF18="","",Scoring!AF18)</f>
        <v>76.8</v>
      </c>
      <c r="F17" s="66" t="str">
        <f aca="false">IF(Scoring!AG18&lt;&gt;"",Scoring!AG18,IF(Scoring!AH18="OK","PENDING",""))</f>
        <v>BUY</v>
      </c>
      <c r="G17" s="66" t="str">
        <f aca="false">IF(Scoring!AH18="","",Scoring!AH18)</f>
        <v>OK</v>
      </c>
      <c r="H17" s="66" t="str">
        <f aca="false">IF(Scoring!AI18="","",Scoring!AI18)</f>
        <v>OK</v>
      </c>
      <c r="I17" s="66" t="str">
        <f aca="false">IF(Scoring!AJ18="","",Scoring!AJ18)</f>
        <v>OK</v>
      </c>
      <c r="J17" s="66" t="str">
        <f aca="false">IF(Scoring!AK18="","",Scoring!AK18)</f>
        <v>OK</v>
      </c>
    </row>
    <row r="18" customFormat="false" ht="15" hidden="false" customHeight="true" outlineLevel="0" collapsed="false">
      <c r="A18" s="94" t="str">
        <f aca="false">IF(Scoring!A19="","",Scoring!A19)</f>
        <v>COST</v>
      </c>
      <c r="B18" s="95" t="str">
        <f aca="false">IF(Scoring!B19="","",Scoring!B19)</f>
        <v>Costco Wholesale Corp.</v>
      </c>
      <c r="C18" s="96" t="n">
        <f aca="false">IF(Scoring!C19="","",Scoring!C19)</f>
        <v>46245</v>
      </c>
      <c r="D18" s="97" t="n">
        <f aca="false">IF(Scoring!N19="","",Scoring!N19)</f>
        <v>4.14285714285714</v>
      </c>
      <c r="E18" s="98" t="n">
        <f aca="false">IF(Scoring!AF19="","",Scoring!AF19)</f>
        <v>77.4</v>
      </c>
      <c r="F18" s="66" t="str">
        <f aca="false">IF(Scoring!AG19&lt;&gt;"",Scoring!AG19,IF(Scoring!AH19="OK","PENDING",""))</f>
        <v>BUY</v>
      </c>
      <c r="G18" s="66" t="str">
        <f aca="false">IF(Scoring!AH19="","",Scoring!AH19)</f>
        <v>OK</v>
      </c>
      <c r="H18" s="66" t="str">
        <f aca="false">IF(Scoring!AI19="","",Scoring!AI19)</f>
        <v>OK</v>
      </c>
      <c r="I18" s="66" t="str">
        <f aca="false">IF(Scoring!AJ19="","",Scoring!AJ19)</f>
        <v>OK</v>
      </c>
      <c r="J18" s="66" t="str">
        <f aca="false">IF(Scoring!AK19="","",Scoring!AK19)</f>
        <v>OK</v>
      </c>
    </row>
    <row r="19" customFormat="false" ht="15" hidden="false" customHeight="true" outlineLevel="0" collapsed="false">
      <c r="A19" s="94" t="str">
        <f aca="false">IF(Scoring!A20="","",Scoring!A20)</f>
        <v>V</v>
      </c>
      <c r="B19" s="95" t="str">
        <f aca="false">IF(Scoring!B20="","",Scoring!B20)</f>
        <v>Visa Inc.</v>
      </c>
      <c r="C19" s="96" t="n">
        <f aca="false">IF(Scoring!C20="","",Scoring!C20)</f>
        <v>46278</v>
      </c>
      <c r="D19" s="97" t="n">
        <f aca="false">IF(Scoring!N20="","",Scoring!N20)</f>
        <v>3.64285714285714</v>
      </c>
      <c r="E19" s="98" t="n">
        <f aca="false">IF(Scoring!AF20="","",Scoring!AF20)</f>
        <v>73.4</v>
      </c>
      <c r="F19" s="66" t="str">
        <f aca="false">IF(Scoring!AG20&lt;&gt;"",Scoring!AG20,IF(Scoring!AH20="OK","PENDING",""))</f>
        <v>BUY</v>
      </c>
      <c r="G19" s="66" t="str">
        <f aca="false">IF(Scoring!AH20="","",Scoring!AH20)</f>
        <v>OK</v>
      </c>
      <c r="H19" s="66" t="str">
        <f aca="false">IF(Scoring!AI20="","",Scoring!AI20)</f>
        <v>OK</v>
      </c>
      <c r="I19" s="66" t="str">
        <f aca="false">IF(Scoring!AJ20="","",Scoring!AJ20)</f>
        <v>OK</v>
      </c>
      <c r="J19" s="66" t="str">
        <f aca="false">IF(Scoring!AK20="","",Scoring!AK20)</f>
        <v>OK</v>
      </c>
    </row>
    <row r="20" customFormat="false" ht="15" hidden="false" customHeight="true" outlineLevel="1" collapsed="false">
      <c r="A20" s="94" t="str">
        <f aca="false">IF(Scoring!A21="","",Scoring!A21)</f>
        <v>NEE</v>
      </c>
      <c r="B20" s="95" t="str">
        <f aca="false">IF(Scoring!B21="","",Scoring!B21)</f>
        <v>NextEra Energy Inc.</v>
      </c>
      <c r="C20" s="96" t="n">
        <f aca="false">IF(Scoring!C21="","",Scoring!C21)</f>
        <v>46245</v>
      </c>
      <c r="D20" s="97" t="n">
        <f aca="false">IF(Scoring!N21="","",Scoring!N21)</f>
        <v>2.5</v>
      </c>
      <c r="E20" s="98" t="str">
        <f aca="false">IF(Scoring!AF21="","",Scoring!AF21)</f>
        <v/>
      </c>
      <c r="F20" s="66" t="str">
        <f aca="false">IF(Scoring!AG21&lt;&gt;"",Scoring!AG21,IF(Scoring!AH21="OK","PENDING",""))</f>
        <v/>
      </c>
      <c r="G20" s="66" t="str">
        <f aca="false">IF(Scoring!AH21="","",Scoring!AH21)</f>
        <v>FAIL</v>
      </c>
      <c r="H20" s="66" t="str">
        <f aca="false">IF(Scoring!AI21="","",Scoring!AI21)</f>
        <v>REVIEW</v>
      </c>
      <c r="I20" s="66" t="str">
        <f aca="false">IF(Scoring!AJ21="","",Scoring!AJ21)</f>
        <v>AVOID</v>
      </c>
      <c r="J20" s="66" t="str">
        <f aca="false">IF(Scoring!AK21="","",Scoring!AK21)</f>
        <v>OK</v>
      </c>
    </row>
    <row r="21" customFormat="false" ht="15" hidden="false" customHeight="true" outlineLevel="1" collapsed="false">
      <c r="A21" s="94" t="str">
        <f aca="false">IF(Scoring!A22="","",Scoring!A22)</f>
        <v>CRK</v>
      </c>
      <c r="B21" s="95" t="str">
        <f aca="false">IF(Scoring!B22="","",Scoring!B22)</f>
        <v>Comstock Resources Inc.</v>
      </c>
      <c r="C21" s="96" t="n">
        <f aca="false">IF(Scoring!C22="","",Scoring!C22)</f>
        <v>46245</v>
      </c>
      <c r="D21" s="97" t="n">
        <f aca="false">IF(Scoring!N22="","",Scoring!N22)</f>
        <v>1.21428571428571</v>
      </c>
      <c r="E21" s="98" t="str">
        <f aca="false">IF(Scoring!AF22="","",Scoring!AF22)</f>
        <v/>
      </c>
      <c r="F21" s="66" t="str">
        <f aca="false">IF(Scoring!AG22&lt;&gt;"",Scoring!AG22,IF(Scoring!AH22="OK","PENDING",""))</f>
        <v/>
      </c>
      <c r="G21" s="66" t="str">
        <f aca="false">IF(Scoring!AH22="","",Scoring!AH22)</f>
        <v>FAIL</v>
      </c>
      <c r="H21" s="66" t="str">
        <f aca="false">IF(Scoring!AI22="","",Scoring!AI22)</f>
        <v>REVIEW</v>
      </c>
      <c r="I21" s="66" t="str">
        <f aca="false">IF(Scoring!AJ22="","",Scoring!AJ22)</f>
        <v>AVOID</v>
      </c>
      <c r="J21" s="66" t="str">
        <f aca="false">IF(Scoring!AK22="","",Scoring!AK22)</f>
        <v>OK</v>
      </c>
    </row>
    <row r="22" customFormat="false" ht="15" hidden="false" customHeight="true" outlineLevel="0" collapsed="false">
      <c r="A22" s="94" t="str">
        <f aca="false">IF(Scoring!A23="","",Scoring!A23)</f>
        <v>ET</v>
      </c>
      <c r="B22" s="95" t="str">
        <f aca="false">IF(Scoring!B23="","",Scoring!B23)</f>
        <v>Energy Transfer LP</v>
      </c>
      <c r="C22" s="96" t="n">
        <f aca="false">IF(Scoring!C23="","",Scoring!C23)</f>
        <v>46276</v>
      </c>
      <c r="D22" s="97" t="n">
        <f aca="false">IF(Scoring!N23="","",Scoring!N23)</f>
        <v>3.07142857142857</v>
      </c>
      <c r="E22" s="98" t="str">
        <f aca="false">IF(Scoring!AF23="","",Scoring!AF23)</f>
        <v/>
      </c>
      <c r="F22" s="66" t="str">
        <f aca="false">IF(Scoring!AG23&lt;&gt;"",Scoring!AG23,IF(Scoring!AH23="OK","PENDING",""))</f>
        <v>PENDING</v>
      </c>
      <c r="G22" s="66" t="str">
        <f aca="false">IF(Scoring!AH23="","",Scoring!AH23)</f>
        <v>OK</v>
      </c>
      <c r="H22" s="66" t="str">
        <f aca="false">IF(Scoring!AI23="","",Scoring!AI23)</f>
        <v>REVIEW</v>
      </c>
      <c r="I22" s="66" t="str">
        <f aca="false">IF(Scoring!AJ23="","",Scoring!AJ23)</f>
        <v>AVOID</v>
      </c>
      <c r="J22" s="66" t="str">
        <f aca="false">IF(Scoring!AK23="","",Scoring!AK23)</f>
        <v>OK</v>
      </c>
    </row>
    <row r="23" customFormat="false" ht="15" hidden="false" customHeight="true" outlineLevel="1" collapsed="false">
      <c r="A23" s="94" t="str">
        <f aca="false">IF(Scoring!A24="","",Scoring!A24)</f>
        <v>LBRT</v>
      </c>
      <c r="B23" s="95" t="str">
        <f aca="false">IF(Scoring!B24="","",Scoring!B24)</f>
        <v>Liberty Energy Inc.</v>
      </c>
      <c r="C23" s="96" t="n">
        <f aca="false">IF(Scoring!C24="","",Scoring!C24)</f>
        <v>46245</v>
      </c>
      <c r="D23" s="97" t="n">
        <f aca="false">IF(Scoring!N24="","",Scoring!N24)</f>
        <v>2.07142857142857</v>
      </c>
      <c r="E23" s="98" t="str">
        <f aca="false">IF(Scoring!AF24="","",Scoring!AF24)</f>
        <v/>
      </c>
      <c r="F23" s="66" t="str">
        <f aca="false">IF(Scoring!AG24&lt;&gt;"",Scoring!AG24,IF(Scoring!AH24="OK","PENDING",""))</f>
        <v/>
      </c>
      <c r="G23" s="66" t="str">
        <f aca="false">IF(Scoring!AH24="","",Scoring!AH24)</f>
        <v>FAIL</v>
      </c>
      <c r="H23" s="66" t="str">
        <f aca="false">IF(Scoring!AI24="","",Scoring!AI24)</f>
        <v>REVIEW</v>
      </c>
      <c r="I23" s="66" t="str">
        <f aca="false">IF(Scoring!AJ24="","",Scoring!AJ24)</f>
        <v>AVOID</v>
      </c>
      <c r="J23" s="66" t="str">
        <f aca="false">IF(Scoring!AK24="","",Scoring!AK24)</f>
        <v>OK</v>
      </c>
    </row>
    <row r="24" customFormat="false" ht="15" hidden="false" customHeight="true" outlineLevel="1" collapsed="false">
      <c r="A24" s="94" t="str">
        <f aca="false">IF(Scoring!A25="","",Scoring!A25)</f>
        <v>NOV</v>
      </c>
      <c r="B24" s="95" t="str">
        <f aca="false">IF(Scoring!B25="","",Scoring!B25)</f>
        <v>NOV Inc.</v>
      </c>
      <c r="C24" s="96" t="n">
        <f aca="false">IF(Scoring!C25="","",Scoring!C25)</f>
        <v>46245</v>
      </c>
      <c r="D24" s="97" t="n">
        <f aca="false">IF(Scoring!N25="","",Scoring!N25)</f>
        <v>2.64285714285714</v>
      </c>
      <c r="E24" s="98" t="str">
        <f aca="false">IF(Scoring!AF25="","",Scoring!AF25)</f>
        <v/>
      </c>
      <c r="F24" s="66" t="str">
        <f aca="false">IF(Scoring!AG25&lt;&gt;"",Scoring!AG25,IF(Scoring!AH25="OK","PENDING",""))</f>
        <v/>
      </c>
      <c r="G24" s="66" t="str">
        <f aca="false">IF(Scoring!AH25="","",Scoring!AH25)</f>
        <v>FAIL</v>
      </c>
      <c r="H24" s="66" t="str">
        <f aca="false">IF(Scoring!AI25="","",Scoring!AI25)</f>
        <v>OK</v>
      </c>
      <c r="I24" s="66" t="str">
        <f aca="false">IF(Scoring!AJ25="","",Scoring!AJ25)</f>
        <v>AVOID</v>
      </c>
      <c r="J24" s="66" t="str">
        <f aca="false">IF(Scoring!AK25="","",Scoring!AK25)</f>
        <v>OK</v>
      </c>
    </row>
    <row r="25" customFormat="false" ht="15" hidden="false" customHeight="true" outlineLevel="1" collapsed="false">
      <c r="A25" s="94" t="str">
        <f aca="false">IF(Scoring!A26="","",Scoring!A26)</f>
        <v>CE</v>
      </c>
      <c r="B25" s="95" t="str">
        <f aca="false">IF(Scoring!B26="","",Scoring!B26)</f>
        <v>Celanese Corp.</v>
      </c>
      <c r="C25" s="96" t="n">
        <f aca="false">IF(Scoring!C26="","",Scoring!C26)</f>
        <v>46245</v>
      </c>
      <c r="D25" s="97" t="n">
        <f aca="false">IF(Scoring!N26="","",Scoring!N26)</f>
        <v>1.78571428571429</v>
      </c>
      <c r="E25" s="98" t="str">
        <f aca="false">IF(Scoring!AF26="","",Scoring!AF26)</f>
        <v/>
      </c>
      <c r="F25" s="66" t="str">
        <f aca="false">IF(Scoring!AG26&lt;&gt;"",Scoring!AG26,IF(Scoring!AH26="OK","PENDING",""))</f>
        <v/>
      </c>
      <c r="G25" s="66" t="str">
        <f aca="false">IF(Scoring!AH26="","",Scoring!AH26)</f>
        <v>FAIL</v>
      </c>
      <c r="H25" s="66" t="str">
        <f aca="false">IF(Scoring!AI26="","",Scoring!AI26)</f>
        <v>REVIEW</v>
      </c>
      <c r="I25" s="66" t="str">
        <f aca="false">IF(Scoring!AJ26="","",Scoring!AJ26)</f>
        <v>AVOID</v>
      </c>
      <c r="J25" s="66" t="str">
        <f aca="false">IF(Scoring!AK26="","",Scoring!AK26)</f>
        <v>OK</v>
      </c>
    </row>
    <row r="26" customFormat="false" ht="15" hidden="false" customHeight="true" outlineLevel="1" collapsed="false">
      <c r="A26" s="94" t="str">
        <f aca="false">IF(Scoring!A27="","",Scoring!A27)</f>
        <v>CLF</v>
      </c>
      <c r="B26" s="95" t="str">
        <f aca="false">IF(Scoring!B27="","",Scoring!B27)</f>
        <v>Cleveland-Cliffs Inc.</v>
      </c>
      <c r="C26" s="96" t="n">
        <f aca="false">IF(Scoring!C27="","",Scoring!C27)</f>
        <v>46245</v>
      </c>
      <c r="D26" s="97" t="n">
        <f aca="false">IF(Scoring!N27="","",Scoring!N27)</f>
        <v>1.85714285714286</v>
      </c>
      <c r="E26" s="98" t="str">
        <f aca="false">IF(Scoring!AF27="","",Scoring!AF27)</f>
        <v/>
      </c>
      <c r="F26" s="66" t="str">
        <f aca="false">IF(Scoring!AG27&lt;&gt;"",Scoring!AG27,IF(Scoring!AH27="OK","PENDING",""))</f>
        <v/>
      </c>
      <c r="G26" s="66" t="str">
        <f aca="false">IF(Scoring!AH27="","",Scoring!AH27)</f>
        <v>FAIL</v>
      </c>
      <c r="H26" s="66" t="str">
        <f aca="false">IF(Scoring!AI27="","",Scoring!AI27)</f>
        <v>REVIEW</v>
      </c>
      <c r="I26" s="66" t="str">
        <f aca="false">IF(Scoring!AJ27="","",Scoring!AJ27)</f>
        <v>AVOID</v>
      </c>
      <c r="J26" s="66" t="str">
        <f aca="false">IF(Scoring!AK27="","",Scoring!AK27)</f>
        <v>OK</v>
      </c>
    </row>
    <row r="27" customFormat="false" ht="15" hidden="false" customHeight="true" outlineLevel="0" collapsed="false">
      <c r="A27" s="94" t="str">
        <f aca="false">IF(Scoring!A28="","",Scoring!A28)</f>
        <v>LIN</v>
      </c>
      <c r="B27" s="95" t="str">
        <f aca="false">IF(Scoring!B28="","",Scoring!B28)</f>
        <v>Linde plc</v>
      </c>
      <c r="C27" s="96" t="n">
        <f aca="false">IF(Scoring!C28="","",Scoring!C28)</f>
        <v>46276</v>
      </c>
      <c r="D27" s="97" t="n">
        <f aca="false">IF(Scoring!N28="","",Scoring!N28)</f>
        <v>3.07142857142857</v>
      </c>
      <c r="E27" s="98" t="str">
        <f aca="false">IF(Scoring!AF28="","",Scoring!AF28)</f>
        <v/>
      </c>
      <c r="F27" s="66" t="str">
        <f aca="false">IF(Scoring!AG28&lt;&gt;"",Scoring!AG28,IF(Scoring!AH28="OK","PENDING",""))</f>
        <v>PENDING</v>
      </c>
      <c r="G27" s="66" t="str">
        <f aca="false">IF(Scoring!AH28="","",Scoring!AH28)</f>
        <v>OK</v>
      </c>
      <c r="H27" s="66" t="str">
        <f aca="false">IF(Scoring!AI28="","",Scoring!AI28)</f>
        <v>OK</v>
      </c>
      <c r="I27" s="66" t="str">
        <f aca="false">IF(Scoring!AJ28="","",Scoring!AJ28)</f>
        <v>AVOID</v>
      </c>
      <c r="J27" s="66" t="str">
        <f aca="false">IF(Scoring!AK28="","",Scoring!AK28)</f>
        <v>OK</v>
      </c>
    </row>
    <row r="28" customFormat="false" ht="15" hidden="false" customHeight="true" outlineLevel="1" collapsed="false">
      <c r="A28" s="94" t="str">
        <f aca="false">IF(Scoring!A29="","",Scoring!A29)</f>
        <v>DEO</v>
      </c>
      <c r="B28" s="95" t="str">
        <f aca="false">IF(Scoring!B29="","",Scoring!B29)</f>
        <v>Diageo plc</v>
      </c>
      <c r="C28" s="96" t="n">
        <f aca="false">IF(Scoring!C29="","",Scoring!C29)</f>
        <v>46245</v>
      </c>
      <c r="D28" s="97" t="n">
        <f aca="false">IF(Scoring!N29="","",Scoring!N29)</f>
        <v>2.35714285714286</v>
      </c>
      <c r="E28" s="98" t="str">
        <f aca="false">IF(Scoring!AF29="","",Scoring!AF29)</f>
        <v/>
      </c>
      <c r="F28" s="66" t="str">
        <f aca="false">IF(Scoring!AG29&lt;&gt;"",Scoring!AG29,IF(Scoring!AH29="OK","PENDING",""))</f>
        <v/>
      </c>
      <c r="G28" s="66" t="str">
        <f aca="false">IF(Scoring!AH29="","",Scoring!AH29)</f>
        <v>FAIL</v>
      </c>
      <c r="H28" s="66" t="str">
        <f aca="false">IF(Scoring!AI29="","",Scoring!AI29)</f>
        <v>OK</v>
      </c>
      <c r="I28" s="66" t="str">
        <f aca="false">IF(Scoring!AJ29="","",Scoring!AJ29)</f>
        <v>AVOID</v>
      </c>
      <c r="J28" s="66" t="str">
        <f aca="false">IF(Scoring!AK29="","",Scoring!AK29)</f>
        <v>OK</v>
      </c>
    </row>
    <row r="29" customFormat="false" ht="15" hidden="false" customHeight="true" outlineLevel="1" collapsed="false">
      <c r="A29" s="94" t="str">
        <f aca="false">IF(Scoring!A30="","",Scoring!A30)</f>
        <v>EL</v>
      </c>
      <c r="B29" s="95" t="str">
        <f aca="false">IF(Scoring!B30="","",Scoring!B30)</f>
        <v>Estee Lauder Companies</v>
      </c>
      <c r="C29" s="96" t="n">
        <f aca="false">IF(Scoring!C30="","",Scoring!C30)</f>
        <v>46245</v>
      </c>
      <c r="D29" s="97" t="n">
        <f aca="false">IF(Scoring!N30="","",Scoring!N30)</f>
        <v>2.14285714285714</v>
      </c>
      <c r="E29" s="98" t="str">
        <f aca="false">IF(Scoring!AF30="","",Scoring!AF30)</f>
        <v/>
      </c>
      <c r="F29" s="66" t="str">
        <f aca="false">IF(Scoring!AG30&lt;&gt;"",Scoring!AG30,IF(Scoring!AH30="OK","PENDING",""))</f>
        <v/>
      </c>
      <c r="G29" s="66" t="str">
        <f aca="false">IF(Scoring!AH30="","",Scoring!AH30)</f>
        <v>FAIL</v>
      </c>
      <c r="H29" s="66" t="str">
        <f aca="false">IF(Scoring!AI30="","",Scoring!AI30)</f>
        <v>REVIEW</v>
      </c>
      <c r="I29" s="66" t="str">
        <f aca="false">IF(Scoring!AJ30="","",Scoring!AJ30)</f>
        <v>AVOID</v>
      </c>
      <c r="J29" s="66" t="str">
        <f aca="false">IF(Scoring!AK30="","",Scoring!AK30)</f>
        <v>OK</v>
      </c>
    </row>
    <row r="30" customFormat="false" ht="15" hidden="false" customHeight="true" outlineLevel="1" collapsed="false">
      <c r="A30" s="94" t="str">
        <f aca="false">IF(Scoring!A31="","",Scoring!A31)</f>
        <v>HRL</v>
      </c>
      <c r="B30" s="95" t="str">
        <f aca="false">IF(Scoring!B31="","",Scoring!B31)</f>
        <v>Hormel Foods Corp.</v>
      </c>
      <c r="C30" s="96" t="n">
        <f aca="false">IF(Scoring!C31="","",Scoring!C31)</f>
        <v>46245</v>
      </c>
      <c r="D30" s="97" t="n">
        <f aca="false">IF(Scoring!N31="","",Scoring!N31)</f>
        <v>1.92857142857143</v>
      </c>
      <c r="E30" s="98" t="str">
        <f aca="false">IF(Scoring!AF31="","",Scoring!AF31)</f>
        <v/>
      </c>
      <c r="F30" s="66" t="str">
        <f aca="false">IF(Scoring!AG31&lt;&gt;"",Scoring!AG31,IF(Scoring!AH31="OK","PENDING",""))</f>
        <v/>
      </c>
      <c r="G30" s="66" t="str">
        <f aca="false">IF(Scoring!AH31="","",Scoring!AH31)</f>
        <v>FAIL</v>
      </c>
      <c r="H30" s="66" t="str">
        <f aca="false">IF(Scoring!AI31="","",Scoring!AI31)</f>
        <v>REVIEW</v>
      </c>
      <c r="I30" s="66" t="str">
        <f aca="false">IF(Scoring!AJ31="","",Scoring!AJ31)</f>
        <v>AVOID</v>
      </c>
      <c r="J30" s="66" t="str">
        <f aca="false">IF(Scoring!AK31="","",Scoring!AK31)</f>
        <v>OK</v>
      </c>
    </row>
    <row r="31" customFormat="false" ht="15" hidden="false" customHeight="true" outlineLevel="0" collapsed="false">
      <c r="A31" s="94" t="str">
        <f aca="false">IF(Scoring!A32="","",Scoring!A32)</f>
        <v>PG</v>
      </c>
      <c r="B31" s="95" t="str">
        <f aca="false">IF(Scoring!B32="","",Scoring!B32)</f>
        <v>Procter &amp; Gamble Co.</v>
      </c>
      <c r="C31" s="96" t="n">
        <f aca="false">IF(Scoring!C32="","",Scoring!C32)</f>
        <v>46278</v>
      </c>
      <c r="D31" s="97" t="n">
        <f aca="false">IF(Scoring!N32="","",Scoring!N32)</f>
        <v>4</v>
      </c>
      <c r="E31" s="98" t="str">
        <f aca="false">IF(Scoring!AF32="","",Scoring!AF32)</f>
        <v/>
      </c>
      <c r="F31" s="66" t="str">
        <f aca="false">IF(Scoring!AG32&lt;&gt;"",Scoring!AG32,IF(Scoring!AH32="OK","PENDING",""))</f>
        <v>PENDING</v>
      </c>
      <c r="G31" s="66" t="str">
        <f aca="false">IF(Scoring!AH32="","",Scoring!AH32)</f>
        <v>OK</v>
      </c>
      <c r="H31" s="66" t="str">
        <f aca="false">IF(Scoring!AI32="","",Scoring!AI32)</f>
        <v>OK</v>
      </c>
      <c r="I31" s="66" t="str">
        <f aca="false">IF(Scoring!AJ32="","",Scoring!AJ32)</f>
        <v>OK</v>
      </c>
      <c r="J31" s="66" t="str">
        <f aca="false">IF(Scoring!AK32="","",Scoring!AK32)</f>
        <v>OK</v>
      </c>
    </row>
    <row r="32" customFormat="false" ht="15" hidden="false" customHeight="true" outlineLevel="0" collapsed="false">
      <c r="A32" s="94" t="str">
        <f aca="false">IF(Scoring!A33="","",Scoring!A33)</f>
        <v>CMG</v>
      </c>
      <c r="B32" s="95" t="str">
        <f aca="false">IF(Scoring!B33="","",Scoring!B33)</f>
        <v>Chipotle Mexican Grill</v>
      </c>
      <c r="C32" s="96" t="n">
        <f aca="false">IF(Scoring!C33="","",Scoring!C33)</f>
        <v>46245</v>
      </c>
      <c r="D32" s="97" t="n">
        <f aca="false">IF(Scoring!N33="","",Scoring!N33)</f>
        <v>3.71428571428571</v>
      </c>
      <c r="E32" s="98" t="str">
        <f aca="false">IF(Scoring!AF33="","",Scoring!AF33)</f>
        <v/>
      </c>
      <c r="F32" s="66" t="str">
        <f aca="false">IF(Scoring!AG33&lt;&gt;"",Scoring!AG33,IF(Scoring!AH33="OK","PENDING",""))</f>
        <v>PENDING</v>
      </c>
      <c r="G32" s="66" t="str">
        <f aca="false">IF(Scoring!AH33="","",Scoring!AH33)</f>
        <v>OK</v>
      </c>
      <c r="H32" s="66" t="str">
        <f aca="false">IF(Scoring!AI33="","",Scoring!AI33)</f>
        <v>OK</v>
      </c>
      <c r="I32" s="66" t="str">
        <f aca="false">IF(Scoring!AJ33="","",Scoring!AJ33)</f>
        <v>OK</v>
      </c>
      <c r="J32" s="66" t="str">
        <f aca="false">IF(Scoring!AK33="","",Scoring!AK33)</f>
        <v>OK</v>
      </c>
    </row>
    <row r="33" customFormat="false" ht="15" hidden="false" customHeight="true" outlineLevel="0" collapsed="false">
      <c r="A33" s="94" t="str">
        <f aca="false">IF(Scoring!A34="","",Scoring!A34)</f>
        <v>DPZ</v>
      </c>
      <c r="B33" s="95" t="str">
        <f aca="false">IF(Scoring!B34="","",Scoring!B34)</f>
        <v>Domino's Pizza Inc.</v>
      </c>
      <c r="C33" s="96" t="n">
        <f aca="false">IF(Scoring!C34="","",Scoring!C34)</f>
        <v>46278</v>
      </c>
      <c r="D33" s="97" t="n">
        <f aca="false">IF(Scoring!N34="","",Scoring!N34)</f>
        <v>3.92857142857143</v>
      </c>
      <c r="E33" s="98" t="str">
        <f aca="false">IF(Scoring!AF34="","",Scoring!AF34)</f>
        <v/>
      </c>
      <c r="F33" s="66" t="str">
        <f aca="false">IF(Scoring!AG34&lt;&gt;"",Scoring!AG34,IF(Scoring!AH34="OK","PENDING",""))</f>
        <v>PENDING</v>
      </c>
      <c r="G33" s="66" t="str">
        <f aca="false">IF(Scoring!AH34="","",Scoring!AH34)</f>
        <v>OK</v>
      </c>
      <c r="H33" s="66" t="str">
        <f aca="false">IF(Scoring!AI34="","",Scoring!AI34)</f>
        <v>OK</v>
      </c>
      <c r="I33" s="66" t="str">
        <f aca="false">IF(Scoring!AJ34="","",Scoring!AJ34)</f>
        <v>OK</v>
      </c>
      <c r="J33" s="66" t="str">
        <f aca="false">IF(Scoring!AK34="","",Scoring!AK34)</f>
        <v>OK</v>
      </c>
    </row>
    <row r="34" customFormat="false" ht="15" hidden="false" customHeight="true" outlineLevel="1" collapsed="false">
      <c r="A34" s="94" t="str">
        <f aca="false">IF(Scoring!A35="","",Scoring!A35)</f>
        <v>PZZA</v>
      </c>
      <c r="B34" s="95" t="str">
        <f aca="false">IF(Scoring!B35="","",Scoring!B35)</f>
        <v>Papa John's Intl.</v>
      </c>
      <c r="C34" s="96" t="n">
        <f aca="false">IF(Scoring!C35="","",Scoring!C35)</f>
        <v>46245</v>
      </c>
      <c r="D34" s="97" t="n">
        <f aca="false">IF(Scoring!N35="","",Scoring!N35)</f>
        <v>1.35714285714286</v>
      </c>
      <c r="E34" s="98" t="str">
        <f aca="false">IF(Scoring!AF35="","",Scoring!AF35)</f>
        <v/>
      </c>
      <c r="F34" s="66" t="str">
        <f aca="false">IF(Scoring!AG35&lt;&gt;"",Scoring!AG35,IF(Scoring!AH35="OK","PENDING",""))</f>
        <v/>
      </c>
      <c r="G34" s="66" t="str">
        <f aca="false">IF(Scoring!AH35="","",Scoring!AH35)</f>
        <v>FAIL</v>
      </c>
      <c r="H34" s="66" t="str">
        <f aca="false">IF(Scoring!AI35="","",Scoring!AI35)</f>
        <v>REVIEW</v>
      </c>
      <c r="I34" s="66" t="str">
        <f aca="false">IF(Scoring!AJ35="","",Scoring!AJ35)</f>
        <v>AVOID</v>
      </c>
      <c r="J34" s="66" t="str">
        <f aca="false">IF(Scoring!AK35="","",Scoring!AK35)</f>
        <v>OK</v>
      </c>
    </row>
    <row r="35" customFormat="false" ht="15" hidden="false" customHeight="true" outlineLevel="0" collapsed="false">
      <c r="A35" s="94" t="str">
        <f aca="false">IF(Scoring!A36="","",Scoring!A36)</f>
        <v>YUM</v>
      </c>
      <c r="B35" s="95" t="str">
        <f aca="false">IF(Scoring!B36="","",Scoring!B36)</f>
        <v>Yum! Brands Inc.</v>
      </c>
      <c r="C35" s="96" t="n">
        <f aca="false">IF(Scoring!C36="","",Scoring!C36)</f>
        <v>46278</v>
      </c>
      <c r="D35" s="97" t="n">
        <f aca="false">IF(Scoring!N36="","",Scoring!N36)</f>
        <v>3.78571428571429</v>
      </c>
      <c r="E35" s="98" t="str">
        <f aca="false">IF(Scoring!AF36="","",Scoring!AF36)</f>
        <v/>
      </c>
      <c r="F35" s="66" t="str">
        <f aca="false">IF(Scoring!AG36&lt;&gt;"",Scoring!AG36,IF(Scoring!AH36="OK","PENDING",""))</f>
        <v>PENDING</v>
      </c>
      <c r="G35" s="66" t="str">
        <f aca="false">IF(Scoring!AH36="","",Scoring!AH36)</f>
        <v>OK</v>
      </c>
      <c r="H35" s="66" t="str">
        <f aca="false">IF(Scoring!AI36="","",Scoring!AI36)</f>
        <v>OK</v>
      </c>
      <c r="I35" s="66" t="str">
        <f aca="false">IF(Scoring!AJ36="","",Scoring!AJ36)</f>
        <v>OK</v>
      </c>
      <c r="J35" s="66" t="str">
        <f aca="false">IF(Scoring!AK36="","",Scoring!AK36)</f>
        <v>OK</v>
      </c>
    </row>
    <row r="36" customFormat="false" ht="15" hidden="false" customHeight="true" outlineLevel="1" collapsed="false">
      <c r="A36" s="94" t="str">
        <f aca="false">IF(Scoring!A37="","",Scoring!A37)</f>
        <v>NKE</v>
      </c>
      <c r="B36" s="95" t="str">
        <f aca="false">IF(Scoring!B37="","",Scoring!B37)</f>
        <v>Nike Inc.</v>
      </c>
      <c r="C36" s="96" t="n">
        <f aca="false">IF(Scoring!C37="","",Scoring!C37)</f>
        <v>46246</v>
      </c>
      <c r="D36" s="97" t="n">
        <f aca="false">IF(Scoring!N37="","",Scoring!N37)</f>
        <v>1.57142857142857</v>
      </c>
      <c r="E36" s="98" t="str">
        <f aca="false">IF(Scoring!AF37="","",Scoring!AF37)</f>
        <v/>
      </c>
      <c r="F36" s="66" t="str">
        <f aca="false">IF(Scoring!AG37&lt;&gt;"",Scoring!AG37,IF(Scoring!AH37="OK","PENDING",""))</f>
        <v/>
      </c>
      <c r="G36" s="66" t="str">
        <f aca="false">IF(Scoring!AH37="","",Scoring!AH37)</f>
        <v>FAIL</v>
      </c>
      <c r="H36" s="66" t="str">
        <f aca="false">IF(Scoring!AI37="","",Scoring!AI37)</f>
        <v>REVIEW</v>
      </c>
      <c r="I36" s="66" t="str">
        <f aca="false">IF(Scoring!AJ37="","",Scoring!AJ37)</f>
        <v>AVOID</v>
      </c>
      <c r="J36" s="66" t="str">
        <f aca="false">IF(Scoring!AK37="","",Scoring!AK37)</f>
        <v>OK</v>
      </c>
    </row>
    <row r="37" customFormat="false" ht="15" hidden="false" customHeight="true" outlineLevel="1" collapsed="false">
      <c r="A37" s="94" t="str">
        <f aca="false">IF(Scoring!A38="","",Scoring!A38)</f>
        <v>VFC</v>
      </c>
      <c r="B37" s="95" t="str">
        <f aca="false">IF(Scoring!B38="","",Scoring!B38)</f>
        <v>V.F. Corporation</v>
      </c>
      <c r="C37" s="96" t="n">
        <f aca="false">IF(Scoring!C38="","",Scoring!C38)</f>
        <v>46246</v>
      </c>
      <c r="D37" s="97" t="n">
        <f aca="false">IF(Scoring!N38="","",Scoring!N38)</f>
        <v>2.85714285714286</v>
      </c>
      <c r="E37" s="98" t="str">
        <f aca="false">IF(Scoring!AF38="","",Scoring!AF38)</f>
        <v/>
      </c>
      <c r="F37" s="66" t="str">
        <f aca="false">IF(Scoring!AG38&lt;&gt;"",Scoring!AG38,IF(Scoring!AH38="OK","PENDING",""))</f>
        <v/>
      </c>
      <c r="G37" s="66" t="str">
        <f aca="false">IF(Scoring!AH38="","",Scoring!AH38)</f>
        <v>FAIL</v>
      </c>
      <c r="H37" s="66" t="str">
        <f aca="false">IF(Scoring!AI38="","",Scoring!AI38)</f>
        <v>OK</v>
      </c>
      <c r="I37" s="66" t="str">
        <f aca="false">IF(Scoring!AJ38="","",Scoring!AJ38)</f>
        <v>OK</v>
      </c>
      <c r="J37" s="66" t="str">
        <f aca="false">IF(Scoring!AK38="","",Scoring!AK38)</f>
        <v>OK</v>
      </c>
    </row>
    <row r="38" customFormat="false" ht="15" hidden="false" customHeight="true" outlineLevel="1" collapsed="false">
      <c r="A38" s="94" t="str">
        <f aca="false">IF(Scoring!A39="","",Scoring!A39)</f>
        <v>GOOS</v>
      </c>
      <c r="B38" s="95" t="str">
        <f aca="false">IF(Scoring!B39="","",Scoring!B39)</f>
        <v>Canada Goose Holdings</v>
      </c>
      <c r="C38" s="96" t="n">
        <f aca="false">IF(Scoring!C39="","",Scoring!C39)</f>
        <v>46246</v>
      </c>
      <c r="D38" s="97" t="n">
        <f aca="false">IF(Scoring!N39="","",Scoring!N39)</f>
        <v>2.5</v>
      </c>
      <c r="E38" s="98" t="str">
        <f aca="false">IF(Scoring!AF39="","",Scoring!AF39)</f>
        <v/>
      </c>
      <c r="F38" s="66" t="str">
        <f aca="false">IF(Scoring!AG39&lt;&gt;"",Scoring!AG39,IF(Scoring!AH39="OK","PENDING",""))</f>
        <v/>
      </c>
      <c r="G38" s="66" t="str">
        <f aca="false">IF(Scoring!AH39="","",Scoring!AH39)</f>
        <v>FAIL</v>
      </c>
      <c r="H38" s="66" t="str">
        <f aca="false">IF(Scoring!AI39="","",Scoring!AI39)</f>
        <v>REVIEW</v>
      </c>
      <c r="I38" s="66" t="str">
        <f aca="false">IF(Scoring!AJ39="","",Scoring!AJ39)</f>
        <v>AVOID</v>
      </c>
      <c r="J38" s="66" t="str">
        <f aca="false">IF(Scoring!AK39="","",Scoring!AK39)</f>
        <v>OK</v>
      </c>
    </row>
    <row r="39" customFormat="false" ht="15" hidden="false" customHeight="true" outlineLevel="1" collapsed="false">
      <c r="A39" s="94" t="str">
        <f aca="false">IF(Scoring!A40="","",Scoring!A40)</f>
        <v>AAP</v>
      </c>
      <c r="B39" s="95" t="str">
        <f aca="false">IF(Scoring!B40="","",Scoring!B40)</f>
        <v>Advance Auto Parts Inc.</v>
      </c>
      <c r="C39" s="96" t="n">
        <f aca="false">IF(Scoring!C40="","",Scoring!C40)</f>
        <v>46246</v>
      </c>
      <c r="D39" s="97" t="n">
        <f aca="false">IF(Scoring!N40="","",Scoring!N40)</f>
        <v>1.35714285714286</v>
      </c>
      <c r="E39" s="98" t="str">
        <f aca="false">IF(Scoring!AF40="","",Scoring!AF40)</f>
        <v/>
      </c>
      <c r="F39" s="66" t="str">
        <f aca="false">IF(Scoring!AG40&lt;&gt;"",Scoring!AG40,IF(Scoring!AH40="OK","PENDING",""))</f>
        <v/>
      </c>
      <c r="G39" s="66" t="str">
        <f aca="false">IF(Scoring!AH40="","",Scoring!AH40)</f>
        <v>FAIL</v>
      </c>
      <c r="H39" s="66" t="str">
        <f aca="false">IF(Scoring!AI40="","",Scoring!AI40)</f>
        <v>REVIEW</v>
      </c>
      <c r="I39" s="66" t="str">
        <f aca="false">IF(Scoring!AJ40="","",Scoring!AJ40)</f>
        <v>AVOID</v>
      </c>
      <c r="J39" s="66" t="str">
        <f aca="false">IF(Scoring!AK40="","",Scoring!AK40)</f>
        <v>OK</v>
      </c>
    </row>
    <row r="40" customFormat="false" ht="15" hidden="false" customHeight="true" outlineLevel="1" collapsed="false">
      <c r="A40" s="94" t="str">
        <f aca="false">IF(Scoring!A41="","",Scoring!A41)</f>
        <v>BABA</v>
      </c>
      <c r="B40" s="95" t="str">
        <f aca="false">IF(Scoring!B41="","",Scoring!B41)</f>
        <v>Alibaba Group Holding Ltd.</v>
      </c>
      <c r="C40" s="96" t="n">
        <f aca="false">IF(Scoring!C41="","",Scoring!C41)</f>
        <v>46246</v>
      </c>
      <c r="D40" s="97" t="n">
        <f aca="false">IF(Scoring!N41="","",Scoring!N41)</f>
        <v>2.78571428571429</v>
      </c>
      <c r="E40" s="98" t="str">
        <f aca="false">IF(Scoring!AF41="","",Scoring!AF41)</f>
        <v/>
      </c>
      <c r="F40" s="66" t="str">
        <f aca="false">IF(Scoring!AG41&lt;&gt;"",Scoring!AG41,IF(Scoring!AH41="OK","PENDING",""))</f>
        <v/>
      </c>
      <c r="G40" s="66" t="str">
        <f aca="false">IF(Scoring!AH41="","",Scoring!AH41)</f>
        <v>FAIL</v>
      </c>
      <c r="H40" s="66" t="str">
        <f aca="false">IF(Scoring!AI41="","",Scoring!AI41)</f>
        <v>OK</v>
      </c>
      <c r="I40" s="66" t="str">
        <f aca="false">IF(Scoring!AJ41="","",Scoring!AJ41)</f>
        <v>AVOID</v>
      </c>
      <c r="J40" s="66" t="str">
        <f aca="false">IF(Scoring!AK41="","",Scoring!AK41)</f>
        <v>OK</v>
      </c>
    </row>
    <row r="41" customFormat="false" ht="15" hidden="false" customHeight="true" outlineLevel="0" collapsed="false">
      <c r="A41" s="94" t="str">
        <f aca="false">IF(Scoring!A42="","",Scoring!A42)</f>
        <v>ETSY</v>
      </c>
      <c r="B41" s="95" t="str">
        <f aca="false">IF(Scoring!B42="","",Scoring!B42)</f>
        <v>Etsy Inc.</v>
      </c>
      <c r="C41" s="96" t="n">
        <f aca="false">IF(Scoring!C42="","",Scoring!C42)</f>
        <v>46246</v>
      </c>
      <c r="D41" s="97" t="n">
        <f aca="false">IF(Scoring!N42="","",Scoring!N42)</f>
        <v>3.42857142857143</v>
      </c>
      <c r="E41" s="98" t="str">
        <f aca="false">IF(Scoring!AF42="","",Scoring!AF42)</f>
        <v/>
      </c>
      <c r="F41" s="66" t="str">
        <f aca="false">IF(Scoring!AG42&lt;&gt;"",Scoring!AG42,IF(Scoring!AH42="OK","PENDING",""))</f>
        <v>PENDING</v>
      </c>
      <c r="G41" s="66" t="str">
        <f aca="false">IF(Scoring!AH42="","",Scoring!AH42)</f>
        <v>OK</v>
      </c>
      <c r="H41" s="66" t="str">
        <f aca="false">IF(Scoring!AI42="","",Scoring!AI42)</f>
        <v>OK</v>
      </c>
      <c r="I41" s="66" t="str">
        <f aca="false">IF(Scoring!AJ42="","",Scoring!AJ42)</f>
        <v>OK</v>
      </c>
      <c r="J41" s="66" t="str">
        <f aca="false">IF(Scoring!AK42="","",Scoring!AK42)</f>
        <v>OK</v>
      </c>
    </row>
    <row r="42" customFormat="false" ht="15" hidden="false" customHeight="true" outlineLevel="0" collapsed="false">
      <c r="A42" s="94" t="str">
        <f aca="false">IF(Scoring!A43="","",Scoring!A43)</f>
        <v>GE</v>
      </c>
      <c r="B42" s="95" t="str">
        <f aca="false">IF(Scoring!B43="","",Scoring!B43)</f>
        <v>GE Aerospace</v>
      </c>
      <c r="C42" s="96" t="n">
        <f aca="false">IF(Scoring!C43="","",Scoring!C43)</f>
        <v>46278</v>
      </c>
      <c r="D42" s="97" t="n">
        <f aca="false">IF(Scoring!N43="","",Scoring!N43)</f>
        <v>4.14285714285714</v>
      </c>
      <c r="E42" s="98" t="n">
        <f aca="false">IF(Scoring!AF43="","",Scoring!AF43)</f>
        <v>84.2</v>
      </c>
      <c r="F42" s="66" t="str">
        <f aca="false">IF(Scoring!AG43&lt;&gt;"",Scoring!AG43,IF(Scoring!AH43="OK","PENDING",""))</f>
        <v>STRONG BUY</v>
      </c>
      <c r="G42" s="66" t="str">
        <f aca="false">IF(Scoring!AH43="","",Scoring!AH43)</f>
        <v>OK</v>
      </c>
      <c r="H42" s="66" t="str">
        <f aca="false">IF(Scoring!AI43="","",Scoring!AI43)</f>
        <v>OK</v>
      </c>
      <c r="I42" s="66" t="str">
        <f aca="false">IF(Scoring!AJ43="","",Scoring!AJ43)</f>
        <v>OK</v>
      </c>
      <c r="J42" s="66" t="str">
        <f aca="false">IF(Scoring!AK43="","",Scoring!AK43)</f>
        <v>OK</v>
      </c>
    </row>
    <row r="43" customFormat="false" ht="15" hidden="false" customHeight="true" outlineLevel="0" collapsed="false">
      <c r="A43" s="94" t="str">
        <f aca="false">IF(Scoring!A44="","",Scoring!A44)</f>
        <v>PH</v>
      </c>
      <c r="B43" s="95" t="str">
        <f aca="false">IF(Scoring!B44="","",Scoring!B44)</f>
        <v>Parker-Hannifin Corporation</v>
      </c>
      <c r="C43" s="96" t="n">
        <f aca="false">IF(Scoring!C44="","",Scoring!C44)</f>
        <v>46247</v>
      </c>
      <c r="D43" s="97" t="n">
        <f aca="false">IF(Scoring!N44="","",Scoring!N44)</f>
        <v>3.28571428571429</v>
      </c>
      <c r="E43" s="98" t="str">
        <f aca="false">IF(Scoring!AF44="","",Scoring!AF44)</f>
        <v/>
      </c>
      <c r="F43" s="66" t="str">
        <f aca="false">IF(Scoring!AG44&lt;&gt;"",Scoring!AG44,IF(Scoring!AH44="OK","PENDING",""))</f>
        <v>PENDING</v>
      </c>
      <c r="G43" s="66" t="str">
        <f aca="false">IF(Scoring!AH44="","",Scoring!AH44)</f>
        <v>OK</v>
      </c>
      <c r="H43" s="66" t="str">
        <f aca="false">IF(Scoring!AI44="","",Scoring!AI44)</f>
        <v>OK</v>
      </c>
      <c r="I43" s="66" t="str">
        <f aca="false">IF(Scoring!AJ44="","",Scoring!AJ44)</f>
        <v>OK</v>
      </c>
      <c r="J43" s="66" t="str">
        <f aca="false">IF(Scoring!AK44="","",Scoring!AK44)</f>
        <v>OK</v>
      </c>
    </row>
    <row r="44" customFormat="false" ht="15" hidden="false" customHeight="true" outlineLevel="0" collapsed="false">
      <c r="A44" s="94" t="str">
        <f aca="false">IF(Scoring!A45="","",Scoring!A45)</f>
        <v>ETN</v>
      </c>
      <c r="B44" s="95" t="str">
        <f aca="false">IF(Scoring!B45="","",Scoring!B45)</f>
        <v>Eaton Corporation plc</v>
      </c>
      <c r="C44" s="96" t="n">
        <f aca="false">IF(Scoring!C45="","",Scoring!C45)</f>
        <v>46247</v>
      </c>
      <c r="D44" s="97" t="n">
        <f aca="false">IF(Scoring!N45="","",Scoring!N45)</f>
        <v>3.5</v>
      </c>
      <c r="E44" s="98" t="str">
        <f aca="false">IF(Scoring!AF45="","",Scoring!AF45)</f>
        <v/>
      </c>
      <c r="F44" s="66" t="str">
        <f aca="false">IF(Scoring!AG45&lt;&gt;"",Scoring!AG45,IF(Scoring!AH45="OK","PENDING",""))</f>
        <v>PENDING</v>
      </c>
      <c r="G44" s="66" t="str">
        <f aca="false">IF(Scoring!AH45="","",Scoring!AH45)</f>
        <v>OK</v>
      </c>
      <c r="H44" s="66" t="str">
        <f aca="false">IF(Scoring!AI45="","",Scoring!AI45)</f>
        <v>OK</v>
      </c>
      <c r="I44" s="66" t="str">
        <f aca="false">IF(Scoring!AJ45="","",Scoring!AJ45)</f>
        <v>OK</v>
      </c>
      <c r="J44" s="66" t="str">
        <f aca="false">IF(Scoring!AK45="","",Scoring!AK45)</f>
        <v>OK</v>
      </c>
    </row>
    <row r="45" customFormat="false" ht="15" hidden="false" customHeight="true" outlineLevel="1" collapsed="false">
      <c r="A45" s="94" t="str">
        <f aca="false">IF(Scoring!A46="","",Scoring!A46)</f>
        <v>DIS</v>
      </c>
      <c r="B45" s="95" t="str">
        <f aca="false">IF(Scoring!B46="","",Scoring!B46)</f>
        <v>The Walt Disney Company</v>
      </c>
      <c r="C45" s="96" t="n">
        <f aca="false">IF(Scoring!C46="","",Scoring!C46)</f>
        <v>46258</v>
      </c>
      <c r="D45" s="97" t="n">
        <f aca="false">IF(Scoring!N46="","",Scoring!N46)</f>
        <v>2.92857142857143</v>
      </c>
      <c r="E45" s="98" t="str">
        <f aca="false">IF(Scoring!AF46="","",Scoring!AF46)</f>
        <v/>
      </c>
      <c r="F45" s="66" t="str">
        <f aca="false">IF(Scoring!AG46&lt;&gt;"",Scoring!AG46,IF(Scoring!AH46="OK","PENDING",""))</f>
        <v/>
      </c>
      <c r="G45" s="66" t="str">
        <f aca="false">IF(Scoring!AH46="","",Scoring!AH46)</f>
        <v>FAIL</v>
      </c>
      <c r="H45" s="66" t="str">
        <f aca="false">IF(Scoring!AI46="","",Scoring!AI46)</f>
        <v>OK</v>
      </c>
      <c r="I45" s="66" t="str">
        <f aca="false">IF(Scoring!AJ46="","",Scoring!AJ46)</f>
        <v>AVOID</v>
      </c>
      <c r="J45" s="66" t="str">
        <f aca="false">IF(Scoring!AK46="","",Scoring!AK46)</f>
        <v>OK</v>
      </c>
    </row>
    <row r="46" customFormat="false" ht="15" hidden="false" customHeight="true" outlineLevel="0" collapsed="false">
      <c r="A46" s="99" t="str">
        <f aca="false">IF(Scoring!A47="","",Scoring!A47)</f>
        <v>NFLX</v>
      </c>
      <c r="B46" s="100" t="str">
        <f aca="false">IF(Scoring!B47="","",Scoring!B47)</f>
        <v>Netflix, Inc.</v>
      </c>
      <c r="C46" s="101" t="n">
        <f aca="false">IF(Scoring!C47="","",Scoring!C47)</f>
        <v>46278</v>
      </c>
      <c r="D46" s="102" t="n">
        <f aca="false">IF(Scoring!N47="","",Scoring!N47)</f>
        <v>4.21428571428571</v>
      </c>
      <c r="E46" s="103" t="n">
        <f aca="false">IF(Scoring!AF47="","",Scoring!AF47)</f>
        <v>83.8</v>
      </c>
      <c r="F46" s="104" t="str">
        <f aca="false">IF(Scoring!AG47&lt;&gt;"",Scoring!AG47,IF(Scoring!AH47="OK","PENDING",""))</f>
        <v>STRONG BUY</v>
      </c>
      <c r="G46" s="104" t="str">
        <f aca="false">IF(Scoring!AH47="","",Scoring!AH47)</f>
        <v>OK</v>
      </c>
      <c r="H46" s="104" t="str">
        <f aca="false">IF(Scoring!AI47="","",Scoring!AI47)</f>
        <v>OK</v>
      </c>
      <c r="I46" s="104" t="str">
        <f aca="false">IF(Scoring!AJ47="","",Scoring!AJ47)</f>
        <v>OK</v>
      </c>
      <c r="J46" s="104" t="str">
        <f aca="false">IF(Scoring!AK47="","",Scoring!AK47)</f>
        <v>OK</v>
      </c>
    </row>
    <row r="47" customFormat="false" ht="14.25" hidden="false" customHeight="true" outlineLevel="0" collapsed="false">
      <c r="A47" s="105" t="str">
        <f aca="false">IF(Scoring!A48="","",Scoring!A48)</f>
        <v>KGS</v>
      </c>
      <c r="B47" s="106" t="str">
        <f aca="false">IF(Scoring!B48="","",Scoring!B48)</f>
        <v>Kodiak Gas Services, Inc.</v>
      </c>
      <c r="C47" s="101" t="n">
        <f aca="false">IF(Scoring!C48="","",Scoring!C48)</f>
        <v>46276</v>
      </c>
      <c r="D47" s="102" t="n">
        <f aca="false">IF(Scoring!N48="","",Scoring!N48)</f>
        <v>4</v>
      </c>
      <c r="E47" s="103" t="str">
        <f aca="false">IF(Scoring!AF48="","",Scoring!AF48)</f>
        <v/>
      </c>
      <c r="F47" s="104" t="str">
        <f aca="false">IF(Scoring!AG48&lt;&gt;"",Scoring!AG48,IF(Scoring!AH48="OK","PENDING",""))</f>
        <v>PENDING</v>
      </c>
      <c r="G47" s="104" t="str">
        <f aca="false">IF(Scoring!AH48="","",Scoring!AH48)</f>
        <v>OK</v>
      </c>
      <c r="H47" s="104" t="str">
        <f aca="false">IF(Scoring!AI48="","",Scoring!AI48)</f>
        <v>OK</v>
      </c>
      <c r="I47" s="104" t="str">
        <f aca="false">IF(Scoring!AJ48="","",Scoring!AJ48)</f>
        <v>OK</v>
      </c>
      <c r="J47" s="104" t="str">
        <f aca="false">IF(Scoring!AK48="","",Scoring!AK48)</f>
        <v>OK</v>
      </c>
    </row>
    <row r="48" customFormat="false" ht="15" hidden="false" customHeight="true" outlineLevel="0" collapsed="false">
      <c r="A48" s="105" t="str">
        <f aca="false">IF(Scoring!A49="","",Scoring!A49)</f>
        <v>ABT</v>
      </c>
      <c r="B48" s="106" t="str">
        <f aca="false">IF(Scoring!B49="","",Scoring!B49)</f>
        <v>Abbott Laboratories</v>
      </c>
      <c r="C48" s="101" t="n">
        <f aca="false">IF(Scoring!C49="","",Scoring!C49)</f>
        <v>46278</v>
      </c>
      <c r="D48" s="102" t="n">
        <f aca="false">IF(Scoring!N49="","",Scoring!N49)</f>
        <v>3.5</v>
      </c>
      <c r="E48" s="103" t="n">
        <f aca="false">IF(Scoring!AF49="","",Scoring!AF49)</f>
        <v>70.8</v>
      </c>
      <c r="F48" s="104" t="str">
        <f aca="false">IF(Scoring!AG49&lt;&gt;"",Scoring!AG49,IF(Scoring!AH49="OK","PENDING",""))</f>
        <v>BUY</v>
      </c>
      <c r="G48" s="104" t="str">
        <f aca="false">IF(Scoring!AH49="","",Scoring!AH49)</f>
        <v>OK</v>
      </c>
      <c r="H48" s="104" t="str">
        <f aca="false">IF(Scoring!AI49="","",Scoring!AI49)</f>
        <v>OK</v>
      </c>
      <c r="I48" s="104" t="str">
        <f aca="false">IF(Scoring!AJ49="","",Scoring!AJ49)</f>
        <v>OK</v>
      </c>
      <c r="J48" s="104" t="str">
        <f aca="false">IF(Scoring!AK49="","",Scoring!AK49)</f>
        <v>OK</v>
      </c>
    </row>
    <row r="49" customFormat="false" ht="15.75" hidden="false" customHeight="true" outlineLevel="0" collapsed="false">
      <c r="A49" s="105" t="str">
        <f aca="false">IF(Scoring!A50="","",Scoring!A50)</f>
        <v>SLB</v>
      </c>
      <c r="B49" s="107" t="str">
        <f aca="false">IF(Scoring!B50="","",Scoring!B50)</f>
        <v>SLB N.V.</v>
      </c>
      <c r="C49" s="101" t="n">
        <f aca="false">IF(Scoring!C50="","",Scoring!C50)</f>
        <v>46278</v>
      </c>
      <c r="D49" s="102" t="n">
        <f aca="false">IF(Scoring!N50="","",Scoring!N50)</f>
        <v>3.5</v>
      </c>
      <c r="E49" s="103" t="n">
        <f aca="false">IF(Scoring!AF50="","",Scoring!AF50)</f>
        <v>72.4</v>
      </c>
      <c r="F49" s="104" t="str">
        <f aca="false">IF(Scoring!AG50&lt;&gt;"",Scoring!AG50,IF(Scoring!AH50="OK","PENDING",""))</f>
        <v>BUY</v>
      </c>
      <c r="G49" s="104" t="str">
        <f aca="false">IF(Scoring!AH50="","",Scoring!AH50)</f>
        <v>OK</v>
      </c>
      <c r="H49" s="104" t="str">
        <f aca="false">IF(Scoring!AI50="","",Scoring!AI50)</f>
        <v>OK</v>
      </c>
      <c r="I49" s="104" t="str">
        <f aca="false">IF(Scoring!AJ50="","",Scoring!AJ50)</f>
        <v>OK</v>
      </c>
      <c r="J49" s="104" t="str">
        <f aca="false">IF(Scoring!AK50="","",Scoring!AK50)</f>
        <v>OK</v>
      </c>
    </row>
    <row r="50" customFormat="false" ht="15.75" hidden="false" customHeight="true" outlineLevel="0" collapsed="false">
      <c r="A50" s="105" t="str">
        <f aca="false">IF(Scoring!A51="","",Scoring!A51)</f>
        <v>VEEV</v>
      </c>
      <c r="B50" s="107" t="str">
        <f aca="false">IF(Scoring!B51="","",Scoring!B51)</f>
        <v>Veeva Systems Inc.</v>
      </c>
      <c r="C50" s="108" t="n">
        <f aca="false">IF(Scoring!C51="","",Scoring!C51)</f>
        <v>46297</v>
      </c>
      <c r="D50" s="109" t="n">
        <f aca="false">IF(Scoring!N51="","",Scoring!N51)</f>
        <v>4.28571428571429</v>
      </c>
      <c r="E50" s="110" t="n">
        <f aca="false">IF(Scoring!AF51="","",Scoring!AF51)</f>
        <v>81.6</v>
      </c>
      <c r="F50" s="111" t="str">
        <f aca="false">IF(Scoring!AG51&lt;&gt;"",Scoring!AG51,IF(Scoring!AH51="OK","PENDING",""))</f>
        <v>STRONG BUY</v>
      </c>
      <c r="G50" s="111" t="str">
        <f aca="false">IF(Scoring!AH51="","",Scoring!AH51)</f>
        <v>OK</v>
      </c>
      <c r="H50" s="111" t="str">
        <f aca="false">IF(Scoring!AI51="","",Scoring!AI51)</f>
        <v>OK</v>
      </c>
      <c r="I50" s="111" t="str">
        <f aca="false">IF(Scoring!AJ51="","",Scoring!AJ51)</f>
        <v>OK</v>
      </c>
      <c r="J50" s="111" t="str">
        <f aca="false">IF(Scoring!AK51="","",Scoring!AK51)</f>
        <v>OK</v>
      </c>
    </row>
    <row r="51" customFormat="false" ht="14.25" hidden="false" customHeight="true" outlineLevel="0" collapsed="false">
      <c r="A51" s="1" t="s">
        <v>305</v>
      </c>
    </row>
    <row r="52" customFormat="false" ht="15" hidden="false" customHeight="true" outlineLevel="0" collapsed="false">
      <c r="A52" s="112" t="n">
        <f aca="false">SUBTOTAL(103,A2:A50)</f>
        <v>49</v>
      </c>
      <c r="B52" s="112" t="s">
        <v>306</v>
      </c>
    </row>
  </sheetData>
  <conditionalFormatting sqref="F2:F5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50">
    <cfRule type="cellIs" priority="7" operator="equal" aboveAverage="0" equalAverage="0" bottom="0" percent="0" rank="0" text="" dxfId="0">
      <formula>"FAIL"</formula>
    </cfRule>
  </conditionalFormatting>
  <conditionalFormatting sqref="I2:I50">
    <cfRule type="cellIs" priority="8" operator="equal" aboveAverage="0" equalAverage="0" bottom="0" percent="0" rank="0" text="" dxfId="0">
      <formula>"AVOID"</formula>
    </cfRule>
  </conditionalFormatting>
  <conditionalFormatting sqref="H2:H50">
    <cfRule type="cellIs" priority="9" operator="equal" aboveAverage="0" equalAverage="0" bottom="0" percent="0" rank="0" text="" dxfId="19">
      <formula>"REVIEW"</formula>
    </cfRule>
  </conditionalFormatting>
  <conditionalFormatting sqref="J2:J50">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R3" activePane="bottomRight" state="frozen"/>
      <selection pane="topLeft" activeCell="A1" activeCellId="0" sqref="A1"/>
      <selection pane="topRight" activeCell="R1" activeCellId="0" sqref="R1"/>
      <selection pane="bottomLeft" activeCell="A3" activeCellId="0" sqref="A3"/>
      <selection pane="bottomRight" activeCell="AM55" activeCellId="0" sqref="AM55"/>
    </sheetView>
  </sheetViews>
  <sheetFormatPr defaultColWidth="8.66796875" defaultRowHeight="13.5" customHeight="false" zeroHeight="false" outlineLevelRow="1" outlineLevelCol="1"/>
  <cols>
    <col collapsed="false" customWidth="true" hidden="false" outlineLevel="0" max="1" min="1" style="24" width="8"/>
    <col collapsed="false" customWidth="true" hidden="false" outlineLevel="0" max="2" min="2" style="24" width="19.83"/>
    <col collapsed="false" customWidth="true" hidden="false" outlineLevel="0" max="3" min="3" style="24" width="10"/>
    <col collapsed="false" customWidth="true" hidden="false" outlineLevel="1" max="4" min="4" style="24" width="8.83"/>
    <col collapsed="false" customWidth="true" hidden="false" outlineLevel="1" max="5" min="5" style="24" width="7.16"/>
    <col collapsed="false" customWidth="true" hidden="false" outlineLevel="1" max="6" min="6" style="24" width="7.67"/>
    <col collapsed="false" customWidth="true" hidden="false" outlineLevel="1" max="7" min="7" style="24" width="6.83"/>
    <col collapsed="false" customWidth="true" hidden="false" outlineLevel="1" max="8" min="8" style="24" width="7.16"/>
    <col collapsed="false" customWidth="true" hidden="false" outlineLevel="1" max="9" min="9" style="24" width="6.51"/>
    <col collapsed="false" customWidth="true" hidden="false" outlineLevel="1" max="10" min="10" style="24" width="7.83"/>
    <col collapsed="false" customWidth="true" hidden="false" outlineLevel="1" max="11" min="11" style="24" width="6.51"/>
    <col collapsed="false" customWidth="true" hidden="false" outlineLevel="1" max="12" min="12" style="24" width="7.5"/>
    <col collapsed="false" customWidth="true" hidden="false" outlineLevel="1" max="13" min="13" style="24" width="9.52"/>
    <col collapsed="false" customWidth="true" hidden="false" outlineLevel="1" max="14" min="14" style="24" width="8.83"/>
    <col collapsed="false" customWidth="true" hidden="false" outlineLevel="1" max="15" min="15" style="24" width="7.5"/>
    <col collapsed="false" customWidth="true" hidden="false" outlineLevel="1" max="16" min="16" style="24" width="8.83"/>
    <col collapsed="false" customWidth="true" hidden="false" outlineLevel="1" max="17" min="17" style="24" width="6.51"/>
    <col collapsed="false" customWidth="true" hidden="false" outlineLevel="1" max="18" min="18" style="24" width="6.83"/>
    <col collapsed="false" customWidth="true" hidden="false" outlineLevel="1" max="19" min="19" style="24" width="6.33"/>
    <col collapsed="false" customWidth="true" hidden="false" outlineLevel="1" max="20" min="20" style="24" width="7.83"/>
    <col collapsed="false" customWidth="true" hidden="false" outlineLevel="1" max="21" min="21" style="24" width="6.33"/>
    <col collapsed="false" customWidth="true" hidden="false" outlineLevel="1" max="22" min="22" style="24" width="8.83"/>
    <col collapsed="false" customWidth="true" hidden="false" outlineLevel="1" max="23" min="23" style="24" width="6.33"/>
    <col collapsed="false" customWidth="true" hidden="false" outlineLevel="1" max="24" min="24" style="24" width="7.16"/>
    <col collapsed="false" customWidth="true" hidden="false" outlineLevel="1" max="25" min="25" style="24" width="8"/>
    <col collapsed="false" customWidth="true" hidden="false" outlineLevel="1" max="26" min="26" style="24" width="6.16"/>
    <col collapsed="false" customWidth="true" hidden="false" outlineLevel="1" max="27" min="27" style="24" width="9.52"/>
    <col collapsed="false" customWidth="true" hidden="false" outlineLevel="1" max="28" min="28" style="24" width="6.83"/>
    <col collapsed="false" customWidth="true" hidden="false" outlineLevel="1" max="29" min="29" style="24" width="8"/>
    <col collapsed="false" customWidth="true" hidden="false" outlineLevel="1" max="30" min="30" style="24" width="6.51"/>
    <col collapsed="false" customWidth="true" hidden="false" outlineLevel="1" max="31" min="31" style="24" width="7.67"/>
    <col collapsed="false" customWidth="true" hidden="false" outlineLevel="1" max="32" min="32" style="24" width="9"/>
    <col collapsed="false" customWidth="true" hidden="false" outlineLevel="0" max="33" min="33" style="24" width="12"/>
    <col collapsed="false" customWidth="true" hidden="false" outlineLevel="0" max="34" min="34" style="24" width="8"/>
    <col collapsed="false" customWidth="true" hidden="false" outlineLevel="0" max="35" min="35" style="24" width="6.51"/>
    <col collapsed="false" customWidth="true" hidden="false" outlineLevel="0" max="36" min="36" style="24" width="7"/>
    <col collapsed="false" customWidth="true" hidden="false" outlineLevel="0" max="37" min="37" style="24" width="7.67"/>
    <col collapsed="false" customWidth="true" hidden="false" outlineLevel="0" max="38" min="38" style="24" width="16.16"/>
    <col collapsed="false" customWidth="true" hidden="false" outlineLevel="0" max="39" min="39" style="24" width="24.83"/>
    <col collapsed="false" customWidth="true" hidden="true" outlineLevel="1" max="40" min="40" style="24" width="13.67"/>
    <col collapsed="false" customWidth="true" hidden="true" outlineLevel="1" max="41" min="41" style="24" width="14.16"/>
    <col collapsed="false" customWidth="true" hidden="true" outlineLevel="1" max="45" min="42" style="24" width="10"/>
    <col collapsed="false" customWidth="false" hidden="false" outlineLevel="0" max="16384" min="46" style="24" width="8.67"/>
  </cols>
  <sheetData>
    <row r="1" customFormat="false" ht="21.75" hidden="false" customHeight="true" outlineLevel="0" collapsed="false">
      <c r="A1" s="113" t="s">
        <v>307</v>
      </c>
      <c r="D1" s="114" t="s">
        <v>308</v>
      </c>
      <c r="E1" s="114"/>
      <c r="F1" s="114"/>
      <c r="G1" s="114"/>
      <c r="H1" s="114"/>
      <c r="I1" s="114"/>
      <c r="J1" s="114"/>
      <c r="K1" s="114"/>
      <c r="L1" s="114"/>
      <c r="M1" s="114"/>
      <c r="N1" s="114"/>
      <c r="O1" s="114"/>
      <c r="P1" s="114" t="s">
        <v>309</v>
      </c>
      <c r="Q1" s="114"/>
      <c r="R1" s="114"/>
      <c r="S1" s="114"/>
      <c r="T1" s="114"/>
      <c r="U1" s="114"/>
      <c r="V1" s="114"/>
      <c r="W1" s="114"/>
      <c r="X1" s="114"/>
      <c r="Y1" s="115" t="s">
        <v>310</v>
      </c>
      <c r="Z1" s="115"/>
      <c r="AA1" s="115"/>
      <c r="AB1" s="115"/>
      <c r="AC1" s="115"/>
      <c r="AD1" s="115"/>
      <c r="AE1" s="115"/>
      <c r="AH1" s="116" t="s">
        <v>311</v>
      </c>
      <c r="AI1" s="116"/>
      <c r="AJ1" s="116"/>
      <c r="AK1" s="116"/>
      <c r="AL1" s="116" t="s">
        <v>312</v>
      </c>
      <c r="AM1" s="116"/>
      <c r="AN1" s="117" t="s">
        <v>313</v>
      </c>
      <c r="AO1" s="117"/>
      <c r="AP1" s="117"/>
      <c r="AQ1" s="117"/>
      <c r="AR1" s="117"/>
      <c r="AS1" s="117"/>
    </row>
    <row r="2" customFormat="false" ht="39.75" hidden="false" customHeight="true" outlineLevel="0" collapsed="false">
      <c r="A2" s="118" t="s">
        <v>82</v>
      </c>
      <c r="B2" s="119" t="s">
        <v>314</v>
      </c>
      <c r="C2" s="118" t="s">
        <v>315</v>
      </c>
      <c r="D2" s="118" t="s">
        <v>316</v>
      </c>
      <c r="E2" s="118" t="s">
        <v>317</v>
      </c>
      <c r="F2" s="118" t="s">
        <v>318</v>
      </c>
      <c r="G2" s="118" t="s">
        <v>317</v>
      </c>
      <c r="H2" s="118" t="s">
        <v>319</v>
      </c>
      <c r="I2" s="118" t="s">
        <v>317</v>
      </c>
      <c r="J2" s="118" t="s">
        <v>320</v>
      </c>
      <c r="K2" s="118" t="s">
        <v>317</v>
      </c>
      <c r="L2" s="118" t="s">
        <v>321</v>
      </c>
      <c r="M2" s="118" t="s">
        <v>322</v>
      </c>
      <c r="N2" s="118" t="s">
        <v>323</v>
      </c>
      <c r="O2" s="118" t="s">
        <v>324</v>
      </c>
      <c r="P2" s="118" t="s">
        <v>325</v>
      </c>
      <c r="Q2" s="118" t="s">
        <v>317</v>
      </c>
      <c r="R2" s="118" t="s">
        <v>326</v>
      </c>
      <c r="S2" s="118" t="s">
        <v>317</v>
      </c>
      <c r="T2" s="118" t="s">
        <v>327</v>
      </c>
      <c r="U2" s="118" t="s">
        <v>317</v>
      </c>
      <c r="V2" s="118" t="s">
        <v>328</v>
      </c>
      <c r="W2" s="118" t="s">
        <v>317</v>
      </c>
      <c r="X2" s="118" t="s">
        <v>329</v>
      </c>
      <c r="Y2" s="118" t="s">
        <v>330</v>
      </c>
      <c r="Z2" s="118" t="s">
        <v>317</v>
      </c>
      <c r="AA2" s="118" t="s">
        <v>331</v>
      </c>
      <c r="AB2" s="118" t="s">
        <v>317</v>
      </c>
      <c r="AC2" s="118" t="s">
        <v>332</v>
      </c>
      <c r="AD2" s="118" t="s">
        <v>317</v>
      </c>
      <c r="AE2" s="118" t="s">
        <v>333</v>
      </c>
      <c r="AF2" s="118" t="s">
        <v>334</v>
      </c>
      <c r="AG2" s="118" t="s">
        <v>300</v>
      </c>
      <c r="AH2" s="120" t="s">
        <v>335</v>
      </c>
      <c r="AI2" s="120" t="s">
        <v>336</v>
      </c>
      <c r="AJ2" s="120" t="s">
        <v>337</v>
      </c>
      <c r="AK2" s="120" t="s">
        <v>338</v>
      </c>
      <c r="AL2" s="116" t="s">
        <v>339</v>
      </c>
      <c r="AM2" s="93" t="s">
        <v>340</v>
      </c>
      <c r="AN2" s="121" t="s">
        <v>341</v>
      </c>
      <c r="AO2" s="121" t="s">
        <v>342</v>
      </c>
      <c r="AP2" s="121" t="s">
        <v>343</v>
      </c>
      <c r="AQ2" s="121" t="s">
        <v>344</v>
      </c>
      <c r="AR2" s="121" t="s">
        <v>345</v>
      </c>
      <c r="AS2" s="122" t="s">
        <v>346</v>
      </c>
    </row>
    <row r="3" customFormat="false" ht="15" hidden="false" customHeight="true" outlineLevel="0" collapsed="false">
      <c r="A3" s="63" t="s">
        <v>109</v>
      </c>
      <c r="B3" s="123" t="s">
        <v>110</v>
      </c>
      <c r="C3" s="124" t="n">
        <v>46278</v>
      </c>
      <c r="D3" s="125" t="n">
        <v>3</v>
      </c>
      <c r="E3" s="125" t="s">
        <v>347</v>
      </c>
      <c r="F3" s="125" t="n">
        <v>3</v>
      </c>
      <c r="G3" s="125" t="s">
        <v>347</v>
      </c>
      <c r="H3" s="125" t="n">
        <v>4</v>
      </c>
      <c r="I3" s="125" t="s">
        <v>348</v>
      </c>
      <c r="J3" s="125" t="n">
        <v>5</v>
      </c>
      <c r="K3" s="125" t="s">
        <v>348</v>
      </c>
      <c r="L3" s="125" t="n">
        <v>2</v>
      </c>
      <c r="M3" s="125" t="s">
        <v>347</v>
      </c>
      <c r="N3" s="126" t="n">
        <f aca="false">IF(COUNT(D3,F3,H3,J3,L3)=0,"",(D3*0.2+F3*0.15+H3*0.15+J3*0.1+L3*0.1)/(IF(D3&lt;&gt;"",0.2,0)+IF(F3&lt;&gt;"",0.15,0)+IF(H3&lt;&gt;"",0.15,0)+IF(J3&lt;&gt;"",0.1,0)+IF(L3&lt;&gt;"",0.1,0)))</f>
        <v>3.35714285714286</v>
      </c>
      <c r="O3" s="127" t="n">
        <f aca="false">IF(COUNT(D3,F3,H3,J3,L3)=0,"",D3*0.2+F3*0.15+H3*0.15+J3*0.1+L3*0.1)</f>
        <v>2.35</v>
      </c>
      <c r="P3" s="125" t="n">
        <v>4</v>
      </c>
      <c r="Q3" s="125" t="s">
        <v>347</v>
      </c>
      <c r="R3" s="125" t="n">
        <v>5</v>
      </c>
      <c r="S3" s="125" t="s">
        <v>347</v>
      </c>
      <c r="T3" s="125" t="n">
        <v>5</v>
      </c>
      <c r="U3" s="125" t="s">
        <v>348</v>
      </c>
      <c r="V3" s="125" t="n">
        <v>1</v>
      </c>
      <c r="W3" s="125" t="s">
        <v>348</v>
      </c>
      <c r="X3" s="127" t="n">
        <f aca="false">IF(COUNT(P3,R3,T3,V3)=0,"",P3*0.08+R3*0.06+T3*0.03+V3*0.08)</f>
        <v>0.85</v>
      </c>
      <c r="Y3" s="125" t="n">
        <v>5</v>
      </c>
      <c r="Z3" s="125" t="s">
        <v>348</v>
      </c>
      <c r="AA3" s="125" t="n">
        <v>3</v>
      </c>
      <c r="AB3" s="125" t="s">
        <v>347</v>
      </c>
      <c r="AC3" s="125" t="n">
        <v>3</v>
      </c>
      <c r="AD3" s="125" t="s">
        <v>349</v>
      </c>
      <c r="AE3" s="127" t="n">
        <f aca="false">IF(COUNT(Y3,AA3,AC3)=0,"",Y3*0.02+AA3*0.02+AC3*0.01)</f>
        <v>0.19</v>
      </c>
      <c r="AF3" s="98" t="n">
        <f aca="false">IF(OR(COUNT(D3,F3,H3,J3,L3)&lt;5,COUNT(P3,R3,T3,V3)&lt;4,COUNT(Y3,AA3,AC3)&lt;3),"",(O3+X3+AE3)*20)</f>
        <v>67.8</v>
      </c>
      <c r="AG3" s="94" t="str">
        <f aca="false">IF(AF3="","",IF(AJ3="AVOID","AVOID",IF(AF3&gt;=80,IF(AH3="FAIL","WATCH LIST",IF(AK3="CAP AT BUY","BUY","STRONG BUY")),IF(AF3&gt;=65,IF(AH3="FAIL","WATCH LIST","BUY"),IF(AF3&gt;=50,"WATCH LIST",IF(AF3&gt;=35,"AVOID","PASS"))))))</f>
        <v>BUY</v>
      </c>
      <c r="AH3" s="94" t="str">
        <f aca="false">IF(N3="","",IF(N3&lt;3,"FAIL","OK"))</f>
        <v>OK</v>
      </c>
      <c r="AI3" s="94" t="str">
        <f aca="false">IF(COUNT(D3:L3)=0,"",IF(COUNTIF(D3:L3,1)&gt;0,"REVIEW","OK"))</f>
        <v>OK</v>
      </c>
      <c r="AJ3" s="94" t="str">
        <f aca="false">IF(COUNT(D3:L3)=0,"",IF(COUNTIF(D3:L3,"&lt;=2")&gt;=2,"AVOID","OK"))</f>
        <v>OK</v>
      </c>
      <c r="AK3" s="94" t="str">
        <f aca="false">IF(COUNTA(E3:M3)=0,"",IF(COUNTIF(E3:M3,"L")&gt;=2,"CAP AT BUY","OK"))</f>
        <v>OK</v>
      </c>
      <c r="AL3" s="128" t="s">
        <v>350</v>
      </c>
      <c r="AM3" s="129" t="s">
        <v>351</v>
      </c>
      <c r="AN3" s="130" t="n">
        <v>17525000000</v>
      </c>
      <c r="AO3" s="131" t="n">
        <v>8539000000</v>
      </c>
      <c r="AP3" s="125" t="str">
        <f aca="false">IF(OR(AN3="",AO3=""),"",IF(AN3&gt;AO3,"OK","LOW CONF"))</f>
        <v>OK</v>
      </c>
      <c r="AQ3" s="132" t="n">
        <v>9.159</v>
      </c>
      <c r="AR3" s="127" t="n">
        <v>115.76</v>
      </c>
      <c r="AS3" s="133" t="str">
        <f aca="false">IF(OR(AQ3="",AR3=""),"",IF(AQ3&lt;AR3,"Decreased",IF(AQ3&gt;AR3,"Increased","Flat")))</f>
        <v>Decreased</v>
      </c>
    </row>
    <row r="4" customFormat="false" ht="15" hidden="false" customHeight="true" outlineLevel="0" collapsed="false">
      <c r="A4" s="63" t="s">
        <v>172</v>
      </c>
      <c r="B4" s="123" t="s">
        <v>173</v>
      </c>
      <c r="C4" s="124" t="n">
        <v>46300</v>
      </c>
      <c r="D4" s="125" t="n">
        <v>3</v>
      </c>
      <c r="E4" s="125" t="s">
        <v>347</v>
      </c>
      <c r="F4" s="125" t="n">
        <v>4</v>
      </c>
      <c r="G4" s="125" t="s">
        <v>347</v>
      </c>
      <c r="H4" s="125" t="n">
        <v>5</v>
      </c>
      <c r="I4" s="125" t="s">
        <v>348</v>
      </c>
      <c r="J4" s="125" t="n">
        <v>4</v>
      </c>
      <c r="K4" s="125" t="s">
        <v>347</v>
      </c>
      <c r="L4" s="125" t="n">
        <v>2</v>
      </c>
      <c r="M4" s="125" t="s">
        <v>347</v>
      </c>
      <c r="N4" s="126" t="n">
        <f aca="false">IF(COUNT(D4,F4,H4,J4,L4)=0,"",(D4*0.2+F4*0.15+H4*0.15+J4*0.1+L4*0.1)/(IF(D4&lt;&gt;"",0.2,0)+IF(F4&lt;&gt;"",0.15,0)+IF(H4&lt;&gt;"",0.15,0)+IF(J4&lt;&gt;"",0.1,0)+IF(L4&lt;&gt;"",0.1,0)))</f>
        <v>3.64285714285714</v>
      </c>
      <c r="O4" s="127" t="n">
        <f aca="false">IF(COUNT(D4,F4,H4,J4,L4)=0,"",D4*0.2+F4*0.15+H4*0.15+J4*0.1+L4*0.1)</f>
        <v>2.55</v>
      </c>
      <c r="P4" s="125" t="n">
        <v>4</v>
      </c>
      <c r="Q4" s="125" t="s">
        <v>348</v>
      </c>
      <c r="R4" s="125" t="n">
        <v>4</v>
      </c>
      <c r="S4" s="125" t="s">
        <v>349</v>
      </c>
      <c r="T4" s="125" t="n">
        <v>4</v>
      </c>
      <c r="U4" s="125" t="s">
        <v>347</v>
      </c>
      <c r="V4" s="125" t="n">
        <v>4</v>
      </c>
      <c r="W4" s="125" t="s">
        <v>347</v>
      </c>
      <c r="X4" s="127" t="n">
        <f aca="false">IF(COUNT(P4,R4,T4,V4)=0,"",P4*0.08+R4*0.06+T4*0.03+V4*0.08)</f>
        <v>1</v>
      </c>
      <c r="Y4" s="125" t="n">
        <v>3</v>
      </c>
      <c r="Z4" s="125" t="s">
        <v>347</v>
      </c>
      <c r="AA4" s="125" t="n">
        <v>5</v>
      </c>
      <c r="AB4" s="125" t="s">
        <v>348</v>
      </c>
      <c r="AC4" s="125" t="n">
        <v>3</v>
      </c>
      <c r="AD4" s="125" t="s">
        <v>347</v>
      </c>
      <c r="AE4" s="127" t="n">
        <f aca="false">IF(COUNT(Y4,AA4,AC4)=0,"",Y4*0.02+AA4*0.02+AC4*0.01)</f>
        <v>0.19</v>
      </c>
      <c r="AF4" s="98" t="n">
        <f aca="false">IF(OR(COUNT(D4,F4,H4,J4,L4)&lt;5,COUNT(P4,R4,T4,V4)&lt;4,COUNT(Y4,AA4,AC4)&lt;3),"",(O4+X4+AE4)*20)</f>
        <v>74.8</v>
      </c>
      <c r="AG4" s="94" t="str">
        <f aca="false">IF(AF4="","",IF(AJ4="AVOID","AVOID",IF(AF4&gt;=80,IF(AH4="FAIL","WATCH LIST",IF(AK4="CAP AT BUY","BUY","STRONG BUY")),IF(AF4&gt;=65,IF(AH4="FAIL","WATCH LIST","BUY"),IF(AF4&gt;=50,"WATCH LIST",IF(AF4&gt;=35,"AVOID","PASS"))))))</f>
        <v>BUY</v>
      </c>
      <c r="AH4" s="94" t="str">
        <f aca="false">IF(N4="","",IF(N4&lt;3,"FAIL","OK"))</f>
        <v>OK</v>
      </c>
      <c r="AI4" s="94" t="str">
        <f aca="false">IF(COUNT(D4:L4)=0,"",IF(COUNTIF(D4:L4,1)&gt;0,"REVIEW","OK"))</f>
        <v>OK</v>
      </c>
      <c r="AJ4" s="94" t="str">
        <f aca="false">IF(COUNT(D4:L4)=0,"",IF(COUNTIF(D4:L4,"&lt;=2")&gt;=2,"AVOID","OK"))</f>
        <v>OK</v>
      </c>
      <c r="AK4" s="94" t="str">
        <f aca="false">IF(COUNTA(E4:M4)=0,"",IF(COUNTIF(E4:M4,"L")&gt;=2,"CAP AT BUY","OK"))</f>
        <v>OK</v>
      </c>
      <c r="AL4" s="128" t="s">
        <v>350</v>
      </c>
      <c r="AM4" s="129" t="s">
        <v>351</v>
      </c>
      <c r="AN4" s="125"/>
      <c r="AO4" s="94"/>
      <c r="AP4" s="125" t="str">
        <f aca="false">IF(OR(AN4="",AO4=""),"",IF(AN4&gt;AO4,"OK","LOW CONF"))</f>
        <v/>
      </c>
      <c r="AQ4" s="125"/>
      <c r="AR4" s="94"/>
      <c r="AS4" s="133" t="str">
        <f aca="false">IF(OR(AQ4="",AR4=""),"",IF(AQ4&lt;AR4,"Decreased",IF(AQ4&gt;AR4,"Increased","Flat")))</f>
        <v/>
      </c>
    </row>
    <row r="5" customFormat="false" ht="15" hidden="false" customHeight="true" outlineLevel="0" collapsed="false">
      <c r="A5" s="63" t="s">
        <v>113</v>
      </c>
      <c r="B5" s="123" t="s">
        <v>114</v>
      </c>
      <c r="C5" s="124" t="n">
        <v>46278</v>
      </c>
      <c r="D5" s="125" t="n">
        <v>3</v>
      </c>
      <c r="E5" s="125" t="s">
        <v>347</v>
      </c>
      <c r="F5" s="125" t="n">
        <v>4</v>
      </c>
      <c r="G5" s="125" t="s">
        <v>347</v>
      </c>
      <c r="H5" s="125" t="n">
        <v>5</v>
      </c>
      <c r="I5" s="125" t="s">
        <v>347</v>
      </c>
      <c r="J5" s="125" t="n">
        <v>4</v>
      </c>
      <c r="K5" s="125" t="s">
        <v>347</v>
      </c>
      <c r="L5" s="125" t="n">
        <v>5</v>
      </c>
      <c r="M5" s="125" t="s">
        <v>347</v>
      </c>
      <c r="N5" s="126" t="n">
        <f aca="false">IF(COUNT(D5,F5,H5,J5,L5)=0,"",(D5*0.2+F5*0.15+H5*0.15+J5*0.1+L5*0.1)/(IF(D5&lt;&gt;"",0.2,0)+IF(F5&lt;&gt;"",0.15,0)+IF(H5&lt;&gt;"",0.15,0)+IF(J5&lt;&gt;"",0.1,0)+IF(L5&lt;&gt;"",0.1,0)))</f>
        <v>4.07142857142857</v>
      </c>
      <c r="O5" s="127" t="n">
        <f aca="false">IF(COUNT(D5,F5,H5,J5,L5)=0,"",D5*0.2+F5*0.15+H5*0.15+J5*0.1+L5*0.1)</f>
        <v>2.85</v>
      </c>
      <c r="P5" s="125" t="n">
        <v>3</v>
      </c>
      <c r="Q5" s="125" t="s">
        <v>347</v>
      </c>
      <c r="R5" s="125" t="n">
        <v>5</v>
      </c>
      <c r="S5" s="125" t="s">
        <v>348</v>
      </c>
      <c r="T5" s="125" t="n">
        <v>3</v>
      </c>
      <c r="U5" s="125" t="s">
        <v>347</v>
      </c>
      <c r="V5" s="125" t="n">
        <v>2</v>
      </c>
      <c r="W5" s="125" t="s">
        <v>347</v>
      </c>
      <c r="X5" s="127" t="n">
        <f aca="false">IF(COUNT(P5,R5,T5,V5)=0,"",P5*0.08+R5*0.06+T5*0.03+V5*0.08)</f>
        <v>0.79</v>
      </c>
      <c r="Y5" s="125" t="n">
        <v>3</v>
      </c>
      <c r="Z5" s="125" t="s">
        <v>349</v>
      </c>
      <c r="AA5" s="125" t="n">
        <v>4</v>
      </c>
      <c r="AB5" s="125" t="s">
        <v>347</v>
      </c>
      <c r="AC5" s="125" t="n">
        <v>3</v>
      </c>
      <c r="AD5" s="125" t="s">
        <v>349</v>
      </c>
      <c r="AE5" s="127" t="n">
        <f aca="false">IF(COUNT(Y5,AA5,AC5)=0,"",Y5*0.02+AA5*0.02+AC5*0.01)</f>
        <v>0.17</v>
      </c>
      <c r="AF5" s="98" t="n">
        <f aca="false">IF(OR(COUNT(D5,F5,H5,J5,L5)&lt;5,COUNT(P5,R5,T5,V5)&lt;4,COUNT(Y5,AA5,AC5)&lt;3),"",(O5+X5+AE5)*20)</f>
        <v>76.2</v>
      </c>
      <c r="AG5" s="94" t="str">
        <f aca="false">IF(AF5="","",IF(AJ5="AVOID","AVOID",IF(AF5&gt;=80,IF(AH5="FAIL","WATCH LIST",IF(AK5="CAP AT BUY","BUY","STRONG BUY")),IF(AF5&gt;=65,IF(AH5="FAIL","WATCH LIST","BUY"),IF(AF5&gt;=50,"WATCH LIST",IF(AF5&gt;=35,"AVOID","PASS"))))))</f>
        <v>BUY</v>
      </c>
      <c r="AH5" s="94" t="str">
        <f aca="false">IF(N5="","",IF(N5&lt;3,"FAIL","OK"))</f>
        <v>OK</v>
      </c>
      <c r="AI5" s="94" t="str">
        <f aca="false">IF(COUNT(D5:L5)=0,"",IF(COUNTIF(D5:L5,1)&gt;0,"REVIEW","OK"))</f>
        <v>OK</v>
      </c>
      <c r="AJ5" s="94" t="str">
        <f aca="false">IF(COUNT(D5:L5)=0,"",IF(COUNTIF(D5:L5,"&lt;=2")&gt;=2,"AVOID","OK"))</f>
        <v>OK</v>
      </c>
      <c r="AK5" s="94" t="str">
        <f aca="false">IF(COUNTA(E5:M5)=0,"",IF(COUNTIF(E5:M5,"L")&gt;=2,"CAP AT BUY","OK"))</f>
        <v>OK</v>
      </c>
      <c r="AL5" s="128" t="s">
        <v>350</v>
      </c>
      <c r="AM5" s="129" t="s">
        <v>352</v>
      </c>
      <c r="AN5" s="125"/>
      <c r="AO5" s="94"/>
      <c r="AP5" s="125" t="str">
        <f aca="false">IF(OR(AN5="",AO5=""),"",IF(AN5&gt;AO5,"OK","LOW CONF"))</f>
        <v/>
      </c>
      <c r="AQ5" s="125"/>
      <c r="AR5" s="94"/>
      <c r="AS5" s="133" t="str">
        <f aca="false">IF(OR(AQ5="",AR5=""),"",IF(AQ5&lt;AR5,"Decreased",IF(AQ5&gt;AR5,"Increased","Flat")))</f>
        <v/>
      </c>
    </row>
    <row r="6" customFormat="false" ht="15" hidden="false" customHeight="true" outlineLevel="0" collapsed="false">
      <c r="A6" s="63" t="s">
        <v>111</v>
      </c>
      <c r="B6" s="123" t="s">
        <v>112</v>
      </c>
      <c r="C6" s="124" t="n">
        <v>46278</v>
      </c>
      <c r="D6" s="125" t="n">
        <v>3</v>
      </c>
      <c r="E6" s="125" t="s">
        <v>347</v>
      </c>
      <c r="F6" s="125" t="n">
        <v>5</v>
      </c>
      <c r="G6" s="125" t="s">
        <v>347</v>
      </c>
      <c r="H6" s="125" t="n">
        <v>5</v>
      </c>
      <c r="I6" s="125" t="s">
        <v>348</v>
      </c>
      <c r="J6" s="125" t="n">
        <v>4</v>
      </c>
      <c r="K6" s="125" t="s">
        <v>348</v>
      </c>
      <c r="L6" s="125" t="n">
        <v>5</v>
      </c>
      <c r="M6" s="125" t="s">
        <v>347</v>
      </c>
      <c r="N6" s="126" t="n">
        <f aca="false">IF(COUNT(D6,F6,H6,J6,L6)=0,"",(D6*0.2+F6*0.15+H6*0.15+J6*0.1+L6*0.1)/(IF(D6&lt;&gt;"",0.2,0)+IF(F6&lt;&gt;"",0.15,0)+IF(H6&lt;&gt;"",0.15,0)+IF(J6&lt;&gt;"",0.1,0)+IF(L6&lt;&gt;"",0.1,0)))</f>
        <v>4.28571428571429</v>
      </c>
      <c r="O6" s="127" t="n">
        <f aca="false">IF(COUNT(D6,F6,H6,J6,L6)=0,"",D6*0.2+F6*0.15+H6*0.15+J6*0.1+L6*0.1)</f>
        <v>3</v>
      </c>
      <c r="P6" s="125" t="n">
        <v>5</v>
      </c>
      <c r="Q6" s="125" t="s">
        <v>348</v>
      </c>
      <c r="R6" s="125" t="n">
        <v>5</v>
      </c>
      <c r="S6" s="125" t="s">
        <v>348</v>
      </c>
      <c r="T6" s="125" t="n">
        <v>5</v>
      </c>
      <c r="U6" s="125" t="s">
        <v>348</v>
      </c>
      <c r="V6" s="125" t="n">
        <v>5</v>
      </c>
      <c r="W6" s="125" t="s">
        <v>347</v>
      </c>
      <c r="X6" s="127" t="n">
        <f aca="false">IF(COUNT(P6,R6,T6,V6)=0,"",P6*0.08+R6*0.06+T6*0.03+V6*0.08)</f>
        <v>1.25</v>
      </c>
      <c r="Y6" s="125" t="n">
        <v>4</v>
      </c>
      <c r="Z6" s="125" t="s">
        <v>347</v>
      </c>
      <c r="AA6" s="125" t="n">
        <v>5</v>
      </c>
      <c r="AB6" s="125" t="s">
        <v>347</v>
      </c>
      <c r="AC6" s="125" t="n">
        <v>3</v>
      </c>
      <c r="AD6" s="125" t="s">
        <v>349</v>
      </c>
      <c r="AE6" s="127" t="n">
        <f aca="false">IF(COUNT(Y6,AA6,AC6)=0,"",Y6*0.02+AA6*0.02+AC6*0.01)</f>
        <v>0.21</v>
      </c>
      <c r="AF6" s="98" t="n">
        <f aca="false">IF(OR(COUNT(D6,F6,H6,J6,L6)&lt;5,COUNT(P6,R6,T6,V6)&lt;4,COUNT(Y6,AA6,AC6)&lt;3),"",(O6+X6+AE6)*20)</f>
        <v>89.2</v>
      </c>
      <c r="AG6" s="94" t="str">
        <f aca="false">IF(AF6="","",IF(AJ6="AVOID","AVOID",IF(AF6&gt;=80,IF(AH6="FAIL","WATCH LIST",IF(AK6="CAP AT BUY","BUY","STRONG BUY")),IF(AF6&gt;=65,IF(AH6="FAIL","WATCH LIST","BUY"),IF(AF6&gt;=50,"WATCH LIST",IF(AF6&gt;=35,"AVOID","PASS"))))))</f>
        <v>STRONG BUY</v>
      </c>
      <c r="AH6" s="94" t="str">
        <f aca="false">IF(N6="","",IF(N6&lt;3,"FAIL","OK"))</f>
        <v>OK</v>
      </c>
      <c r="AI6" s="94" t="str">
        <f aca="false">IF(COUNT(D6:L6)=0,"",IF(COUNTIF(D6:L6,1)&gt;0,"REVIEW","OK"))</f>
        <v>OK</v>
      </c>
      <c r="AJ6" s="94" t="str">
        <f aca="false">IF(COUNT(D6:L6)=0,"",IF(COUNTIF(D6:L6,"&lt;=2")&gt;=2,"AVOID","OK"))</f>
        <v>OK</v>
      </c>
      <c r="AK6" s="94" t="str">
        <f aca="false">IF(COUNTA(E6:M6)=0,"",IF(COUNTIF(E6:M6,"L")&gt;=2,"CAP AT BUY","OK"))</f>
        <v>OK</v>
      </c>
      <c r="AL6" s="128" t="s">
        <v>350</v>
      </c>
      <c r="AM6" s="129" t="s">
        <v>351</v>
      </c>
      <c r="AN6" s="125"/>
      <c r="AO6" s="94"/>
      <c r="AP6" s="125" t="str">
        <f aca="false">IF(OR(AN6="",AO6=""),"",IF(AN6&gt;AO6,"OK","LOW CONF"))</f>
        <v/>
      </c>
      <c r="AQ6" s="125"/>
      <c r="AR6" s="94"/>
      <c r="AS6" s="133" t="str">
        <f aca="false">IF(OR(AQ6="",AR6=""),"",IF(AQ6&lt;AR6,"Decreased",IF(AQ6&gt;AR6,"Increased","Flat")))</f>
        <v/>
      </c>
    </row>
    <row r="7" customFormat="false" ht="15" hidden="false" customHeight="true" outlineLevel="0" collapsed="false">
      <c r="A7" s="63" t="s">
        <v>174</v>
      </c>
      <c r="B7" s="123" t="s">
        <v>175</v>
      </c>
      <c r="C7" s="124" t="n">
        <v>46300</v>
      </c>
      <c r="D7" s="125" t="n">
        <v>3</v>
      </c>
      <c r="E7" s="125" t="s">
        <v>347</v>
      </c>
      <c r="F7" s="125" t="n">
        <v>4</v>
      </c>
      <c r="G7" s="125" t="s">
        <v>347</v>
      </c>
      <c r="H7" s="125" t="n">
        <v>4</v>
      </c>
      <c r="I7" s="125" t="s">
        <v>347</v>
      </c>
      <c r="J7" s="125" t="n">
        <v>4</v>
      </c>
      <c r="K7" s="125" t="s">
        <v>347</v>
      </c>
      <c r="L7" s="125" t="n">
        <v>2</v>
      </c>
      <c r="M7" s="125" t="s">
        <v>347</v>
      </c>
      <c r="N7" s="126" t="n">
        <f aca="false">IF(COUNT(D7,F7,H7,J7,L7)=0,"",(D7*0.2+F7*0.15+H7*0.15+J7*0.1+L7*0.1)/(IF(D7&lt;&gt;"",0.2,0)+IF(F7&lt;&gt;"",0.15,0)+IF(H7&lt;&gt;"",0.15,0)+IF(J7&lt;&gt;"",0.1,0)+IF(L7&lt;&gt;"",0.1,0)))</f>
        <v>3.42857142857143</v>
      </c>
      <c r="O7" s="127" t="n">
        <f aca="false">IF(COUNT(D7,F7,H7,J7,L7)=0,"",D7*0.2+F7*0.15+H7*0.15+J7*0.1+L7*0.1)</f>
        <v>2.4</v>
      </c>
      <c r="P7" s="125" t="n">
        <v>3</v>
      </c>
      <c r="Q7" s="125" t="s">
        <v>347</v>
      </c>
      <c r="R7" s="125" t="n">
        <v>4</v>
      </c>
      <c r="S7" s="125" t="s">
        <v>347</v>
      </c>
      <c r="T7" s="125" t="n">
        <v>4</v>
      </c>
      <c r="U7" s="125" t="s">
        <v>347</v>
      </c>
      <c r="V7" s="125" t="n">
        <v>4</v>
      </c>
      <c r="W7" s="125" t="s">
        <v>347</v>
      </c>
      <c r="X7" s="127" t="n">
        <f aca="false">IF(COUNT(P7,R7,T7,V7)=0,"",P7*0.08+R7*0.06+T7*0.03+V7*0.08)</f>
        <v>0.92</v>
      </c>
      <c r="Y7" s="125" t="n">
        <v>4</v>
      </c>
      <c r="Z7" s="125" t="s">
        <v>347</v>
      </c>
      <c r="AA7" s="125" t="n">
        <v>5</v>
      </c>
      <c r="AB7" s="125" t="s">
        <v>348</v>
      </c>
      <c r="AC7" s="125" t="n">
        <v>3</v>
      </c>
      <c r="AD7" s="125" t="s">
        <v>349</v>
      </c>
      <c r="AE7" s="127" t="n">
        <f aca="false">IF(COUNT(Y7,AA7,AC7)=0,"",Y7*0.02+AA7*0.02+AC7*0.01)</f>
        <v>0.21</v>
      </c>
      <c r="AF7" s="98" t="n">
        <f aca="false">IF(OR(COUNT(D7,F7,H7,J7,L7)&lt;5,COUNT(P7,R7,T7,V7)&lt;4,COUNT(Y7,AA7,AC7)&lt;3),"",(O7+X7+AE7)*20)</f>
        <v>70.6</v>
      </c>
      <c r="AG7" s="94" t="str">
        <f aca="false">IF(AF7="","",IF(AJ7="AVOID","AVOID",IF(AF7&gt;=80,IF(AH7="FAIL","WATCH LIST",IF(AK7="CAP AT BUY","BUY","STRONG BUY")),IF(AF7&gt;=65,IF(AH7="FAIL","WATCH LIST","BUY"),IF(AF7&gt;=50,"WATCH LIST",IF(AF7&gt;=35,"AVOID","PASS"))))))</f>
        <v>BUY</v>
      </c>
      <c r="AH7" s="94" t="str">
        <f aca="false">IF(N7="","",IF(N7&lt;3,"FAIL","OK"))</f>
        <v>OK</v>
      </c>
      <c r="AI7" s="94" t="str">
        <f aca="false">IF(COUNT(D7:L7)=0,"",IF(COUNTIF(D7:L7,1)&gt;0,"REVIEW","OK"))</f>
        <v>OK</v>
      </c>
      <c r="AJ7" s="94" t="str">
        <f aca="false">IF(COUNT(D7:L7)=0,"",IF(COUNTIF(D7:L7,"&lt;=2")&gt;=2,"AVOID","OK"))</f>
        <v>OK</v>
      </c>
      <c r="AK7" s="94" t="str">
        <f aca="false">IF(COUNTA(E7:M7)=0,"",IF(COUNTIF(E7:M7,"L")&gt;=2,"CAP AT BUY","OK"))</f>
        <v>OK</v>
      </c>
      <c r="AL7" s="128" t="s">
        <v>353</v>
      </c>
      <c r="AM7" s="129" t="s">
        <v>354</v>
      </c>
      <c r="AN7" s="130" t="n">
        <v>3631400000</v>
      </c>
      <c r="AO7" s="131" t="n">
        <v>3953200000</v>
      </c>
      <c r="AP7" s="125" t="str">
        <f aca="false">IF(OR(AN7="",AO7=""),"",IF(AN7&gt;AO7,"OK","LOW CONF"))</f>
        <v>LOW CONF</v>
      </c>
      <c r="AQ7" s="132" t="n">
        <v>0.636</v>
      </c>
      <c r="AR7" s="127" t="n">
        <v>-1.784</v>
      </c>
      <c r="AS7" s="133" t="str">
        <f aca="false">IF(OR(AQ7="",AR7=""),"",IF(AQ7&lt;AR7,"Decreased",IF(AQ7&gt;AR7,"Increased","Flat")))</f>
        <v>Increased</v>
      </c>
    </row>
    <row r="8" customFormat="false" ht="15" hidden="false" customHeight="true" outlineLevel="0" collapsed="false">
      <c r="A8" s="63" t="s">
        <v>177</v>
      </c>
      <c r="B8" s="123" t="s">
        <v>355</v>
      </c>
      <c r="C8" s="124" t="n">
        <v>46295</v>
      </c>
      <c r="D8" s="125" t="n">
        <v>4</v>
      </c>
      <c r="E8" s="125" t="s">
        <v>347</v>
      </c>
      <c r="F8" s="125" t="n">
        <v>2</v>
      </c>
      <c r="G8" s="125" t="s">
        <v>349</v>
      </c>
      <c r="H8" s="125" t="n">
        <v>5</v>
      </c>
      <c r="I8" s="125" t="s">
        <v>348</v>
      </c>
      <c r="J8" s="125" t="n">
        <v>4</v>
      </c>
      <c r="K8" s="125" t="s">
        <v>347</v>
      </c>
      <c r="L8" s="125" t="n">
        <v>5</v>
      </c>
      <c r="M8" s="125" t="s">
        <v>348</v>
      </c>
      <c r="N8" s="126" t="n">
        <f aca="false">IF(COUNT(D8,F8,H8,J8,L8)=0,"",(D8*0.2+F8*0.15+H8*0.15+J8*0.1+L8*0.1)/(IF(D8&lt;&gt;"",0.2,0)+IF(F8&lt;&gt;"",0.15,0)+IF(H8&lt;&gt;"",0.15,0)+IF(J8&lt;&gt;"",0.1,0)+IF(L8&lt;&gt;"",0.1,0)))</f>
        <v>3.92857142857143</v>
      </c>
      <c r="O8" s="127" t="n">
        <f aca="false">IF(COUNT(D8,F8,H8,J8,L8)=0,"",D8*0.2+F8*0.15+H8*0.15+J8*0.1+L8*0.1)</f>
        <v>2.75</v>
      </c>
      <c r="P8" s="125" t="n">
        <v>5</v>
      </c>
      <c r="Q8" s="125" t="s">
        <v>348</v>
      </c>
      <c r="R8" s="125" t="n">
        <v>3</v>
      </c>
      <c r="S8" s="125" t="s">
        <v>349</v>
      </c>
      <c r="T8" s="125" t="n">
        <v>4</v>
      </c>
      <c r="U8" s="125" t="s">
        <v>349</v>
      </c>
      <c r="V8" s="125" t="n">
        <v>2</v>
      </c>
      <c r="W8" s="125" t="s">
        <v>348</v>
      </c>
      <c r="X8" s="127" t="n">
        <f aca="false">IF(COUNT(P8,R8,T8,V8)=0,"",P8*0.08+R8*0.06+T8*0.03+V8*0.08)</f>
        <v>0.86</v>
      </c>
      <c r="Y8" s="125" t="n">
        <v>4</v>
      </c>
      <c r="Z8" s="125" t="s">
        <v>349</v>
      </c>
      <c r="AA8" s="125" t="n">
        <v>4</v>
      </c>
      <c r="AB8" s="125" t="s">
        <v>347</v>
      </c>
      <c r="AC8" s="125" t="n">
        <v>3</v>
      </c>
      <c r="AD8" s="125" t="s">
        <v>349</v>
      </c>
      <c r="AE8" s="127" t="n">
        <f aca="false">IF(COUNT(Y8,AA8,AC8)=0,"",Y8*0.02+AA8*0.02+AC8*0.01)</f>
        <v>0.19</v>
      </c>
      <c r="AF8" s="98" t="n">
        <f aca="false">IF(OR(COUNT(D8,F8,H8,J8,L8)&lt;5,COUNT(P8,R8,T8,V8)&lt;4,COUNT(Y8,AA8,AC8)&lt;3),"",(O8+X8+AE8)*20)</f>
        <v>76</v>
      </c>
      <c r="AG8" s="94" t="str">
        <f aca="false">IF(AF8="","",IF(AJ8="AVOID","AVOID",IF(AF8&gt;=80,IF(AH8="FAIL","WATCH LIST",IF(AK8="CAP AT BUY","BUY","STRONG BUY")),IF(AF8&gt;=65,IF(AH8="FAIL","WATCH LIST","BUY"),IF(AF8&gt;=50,"WATCH LIST",IF(AF8&gt;=35,"AVOID","PASS"))))))</f>
        <v>BUY</v>
      </c>
      <c r="AH8" s="94" t="str">
        <f aca="false">IF(N8="","",IF(N8&lt;3,"FAIL","OK"))</f>
        <v>OK</v>
      </c>
      <c r="AI8" s="94" t="str">
        <f aca="false">IF(COUNT(D8:L8)=0,"",IF(COUNTIF(D8:L8,1)&gt;0,"REVIEW","OK"))</f>
        <v>OK</v>
      </c>
      <c r="AJ8" s="94" t="str">
        <f aca="false">IF(COUNT(D8:L8)=0,"",IF(COUNTIF(D8:L8,"&lt;=2")&gt;=2,"AVOID","OK"))</f>
        <v>OK</v>
      </c>
      <c r="AK8" s="94" t="str">
        <f aca="false">IF(COUNTA(E8:M8)=0,"",IF(COUNTIF(E8:M8,"L")&gt;=2,"CAP AT BUY","OK"))</f>
        <v>OK</v>
      </c>
      <c r="AL8" s="128" t="s">
        <v>356</v>
      </c>
      <c r="AM8" s="129" t="s">
        <v>357</v>
      </c>
      <c r="AN8" s="125"/>
      <c r="AO8" s="94"/>
      <c r="AP8" s="125" t="str">
        <f aca="false">IF(OR(AN8="",AO8=""),"",IF(AN8&gt;AO8,"OK","LOW CONF"))</f>
        <v/>
      </c>
      <c r="AQ8" s="125"/>
      <c r="AR8" s="94"/>
      <c r="AS8" s="133" t="str">
        <f aca="false">IF(OR(AQ8="",AR8=""),"",IF(AQ8&lt;AR8,"Decreased",IF(AQ8&gt;AR8,"Increased","Flat")))</f>
        <v/>
      </c>
    </row>
    <row r="9" customFormat="false" ht="15" hidden="true" customHeight="true" outlineLevel="1" collapsed="false">
      <c r="A9" s="63" t="s">
        <v>180</v>
      </c>
      <c r="B9" s="123" t="s">
        <v>181</v>
      </c>
      <c r="C9" s="124" t="n">
        <v>46240</v>
      </c>
      <c r="D9" s="125" t="n">
        <v>2</v>
      </c>
      <c r="E9" s="125" t="s">
        <v>347</v>
      </c>
      <c r="F9" s="125" t="n">
        <v>2</v>
      </c>
      <c r="G9" s="125" t="s">
        <v>347</v>
      </c>
      <c r="H9" s="125" t="n">
        <v>2</v>
      </c>
      <c r="I9" s="125" t="s">
        <v>347</v>
      </c>
      <c r="J9" s="125" t="n">
        <v>2</v>
      </c>
      <c r="K9" s="125" t="s">
        <v>347</v>
      </c>
      <c r="L9" s="125" t="n">
        <v>1</v>
      </c>
      <c r="M9" s="125" t="s">
        <v>348</v>
      </c>
      <c r="N9" s="126" t="n">
        <f aca="false">IF(COUNT(D9,F9,H9,J9,L9)=0,"",(D9*0.2+F9*0.15+H9*0.15+J9*0.1+L9*0.1)/(IF(D9&lt;&gt;"",0.2,0)+IF(F9&lt;&gt;"",0.15,0)+IF(H9&lt;&gt;"",0.15,0)+IF(J9&lt;&gt;"",0.1,0)+IF(L9&lt;&gt;"",0.1,0)))</f>
        <v>1.85714285714286</v>
      </c>
      <c r="O9" s="127" t="n">
        <f aca="false">IF(COUNT(D9,F9,H9,J9,L9)=0,"",D9*0.2+F9*0.15+H9*0.15+J9*0.1+L9*0.1)</f>
        <v>1.3</v>
      </c>
      <c r="P9" s="125"/>
      <c r="Q9" s="125"/>
      <c r="R9" s="125"/>
      <c r="S9" s="125"/>
      <c r="T9" s="125"/>
      <c r="U9" s="125"/>
      <c r="V9" s="125"/>
      <c r="W9" s="125"/>
      <c r="X9" s="127" t="str">
        <f aca="false">IF(COUNT(P9,R9,T9,V9)=0,"",P9*0.08+R9*0.06+T9*0.03+V9*0.08)</f>
        <v/>
      </c>
      <c r="Y9" s="125"/>
      <c r="Z9" s="125"/>
      <c r="AA9" s="125"/>
      <c r="AB9" s="125"/>
      <c r="AC9" s="125"/>
      <c r="AD9" s="125"/>
      <c r="AE9" s="127" t="str">
        <f aca="false">IF(COUNT(Y9,AA9,AC9)=0,"",Y9*0.02+AA9*0.02+AC9*0.01)</f>
        <v/>
      </c>
      <c r="AF9" s="98" t="str">
        <f aca="false">IF(OR(COUNT(D9,F9,H9,J9,L9)&lt;5,COUNT(P9,R9,T9,V9)&lt;4,COUNT(Y9,AA9,AC9)&lt;3),"",(O9+X9+AE9)*20)</f>
        <v/>
      </c>
      <c r="AG9" s="94" t="str">
        <f aca="false">IF(AF9="","",IF(AJ9="AVOID","AVOID",IF(AF9&gt;=80,IF(AH9="FAIL","WATCH LIST",IF(AK9="CAP AT BUY","BUY","STRONG BUY")),IF(AF9&gt;=65,IF(AH9="FAIL","WATCH LIST","BUY"),IF(AF9&gt;=50,"WATCH LIST",IF(AF9&gt;=35,"AVOID","PASS"))))))</f>
        <v/>
      </c>
      <c r="AH9" s="94" t="str">
        <f aca="false">IF(N9="","",IF(N9&lt;3,"FAIL","OK"))</f>
        <v>FAIL</v>
      </c>
      <c r="AI9" s="94" t="str">
        <f aca="false">IF(COUNT(D9:L9)=0,"",IF(COUNTIF(D9:L9,1)&gt;0,"REVIEW","OK"))</f>
        <v>REVIEW</v>
      </c>
      <c r="AJ9" s="94" t="str">
        <f aca="false">IF(COUNT(D9:L9)=0,"",IF(COUNTIF(D9:L9,"&lt;=2")&gt;=2,"AVOID","OK"))</f>
        <v>AVOID</v>
      </c>
      <c r="AK9" s="94" t="str">
        <f aca="false">IF(COUNTA(E9:M9)=0,"",IF(COUNTIF(E9:M9,"L")&gt;=2,"CAP AT BUY","OK"))</f>
        <v>OK</v>
      </c>
      <c r="AL9" s="128" t="s">
        <v>358</v>
      </c>
      <c r="AM9" s="129" t="s">
        <v>359</v>
      </c>
      <c r="AN9" s="130" t="n">
        <v>715998000</v>
      </c>
      <c r="AO9" s="131" t="n">
        <v>523670000</v>
      </c>
      <c r="AP9" s="125" t="str">
        <f aca="false">IF(OR(AN9="",AO9=""),"",IF(AN9&gt;AO9,"OK","LOW CONF"))</f>
        <v>OK</v>
      </c>
      <c r="AQ9" s="132" t="n">
        <v>4.155</v>
      </c>
      <c r="AR9" s="127" t="n">
        <v>4.048</v>
      </c>
      <c r="AS9" s="133" t="str">
        <f aca="false">IF(OR(AQ9="",AR9=""),"",IF(AQ9&lt;AR9,"Decreased",IF(AQ9&gt;AR9,"Increased","Flat")))</f>
        <v>Increased</v>
      </c>
    </row>
    <row r="10" customFormat="false" ht="15" hidden="true" customHeight="true" outlineLevel="1" collapsed="false">
      <c r="A10" s="63" t="s">
        <v>192</v>
      </c>
      <c r="B10" s="123" t="s">
        <v>193</v>
      </c>
      <c r="C10" s="124" t="n">
        <v>46240</v>
      </c>
      <c r="D10" s="125" t="n">
        <v>2</v>
      </c>
      <c r="E10" s="125" t="s">
        <v>347</v>
      </c>
      <c r="F10" s="125" t="n">
        <v>4</v>
      </c>
      <c r="G10" s="125" t="s">
        <v>348</v>
      </c>
      <c r="H10" s="125" t="n">
        <v>3</v>
      </c>
      <c r="I10" s="125" t="s">
        <v>347</v>
      </c>
      <c r="J10" s="125" t="n">
        <v>2</v>
      </c>
      <c r="K10" s="125" t="s">
        <v>347</v>
      </c>
      <c r="L10" s="125" t="n">
        <v>2</v>
      </c>
      <c r="M10" s="125" t="s">
        <v>348</v>
      </c>
      <c r="N10" s="126" t="n">
        <f aca="false">IF(COUNT(D10,F10,H10,J10,L10)=0,"",(D10*0.2+F10*0.15+H10*0.15+J10*0.1+L10*0.1)/(IF(D10&lt;&gt;"",0.2,0)+IF(F10&lt;&gt;"",0.15,0)+IF(H10&lt;&gt;"",0.15,0)+IF(J10&lt;&gt;"",0.1,0)+IF(L10&lt;&gt;"",0.1,0)))</f>
        <v>2.64285714285714</v>
      </c>
      <c r="O10" s="127" t="n">
        <f aca="false">IF(COUNT(D10,F10,H10,J10,L10)=0,"",D10*0.2+F10*0.15+H10*0.15+J10*0.1+L10*0.1)</f>
        <v>1.85</v>
      </c>
      <c r="P10" s="125"/>
      <c r="Q10" s="125"/>
      <c r="R10" s="125"/>
      <c r="S10" s="125"/>
      <c r="T10" s="125"/>
      <c r="U10" s="125"/>
      <c r="V10" s="125"/>
      <c r="W10" s="125"/>
      <c r="X10" s="127" t="str">
        <f aca="false">IF(COUNT(P10,R10,T10,V10)=0,"",P10*0.08+R10*0.06+T10*0.03+V10*0.08)</f>
        <v/>
      </c>
      <c r="Y10" s="125"/>
      <c r="Z10" s="125"/>
      <c r="AA10" s="125"/>
      <c r="AB10" s="125"/>
      <c r="AC10" s="125"/>
      <c r="AD10" s="125"/>
      <c r="AE10" s="127" t="str">
        <f aca="false">IF(COUNT(Y10,AA10,AC10)=0,"",Y10*0.02+AA10*0.02+AC10*0.01)</f>
        <v/>
      </c>
      <c r="AF10" s="98" t="str">
        <f aca="false">IF(OR(COUNT(D10,F10,H10,J10,L10)&lt;5,COUNT(P10,R10,T10,V10)&lt;4,COUNT(Y10,AA10,AC10)&lt;3),"",(O10+X10+AE10)*20)</f>
        <v/>
      </c>
      <c r="AG10" s="94" t="str">
        <f aca="false">IF(AF10="","",IF(AJ10="AVOID","AVOID",IF(AF10&gt;=80,IF(AH10="FAIL","WATCH LIST",IF(AK10="CAP AT BUY","BUY","STRONG BUY")),IF(AF10&gt;=65,IF(AH10="FAIL","WATCH LIST","BUY"),IF(AF10&gt;=50,"WATCH LIST",IF(AF10&gt;=35,"AVOID","PASS"))))))</f>
        <v/>
      </c>
      <c r="AH10" s="94" t="str">
        <f aca="false">IF(N10="","",IF(N10&lt;3,"FAIL","OK"))</f>
        <v>FAIL</v>
      </c>
      <c r="AI10" s="94" t="str">
        <f aca="false">IF(COUNT(D10:L10)=0,"",IF(COUNTIF(D10:L10,1)&gt;0,"REVIEW","OK"))</f>
        <v>OK</v>
      </c>
      <c r="AJ10" s="94" t="str">
        <f aca="false">IF(COUNT(D10:L10)=0,"",IF(COUNTIF(D10:L10,"&lt;=2")&gt;=2,"AVOID","OK"))</f>
        <v>AVOID</v>
      </c>
      <c r="AK10" s="94" t="str">
        <f aca="false">IF(COUNTA(E10:M10)=0,"",IF(COUNTIF(E10:M10,"L")&gt;=2,"CAP AT BUY","OK"))</f>
        <v>OK</v>
      </c>
      <c r="AL10" s="128" t="s">
        <v>360</v>
      </c>
      <c r="AM10" s="129" t="s">
        <v>361</v>
      </c>
      <c r="AN10" s="130" t="n">
        <v>359500000</v>
      </c>
      <c r="AO10" s="131" t="n">
        <v>203700000</v>
      </c>
      <c r="AP10" s="125" t="str">
        <f aca="false">IF(OR(AN10="",AO10=""),"",IF(AN10&gt;AO10,"OK","LOW CONF"))</f>
        <v>OK</v>
      </c>
      <c r="AQ10" s="132" t="n">
        <v>1.857</v>
      </c>
      <c r="AR10" s="127" t="n">
        <v>0.78</v>
      </c>
      <c r="AS10" s="133" t="str">
        <f aca="false">IF(OR(AQ10="",AR10=""),"",IF(AQ10&lt;AR10,"Decreased",IF(AQ10&gt;AR10,"Increased","Flat")))</f>
        <v>Increased</v>
      </c>
    </row>
    <row r="11" customFormat="false" ht="15" hidden="true" customHeight="true" outlineLevel="1" collapsed="false">
      <c r="A11" s="63" t="s">
        <v>183</v>
      </c>
      <c r="B11" s="123" t="s">
        <v>184</v>
      </c>
      <c r="C11" s="124" t="n">
        <v>46240</v>
      </c>
      <c r="D11" s="125" t="n">
        <v>1</v>
      </c>
      <c r="E11" s="125" t="s">
        <v>348</v>
      </c>
      <c r="F11" s="125" t="n">
        <v>2</v>
      </c>
      <c r="G11" s="125" t="s">
        <v>347</v>
      </c>
      <c r="H11" s="125" t="n">
        <v>3</v>
      </c>
      <c r="I11" s="125" t="s">
        <v>347</v>
      </c>
      <c r="J11" s="125" t="n">
        <v>3</v>
      </c>
      <c r="K11" s="125" t="s">
        <v>347</v>
      </c>
      <c r="L11" s="125" t="n">
        <v>1</v>
      </c>
      <c r="M11" s="125" t="s">
        <v>348</v>
      </c>
      <c r="N11" s="126" t="n">
        <f aca="false">IF(COUNT(D11,F11,H11,J11,L11)=0,"",(D11*0.2+F11*0.15+H11*0.15+J11*0.1+L11*0.1)/(IF(D11&lt;&gt;"",0.2,0)+IF(F11&lt;&gt;"",0.15,0)+IF(H11&lt;&gt;"",0.15,0)+IF(J11&lt;&gt;"",0.1,0)+IF(L11&lt;&gt;"",0.1,0)))</f>
        <v>1.92857142857143</v>
      </c>
      <c r="O11" s="127" t="n">
        <f aca="false">IF(COUNT(D11,F11,H11,J11,L11)=0,"",D11*0.2+F11*0.15+H11*0.15+J11*0.1+L11*0.1)</f>
        <v>1.35</v>
      </c>
      <c r="P11" s="125"/>
      <c r="Q11" s="125"/>
      <c r="R11" s="125"/>
      <c r="S11" s="125"/>
      <c r="T11" s="125"/>
      <c r="U11" s="125"/>
      <c r="V11" s="125"/>
      <c r="W11" s="125"/>
      <c r="X11" s="127" t="str">
        <f aca="false">IF(COUNT(P11,R11,T11,V11)=0,"",P11*0.08+R11*0.06+T11*0.03+V11*0.08)</f>
        <v/>
      </c>
      <c r="Y11" s="125"/>
      <c r="Z11" s="125"/>
      <c r="AA11" s="125"/>
      <c r="AB11" s="125"/>
      <c r="AC11" s="125"/>
      <c r="AD11" s="125"/>
      <c r="AE11" s="127" t="str">
        <f aca="false">IF(COUNT(Y11,AA11,AC11)=0,"",Y11*0.02+AA11*0.02+AC11*0.01)</f>
        <v/>
      </c>
      <c r="AF11" s="98" t="str">
        <f aca="false">IF(OR(COUNT(D11,F11,H11,J11,L11)&lt;5,COUNT(P11,R11,T11,V11)&lt;4,COUNT(Y11,AA11,AC11)&lt;3),"",(O11+X11+AE11)*20)</f>
        <v/>
      </c>
      <c r="AG11" s="94" t="str">
        <f aca="false">IF(AF11="","",IF(AJ11="AVOID","AVOID",IF(AF11&gt;=80,IF(AH11="FAIL","WATCH LIST",IF(AK11="CAP AT BUY","BUY","STRONG BUY")),IF(AF11&gt;=65,IF(AH11="FAIL","WATCH LIST","BUY"),IF(AF11&gt;=50,"WATCH LIST",IF(AF11&gt;=35,"AVOID","PASS"))))))</f>
        <v/>
      </c>
      <c r="AH11" s="94" t="str">
        <f aca="false">IF(N11="","",IF(N11&lt;3,"FAIL","OK"))</f>
        <v>FAIL</v>
      </c>
      <c r="AI11" s="94" t="str">
        <f aca="false">IF(COUNT(D11:L11)=0,"",IF(COUNTIF(D11:L11,1)&gt;0,"REVIEW","OK"))</f>
        <v>REVIEW</v>
      </c>
      <c r="AJ11" s="94" t="str">
        <f aca="false">IF(COUNT(D11:L11)=0,"",IF(COUNTIF(D11:L11,"&lt;=2")&gt;=2,"AVOID","OK"))</f>
        <v>AVOID</v>
      </c>
      <c r="AK11" s="94" t="str">
        <f aca="false">IF(COUNTA(E11:M11)=0,"",IF(COUNTIF(E11:M11,"L")&gt;=2,"CAP AT BUY","OK"))</f>
        <v>OK</v>
      </c>
      <c r="AL11" s="128" t="s">
        <v>360</v>
      </c>
      <c r="AM11" s="129" t="s">
        <v>362</v>
      </c>
      <c r="AN11" s="130" t="n">
        <v>14747000000</v>
      </c>
      <c r="AO11" s="131" t="n">
        <v>3794000000</v>
      </c>
      <c r="AP11" s="125" t="str">
        <f aca="false">IF(OR(AN11="",AO11=""),"",IF(AN11&gt;AO11,"OK","LOW CONF"))</f>
        <v>OK</v>
      </c>
      <c r="AQ11" s="132" t="n">
        <v>2.366</v>
      </c>
      <c r="AR11" s="127" t="n">
        <v>3.804</v>
      </c>
      <c r="AS11" s="133" t="str">
        <f aca="false">IF(OR(AQ11="",AR11=""),"",IF(AQ11&lt;AR11,"Decreased",IF(AQ11&gt;AR11,"Increased","Flat")))</f>
        <v>Decreased</v>
      </c>
    </row>
    <row r="12" customFormat="false" ht="15" hidden="false" customHeight="true" outlineLevel="0" collapsed="false">
      <c r="A12" s="63" t="s">
        <v>96</v>
      </c>
      <c r="B12" s="123" t="s">
        <v>97</v>
      </c>
      <c r="C12" s="124" t="n">
        <v>46295</v>
      </c>
      <c r="D12" s="125" t="n">
        <v>5</v>
      </c>
      <c r="E12" s="125" t="s">
        <v>347</v>
      </c>
      <c r="F12" s="125" t="n">
        <v>4</v>
      </c>
      <c r="G12" s="125" t="s">
        <v>347</v>
      </c>
      <c r="H12" s="125" t="n">
        <v>4</v>
      </c>
      <c r="I12" s="125" t="s">
        <v>347</v>
      </c>
      <c r="J12" s="125" t="n">
        <v>5</v>
      </c>
      <c r="K12" s="125" t="s">
        <v>348</v>
      </c>
      <c r="L12" s="125" t="n">
        <v>5</v>
      </c>
      <c r="M12" s="125" t="s">
        <v>347</v>
      </c>
      <c r="N12" s="126" t="n">
        <f aca="false">IF(COUNT(D12,F12,H12,J12,L12)=0,"",(D12*0.2+F12*0.15+H12*0.15+J12*0.1+L12*0.1)/(IF(D12&lt;&gt;"",0.2,0)+IF(F12&lt;&gt;"",0.15,0)+IF(H12&lt;&gt;"",0.15,0)+IF(J12&lt;&gt;"",0.1,0)+IF(L12&lt;&gt;"",0.1,0)))</f>
        <v>4.57142857142857</v>
      </c>
      <c r="O12" s="127" t="n">
        <f aca="false">IF(COUNT(D12,F12,H12,J12,L12)=0,"",D12*0.2+F12*0.15+H12*0.15+J12*0.1+L12*0.1)</f>
        <v>3.2</v>
      </c>
      <c r="P12" s="125" t="n">
        <v>3</v>
      </c>
      <c r="Q12" s="125" t="s">
        <v>347</v>
      </c>
      <c r="R12" s="125" t="n">
        <v>5</v>
      </c>
      <c r="S12" s="125" t="s">
        <v>348</v>
      </c>
      <c r="T12" s="125" t="n">
        <v>1</v>
      </c>
      <c r="U12" s="125" t="s">
        <v>348</v>
      </c>
      <c r="V12" s="125" t="n">
        <v>5</v>
      </c>
      <c r="W12" s="125" t="s">
        <v>348</v>
      </c>
      <c r="X12" s="127" t="n">
        <f aca="false">IF(COUNT(P12,R12,T12,V12)=0,"",P12*0.08+R12*0.06+T12*0.03+V12*0.08)</f>
        <v>0.97</v>
      </c>
      <c r="Y12" s="125" t="n">
        <v>2</v>
      </c>
      <c r="Z12" s="125" t="s">
        <v>347</v>
      </c>
      <c r="AA12" s="125" t="n">
        <v>3</v>
      </c>
      <c r="AB12" s="125" t="s">
        <v>347</v>
      </c>
      <c r="AC12" s="125" t="n">
        <v>2</v>
      </c>
      <c r="AD12" s="125" t="s">
        <v>349</v>
      </c>
      <c r="AE12" s="127" t="n">
        <f aca="false">IF(COUNT(Y12,AA12,AC12)=0,"",Y12*0.02+AA12*0.02+AC12*0.01)</f>
        <v>0.12</v>
      </c>
      <c r="AF12" s="98" t="n">
        <f aca="false">IF(OR(COUNT(D12,F12,H12,J12,L12)&lt;5,COUNT(P12,R12,T12,V12)&lt;4,COUNT(Y12,AA12,AC12)&lt;3),"",(O12+X12+AE12)*20)</f>
        <v>85.8</v>
      </c>
      <c r="AG12" s="94" t="str">
        <f aca="false">IF(AF12="","",IF(AJ12="AVOID","AVOID",IF(AF12&gt;=80,IF(AH12="FAIL","WATCH LIST",IF(AK12="CAP AT BUY","BUY","STRONG BUY")),IF(AF12&gt;=65,IF(AH12="FAIL","WATCH LIST","BUY"),IF(AF12&gt;=50,"WATCH LIST",IF(AF12&gt;=35,"AVOID","PASS"))))))</f>
        <v>STRONG BUY</v>
      </c>
      <c r="AH12" s="94" t="str">
        <f aca="false">IF(N12="","",IF(N12&lt;3,"FAIL","OK"))</f>
        <v>OK</v>
      </c>
      <c r="AI12" s="94" t="str">
        <f aca="false">IF(COUNT(D12:L12)=0,"",IF(COUNTIF(D12:L12,1)&gt;0,"REVIEW","OK"))</f>
        <v>OK</v>
      </c>
      <c r="AJ12" s="94" t="str">
        <f aca="false">IF(COUNT(D12:L12)=0,"",IF(COUNTIF(D12:L12,"&lt;=2")&gt;=2,"AVOID","OK"))</f>
        <v>OK</v>
      </c>
      <c r="AK12" s="94" t="str">
        <f aca="false">IF(COUNTA(E12:M12)=0,"",IF(COUNTIF(E12:M12,"L")&gt;=2,"CAP AT BUY","OK"))</f>
        <v>OK</v>
      </c>
      <c r="AL12" s="128" t="s">
        <v>350</v>
      </c>
      <c r="AM12" s="129" t="s">
        <v>363</v>
      </c>
      <c r="AN12" s="125"/>
      <c r="AO12" s="94"/>
      <c r="AP12" s="125" t="str">
        <f aca="false">IF(OR(AN12="",AO12=""),"",IF(AN12&gt;AO12,"OK","LOW CONF"))</f>
        <v/>
      </c>
      <c r="AQ12" s="125"/>
      <c r="AR12" s="94"/>
      <c r="AS12" s="133" t="str">
        <f aca="false">IF(OR(AQ12="",AR12=""),"",IF(AQ12&lt;AR12,"Decreased",IF(AQ12&gt;AR12,"Increased","Flat")))</f>
        <v/>
      </c>
    </row>
    <row r="13" customFormat="false" ht="15" hidden="false" customHeight="true" outlineLevel="0" collapsed="false">
      <c r="A13" s="63" t="s">
        <v>101</v>
      </c>
      <c r="B13" s="123" t="s">
        <v>102</v>
      </c>
      <c r="C13" s="124" t="n">
        <v>46278</v>
      </c>
      <c r="D13" s="125" t="n">
        <v>3</v>
      </c>
      <c r="E13" s="125" t="s">
        <v>347</v>
      </c>
      <c r="F13" s="125" t="n">
        <v>5</v>
      </c>
      <c r="G13" s="125" t="s">
        <v>347</v>
      </c>
      <c r="H13" s="125" t="n">
        <v>5</v>
      </c>
      <c r="I13" s="125" t="s">
        <v>348</v>
      </c>
      <c r="J13" s="125" t="n">
        <v>4</v>
      </c>
      <c r="K13" s="125" t="s">
        <v>347</v>
      </c>
      <c r="L13" s="125" t="n">
        <v>5</v>
      </c>
      <c r="M13" s="125" t="s">
        <v>347</v>
      </c>
      <c r="N13" s="126" t="n">
        <f aca="false">IF(COUNT(D13,F13,H13,J13,L13)=0,"",(D13*0.2+F13*0.15+H13*0.15+J13*0.1+L13*0.1)/(IF(D13&lt;&gt;"",0.2,0)+IF(F13&lt;&gt;"",0.15,0)+IF(H13&lt;&gt;"",0.15,0)+IF(J13&lt;&gt;"",0.1,0)+IF(L13&lt;&gt;"",0.1,0)))</f>
        <v>4.28571428571429</v>
      </c>
      <c r="O13" s="127" t="n">
        <f aca="false">IF(COUNT(D13,F13,H13,J13,L13)=0,"",D13*0.2+F13*0.15+H13*0.15+J13*0.1+L13*0.1)</f>
        <v>3</v>
      </c>
      <c r="P13" s="125" t="n">
        <v>4</v>
      </c>
      <c r="Q13" s="125" t="s">
        <v>348</v>
      </c>
      <c r="R13" s="125" t="n">
        <v>5</v>
      </c>
      <c r="S13" s="125" t="s">
        <v>348</v>
      </c>
      <c r="T13" s="125" t="n">
        <v>5</v>
      </c>
      <c r="U13" s="125" t="s">
        <v>347</v>
      </c>
      <c r="V13" s="125" t="n">
        <v>1</v>
      </c>
      <c r="W13" s="125" t="s">
        <v>348</v>
      </c>
      <c r="X13" s="127" t="n">
        <f aca="false">IF(COUNT(P13,R13,T13,V13)=0,"",P13*0.08+R13*0.06+T13*0.03+V13*0.08)</f>
        <v>0.85</v>
      </c>
      <c r="Y13" s="125" t="n">
        <v>4</v>
      </c>
      <c r="Z13" s="125" t="s">
        <v>347</v>
      </c>
      <c r="AA13" s="125" t="n">
        <v>5</v>
      </c>
      <c r="AB13" s="125" t="s">
        <v>348</v>
      </c>
      <c r="AC13" s="125" t="n">
        <v>2</v>
      </c>
      <c r="AD13" s="125" t="s">
        <v>347</v>
      </c>
      <c r="AE13" s="127" t="n">
        <f aca="false">IF(COUNT(Y13,AA13,AC13)=0,"",Y13*0.02+AA13*0.02+AC13*0.01)</f>
        <v>0.2</v>
      </c>
      <c r="AF13" s="98" t="n">
        <f aca="false">IF(OR(COUNT(D13,F13,H13,J13,L13)&lt;5,COUNT(P13,R13,T13,V13)&lt;4,COUNT(Y13,AA13,AC13)&lt;3),"",(O13+X13+AE13)*20)</f>
        <v>81</v>
      </c>
      <c r="AG13" s="94" t="str">
        <f aca="false">IF(AF13="","",IF(AJ13="AVOID","AVOID",IF(AF13&gt;=80,IF(AH13="FAIL","WATCH LIST",IF(AK13="CAP AT BUY","BUY","STRONG BUY")),IF(AF13&gt;=65,IF(AH13="FAIL","WATCH LIST","BUY"),IF(AF13&gt;=50,"WATCH LIST",IF(AF13&gt;=35,"AVOID","PASS"))))))</f>
        <v>STRONG BUY</v>
      </c>
      <c r="AH13" s="94" t="str">
        <f aca="false">IF(N13="","",IF(N13&lt;3,"FAIL","OK"))</f>
        <v>OK</v>
      </c>
      <c r="AI13" s="94" t="str">
        <f aca="false">IF(COUNT(D13:L13)=0,"",IF(COUNTIF(D13:L13,1)&gt;0,"REVIEW","OK"))</f>
        <v>OK</v>
      </c>
      <c r="AJ13" s="94" t="str">
        <f aca="false">IF(COUNT(D13:L13)=0,"",IF(COUNTIF(D13:L13,"&lt;=2")&gt;=2,"AVOID","OK"))</f>
        <v>OK</v>
      </c>
      <c r="AK13" s="94" t="str">
        <f aca="false">IF(COUNTA(E13:M13)=0,"",IF(COUNTIF(E13:M13,"L")&gt;=2,"CAP AT BUY","OK"))</f>
        <v>OK</v>
      </c>
      <c r="AL13" s="128" t="s">
        <v>350</v>
      </c>
      <c r="AM13" s="129" t="s">
        <v>364</v>
      </c>
      <c r="AN13" s="125"/>
      <c r="AO13" s="94"/>
      <c r="AP13" s="125" t="str">
        <f aca="false">IF(OR(AN13="",AO13=""),"",IF(AN13&gt;AO13,"OK","LOW CONF"))</f>
        <v/>
      </c>
      <c r="AQ13" s="125"/>
      <c r="AR13" s="94"/>
      <c r="AS13" s="133" t="str">
        <f aca="false">IF(OR(AQ13="",AR13=""),"",IF(AQ13&lt;AR13,"Decreased",IF(AQ13&gt;AR13,"Increased","Flat")))</f>
        <v/>
      </c>
    </row>
    <row r="14" customFormat="false" ht="15" hidden="false" customHeight="true" outlineLevel="0" collapsed="false">
      <c r="A14" s="63" t="s">
        <v>103</v>
      </c>
      <c r="B14" s="123" t="s">
        <v>104</v>
      </c>
      <c r="C14" s="124" t="n">
        <v>46278</v>
      </c>
      <c r="D14" s="125" t="n">
        <v>3</v>
      </c>
      <c r="E14" s="125" t="s">
        <v>347</v>
      </c>
      <c r="F14" s="125" t="n">
        <v>3</v>
      </c>
      <c r="G14" s="125" t="s">
        <v>347</v>
      </c>
      <c r="H14" s="125" t="n">
        <v>5</v>
      </c>
      <c r="I14" s="125" t="s">
        <v>348</v>
      </c>
      <c r="J14" s="125" t="n">
        <v>4</v>
      </c>
      <c r="K14" s="125" t="s">
        <v>347</v>
      </c>
      <c r="L14" s="125" t="n">
        <v>5</v>
      </c>
      <c r="M14" s="125" t="s">
        <v>347</v>
      </c>
      <c r="N14" s="126" t="n">
        <f aca="false">IF(COUNT(D14,F14,H14,J14,L14)=0,"",(D14*0.2+F14*0.15+H14*0.15+J14*0.1+L14*0.1)/(IF(D14&lt;&gt;"",0.2,0)+IF(F14&lt;&gt;"",0.15,0)+IF(H14&lt;&gt;"",0.15,0)+IF(J14&lt;&gt;"",0.1,0)+IF(L14&lt;&gt;"",0.1,0)))</f>
        <v>3.85714285714286</v>
      </c>
      <c r="O14" s="127" t="n">
        <f aca="false">IF(COUNT(D14,F14,H14,J14,L14)=0,"",D14*0.2+F14*0.15+H14*0.15+J14*0.1+L14*0.1)</f>
        <v>2.7</v>
      </c>
      <c r="P14" s="125" t="n">
        <v>4</v>
      </c>
      <c r="Q14" s="125" t="s">
        <v>347</v>
      </c>
      <c r="R14" s="125" t="n">
        <v>5</v>
      </c>
      <c r="S14" s="125" t="s">
        <v>348</v>
      </c>
      <c r="T14" s="125" t="n">
        <v>5</v>
      </c>
      <c r="U14" s="125" t="s">
        <v>348</v>
      </c>
      <c r="V14" s="125" t="n">
        <v>2</v>
      </c>
      <c r="W14" s="125" t="s">
        <v>347</v>
      </c>
      <c r="X14" s="127" t="n">
        <f aca="false">IF(COUNT(P14,R14,T14,V14)=0,"",P14*0.08+R14*0.06+T14*0.03+V14*0.08)</f>
        <v>0.93</v>
      </c>
      <c r="Y14" s="125" t="n">
        <v>5</v>
      </c>
      <c r="Z14" s="125" t="s">
        <v>347</v>
      </c>
      <c r="AA14" s="125" t="n">
        <v>5</v>
      </c>
      <c r="AB14" s="125" t="s">
        <v>348</v>
      </c>
      <c r="AC14" s="125" t="n">
        <v>3</v>
      </c>
      <c r="AD14" s="125" t="s">
        <v>349</v>
      </c>
      <c r="AE14" s="127" t="n">
        <f aca="false">IF(COUNT(Y14,AA14,AC14)=0,"",Y14*0.02+AA14*0.02+AC14*0.01)</f>
        <v>0.23</v>
      </c>
      <c r="AF14" s="98" t="n">
        <f aca="false">IF(OR(COUNT(D14,F14,H14,J14,L14)&lt;5,COUNT(P14,R14,T14,V14)&lt;4,COUNT(Y14,AA14,AC14)&lt;3),"",(O14+X14+AE14)*20)</f>
        <v>77.2</v>
      </c>
      <c r="AG14" s="94" t="str">
        <f aca="false">IF(AF14="","",IF(AJ14="AVOID","AVOID",IF(AF14&gt;=80,IF(AH14="FAIL","WATCH LIST",IF(AK14="CAP AT BUY","BUY","STRONG BUY")),IF(AF14&gt;=65,IF(AH14="FAIL","WATCH LIST","BUY"),IF(AF14&gt;=50,"WATCH LIST",IF(AF14&gt;=35,"AVOID","PASS"))))))</f>
        <v>BUY</v>
      </c>
      <c r="AH14" s="94" t="str">
        <f aca="false">IF(N14="","",IF(N14&lt;3,"FAIL","OK"))</f>
        <v>OK</v>
      </c>
      <c r="AI14" s="94" t="str">
        <f aca="false">IF(COUNT(D14:L14)=0,"",IF(COUNTIF(D14:L14,1)&gt;0,"REVIEW","OK"))</f>
        <v>OK</v>
      </c>
      <c r="AJ14" s="94" t="str">
        <f aca="false">IF(COUNT(D14:L14)=0,"",IF(COUNTIF(D14:L14,"&lt;=2")&gt;=2,"AVOID","OK"))</f>
        <v>OK</v>
      </c>
      <c r="AK14" s="94" t="str">
        <f aca="false">IF(COUNTA(E14:M14)=0,"",IF(COUNTIF(E14:M14,"L")&gt;=2,"CAP AT BUY","OK"))</f>
        <v>OK</v>
      </c>
      <c r="AL14" s="128" t="s">
        <v>350</v>
      </c>
      <c r="AM14" s="129" t="s">
        <v>365</v>
      </c>
      <c r="AN14" s="125"/>
      <c r="AO14" s="94"/>
      <c r="AP14" s="125" t="str">
        <f aca="false">IF(OR(AN14="",AO14=""),"",IF(AN14&gt;AO14,"OK","LOW CONF"))</f>
        <v/>
      </c>
      <c r="AQ14" s="125"/>
      <c r="AR14" s="94"/>
      <c r="AS14" s="133" t="str">
        <f aca="false">IF(OR(AQ14="",AR14=""),"",IF(AQ14&lt;AR14,"Decreased",IF(AQ14&gt;AR14,"Increased","Flat")))</f>
        <v/>
      </c>
    </row>
    <row r="15" customFormat="false" ht="15" hidden="false" customHeight="true" outlineLevel="0" collapsed="false">
      <c r="A15" s="63" t="s">
        <v>105</v>
      </c>
      <c r="B15" s="123" t="s">
        <v>106</v>
      </c>
      <c r="C15" s="124" t="n">
        <v>46278</v>
      </c>
      <c r="D15" s="125" t="n">
        <v>2</v>
      </c>
      <c r="E15" s="125" t="s">
        <v>347</v>
      </c>
      <c r="F15" s="125" t="n">
        <v>5</v>
      </c>
      <c r="G15" s="125" t="s">
        <v>347</v>
      </c>
      <c r="H15" s="125" t="n">
        <v>4</v>
      </c>
      <c r="I15" s="125" t="s">
        <v>347</v>
      </c>
      <c r="J15" s="125" t="n">
        <v>5</v>
      </c>
      <c r="K15" s="125" t="s">
        <v>348</v>
      </c>
      <c r="L15" s="125" t="n">
        <v>2</v>
      </c>
      <c r="M15" s="125" t="s">
        <v>347</v>
      </c>
      <c r="N15" s="126" t="n">
        <f aca="false">IF(COUNT(D15,F15,H15,J15,L15)=0,"",(D15*0.2+F15*0.15+H15*0.15+J15*0.1+L15*0.1)/(IF(D15&lt;&gt;"",0.2,0)+IF(F15&lt;&gt;"",0.15,0)+IF(H15&lt;&gt;"",0.15,0)+IF(J15&lt;&gt;"",0.1,0)+IF(L15&lt;&gt;"",0.1,0)))</f>
        <v>3.5</v>
      </c>
      <c r="O15" s="127" t="n">
        <f aca="false">IF(COUNT(D15,F15,H15,J15,L15)=0,"",D15*0.2+F15*0.15+H15*0.15+J15*0.1+L15*0.1)</f>
        <v>2.45</v>
      </c>
      <c r="P15" s="125" t="n">
        <v>3</v>
      </c>
      <c r="Q15" s="125" t="s">
        <v>347</v>
      </c>
      <c r="R15" s="125" t="n">
        <v>2</v>
      </c>
      <c r="S15" s="125" t="s">
        <v>347</v>
      </c>
      <c r="T15" s="125" t="n">
        <v>4</v>
      </c>
      <c r="U15" s="125" t="s">
        <v>348</v>
      </c>
      <c r="V15" s="125" t="n">
        <v>1</v>
      </c>
      <c r="W15" s="125" t="s">
        <v>348</v>
      </c>
      <c r="X15" s="127" t="n">
        <f aca="false">IF(COUNT(P15,R15,T15,V15)=0,"",P15*0.08+R15*0.06+T15*0.03+V15*0.08)</f>
        <v>0.56</v>
      </c>
      <c r="Y15" s="125" t="n">
        <v>4</v>
      </c>
      <c r="Z15" s="125" t="s">
        <v>347</v>
      </c>
      <c r="AA15" s="125" t="n">
        <v>3</v>
      </c>
      <c r="AB15" s="125" t="s">
        <v>347</v>
      </c>
      <c r="AC15" s="125" t="n">
        <v>2</v>
      </c>
      <c r="AD15" s="125" t="s">
        <v>347</v>
      </c>
      <c r="AE15" s="127" t="n">
        <f aca="false">IF(COUNT(Y15,AA15,AC15)=0,"",Y15*0.02+AA15*0.02+AC15*0.01)</f>
        <v>0.16</v>
      </c>
      <c r="AF15" s="98" t="n">
        <f aca="false">IF(OR(COUNT(D15,F15,H15,J15,L15)&lt;5,COUNT(P15,R15,T15,V15)&lt;4,COUNT(Y15,AA15,AC15)&lt;3),"",(O15+X15+AE15)*20)</f>
        <v>63.4</v>
      </c>
      <c r="AG15" s="94" t="str">
        <f aca="false">IF(AF15="","",IF(AJ15="AVOID","AVOID",IF(AF15&gt;=80,IF(AH15="FAIL","WATCH LIST",IF(AK15="CAP AT BUY","BUY","STRONG BUY")),IF(AF15&gt;=65,IF(AH15="FAIL","WATCH LIST","BUY"),IF(AF15&gt;=50,"WATCH LIST",IF(AF15&gt;=35,"AVOID","PASS"))))))</f>
        <v>AVOID</v>
      </c>
      <c r="AH15" s="94" t="str">
        <f aca="false">IF(N15="","",IF(N15&lt;3,"FAIL","OK"))</f>
        <v>OK</v>
      </c>
      <c r="AI15" s="94" t="str">
        <f aca="false">IF(COUNT(D15:L15)=0,"",IF(COUNTIF(D15:L15,1)&gt;0,"REVIEW","OK"))</f>
        <v>OK</v>
      </c>
      <c r="AJ15" s="94" t="str">
        <f aca="false">IF(COUNT(D15:L15)=0,"",IF(COUNTIF(D15:L15,"&lt;=2")&gt;=2,"AVOID","OK"))</f>
        <v>AVOID</v>
      </c>
      <c r="AK15" s="94" t="str">
        <f aca="false">IF(COUNTA(E15:M15)=0,"",IF(COUNTIF(E15:M15,"L")&gt;=2,"CAP AT BUY","OK"))</f>
        <v>OK</v>
      </c>
      <c r="AL15" s="128" t="s">
        <v>350</v>
      </c>
      <c r="AM15" s="129" t="s">
        <v>352</v>
      </c>
      <c r="AN15" s="125"/>
      <c r="AO15" s="94"/>
      <c r="AP15" s="125" t="str">
        <f aca="false">IF(OR(AN15="",AO15=""),"",IF(AN15&gt;AO15,"OK","LOW CONF"))</f>
        <v/>
      </c>
      <c r="AQ15" s="125"/>
      <c r="AR15" s="94"/>
      <c r="AS15" s="133" t="str">
        <f aca="false">IF(OR(AQ15="",AR15=""),"",IF(AQ15&lt;AR15,"Decreased",IF(AQ15&gt;AR15,"Increased","Flat")))</f>
        <v/>
      </c>
    </row>
    <row r="16" customFormat="false" ht="15" hidden="false" customHeight="true" outlineLevel="0" collapsed="false">
      <c r="A16" s="63" t="s">
        <v>107</v>
      </c>
      <c r="B16" s="123" t="s">
        <v>108</v>
      </c>
      <c r="C16" s="124" t="n">
        <v>46278</v>
      </c>
      <c r="D16" s="125" t="n">
        <v>3</v>
      </c>
      <c r="E16" s="125" t="s">
        <v>347</v>
      </c>
      <c r="F16" s="125" t="n">
        <v>3</v>
      </c>
      <c r="G16" s="125" t="s">
        <v>347</v>
      </c>
      <c r="H16" s="125" t="n">
        <v>5</v>
      </c>
      <c r="I16" s="125" t="s">
        <v>348</v>
      </c>
      <c r="J16" s="125" t="n">
        <v>3</v>
      </c>
      <c r="K16" s="125" t="s">
        <v>347</v>
      </c>
      <c r="L16" s="125" t="n">
        <v>5</v>
      </c>
      <c r="M16" s="125" t="s">
        <v>347</v>
      </c>
      <c r="N16" s="126" t="n">
        <f aca="false">IF(COUNT(D16,F16,H16,J16,L16)=0,"",(D16*0.2+F16*0.15+H16*0.15+J16*0.1+L16*0.1)/(IF(D16&lt;&gt;"",0.2,0)+IF(F16&lt;&gt;"",0.15,0)+IF(H16&lt;&gt;"",0.15,0)+IF(J16&lt;&gt;"",0.1,0)+IF(L16&lt;&gt;"",0.1,0)))</f>
        <v>3.71428571428572</v>
      </c>
      <c r="O16" s="127" t="n">
        <f aca="false">IF(COUNT(D16,F16,H16,J16,L16)=0,"",D16*0.2+F16*0.15+H16*0.15+J16*0.1+L16*0.1)</f>
        <v>2.6</v>
      </c>
      <c r="P16" s="125" t="n">
        <v>4</v>
      </c>
      <c r="Q16" s="125" t="s">
        <v>348</v>
      </c>
      <c r="R16" s="125" t="n">
        <v>5</v>
      </c>
      <c r="S16" s="125" t="s">
        <v>348</v>
      </c>
      <c r="T16" s="125" t="n">
        <v>3</v>
      </c>
      <c r="U16" s="125" t="s">
        <v>347</v>
      </c>
      <c r="V16" s="125" t="n">
        <v>2</v>
      </c>
      <c r="W16" s="125" t="s">
        <v>347</v>
      </c>
      <c r="X16" s="127" t="n">
        <f aca="false">IF(COUNT(P16,R16,T16,V16)=0,"",P16*0.08+R16*0.06+T16*0.03+V16*0.08)</f>
        <v>0.87</v>
      </c>
      <c r="Y16" s="125" t="n">
        <v>2</v>
      </c>
      <c r="Z16" s="125" t="s">
        <v>347</v>
      </c>
      <c r="AA16" s="125" t="n">
        <v>5</v>
      </c>
      <c r="AB16" s="125" t="s">
        <v>348</v>
      </c>
      <c r="AC16" s="125" t="n">
        <v>2</v>
      </c>
      <c r="AD16" s="125" t="s">
        <v>349</v>
      </c>
      <c r="AE16" s="127" t="n">
        <f aca="false">IF(COUNT(Y16,AA16,AC16)=0,"",Y16*0.02+AA16*0.02+AC16*0.01)</f>
        <v>0.16</v>
      </c>
      <c r="AF16" s="98" t="n">
        <f aca="false">IF(OR(COUNT(D16,F16,H16,J16,L16)&lt;5,COUNT(P16,R16,T16,V16)&lt;4,COUNT(Y16,AA16,AC16)&lt;3),"",(O16+X16+AE16)*20)</f>
        <v>72.6</v>
      </c>
      <c r="AG16" s="94" t="str">
        <f aca="false">IF(AF16="","",IF(AJ16="AVOID","AVOID",IF(AF16&gt;=80,IF(AH16="FAIL","WATCH LIST",IF(AK16="CAP AT BUY","BUY","STRONG BUY")),IF(AF16&gt;=65,IF(AH16="FAIL","WATCH LIST","BUY"),IF(AF16&gt;=50,"WATCH LIST",IF(AF16&gt;=35,"AVOID","PASS"))))))</f>
        <v>BUY</v>
      </c>
      <c r="AH16" s="94" t="str">
        <f aca="false">IF(N16="","",IF(N16&lt;3,"FAIL","OK"))</f>
        <v>OK</v>
      </c>
      <c r="AI16" s="94" t="str">
        <f aca="false">IF(COUNT(D16:L16)=0,"",IF(COUNTIF(D16:L16,1)&gt;0,"REVIEW","OK"))</f>
        <v>OK</v>
      </c>
      <c r="AJ16" s="94" t="str">
        <f aca="false">IF(COUNT(D16:L16)=0,"",IF(COUNTIF(D16:L16,"&lt;=2")&gt;=2,"AVOID","OK"))</f>
        <v>OK</v>
      </c>
      <c r="AK16" s="94" t="str">
        <f aca="false">IF(COUNTA(E16:M16)=0,"",IF(COUNTIF(E16:M16,"L")&gt;=2,"CAP AT BUY","OK"))</f>
        <v>OK</v>
      </c>
      <c r="AL16" s="128" t="s">
        <v>350</v>
      </c>
      <c r="AM16" s="129" t="s">
        <v>365</v>
      </c>
      <c r="AN16" s="130" t="n">
        <v>4143079000</v>
      </c>
      <c r="AO16" s="131" t="n">
        <v>4830771000</v>
      </c>
      <c r="AP16" s="125" t="str">
        <f aca="false">IF(OR(AN16="",AO16=""),"",IF(AN16&gt;AO16,"OK","LOW CONF"))</f>
        <v>LOW CONF</v>
      </c>
      <c r="AQ16" s="132" t="n">
        <v>1.633</v>
      </c>
      <c r="AR16" s="127" t="n">
        <v>1.625</v>
      </c>
      <c r="AS16" s="133" t="str">
        <f aca="false">IF(OR(AQ16="",AR16=""),"",IF(AQ16&lt;AR16,"Decreased",IF(AQ16&gt;AR16,"Increased","Flat")))</f>
        <v>Increased</v>
      </c>
    </row>
    <row r="17" customFormat="false" ht="15" hidden="false" customHeight="true" outlineLevel="0" collapsed="false">
      <c r="A17" s="63" t="s">
        <v>115</v>
      </c>
      <c r="B17" s="123" t="s">
        <v>366</v>
      </c>
      <c r="C17" s="124" t="n">
        <v>46278</v>
      </c>
      <c r="D17" s="125" t="n">
        <v>5</v>
      </c>
      <c r="E17" s="125" t="s">
        <v>347</v>
      </c>
      <c r="F17" s="125" t="n">
        <v>2</v>
      </c>
      <c r="G17" s="125" t="s">
        <v>347</v>
      </c>
      <c r="H17" s="125" t="n">
        <v>5</v>
      </c>
      <c r="I17" s="125" t="s">
        <v>348</v>
      </c>
      <c r="J17" s="125" t="n">
        <v>4</v>
      </c>
      <c r="K17" s="125" t="s">
        <v>347</v>
      </c>
      <c r="L17" s="125" t="n">
        <v>5</v>
      </c>
      <c r="M17" s="125" t="s">
        <v>347</v>
      </c>
      <c r="N17" s="126" t="n">
        <f aca="false">IF(COUNT(D17,F17,H17,J17,L17)=0,"",(D17*0.2+F17*0.15+H17*0.15+J17*0.1+L17*0.1)/(IF(D17&lt;&gt;"",0.2,0)+IF(F17&lt;&gt;"",0.15,0)+IF(H17&lt;&gt;"",0.15,0)+IF(J17&lt;&gt;"",0.1,0)+IF(L17&lt;&gt;"",0.1,0)))</f>
        <v>4.21428571428571</v>
      </c>
      <c r="O17" s="127" t="n">
        <f aca="false">IF(COUNT(D17,F17,H17,J17,L17)=0,"",D17*0.2+F17*0.15+H17*0.15+J17*0.1+L17*0.1)</f>
        <v>2.95</v>
      </c>
      <c r="P17" s="125" t="n">
        <v>4</v>
      </c>
      <c r="Q17" s="125" t="s">
        <v>348</v>
      </c>
      <c r="R17" s="125" t="n">
        <v>5</v>
      </c>
      <c r="S17" s="125" t="s">
        <v>348</v>
      </c>
      <c r="T17" s="125" t="n">
        <v>4</v>
      </c>
      <c r="U17" s="125" t="s">
        <v>347</v>
      </c>
      <c r="V17" s="125" t="n">
        <v>4</v>
      </c>
      <c r="W17" s="125" t="s">
        <v>347</v>
      </c>
      <c r="X17" s="127" t="n">
        <f aca="false">IF(COUNT(P17,R17,T17,V17)=0,"",P17*0.08+R17*0.06+T17*0.03+V17*0.08)</f>
        <v>1.06</v>
      </c>
      <c r="Y17" s="125" t="n">
        <v>3</v>
      </c>
      <c r="Z17" s="125" t="s">
        <v>347</v>
      </c>
      <c r="AA17" s="125" t="n">
        <v>5</v>
      </c>
      <c r="AB17" s="125" t="s">
        <v>348</v>
      </c>
      <c r="AC17" s="125" t="n">
        <v>3</v>
      </c>
      <c r="AD17" s="125" t="s">
        <v>349</v>
      </c>
      <c r="AE17" s="127" t="n">
        <f aca="false">IF(COUNT(Y17,AA17,AC17)=0,"",Y17*0.02+AA17*0.02+AC17*0.01)</f>
        <v>0.19</v>
      </c>
      <c r="AF17" s="98" t="n">
        <f aca="false">IF(OR(COUNT(D17,F17,H17,J17,L17)&lt;5,COUNT(P17,R17,T17,V17)&lt;4,COUNT(Y17,AA17,AC17)&lt;3),"",(O17+X17+AE17)*20)</f>
        <v>84</v>
      </c>
      <c r="AG17" s="94" t="str">
        <f aca="false">IF(AF17="","",IF(AJ17="AVOID","AVOID",IF(AF17&gt;=80,IF(AH17="FAIL","WATCH LIST",IF(AK17="CAP AT BUY","BUY","STRONG BUY")),IF(AF17&gt;=65,IF(AH17="FAIL","WATCH LIST","BUY"),IF(AF17&gt;=50,"WATCH LIST",IF(AF17&gt;=35,"AVOID","PASS"))))))</f>
        <v>STRONG BUY</v>
      </c>
      <c r="AH17" s="94" t="str">
        <f aca="false">IF(N17="","",IF(N17&lt;3,"FAIL","OK"))</f>
        <v>OK</v>
      </c>
      <c r="AI17" s="94" t="str">
        <f aca="false">IF(COUNT(D17:L17)=0,"",IF(COUNTIF(D17:L17,1)&gt;0,"REVIEW","OK"))</f>
        <v>OK</v>
      </c>
      <c r="AJ17" s="94" t="str">
        <f aca="false">IF(COUNT(D17:L17)=0,"",IF(COUNTIF(D17:L17,"&lt;=2")&gt;=2,"AVOID","OK"))</f>
        <v>OK</v>
      </c>
      <c r="AK17" s="94" t="str">
        <f aca="false">IF(COUNTA(E17:M17)=0,"",IF(COUNTIF(E17:M17,"L")&gt;=2,"CAP AT BUY","OK"))</f>
        <v>OK</v>
      </c>
      <c r="AL17" s="129" t="s">
        <v>350</v>
      </c>
      <c r="AM17" s="129" t="s">
        <v>351</v>
      </c>
      <c r="AN17" s="125"/>
      <c r="AO17" s="94"/>
      <c r="AP17" s="125" t="str">
        <f aca="false">IF(OR(AN17="",AO17=""),"",IF(AN17&gt;AO17,"OK","LOW CONF"))</f>
        <v/>
      </c>
      <c r="AQ17" s="125"/>
      <c r="AR17" s="94"/>
      <c r="AS17" s="133" t="str">
        <f aca="false">IF(OR(AQ17="",AR17=""),"",IF(AQ17&lt;AR17,"Decreased",IF(AQ17&gt;AR17,"Increased","Flat")))</f>
        <v/>
      </c>
    </row>
    <row r="18" customFormat="false" ht="15" hidden="false" customHeight="true" outlineLevel="0" collapsed="false">
      <c r="A18" s="63" t="s">
        <v>117</v>
      </c>
      <c r="B18" s="123" t="s">
        <v>118</v>
      </c>
      <c r="C18" s="124" t="n">
        <v>46278</v>
      </c>
      <c r="D18" s="125" t="n">
        <v>3</v>
      </c>
      <c r="E18" s="125" t="s">
        <v>347</v>
      </c>
      <c r="F18" s="125" t="n">
        <v>5</v>
      </c>
      <c r="G18" s="125" t="s">
        <v>347</v>
      </c>
      <c r="H18" s="125" t="n">
        <v>4</v>
      </c>
      <c r="I18" s="125" t="s">
        <v>347</v>
      </c>
      <c r="J18" s="125" t="n">
        <v>4</v>
      </c>
      <c r="K18" s="125" t="s">
        <v>347</v>
      </c>
      <c r="L18" s="125" t="n">
        <v>4</v>
      </c>
      <c r="M18" s="125" t="s">
        <v>347</v>
      </c>
      <c r="N18" s="126" t="n">
        <f aca="false">IF(COUNT(D18,F18,H18,J18,L18)=0,"",(D18*0.2+F18*0.15+H18*0.15+J18*0.1+L18*0.1)/(IF(D18&lt;&gt;"",0.2,0)+IF(F18&lt;&gt;"",0.15,0)+IF(H18&lt;&gt;"",0.15,0)+IF(J18&lt;&gt;"",0.1,0)+IF(L18&lt;&gt;"",0.1,0)))</f>
        <v>3.92857142857143</v>
      </c>
      <c r="O18" s="127" t="n">
        <f aca="false">IF(COUNT(D18,F18,H18,J18,L18)=0,"",D18*0.2+F18*0.15+H18*0.15+J18*0.1+L18*0.1)</f>
        <v>2.75</v>
      </c>
      <c r="P18" s="125" t="n">
        <v>4</v>
      </c>
      <c r="Q18" s="125" t="s">
        <v>347</v>
      </c>
      <c r="R18" s="125" t="n">
        <v>5</v>
      </c>
      <c r="S18" s="125" t="s">
        <v>348</v>
      </c>
      <c r="T18" s="125" t="n">
        <v>4</v>
      </c>
      <c r="U18" s="125" t="s">
        <v>347</v>
      </c>
      <c r="V18" s="125" t="n">
        <v>2</v>
      </c>
      <c r="W18" s="125" t="s">
        <v>347</v>
      </c>
      <c r="X18" s="127" t="n">
        <f aca="false">IF(COUNT(P18,R18,T18,V18)=0,"",P18*0.08+R18*0.06+T18*0.03+V18*0.08)</f>
        <v>0.9</v>
      </c>
      <c r="Y18" s="125" t="n">
        <v>4</v>
      </c>
      <c r="Z18" s="125" t="s">
        <v>347</v>
      </c>
      <c r="AA18" s="125" t="n">
        <v>4</v>
      </c>
      <c r="AB18" s="125" t="s">
        <v>347</v>
      </c>
      <c r="AC18" s="125" t="n">
        <v>3</v>
      </c>
      <c r="AD18" s="125" t="s">
        <v>349</v>
      </c>
      <c r="AE18" s="127" t="n">
        <f aca="false">IF(COUNT(Y18,AA18,AC18)=0,"",Y18*0.02+AA18*0.02+AC18*0.01)</f>
        <v>0.19</v>
      </c>
      <c r="AF18" s="98" t="n">
        <f aca="false">IF(OR(COUNT(D18,F18,H18,J18,L18)&lt;5,COUNT(P18,R18,T18,V18)&lt;4,COUNT(Y18,AA18,AC18)&lt;3),"",(O18+X18+AE18)*20)</f>
        <v>76.8</v>
      </c>
      <c r="AG18" s="94" t="str">
        <f aca="false">IF(AF18="","",IF(AJ18="AVOID","AVOID",IF(AF18&gt;=80,IF(AH18="FAIL","WATCH LIST",IF(AK18="CAP AT BUY","BUY","STRONG BUY")),IF(AF18&gt;=65,IF(AH18="FAIL","WATCH LIST","BUY"),IF(AF18&gt;=50,"WATCH LIST",IF(AF18&gt;=35,"AVOID","PASS"))))))</f>
        <v>BUY</v>
      </c>
      <c r="AH18" s="94" t="str">
        <f aca="false">IF(N18="","",IF(N18&lt;3,"FAIL","OK"))</f>
        <v>OK</v>
      </c>
      <c r="AI18" s="94" t="str">
        <f aca="false">IF(COUNT(D18:L18)=0,"",IF(COUNTIF(D18:L18,1)&gt;0,"REVIEW","OK"))</f>
        <v>OK</v>
      </c>
      <c r="AJ18" s="94" t="str">
        <f aca="false">IF(COUNT(D18:L18)=0,"",IF(COUNTIF(D18:L18,"&lt;=2")&gt;=2,"AVOID","OK"))</f>
        <v>OK</v>
      </c>
      <c r="AK18" s="94" t="str">
        <f aca="false">IF(COUNTA(E18:M18)=0,"",IF(COUNTIF(E18:M18,"L")&gt;=2,"CAP AT BUY","OK"))</f>
        <v>OK</v>
      </c>
      <c r="AL18" s="129" t="s">
        <v>367</v>
      </c>
      <c r="AM18" s="129" t="s">
        <v>368</v>
      </c>
      <c r="AN18" s="130" t="n">
        <v>2113800000</v>
      </c>
      <c r="AO18" s="131" t="n">
        <v>1332800000</v>
      </c>
      <c r="AP18" s="125" t="str">
        <f aca="false">IF(OR(AN18="",AO18=""),"",IF(AN18&gt;AO18,"OK","LOW CONF"))</f>
        <v>OK</v>
      </c>
      <c r="AQ18" s="132" t="n">
        <v>1.71</v>
      </c>
      <c r="AR18" s="127" t="n">
        <v>2.771</v>
      </c>
      <c r="AS18" s="133" t="str">
        <f aca="false">IF(OR(AQ18="",AR18=""),"",IF(AQ18&lt;AR18,"Decreased",IF(AQ18&gt;AR18,"Increased","Flat")))</f>
        <v>Decreased</v>
      </c>
    </row>
    <row r="19" customFormat="false" ht="15" hidden="false" customHeight="true" outlineLevel="0" collapsed="false">
      <c r="A19" s="63" t="s">
        <v>244</v>
      </c>
      <c r="B19" s="123" t="s">
        <v>369</v>
      </c>
      <c r="C19" s="124" t="n">
        <v>46245</v>
      </c>
      <c r="D19" s="125" t="n">
        <v>3</v>
      </c>
      <c r="E19" s="125" t="s">
        <v>347</v>
      </c>
      <c r="F19" s="125" t="n">
        <v>5</v>
      </c>
      <c r="G19" s="125" t="s">
        <v>348</v>
      </c>
      <c r="H19" s="125" t="n">
        <v>5</v>
      </c>
      <c r="I19" s="125" t="s">
        <v>348</v>
      </c>
      <c r="J19" s="125" t="n">
        <v>4</v>
      </c>
      <c r="K19" s="125" t="s">
        <v>347</v>
      </c>
      <c r="L19" s="125" t="n">
        <v>4</v>
      </c>
      <c r="M19" s="125" t="s">
        <v>348</v>
      </c>
      <c r="N19" s="126" t="n">
        <f aca="false">IF(COUNT(D19,F19,H19,J19,L19)=0,"",(D19*0.2+F19*0.15+H19*0.15+J19*0.1+L19*0.1)/(IF(D19&lt;&gt;"",0.2,0)+IF(F19&lt;&gt;"",0.15,0)+IF(H19&lt;&gt;"",0.15,0)+IF(J19&lt;&gt;"",0.1,0)+IF(L19&lt;&gt;"",0.1,0)))</f>
        <v>4.14285714285714</v>
      </c>
      <c r="O19" s="127" t="n">
        <f aca="false">IF(COUNT(D19,F19,H19,J19,L19)=0,"",D19*0.2+F19*0.15+H19*0.15+J19*0.1+L19*0.1)</f>
        <v>2.9</v>
      </c>
      <c r="P19" s="125" t="n">
        <v>3</v>
      </c>
      <c r="Q19" s="125" t="s">
        <v>349</v>
      </c>
      <c r="R19" s="125" t="n">
        <v>5</v>
      </c>
      <c r="S19" s="125" t="s">
        <v>348</v>
      </c>
      <c r="T19" s="125" t="n">
        <v>5</v>
      </c>
      <c r="U19" s="125" t="s">
        <v>348</v>
      </c>
      <c r="V19" s="125" t="n">
        <v>1</v>
      </c>
      <c r="W19" s="125" t="s">
        <v>348</v>
      </c>
      <c r="X19" s="127" t="n">
        <f aca="false">IF(COUNT(P19,R19,T19,V19)=0,"",P19*0.08+R19*0.06+T19*0.03+V19*0.08)</f>
        <v>0.77</v>
      </c>
      <c r="Y19" s="125" t="n">
        <v>4</v>
      </c>
      <c r="Z19" s="125" t="s">
        <v>347</v>
      </c>
      <c r="AA19" s="125" t="n">
        <v>4</v>
      </c>
      <c r="AB19" s="125" t="s">
        <v>347</v>
      </c>
      <c r="AC19" s="125" t="n">
        <v>4</v>
      </c>
      <c r="AD19" s="125" t="s">
        <v>347</v>
      </c>
      <c r="AE19" s="127" t="n">
        <f aca="false">IF(COUNT(Y19,AA19,AC19)=0,"",Y19*0.02+AA19*0.02+AC19*0.01)</f>
        <v>0.2</v>
      </c>
      <c r="AF19" s="98" t="n">
        <f aca="false">IF(OR(COUNT(D19,F19,H19,J19,L19)&lt;5,COUNT(P19,R19,T19,V19)&lt;4,COUNT(Y19,AA19,AC19)&lt;3),"",(O19+X19+AE19)*20)</f>
        <v>77.4</v>
      </c>
      <c r="AG19" s="94" t="str">
        <f aca="false">IF(AF19="","",IF(AJ19="AVOID","AVOID",IF(AF19&gt;=80,IF(AH19="FAIL","WATCH LIST",IF(AK19="CAP AT BUY","BUY","STRONG BUY")),IF(AF19&gt;=65,IF(AH19="FAIL","WATCH LIST","BUY"),IF(AF19&gt;=50,"WATCH LIST",IF(AF19&gt;=35,"AVOID","PASS"))))))</f>
        <v>BUY</v>
      </c>
      <c r="AH19" s="94" t="str">
        <f aca="false">IF(N19="","",IF(N19&lt;3,"FAIL","OK"))</f>
        <v>OK</v>
      </c>
      <c r="AI19" s="94" t="str">
        <f aca="false">IF(COUNT(D19:L19)=0,"",IF(COUNTIF(D19:L19,1)&gt;0,"REVIEW","OK"))</f>
        <v>OK</v>
      </c>
      <c r="AJ19" s="94" t="str">
        <f aca="false">IF(COUNT(D19:L19)=0,"",IF(COUNTIF(D19:L19,"&lt;=2")&gt;=2,"AVOID","OK"))</f>
        <v>OK</v>
      </c>
      <c r="AK19" s="94" t="str">
        <f aca="false">IF(COUNTA(E19:M19)=0,"",IF(COUNTIF(E19:M19,"L")&gt;=2,"CAP AT BUY","OK"))</f>
        <v>OK</v>
      </c>
      <c r="AL19" s="129" t="s">
        <v>358</v>
      </c>
      <c r="AM19" s="129" t="s">
        <v>370</v>
      </c>
      <c r="AN19" s="125"/>
      <c r="AO19" s="94"/>
      <c r="AP19" s="125" t="str">
        <f aca="false">IF(OR(AN19="",AO19=""),"",IF(AN19&gt;AO19,"OK","LOW CONF"))</f>
        <v/>
      </c>
      <c r="AQ19" s="125"/>
      <c r="AR19" s="94"/>
      <c r="AS19" s="133" t="str">
        <f aca="false">IF(OR(AQ19="",AR19=""),"",IF(AQ19&lt;AR19,"Decreased",IF(AQ19&gt;AR19,"Increased","Flat")))</f>
        <v/>
      </c>
    </row>
    <row r="20" customFormat="false" ht="15" hidden="false" customHeight="true" outlineLevel="0" collapsed="false">
      <c r="A20" s="63" t="s">
        <v>119</v>
      </c>
      <c r="B20" s="123" t="s">
        <v>120</v>
      </c>
      <c r="C20" s="124" t="n">
        <v>46278</v>
      </c>
      <c r="D20" s="125" t="n">
        <v>3</v>
      </c>
      <c r="E20" s="125" t="s">
        <v>347</v>
      </c>
      <c r="F20" s="125" t="n">
        <v>4</v>
      </c>
      <c r="G20" s="125" t="s">
        <v>347</v>
      </c>
      <c r="H20" s="125" t="n">
        <v>5</v>
      </c>
      <c r="I20" s="125" t="s">
        <v>348</v>
      </c>
      <c r="J20" s="125" t="n">
        <v>4</v>
      </c>
      <c r="K20" s="125" t="s">
        <v>347</v>
      </c>
      <c r="L20" s="125" t="n">
        <v>2</v>
      </c>
      <c r="M20" s="125" t="s">
        <v>347</v>
      </c>
      <c r="N20" s="126" t="n">
        <f aca="false">IF(COUNT(D20,F20,H20,J20,L20)=0,"",(D20*0.2+F20*0.15+H20*0.15+J20*0.1+L20*0.1)/(IF(D20&lt;&gt;"",0.2,0)+IF(F20&lt;&gt;"",0.15,0)+IF(H20&lt;&gt;"",0.15,0)+IF(J20&lt;&gt;"",0.1,0)+IF(L20&lt;&gt;"",0.1,0)))</f>
        <v>3.64285714285714</v>
      </c>
      <c r="O20" s="127" t="n">
        <f aca="false">IF(COUNT(D20,F20,H20,J20,L20)=0,"",D20*0.2+F20*0.15+H20*0.15+J20*0.1+L20*0.1)</f>
        <v>2.55</v>
      </c>
      <c r="P20" s="125" t="n">
        <v>4</v>
      </c>
      <c r="Q20" s="125" t="s">
        <v>347</v>
      </c>
      <c r="R20" s="125" t="n">
        <v>5</v>
      </c>
      <c r="S20" s="125" t="s">
        <v>348</v>
      </c>
      <c r="T20" s="125" t="n">
        <v>3</v>
      </c>
      <c r="U20" s="125" t="s">
        <v>347</v>
      </c>
      <c r="V20" s="125" t="n">
        <v>3</v>
      </c>
      <c r="W20" s="125" t="s">
        <v>347</v>
      </c>
      <c r="X20" s="127" t="n">
        <f aca="false">IF(COUNT(P20,R20,T20,V20)=0,"",P20*0.08+R20*0.06+T20*0.03+V20*0.08)</f>
        <v>0.95</v>
      </c>
      <c r="Y20" s="125" t="n">
        <v>3</v>
      </c>
      <c r="Z20" s="125" t="s">
        <v>347</v>
      </c>
      <c r="AA20" s="125" t="n">
        <v>4</v>
      </c>
      <c r="AB20" s="125" t="s">
        <v>347</v>
      </c>
      <c r="AC20" s="125" t="n">
        <v>3</v>
      </c>
      <c r="AD20" s="125" t="s">
        <v>349</v>
      </c>
      <c r="AE20" s="127" t="n">
        <f aca="false">IF(COUNT(Y20,AA20,AC20)=0,"",Y20*0.02+AA20*0.02+AC20*0.01)</f>
        <v>0.17</v>
      </c>
      <c r="AF20" s="98" t="n">
        <f aca="false">IF(OR(COUNT(D20,F20,H20,J20,L20)&lt;5,COUNT(P20,R20,T20,V20)&lt;4,COUNT(Y20,AA20,AC20)&lt;3),"",(O20+X20+AE20)*20)</f>
        <v>73.4</v>
      </c>
      <c r="AG20" s="94" t="str">
        <f aca="false">IF(AF20="","",IF(AJ20="AVOID","AVOID",IF(AF20&gt;=80,IF(AH20="FAIL","WATCH LIST",IF(AK20="CAP AT BUY","BUY","STRONG BUY")),IF(AF20&gt;=65,IF(AH20="FAIL","WATCH LIST","BUY"),IF(AF20&gt;=50,"WATCH LIST",IF(AF20&gt;=35,"AVOID","PASS"))))))</f>
        <v>BUY</v>
      </c>
      <c r="AH20" s="94" t="str">
        <f aca="false">IF(N20="","",IF(N20&lt;3,"FAIL","OK"))</f>
        <v>OK</v>
      </c>
      <c r="AI20" s="94" t="str">
        <f aca="false">IF(COUNT(D20:L20)=0,"",IF(COUNTIF(D20:L20,1)&gt;0,"REVIEW","OK"))</f>
        <v>OK</v>
      </c>
      <c r="AJ20" s="94" t="str">
        <f aca="false">IF(COUNT(D20:L20)=0,"",IF(COUNTIF(D20:L20,"&lt;=2")&gt;=2,"AVOID","OK"))</f>
        <v>OK</v>
      </c>
      <c r="AK20" s="94" t="str">
        <f aca="false">IF(COUNTA(E20:M20)=0,"",IF(COUNTIF(E20:M20,"L")&gt;=2,"CAP AT BUY","OK"))</f>
        <v>OK</v>
      </c>
      <c r="AL20" s="129" t="s">
        <v>371</v>
      </c>
      <c r="AM20" s="129" t="s">
        <v>372</v>
      </c>
      <c r="AN20" s="130" t="n">
        <v>23059000000</v>
      </c>
      <c r="AO20" s="131" t="n">
        <v>20058000000</v>
      </c>
      <c r="AP20" s="125" t="str">
        <f aca="false">IF(OR(AN20="",AO20=""),"",IF(AN20&gt;AO20,"OK","LOW CONF"))</f>
        <v>OK</v>
      </c>
      <c r="AQ20" s="132" t="n">
        <v>1.167</v>
      </c>
      <c r="AR20" s="127" t="n">
        <v>1.115</v>
      </c>
      <c r="AS20" s="133" t="str">
        <f aca="false">IF(OR(AQ20="",AR20=""),"",IF(AQ20&lt;AR20,"Decreased",IF(AQ20&gt;AR20,"Increased","Flat")))</f>
        <v>Increased</v>
      </c>
    </row>
    <row r="21" customFormat="false" ht="15" hidden="true" customHeight="true" outlineLevel="1" collapsed="false">
      <c r="A21" s="63" t="s">
        <v>264</v>
      </c>
      <c r="B21" s="123" t="s">
        <v>373</v>
      </c>
      <c r="C21" s="124" t="n">
        <v>46245</v>
      </c>
      <c r="D21" s="125" t="n">
        <v>1</v>
      </c>
      <c r="E21" s="125" t="s">
        <v>348</v>
      </c>
      <c r="F21" s="125" t="n">
        <v>3</v>
      </c>
      <c r="G21" s="125" t="s">
        <v>347</v>
      </c>
      <c r="H21" s="125" t="n">
        <v>4</v>
      </c>
      <c r="I21" s="125" t="s">
        <v>347</v>
      </c>
      <c r="J21" s="125" t="n">
        <v>4</v>
      </c>
      <c r="K21" s="125" t="s">
        <v>347</v>
      </c>
      <c r="L21" s="125" t="n">
        <v>1</v>
      </c>
      <c r="M21" s="125" t="s">
        <v>348</v>
      </c>
      <c r="N21" s="126" t="n">
        <f aca="false">IF(COUNT(D21,F21,H21,J21,L21)=0,"",(D21*0.2+F21*0.15+H21*0.15+J21*0.1+L21*0.1)/(IF(D21&lt;&gt;"",0.2,0)+IF(F21&lt;&gt;"",0.15,0)+IF(H21&lt;&gt;"",0.15,0)+IF(J21&lt;&gt;"",0.1,0)+IF(L21&lt;&gt;"",0.1,0)))</f>
        <v>2.5</v>
      </c>
      <c r="O21" s="127" t="n">
        <f aca="false">IF(COUNT(D21,F21,H21,J21,L21)=0,"",D21*0.2+F21*0.15+H21*0.15+J21*0.1+L21*0.1)</f>
        <v>1.75</v>
      </c>
      <c r="P21" s="125"/>
      <c r="Q21" s="125"/>
      <c r="R21" s="125"/>
      <c r="S21" s="125"/>
      <c r="T21" s="125"/>
      <c r="U21" s="125"/>
      <c r="V21" s="125"/>
      <c r="W21" s="125"/>
      <c r="X21" s="127" t="str">
        <f aca="false">IF(COUNT(P21,R21,T21,V21)=0,"",P21*0.08+R21*0.06+T21*0.03+V21*0.08)</f>
        <v/>
      </c>
      <c r="Y21" s="125"/>
      <c r="Z21" s="125"/>
      <c r="AA21" s="125"/>
      <c r="AB21" s="125"/>
      <c r="AC21" s="125"/>
      <c r="AD21" s="125"/>
      <c r="AE21" s="127" t="str">
        <f aca="false">IF(COUNT(Y21,AA21,AC21)=0,"",Y21*0.02+AA21*0.02+AC21*0.01)</f>
        <v/>
      </c>
      <c r="AF21" s="98" t="str">
        <f aca="false">IF(OR(COUNT(D21,F21,H21,J21,L21)&lt;5,COUNT(P21,R21,T21,V21)&lt;4,COUNT(Y21,AA21,AC21)&lt;3),"",(O21+X21+AE21)*20)</f>
        <v/>
      </c>
      <c r="AG21" s="94" t="str">
        <f aca="false">IF(AF21="","",IF(AJ21="AVOID","AVOID",IF(AF21&gt;=80,IF(AH21="FAIL","WATCH LIST",IF(AK21="CAP AT BUY","BUY","STRONG BUY")),IF(AF21&gt;=65,IF(AH21="FAIL","WATCH LIST","BUY"),IF(AF21&gt;=50,"WATCH LIST",IF(AF21&gt;=35,"AVOID","PASS"))))))</f>
        <v/>
      </c>
      <c r="AH21" s="94" t="str">
        <f aca="false">IF(N21="","",IF(N21&lt;3,"FAIL","OK"))</f>
        <v>FAIL</v>
      </c>
      <c r="AI21" s="94" t="str">
        <f aca="false">IF(COUNT(D21:L21)=0,"",IF(COUNTIF(D21:L21,1)&gt;0,"REVIEW","OK"))</f>
        <v>REVIEW</v>
      </c>
      <c r="AJ21" s="94" t="str">
        <f aca="false">IF(COUNT(D21:L21)=0,"",IF(COUNTIF(D21:L21,"&lt;=2")&gt;=2,"AVOID","OK"))</f>
        <v>AVOID</v>
      </c>
      <c r="AK21" s="94" t="str">
        <f aca="false">IF(COUNTA(E21:M21)=0,"",IF(COUNTIF(E21:M21,"L")&gt;=2,"CAP AT BUY","OK"))</f>
        <v>OK</v>
      </c>
      <c r="AL21" s="129" t="s">
        <v>374</v>
      </c>
      <c r="AM21" s="129" t="s">
        <v>375</v>
      </c>
      <c r="AN21" s="125"/>
      <c r="AO21" s="94"/>
      <c r="AP21" s="125" t="str">
        <f aca="false">IF(OR(AN21="",AO21=""),"",IF(AN21&gt;AO21,"OK","LOW CONF"))</f>
        <v/>
      </c>
      <c r="AQ21" s="125"/>
      <c r="AR21" s="94"/>
      <c r="AS21" s="133" t="str">
        <f aca="false">IF(OR(AQ21="",AR21=""),"",IF(AQ21&lt;AR21,"Decreased",IF(AQ21&gt;AR21,"Increased","Flat")))</f>
        <v/>
      </c>
    </row>
    <row r="22" customFormat="false" ht="15" hidden="true" customHeight="true" outlineLevel="1" collapsed="false">
      <c r="A22" s="63" t="s">
        <v>245</v>
      </c>
      <c r="B22" s="123" t="s">
        <v>376</v>
      </c>
      <c r="C22" s="124" t="n">
        <v>46245</v>
      </c>
      <c r="D22" s="125" t="n">
        <v>1</v>
      </c>
      <c r="E22" s="125" t="s">
        <v>348</v>
      </c>
      <c r="F22" s="125" t="n">
        <v>1</v>
      </c>
      <c r="G22" s="125" t="s">
        <v>348</v>
      </c>
      <c r="H22" s="125" t="n">
        <v>2</v>
      </c>
      <c r="I22" s="125" t="s">
        <v>347</v>
      </c>
      <c r="J22" s="125" t="n">
        <v>1</v>
      </c>
      <c r="K22" s="125" t="s">
        <v>348</v>
      </c>
      <c r="L22" s="125" t="n">
        <v>1</v>
      </c>
      <c r="M22" s="125" t="s">
        <v>348</v>
      </c>
      <c r="N22" s="126" t="n">
        <f aca="false">IF(COUNT(D22,F22,H22,J22,L22)=0,"",(D22*0.2+F22*0.15+H22*0.15+J22*0.1+L22*0.1)/(IF(D22&lt;&gt;"",0.2,0)+IF(F22&lt;&gt;"",0.15,0)+IF(H22&lt;&gt;"",0.15,0)+IF(J22&lt;&gt;"",0.1,0)+IF(L22&lt;&gt;"",0.1,0)))</f>
        <v>1.21428571428571</v>
      </c>
      <c r="O22" s="127" t="n">
        <f aca="false">IF(COUNT(D22,F22,H22,J22,L22)=0,"",D22*0.2+F22*0.15+H22*0.15+J22*0.1+L22*0.1)</f>
        <v>0.85</v>
      </c>
      <c r="P22" s="125"/>
      <c r="Q22" s="125"/>
      <c r="R22" s="125"/>
      <c r="S22" s="125"/>
      <c r="T22" s="125"/>
      <c r="U22" s="125"/>
      <c r="V22" s="125"/>
      <c r="W22" s="125"/>
      <c r="X22" s="127" t="str">
        <f aca="false">IF(COUNT(P22,R22,T22,V22)=0,"",P22*0.08+R22*0.06+T22*0.03+V22*0.08)</f>
        <v/>
      </c>
      <c r="Y22" s="125"/>
      <c r="Z22" s="125"/>
      <c r="AA22" s="125"/>
      <c r="AB22" s="125"/>
      <c r="AC22" s="125"/>
      <c r="AD22" s="125"/>
      <c r="AE22" s="127" t="str">
        <f aca="false">IF(COUNT(Y22,AA22,AC22)=0,"",Y22*0.02+AA22*0.02+AC22*0.01)</f>
        <v/>
      </c>
      <c r="AF22" s="98" t="str">
        <f aca="false">IF(OR(COUNT(D22,F22,H22,J22,L22)&lt;5,COUNT(P22,R22,T22,V22)&lt;4,COUNT(Y22,AA22,AC22)&lt;3),"",(O22+X22+AE22)*20)</f>
        <v/>
      </c>
      <c r="AG22" s="94" t="str">
        <f aca="false">IF(AF22="","",IF(AJ22="AVOID","AVOID",IF(AF22&gt;=80,IF(AH22="FAIL","WATCH LIST",IF(AK22="CAP AT BUY","BUY","STRONG BUY")),IF(AF22&gt;=65,IF(AH22="FAIL","WATCH LIST","BUY"),IF(AF22&gt;=50,"WATCH LIST",IF(AF22&gt;=35,"AVOID","PASS"))))))</f>
        <v/>
      </c>
      <c r="AH22" s="94" t="str">
        <f aca="false">IF(N22="","",IF(N22&lt;3,"FAIL","OK"))</f>
        <v>FAIL</v>
      </c>
      <c r="AI22" s="94" t="str">
        <f aca="false">IF(COUNT(D22:L22)=0,"",IF(COUNTIF(D22:L22,1)&gt;0,"REVIEW","OK"))</f>
        <v>REVIEW</v>
      </c>
      <c r="AJ22" s="94" t="str">
        <f aca="false">IF(COUNT(D22:L22)=0,"",IF(COUNTIF(D22:L22,"&lt;=2")&gt;=2,"AVOID","OK"))</f>
        <v>AVOID</v>
      </c>
      <c r="AK22" s="94" t="str">
        <f aca="false">IF(COUNTA(E22:M22)=0,"",IF(COUNTIF(E22:M22,"L")&gt;=2,"CAP AT BUY","OK"))</f>
        <v>OK</v>
      </c>
      <c r="AL22" s="129" t="s">
        <v>377</v>
      </c>
      <c r="AM22" s="129" t="s">
        <v>378</v>
      </c>
      <c r="AN22" s="125"/>
      <c r="AO22" s="94"/>
      <c r="AP22" s="125" t="str">
        <f aca="false">IF(OR(AN22="",AO22=""),"",IF(AN22&gt;AO22,"OK","LOW CONF"))</f>
        <v/>
      </c>
      <c r="AQ22" s="125"/>
      <c r="AR22" s="94"/>
      <c r="AS22" s="133" t="str">
        <f aca="false">IF(OR(AQ22="",AR22=""),"",IF(AQ22&lt;AR22,"Decreased",IF(AQ22&gt;AR22,"Increased","Flat")))</f>
        <v/>
      </c>
    </row>
    <row r="23" customFormat="false" ht="15" hidden="false" customHeight="true" outlineLevel="0" collapsed="false">
      <c r="A23" s="63" t="s">
        <v>252</v>
      </c>
      <c r="B23" s="123" t="s">
        <v>379</v>
      </c>
      <c r="C23" s="124" t="n">
        <v>46276</v>
      </c>
      <c r="D23" s="125" t="n">
        <v>4</v>
      </c>
      <c r="E23" s="125" t="s">
        <v>347</v>
      </c>
      <c r="F23" s="125" t="n">
        <v>1</v>
      </c>
      <c r="G23" s="125" t="s">
        <v>347</v>
      </c>
      <c r="H23" s="125" t="n">
        <v>4</v>
      </c>
      <c r="I23" s="125" t="s">
        <v>347</v>
      </c>
      <c r="J23" s="125" t="n">
        <v>4</v>
      </c>
      <c r="K23" s="125" t="s">
        <v>347</v>
      </c>
      <c r="L23" s="125" t="n">
        <v>2</v>
      </c>
      <c r="M23" s="125" t="s">
        <v>347</v>
      </c>
      <c r="N23" s="126" t="n">
        <f aca="false">IF(COUNT(D23,F23,H23,J23,L23)=0,"",(D23*0.2+F23*0.15+H23*0.15+J23*0.1+L23*0.1)/(IF(D23&lt;&gt;"",0.2,0)+IF(F23&lt;&gt;"",0.15,0)+IF(H23&lt;&gt;"",0.15,0)+IF(J23&lt;&gt;"",0.1,0)+IF(L23&lt;&gt;"",0.1,0)))</f>
        <v>3.07142857142857</v>
      </c>
      <c r="O23" s="127" t="n">
        <f aca="false">IF(COUNT(D23,F23,H23,J23,L23)=0,"",D23*0.2+F23*0.15+H23*0.15+J23*0.1+L23*0.1)</f>
        <v>2.15</v>
      </c>
      <c r="P23" s="125"/>
      <c r="Q23" s="125"/>
      <c r="R23" s="125"/>
      <c r="S23" s="125"/>
      <c r="T23" s="125"/>
      <c r="U23" s="125"/>
      <c r="V23" s="125"/>
      <c r="W23" s="125"/>
      <c r="X23" s="127" t="str">
        <f aca="false">IF(COUNT(P23,R23,T23,V23)=0,"",P23*0.08+R23*0.06+T23*0.03+V23*0.08)</f>
        <v/>
      </c>
      <c r="Y23" s="125"/>
      <c r="Z23" s="125"/>
      <c r="AA23" s="125"/>
      <c r="AB23" s="125"/>
      <c r="AC23" s="125"/>
      <c r="AD23" s="125"/>
      <c r="AE23" s="127" t="str">
        <f aca="false">IF(COUNT(Y23,AA23,AC23)=0,"",Y23*0.02+AA23*0.02+AC23*0.01)</f>
        <v/>
      </c>
      <c r="AF23" s="98" t="str">
        <f aca="false">IF(OR(COUNT(D23,F23,H23,J23,L23)&lt;5,COUNT(P23,R23,T23,V23)&lt;4,COUNT(Y23,AA23,AC23)&lt;3),"",(O23+X23+AE23)*20)</f>
        <v/>
      </c>
      <c r="AG23" s="94" t="str">
        <f aca="false">IF(AF23="","",IF(AJ23="AVOID","AVOID",IF(AF23&gt;=80,IF(AH23="FAIL","WATCH LIST",IF(AK23="CAP AT BUY","BUY","STRONG BUY")),IF(AF23&gt;=65,IF(AH23="FAIL","WATCH LIST","BUY"),IF(AF23&gt;=50,"WATCH LIST",IF(AF23&gt;=35,"AVOID","PASS"))))))</f>
        <v/>
      </c>
      <c r="AH23" s="94" t="str">
        <f aca="false">IF(N23="","",IF(N23&lt;3,"FAIL","OK"))</f>
        <v>OK</v>
      </c>
      <c r="AI23" s="94" t="str">
        <f aca="false">IF(COUNT(D23:L23)=0,"",IF(COUNTIF(D23:L23,1)&gt;0,"REVIEW","OK"))</f>
        <v>REVIEW</v>
      </c>
      <c r="AJ23" s="94" t="str">
        <f aca="false">IF(COUNT(D23:L23)=0,"",IF(COUNTIF(D23:L23,"&lt;=2")&gt;=2,"AVOID","OK"))</f>
        <v>AVOID</v>
      </c>
      <c r="AK23" s="94" t="str">
        <f aca="false">IF(COUNTA(E23:M23)=0,"",IF(COUNTIF(E23:M23,"L")&gt;=2,"CAP AT BUY","OK"))</f>
        <v>OK</v>
      </c>
      <c r="AL23" s="129" t="s">
        <v>377</v>
      </c>
      <c r="AM23" s="129" t="s">
        <v>380</v>
      </c>
      <c r="AN23" s="125"/>
      <c r="AO23" s="94"/>
      <c r="AP23" s="125" t="str">
        <f aca="false">IF(OR(AN23="",AO23=""),"",IF(AN23&gt;AO23,"OK","LOW CONF"))</f>
        <v/>
      </c>
      <c r="AQ23" s="125"/>
      <c r="AR23" s="94"/>
      <c r="AS23" s="133" t="str">
        <f aca="false">IF(OR(AQ23="",AR23=""),"",IF(AQ23&lt;AR23,"Decreased",IF(AQ23&gt;AR23,"Increased","Flat")))</f>
        <v/>
      </c>
    </row>
    <row r="24" customFormat="false" ht="15" hidden="true" customHeight="true" outlineLevel="1" collapsed="false">
      <c r="A24" s="63" t="s">
        <v>260</v>
      </c>
      <c r="B24" s="123" t="s">
        <v>381</v>
      </c>
      <c r="C24" s="124" t="n">
        <v>46245</v>
      </c>
      <c r="D24" s="125" t="n">
        <v>2</v>
      </c>
      <c r="E24" s="125" t="s">
        <v>349</v>
      </c>
      <c r="F24" s="125" t="n">
        <v>2</v>
      </c>
      <c r="G24" s="125" t="s">
        <v>347</v>
      </c>
      <c r="H24" s="125" t="n">
        <v>3</v>
      </c>
      <c r="I24" s="125" t="s">
        <v>347</v>
      </c>
      <c r="J24" s="125" t="n">
        <v>2</v>
      </c>
      <c r="K24" s="125" t="s">
        <v>347</v>
      </c>
      <c r="L24" s="125" t="n">
        <v>1</v>
      </c>
      <c r="M24" s="125" t="s">
        <v>348</v>
      </c>
      <c r="N24" s="126" t="n">
        <f aca="false">IF(COUNT(D24,F24,H24,J24,L24)=0,"",(D24*0.2+F24*0.15+H24*0.15+J24*0.1+L24*0.1)/(IF(D24&lt;&gt;"",0.2,0)+IF(F24&lt;&gt;"",0.15,0)+IF(H24&lt;&gt;"",0.15,0)+IF(J24&lt;&gt;"",0.1,0)+IF(L24&lt;&gt;"",0.1,0)))</f>
        <v>2.07142857142857</v>
      </c>
      <c r="O24" s="127" t="n">
        <f aca="false">IF(COUNT(D24,F24,H24,J24,L24)=0,"",D24*0.2+F24*0.15+H24*0.15+J24*0.1+L24*0.1)</f>
        <v>1.45</v>
      </c>
      <c r="P24" s="125"/>
      <c r="Q24" s="125"/>
      <c r="R24" s="125"/>
      <c r="S24" s="125"/>
      <c r="T24" s="125"/>
      <c r="U24" s="125"/>
      <c r="V24" s="125"/>
      <c r="W24" s="125"/>
      <c r="X24" s="127" t="str">
        <f aca="false">IF(COUNT(P24,R24,T24,V24)=0,"",P24*0.08+R24*0.06+T24*0.03+V24*0.08)</f>
        <v/>
      </c>
      <c r="Y24" s="125"/>
      <c r="Z24" s="125"/>
      <c r="AA24" s="125"/>
      <c r="AB24" s="125"/>
      <c r="AC24" s="125"/>
      <c r="AD24" s="125"/>
      <c r="AE24" s="127" t="str">
        <f aca="false">IF(COUNT(Y24,AA24,AC24)=0,"",Y24*0.02+AA24*0.02+AC24*0.01)</f>
        <v/>
      </c>
      <c r="AF24" s="98" t="str">
        <f aca="false">IF(OR(COUNT(D24,F24,H24,J24,L24)&lt;5,COUNT(P24,R24,T24,V24)&lt;4,COUNT(Y24,AA24,AC24)&lt;3),"",(O24+X24+AE24)*20)</f>
        <v/>
      </c>
      <c r="AG24" s="94" t="str">
        <f aca="false">IF(AF24="","",IF(AJ24="AVOID","AVOID",IF(AF24&gt;=80,IF(AH24="FAIL","WATCH LIST",IF(AK24="CAP AT BUY","BUY","STRONG BUY")),IF(AF24&gt;=65,IF(AH24="FAIL","WATCH LIST","BUY"),IF(AF24&gt;=50,"WATCH LIST",IF(AF24&gt;=35,"AVOID","PASS"))))))</f>
        <v/>
      </c>
      <c r="AH24" s="94" t="str">
        <f aca="false">IF(N24="","",IF(N24&lt;3,"FAIL","OK"))</f>
        <v>FAIL</v>
      </c>
      <c r="AI24" s="94" t="str">
        <f aca="false">IF(COUNT(D24:L24)=0,"",IF(COUNTIF(D24:L24,1)&gt;0,"REVIEW","OK"))</f>
        <v>REVIEW</v>
      </c>
      <c r="AJ24" s="94" t="str">
        <f aca="false">IF(COUNT(D24:L24)=0,"",IF(COUNTIF(D24:L24,"&lt;=2")&gt;=2,"AVOID","OK"))</f>
        <v>AVOID</v>
      </c>
      <c r="AK24" s="94" t="str">
        <f aca="false">IF(COUNTA(E24:M24)=0,"",IF(COUNTIF(E24:M24,"L")&gt;=2,"CAP AT BUY","OK"))</f>
        <v>OK</v>
      </c>
      <c r="AL24" s="129" t="s">
        <v>377</v>
      </c>
      <c r="AM24" s="129" t="s">
        <v>382</v>
      </c>
      <c r="AN24" s="125"/>
      <c r="AO24" s="94"/>
      <c r="AP24" s="125" t="str">
        <f aca="false">IF(OR(AN24="",AO24=""),"",IF(AN24&gt;AO24,"OK","LOW CONF"))</f>
        <v/>
      </c>
      <c r="AQ24" s="125"/>
      <c r="AR24" s="94"/>
      <c r="AS24" s="133" t="str">
        <f aca="false">IF(OR(AQ24="",AR24=""),"",IF(AQ24&lt;AR24,"Decreased",IF(AQ24&gt;AR24,"Increased","Flat")))</f>
        <v/>
      </c>
    </row>
    <row r="25" customFormat="false" ht="15" hidden="true" customHeight="true" outlineLevel="1" collapsed="false">
      <c r="A25" s="63" t="s">
        <v>269</v>
      </c>
      <c r="B25" s="123" t="s">
        <v>383</v>
      </c>
      <c r="C25" s="124" t="n">
        <v>46245</v>
      </c>
      <c r="D25" s="125" t="n">
        <v>3</v>
      </c>
      <c r="E25" s="125" t="s">
        <v>347</v>
      </c>
      <c r="F25" s="125" t="n">
        <v>2</v>
      </c>
      <c r="G25" s="125" t="s">
        <v>348</v>
      </c>
      <c r="H25" s="125" t="n">
        <v>3</v>
      </c>
      <c r="I25" s="125" t="s">
        <v>347</v>
      </c>
      <c r="J25" s="125" t="n">
        <v>3</v>
      </c>
      <c r="K25" s="125" t="s">
        <v>347</v>
      </c>
      <c r="L25" s="125" t="n">
        <v>2</v>
      </c>
      <c r="M25" s="125" t="s">
        <v>348</v>
      </c>
      <c r="N25" s="126" t="n">
        <f aca="false">IF(COUNT(D25,F25,H25,J25,L25)=0,"",(D25*0.2+F25*0.15+H25*0.15+J25*0.1+L25*0.1)/(IF(D25&lt;&gt;"",0.2,0)+IF(F25&lt;&gt;"",0.15,0)+IF(H25&lt;&gt;"",0.15,0)+IF(J25&lt;&gt;"",0.1,0)+IF(L25&lt;&gt;"",0.1,0)))</f>
        <v>2.64285714285714</v>
      </c>
      <c r="O25" s="127" t="n">
        <f aca="false">IF(COUNT(D25,F25,H25,J25,L25)=0,"",D25*0.2+F25*0.15+H25*0.15+J25*0.1+L25*0.1)</f>
        <v>1.85</v>
      </c>
      <c r="P25" s="125"/>
      <c r="Q25" s="125"/>
      <c r="R25" s="125"/>
      <c r="S25" s="125"/>
      <c r="T25" s="125"/>
      <c r="U25" s="125"/>
      <c r="V25" s="125"/>
      <c r="W25" s="125"/>
      <c r="X25" s="127" t="str">
        <f aca="false">IF(COUNT(P25,R25,T25,V25)=0,"",P25*0.08+R25*0.06+T25*0.03+V25*0.08)</f>
        <v/>
      </c>
      <c r="Y25" s="125"/>
      <c r="Z25" s="125"/>
      <c r="AA25" s="125"/>
      <c r="AB25" s="125"/>
      <c r="AC25" s="125"/>
      <c r="AD25" s="125"/>
      <c r="AE25" s="127" t="str">
        <f aca="false">IF(COUNT(Y25,AA25,AC25)=0,"",Y25*0.02+AA25*0.02+AC25*0.01)</f>
        <v/>
      </c>
      <c r="AF25" s="98" t="str">
        <f aca="false">IF(OR(COUNT(D25,F25,H25,J25,L25)&lt;5,COUNT(P25,R25,T25,V25)&lt;4,COUNT(Y25,AA25,AC25)&lt;3),"",(O25+X25+AE25)*20)</f>
        <v/>
      </c>
      <c r="AG25" s="94" t="str">
        <f aca="false">IF(AF25="","",IF(AJ25="AVOID","AVOID",IF(AF25&gt;=80,IF(AH25="FAIL","WATCH LIST",IF(AK25="CAP AT BUY","BUY","STRONG BUY")),IF(AF25&gt;=65,IF(AH25="FAIL","WATCH LIST","BUY"),IF(AF25&gt;=50,"WATCH LIST",IF(AF25&gt;=35,"AVOID","PASS"))))))</f>
        <v/>
      </c>
      <c r="AH25" s="94" t="str">
        <f aca="false">IF(N25="","",IF(N25&lt;3,"FAIL","OK"))</f>
        <v>FAIL</v>
      </c>
      <c r="AI25" s="94" t="str">
        <f aca="false">IF(COUNT(D25:L25)=0,"",IF(COUNTIF(D25:L25,1)&gt;0,"REVIEW","OK"))</f>
        <v>OK</v>
      </c>
      <c r="AJ25" s="94" t="str">
        <f aca="false">IF(COUNT(D25:L25)=0,"",IF(COUNTIF(D25:L25,"&lt;=2")&gt;=2,"AVOID","OK"))</f>
        <v>AVOID</v>
      </c>
      <c r="AK25" s="94" t="str">
        <f aca="false">IF(COUNTA(E25:M25)=0,"",IF(COUNTIF(E25:M25,"L")&gt;=2,"CAP AT BUY","OK"))</f>
        <v>OK</v>
      </c>
      <c r="AL25" s="129" t="s">
        <v>377</v>
      </c>
      <c r="AM25" s="129" t="s">
        <v>382</v>
      </c>
      <c r="AN25" s="125"/>
      <c r="AO25" s="94"/>
      <c r="AP25" s="125" t="str">
        <f aca="false">IF(OR(AN25="",AO25=""),"",IF(AN25&gt;AO25,"OK","LOW CONF"))</f>
        <v/>
      </c>
      <c r="AQ25" s="125"/>
      <c r="AR25" s="94"/>
      <c r="AS25" s="133" t="str">
        <f aca="false">IF(OR(AQ25="",AR25=""),"",IF(AQ25&lt;AR25,"Decreased",IF(AQ25&gt;AR25,"Increased","Flat")))</f>
        <v/>
      </c>
    </row>
    <row r="26" customFormat="false" ht="15" hidden="true" customHeight="true" outlineLevel="1" collapsed="false">
      <c r="A26" s="63" t="s">
        <v>240</v>
      </c>
      <c r="B26" s="123" t="s">
        <v>384</v>
      </c>
      <c r="C26" s="124" t="n">
        <v>46245</v>
      </c>
      <c r="D26" s="125" t="n">
        <v>2</v>
      </c>
      <c r="E26" s="125" t="s">
        <v>347</v>
      </c>
      <c r="F26" s="125" t="n">
        <v>1</v>
      </c>
      <c r="G26" s="125" t="s">
        <v>348</v>
      </c>
      <c r="H26" s="125" t="n">
        <v>2</v>
      </c>
      <c r="I26" s="125" t="s">
        <v>347</v>
      </c>
      <c r="J26" s="125" t="n">
        <v>2</v>
      </c>
      <c r="K26" s="125" t="s">
        <v>347</v>
      </c>
      <c r="L26" s="125" t="n">
        <v>2</v>
      </c>
      <c r="M26" s="125" t="s">
        <v>347</v>
      </c>
      <c r="N26" s="126" t="n">
        <f aca="false">IF(COUNT(D26,F26,H26,J26,L26)=0,"",(D26*0.2+F26*0.15+H26*0.15+J26*0.1+L26*0.1)/(IF(D26&lt;&gt;"",0.2,0)+IF(F26&lt;&gt;"",0.15,0)+IF(H26&lt;&gt;"",0.15,0)+IF(J26&lt;&gt;"",0.1,0)+IF(L26&lt;&gt;"",0.1,0)))</f>
        <v>1.78571428571429</v>
      </c>
      <c r="O26" s="127" t="n">
        <f aca="false">IF(COUNT(D26,F26,H26,J26,L26)=0,"",D26*0.2+F26*0.15+H26*0.15+J26*0.1+L26*0.1)</f>
        <v>1.25</v>
      </c>
      <c r="P26" s="125"/>
      <c r="Q26" s="125"/>
      <c r="R26" s="125"/>
      <c r="S26" s="125"/>
      <c r="T26" s="125"/>
      <c r="U26" s="125"/>
      <c r="V26" s="125"/>
      <c r="W26" s="125"/>
      <c r="X26" s="127" t="str">
        <f aca="false">IF(COUNT(P26,R26,T26,V26)=0,"",P26*0.08+R26*0.06+T26*0.03+V26*0.08)</f>
        <v/>
      </c>
      <c r="Y26" s="125"/>
      <c r="Z26" s="125"/>
      <c r="AA26" s="125"/>
      <c r="AB26" s="125"/>
      <c r="AC26" s="125"/>
      <c r="AD26" s="125"/>
      <c r="AE26" s="127" t="str">
        <f aca="false">IF(COUNT(Y26,AA26,AC26)=0,"",Y26*0.02+AA26*0.02+AC26*0.01)</f>
        <v/>
      </c>
      <c r="AF26" s="98" t="str">
        <f aca="false">IF(OR(COUNT(D26,F26,H26,J26,L26)&lt;5,COUNT(P26,R26,T26,V26)&lt;4,COUNT(Y26,AA26,AC26)&lt;3),"",(O26+X26+AE26)*20)</f>
        <v/>
      </c>
      <c r="AG26" s="94" t="str">
        <f aca="false">IF(AF26="","",IF(AJ26="AVOID","AVOID",IF(AF26&gt;=80,IF(AH26="FAIL","WATCH LIST",IF(AK26="CAP AT BUY","BUY","STRONG BUY")),IF(AF26&gt;=65,IF(AH26="FAIL","WATCH LIST","BUY"),IF(AF26&gt;=50,"WATCH LIST",IF(AF26&gt;=35,"AVOID","PASS"))))))</f>
        <v/>
      </c>
      <c r="AH26" s="94" t="str">
        <f aca="false">IF(N26="","",IF(N26&lt;3,"FAIL","OK"))</f>
        <v>FAIL</v>
      </c>
      <c r="AI26" s="94" t="str">
        <f aca="false">IF(COUNT(D26:L26)=0,"",IF(COUNTIF(D26:L26,1)&gt;0,"REVIEW","OK"))</f>
        <v>REVIEW</v>
      </c>
      <c r="AJ26" s="94" t="str">
        <f aca="false">IF(COUNT(D26:L26)=0,"",IF(COUNTIF(D26:L26,"&lt;=2")&gt;=2,"AVOID","OK"))</f>
        <v>AVOID</v>
      </c>
      <c r="AK26" s="94" t="str">
        <f aca="false">IF(COUNTA(E26:M26)=0,"",IF(COUNTIF(E26:M26,"L")&gt;=2,"CAP AT BUY","OK"))</f>
        <v>OK</v>
      </c>
      <c r="AL26" s="129" t="s">
        <v>385</v>
      </c>
      <c r="AM26" s="129" t="s">
        <v>386</v>
      </c>
      <c r="AN26" s="125"/>
      <c r="AO26" s="94"/>
      <c r="AP26" s="125" t="str">
        <f aca="false">IF(OR(AN26="",AO26=""),"",IF(AN26&gt;AO26,"OK","LOW CONF"))</f>
        <v/>
      </c>
      <c r="AQ26" s="125"/>
      <c r="AR26" s="94"/>
      <c r="AS26" s="133" t="str">
        <f aca="false">IF(OR(AQ26="",AR26=""),"",IF(AQ26&lt;AR26,"Decreased",IF(AQ26&gt;AR26,"Increased","Flat")))</f>
        <v/>
      </c>
    </row>
    <row r="27" customFormat="false" ht="15" hidden="true" customHeight="true" outlineLevel="1" collapsed="false">
      <c r="A27" s="63" t="s">
        <v>241</v>
      </c>
      <c r="B27" s="123" t="s">
        <v>387</v>
      </c>
      <c r="C27" s="124" t="n">
        <v>46245</v>
      </c>
      <c r="D27" s="125" t="n">
        <v>2</v>
      </c>
      <c r="E27" s="125" t="s">
        <v>348</v>
      </c>
      <c r="F27" s="125" t="n">
        <v>2</v>
      </c>
      <c r="G27" s="125" t="s">
        <v>347</v>
      </c>
      <c r="H27" s="125" t="n">
        <v>2</v>
      </c>
      <c r="I27" s="125" t="s">
        <v>347</v>
      </c>
      <c r="J27" s="125" t="n">
        <v>2</v>
      </c>
      <c r="K27" s="125" t="s">
        <v>347</v>
      </c>
      <c r="L27" s="125" t="n">
        <v>1</v>
      </c>
      <c r="M27" s="125" t="s">
        <v>348</v>
      </c>
      <c r="N27" s="126" t="n">
        <f aca="false">IF(COUNT(D27,F27,H27,J27,L27)=0,"",(D27*0.2+F27*0.15+H27*0.15+J27*0.1+L27*0.1)/(IF(D27&lt;&gt;"",0.2,0)+IF(F27&lt;&gt;"",0.15,0)+IF(H27&lt;&gt;"",0.15,0)+IF(J27&lt;&gt;"",0.1,0)+IF(L27&lt;&gt;"",0.1,0)))</f>
        <v>1.85714285714286</v>
      </c>
      <c r="O27" s="127" t="n">
        <f aca="false">IF(COUNT(D27,F27,H27,J27,L27)=0,"",D27*0.2+F27*0.15+H27*0.15+J27*0.1+L27*0.1)</f>
        <v>1.3</v>
      </c>
      <c r="P27" s="125"/>
      <c r="Q27" s="125"/>
      <c r="R27" s="125"/>
      <c r="S27" s="125"/>
      <c r="T27" s="125"/>
      <c r="U27" s="125"/>
      <c r="V27" s="125"/>
      <c r="W27" s="125"/>
      <c r="X27" s="127" t="str">
        <f aca="false">IF(COUNT(P27,R27,T27,V27)=0,"",P27*0.08+R27*0.06+T27*0.03+V27*0.08)</f>
        <v/>
      </c>
      <c r="Y27" s="125"/>
      <c r="Z27" s="125"/>
      <c r="AA27" s="125"/>
      <c r="AB27" s="125"/>
      <c r="AC27" s="125"/>
      <c r="AD27" s="125"/>
      <c r="AE27" s="127" t="str">
        <f aca="false">IF(COUNT(Y27,AA27,AC27)=0,"",Y27*0.02+AA27*0.02+AC27*0.01)</f>
        <v/>
      </c>
      <c r="AF27" s="98" t="str">
        <f aca="false">IF(OR(COUNT(D27,F27,H27,J27,L27)&lt;5,COUNT(P27,R27,T27,V27)&lt;4,COUNT(Y27,AA27,AC27)&lt;3),"",(O27+X27+AE27)*20)</f>
        <v/>
      </c>
      <c r="AG27" s="94" t="str">
        <f aca="false">IF(AF27="","",IF(AJ27="AVOID","AVOID",IF(AF27&gt;=80,IF(AH27="FAIL","WATCH LIST",IF(AK27="CAP AT BUY","BUY","STRONG BUY")),IF(AF27&gt;=65,IF(AH27="FAIL","WATCH LIST","BUY"),IF(AF27&gt;=50,"WATCH LIST",IF(AF27&gt;=35,"AVOID","PASS"))))))</f>
        <v/>
      </c>
      <c r="AH27" s="94" t="str">
        <f aca="false">IF(N27="","",IF(N27&lt;3,"FAIL","OK"))</f>
        <v>FAIL</v>
      </c>
      <c r="AI27" s="94" t="str">
        <f aca="false">IF(COUNT(D27:L27)=0,"",IF(COUNTIF(D27:L27,1)&gt;0,"REVIEW","OK"))</f>
        <v>REVIEW</v>
      </c>
      <c r="AJ27" s="94" t="str">
        <f aca="false">IF(COUNT(D27:L27)=0,"",IF(COUNTIF(D27:L27,"&lt;=2")&gt;=2,"AVOID","OK"))</f>
        <v>AVOID</v>
      </c>
      <c r="AK27" s="94" t="str">
        <f aca="false">IF(COUNTA(E27:M27)=0,"",IF(COUNTIF(E27:M27,"L")&gt;=2,"CAP AT BUY","OK"))</f>
        <v>OK</v>
      </c>
      <c r="AL27" s="129" t="s">
        <v>385</v>
      </c>
      <c r="AM27" s="129" t="s">
        <v>388</v>
      </c>
      <c r="AN27" s="125"/>
      <c r="AO27" s="94"/>
      <c r="AP27" s="125" t="str">
        <f aca="false">IF(OR(AN27="",AO27=""),"",IF(AN27&gt;AO27,"OK","LOW CONF"))</f>
        <v/>
      </c>
      <c r="AQ27" s="125"/>
      <c r="AR27" s="94"/>
      <c r="AS27" s="133" t="str">
        <f aca="false">IF(OR(AQ27="",AR27=""),"",IF(AQ27&lt;AR27,"Decreased",IF(AQ27&gt;AR27,"Increased","Flat")))</f>
        <v/>
      </c>
    </row>
    <row r="28" customFormat="false" ht="15" hidden="false" customHeight="true" outlineLevel="0" collapsed="false">
      <c r="A28" s="63" t="s">
        <v>262</v>
      </c>
      <c r="B28" s="123" t="s">
        <v>389</v>
      </c>
      <c r="C28" s="134" t="n">
        <v>46276</v>
      </c>
      <c r="D28" s="125" t="n">
        <v>2</v>
      </c>
      <c r="E28" s="125" t="s">
        <v>347</v>
      </c>
      <c r="F28" s="125" t="n">
        <v>2</v>
      </c>
      <c r="G28" s="125" t="s">
        <v>347</v>
      </c>
      <c r="H28" s="125" t="n">
        <v>5</v>
      </c>
      <c r="I28" s="125" t="s">
        <v>348</v>
      </c>
      <c r="J28" s="125" t="n">
        <v>5</v>
      </c>
      <c r="K28" s="125" t="s">
        <v>348</v>
      </c>
      <c r="L28" s="125" t="n">
        <v>2</v>
      </c>
      <c r="M28" s="125" t="s">
        <v>347</v>
      </c>
      <c r="N28" s="126" t="n">
        <f aca="false">IF(COUNT(D28,F28,H28,J28,L28)=0,"",(D28*0.2+F28*0.15+H28*0.15+J28*0.1+L28*0.1)/(IF(D28&lt;&gt;"",0.2,0)+IF(F28&lt;&gt;"",0.15,0)+IF(H28&lt;&gt;"",0.15,0)+IF(J28&lt;&gt;"",0.1,0)+IF(L28&lt;&gt;"",0.1,0)))</f>
        <v>3.07142857142857</v>
      </c>
      <c r="O28" s="94" t="n">
        <f aca="false">IF(COUNT(D28,F28,H28,J28,L28)=0,"",D28*0.2+F28*0.15+H28*0.15+J28*0.1+L28*0.1)</f>
        <v>2.15</v>
      </c>
      <c r="P28" s="125"/>
      <c r="Q28" s="125"/>
      <c r="R28" s="125"/>
      <c r="S28" s="125"/>
      <c r="T28" s="125"/>
      <c r="U28" s="125"/>
      <c r="V28" s="125"/>
      <c r="W28" s="125"/>
      <c r="X28" s="66" t="str">
        <f aca="false">IF(COUNT(P28,R28,T28,V28)=0,"",P28*0.08+R28*0.06+T28*0.03+V28*0.08)</f>
        <v/>
      </c>
      <c r="Y28" s="125"/>
      <c r="Z28" s="125"/>
      <c r="AA28" s="125"/>
      <c r="AB28" s="125"/>
      <c r="AC28" s="125"/>
      <c r="AD28" s="125"/>
      <c r="AE28" s="66" t="str">
        <f aca="false">IF(COUNT(Y28,AA28,AC28)=0,"",Y28*0.02+AA28*0.02+AC28*0.01)</f>
        <v/>
      </c>
      <c r="AF28" s="94" t="str">
        <f aca="false">IF(OR(COUNT(D28,F28,H28,J28,L28)&lt;5,COUNT(P28,R28,T28,V28)&lt;4,COUNT(Y28,AA28,AC28)&lt;3),"",(O28+X28+AE28)*20)</f>
        <v/>
      </c>
      <c r="AG28" s="94" t="str">
        <f aca="false">IF(AF28="","",IF(AJ28="AVOID","AVOID",IF(AF28&gt;=80,IF(AH28="FAIL","WATCH LIST",IF(AK28="CAP AT BUY","BUY","STRONG BUY")),IF(AF28&gt;=65,IF(AH28="FAIL","WATCH LIST","BUY"),IF(AF28&gt;=50,"WATCH LIST",IF(AF28&gt;=35,"AVOID","PASS"))))))</f>
        <v/>
      </c>
      <c r="AH28" s="94" t="str">
        <f aca="false">IF(N28="","",IF(N28&lt;3,"FAIL","OK"))</f>
        <v>OK</v>
      </c>
      <c r="AI28" s="94" t="str">
        <f aca="false">IF(COUNT(D28:L28)=0,"",IF(COUNTIF(D28:L28,1)&gt;0,"REVIEW","OK"))</f>
        <v>OK</v>
      </c>
      <c r="AJ28" s="94" t="str">
        <f aca="false">IF(COUNT(D28:L28)=0,"",IF(COUNTIF(D28:L28,"&lt;=2")&gt;=2,"AVOID","OK"))</f>
        <v>AVOID</v>
      </c>
      <c r="AK28" s="94" t="str">
        <f aca="false">IF(COUNTA(E28:M28)=0,"",IF(COUNTIF(E28:M28,"L")&gt;=2,"CAP AT BUY","OK"))</f>
        <v>OK</v>
      </c>
      <c r="AL28" s="129" t="s">
        <v>385</v>
      </c>
      <c r="AM28" s="129" t="s">
        <v>390</v>
      </c>
      <c r="AN28" s="125"/>
      <c r="AO28" s="94"/>
      <c r="AP28" s="125" t="str">
        <f aca="false">IF(OR(AN28="",AO28=""),"",IF(AN28&gt;AO28,"OK","LOW CONF"))</f>
        <v/>
      </c>
      <c r="AQ28" s="125"/>
      <c r="AR28" s="94"/>
      <c r="AS28" s="135" t="str">
        <f aca="false">IF(OR(AQ28="",AR28=""),"",IF(AQ28&lt;AR28,"Decreased",IF(AQ28&gt;AR28,"Increased","Flat")))</f>
        <v/>
      </c>
    </row>
    <row r="29" customFormat="false" ht="15" hidden="true" customHeight="true" outlineLevel="1" collapsed="false">
      <c r="A29" s="63" t="s">
        <v>246</v>
      </c>
      <c r="B29" s="123" t="s">
        <v>391</v>
      </c>
      <c r="C29" s="134" t="n">
        <v>46245</v>
      </c>
      <c r="D29" s="125" t="n">
        <v>2</v>
      </c>
      <c r="E29" s="125" t="s">
        <v>347</v>
      </c>
      <c r="F29" s="125" t="n">
        <v>2</v>
      </c>
      <c r="G29" s="125" t="s">
        <v>347</v>
      </c>
      <c r="H29" s="125" t="n">
        <v>3</v>
      </c>
      <c r="I29" s="125" t="s">
        <v>347</v>
      </c>
      <c r="J29" s="125" t="n">
        <v>3</v>
      </c>
      <c r="K29" s="125" t="s">
        <v>347</v>
      </c>
      <c r="L29" s="125" t="n">
        <v>2</v>
      </c>
      <c r="M29" s="125" t="s">
        <v>348</v>
      </c>
      <c r="N29" s="126" t="n">
        <f aca="false">IF(COUNT(D29,F29,H29,J29,L29)=0,"",(D29*0.2+F29*0.15+H29*0.15+J29*0.1+L29*0.1)/(IF(D29&lt;&gt;"",0.2,0)+IF(F29&lt;&gt;"",0.15,0)+IF(H29&lt;&gt;"",0.15,0)+IF(J29&lt;&gt;"",0.1,0)+IF(L29&lt;&gt;"",0.1,0)))</f>
        <v>2.35714285714286</v>
      </c>
      <c r="O29" s="94" t="n">
        <f aca="false">IF(COUNT(D29,F29,H29,J29,L29)=0,"",D29*0.2+F29*0.15+H29*0.15+J29*0.1+L29*0.1)</f>
        <v>1.65</v>
      </c>
      <c r="P29" s="125"/>
      <c r="Q29" s="125"/>
      <c r="R29" s="125"/>
      <c r="S29" s="125"/>
      <c r="T29" s="125"/>
      <c r="U29" s="125"/>
      <c r="V29" s="125"/>
      <c r="W29" s="125"/>
      <c r="X29" s="66" t="str">
        <f aca="false">IF(COUNT(P29,R29,T29,V29)=0,"",P29*0.08+R29*0.06+T29*0.03+V29*0.08)</f>
        <v/>
      </c>
      <c r="Y29" s="125"/>
      <c r="Z29" s="125"/>
      <c r="AA29" s="125"/>
      <c r="AB29" s="125"/>
      <c r="AC29" s="125"/>
      <c r="AD29" s="125"/>
      <c r="AE29" s="66" t="str">
        <f aca="false">IF(COUNT(Y29,AA29,AC29)=0,"",Y29*0.02+AA29*0.02+AC29*0.01)</f>
        <v/>
      </c>
      <c r="AF29" s="94" t="str">
        <f aca="false">IF(OR(COUNT(D29,F29,H29,J29,L29)&lt;5,COUNT(P29,R29,T29,V29)&lt;4,COUNT(Y29,AA29,AC29)&lt;3),"",(O29+X29+AE29)*20)</f>
        <v/>
      </c>
      <c r="AG29" s="94" t="str">
        <f aca="false">IF(AF29="","",IF(AJ29="AVOID","AVOID",IF(AF29&gt;=80,IF(AH29="FAIL","WATCH LIST",IF(AK29="CAP AT BUY","BUY","STRONG BUY")),IF(AF29&gt;=65,IF(AH29="FAIL","WATCH LIST","BUY"),IF(AF29&gt;=50,"WATCH LIST",IF(AF29&gt;=35,"AVOID","PASS"))))))</f>
        <v/>
      </c>
      <c r="AH29" s="94" t="str">
        <f aca="false">IF(N29="","",IF(N29&lt;3,"FAIL","OK"))</f>
        <v>FAIL</v>
      </c>
      <c r="AI29" s="94" t="str">
        <f aca="false">IF(COUNT(D29:L29)=0,"",IF(COUNTIF(D29:L29,1)&gt;0,"REVIEW","OK"))</f>
        <v>OK</v>
      </c>
      <c r="AJ29" s="94" t="str">
        <f aca="false">IF(COUNT(D29:L29)=0,"",IF(COUNTIF(D29:L29,"&lt;=2")&gt;=2,"AVOID","OK"))</f>
        <v>AVOID</v>
      </c>
      <c r="AK29" s="94" t="str">
        <f aca="false">IF(COUNTA(E29:M29)=0,"",IF(COUNTIF(E29:M29,"L")&gt;=2,"CAP AT BUY","OK"))</f>
        <v>OK</v>
      </c>
      <c r="AL29" s="129" t="s">
        <v>358</v>
      </c>
      <c r="AM29" s="129" t="s">
        <v>392</v>
      </c>
      <c r="AN29" s="125"/>
      <c r="AO29" s="94"/>
      <c r="AP29" s="125" t="str">
        <f aca="false">IF(OR(AN29="",AO29=""),"",IF(AN29&gt;AO29,"OK","LOW CONF"))</f>
        <v/>
      </c>
      <c r="AQ29" s="125"/>
      <c r="AR29" s="94"/>
      <c r="AS29" s="135" t="str">
        <f aca="false">IF(OR(AQ29="",AR29=""),"",IF(AQ29&lt;AR29,"Decreased",IF(AQ29&gt;AR29,"Increased","Flat")))</f>
        <v/>
      </c>
    </row>
    <row r="30" customFormat="false" ht="15" hidden="true" customHeight="true" outlineLevel="1" collapsed="false">
      <c r="A30" s="63" t="s">
        <v>250</v>
      </c>
      <c r="B30" s="123" t="s">
        <v>393</v>
      </c>
      <c r="C30" s="134" t="n">
        <v>46245</v>
      </c>
      <c r="D30" s="125" t="n">
        <v>2</v>
      </c>
      <c r="E30" s="125" t="s">
        <v>347</v>
      </c>
      <c r="F30" s="125" t="n">
        <v>1</v>
      </c>
      <c r="G30" s="125" t="s">
        <v>348</v>
      </c>
      <c r="H30" s="125" t="n">
        <v>3</v>
      </c>
      <c r="I30" s="125" t="s">
        <v>347</v>
      </c>
      <c r="J30" s="125" t="n">
        <v>2</v>
      </c>
      <c r="K30" s="125" t="s">
        <v>347</v>
      </c>
      <c r="L30" s="125" t="n">
        <v>3</v>
      </c>
      <c r="M30" s="125" t="s">
        <v>347</v>
      </c>
      <c r="N30" s="126" t="n">
        <f aca="false">IF(COUNT(D30,F30,H30,J30,L30)=0,"",(D30*0.2+F30*0.15+H30*0.15+J30*0.1+L30*0.1)/(IF(D30&lt;&gt;"",0.2,0)+IF(F30&lt;&gt;"",0.15,0)+IF(H30&lt;&gt;"",0.15,0)+IF(J30&lt;&gt;"",0.1,0)+IF(L30&lt;&gt;"",0.1,0)))</f>
        <v>2.14285714285714</v>
      </c>
      <c r="O30" s="94" t="n">
        <f aca="false">IF(COUNT(D30,F30,H30,J30,L30)=0,"",D30*0.2+F30*0.15+H30*0.15+J30*0.1+L30*0.1)</f>
        <v>1.5</v>
      </c>
      <c r="P30" s="125"/>
      <c r="Q30" s="125"/>
      <c r="R30" s="125"/>
      <c r="S30" s="125"/>
      <c r="T30" s="125"/>
      <c r="U30" s="125"/>
      <c r="V30" s="125"/>
      <c r="W30" s="125"/>
      <c r="X30" s="66" t="str">
        <f aca="false">IF(COUNT(P30,R30,T30,V30)=0,"",P30*0.08+R30*0.06+T30*0.03+V30*0.08)</f>
        <v/>
      </c>
      <c r="Y30" s="125"/>
      <c r="Z30" s="125"/>
      <c r="AA30" s="125"/>
      <c r="AB30" s="125"/>
      <c r="AC30" s="125"/>
      <c r="AD30" s="125"/>
      <c r="AE30" s="66" t="str">
        <f aca="false">IF(COUNT(Y30,AA30,AC30)=0,"",Y30*0.02+AA30*0.02+AC30*0.01)</f>
        <v/>
      </c>
      <c r="AF30" s="94" t="str">
        <f aca="false">IF(OR(COUNT(D30,F30,H30,J30,L30)&lt;5,COUNT(P30,R30,T30,V30)&lt;4,COUNT(Y30,AA30,AC30)&lt;3),"",(O30+X30+AE30)*20)</f>
        <v/>
      </c>
      <c r="AG30" s="94" t="str">
        <f aca="false">IF(AF30="","",IF(AJ30="AVOID","AVOID",IF(AF30&gt;=80,IF(AH30="FAIL","WATCH LIST",IF(AK30="CAP AT BUY","BUY","STRONG BUY")),IF(AF30&gt;=65,IF(AH30="FAIL","WATCH LIST","BUY"),IF(AF30&gt;=50,"WATCH LIST",IF(AF30&gt;=35,"AVOID","PASS"))))))</f>
        <v/>
      </c>
      <c r="AH30" s="94" t="str">
        <f aca="false">IF(N30="","",IF(N30&lt;3,"FAIL","OK"))</f>
        <v>FAIL</v>
      </c>
      <c r="AI30" s="94" t="str">
        <f aca="false">IF(COUNT(D30:L30)=0,"",IF(COUNTIF(D30:L30,1)&gt;0,"REVIEW","OK"))</f>
        <v>REVIEW</v>
      </c>
      <c r="AJ30" s="94" t="str">
        <f aca="false">IF(COUNT(D30:L30)=0,"",IF(COUNTIF(D30:L30,"&lt;=2")&gt;=2,"AVOID","OK"))</f>
        <v>AVOID</v>
      </c>
      <c r="AK30" s="94" t="str">
        <f aca="false">IF(COUNTA(E30:M30)=0,"",IF(COUNTIF(E30:M30,"L")&gt;=2,"CAP AT BUY","OK"))</f>
        <v>OK</v>
      </c>
      <c r="AL30" s="129" t="s">
        <v>358</v>
      </c>
      <c r="AM30" s="129" t="s">
        <v>394</v>
      </c>
      <c r="AN30" s="125"/>
      <c r="AO30" s="94"/>
      <c r="AP30" s="125" t="str">
        <f aca="false">IF(OR(AN30="",AO30=""),"",IF(AN30&gt;AO30,"OK","LOW CONF"))</f>
        <v/>
      </c>
      <c r="AQ30" s="125"/>
      <c r="AR30" s="94"/>
      <c r="AS30" s="135" t="str">
        <f aca="false">IF(OR(AQ30="",AR30=""),"",IF(AQ30&lt;AR30,"Decreased",IF(AQ30&gt;AR30,"Increased","Flat")))</f>
        <v/>
      </c>
    </row>
    <row r="31" customFormat="false" ht="15" hidden="true" customHeight="true" outlineLevel="1" collapsed="false">
      <c r="A31" s="63" t="s">
        <v>259</v>
      </c>
      <c r="B31" s="123" t="s">
        <v>395</v>
      </c>
      <c r="C31" s="134" t="n">
        <v>46245</v>
      </c>
      <c r="D31" s="125" t="n">
        <v>1</v>
      </c>
      <c r="E31" s="125" t="s">
        <v>348</v>
      </c>
      <c r="F31" s="125" t="n">
        <v>2</v>
      </c>
      <c r="G31" s="125" t="s">
        <v>347</v>
      </c>
      <c r="H31" s="125" t="n">
        <v>3</v>
      </c>
      <c r="I31" s="125" t="s">
        <v>347</v>
      </c>
      <c r="J31" s="125" t="n">
        <v>3</v>
      </c>
      <c r="K31" s="125" t="s">
        <v>347</v>
      </c>
      <c r="L31" s="125" t="n">
        <v>1</v>
      </c>
      <c r="M31" s="125" t="s">
        <v>348</v>
      </c>
      <c r="N31" s="126" t="n">
        <f aca="false">IF(COUNT(D31,F31,H31,J31,L31)=0,"",(D31*0.2+F31*0.15+H31*0.15+J31*0.1+L31*0.1)/(IF(D31&lt;&gt;"",0.2,0)+IF(F31&lt;&gt;"",0.15,0)+IF(H31&lt;&gt;"",0.15,0)+IF(J31&lt;&gt;"",0.1,0)+IF(L31&lt;&gt;"",0.1,0)))</f>
        <v>1.92857142857143</v>
      </c>
      <c r="O31" s="94" t="n">
        <f aca="false">IF(COUNT(D31,F31,H31,J31,L31)=0,"",D31*0.2+F31*0.15+H31*0.15+J31*0.1+L31*0.1)</f>
        <v>1.35</v>
      </c>
      <c r="P31" s="125"/>
      <c r="Q31" s="125"/>
      <c r="R31" s="125"/>
      <c r="S31" s="125"/>
      <c r="T31" s="125"/>
      <c r="U31" s="125"/>
      <c r="V31" s="125"/>
      <c r="W31" s="125"/>
      <c r="X31" s="66" t="str">
        <f aca="false">IF(COUNT(P31,R31,T31,V31)=0,"",P31*0.08+R31*0.06+T31*0.03+V31*0.08)</f>
        <v/>
      </c>
      <c r="Y31" s="125"/>
      <c r="Z31" s="125"/>
      <c r="AA31" s="125"/>
      <c r="AB31" s="125"/>
      <c r="AC31" s="125"/>
      <c r="AD31" s="125"/>
      <c r="AE31" s="66" t="str">
        <f aca="false">IF(COUNT(Y31,AA31,AC31)=0,"",Y31*0.02+AA31*0.02+AC31*0.01)</f>
        <v/>
      </c>
      <c r="AF31" s="94" t="str">
        <f aca="false">IF(OR(COUNT(D31,F31,H31,J31,L31)&lt;5,COUNT(P31,R31,T31,V31)&lt;4,COUNT(Y31,AA31,AC31)&lt;3),"",(O31+X31+AE31)*20)</f>
        <v/>
      </c>
      <c r="AG31" s="94" t="str">
        <f aca="false">IF(AF31="","",IF(AJ31="AVOID","AVOID",IF(AF31&gt;=80,IF(AH31="FAIL","WATCH LIST",IF(AK31="CAP AT BUY","BUY","STRONG BUY")),IF(AF31&gt;=65,IF(AH31="FAIL","WATCH LIST","BUY"),IF(AF31&gt;=50,"WATCH LIST",IF(AF31&gt;=35,"AVOID","PASS"))))))</f>
        <v/>
      </c>
      <c r="AH31" s="94" t="str">
        <f aca="false">IF(N31="","",IF(N31&lt;3,"FAIL","OK"))</f>
        <v>FAIL</v>
      </c>
      <c r="AI31" s="94" t="str">
        <f aca="false">IF(COUNT(D31:L31)=0,"",IF(COUNTIF(D31:L31,1)&gt;0,"REVIEW","OK"))</f>
        <v>REVIEW</v>
      </c>
      <c r="AJ31" s="94" t="str">
        <f aca="false">IF(COUNT(D31:L31)=0,"",IF(COUNTIF(D31:L31,"&lt;=2")&gt;=2,"AVOID","OK"))</f>
        <v>AVOID</v>
      </c>
      <c r="AK31" s="94" t="str">
        <f aca="false">IF(COUNTA(E31:M31)=0,"",IF(COUNTIF(E31:M31,"L")&gt;=2,"CAP AT BUY","OK"))</f>
        <v>OK</v>
      </c>
      <c r="AL31" s="129" t="s">
        <v>358</v>
      </c>
      <c r="AM31" s="129" t="s">
        <v>396</v>
      </c>
      <c r="AN31" s="125"/>
      <c r="AO31" s="94"/>
      <c r="AP31" s="125" t="str">
        <f aca="false">IF(OR(AN31="",AO31=""),"",IF(AN31&gt;AO31,"OK","LOW CONF"))</f>
        <v/>
      </c>
      <c r="AQ31" s="125"/>
      <c r="AR31" s="94"/>
      <c r="AS31" s="135" t="str">
        <f aca="false">IF(OR(AQ31="",AR31=""),"",IF(AQ31&lt;AR31,"Decreased",IF(AQ31&gt;AR31,"Increased","Flat")))</f>
        <v/>
      </c>
    </row>
    <row r="32" customFormat="false" ht="15" hidden="false" customHeight="true" outlineLevel="0" collapsed="false">
      <c r="A32" s="63" t="s">
        <v>273</v>
      </c>
      <c r="B32" s="123" t="s">
        <v>397</v>
      </c>
      <c r="C32" s="134" t="n">
        <v>46278</v>
      </c>
      <c r="D32" s="125" t="n">
        <v>4</v>
      </c>
      <c r="E32" s="125" t="s">
        <v>347</v>
      </c>
      <c r="F32" s="125" t="n">
        <v>3</v>
      </c>
      <c r="G32" s="125" t="s">
        <v>347</v>
      </c>
      <c r="H32" s="125" t="n">
        <v>5</v>
      </c>
      <c r="I32" s="125" t="s">
        <v>348</v>
      </c>
      <c r="J32" s="125" t="n">
        <v>4</v>
      </c>
      <c r="K32" s="125" t="s">
        <v>347</v>
      </c>
      <c r="L32" s="125" t="n">
        <v>4</v>
      </c>
      <c r="M32" s="125" t="s">
        <v>347</v>
      </c>
      <c r="N32" s="126" t="n">
        <f aca="false">IF(COUNT(D32,F32,H32,J32,L32)=0,"",(D32*0.2+F32*0.15+H32*0.15+J32*0.1+L32*0.1)/(IF(D32&lt;&gt;"",0.2,0)+IF(F32&lt;&gt;"",0.15,0)+IF(H32&lt;&gt;"",0.15,0)+IF(J32&lt;&gt;"",0.1,0)+IF(L32&lt;&gt;"",0.1,0)))</f>
        <v>4</v>
      </c>
      <c r="O32" s="94" t="n">
        <f aca="false">IF(COUNT(D32,F32,H32,J32,L32)=0,"",D32*0.2+F32*0.15+H32*0.15+J32*0.1+L32*0.1)</f>
        <v>2.8</v>
      </c>
      <c r="P32" s="125"/>
      <c r="Q32" s="125"/>
      <c r="R32" s="125"/>
      <c r="S32" s="125"/>
      <c r="T32" s="125"/>
      <c r="U32" s="125"/>
      <c r="V32" s="125"/>
      <c r="W32" s="125"/>
      <c r="X32" s="66" t="str">
        <f aca="false">IF(COUNT(P32,R32,T32,V32)=0,"",P32*0.08+R32*0.06+T32*0.03+V32*0.08)</f>
        <v/>
      </c>
      <c r="Y32" s="125"/>
      <c r="Z32" s="125"/>
      <c r="AA32" s="125"/>
      <c r="AB32" s="125"/>
      <c r="AC32" s="125"/>
      <c r="AD32" s="125"/>
      <c r="AE32" s="66" t="str">
        <f aca="false">IF(COUNT(Y32,AA32,AC32)=0,"",Y32*0.02+AA32*0.02+AC32*0.01)</f>
        <v/>
      </c>
      <c r="AF32" s="94" t="str">
        <f aca="false">IF(OR(COUNT(D32,F32,H32,J32,L32)&lt;5,COUNT(P32,R32,T32,V32)&lt;4,COUNT(Y32,AA32,AC32)&lt;3),"",(O32+X32+AE32)*20)</f>
        <v/>
      </c>
      <c r="AG32" s="94" t="str">
        <f aca="false">IF(AF32="","",IF(AJ32="AVOID","AVOID",IF(AF32&gt;=80,IF(AH32="FAIL","WATCH LIST",IF(AK32="CAP AT BUY","BUY","STRONG BUY")),IF(AF32&gt;=65,IF(AH32="FAIL","WATCH LIST","BUY"),IF(AF32&gt;=50,"WATCH LIST",IF(AF32&gt;=35,"AVOID","PASS"))))))</f>
        <v/>
      </c>
      <c r="AH32" s="94" t="str">
        <f aca="false">IF(N32="","",IF(N32&lt;3,"FAIL","OK"))</f>
        <v>OK</v>
      </c>
      <c r="AI32" s="94" t="str">
        <f aca="false">IF(COUNT(D32:L32)=0,"",IF(COUNTIF(D32:L32,1)&gt;0,"REVIEW","OK"))</f>
        <v>OK</v>
      </c>
      <c r="AJ32" s="94" t="str">
        <f aca="false">IF(COUNT(D32:L32)=0,"",IF(COUNTIF(D32:L32,"&lt;=2")&gt;=2,"AVOID","OK"))</f>
        <v>OK</v>
      </c>
      <c r="AK32" s="94" t="str">
        <f aca="false">IF(COUNTA(E32:M32)=0,"",IF(COUNTIF(E32:M32,"L")&gt;=2,"CAP AT BUY","OK"))</f>
        <v>OK</v>
      </c>
      <c r="AL32" s="129" t="s">
        <v>358</v>
      </c>
      <c r="AM32" s="129" t="s">
        <v>394</v>
      </c>
      <c r="AN32" s="125"/>
      <c r="AO32" s="94"/>
      <c r="AP32" s="125" t="str">
        <f aca="false">IF(OR(AN32="",AO32=""),"",IF(AN32&gt;AO32,"OK","LOW CONF"))</f>
        <v/>
      </c>
      <c r="AQ32" s="125"/>
      <c r="AR32" s="94"/>
      <c r="AS32" s="135" t="str">
        <f aca="false">IF(OR(AQ32="",AR32=""),"",IF(AQ32&lt;AR32,"Decreased",IF(AQ32&gt;AR32,"Increased","Flat")))</f>
        <v/>
      </c>
    </row>
    <row r="33" customFormat="false" ht="15" hidden="false" customHeight="true" outlineLevel="0" collapsed="false">
      <c r="A33" s="63" t="s">
        <v>242</v>
      </c>
      <c r="B33" s="123" t="s">
        <v>398</v>
      </c>
      <c r="C33" s="134" t="n">
        <v>46245</v>
      </c>
      <c r="D33" s="125" t="n">
        <v>4</v>
      </c>
      <c r="E33" s="125" t="s">
        <v>348</v>
      </c>
      <c r="F33" s="125" t="n">
        <v>4</v>
      </c>
      <c r="G33" s="125" t="s">
        <v>348</v>
      </c>
      <c r="H33" s="125" t="n">
        <v>4</v>
      </c>
      <c r="I33" s="125" t="s">
        <v>348</v>
      </c>
      <c r="J33" s="125" t="n">
        <v>3</v>
      </c>
      <c r="K33" s="125" t="s">
        <v>347</v>
      </c>
      <c r="L33" s="125" t="n">
        <v>3</v>
      </c>
      <c r="M33" s="125" t="s">
        <v>348</v>
      </c>
      <c r="N33" s="126" t="n">
        <f aca="false">IF(COUNT(D33,F33,H33,J33,L33)=0,"",(D33*0.2+F33*0.15+H33*0.15+J33*0.1+L33*0.1)/(IF(D33&lt;&gt;"",0.2,0)+IF(F33&lt;&gt;"",0.15,0)+IF(H33&lt;&gt;"",0.15,0)+IF(J33&lt;&gt;"",0.1,0)+IF(L33&lt;&gt;"",0.1,0)))</f>
        <v>3.71428571428571</v>
      </c>
      <c r="O33" s="94" t="n">
        <f aca="false">IF(COUNT(D33,F33,H33,J33,L33)=0,"",D33*0.2+F33*0.15+H33*0.15+J33*0.1+L33*0.1)</f>
        <v>2.6</v>
      </c>
      <c r="P33" s="125"/>
      <c r="Q33" s="125"/>
      <c r="R33" s="125"/>
      <c r="S33" s="125"/>
      <c r="T33" s="125"/>
      <c r="U33" s="125"/>
      <c r="V33" s="125"/>
      <c r="W33" s="125"/>
      <c r="X33" s="66" t="str">
        <f aca="false">IF(COUNT(P33,R33,T33,V33)=0,"",P33*0.08+R33*0.06+T33*0.03+V33*0.08)</f>
        <v/>
      </c>
      <c r="Y33" s="125"/>
      <c r="Z33" s="125"/>
      <c r="AA33" s="125"/>
      <c r="AB33" s="125"/>
      <c r="AC33" s="125"/>
      <c r="AD33" s="125"/>
      <c r="AE33" s="66" t="str">
        <f aca="false">IF(COUNT(Y33,AA33,AC33)=0,"",Y33*0.02+AA33*0.02+AC33*0.01)</f>
        <v/>
      </c>
      <c r="AF33" s="94" t="str">
        <f aca="false">IF(OR(COUNT(D33,F33,H33,J33,L33)&lt;5,COUNT(P33,R33,T33,V33)&lt;4,COUNT(Y33,AA33,AC33)&lt;3),"",(O33+X33+AE33)*20)</f>
        <v/>
      </c>
      <c r="AG33" s="94" t="str">
        <f aca="false">IF(AF33="","",IF(AJ33="AVOID","AVOID",IF(AF33&gt;=80,IF(AH33="FAIL","WATCH LIST",IF(AK33="CAP AT BUY","BUY","STRONG BUY")),IF(AF33&gt;=65,IF(AH33="FAIL","WATCH LIST","BUY"),IF(AF33&gt;=50,"WATCH LIST",IF(AF33&gt;=35,"AVOID","PASS"))))))</f>
        <v/>
      </c>
      <c r="AH33" s="94" t="str">
        <f aca="false">IF(N33="","",IF(N33&lt;3,"FAIL","OK"))</f>
        <v>OK</v>
      </c>
      <c r="AI33" s="94" t="str">
        <f aca="false">IF(COUNT(D33:L33)=0,"",IF(COUNTIF(D33:L33,1)&gt;0,"REVIEW","OK"))</f>
        <v>OK</v>
      </c>
      <c r="AJ33" s="94" t="str">
        <f aca="false">IF(COUNT(D33:L33)=0,"",IF(COUNTIF(D33:L33,"&lt;=2")&gt;=2,"AVOID","OK"))</f>
        <v>OK</v>
      </c>
      <c r="AK33" s="94" t="str">
        <f aca="false">IF(COUNTA(E33:M33)=0,"",IF(COUNTIF(E33:M33,"L")&gt;=2,"CAP AT BUY","OK"))</f>
        <v>OK</v>
      </c>
      <c r="AL33" s="129" t="s">
        <v>360</v>
      </c>
      <c r="AM33" s="129" t="s">
        <v>399</v>
      </c>
      <c r="AN33" s="125"/>
      <c r="AO33" s="94"/>
      <c r="AP33" s="125" t="str">
        <f aca="false">IF(OR(AN33="",AO33=""),"",IF(AN33&gt;AO33,"OK","LOW CONF"))</f>
        <v/>
      </c>
      <c r="AQ33" s="125"/>
      <c r="AR33" s="94"/>
      <c r="AS33" s="135" t="str">
        <f aca="false">IF(OR(AQ33="",AR33=""),"",IF(AQ33&lt;AR33,"Decreased",IF(AQ33&gt;AR33,"Increased","Flat")))</f>
        <v/>
      </c>
    </row>
    <row r="34" customFormat="false" ht="15" hidden="false" customHeight="true" outlineLevel="0" collapsed="false">
      <c r="A34" s="63" t="s">
        <v>249</v>
      </c>
      <c r="B34" s="123" t="s">
        <v>400</v>
      </c>
      <c r="C34" s="134" t="n">
        <v>46278</v>
      </c>
      <c r="D34" s="125" t="n">
        <v>5</v>
      </c>
      <c r="E34" s="125" t="s">
        <v>347</v>
      </c>
      <c r="F34" s="125" t="n">
        <v>2</v>
      </c>
      <c r="G34" s="125" t="s">
        <v>347</v>
      </c>
      <c r="H34" s="125" t="n">
        <v>5</v>
      </c>
      <c r="I34" s="125" t="s">
        <v>348</v>
      </c>
      <c r="J34" s="125" t="n">
        <v>4</v>
      </c>
      <c r="K34" s="125" t="s">
        <v>348</v>
      </c>
      <c r="L34" s="125" t="n">
        <v>3</v>
      </c>
      <c r="M34" s="125" t="s">
        <v>347</v>
      </c>
      <c r="N34" s="126" t="n">
        <f aca="false">IF(COUNT(D34,F34,H34,J34,L34)=0,"",(D34*0.2+F34*0.15+H34*0.15+J34*0.1+L34*0.1)/(IF(D34&lt;&gt;"",0.2,0)+IF(F34&lt;&gt;"",0.15,0)+IF(H34&lt;&gt;"",0.15,0)+IF(J34&lt;&gt;"",0.1,0)+IF(L34&lt;&gt;"",0.1,0)))</f>
        <v>3.92857142857143</v>
      </c>
      <c r="O34" s="94" t="n">
        <f aca="false">IF(COUNT(D34,F34,H34,J34,L34)=0,"",D34*0.2+F34*0.15+H34*0.15+J34*0.1+L34*0.1)</f>
        <v>2.75</v>
      </c>
      <c r="P34" s="125"/>
      <c r="Q34" s="125"/>
      <c r="R34" s="125"/>
      <c r="S34" s="125"/>
      <c r="T34" s="125"/>
      <c r="U34" s="125"/>
      <c r="V34" s="125"/>
      <c r="W34" s="125"/>
      <c r="X34" s="66" t="str">
        <f aca="false">IF(COUNT(P34,R34,T34,V34)=0,"",P34*0.08+R34*0.06+T34*0.03+V34*0.08)</f>
        <v/>
      </c>
      <c r="Y34" s="125"/>
      <c r="Z34" s="125"/>
      <c r="AA34" s="125"/>
      <c r="AB34" s="125"/>
      <c r="AC34" s="125"/>
      <c r="AD34" s="125"/>
      <c r="AE34" s="66" t="str">
        <f aca="false">IF(COUNT(Y34,AA34,AC34)=0,"",Y34*0.02+AA34*0.02+AC34*0.01)</f>
        <v/>
      </c>
      <c r="AF34" s="94" t="str">
        <f aca="false">IF(OR(COUNT(D34,F34,H34,J34,L34)&lt;5,COUNT(P34,R34,T34,V34)&lt;4,COUNT(Y34,AA34,AC34)&lt;3),"",(O34+X34+AE34)*20)</f>
        <v/>
      </c>
      <c r="AG34" s="94" t="str">
        <f aca="false">IF(AF34="","",IF(AJ34="AVOID","AVOID",IF(AF34&gt;=80,IF(AH34="FAIL","WATCH LIST",IF(AK34="CAP AT BUY","BUY","STRONG BUY")),IF(AF34&gt;=65,IF(AH34="FAIL","WATCH LIST","BUY"),IF(AF34&gt;=50,"WATCH LIST",IF(AF34&gt;=35,"AVOID","PASS"))))))</f>
        <v/>
      </c>
      <c r="AH34" s="94" t="str">
        <f aca="false">IF(N34="","",IF(N34&lt;3,"FAIL","OK"))</f>
        <v>OK</v>
      </c>
      <c r="AI34" s="94" t="str">
        <f aca="false">IF(COUNT(D34:L34)=0,"",IF(COUNTIF(D34:L34,1)&gt;0,"REVIEW","OK"))</f>
        <v>OK</v>
      </c>
      <c r="AJ34" s="94" t="str">
        <f aca="false">IF(COUNT(D34:L34)=0,"",IF(COUNTIF(D34:L34,"&lt;=2")&gt;=2,"AVOID","OK"))</f>
        <v>OK</v>
      </c>
      <c r="AK34" s="94" t="str">
        <f aca="false">IF(COUNTA(E34:M34)=0,"",IF(COUNTIF(E34:M34,"L")&gt;=2,"CAP AT BUY","OK"))</f>
        <v>OK</v>
      </c>
      <c r="AL34" s="129" t="s">
        <v>360</v>
      </c>
      <c r="AM34" s="129" t="s">
        <v>399</v>
      </c>
      <c r="AN34" s="125"/>
      <c r="AO34" s="94"/>
      <c r="AP34" s="125" t="str">
        <f aca="false">IF(OR(AN34="",AO34=""),"",IF(AN34&gt;AO34,"OK","LOW CONF"))</f>
        <v/>
      </c>
      <c r="AQ34" s="125"/>
      <c r="AR34" s="94"/>
      <c r="AS34" s="135" t="str">
        <f aca="false">IF(OR(AQ34="",AR34=""),"",IF(AQ34&lt;AR34,"Decreased",IF(AQ34&gt;AR34,"Increased","Flat")))</f>
        <v/>
      </c>
    </row>
    <row r="35" customFormat="false" ht="15" hidden="true" customHeight="true" outlineLevel="1" collapsed="false">
      <c r="A35" s="63" t="s">
        <v>277</v>
      </c>
      <c r="B35" s="123" t="s">
        <v>401</v>
      </c>
      <c r="C35" s="134" t="n">
        <v>46245</v>
      </c>
      <c r="D35" s="125" t="n">
        <v>1</v>
      </c>
      <c r="E35" s="125" t="s">
        <v>348</v>
      </c>
      <c r="F35" s="125" t="n">
        <v>1</v>
      </c>
      <c r="G35" s="125" t="s">
        <v>348</v>
      </c>
      <c r="H35" s="125" t="n">
        <v>2</v>
      </c>
      <c r="I35" s="125" t="s">
        <v>347</v>
      </c>
      <c r="J35" s="125" t="n">
        <v>2</v>
      </c>
      <c r="K35" s="125" t="s">
        <v>347</v>
      </c>
      <c r="L35" s="125" t="n">
        <v>1</v>
      </c>
      <c r="M35" s="125" t="s">
        <v>348</v>
      </c>
      <c r="N35" s="126" t="n">
        <f aca="false">IF(COUNT(D35,F35,H35,J35,L35)=0,"",(D35*0.2+F35*0.15+H35*0.15+J35*0.1+L35*0.1)/(IF(D35&lt;&gt;"",0.2,0)+IF(F35&lt;&gt;"",0.15,0)+IF(H35&lt;&gt;"",0.15,0)+IF(J35&lt;&gt;"",0.1,0)+IF(L35&lt;&gt;"",0.1,0)))</f>
        <v>1.35714285714286</v>
      </c>
      <c r="O35" s="94" t="n">
        <f aca="false">IF(COUNT(D35,F35,H35,J35,L35)=0,"",D35*0.2+F35*0.15+H35*0.15+J35*0.1+L35*0.1)</f>
        <v>0.95</v>
      </c>
      <c r="P35" s="125"/>
      <c r="Q35" s="125"/>
      <c r="R35" s="125"/>
      <c r="S35" s="125"/>
      <c r="T35" s="125"/>
      <c r="U35" s="125"/>
      <c r="V35" s="125"/>
      <c r="W35" s="125"/>
      <c r="X35" s="66" t="str">
        <f aca="false">IF(COUNT(P35,R35,T35,V35)=0,"",P35*0.08+R35*0.06+T35*0.03+V35*0.08)</f>
        <v/>
      </c>
      <c r="Y35" s="125"/>
      <c r="Z35" s="125"/>
      <c r="AA35" s="125"/>
      <c r="AB35" s="125"/>
      <c r="AC35" s="125"/>
      <c r="AD35" s="125"/>
      <c r="AE35" s="66" t="str">
        <f aca="false">IF(COUNT(Y35,AA35,AC35)=0,"",Y35*0.02+AA35*0.02+AC35*0.01)</f>
        <v/>
      </c>
      <c r="AF35" s="94" t="str">
        <f aca="false">IF(OR(COUNT(D35,F35,H35,J35,L35)&lt;5,COUNT(P35,R35,T35,V35)&lt;4,COUNT(Y35,AA35,AC35)&lt;3),"",(O35+X35+AE35)*20)</f>
        <v/>
      </c>
      <c r="AG35" s="94" t="str">
        <f aca="false">IF(AF35="","",IF(AJ35="AVOID","AVOID",IF(AF35&gt;=80,IF(AH35="FAIL","WATCH LIST",IF(AK35="CAP AT BUY","BUY","STRONG BUY")),IF(AF35&gt;=65,IF(AH35="FAIL","WATCH LIST","BUY"),IF(AF35&gt;=50,"WATCH LIST",IF(AF35&gt;=35,"AVOID","PASS"))))))</f>
        <v/>
      </c>
      <c r="AH35" s="94" t="str">
        <f aca="false">IF(N35="","",IF(N35&lt;3,"FAIL","OK"))</f>
        <v>FAIL</v>
      </c>
      <c r="AI35" s="94" t="str">
        <f aca="false">IF(COUNT(D35:L35)=0,"",IF(COUNTIF(D35:L35,1)&gt;0,"REVIEW","OK"))</f>
        <v>REVIEW</v>
      </c>
      <c r="AJ35" s="94" t="str">
        <f aca="false">IF(COUNT(D35:L35)=0,"",IF(COUNTIF(D35:L35,"&lt;=2")&gt;=2,"AVOID","OK"))</f>
        <v>AVOID</v>
      </c>
      <c r="AK35" s="94" t="str">
        <f aca="false">IF(COUNTA(E35:M35)=0,"",IF(COUNTIF(E35:M35,"L")&gt;=2,"CAP AT BUY","OK"))</f>
        <v>OK</v>
      </c>
      <c r="AL35" s="129" t="s">
        <v>360</v>
      </c>
      <c r="AM35" s="129" t="s">
        <v>399</v>
      </c>
      <c r="AN35" s="125"/>
      <c r="AO35" s="94"/>
      <c r="AP35" s="125" t="str">
        <f aca="false">IF(OR(AN35="",AO35=""),"",IF(AN35&gt;AO35,"OK","LOW CONF"))</f>
        <v/>
      </c>
      <c r="AQ35" s="125"/>
      <c r="AR35" s="94"/>
      <c r="AS35" s="135" t="str">
        <f aca="false">IF(OR(AQ35="",AR35=""),"",IF(AQ35&lt;AR35,"Decreased",IF(AQ35&gt;AR35,"Increased","Flat")))</f>
        <v/>
      </c>
    </row>
    <row r="36" customFormat="false" ht="15" hidden="false" customHeight="true" outlineLevel="0" collapsed="false">
      <c r="A36" s="63" t="s">
        <v>283</v>
      </c>
      <c r="B36" s="123" t="s">
        <v>402</v>
      </c>
      <c r="C36" s="134" t="n">
        <v>46278</v>
      </c>
      <c r="D36" s="125" t="n">
        <v>4</v>
      </c>
      <c r="E36" s="125" t="s">
        <v>347</v>
      </c>
      <c r="F36" s="125" t="n">
        <v>3</v>
      </c>
      <c r="G36" s="125" t="s">
        <v>347</v>
      </c>
      <c r="H36" s="125" t="n">
        <v>4</v>
      </c>
      <c r="I36" s="125" t="s">
        <v>347</v>
      </c>
      <c r="J36" s="125" t="n">
        <v>4</v>
      </c>
      <c r="K36" s="125" t="s">
        <v>348</v>
      </c>
      <c r="L36" s="125" t="n">
        <v>4</v>
      </c>
      <c r="M36" s="125" t="s">
        <v>347</v>
      </c>
      <c r="N36" s="126" t="n">
        <f aca="false">IF(COUNT(D36,F36,H36,J36,L36)=0,"",(D36*0.2+F36*0.15+H36*0.15+J36*0.1+L36*0.1)/(IF(D36&lt;&gt;"",0.2,0)+IF(F36&lt;&gt;"",0.15,0)+IF(H36&lt;&gt;"",0.15,0)+IF(J36&lt;&gt;"",0.1,0)+IF(L36&lt;&gt;"",0.1,0)))</f>
        <v>3.78571428571429</v>
      </c>
      <c r="O36" s="94" t="n">
        <f aca="false">IF(COUNT(D36,F36,H36,J36,L36)=0,"",D36*0.2+F36*0.15+H36*0.15+J36*0.1+L36*0.1)</f>
        <v>2.65</v>
      </c>
      <c r="P36" s="125"/>
      <c r="Q36" s="125"/>
      <c r="R36" s="125"/>
      <c r="S36" s="125"/>
      <c r="T36" s="125"/>
      <c r="U36" s="125"/>
      <c r="V36" s="125"/>
      <c r="W36" s="125"/>
      <c r="X36" s="66" t="str">
        <f aca="false">IF(COUNT(P36,R36,T36,V36)=0,"",P36*0.08+R36*0.06+T36*0.03+V36*0.08)</f>
        <v/>
      </c>
      <c r="Y36" s="125"/>
      <c r="Z36" s="125"/>
      <c r="AA36" s="125"/>
      <c r="AB36" s="125"/>
      <c r="AC36" s="125"/>
      <c r="AD36" s="125"/>
      <c r="AE36" s="66" t="str">
        <f aca="false">IF(COUNT(Y36,AA36,AC36)=0,"",Y36*0.02+AA36*0.02+AC36*0.01)</f>
        <v/>
      </c>
      <c r="AF36" s="94" t="str">
        <f aca="false">IF(OR(COUNT(D36,F36,H36,J36,L36)&lt;5,COUNT(P36,R36,T36,V36)&lt;4,COUNT(Y36,AA36,AC36)&lt;3),"",(O36+X36+AE36)*20)</f>
        <v/>
      </c>
      <c r="AG36" s="94" t="str">
        <f aca="false">IF(AF36="","",IF(AJ36="AVOID","AVOID",IF(AF36&gt;=80,IF(AH36="FAIL","WATCH LIST",IF(AK36="CAP AT BUY","BUY","STRONG BUY")),IF(AF36&gt;=65,IF(AH36="FAIL","WATCH LIST","BUY"),IF(AF36&gt;=50,"WATCH LIST",IF(AF36&gt;=35,"AVOID","PASS"))))))</f>
        <v/>
      </c>
      <c r="AH36" s="94" t="str">
        <f aca="false">IF(N36="","",IF(N36&lt;3,"FAIL","OK"))</f>
        <v>OK</v>
      </c>
      <c r="AI36" s="94" t="str">
        <f aca="false">IF(COUNT(D36:L36)=0,"",IF(COUNTIF(D36:L36,1)&gt;0,"REVIEW","OK"))</f>
        <v>OK</v>
      </c>
      <c r="AJ36" s="94" t="str">
        <f aca="false">IF(COUNT(D36:L36)=0,"",IF(COUNTIF(D36:L36,"&lt;=2")&gt;=2,"AVOID","OK"))</f>
        <v>OK</v>
      </c>
      <c r="AK36" s="94" t="str">
        <f aca="false">IF(COUNTA(E36:M36)=0,"",IF(COUNTIF(E36:M36,"L")&gt;=2,"CAP AT BUY","OK"))</f>
        <v>OK</v>
      </c>
      <c r="AL36" s="129" t="s">
        <v>360</v>
      </c>
      <c r="AM36" s="129" t="s">
        <v>399</v>
      </c>
      <c r="AN36" s="125"/>
      <c r="AO36" s="94"/>
      <c r="AP36" s="125" t="str">
        <f aca="false">IF(OR(AN36="",AO36=""),"",IF(AN36&gt;AO36,"OK","LOW CONF"))</f>
        <v/>
      </c>
      <c r="AQ36" s="125"/>
      <c r="AR36" s="94"/>
      <c r="AS36" s="135" t="str">
        <f aca="false">IF(OR(AQ36="",AR36=""),"",IF(AQ36&lt;AR36,"Decreased",IF(AQ36&gt;AR36,"Increased","Flat")))</f>
        <v/>
      </c>
    </row>
    <row r="37" customFormat="false" ht="15" hidden="true" customHeight="true" outlineLevel="1" collapsed="false">
      <c r="A37" s="63" t="s">
        <v>266</v>
      </c>
      <c r="B37" s="123" t="s">
        <v>403</v>
      </c>
      <c r="C37" s="134" t="n">
        <v>46246</v>
      </c>
      <c r="D37" s="125" t="n">
        <v>1</v>
      </c>
      <c r="E37" s="125" t="s">
        <v>348</v>
      </c>
      <c r="F37" s="125" t="n">
        <v>1</v>
      </c>
      <c r="G37" s="125" t="s">
        <v>348</v>
      </c>
      <c r="H37" s="125" t="n">
        <v>3</v>
      </c>
      <c r="I37" s="125" t="s">
        <v>347</v>
      </c>
      <c r="J37" s="125" t="n">
        <v>2</v>
      </c>
      <c r="K37" s="125" t="s">
        <v>347</v>
      </c>
      <c r="L37" s="125" t="n">
        <v>1</v>
      </c>
      <c r="M37" s="125" t="s">
        <v>348</v>
      </c>
      <c r="N37" s="126" t="n">
        <f aca="false">IF(COUNT(D37,F37,H37,J37,L37)=0,"",(D37*0.2+F37*0.15+H37*0.15+J37*0.1+L37*0.1)/(IF(D37&lt;&gt;"",0.2,0)+IF(F37&lt;&gt;"",0.15,0)+IF(H37&lt;&gt;"",0.15,0)+IF(J37&lt;&gt;"",0.1,0)+IF(L37&lt;&gt;"",0.1,0)))</f>
        <v>1.57142857142857</v>
      </c>
      <c r="O37" s="94" t="n">
        <f aca="false">IF(COUNT(D37,F37,H37,J37,L37)=0,"",D37*0.2+F37*0.15+H37*0.15+J37*0.1+L37*0.1)</f>
        <v>1.1</v>
      </c>
      <c r="P37" s="125"/>
      <c r="Q37" s="125"/>
      <c r="R37" s="125"/>
      <c r="S37" s="125"/>
      <c r="T37" s="125"/>
      <c r="U37" s="125"/>
      <c r="V37" s="125"/>
      <c r="W37" s="125"/>
      <c r="X37" s="66" t="str">
        <f aca="false">IF(COUNT(P37,R37,T37,V37)=0,"",P37*0.08+R37*0.06+T37*0.03+V37*0.08)</f>
        <v/>
      </c>
      <c r="Y37" s="125"/>
      <c r="Z37" s="125"/>
      <c r="AA37" s="125"/>
      <c r="AB37" s="125"/>
      <c r="AC37" s="125"/>
      <c r="AD37" s="125"/>
      <c r="AE37" s="66" t="str">
        <f aca="false">IF(COUNT(Y37,AA37,AC37)=0,"",Y37*0.02+AA37*0.02+AC37*0.01)</f>
        <v/>
      </c>
      <c r="AF37" s="94" t="str">
        <f aca="false">IF(OR(COUNT(D37,F37,H37,J37,L37)&lt;5,COUNT(P37,R37,T37,V37)&lt;4,COUNT(Y37,AA37,AC37)&lt;3),"",(O37+X37+AE37)*20)</f>
        <v/>
      </c>
      <c r="AG37" s="94" t="str">
        <f aca="false">IF(AF37="","",IF(AJ37="AVOID","AVOID",IF(AF37&gt;=80,IF(AH37="FAIL","WATCH LIST",IF(AK37="CAP AT BUY","BUY","STRONG BUY")),IF(AF37&gt;=65,IF(AH37="FAIL","WATCH LIST","BUY"),IF(AF37&gt;=50,"WATCH LIST",IF(AF37&gt;=35,"AVOID","PASS"))))))</f>
        <v/>
      </c>
      <c r="AH37" s="94" t="str">
        <f aca="false">IF(N37="","",IF(N37&lt;3,"FAIL","OK"))</f>
        <v>FAIL</v>
      </c>
      <c r="AI37" s="94" t="str">
        <f aca="false">IF(COUNT(D37:L37)=0,"",IF(COUNTIF(D37:L37,1)&gt;0,"REVIEW","OK"))</f>
        <v>REVIEW</v>
      </c>
      <c r="AJ37" s="94" t="str">
        <f aca="false">IF(COUNT(D37:L37)=0,"",IF(COUNTIF(D37:L37,"&lt;=2")&gt;=2,"AVOID","OK"))</f>
        <v>AVOID</v>
      </c>
      <c r="AK37" s="94" t="str">
        <f aca="false">IF(COUNTA(E37:M37)=0,"",IF(COUNTIF(E37:M37,"L")&gt;=2,"CAP AT BUY","OK"))</f>
        <v>OK</v>
      </c>
      <c r="AL37" s="129" t="s">
        <v>360</v>
      </c>
      <c r="AM37" s="129" t="s">
        <v>361</v>
      </c>
      <c r="AN37" s="125"/>
      <c r="AO37" s="94"/>
      <c r="AP37" s="125" t="str">
        <f aca="false">IF(OR(AN37="",AO37=""),"",IF(AN37&gt;AO37,"OK","LOW CONF"))</f>
        <v/>
      </c>
      <c r="AQ37" s="125"/>
      <c r="AR37" s="94"/>
      <c r="AS37" s="135" t="str">
        <f aca="false">IF(OR(AQ37="",AR37=""),"",IF(AQ37&lt;AR37,"Decreased",IF(AQ37&gt;AR37,"Increased","Flat")))</f>
        <v/>
      </c>
    </row>
    <row r="38" customFormat="false" ht="15" hidden="true" customHeight="true" outlineLevel="1" collapsed="false">
      <c r="A38" s="63" t="s">
        <v>281</v>
      </c>
      <c r="B38" s="123" t="s">
        <v>404</v>
      </c>
      <c r="C38" s="134" t="n">
        <v>46246</v>
      </c>
      <c r="D38" s="125" t="n">
        <v>3</v>
      </c>
      <c r="E38" s="125" t="s">
        <v>347</v>
      </c>
      <c r="F38" s="125" t="n">
        <v>3</v>
      </c>
      <c r="G38" s="125" t="s">
        <v>347</v>
      </c>
      <c r="H38" s="125" t="n">
        <v>3</v>
      </c>
      <c r="I38" s="125" t="s">
        <v>347</v>
      </c>
      <c r="J38" s="125" t="n">
        <v>2</v>
      </c>
      <c r="K38" s="125" t="s">
        <v>347</v>
      </c>
      <c r="L38" s="125" t="n">
        <v>3</v>
      </c>
      <c r="M38" s="125" t="s">
        <v>347</v>
      </c>
      <c r="N38" s="126" t="n">
        <f aca="false">IF(COUNT(D38,F38,H38,J38,L38)=0,"",(D38*0.2+F38*0.15+H38*0.15+J38*0.1+L38*0.1)/(IF(D38&lt;&gt;"",0.2,0)+IF(F38&lt;&gt;"",0.15,0)+IF(H38&lt;&gt;"",0.15,0)+IF(J38&lt;&gt;"",0.1,0)+IF(L38&lt;&gt;"",0.1,0)))</f>
        <v>2.85714285714286</v>
      </c>
      <c r="O38" s="94" t="n">
        <f aca="false">IF(COUNT(D38,F38,H38,J38,L38)=0,"",D38*0.2+F38*0.15+H38*0.15+J38*0.1+L38*0.1)</f>
        <v>2</v>
      </c>
      <c r="P38" s="125"/>
      <c r="Q38" s="125"/>
      <c r="R38" s="125"/>
      <c r="S38" s="125"/>
      <c r="T38" s="125"/>
      <c r="U38" s="125"/>
      <c r="V38" s="125"/>
      <c r="W38" s="125"/>
      <c r="X38" s="66" t="str">
        <f aca="false">IF(COUNT(P38,R38,T38,V38)=0,"",P38*0.08+R38*0.06+T38*0.03+V38*0.08)</f>
        <v/>
      </c>
      <c r="Y38" s="125"/>
      <c r="Z38" s="125"/>
      <c r="AA38" s="125"/>
      <c r="AB38" s="125"/>
      <c r="AC38" s="125"/>
      <c r="AD38" s="125"/>
      <c r="AE38" s="66" t="str">
        <f aca="false">IF(COUNT(Y38,AA38,AC38)=0,"",Y38*0.02+AA38*0.02+AC38*0.01)</f>
        <v/>
      </c>
      <c r="AF38" s="94" t="str">
        <f aca="false">IF(OR(COUNT(D38,F38,H38,J38,L38)&lt;5,COUNT(P38,R38,T38,V38)&lt;4,COUNT(Y38,AA38,AC38)&lt;3),"",(O38+X38+AE38)*20)</f>
        <v/>
      </c>
      <c r="AG38" s="94" t="str">
        <f aca="false">IF(AF38="","",IF(AJ38="AVOID","AVOID",IF(AF38&gt;=80,IF(AH38="FAIL","WATCH LIST",IF(AK38="CAP AT BUY","BUY","STRONG BUY")),IF(AF38&gt;=65,IF(AH38="FAIL","WATCH LIST","BUY"),IF(AF38&gt;=50,"WATCH LIST",IF(AF38&gt;=35,"AVOID","PASS"))))))</f>
        <v/>
      </c>
      <c r="AH38" s="94" t="str">
        <f aca="false">IF(N38="","",IF(N38&lt;3,"FAIL","OK"))</f>
        <v>FAIL</v>
      </c>
      <c r="AI38" s="94" t="str">
        <f aca="false">IF(COUNT(D38:L38)=0,"",IF(COUNTIF(D38:L38,1)&gt;0,"REVIEW","OK"))</f>
        <v>OK</v>
      </c>
      <c r="AJ38" s="94" t="str">
        <f aca="false">IF(COUNT(D38:L38)=0,"",IF(COUNTIF(D38:L38,"&lt;=2")&gt;=2,"AVOID","OK"))</f>
        <v>OK</v>
      </c>
      <c r="AK38" s="94" t="str">
        <f aca="false">IF(COUNTA(E38:M38)=0,"",IF(COUNTIF(E38:M38,"L")&gt;=2,"CAP AT BUY","OK"))</f>
        <v>OK</v>
      </c>
      <c r="AL38" s="129" t="s">
        <v>360</v>
      </c>
      <c r="AM38" s="129" t="s">
        <v>405</v>
      </c>
      <c r="AN38" s="125"/>
      <c r="AO38" s="94"/>
      <c r="AP38" s="125" t="str">
        <f aca="false">IF(OR(AN38="",AO38=""),"",IF(AN38&gt;AO38,"OK","LOW CONF"))</f>
        <v/>
      </c>
      <c r="AQ38" s="125"/>
      <c r="AR38" s="94"/>
      <c r="AS38" s="135" t="str">
        <f aca="false">IF(OR(AQ38="",AR38=""),"",IF(AQ38&lt;AR38,"Decreased",IF(AQ38&gt;AR38,"Increased","Flat")))</f>
        <v/>
      </c>
    </row>
    <row r="39" customFormat="false" ht="15" hidden="true" customHeight="true" outlineLevel="1" collapsed="false">
      <c r="A39" s="63" t="s">
        <v>258</v>
      </c>
      <c r="B39" s="123" t="s">
        <v>406</v>
      </c>
      <c r="C39" s="134" t="n">
        <v>46246</v>
      </c>
      <c r="D39" s="125" t="n">
        <v>2</v>
      </c>
      <c r="E39" s="125" t="s">
        <v>349</v>
      </c>
      <c r="F39" s="125" t="n">
        <v>4</v>
      </c>
      <c r="G39" s="125" t="s">
        <v>348</v>
      </c>
      <c r="H39" s="125" t="n">
        <v>3</v>
      </c>
      <c r="I39" s="125" t="s">
        <v>347</v>
      </c>
      <c r="J39" s="125" t="n">
        <v>2</v>
      </c>
      <c r="K39" s="125" t="s">
        <v>347</v>
      </c>
      <c r="L39" s="125" t="n">
        <v>1</v>
      </c>
      <c r="M39" s="125" t="s">
        <v>348</v>
      </c>
      <c r="N39" s="126" t="n">
        <f aca="false">IF(COUNT(D39,F39,H39,J39,L39)=0,"",(D39*0.2+F39*0.15+H39*0.15+J39*0.1+L39*0.1)/(IF(D39&lt;&gt;"",0.2,0)+IF(F39&lt;&gt;"",0.15,0)+IF(H39&lt;&gt;"",0.15,0)+IF(J39&lt;&gt;"",0.1,0)+IF(L39&lt;&gt;"",0.1,0)))</f>
        <v>2.5</v>
      </c>
      <c r="O39" s="94" t="n">
        <f aca="false">IF(COUNT(D39,F39,H39,J39,L39)=0,"",D39*0.2+F39*0.15+H39*0.15+J39*0.1+L39*0.1)</f>
        <v>1.75</v>
      </c>
      <c r="P39" s="125"/>
      <c r="Q39" s="125"/>
      <c r="R39" s="125"/>
      <c r="S39" s="125"/>
      <c r="T39" s="125"/>
      <c r="U39" s="125"/>
      <c r="V39" s="125"/>
      <c r="W39" s="125"/>
      <c r="X39" s="66" t="str">
        <f aca="false">IF(COUNT(P39,R39,T39,V39)=0,"",P39*0.08+R39*0.06+T39*0.03+V39*0.08)</f>
        <v/>
      </c>
      <c r="Y39" s="125"/>
      <c r="Z39" s="125"/>
      <c r="AA39" s="125"/>
      <c r="AB39" s="125"/>
      <c r="AC39" s="125"/>
      <c r="AD39" s="125"/>
      <c r="AE39" s="66" t="str">
        <f aca="false">IF(COUNT(Y39,AA39,AC39)=0,"",Y39*0.02+AA39*0.02+AC39*0.01)</f>
        <v/>
      </c>
      <c r="AF39" s="94" t="str">
        <f aca="false">IF(OR(COUNT(D39,F39,H39,J39,L39)&lt;5,COUNT(P39,R39,T39,V39)&lt;4,COUNT(Y39,AA39,AC39)&lt;3),"",(O39+X39+AE39)*20)</f>
        <v/>
      </c>
      <c r="AG39" s="94" t="str">
        <f aca="false">IF(AF39="","",IF(AJ39="AVOID","AVOID",IF(AF39&gt;=80,IF(AH39="FAIL","WATCH LIST",IF(AK39="CAP AT BUY","BUY","STRONG BUY")),IF(AF39&gt;=65,IF(AH39="FAIL","WATCH LIST","BUY"),IF(AF39&gt;=50,"WATCH LIST",IF(AF39&gt;=35,"AVOID","PASS"))))))</f>
        <v/>
      </c>
      <c r="AH39" s="94" t="str">
        <f aca="false">IF(N39="","",IF(N39&lt;3,"FAIL","OK"))</f>
        <v>FAIL</v>
      </c>
      <c r="AI39" s="94" t="str">
        <f aca="false">IF(COUNT(D39:L39)=0,"",IF(COUNTIF(D39:L39,1)&gt;0,"REVIEW","OK"))</f>
        <v>REVIEW</v>
      </c>
      <c r="AJ39" s="94" t="str">
        <f aca="false">IF(COUNT(D39:L39)=0,"",IF(COUNTIF(D39:L39,"&lt;=2")&gt;=2,"AVOID","OK"))</f>
        <v>AVOID</v>
      </c>
      <c r="AK39" s="94" t="str">
        <f aca="false">IF(COUNTA(E39:M39)=0,"",IF(COUNTIF(E39:M39,"L")&gt;=2,"CAP AT BUY","OK"))</f>
        <v>OK</v>
      </c>
      <c r="AL39" s="129" t="s">
        <v>360</v>
      </c>
      <c r="AM39" s="129" t="s">
        <v>405</v>
      </c>
      <c r="AN39" s="125"/>
      <c r="AO39" s="94"/>
      <c r="AP39" s="125" t="str">
        <f aca="false">IF(OR(AN39="",AO39=""),"",IF(AN39&gt;AO39,"OK","LOW CONF"))</f>
        <v/>
      </c>
      <c r="AQ39" s="125"/>
      <c r="AR39" s="94"/>
      <c r="AS39" s="135" t="str">
        <f aca="false">IF(OR(AQ39="",AR39=""),"",IF(AQ39&lt;AR39,"Decreased",IF(AQ39&gt;AR39,"Increased","Flat")))</f>
        <v/>
      </c>
    </row>
    <row r="40" customFormat="false" ht="15" hidden="true" customHeight="true" outlineLevel="1" collapsed="false">
      <c r="A40" s="63" t="s">
        <v>236</v>
      </c>
      <c r="B40" s="123" t="s">
        <v>407</v>
      </c>
      <c r="C40" s="134" t="n">
        <v>46246</v>
      </c>
      <c r="D40" s="125" t="n">
        <v>1</v>
      </c>
      <c r="E40" s="125" t="s">
        <v>348</v>
      </c>
      <c r="F40" s="125" t="n">
        <v>1</v>
      </c>
      <c r="G40" s="125" t="s">
        <v>348</v>
      </c>
      <c r="H40" s="125" t="n">
        <v>2</v>
      </c>
      <c r="I40" s="125" t="s">
        <v>347</v>
      </c>
      <c r="J40" s="125" t="n">
        <v>2</v>
      </c>
      <c r="K40" s="125" t="s">
        <v>347</v>
      </c>
      <c r="L40" s="125" t="n">
        <v>1</v>
      </c>
      <c r="M40" s="125" t="s">
        <v>348</v>
      </c>
      <c r="N40" s="126" t="n">
        <f aca="false">IF(COUNT(D40,F40,H40,J40,L40)=0,"",(D40*0.2+F40*0.15+H40*0.15+J40*0.1+L40*0.1)/(IF(D40&lt;&gt;"",0.2,0)+IF(F40&lt;&gt;"",0.15,0)+IF(H40&lt;&gt;"",0.15,0)+IF(J40&lt;&gt;"",0.1,0)+IF(L40&lt;&gt;"",0.1,0)))</f>
        <v>1.35714285714286</v>
      </c>
      <c r="O40" s="94" t="n">
        <f aca="false">IF(COUNT(D40,F40,H40,J40,L40)=0,"",D40*0.2+F40*0.15+H40*0.15+J40*0.1+L40*0.1)</f>
        <v>0.95</v>
      </c>
      <c r="P40" s="125"/>
      <c r="Q40" s="125"/>
      <c r="R40" s="125"/>
      <c r="S40" s="125"/>
      <c r="T40" s="125"/>
      <c r="U40" s="125"/>
      <c r="V40" s="125"/>
      <c r="W40" s="125"/>
      <c r="X40" s="66" t="str">
        <f aca="false">IF(COUNT(P40,R40,T40,V40)=0,"",P40*0.08+R40*0.06+T40*0.03+V40*0.08)</f>
        <v/>
      </c>
      <c r="Y40" s="125"/>
      <c r="Z40" s="125"/>
      <c r="AA40" s="125"/>
      <c r="AB40" s="125"/>
      <c r="AC40" s="125"/>
      <c r="AD40" s="125"/>
      <c r="AE40" s="66" t="str">
        <f aca="false">IF(COUNT(Y40,AA40,AC40)=0,"",Y40*0.02+AA40*0.02+AC40*0.01)</f>
        <v/>
      </c>
      <c r="AF40" s="94" t="str">
        <f aca="false">IF(OR(COUNT(D40,F40,H40,J40,L40)&lt;5,COUNT(P40,R40,T40,V40)&lt;4,COUNT(Y40,AA40,AC40)&lt;3),"",(O40+X40+AE40)*20)</f>
        <v/>
      </c>
      <c r="AG40" s="94" t="str">
        <f aca="false">IF(AF40="","",IF(AJ40="AVOID","AVOID",IF(AF40&gt;=80,IF(AH40="FAIL","WATCH LIST",IF(AK40="CAP AT BUY","BUY","STRONG BUY")),IF(AF40&gt;=65,IF(AH40="FAIL","WATCH LIST","BUY"),IF(AF40&gt;=50,"WATCH LIST",IF(AF40&gt;=35,"AVOID","PASS"))))))</f>
        <v/>
      </c>
      <c r="AH40" s="94" t="str">
        <f aca="false">IF(N40="","",IF(N40&lt;3,"FAIL","OK"))</f>
        <v>FAIL</v>
      </c>
      <c r="AI40" s="94" t="str">
        <f aca="false">IF(COUNT(D40:L40)=0,"",IF(COUNTIF(D40:L40,1)&gt;0,"REVIEW","OK"))</f>
        <v>REVIEW</v>
      </c>
      <c r="AJ40" s="94" t="str">
        <f aca="false">IF(COUNT(D40:L40)=0,"",IF(COUNTIF(D40:L40,"&lt;=2")&gt;=2,"AVOID","OK"))</f>
        <v>AVOID</v>
      </c>
      <c r="AK40" s="94" t="str">
        <f aca="false">IF(COUNTA(E40:M40)=0,"",IF(COUNTIF(E40:M40,"L")&gt;=2,"CAP AT BUY","OK"))</f>
        <v>OK</v>
      </c>
      <c r="AL40" s="129" t="s">
        <v>360</v>
      </c>
      <c r="AM40" s="129" t="s">
        <v>408</v>
      </c>
      <c r="AN40" s="125"/>
      <c r="AO40" s="94"/>
      <c r="AP40" s="125" t="str">
        <f aca="false">IF(OR(AN40="",AO40=""),"",IF(AN40&gt;AO40,"OK","LOW CONF"))</f>
        <v/>
      </c>
      <c r="AQ40" s="125"/>
      <c r="AR40" s="94"/>
      <c r="AS40" s="135" t="str">
        <f aca="false">IF(OR(AQ40="",AR40=""),"",IF(AQ40&lt;AR40,"Decreased",IF(AQ40&gt;AR40,"Increased","Flat")))</f>
        <v/>
      </c>
    </row>
    <row r="41" customFormat="false" ht="15" hidden="true" customHeight="true" outlineLevel="1" collapsed="false">
      <c r="A41" s="63" t="s">
        <v>238</v>
      </c>
      <c r="B41" s="123" t="s">
        <v>409</v>
      </c>
      <c r="C41" s="134" t="n">
        <v>46246</v>
      </c>
      <c r="D41" s="125" t="n">
        <v>2</v>
      </c>
      <c r="E41" s="125" t="s">
        <v>347</v>
      </c>
      <c r="F41" s="125" t="n">
        <v>3</v>
      </c>
      <c r="G41" s="125" t="s">
        <v>348</v>
      </c>
      <c r="H41" s="125" t="n">
        <v>4</v>
      </c>
      <c r="I41" s="125" t="s">
        <v>347</v>
      </c>
      <c r="J41" s="125" t="n">
        <v>3</v>
      </c>
      <c r="K41" s="125" t="s">
        <v>347</v>
      </c>
      <c r="L41" s="125" t="n">
        <v>2</v>
      </c>
      <c r="M41" s="125" t="s">
        <v>348</v>
      </c>
      <c r="N41" s="126" t="n">
        <f aca="false">IF(COUNT(D41,F41,H41,J41,L41)=0,"",(D41*0.2+F41*0.15+H41*0.15+J41*0.1+L41*0.1)/(IF(D41&lt;&gt;"",0.2,0)+IF(F41&lt;&gt;"",0.15,0)+IF(H41&lt;&gt;"",0.15,0)+IF(J41&lt;&gt;"",0.1,0)+IF(L41&lt;&gt;"",0.1,0)))</f>
        <v>2.78571428571429</v>
      </c>
      <c r="O41" s="94" t="n">
        <f aca="false">IF(COUNT(D41,F41,H41,J41,L41)=0,"",D41*0.2+F41*0.15+H41*0.15+J41*0.1+L41*0.1)</f>
        <v>1.95</v>
      </c>
      <c r="P41" s="125"/>
      <c r="Q41" s="125"/>
      <c r="R41" s="125"/>
      <c r="S41" s="125"/>
      <c r="T41" s="125"/>
      <c r="U41" s="125"/>
      <c r="V41" s="125"/>
      <c r="W41" s="125"/>
      <c r="X41" s="66" t="str">
        <f aca="false">IF(COUNT(P41,R41,T41,V41)=0,"",P41*0.08+R41*0.06+T41*0.03+V41*0.08)</f>
        <v/>
      </c>
      <c r="Y41" s="125"/>
      <c r="Z41" s="125"/>
      <c r="AA41" s="125"/>
      <c r="AB41" s="125"/>
      <c r="AC41" s="125"/>
      <c r="AD41" s="125"/>
      <c r="AE41" s="66" t="str">
        <f aca="false">IF(COUNT(Y41,AA41,AC41)=0,"",Y41*0.02+AA41*0.02+AC41*0.01)</f>
        <v/>
      </c>
      <c r="AF41" s="94" t="str">
        <f aca="false">IF(OR(COUNT(D41,F41,H41,J41,L41)&lt;5,COUNT(P41,R41,T41,V41)&lt;4,COUNT(Y41,AA41,AC41)&lt;3),"",(O41+X41+AE41)*20)</f>
        <v/>
      </c>
      <c r="AG41" s="94" t="str">
        <f aca="false">IF(AF41="","",IF(AJ41="AVOID","AVOID",IF(AF41&gt;=80,IF(AH41="FAIL","WATCH LIST",IF(AK41="CAP AT BUY","BUY","STRONG BUY")),IF(AF41&gt;=65,IF(AH41="FAIL","WATCH LIST","BUY"),IF(AF41&gt;=50,"WATCH LIST",IF(AF41&gt;=35,"AVOID","PASS"))))))</f>
        <v/>
      </c>
      <c r="AH41" s="94" t="str">
        <f aca="false">IF(N41="","",IF(N41&lt;3,"FAIL","OK"))</f>
        <v>FAIL</v>
      </c>
      <c r="AI41" s="94" t="str">
        <f aca="false">IF(COUNT(D41:L41)=0,"",IF(COUNTIF(D41:L41,1)&gt;0,"REVIEW","OK"))</f>
        <v>OK</v>
      </c>
      <c r="AJ41" s="94" t="str">
        <f aca="false">IF(COUNT(D41:L41)=0,"",IF(COUNTIF(D41:L41,"&lt;=2")&gt;=2,"AVOID","OK"))</f>
        <v>AVOID</v>
      </c>
      <c r="AK41" s="94" t="str">
        <f aca="false">IF(COUNTA(E41:M41)=0,"",IF(COUNTIF(E41:M41,"L")&gt;=2,"CAP AT BUY","OK"))</f>
        <v>OK</v>
      </c>
      <c r="AL41" s="129" t="s">
        <v>360</v>
      </c>
      <c r="AM41" s="129" t="s">
        <v>410</v>
      </c>
      <c r="AN41" s="125"/>
      <c r="AO41" s="94"/>
      <c r="AP41" s="125" t="str">
        <f aca="false">IF(OR(AN41="",AO41=""),"",IF(AN41&gt;AO41,"OK","LOW CONF"))</f>
        <v/>
      </c>
      <c r="AQ41" s="125"/>
      <c r="AR41" s="94"/>
      <c r="AS41" s="135" t="str">
        <f aca="false">IF(OR(AQ41="",AR41=""),"",IF(AQ41&lt;AR41,"Decreased",IF(AQ41&gt;AR41,"Increased","Flat")))</f>
        <v/>
      </c>
    </row>
    <row r="42" customFormat="false" ht="15" hidden="false" customHeight="true" outlineLevel="0" collapsed="false">
      <c r="A42" s="63" t="s">
        <v>256</v>
      </c>
      <c r="B42" s="123" t="s">
        <v>411</v>
      </c>
      <c r="C42" s="134" t="n">
        <v>46246</v>
      </c>
      <c r="D42" s="125" t="n">
        <v>4</v>
      </c>
      <c r="E42" s="125" t="s">
        <v>348</v>
      </c>
      <c r="F42" s="125" t="n">
        <v>3</v>
      </c>
      <c r="G42" s="125" t="s">
        <v>348</v>
      </c>
      <c r="H42" s="125" t="n">
        <v>3</v>
      </c>
      <c r="I42" s="125" t="s">
        <v>347</v>
      </c>
      <c r="J42" s="125" t="n">
        <v>3</v>
      </c>
      <c r="K42" s="125" t="s">
        <v>347</v>
      </c>
      <c r="L42" s="125" t="n">
        <v>4</v>
      </c>
      <c r="M42" s="125" t="s">
        <v>348</v>
      </c>
      <c r="N42" s="126" t="n">
        <f aca="false">IF(COUNT(D42,F42,H42,J42,L42)=0,"",(D42*0.2+F42*0.15+H42*0.15+J42*0.1+L42*0.1)/(IF(D42&lt;&gt;"",0.2,0)+IF(F42&lt;&gt;"",0.15,0)+IF(H42&lt;&gt;"",0.15,0)+IF(J42&lt;&gt;"",0.1,0)+IF(L42&lt;&gt;"",0.1,0)))</f>
        <v>3.42857142857143</v>
      </c>
      <c r="O42" s="94" t="n">
        <f aca="false">IF(COUNT(D42,F42,H42,J42,L42)=0,"",D42*0.2+F42*0.15+H42*0.15+J42*0.1+L42*0.1)</f>
        <v>2.4</v>
      </c>
      <c r="P42" s="125"/>
      <c r="Q42" s="125"/>
      <c r="R42" s="125"/>
      <c r="S42" s="125"/>
      <c r="T42" s="125"/>
      <c r="U42" s="125"/>
      <c r="V42" s="125"/>
      <c r="W42" s="125"/>
      <c r="X42" s="66" t="str">
        <f aca="false">IF(COUNT(P42,R42,T42,V42)=0,"",P42*0.08+R42*0.06+T42*0.03+V42*0.08)</f>
        <v/>
      </c>
      <c r="Y42" s="125"/>
      <c r="Z42" s="125"/>
      <c r="AA42" s="125"/>
      <c r="AB42" s="125"/>
      <c r="AC42" s="125"/>
      <c r="AD42" s="125"/>
      <c r="AE42" s="66" t="str">
        <f aca="false">IF(COUNT(Y42,AA42,AC42)=0,"",Y42*0.02+AA42*0.02+AC42*0.01)</f>
        <v/>
      </c>
      <c r="AF42" s="94" t="str">
        <f aca="false">IF(OR(COUNT(D42,F42,H42,J42,L42)&lt;5,COUNT(P42,R42,T42,V42)&lt;4,COUNT(Y42,AA42,AC42)&lt;3),"",(O42+X42+AE42)*20)</f>
        <v/>
      </c>
      <c r="AG42" s="94" t="str">
        <f aca="false">IF(AF42="","",IF(AJ42="AVOID","AVOID",IF(AF42&gt;=80,IF(AH42="FAIL","WATCH LIST",IF(AK42="CAP AT BUY","BUY","STRONG BUY")),IF(AF42&gt;=65,IF(AH42="FAIL","WATCH LIST","BUY"),IF(AF42&gt;=50,"WATCH LIST",IF(AF42&gt;=35,"AVOID","PASS"))))))</f>
        <v/>
      </c>
      <c r="AH42" s="94" t="str">
        <f aca="false">IF(N42="","",IF(N42&lt;3,"FAIL","OK"))</f>
        <v>OK</v>
      </c>
      <c r="AI42" s="94" t="str">
        <f aca="false">IF(COUNT(D42:L42)=0,"",IF(COUNTIF(D42:L42,1)&gt;0,"REVIEW","OK"))</f>
        <v>OK</v>
      </c>
      <c r="AJ42" s="94" t="str">
        <f aca="false">IF(COUNT(D42:L42)=0,"",IF(COUNTIF(D42:L42,"&lt;=2")&gt;=2,"AVOID","OK"))</f>
        <v>OK</v>
      </c>
      <c r="AK42" s="94" t="str">
        <f aca="false">IF(COUNTA(E42:M42)=0,"",IF(COUNTIF(E42:M42,"L")&gt;=2,"CAP AT BUY","OK"))</f>
        <v>OK</v>
      </c>
      <c r="AL42" s="129" t="s">
        <v>360</v>
      </c>
      <c r="AM42" s="129" t="s">
        <v>410</v>
      </c>
      <c r="AN42" s="125"/>
      <c r="AO42" s="94"/>
      <c r="AP42" s="125" t="str">
        <f aca="false">IF(OR(AN42="",AO42=""),"",IF(AN42&gt;AO42,"OK","LOW CONF"))</f>
        <v/>
      </c>
      <c r="AQ42" s="125"/>
      <c r="AR42" s="94"/>
      <c r="AS42" s="135" t="str">
        <f aca="false">IF(OR(AQ42="",AR42=""),"",IF(AQ42&lt;AR42,"Decreased",IF(AQ42&gt;AR42,"Increased","Flat")))</f>
        <v/>
      </c>
    </row>
    <row r="43" customFormat="false" ht="15" hidden="false" customHeight="true" outlineLevel="0" collapsed="false">
      <c r="A43" s="63" t="s">
        <v>143</v>
      </c>
      <c r="B43" s="123" t="s">
        <v>144</v>
      </c>
      <c r="C43" s="134" t="n">
        <v>46278</v>
      </c>
      <c r="D43" s="125" t="n">
        <v>4</v>
      </c>
      <c r="E43" s="125" t="s">
        <v>347</v>
      </c>
      <c r="F43" s="125" t="n">
        <v>5</v>
      </c>
      <c r="G43" s="125" t="s">
        <v>347</v>
      </c>
      <c r="H43" s="125" t="n">
        <v>5</v>
      </c>
      <c r="I43" s="125" t="s">
        <v>347</v>
      </c>
      <c r="J43" s="125" t="n">
        <v>4</v>
      </c>
      <c r="K43" s="125" t="s">
        <v>347</v>
      </c>
      <c r="L43" s="125" t="n">
        <v>2</v>
      </c>
      <c r="M43" s="125" t="s">
        <v>347</v>
      </c>
      <c r="N43" s="126" t="n">
        <f aca="false">IF(COUNT(D43,F43,H43,J43,L43)=0,"",(D43*0.2+F43*0.15+H43*0.15+J43*0.1+L43*0.1)/(IF(D43&lt;&gt;"",0.2,0)+IF(F43&lt;&gt;"",0.15,0)+IF(H43&lt;&gt;"",0.15,0)+IF(J43&lt;&gt;"",0.1,0)+IF(L43&lt;&gt;"",0.1,0)))</f>
        <v>4.14285714285714</v>
      </c>
      <c r="O43" s="94" t="n">
        <f aca="false">IF(COUNT(D43,F43,H43,J43,L43)=0,"",D43*0.2+F43*0.15+H43*0.15+J43*0.1+L43*0.1)</f>
        <v>2.9</v>
      </c>
      <c r="P43" s="125" t="n">
        <v>5</v>
      </c>
      <c r="Q43" s="125" t="s">
        <v>348</v>
      </c>
      <c r="R43" s="125" t="n">
        <v>5</v>
      </c>
      <c r="S43" s="125" t="s">
        <v>349</v>
      </c>
      <c r="T43" s="125" t="n">
        <v>3</v>
      </c>
      <c r="U43" s="125" t="s">
        <v>347</v>
      </c>
      <c r="V43" s="125" t="n">
        <v>4</v>
      </c>
      <c r="W43" s="125" t="s">
        <v>347</v>
      </c>
      <c r="X43" s="66" t="n">
        <f aca="false">IF(COUNT(P43,R43,T43,V43)=0,"",P43*0.08+R43*0.06+T43*0.03+V43*0.08)</f>
        <v>1.11</v>
      </c>
      <c r="Y43" s="125" t="n">
        <v>5</v>
      </c>
      <c r="Z43" s="125" t="s">
        <v>347</v>
      </c>
      <c r="AA43" s="125" t="n">
        <v>4</v>
      </c>
      <c r="AB43" s="125" t="s">
        <v>347</v>
      </c>
      <c r="AC43" s="125" t="n">
        <v>2</v>
      </c>
      <c r="AD43" s="125" t="s">
        <v>347</v>
      </c>
      <c r="AE43" s="66" t="n">
        <f aca="false">IF(COUNT(Y43,AA43,AC43)=0,"",Y43*0.02+AA43*0.02+AC43*0.01)</f>
        <v>0.2</v>
      </c>
      <c r="AF43" s="94" t="n">
        <f aca="false">IF(OR(COUNT(D43,F43,H43,J43,L43)&lt;5,COUNT(P43,R43,T43,V43)&lt;4,COUNT(Y43,AA43,AC43)&lt;3),"",(O43+X43+AE43)*20)</f>
        <v>84.2</v>
      </c>
      <c r="AG43" s="94" t="str">
        <f aca="false">IF(AF43="","",IF(AJ43="AVOID","AVOID",IF(AF43&gt;=80,IF(AH43="FAIL","WATCH LIST",IF(AK43="CAP AT BUY","BUY","STRONG BUY")),IF(AF43&gt;=65,IF(AH43="FAIL","WATCH LIST","BUY"),IF(AF43&gt;=50,"WATCH LIST",IF(AF43&gt;=35,"AVOID","PASS"))))))</f>
        <v>STRONG BUY</v>
      </c>
      <c r="AH43" s="94" t="str">
        <f aca="false">IF(N43="","",IF(N43&lt;3,"FAIL","OK"))</f>
        <v>OK</v>
      </c>
      <c r="AI43" s="94" t="str">
        <f aca="false">IF(COUNT(D43:L43)=0,"",IF(COUNTIF(D43:L43,1)&gt;0,"REVIEW","OK"))</f>
        <v>OK</v>
      </c>
      <c r="AJ43" s="94" t="str">
        <f aca="false">IF(COUNT(D43:L43)=0,"",IF(COUNTIF(D43:L43,"&lt;=2")&gt;=2,"AVOID","OK"))</f>
        <v>OK</v>
      </c>
      <c r="AK43" s="94" t="str">
        <f aca="false">IF(COUNTA(E43:M43)=0,"",IF(COUNTIF(E43:M43,"L")&gt;=2,"CAP AT BUY","OK"))</f>
        <v>OK</v>
      </c>
      <c r="AL43" s="129" t="s">
        <v>367</v>
      </c>
      <c r="AM43" s="129" t="s">
        <v>412</v>
      </c>
      <c r="AN43" s="125"/>
      <c r="AO43" s="94"/>
      <c r="AP43" s="125" t="str">
        <f aca="false">IF(OR(AN43="",AO43=""),"",IF(AN43&gt;AO43,"OK","LOW CONF"))</f>
        <v/>
      </c>
      <c r="AQ43" s="125"/>
      <c r="AR43" s="94"/>
      <c r="AS43" s="135" t="str">
        <f aca="false">IF(OR(AQ43="",AR43=""),"",IF(AQ43&lt;AR43,"Decreased",IF(AQ43&gt;AR43,"Increased","Flat")))</f>
        <v/>
      </c>
    </row>
    <row r="44" customFormat="false" ht="15" hidden="false" customHeight="true" outlineLevel="0" collapsed="false">
      <c r="A44" s="63" t="s">
        <v>275</v>
      </c>
      <c r="B44" s="123" t="s">
        <v>413</v>
      </c>
      <c r="C44" s="134" t="n">
        <v>46247</v>
      </c>
      <c r="D44" s="125" t="n">
        <v>4</v>
      </c>
      <c r="E44" s="125" t="s">
        <v>347</v>
      </c>
      <c r="F44" s="125" t="n">
        <v>3</v>
      </c>
      <c r="G44" s="125" t="s">
        <v>347</v>
      </c>
      <c r="H44" s="125" t="n">
        <v>3</v>
      </c>
      <c r="I44" s="125" t="s">
        <v>347</v>
      </c>
      <c r="J44" s="125" t="n">
        <v>2</v>
      </c>
      <c r="K44" s="125" t="s">
        <v>347</v>
      </c>
      <c r="L44" s="125" t="n">
        <v>4</v>
      </c>
      <c r="M44" s="125" t="s">
        <v>347</v>
      </c>
      <c r="N44" s="126" t="n">
        <f aca="false">IF(COUNT(D44,F44,H44,J44,L44)=0,"",(D44*0.2+F44*0.15+H44*0.15+J44*0.1+L44*0.1)/(IF(D44&lt;&gt;"",0.2,0)+IF(F44&lt;&gt;"",0.15,0)+IF(H44&lt;&gt;"",0.15,0)+IF(J44&lt;&gt;"",0.1,0)+IF(L44&lt;&gt;"",0.1,0)))</f>
        <v>3.28571428571429</v>
      </c>
      <c r="O44" s="94" t="n">
        <f aca="false">IF(COUNT(D44,F44,H44,J44,L44)=0,"",D44*0.2+F44*0.15+H44*0.15+J44*0.1+L44*0.1)</f>
        <v>2.3</v>
      </c>
      <c r="P44" s="125"/>
      <c r="Q44" s="125"/>
      <c r="R44" s="125"/>
      <c r="S44" s="125"/>
      <c r="T44" s="125"/>
      <c r="U44" s="125"/>
      <c r="V44" s="125"/>
      <c r="W44" s="125"/>
      <c r="X44" s="66" t="str">
        <f aca="false">IF(COUNT(P44,R44,T44,V44)=0,"",P44*0.08+R44*0.06+T44*0.03+V44*0.08)</f>
        <v/>
      </c>
      <c r="Y44" s="125"/>
      <c r="Z44" s="125"/>
      <c r="AA44" s="125" t="n">
        <v>4</v>
      </c>
      <c r="AB44" s="125" t="s">
        <v>347</v>
      </c>
      <c r="AC44" s="125"/>
      <c r="AD44" s="125"/>
      <c r="AE44" s="66" t="n">
        <f aca="false">IF(COUNT(Y44,AA44,AC44)=0,"",Y44*0.02+AA44*0.02+AC44*0.01)</f>
        <v>0.08</v>
      </c>
      <c r="AF44" s="94" t="str">
        <f aca="false">IF(OR(COUNT(D44,F44,H44,J44,L44)&lt;5,COUNT(P44,R44,T44,V44)&lt;4,COUNT(Y44,AA44,AC44)&lt;3),"",(O44+X44+AE44)*20)</f>
        <v/>
      </c>
      <c r="AG44" s="94" t="str">
        <f aca="false">IF(AF44="","",IF(AJ44="AVOID","AVOID",IF(AF44&gt;=80,IF(AH44="FAIL","WATCH LIST",IF(AK44="CAP AT BUY","BUY","STRONG BUY")),IF(AF44&gt;=65,IF(AH44="FAIL","WATCH LIST","BUY"),IF(AF44&gt;=50,"WATCH LIST",IF(AF44&gt;=35,"AVOID","PASS"))))))</f>
        <v/>
      </c>
      <c r="AH44" s="94" t="str">
        <f aca="false">IF(N44="","",IF(N44&lt;3,"FAIL","OK"))</f>
        <v>OK</v>
      </c>
      <c r="AI44" s="94" t="str">
        <f aca="false">IF(COUNT(D44:L44)=0,"",IF(COUNTIF(D44:L44,1)&gt;0,"REVIEW","OK"))</f>
        <v>OK</v>
      </c>
      <c r="AJ44" s="94" t="str">
        <f aca="false">IF(COUNT(D44:L44)=0,"",IF(COUNTIF(D44:L44,"&lt;=2")&gt;=2,"AVOID","OK"))</f>
        <v>OK</v>
      </c>
      <c r="AK44" s="94" t="str">
        <f aca="false">IF(COUNTA(E44:M44)=0,"",IF(COUNTIF(E44:M44,"L")&gt;=2,"CAP AT BUY","OK"))</f>
        <v>OK</v>
      </c>
      <c r="AL44" s="129" t="s">
        <v>367</v>
      </c>
      <c r="AM44" s="129" t="s">
        <v>414</v>
      </c>
      <c r="AN44" s="125"/>
      <c r="AO44" s="94"/>
      <c r="AP44" s="125" t="str">
        <f aca="false">IF(OR(AN44="",AO44=""),"",IF(AN44&gt;AO44,"OK","LOW CONF"))</f>
        <v/>
      </c>
      <c r="AQ44" s="125"/>
      <c r="AR44" s="94"/>
      <c r="AS44" s="135" t="str">
        <f aca="false">IF(OR(AQ44="",AR44=""),"",IF(AQ44&lt;AR44,"Decreased",IF(AQ44&gt;AR44,"Increased","Flat")))</f>
        <v/>
      </c>
    </row>
    <row r="45" customFormat="false" ht="15" hidden="false" customHeight="true" outlineLevel="0" collapsed="false">
      <c r="A45" s="63" t="s">
        <v>254</v>
      </c>
      <c r="B45" s="123" t="s">
        <v>415</v>
      </c>
      <c r="C45" s="134" t="n">
        <v>46247</v>
      </c>
      <c r="D45" s="125" t="n">
        <v>4</v>
      </c>
      <c r="E45" s="125" t="s">
        <v>347</v>
      </c>
      <c r="F45" s="125" t="n">
        <v>3</v>
      </c>
      <c r="G45" s="125" t="s">
        <v>347</v>
      </c>
      <c r="H45" s="125" t="n">
        <v>4</v>
      </c>
      <c r="I45" s="125" t="s">
        <v>347</v>
      </c>
      <c r="J45" s="125" t="n">
        <v>3</v>
      </c>
      <c r="K45" s="125" t="s">
        <v>347</v>
      </c>
      <c r="L45" s="125" t="n">
        <v>3</v>
      </c>
      <c r="M45" s="125" t="s">
        <v>347</v>
      </c>
      <c r="N45" s="126" t="n">
        <f aca="false">IF(COUNT(D45,F45,H45,J45,L45)=0,"",(D45*0.2+F45*0.15+H45*0.15+J45*0.1+L45*0.1)/(IF(D45&lt;&gt;"",0.2,0)+IF(F45&lt;&gt;"",0.15,0)+IF(H45&lt;&gt;"",0.15,0)+IF(J45&lt;&gt;"",0.1,0)+IF(L45&lt;&gt;"",0.1,0)))</f>
        <v>3.5</v>
      </c>
      <c r="O45" s="94" t="n">
        <f aca="false">IF(COUNT(D45,F45,H45,J45,L45)=0,"",D45*0.2+F45*0.15+H45*0.15+J45*0.1+L45*0.1)</f>
        <v>2.45</v>
      </c>
      <c r="P45" s="125"/>
      <c r="Q45" s="125"/>
      <c r="R45" s="125"/>
      <c r="S45" s="125"/>
      <c r="T45" s="125"/>
      <c r="U45" s="125"/>
      <c r="V45" s="125"/>
      <c r="W45" s="125"/>
      <c r="X45" s="66" t="str">
        <f aca="false">IF(COUNT(P45,R45,T45,V45)=0,"",P45*0.08+R45*0.06+T45*0.03+V45*0.08)</f>
        <v/>
      </c>
      <c r="Y45" s="125"/>
      <c r="Z45" s="125"/>
      <c r="AA45" s="125" t="n">
        <v>4</v>
      </c>
      <c r="AB45" s="125" t="s">
        <v>347</v>
      </c>
      <c r="AC45" s="125"/>
      <c r="AD45" s="125"/>
      <c r="AE45" s="66" t="n">
        <f aca="false">IF(COUNT(Y45,AA45,AC45)=0,"",Y45*0.02+AA45*0.02+AC45*0.01)</f>
        <v>0.08</v>
      </c>
      <c r="AF45" s="94" t="str">
        <f aca="false">IF(OR(COUNT(D45,F45,H45,J45,L45)&lt;5,COUNT(P45,R45,T45,V45)&lt;4,COUNT(Y45,AA45,AC45)&lt;3),"",(O45+X45+AE45)*20)</f>
        <v/>
      </c>
      <c r="AG45" s="94" t="str">
        <f aca="false">IF(AF45="","",IF(AJ45="AVOID","AVOID",IF(AF45&gt;=80,IF(AH45="FAIL","WATCH LIST",IF(AK45="CAP AT BUY","BUY","STRONG BUY")),IF(AF45&gt;=65,IF(AH45="FAIL","WATCH LIST","BUY"),IF(AF45&gt;=50,"WATCH LIST",IF(AF45&gt;=35,"AVOID","PASS"))))))</f>
        <v/>
      </c>
      <c r="AH45" s="94" t="str">
        <f aca="false">IF(N45="","",IF(N45&lt;3,"FAIL","OK"))</f>
        <v>OK</v>
      </c>
      <c r="AI45" s="94" t="str">
        <f aca="false">IF(COUNT(D45:L45)=0,"",IF(COUNTIF(D45:L45,1)&gt;0,"REVIEW","OK"))</f>
        <v>OK</v>
      </c>
      <c r="AJ45" s="94" t="str">
        <f aca="false">IF(COUNT(D45:L45)=0,"",IF(COUNTIF(D45:L45,"&lt;=2")&gt;=2,"AVOID","OK"))</f>
        <v>OK</v>
      </c>
      <c r="AK45" s="94" t="str">
        <f aca="false">IF(COUNTA(E45:M45)=0,"",IF(COUNTIF(E45:M45,"L")&gt;=2,"CAP AT BUY","OK"))</f>
        <v>OK</v>
      </c>
      <c r="AL45" s="129" t="s">
        <v>367</v>
      </c>
      <c r="AM45" s="129" t="s">
        <v>414</v>
      </c>
      <c r="AN45" s="125"/>
      <c r="AO45" s="94"/>
      <c r="AP45" s="125" t="str">
        <f aca="false">IF(OR(AN45="",AO45=""),"",IF(AN45&gt;AO45,"OK","LOW CONF"))</f>
        <v/>
      </c>
      <c r="AQ45" s="125"/>
      <c r="AR45" s="94"/>
      <c r="AS45" s="135" t="str">
        <f aca="false">IF(OR(AQ45="",AR45=""),"",IF(AQ45&lt;AR45,"Decreased",IF(AQ45&gt;AR45,"Increased","Flat")))</f>
        <v/>
      </c>
    </row>
    <row r="46" customFormat="false" ht="15" hidden="true" customHeight="true" outlineLevel="1" collapsed="false">
      <c r="A46" s="63" t="s">
        <v>247</v>
      </c>
      <c r="B46" s="123" t="s">
        <v>416</v>
      </c>
      <c r="C46" s="134" t="n">
        <v>46258</v>
      </c>
      <c r="D46" s="125" t="n">
        <v>4</v>
      </c>
      <c r="E46" s="125" t="s">
        <v>347</v>
      </c>
      <c r="F46" s="125" t="n">
        <v>2</v>
      </c>
      <c r="G46" s="125" t="s">
        <v>347</v>
      </c>
      <c r="H46" s="125" t="n">
        <v>3</v>
      </c>
      <c r="I46" s="125" t="s">
        <v>347</v>
      </c>
      <c r="J46" s="125" t="n">
        <v>2</v>
      </c>
      <c r="K46" s="125" t="s">
        <v>347</v>
      </c>
      <c r="L46" s="125" t="n">
        <v>3</v>
      </c>
      <c r="M46" s="125" t="s">
        <v>347</v>
      </c>
      <c r="N46" s="126" t="n">
        <f aca="false">IF(COUNT(D46,F46,H46,J46,L46)=0,"",(D46*0.2+F46*0.15+H46*0.15+J46*0.1+L46*0.1)/(IF(D46&lt;&gt;"",0.2,0)+IF(F46&lt;&gt;"",0.15,0)+IF(H46&lt;&gt;"",0.15,0)+IF(J46&lt;&gt;"",0.1,0)+IF(L46&lt;&gt;"",0.1,0)))</f>
        <v>2.92857142857143</v>
      </c>
      <c r="O46" s="94" t="n">
        <f aca="false">IF(COUNT(D46,F46,H46,J46,L46)=0,"",D46*0.2+F46*0.15+H46*0.15+J46*0.1+L46*0.1)</f>
        <v>2.05</v>
      </c>
      <c r="P46" s="125"/>
      <c r="Q46" s="125"/>
      <c r="R46" s="125"/>
      <c r="S46" s="125"/>
      <c r="T46" s="125"/>
      <c r="U46" s="125"/>
      <c r="V46" s="125"/>
      <c r="W46" s="125"/>
      <c r="X46" s="66" t="str">
        <f aca="false">IF(COUNT(P46,R46,T46,V46)=0,"",P46*0.08+R46*0.06+T46*0.03+V46*0.08)</f>
        <v/>
      </c>
      <c r="Y46" s="125"/>
      <c r="Z46" s="125"/>
      <c r="AA46" s="125"/>
      <c r="AB46" s="125"/>
      <c r="AC46" s="125"/>
      <c r="AD46" s="125"/>
      <c r="AE46" s="66" t="str">
        <f aca="false">IF(COUNT(Y46,AA46,AC46)=0,"",Y46*0.02+AA46*0.02+AC46*0.01)</f>
        <v/>
      </c>
      <c r="AF46" s="94" t="str">
        <f aca="false">IF(OR(COUNT(D46,F46,H46,J46,L46)&lt;5,COUNT(P46,R46,T46,V46)&lt;4,COUNT(Y46,AA46,AC46)&lt;3),"",(O46+X46+AE46)*20)</f>
        <v/>
      </c>
      <c r="AG46" s="94" t="str">
        <f aca="false">IF(AF46="","",IF(AJ46="AVOID","AVOID",IF(AF46&gt;=80,IF(AH46="FAIL","WATCH LIST",IF(AK46="CAP AT BUY","BUY","STRONG BUY")),IF(AF46&gt;=65,IF(AH46="FAIL","WATCH LIST","BUY"),IF(AF46&gt;=50,"WATCH LIST",IF(AF46&gt;=35,"AVOID","PASS"))))))</f>
        <v/>
      </c>
      <c r="AH46" s="94" t="str">
        <f aca="false">IF(N46="","",IF(N46&lt;3,"FAIL","OK"))</f>
        <v>FAIL</v>
      </c>
      <c r="AI46" s="94" t="str">
        <f aca="false">IF(COUNT(D46:L46)=0,"",IF(COUNTIF(D46:L46,1)&gt;0,"REVIEW","OK"))</f>
        <v>OK</v>
      </c>
      <c r="AJ46" s="94" t="str">
        <f aca="false">IF(COUNT(D46:L46)=0,"",IF(COUNTIF(D46:L46,"&lt;=2")&gt;=2,"AVOID","OK"))</f>
        <v>AVOID</v>
      </c>
      <c r="AK46" s="94" t="str">
        <f aca="false">IF(COUNTA(E46:M46)=0,"",IF(COUNTIF(E46:M46,"L")&gt;=2,"CAP AT BUY","OK"))</f>
        <v>OK</v>
      </c>
      <c r="AL46" s="129" t="s">
        <v>417</v>
      </c>
      <c r="AM46" s="129" t="s">
        <v>418</v>
      </c>
      <c r="AN46" s="125"/>
      <c r="AO46" s="94"/>
      <c r="AP46" s="125" t="str">
        <f aca="false">IF(OR(AN46="",AO46=""),"",IF(AN46&gt;AO46,"OK","LOW CONF"))</f>
        <v/>
      </c>
      <c r="AQ46" s="125"/>
      <c r="AR46" s="94"/>
      <c r="AS46" s="135" t="str">
        <f aca="false">IF(OR(AQ46="",AR46=""),"",IF(AQ46&lt;AR46,"Decreased",IF(AQ46&gt;AR46,"Increased","Flat")))</f>
        <v/>
      </c>
    </row>
    <row r="47" customFormat="false" ht="15" hidden="false" customHeight="true" outlineLevel="0" collapsed="false">
      <c r="A47" s="63" t="s">
        <v>146</v>
      </c>
      <c r="B47" s="123" t="s">
        <v>147</v>
      </c>
      <c r="C47" s="134" t="n">
        <v>46278</v>
      </c>
      <c r="D47" s="125" t="n">
        <v>4</v>
      </c>
      <c r="E47" s="125" t="s">
        <v>347</v>
      </c>
      <c r="F47" s="125" t="n">
        <v>4</v>
      </c>
      <c r="G47" s="125" t="s">
        <v>347</v>
      </c>
      <c r="H47" s="125" t="n">
        <v>5</v>
      </c>
      <c r="I47" s="125" t="s">
        <v>347</v>
      </c>
      <c r="J47" s="125" t="n">
        <v>4</v>
      </c>
      <c r="K47" s="125" t="s">
        <v>347</v>
      </c>
      <c r="L47" s="125" t="n">
        <v>4</v>
      </c>
      <c r="M47" s="125" t="s">
        <v>347</v>
      </c>
      <c r="N47" s="126" t="n">
        <f aca="false">IF(COUNT(D47,F47,H47,J47,L47)=0,"",(D47*0.2+F47*0.15+H47*0.15+J47*0.1+L47*0.1)/(IF(D47&lt;&gt;"",0.2,0)+IF(F47&lt;&gt;"",0.15,0)+IF(H47&lt;&gt;"",0.15,0)+IF(J47&lt;&gt;"",0.1,0)+IF(L47&lt;&gt;"",0.1,0)))</f>
        <v>4.21428571428571</v>
      </c>
      <c r="O47" s="94" t="n">
        <f aca="false">IF(COUNT(D47,F47,H47,J47,L47)=0,"",D47*0.2+F47*0.15+H47*0.15+J47*0.1+L47*0.1)</f>
        <v>2.95</v>
      </c>
      <c r="P47" s="125" t="n">
        <v>5</v>
      </c>
      <c r="Q47" s="125" t="s">
        <v>348</v>
      </c>
      <c r="R47" s="125" t="n">
        <v>5</v>
      </c>
      <c r="S47" s="125" t="s">
        <v>349</v>
      </c>
      <c r="T47" s="125" t="n">
        <v>1</v>
      </c>
      <c r="U47" s="125" t="s">
        <v>347</v>
      </c>
      <c r="V47" s="125" t="n">
        <v>4</v>
      </c>
      <c r="W47" s="125" t="s">
        <v>347</v>
      </c>
      <c r="X47" s="66" t="n">
        <f aca="false">IF(COUNT(P47,R47,T47,V47)=0,"",P47*0.08+R47*0.06+T47*0.03+V47*0.08)</f>
        <v>1.05</v>
      </c>
      <c r="Y47" s="125" t="n">
        <v>4</v>
      </c>
      <c r="Z47" s="125" t="s">
        <v>347</v>
      </c>
      <c r="AA47" s="125" t="n">
        <v>4</v>
      </c>
      <c r="AB47" s="125" t="s">
        <v>347</v>
      </c>
      <c r="AC47" s="125" t="n">
        <v>3</v>
      </c>
      <c r="AD47" s="125" t="s">
        <v>347</v>
      </c>
      <c r="AE47" s="66" t="n">
        <f aca="false">IF(COUNT(Y47,AA47,AC47)=0,"",Y47*0.02+AA47*0.02+AC47*0.01)</f>
        <v>0.19</v>
      </c>
      <c r="AF47" s="94" t="n">
        <f aca="false">IF(OR(COUNT(D47,F47,H47,J47,L47)&lt;5,COUNT(P47,R47,T47,V47)&lt;4,COUNT(Y47,AA47,AC47)&lt;3),"",(O47+X47+AE47)*20)</f>
        <v>83.8</v>
      </c>
      <c r="AG47" s="94" t="str">
        <f aca="false">IF(AF47="","",IF(AJ47="AVOID","AVOID",IF(AF47&gt;=80,IF(AH47="FAIL","WATCH LIST",IF(AK47="CAP AT BUY","BUY","STRONG BUY")),IF(AF47&gt;=65,IF(AH47="FAIL","WATCH LIST","BUY"),IF(AF47&gt;=50,"WATCH LIST",IF(AF47&gt;=35,"AVOID","PASS"))))))</f>
        <v>STRONG BUY</v>
      </c>
      <c r="AH47" s="94" t="str">
        <f aca="false">IF(N47="","",IF(N47&lt;3,"FAIL","OK"))</f>
        <v>OK</v>
      </c>
      <c r="AI47" s="94" t="str">
        <f aca="false">IF(COUNT(D47:L47)=0,"",IF(COUNTIF(D47:L47,1)&gt;0,"REVIEW","OK"))</f>
        <v>OK</v>
      </c>
      <c r="AJ47" s="94" t="str">
        <f aca="false">IF(COUNT(D47:L47)=0,"",IF(COUNTIF(D47:L47,"&lt;=2")&gt;=2,"AVOID","OK"))</f>
        <v>OK</v>
      </c>
      <c r="AK47" s="94" t="str">
        <f aca="false">IF(COUNTA(E47:M47)=0,"",IF(COUNTIF(E47:M47,"L")&gt;=2,"CAP AT BUY","OK"))</f>
        <v>OK</v>
      </c>
      <c r="AL47" s="129" t="s">
        <v>417</v>
      </c>
      <c r="AM47" s="129" t="s">
        <v>418</v>
      </c>
      <c r="AN47" s="125"/>
      <c r="AO47" s="94"/>
      <c r="AP47" s="125" t="str">
        <f aca="false">IF(OR(AN47="",AO47=""),"",IF(AN47&gt;AO47,"OK","LOW CONF"))</f>
        <v/>
      </c>
      <c r="AQ47" s="125"/>
      <c r="AR47" s="94"/>
      <c r="AS47" s="135" t="str">
        <f aca="false">IF(OR(AQ47="",AR47=""),"",IF(AQ47&lt;AR47,"Decreased",IF(AQ47&gt;AR47,"Increased","Flat")))</f>
        <v/>
      </c>
    </row>
    <row r="48" customFormat="false" ht="15" hidden="false" customHeight="true" outlineLevel="0" collapsed="false">
      <c r="A48" s="63" t="s">
        <v>285</v>
      </c>
      <c r="B48" s="123" t="s">
        <v>419</v>
      </c>
      <c r="C48" s="124" t="n">
        <v>46276</v>
      </c>
      <c r="D48" s="125" t="n">
        <v>4</v>
      </c>
      <c r="E48" s="125" t="s">
        <v>347</v>
      </c>
      <c r="F48" s="125" t="n">
        <v>4</v>
      </c>
      <c r="G48" s="125" t="s">
        <v>347</v>
      </c>
      <c r="H48" s="125"/>
      <c r="I48" s="125"/>
      <c r="J48" s="125"/>
      <c r="K48" s="125"/>
      <c r="L48" s="125" t="n">
        <v>4</v>
      </c>
      <c r="M48" s="125" t="s">
        <v>347</v>
      </c>
      <c r="N48" s="126" t="n">
        <f aca="false">IF(COUNT(D48,F48,H48,J48,L48)=0,"",(D48*0.2+F48*0.15+H48*0.15+J48*0.1+L48*0.1)/(IF(D48&lt;&gt;"",0.2,0)+IF(F48&lt;&gt;"",0.15,0)+IF(H48&lt;&gt;"",0.15,0)+IF(J48&lt;&gt;"",0.1,0)+IF(L48&lt;&gt;"",0.1,0)))</f>
        <v>4</v>
      </c>
      <c r="O48" s="127" t="n">
        <f aca="false">IF(COUNT(D48,F48,H48,J48,L48)=0,"",D48*0.2+F48*0.15+H48*0.15+J48*0.1+L48*0.1)</f>
        <v>1.8</v>
      </c>
      <c r="P48" s="125"/>
      <c r="Q48" s="125"/>
      <c r="R48" s="125"/>
      <c r="S48" s="125"/>
      <c r="T48" s="125"/>
      <c r="U48" s="125"/>
      <c r="V48" s="125"/>
      <c r="W48" s="125"/>
      <c r="X48" s="127" t="str">
        <f aca="false">IF(COUNT(P48,R48,T48,V48)=0,"",P48*0.08+R48*0.06+T48*0.03+V48*0.08)</f>
        <v/>
      </c>
      <c r="Y48" s="125"/>
      <c r="Z48" s="125"/>
      <c r="AA48" s="125"/>
      <c r="AB48" s="125"/>
      <c r="AC48" s="125"/>
      <c r="AD48" s="125"/>
      <c r="AE48" s="127" t="str">
        <f aca="false">IF(COUNT(Y48,AA48,AC48)=0,"",Y48*0.02+AA48*0.02+AC48*0.01)</f>
        <v/>
      </c>
      <c r="AF48" s="94" t="str">
        <f aca="false">IF(OR(COUNT(D48,F48,H48,J48,L48)&lt;5,COUNT(P48,R48,T48,V48)&lt;4,COUNT(Y48,AA48,AC48)&lt;3),"",(O48+X48+AE48)*20)</f>
        <v/>
      </c>
      <c r="AG48" s="94" t="str">
        <f aca="false">IF(AF48="","",IF(AJ48="AVOID","AVOID",IF(AF48&gt;=80,IF(AH48="FAIL","WATCH LIST",IF(AK48="CAP AT BUY","BUY","STRONG BUY")),IF(AF48&gt;=65,IF(AH48="FAIL","WATCH LIST","BUY"),IF(AF48&gt;=50,"WATCH LIST",IF(AF48&gt;=35,"AVOID","PASS"))))))</f>
        <v/>
      </c>
      <c r="AH48" s="94" t="str">
        <f aca="false">IF(N48="","",IF(N48&lt;3,"FAIL","OK"))</f>
        <v>OK</v>
      </c>
      <c r="AI48" s="94" t="str">
        <f aca="false">IF(COUNT(D48:L48)=0,"",IF(COUNTIF(D48:L48,1)&gt;0,"REVIEW","OK"))</f>
        <v>OK</v>
      </c>
      <c r="AJ48" s="94" t="str">
        <f aca="false">IF(COUNT(D48:L48)=0,"",IF(COUNTIF(D48:L48,"&lt;=2")&gt;=2,"AVOID","OK"))</f>
        <v>OK</v>
      </c>
      <c r="AK48" s="94" t="str">
        <f aca="false">IF(COUNTA(E48:M48)=0,"",IF(COUNTIF(E48:M48,"L")&gt;=2,"CAP AT BUY","OK"))</f>
        <v>OK</v>
      </c>
      <c r="AL48" s="129" t="s">
        <v>377</v>
      </c>
      <c r="AM48" s="129" t="s">
        <v>382</v>
      </c>
      <c r="AN48" s="125"/>
      <c r="AO48" s="94"/>
      <c r="AP48" s="125" t="str">
        <f aca="false">IF(OR(AN48="",AO48=""),"",IF(AN48&gt;AO48,"OK","LOW CONF"))</f>
        <v/>
      </c>
      <c r="AQ48" s="125"/>
      <c r="AR48" s="94"/>
      <c r="AS48" s="135" t="str">
        <f aca="false">IF(OR(AQ48="",AR48=""),"",IF(AQ48&lt;AR48,"Decreased",IF(AQ48&gt;AR48,"Increased","Flat")))</f>
        <v/>
      </c>
    </row>
    <row r="49" customFormat="false" ht="15" hidden="false" customHeight="true" outlineLevel="0" collapsed="false">
      <c r="A49" s="63" t="s">
        <v>287</v>
      </c>
      <c r="B49" s="123" t="s">
        <v>420</v>
      </c>
      <c r="C49" s="134" t="n">
        <v>46278</v>
      </c>
      <c r="D49" s="125" t="n">
        <v>3</v>
      </c>
      <c r="E49" s="125" t="s">
        <v>347</v>
      </c>
      <c r="F49" s="125" t="n">
        <v>2</v>
      </c>
      <c r="G49" s="125" t="s">
        <v>347</v>
      </c>
      <c r="H49" s="125" t="n">
        <v>5</v>
      </c>
      <c r="I49" s="125" t="s">
        <v>348</v>
      </c>
      <c r="J49" s="125" t="n">
        <v>4</v>
      </c>
      <c r="K49" s="125" t="s">
        <v>347</v>
      </c>
      <c r="L49" s="125" t="n">
        <v>4</v>
      </c>
      <c r="M49" s="125" t="s">
        <v>347</v>
      </c>
      <c r="N49" s="126" t="n">
        <f aca="false">IF(COUNT(D49,F49,H49,J49,L49)=0,"",(D49*0.2+F49*0.15+H49*0.15+J49*0.1+L49*0.1)/(IF(D49&lt;&gt;"",0.2,0)+IF(F49&lt;&gt;"",0.15,0)+IF(H49&lt;&gt;"",0.15,0)+IF(J49&lt;&gt;"",0.1,0)+IF(L49&lt;&gt;"",0.1,0)))</f>
        <v>3.5</v>
      </c>
      <c r="O49" s="94" t="n">
        <f aca="false">IF(COUNT(D49,F49,H49,J49,L49)=0,"",D49*0.2+F49*0.15+H49*0.15+J49*0.1+L49*0.1)</f>
        <v>2.45</v>
      </c>
      <c r="P49" s="125" t="n">
        <v>5</v>
      </c>
      <c r="Q49" s="125" t="s">
        <v>348</v>
      </c>
      <c r="R49" s="125" t="n">
        <v>3</v>
      </c>
      <c r="S49" s="125" t="s">
        <v>349</v>
      </c>
      <c r="T49" s="125" t="n">
        <v>1</v>
      </c>
      <c r="U49" s="125" t="s">
        <v>347</v>
      </c>
      <c r="V49" s="125" t="n">
        <v>4</v>
      </c>
      <c r="W49" s="125" t="s">
        <v>347</v>
      </c>
      <c r="X49" s="66" t="n">
        <f aca="false">IF(COUNT(P49,R49,T49,V49)=0,"",P49*0.08+R49*0.06+T49*0.03+V49*0.08)</f>
        <v>0.93</v>
      </c>
      <c r="Y49" s="125" t="n">
        <v>2</v>
      </c>
      <c r="Z49" s="125" t="s">
        <v>347</v>
      </c>
      <c r="AA49" s="125" t="n">
        <v>5</v>
      </c>
      <c r="AB49" s="125" t="s">
        <v>347</v>
      </c>
      <c r="AC49" s="125" t="n">
        <v>2</v>
      </c>
      <c r="AD49" s="125" t="s">
        <v>347</v>
      </c>
      <c r="AE49" s="66" t="n">
        <f aca="false">IF(COUNT(Y49,AA49,AC49)=0,"",Y49*0.02+AA49*0.02+AC49*0.01)</f>
        <v>0.16</v>
      </c>
      <c r="AF49" s="94" t="n">
        <f aca="false">IF(OR(COUNT(D49,F49,H49,J49,L49)&lt;5,COUNT(P49,R49,T49,V49)&lt;4,COUNT(Y49,AA49,AC49)&lt;3),"",(O49+X49+AE49)*20)</f>
        <v>70.8</v>
      </c>
      <c r="AG49" s="94" t="str">
        <f aca="false">IF(AF49="","",IF(AJ49="AVOID","AVOID",IF(AF49&gt;=80,IF(AH49="FAIL","WATCH LIST",IF(AK49="CAP AT BUY","BUY","STRONG BUY")),IF(AF49&gt;=65,IF(AH49="FAIL","WATCH LIST","BUY"),IF(AF49&gt;=50,"WATCH LIST",IF(AF49&gt;=35,"AVOID","PASS"))))))</f>
        <v>BUY</v>
      </c>
      <c r="AH49" s="94" t="str">
        <f aca="false">IF(N49="","",IF(N49&lt;3,"FAIL","OK"))</f>
        <v>OK</v>
      </c>
      <c r="AI49" s="94" t="str">
        <f aca="false">IF(COUNT(D49:L49)=0,"",IF(COUNTIF(D49:L49,1)&gt;0,"REVIEW","OK"))</f>
        <v>OK</v>
      </c>
      <c r="AJ49" s="94" t="str">
        <f aca="false">IF(COUNT(D49:L49)=0,"",IF(COUNTIF(D49:L49,"&lt;=2")&gt;=2,"AVOID","OK"))</f>
        <v>OK</v>
      </c>
      <c r="AK49" s="94" t="str">
        <f aca="false">IF(COUNTA(E49:M49)=0,"",IF(COUNTIF(E49:M49,"L")&gt;=2,"CAP AT BUY","OK"))</f>
        <v>OK</v>
      </c>
      <c r="AL49" s="129" t="s">
        <v>353</v>
      </c>
      <c r="AM49" s="129" t="s">
        <v>421</v>
      </c>
      <c r="AN49" s="125"/>
      <c r="AO49" s="94"/>
      <c r="AP49" s="125" t="str">
        <f aca="false">IF(OR(AN49="",AO49=""),"",IF(AN49&gt;AO49,"OK","LOW CONF"))</f>
        <v/>
      </c>
      <c r="AQ49" s="125"/>
      <c r="AR49" s="94"/>
      <c r="AS49" s="135" t="str">
        <f aca="false">IF(OR(AQ49="",AR49=""),"",IF(AQ49&lt;AR49,"Decreased",IF(AQ49&gt;AR49,"Increased","Flat")))</f>
        <v/>
      </c>
    </row>
    <row r="50" customFormat="false" ht="15" hidden="false" customHeight="true" outlineLevel="0" collapsed="false">
      <c r="A50" s="63" t="s">
        <v>289</v>
      </c>
      <c r="B50" s="123" t="s">
        <v>422</v>
      </c>
      <c r="C50" s="134" t="n">
        <v>46278</v>
      </c>
      <c r="D50" s="125" t="n">
        <v>4</v>
      </c>
      <c r="E50" s="125" t="s">
        <v>347</v>
      </c>
      <c r="F50" s="125" t="n">
        <v>3</v>
      </c>
      <c r="G50" s="125" t="s">
        <v>347</v>
      </c>
      <c r="H50" s="125" t="n">
        <v>4</v>
      </c>
      <c r="I50" s="125" t="s">
        <v>347</v>
      </c>
      <c r="J50" s="125" t="n">
        <v>3</v>
      </c>
      <c r="K50" s="125" t="s">
        <v>347</v>
      </c>
      <c r="L50" s="125" t="n">
        <v>3</v>
      </c>
      <c r="M50" s="125" t="s">
        <v>347</v>
      </c>
      <c r="N50" s="126" t="n">
        <f aca="false">IF(COUNT(D50,F50,H50,J50,L50)=0,"",(D50*0.2+F50*0.15+H50*0.15+J50*0.1+L50*0.1)/(IF(D50&lt;&gt;"",0.2,0)+IF(F50&lt;&gt;"",0.15,0)+IF(H50&lt;&gt;"",0.15,0)+IF(J50&lt;&gt;"",0.1,0)+IF(L50&lt;&gt;"",0.1,0)))</f>
        <v>3.5</v>
      </c>
      <c r="O50" s="94" t="n">
        <f aca="false">IF(COUNT(D50,F50,H50,J50,L50)=0,"",D50*0.2+F50*0.15+H50*0.15+J50*0.1+L50*0.1)</f>
        <v>2.45</v>
      </c>
      <c r="P50" s="125" t="n">
        <v>4</v>
      </c>
      <c r="Q50" s="125" t="s">
        <v>347</v>
      </c>
      <c r="R50" s="125" t="n">
        <v>3</v>
      </c>
      <c r="S50" s="125" t="s">
        <v>349</v>
      </c>
      <c r="T50" s="125" t="n">
        <v>5</v>
      </c>
      <c r="U50" s="125" t="s">
        <v>347</v>
      </c>
      <c r="V50" s="125" t="n">
        <v>4</v>
      </c>
      <c r="W50" s="125" t="s">
        <v>347</v>
      </c>
      <c r="X50" s="66" t="n">
        <f aca="false">IF(COUNT(P50,R50,T50,V50)=0,"",P50*0.08+R50*0.06+T50*0.03+V50*0.08)</f>
        <v>0.97</v>
      </c>
      <c r="Y50" s="125" t="n">
        <v>5</v>
      </c>
      <c r="Z50" s="125" t="s">
        <v>347</v>
      </c>
      <c r="AA50" s="125" t="n">
        <v>4</v>
      </c>
      <c r="AB50" s="125" t="s">
        <v>347</v>
      </c>
      <c r="AC50" s="125" t="n">
        <v>2</v>
      </c>
      <c r="AD50" s="125" t="s">
        <v>347</v>
      </c>
      <c r="AE50" s="66" t="n">
        <f aca="false">IF(COUNT(Y50,AA50,AC50)=0,"",Y50*0.02+AA50*0.02+AC50*0.01)</f>
        <v>0.2</v>
      </c>
      <c r="AF50" s="94" t="n">
        <f aca="false">IF(OR(COUNT(D50,F50,H50,J50,L50)&lt;5,COUNT(P50,R50,T50,V50)&lt;4,COUNT(Y50,AA50,AC50)&lt;3),"",(O50+X50+AE50)*20)</f>
        <v>72.4</v>
      </c>
      <c r="AG50" s="94" t="str">
        <f aca="false">IF(AF50="","",IF(AJ50="AVOID","AVOID",IF(AF50&gt;=80,IF(AH50="FAIL","WATCH LIST",IF(AK50="CAP AT BUY","BUY","STRONG BUY")),IF(AF50&gt;=65,IF(AH50="FAIL","WATCH LIST","BUY"),IF(AF50&gt;=50,"WATCH LIST",IF(AF50&gt;=35,"AVOID","PASS"))))))</f>
        <v>BUY</v>
      </c>
      <c r="AH50" s="94" t="str">
        <f aca="false">IF(N50="","",IF(N50&lt;3,"FAIL","OK"))</f>
        <v>OK</v>
      </c>
      <c r="AI50" s="94" t="str">
        <f aca="false">IF(COUNT(D50:L50)=0,"",IF(COUNTIF(D50:L50,1)&gt;0,"REVIEW","OK"))</f>
        <v>OK</v>
      </c>
      <c r="AJ50" s="94" t="str">
        <f aca="false">IF(COUNT(D50:L50)=0,"",IF(COUNTIF(D50:L50,"&lt;=2")&gt;=2,"AVOID","OK"))</f>
        <v>OK</v>
      </c>
      <c r="AK50" s="94" t="str">
        <f aca="false">IF(COUNTA(E50:M50)=0,"",IF(COUNTIF(E50:M50,"L")&gt;=2,"CAP AT BUY","OK"))</f>
        <v>OK</v>
      </c>
      <c r="AL50" s="129" t="s">
        <v>377</v>
      </c>
      <c r="AM50" s="129" t="s">
        <v>382</v>
      </c>
      <c r="AN50" s="125"/>
      <c r="AO50" s="94"/>
      <c r="AP50" s="125" t="str">
        <f aca="false">IF(OR(AN50="",AO50=""),"",IF(AN50&gt;AO50,"OK","LOW CONF"))</f>
        <v/>
      </c>
      <c r="AQ50" s="125"/>
      <c r="AR50" s="94"/>
      <c r="AS50" s="135" t="str">
        <f aca="false">IF(OR(AQ50="",AR50=""),"",IF(AQ50&lt;AR50,"Decreased",IF(AQ50&gt;AR50,"Increased","Flat")))</f>
        <v/>
      </c>
    </row>
    <row r="51" customFormat="false" ht="15" hidden="false" customHeight="true" outlineLevel="0" collapsed="false">
      <c r="A51" s="63" t="s">
        <v>149</v>
      </c>
      <c r="B51" s="123" t="s">
        <v>423</v>
      </c>
      <c r="C51" s="134" t="n">
        <v>46297</v>
      </c>
      <c r="D51" s="125" t="n">
        <v>4</v>
      </c>
      <c r="E51" s="125" t="s">
        <v>347</v>
      </c>
      <c r="F51" s="125" t="n">
        <v>4</v>
      </c>
      <c r="G51" s="125" t="s">
        <v>347</v>
      </c>
      <c r="H51" s="125" t="n">
        <v>4</v>
      </c>
      <c r="I51" s="125" t="s">
        <v>347</v>
      </c>
      <c r="J51" s="125" t="n">
        <v>5</v>
      </c>
      <c r="K51" s="125" t="s">
        <v>347</v>
      </c>
      <c r="L51" s="125" t="n">
        <v>5</v>
      </c>
      <c r="M51" s="125" t="s">
        <v>347</v>
      </c>
      <c r="N51" s="126" t="n">
        <f aca="false">IF(COUNT(D51,F51,H51,J51,L51)=0,"",(D51*0.2+F51*0.15+H51*0.15+J51*0.1+L51*0.1)/(IF(D51&lt;&gt;"",0.2,0)+IF(F51&lt;&gt;"",0.15,0)+IF(H51&lt;&gt;"",0.15,0)+IF(J51&lt;&gt;"",0.1,0)+IF(L51&lt;&gt;"",0.1,0)))</f>
        <v>4.28571428571429</v>
      </c>
      <c r="O51" s="94" t="n">
        <f aca="false">IF(COUNT(D51,F51,H51,J51,L51)=0,"",D51*0.2+F51*0.15+H51*0.15+J51*0.1+L51*0.1)</f>
        <v>3</v>
      </c>
      <c r="P51" s="125" t="n">
        <v>4</v>
      </c>
      <c r="Q51" s="125" t="s">
        <v>347</v>
      </c>
      <c r="R51" s="125" t="n">
        <v>2</v>
      </c>
      <c r="S51" s="125" t="s">
        <v>349</v>
      </c>
      <c r="T51" s="125" t="n">
        <v>4</v>
      </c>
      <c r="U51" s="125" t="s">
        <v>347</v>
      </c>
      <c r="V51" s="125" t="n">
        <v>4</v>
      </c>
      <c r="W51" s="125" t="s">
        <v>347</v>
      </c>
      <c r="X51" s="66" t="n">
        <f aca="false">IF(COUNT(P51,R51,T51,V51)=0,"",P51*0.08+R51*0.06+T51*0.03+V51*0.08)</f>
        <v>0.88</v>
      </c>
      <c r="Y51" s="125" t="n">
        <v>5</v>
      </c>
      <c r="Z51" s="125" t="s">
        <v>347</v>
      </c>
      <c r="AA51" s="125" t="n">
        <v>4</v>
      </c>
      <c r="AB51" s="125" t="s">
        <v>347</v>
      </c>
      <c r="AC51" s="125" t="n">
        <v>2</v>
      </c>
      <c r="AD51" s="125" t="s">
        <v>347</v>
      </c>
      <c r="AE51" s="66" t="n">
        <f aca="false">IF(COUNT(Y51,AA51,AC51)=0,"",Y51*0.02+AA51*0.02+AC51*0.01)</f>
        <v>0.2</v>
      </c>
      <c r="AF51" s="94" t="n">
        <f aca="false">IF(OR(COUNT(D51,F51,H51,J51,L51)&lt;5,COUNT(P51,R51,T51,V51)&lt;4,COUNT(Y51,AA51,AC51)&lt;3),"",(O51+X51+AE51)*20)</f>
        <v>81.6</v>
      </c>
      <c r="AG51" s="94" t="str">
        <f aca="false">IF(AF51="","",IF(AJ51="AVOID","AVOID",IF(AF51&gt;=80,IF(AH51="FAIL","WATCH LIST",IF(AK51="CAP AT BUY","BUY","STRONG BUY")),IF(AF51&gt;=65,IF(AH51="FAIL","WATCH LIST","BUY"),IF(AF51&gt;=50,"WATCH LIST",IF(AF51&gt;=35,"AVOID","PASS"))))))</f>
        <v>STRONG BUY</v>
      </c>
      <c r="AH51" s="94" t="str">
        <f aca="false">IF(N51="","",IF(N51&lt;3,"FAIL","OK"))</f>
        <v>OK</v>
      </c>
      <c r="AI51" s="94" t="str">
        <f aca="false">IF(COUNT(D51:L51)=0,"",IF(COUNTIF(D51:L51,1)&gt;0,"REVIEW","OK"))</f>
        <v>OK</v>
      </c>
      <c r="AJ51" s="94" t="str">
        <f aca="false">IF(COUNT(D51:L51)=0,"",IF(COUNTIF(D51:L51,"&lt;=2")&gt;=2,"AVOID","OK"))</f>
        <v>OK</v>
      </c>
      <c r="AK51" s="94" t="str">
        <f aca="false">IF(COUNTA(E51:M51)=0,"",IF(COUNTIF(E51:M51,"L")&gt;=2,"CAP AT BUY","OK"))</f>
        <v>OK</v>
      </c>
      <c r="AL51" s="129" t="s">
        <v>353</v>
      </c>
      <c r="AM51" s="129" t="s">
        <v>424</v>
      </c>
      <c r="AN51" s="125"/>
      <c r="AO51" s="94"/>
      <c r="AP51" s="125" t="str">
        <f aca="false">IF(OR(AN51="",AO51=""),"",IF(AN51&gt;AO51,"OK","LOW CONF"))</f>
        <v/>
      </c>
      <c r="AQ51" s="125"/>
      <c r="AR51" s="94"/>
      <c r="AS51" s="135" t="str">
        <f aca="false">IF(OR(AQ51="",AR51=""),"",IF(AQ51&lt;AR51,"Decreased",IF(AQ51&gt;AR51,"Increased","Flat")))</f>
        <v/>
      </c>
    </row>
    <row r="52" customFormat="false" ht="15" hidden="false" customHeight="true" outlineLevel="0" collapsed="false">
      <c r="A52" s="63"/>
      <c r="B52" s="123"/>
      <c r="C52" s="125"/>
      <c r="D52" s="125"/>
      <c r="E52" s="125"/>
      <c r="F52" s="125"/>
      <c r="G52" s="125"/>
      <c r="H52" s="125"/>
      <c r="I52" s="125"/>
      <c r="J52" s="125"/>
      <c r="K52" s="125"/>
      <c r="L52" s="125"/>
      <c r="M52" s="125"/>
      <c r="N52" s="126" t="str">
        <f aca="false">IF(COUNT(D52,F52,H52,J52,L52)=0,"",(D52*0.2+F52*0.15+H52*0.15+J52*0.1+L52*0.1)/(IF(D52&lt;&gt;"",0.2,0)+IF(F52&lt;&gt;"",0.15,0)+IF(H52&lt;&gt;"",0.15,0)+IF(J52&lt;&gt;"",0.1,0)+IF(L52&lt;&gt;"",0.1,0)))</f>
        <v/>
      </c>
      <c r="O52" s="94" t="str">
        <f aca="false">IF(COUNT(D52,F52,H52,J52,L52)=0,"",D52*0.2+F52*0.15+H52*0.15+J52*0.1+L52*0.1)</f>
        <v/>
      </c>
      <c r="P52" s="125"/>
      <c r="Q52" s="125"/>
      <c r="R52" s="125"/>
      <c r="S52" s="125"/>
      <c r="T52" s="125"/>
      <c r="U52" s="125"/>
      <c r="V52" s="125"/>
      <c r="W52" s="125"/>
      <c r="X52" s="66" t="str">
        <f aca="false">IF(COUNT(P52,R52,T52,V52)=0,"",P52*0.08+R52*0.06+T52*0.03+V52*0.08)</f>
        <v/>
      </c>
      <c r="Y52" s="125"/>
      <c r="Z52" s="125"/>
      <c r="AA52" s="125"/>
      <c r="AB52" s="125"/>
      <c r="AC52" s="125"/>
      <c r="AD52" s="125"/>
      <c r="AE52" s="66" t="str">
        <f aca="false">IF(COUNT(Y52,AA52,AC52)=0,"",Y52*0.02+AA52*0.02+AC52*0.01)</f>
        <v/>
      </c>
      <c r="AF52" s="94" t="str">
        <f aca="false">IF(OR(COUNT(D52,F52,H52,J52,L52)&lt;5,COUNT(P52,R52,T52,V52)&lt;4,COUNT(Y52,AA52,AC52)&lt;3),"",(O52+X52+AE52)*20)</f>
        <v/>
      </c>
      <c r="AG52" s="94" t="str">
        <f aca="false">IF(AF52="","",IF(AJ52="AVOID","AVOID",IF(AF52&gt;=80,IF(AH52="FAIL","WATCH LIST",IF(AK52="CAP AT BUY","BUY","STRONG BUY")),IF(AF52&gt;=65,IF(AH52="FAIL","WATCH LIST","BUY"),IF(AF52&gt;=50,"WATCH LIST",IF(AF52&gt;=35,"AVOID","PASS"))))))</f>
        <v/>
      </c>
      <c r="AH52" s="94" t="str">
        <f aca="false">IF(N52="","",IF(N52&lt;3,"FAIL","OK"))</f>
        <v/>
      </c>
      <c r="AI52" s="94" t="str">
        <f aca="false">IF(COUNT(D52:L52)=0,"",IF(COUNTIF(D52:L52,1)&gt;0,"REVIEW","OK"))</f>
        <v/>
      </c>
      <c r="AJ52" s="94" t="str">
        <f aca="false">IF(COUNT(D52:L52)=0,"",IF(COUNTIF(D52:L52,"&lt;=2")&gt;=2,"AVOID","OK"))</f>
        <v/>
      </c>
      <c r="AK52" s="94" t="str">
        <f aca="false">IF(COUNTA(E52:M52)=0,"",IF(COUNTIF(E52:M52,"L")&gt;=2,"CAP AT BUY","OK"))</f>
        <v/>
      </c>
      <c r="AL52" s="129"/>
      <c r="AM52" s="129"/>
      <c r="AN52" s="125"/>
      <c r="AO52" s="94"/>
      <c r="AP52" s="125" t="str">
        <f aca="false">IF(OR(AN52="",AO52=""),"",IF(AN52&gt;AO52,"OK","LOW CONF"))</f>
        <v/>
      </c>
      <c r="AQ52" s="125"/>
      <c r="AR52" s="94"/>
      <c r="AS52" s="135" t="str">
        <f aca="false">IF(OR(AQ52="",AR52=""),"",IF(AQ52&lt;AR52,"Decreased",IF(AQ52&gt;AR52,"Increased","Flat")))</f>
        <v/>
      </c>
    </row>
    <row r="53" customFormat="false" ht="15" hidden="false" customHeight="true" outlineLevel="0" collapsed="false">
      <c r="A53" s="63"/>
      <c r="B53" s="123"/>
      <c r="C53" s="125"/>
      <c r="D53" s="125"/>
      <c r="E53" s="125"/>
      <c r="F53" s="125"/>
      <c r="G53" s="125"/>
      <c r="H53" s="125"/>
      <c r="I53" s="125"/>
      <c r="J53" s="125"/>
      <c r="K53" s="125"/>
      <c r="L53" s="125"/>
      <c r="M53" s="125"/>
      <c r="N53" s="126" t="str">
        <f aca="false">IF(COUNT(D53,F53,H53,J53,L53)=0,"",(D53*0.2+F53*0.15+H53*0.15+J53*0.1+L53*0.1)/(IF(D53&lt;&gt;"",0.2,0)+IF(F53&lt;&gt;"",0.15,0)+IF(H53&lt;&gt;"",0.15,0)+IF(J53&lt;&gt;"",0.1,0)+IF(L53&lt;&gt;"",0.1,0)))</f>
        <v/>
      </c>
      <c r="O53" s="94" t="str">
        <f aca="false">IF(COUNT(D53,F53,H53,J53,L53)=0,"",D53*0.2+F53*0.15+H53*0.15+J53*0.1+L53*0.1)</f>
        <v/>
      </c>
      <c r="P53" s="125"/>
      <c r="Q53" s="125"/>
      <c r="R53" s="125"/>
      <c r="S53" s="125"/>
      <c r="T53" s="125"/>
      <c r="U53" s="125"/>
      <c r="V53" s="125"/>
      <c r="W53" s="125"/>
      <c r="X53" s="66" t="str">
        <f aca="false">IF(COUNT(P53,R53,T53,V53)=0,"",P53*0.08+R53*0.06+T53*0.03+V53*0.08)</f>
        <v/>
      </c>
      <c r="Y53" s="125"/>
      <c r="Z53" s="125"/>
      <c r="AA53" s="125"/>
      <c r="AB53" s="125"/>
      <c r="AC53" s="125"/>
      <c r="AD53" s="125"/>
      <c r="AE53" s="66" t="str">
        <f aca="false">IF(COUNT(Y53,AA53,AC53)=0,"",Y53*0.02+AA53*0.02+AC53*0.01)</f>
        <v/>
      </c>
      <c r="AF53" s="94" t="str">
        <f aca="false">IF(OR(COUNT(D53,F53,H53,J53,L53)&lt;5,COUNT(P53,R53,T53,V53)&lt;4,COUNT(Y53,AA53,AC53)&lt;3),"",(O53+X53+AE53)*20)</f>
        <v/>
      </c>
      <c r="AG53" s="94" t="str">
        <f aca="false">IF(AF53="","",IF(AJ53="AVOID","AVOID",IF(AF53&gt;=80,IF(AH53="FAIL","WATCH LIST",IF(AK53="CAP AT BUY","BUY","STRONG BUY")),IF(AF53&gt;=65,IF(AH53="FAIL","WATCH LIST","BUY"),IF(AF53&gt;=50,"WATCH LIST",IF(AF53&gt;=35,"AVOID","PASS"))))))</f>
        <v/>
      </c>
      <c r="AH53" s="94" t="str">
        <f aca="false">IF(N53="","",IF(N53&lt;3,"FAIL","OK"))</f>
        <v/>
      </c>
      <c r="AI53" s="94" t="str">
        <f aca="false">IF(COUNT(D53:L53)=0,"",IF(COUNTIF(D53:L53,1)&gt;0,"REVIEW","OK"))</f>
        <v/>
      </c>
      <c r="AJ53" s="94" t="str">
        <f aca="false">IF(COUNT(D53:L53)=0,"",IF(COUNTIF(D53:L53,"&lt;=2")&gt;=2,"AVOID","OK"))</f>
        <v/>
      </c>
      <c r="AK53" s="94" t="str">
        <f aca="false">IF(COUNTA(E53:M53)=0,"",IF(COUNTIF(E53:M53,"L")&gt;=2,"CAP AT BUY","OK"))</f>
        <v/>
      </c>
      <c r="AL53" s="129"/>
      <c r="AM53" s="129"/>
      <c r="AN53" s="125"/>
      <c r="AO53" s="94"/>
      <c r="AP53" s="125" t="str">
        <f aca="false">IF(OR(AN53="",AO53=""),"",IF(AN53&gt;AO53,"OK","LOW CONF"))</f>
        <v/>
      </c>
      <c r="AQ53" s="125"/>
      <c r="AR53" s="94"/>
      <c r="AS53" s="135" t="str">
        <f aca="false">IF(OR(AQ53="",AR53=""),"",IF(AQ53&lt;AR53,"Decreased",IF(AQ53&gt;AR53,"Increased","Flat")))</f>
        <v/>
      </c>
    </row>
    <row r="54" customFormat="false" ht="15" hidden="false" customHeight="true" outlineLevel="0" collapsed="false">
      <c r="A54" s="63"/>
      <c r="B54" s="123"/>
      <c r="C54" s="125"/>
      <c r="D54" s="125"/>
      <c r="E54" s="125"/>
      <c r="F54" s="125"/>
      <c r="G54" s="125"/>
      <c r="H54" s="125"/>
      <c r="I54" s="125"/>
      <c r="J54" s="125"/>
      <c r="K54" s="125"/>
      <c r="L54" s="125"/>
      <c r="M54" s="125"/>
      <c r="N54" s="126" t="str">
        <f aca="false">IF(COUNT(D54,F54,H54,J54,L54)=0,"",(D54*0.2+F54*0.15+H54*0.15+J54*0.1+L54*0.1)/(IF(D54&lt;&gt;"",0.2,0)+IF(F54&lt;&gt;"",0.15,0)+IF(H54&lt;&gt;"",0.15,0)+IF(J54&lt;&gt;"",0.1,0)+IF(L54&lt;&gt;"",0.1,0)))</f>
        <v/>
      </c>
      <c r="O54" s="94" t="str">
        <f aca="false">IF(COUNT(D54,F54,H54,J54,L54)=0,"",D54*0.2+F54*0.15+H54*0.15+J54*0.1+L54*0.1)</f>
        <v/>
      </c>
      <c r="P54" s="125"/>
      <c r="Q54" s="125"/>
      <c r="R54" s="125"/>
      <c r="S54" s="125"/>
      <c r="T54" s="125"/>
      <c r="U54" s="125"/>
      <c r="V54" s="125"/>
      <c r="W54" s="125"/>
      <c r="X54" s="66" t="str">
        <f aca="false">IF(COUNT(P54,R54,T54,V54)=0,"",P54*0.08+R54*0.06+T54*0.03+V54*0.08)</f>
        <v/>
      </c>
      <c r="Y54" s="125"/>
      <c r="Z54" s="125"/>
      <c r="AA54" s="125"/>
      <c r="AB54" s="125"/>
      <c r="AC54" s="125"/>
      <c r="AD54" s="125"/>
      <c r="AE54" s="66" t="str">
        <f aca="false">IF(COUNT(Y54,AA54,AC54)=0,"",Y54*0.02+AA54*0.02+AC54*0.01)</f>
        <v/>
      </c>
      <c r="AF54" s="94" t="str">
        <f aca="false">IF(OR(COUNT(D54,F54,H54,J54,L54)&lt;5,COUNT(P54,R54,T54,V54)&lt;4,COUNT(Y54,AA54,AC54)&lt;3),"",(O54+X54+AE54)*20)</f>
        <v/>
      </c>
      <c r="AG54" s="94" t="str">
        <f aca="false">IF(AF54="","",IF(AJ54="AVOID","AVOID",IF(AF54&gt;=80,IF(AH54="FAIL","WATCH LIST",IF(AK54="CAP AT BUY","BUY","STRONG BUY")),IF(AF54&gt;=65,IF(AH54="FAIL","WATCH LIST","BUY"),IF(AF54&gt;=50,"WATCH LIST",IF(AF54&gt;=35,"AVOID","PASS"))))))</f>
        <v/>
      </c>
      <c r="AH54" s="94" t="str">
        <f aca="false">IF(N54="","",IF(N54&lt;3,"FAIL","OK"))</f>
        <v/>
      </c>
      <c r="AI54" s="94" t="str">
        <f aca="false">IF(COUNT(D54:L54)=0,"",IF(COUNTIF(D54:L54,1)&gt;0,"REVIEW","OK"))</f>
        <v/>
      </c>
      <c r="AJ54" s="94" t="str">
        <f aca="false">IF(COUNT(D54:L54)=0,"",IF(COUNTIF(D54:L54,"&lt;=2")&gt;=2,"AVOID","OK"))</f>
        <v/>
      </c>
      <c r="AK54" s="94" t="str">
        <f aca="false">IF(COUNTA(E54:M54)=0,"",IF(COUNTIF(E54:M54,"L")&gt;=2,"CAP AT BUY","OK"))</f>
        <v/>
      </c>
      <c r="AL54" s="129"/>
      <c r="AM54" s="129"/>
      <c r="AN54" s="125"/>
      <c r="AO54" s="94"/>
      <c r="AP54" s="125" t="str">
        <f aca="false">IF(OR(AN54="",AO54=""),"",IF(AN54&gt;AO54,"OK","LOW CONF"))</f>
        <v/>
      </c>
      <c r="AQ54" s="125"/>
      <c r="AR54" s="94"/>
      <c r="AS54" s="135" t="str">
        <f aca="false">IF(OR(AQ54="",AR54=""),"",IF(AQ54&lt;AR54,"Decreased",IF(AQ54&gt;AR54,"Increased","Flat")))</f>
        <v/>
      </c>
    </row>
    <row r="55" customFormat="false" ht="15" hidden="false" customHeight="true" outlineLevel="0" collapsed="false">
      <c r="A55" s="63"/>
      <c r="B55" s="123"/>
      <c r="C55" s="125"/>
      <c r="D55" s="125"/>
      <c r="E55" s="125"/>
      <c r="F55" s="125"/>
      <c r="G55" s="125"/>
      <c r="H55" s="125"/>
      <c r="I55" s="125"/>
      <c r="J55" s="125"/>
      <c r="K55" s="125"/>
      <c r="L55" s="125"/>
      <c r="M55" s="125"/>
      <c r="N55" s="126" t="str">
        <f aca="false">IF(COUNT(D55,F55,H55,J55,L55)=0,"",(D55*0.2+F55*0.15+H55*0.15+J55*0.1+L55*0.1)/(IF(D55&lt;&gt;"",0.2,0)+IF(F55&lt;&gt;"",0.15,0)+IF(H55&lt;&gt;"",0.15,0)+IF(J55&lt;&gt;"",0.1,0)+IF(L55&lt;&gt;"",0.1,0)))</f>
        <v/>
      </c>
      <c r="O55" s="94" t="str">
        <f aca="false">IF(COUNT(D55,F55,H55,J55,L55)=0,"",D55*0.2+F55*0.15+H55*0.15+J55*0.1+L55*0.1)</f>
        <v/>
      </c>
      <c r="P55" s="125"/>
      <c r="Q55" s="125"/>
      <c r="R55" s="125"/>
      <c r="S55" s="125"/>
      <c r="T55" s="125"/>
      <c r="U55" s="125"/>
      <c r="V55" s="125"/>
      <c r="W55" s="125"/>
      <c r="X55" s="66" t="str">
        <f aca="false">IF(COUNT(P55,R55,T55,V55)=0,"",P55*0.08+R55*0.06+T55*0.03+V55*0.08)</f>
        <v/>
      </c>
      <c r="Y55" s="125"/>
      <c r="Z55" s="125"/>
      <c r="AA55" s="125"/>
      <c r="AB55" s="125"/>
      <c r="AC55" s="125"/>
      <c r="AD55" s="125"/>
      <c r="AE55" s="66" t="str">
        <f aca="false">IF(COUNT(Y55,AA55,AC55)=0,"",Y55*0.02+AA55*0.02+AC55*0.01)</f>
        <v/>
      </c>
      <c r="AF55" s="94" t="str">
        <f aca="false">IF(OR(COUNT(D55,F55,H55,J55,L55)&lt;5,COUNT(P55,R55,T55,V55)&lt;4,COUNT(Y55,AA55,AC55)&lt;3),"",(O55+X55+AE55)*20)</f>
        <v/>
      </c>
      <c r="AG55" s="94" t="str">
        <f aca="false">IF(AF55="","",IF(AJ55="AVOID","AVOID",IF(AF55&gt;=80,IF(AH55="FAIL","WATCH LIST",IF(AK55="CAP AT BUY","BUY","STRONG BUY")),IF(AF55&gt;=65,IF(AH55="FAIL","WATCH LIST","BUY"),IF(AF55&gt;=50,"WATCH LIST",IF(AF55&gt;=35,"AVOID","PASS"))))))</f>
        <v/>
      </c>
      <c r="AH55" s="94" t="str">
        <f aca="false">IF(N55="","",IF(N55&lt;3,"FAIL","OK"))</f>
        <v/>
      </c>
      <c r="AI55" s="94" t="str">
        <f aca="false">IF(COUNT(D55:L55)=0,"",IF(COUNTIF(D55:L55,1)&gt;0,"REVIEW","OK"))</f>
        <v/>
      </c>
      <c r="AJ55" s="94" t="str">
        <f aca="false">IF(COUNT(D55:L55)=0,"",IF(COUNTIF(D55:L55,"&lt;=2")&gt;=2,"AVOID","OK"))</f>
        <v/>
      </c>
      <c r="AK55" s="94" t="str">
        <f aca="false">IF(COUNTA(E55:M55)=0,"",IF(COUNTIF(E55:M55,"L")&gt;=2,"CAP AT BUY","OK"))</f>
        <v/>
      </c>
      <c r="AL55" s="129"/>
      <c r="AM55" s="129"/>
      <c r="AN55" s="125"/>
      <c r="AO55" s="94"/>
      <c r="AP55" s="125" t="str">
        <f aca="false">IF(OR(AN55="",AO55=""),"",IF(AN55&gt;AO55,"OK","LOW CONF"))</f>
        <v/>
      </c>
      <c r="AQ55" s="125"/>
      <c r="AR55" s="94"/>
      <c r="AS55" s="135" t="str">
        <f aca="false">IF(OR(AQ55="",AR55=""),"",IF(AQ55&lt;AR55,"Decreased",IF(AQ55&gt;AR55,"Increased","Flat")))</f>
        <v/>
      </c>
    </row>
    <row r="56" customFormat="false" ht="15" hidden="false" customHeight="true" outlineLevel="0" collapsed="false">
      <c r="A56" s="63"/>
      <c r="B56" s="123"/>
      <c r="C56" s="125"/>
      <c r="D56" s="125"/>
      <c r="E56" s="125"/>
      <c r="F56" s="125"/>
      <c r="G56" s="125"/>
      <c r="H56" s="125"/>
      <c r="I56" s="125"/>
      <c r="J56" s="125"/>
      <c r="K56" s="125"/>
      <c r="L56" s="125"/>
      <c r="M56" s="125"/>
      <c r="N56" s="126" t="str">
        <f aca="false">IF(COUNT(D56,F56,H56,J56,L56)=0,"",(D56*0.2+F56*0.15+H56*0.15+J56*0.1+L56*0.1)/(IF(D56&lt;&gt;"",0.2,0)+IF(F56&lt;&gt;"",0.15,0)+IF(H56&lt;&gt;"",0.15,0)+IF(J56&lt;&gt;"",0.1,0)+IF(L56&lt;&gt;"",0.1,0)))</f>
        <v/>
      </c>
      <c r="O56" s="94" t="str">
        <f aca="false">IF(COUNT(D56,F56,H56,J56,L56)=0,"",D56*0.2+F56*0.15+H56*0.15+J56*0.1+L56*0.1)</f>
        <v/>
      </c>
      <c r="P56" s="125"/>
      <c r="Q56" s="125"/>
      <c r="R56" s="125"/>
      <c r="S56" s="125"/>
      <c r="T56" s="125"/>
      <c r="U56" s="125"/>
      <c r="V56" s="125"/>
      <c r="W56" s="125"/>
      <c r="X56" s="66" t="str">
        <f aca="false">IF(COUNT(P56,R56,T56,V56)=0,"",P56*0.08+R56*0.06+T56*0.03+V56*0.08)</f>
        <v/>
      </c>
      <c r="Y56" s="125"/>
      <c r="Z56" s="125"/>
      <c r="AA56" s="125"/>
      <c r="AB56" s="125"/>
      <c r="AC56" s="125"/>
      <c r="AD56" s="125"/>
      <c r="AE56" s="66" t="str">
        <f aca="false">IF(COUNT(Y56,AA56,AC56)=0,"",Y56*0.02+AA56*0.02+AC56*0.01)</f>
        <v/>
      </c>
      <c r="AF56" s="94" t="str">
        <f aca="false">IF(OR(COUNT(D56,F56,H56,J56,L56)&lt;5,COUNT(P56,R56,T56,V56)&lt;4,COUNT(Y56,AA56,AC56)&lt;3),"",(O56+X56+AE56)*20)</f>
        <v/>
      </c>
      <c r="AG56" s="94" t="str">
        <f aca="false">IF(AF56="","",IF(AJ56="AVOID","AVOID",IF(AF56&gt;=80,IF(AH56="FAIL","WATCH LIST",IF(AK56="CAP AT BUY","BUY","STRONG BUY")),IF(AF56&gt;=65,IF(AH56="FAIL","WATCH LIST","BUY"),IF(AF56&gt;=50,"WATCH LIST",IF(AF56&gt;=35,"AVOID","PASS"))))))</f>
        <v/>
      </c>
      <c r="AH56" s="94" t="str">
        <f aca="false">IF(N56="","",IF(N56&lt;3,"FAIL","OK"))</f>
        <v/>
      </c>
      <c r="AI56" s="94" t="str">
        <f aca="false">IF(COUNT(D56:L56)=0,"",IF(COUNTIF(D56:L56,1)&gt;0,"REVIEW","OK"))</f>
        <v/>
      </c>
      <c r="AJ56" s="94" t="str">
        <f aca="false">IF(COUNT(D56:L56)=0,"",IF(COUNTIF(D56:L56,"&lt;=2")&gt;=2,"AVOID","OK"))</f>
        <v/>
      </c>
      <c r="AK56" s="94" t="str">
        <f aca="false">IF(COUNTA(E56:M56)=0,"",IF(COUNTIF(E56:M56,"L")&gt;=2,"CAP AT BUY","OK"))</f>
        <v/>
      </c>
      <c r="AL56" s="129"/>
      <c r="AM56" s="129"/>
      <c r="AN56" s="125"/>
      <c r="AO56" s="94"/>
      <c r="AP56" s="125" t="str">
        <f aca="false">IF(OR(AN56="",AO56=""),"",IF(AN56&gt;AO56,"OK","LOW CONF"))</f>
        <v/>
      </c>
      <c r="AQ56" s="125"/>
      <c r="AR56" s="94"/>
      <c r="AS56" s="135" t="str">
        <f aca="false">IF(OR(AQ56="",AR56=""),"",IF(AQ56&lt;AR56,"Decreased",IF(AQ56&gt;AR56,"Increased","Flat")))</f>
        <v/>
      </c>
    </row>
    <row r="57" customFormat="false" ht="15" hidden="false" customHeight="true" outlineLevel="0" collapsed="false">
      <c r="A57" s="63"/>
      <c r="B57" s="123"/>
      <c r="C57" s="125"/>
      <c r="D57" s="125"/>
      <c r="E57" s="125"/>
      <c r="F57" s="125"/>
      <c r="G57" s="125"/>
      <c r="H57" s="125"/>
      <c r="I57" s="125"/>
      <c r="J57" s="125"/>
      <c r="K57" s="125"/>
      <c r="L57" s="125"/>
      <c r="M57" s="125"/>
      <c r="N57" s="126" t="str">
        <f aca="false">IF(COUNT(D57,F57,H57,J57,L57)=0,"",(D57*0.2+F57*0.15+H57*0.15+J57*0.1+L57*0.1)/(IF(D57&lt;&gt;"",0.2,0)+IF(F57&lt;&gt;"",0.15,0)+IF(H57&lt;&gt;"",0.15,0)+IF(J57&lt;&gt;"",0.1,0)+IF(L57&lt;&gt;"",0.1,0)))</f>
        <v/>
      </c>
      <c r="O57" s="94" t="str">
        <f aca="false">IF(COUNT(D57,F57,H57,J57,L57)=0,"",D57*0.2+F57*0.15+H57*0.15+J57*0.1+L57*0.1)</f>
        <v/>
      </c>
      <c r="P57" s="125"/>
      <c r="Q57" s="125"/>
      <c r="R57" s="125"/>
      <c r="S57" s="125"/>
      <c r="T57" s="125"/>
      <c r="U57" s="125"/>
      <c r="V57" s="125"/>
      <c r="W57" s="125"/>
      <c r="X57" s="66" t="str">
        <f aca="false">IF(COUNT(P57,R57,T57,V57)=0,"",P57*0.08+R57*0.06+T57*0.03+V57*0.08)</f>
        <v/>
      </c>
      <c r="Y57" s="125"/>
      <c r="Z57" s="125"/>
      <c r="AA57" s="125"/>
      <c r="AB57" s="125"/>
      <c r="AC57" s="125"/>
      <c r="AD57" s="125"/>
      <c r="AE57" s="66" t="str">
        <f aca="false">IF(COUNT(Y57,AA57,AC57)=0,"",Y57*0.02+AA57*0.02+AC57*0.01)</f>
        <v/>
      </c>
      <c r="AF57" s="94" t="str">
        <f aca="false">IF(OR(COUNT(D57,F57,H57,J57,L57)&lt;5,COUNT(P57,R57,T57,V57)&lt;4,COUNT(Y57,AA57,AC57)&lt;3),"",(O57+X57+AE57)*20)</f>
        <v/>
      </c>
      <c r="AG57" s="94" t="str">
        <f aca="false">IF(AF57="","",IF(AJ57="AVOID","AVOID",IF(AF57&gt;=80,IF(AH57="FAIL","WATCH LIST",IF(AK57="CAP AT BUY","BUY","STRONG BUY")),IF(AF57&gt;=65,IF(AH57="FAIL","WATCH LIST","BUY"),IF(AF57&gt;=50,"WATCH LIST",IF(AF57&gt;=35,"AVOID","PASS"))))))</f>
        <v/>
      </c>
      <c r="AH57" s="94" t="str">
        <f aca="false">IF(N57="","",IF(N57&lt;3,"FAIL","OK"))</f>
        <v/>
      </c>
      <c r="AI57" s="94" t="str">
        <f aca="false">IF(COUNT(D57:L57)=0,"",IF(COUNTIF(D57:L57,1)&gt;0,"REVIEW","OK"))</f>
        <v/>
      </c>
      <c r="AJ57" s="94" t="str">
        <f aca="false">IF(COUNT(D57:L57)=0,"",IF(COUNTIF(D57:L57,"&lt;=2")&gt;=2,"AVOID","OK"))</f>
        <v/>
      </c>
      <c r="AK57" s="94" t="str">
        <f aca="false">IF(COUNTA(E57:M57)=0,"",IF(COUNTIF(E57:M57,"L")&gt;=2,"CAP AT BUY","OK"))</f>
        <v/>
      </c>
      <c r="AL57" s="129"/>
      <c r="AM57" s="129"/>
      <c r="AN57" s="125"/>
      <c r="AO57" s="94"/>
      <c r="AP57" s="125" t="str">
        <f aca="false">IF(OR(AN57="",AO57=""),"",IF(AN57&gt;AO57,"OK","LOW CONF"))</f>
        <v/>
      </c>
      <c r="AQ57" s="125"/>
      <c r="AR57" s="94"/>
      <c r="AS57" s="135" t="str">
        <f aca="false">IF(OR(AQ57="",AR57=""),"",IF(AQ57&lt;AR57,"Decreased",IF(AQ57&gt;AR57,"Increased","Flat")))</f>
        <v/>
      </c>
    </row>
    <row r="58" customFormat="false" ht="15" hidden="false" customHeight="true" outlineLevel="0" collapsed="false">
      <c r="A58" s="63"/>
      <c r="B58" s="123"/>
      <c r="C58" s="125"/>
      <c r="D58" s="125"/>
      <c r="E58" s="125"/>
      <c r="F58" s="125"/>
      <c r="G58" s="125"/>
      <c r="H58" s="125"/>
      <c r="I58" s="125"/>
      <c r="J58" s="125"/>
      <c r="K58" s="125"/>
      <c r="L58" s="125"/>
      <c r="M58" s="125"/>
      <c r="N58" s="126" t="str">
        <f aca="false">IF(COUNT(D58,F58,H58,J58,L58)=0,"",(D58*0.2+F58*0.15+H58*0.15+J58*0.1+L58*0.1)/(IF(D58&lt;&gt;"",0.2,0)+IF(F58&lt;&gt;"",0.15,0)+IF(H58&lt;&gt;"",0.15,0)+IF(J58&lt;&gt;"",0.1,0)+IF(L58&lt;&gt;"",0.1,0)))</f>
        <v/>
      </c>
      <c r="O58" s="94" t="str">
        <f aca="false">IF(COUNT(D58,F58,H58,J58,L58)=0,"",D58*0.2+F58*0.15+H58*0.15+J58*0.1+L58*0.1)</f>
        <v/>
      </c>
      <c r="P58" s="125"/>
      <c r="Q58" s="125"/>
      <c r="R58" s="125"/>
      <c r="S58" s="125"/>
      <c r="T58" s="125"/>
      <c r="U58" s="125"/>
      <c r="V58" s="125"/>
      <c r="W58" s="125"/>
      <c r="X58" s="66" t="str">
        <f aca="false">IF(COUNT(P58,R58,T58,V58)=0,"",P58*0.08+R58*0.06+T58*0.03+V58*0.08)</f>
        <v/>
      </c>
      <c r="Y58" s="125"/>
      <c r="Z58" s="125"/>
      <c r="AA58" s="125"/>
      <c r="AB58" s="125"/>
      <c r="AC58" s="125"/>
      <c r="AD58" s="125"/>
      <c r="AE58" s="66" t="str">
        <f aca="false">IF(COUNT(Y58,AA58,AC58)=0,"",Y58*0.02+AA58*0.02+AC58*0.01)</f>
        <v/>
      </c>
      <c r="AF58" s="94" t="str">
        <f aca="false">IF(OR(COUNT(D58,F58,H58,J58,L58)&lt;5,COUNT(P58,R58,T58,V58)&lt;4,COUNT(Y58,AA58,AC58)&lt;3),"",(O58+X58+AE58)*20)</f>
        <v/>
      </c>
      <c r="AG58" s="94" t="str">
        <f aca="false">IF(AF58="","",IF(AJ58="AVOID","AVOID",IF(AF58&gt;=80,IF(AH58="FAIL","WATCH LIST",IF(AK58="CAP AT BUY","BUY","STRONG BUY")),IF(AF58&gt;=65,IF(AH58="FAIL","WATCH LIST","BUY"),IF(AF58&gt;=50,"WATCH LIST",IF(AF58&gt;=35,"AVOID","PASS"))))))</f>
        <v/>
      </c>
      <c r="AH58" s="94" t="str">
        <f aca="false">IF(N58="","",IF(N58&lt;3,"FAIL","OK"))</f>
        <v/>
      </c>
      <c r="AI58" s="94" t="str">
        <f aca="false">IF(COUNT(D58:L58)=0,"",IF(COUNTIF(D58:L58,1)&gt;0,"REVIEW","OK"))</f>
        <v/>
      </c>
      <c r="AJ58" s="94" t="str">
        <f aca="false">IF(COUNT(D58:L58)=0,"",IF(COUNTIF(D58:L58,"&lt;=2")&gt;=2,"AVOID","OK"))</f>
        <v/>
      </c>
      <c r="AK58" s="94" t="str">
        <f aca="false">IF(COUNTA(E58:M58)=0,"",IF(COUNTIF(E58:M58,"L")&gt;=2,"CAP AT BUY","OK"))</f>
        <v/>
      </c>
      <c r="AL58" s="129"/>
      <c r="AM58" s="129"/>
      <c r="AN58" s="125"/>
      <c r="AO58" s="94"/>
      <c r="AP58" s="125" t="str">
        <f aca="false">IF(OR(AN58="",AO58=""),"",IF(AN58&gt;AO58,"OK","LOW CONF"))</f>
        <v/>
      </c>
      <c r="AQ58" s="125"/>
      <c r="AR58" s="94"/>
      <c r="AS58" s="135" t="str">
        <f aca="false">IF(OR(AQ58="",AR58=""),"",IF(AQ58&lt;AR58,"Decreased",IF(AQ58&gt;AR58,"Increased","Flat")))</f>
        <v/>
      </c>
    </row>
    <row r="59" customFormat="false" ht="15" hidden="false" customHeight="true" outlineLevel="0" collapsed="false">
      <c r="A59" s="63"/>
      <c r="B59" s="123"/>
      <c r="C59" s="125"/>
      <c r="D59" s="125"/>
      <c r="E59" s="125"/>
      <c r="F59" s="125"/>
      <c r="G59" s="125"/>
      <c r="H59" s="125"/>
      <c r="I59" s="125"/>
      <c r="J59" s="125"/>
      <c r="K59" s="125"/>
      <c r="L59" s="125"/>
      <c r="M59" s="125"/>
      <c r="N59" s="126" t="str">
        <f aca="false">IF(COUNT(D59,F59,H59,J59,L59)=0,"",(D59*0.2+F59*0.15+H59*0.15+J59*0.1+L59*0.1)/(IF(D59&lt;&gt;"",0.2,0)+IF(F59&lt;&gt;"",0.15,0)+IF(H59&lt;&gt;"",0.15,0)+IF(J59&lt;&gt;"",0.1,0)+IF(L59&lt;&gt;"",0.1,0)))</f>
        <v/>
      </c>
      <c r="O59" s="94" t="str">
        <f aca="false">IF(COUNT(D59,F59,H59,J59,L59)=0,"",D59*0.2+F59*0.15+H59*0.15+J59*0.1+L59*0.1)</f>
        <v/>
      </c>
      <c r="P59" s="125"/>
      <c r="Q59" s="125"/>
      <c r="R59" s="125"/>
      <c r="S59" s="125"/>
      <c r="T59" s="125"/>
      <c r="U59" s="125"/>
      <c r="V59" s="125"/>
      <c r="W59" s="125"/>
      <c r="X59" s="66" t="str">
        <f aca="false">IF(COUNT(P59,R59,T59,V59)=0,"",P59*0.08+R59*0.06+T59*0.03+V59*0.08)</f>
        <v/>
      </c>
      <c r="Y59" s="125"/>
      <c r="Z59" s="125"/>
      <c r="AA59" s="125"/>
      <c r="AB59" s="125"/>
      <c r="AC59" s="125"/>
      <c r="AD59" s="125"/>
      <c r="AE59" s="66" t="str">
        <f aca="false">IF(COUNT(Y59,AA59,AC59)=0,"",Y59*0.02+AA59*0.02+AC59*0.01)</f>
        <v/>
      </c>
      <c r="AF59" s="94" t="str">
        <f aca="false">IF(OR(COUNT(D59,F59,H59,J59,L59)&lt;5,COUNT(P59,R59,T59,V59)&lt;4,COUNT(Y59,AA59,AC59)&lt;3),"",(O59+X59+AE59)*20)</f>
        <v/>
      </c>
      <c r="AG59" s="94" t="str">
        <f aca="false">IF(AF59="","",IF(AJ59="AVOID","AVOID",IF(AF59&gt;=80,IF(AH59="FAIL","WATCH LIST",IF(AK59="CAP AT BUY","BUY","STRONG BUY")),IF(AF59&gt;=65,IF(AH59="FAIL","WATCH LIST","BUY"),IF(AF59&gt;=50,"WATCH LIST",IF(AF59&gt;=35,"AVOID","PASS"))))))</f>
        <v/>
      </c>
      <c r="AH59" s="94" t="str">
        <f aca="false">IF(N59="","",IF(N59&lt;3,"FAIL","OK"))</f>
        <v/>
      </c>
      <c r="AI59" s="94" t="str">
        <f aca="false">IF(COUNT(D59:L59)=0,"",IF(COUNTIF(D59:L59,1)&gt;0,"REVIEW","OK"))</f>
        <v/>
      </c>
      <c r="AJ59" s="94" t="str">
        <f aca="false">IF(COUNT(D59:L59)=0,"",IF(COUNTIF(D59:L59,"&lt;=2")&gt;=2,"AVOID","OK"))</f>
        <v/>
      </c>
      <c r="AK59" s="94" t="str">
        <f aca="false">IF(COUNTA(E59:M59)=0,"",IF(COUNTIF(E59:M59,"L")&gt;=2,"CAP AT BUY","OK"))</f>
        <v/>
      </c>
      <c r="AL59" s="129"/>
      <c r="AM59" s="129"/>
      <c r="AN59" s="125"/>
      <c r="AO59" s="94"/>
      <c r="AP59" s="125" t="str">
        <f aca="false">IF(OR(AN59="",AO59=""),"",IF(AN59&gt;AO59,"OK","LOW CONF"))</f>
        <v/>
      </c>
      <c r="AQ59" s="125"/>
      <c r="AR59" s="94"/>
      <c r="AS59" s="135" t="str">
        <f aca="false">IF(OR(AQ59="",AR59=""),"",IF(AQ59&lt;AR59,"Decreased",IF(AQ59&gt;AR59,"Increased","Flat")))</f>
        <v/>
      </c>
    </row>
    <row r="60" customFormat="false" ht="15" hidden="false" customHeight="true" outlineLevel="0" collapsed="false">
      <c r="A60" s="63"/>
      <c r="B60" s="123"/>
      <c r="C60" s="125"/>
      <c r="D60" s="125"/>
      <c r="E60" s="125"/>
      <c r="F60" s="125"/>
      <c r="G60" s="125"/>
      <c r="H60" s="125"/>
      <c r="I60" s="125"/>
      <c r="J60" s="125"/>
      <c r="K60" s="125"/>
      <c r="L60" s="125"/>
      <c r="M60" s="125"/>
      <c r="N60" s="126" t="str">
        <f aca="false">IF(COUNT(D60,F60,H60,J60,L60)=0,"",(D60*0.2+F60*0.15+H60*0.15+J60*0.1+L60*0.1)/(IF(D60&lt;&gt;"",0.2,0)+IF(F60&lt;&gt;"",0.15,0)+IF(H60&lt;&gt;"",0.15,0)+IF(J60&lt;&gt;"",0.1,0)+IF(L60&lt;&gt;"",0.1,0)))</f>
        <v/>
      </c>
      <c r="O60" s="94" t="str">
        <f aca="false">IF(COUNT(D60,F60,H60,J60,L60)=0,"",D60*0.2+F60*0.15+H60*0.15+J60*0.1+L60*0.1)</f>
        <v/>
      </c>
      <c r="P60" s="125"/>
      <c r="Q60" s="125"/>
      <c r="R60" s="125"/>
      <c r="S60" s="125"/>
      <c r="T60" s="125"/>
      <c r="U60" s="125"/>
      <c r="V60" s="125"/>
      <c r="W60" s="125"/>
      <c r="X60" s="66" t="str">
        <f aca="false">IF(COUNT(P60,R60,T60,V60)=0,"",P60*0.08+R60*0.06+T60*0.03+V60*0.08)</f>
        <v/>
      </c>
      <c r="Y60" s="125"/>
      <c r="Z60" s="125"/>
      <c r="AA60" s="125"/>
      <c r="AB60" s="125"/>
      <c r="AC60" s="125"/>
      <c r="AD60" s="125"/>
      <c r="AE60" s="66" t="str">
        <f aca="false">IF(COUNT(Y60,AA60,AC60)=0,"",Y60*0.02+AA60*0.02+AC60*0.01)</f>
        <v/>
      </c>
      <c r="AF60" s="94" t="str">
        <f aca="false">IF(OR(COUNT(D60,F60,H60,J60,L60)&lt;5,COUNT(P60,R60,T60,V60)&lt;4,COUNT(Y60,AA60,AC60)&lt;3),"",(O60+X60+AE60)*20)</f>
        <v/>
      </c>
      <c r="AG60" s="94" t="str">
        <f aca="false">IF(AF60="","",IF(AJ60="AVOID","AVOID",IF(AF60&gt;=80,IF(AH60="FAIL","WATCH LIST",IF(AK60="CAP AT BUY","BUY","STRONG BUY")),IF(AF60&gt;=65,IF(AH60="FAIL","WATCH LIST","BUY"),IF(AF60&gt;=50,"WATCH LIST",IF(AF60&gt;=35,"AVOID","PASS"))))))</f>
        <v/>
      </c>
      <c r="AH60" s="94" t="str">
        <f aca="false">IF(N60="","",IF(N60&lt;3,"FAIL","OK"))</f>
        <v/>
      </c>
      <c r="AI60" s="94" t="str">
        <f aca="false">IF(COUNT(D60:L60)=0,"",IF(COUNTIF(D60:L60,1)&gt;0,"REVIEW","OK"))</f>
        <v/>
      </c>
      <c r="AJ60" s="94" t="str">
        <f aca="false">IF(COUNT(D60:L60)=0,"",IF(COUNTIF(D60:L60,"&lt;=2")&gt;=2,"AVOID","OK"))</f>
        <v/>
      </c>
      <c r="AK60" s="94" t="str">
        <f aca="false">IF(COUNTA(E60:M60)=0,"",IF(COUNTIF(E60:M60,"L")&gt;=2,"CAP AT BUY","OK"))</f>
        <v/>
      </c>
      <c r="AL60" s="129"/>
      <c r="AM60" s="129"/>
      <c r="AN60" s="125"/>
      <c r="AO60" s="94"/>
      <c r="AP60" s="125" t="str">
        <f aca="false">IF(OR(AN60="",AO60=""),"",IF(AN60&gt;AO60,"OK","LOW CONF"))</f>
        <v/>
      </c>
      <c r="AQ60" s="125"/>
      <c r="AR60" s="94"/>
      <c r="AS60" s="135" t="str">
        <f aca="false">IF(OR(AQ60="",AR60=""),"",IF(AQ60&lt;AR60,"Decreased",IF(AQ60&gt;AR60,"Increased","Flat")))</f>
        <v/>
      </c>
    </row>
    <row r="61" customFormat="false" ht="13.5" hidden="false" customHeight="true" outlineLevel="0" collapsed="false">
      <c r="AM61" s="136"/>
    </row>
    <row r="62" customFormat="false" ht="15.75" hidden="false" customHeight="true" outlineLevel="0" collapsed="false">
      <c r="A62" s="137" t="n">
        <f aca="false">SUBTOTAL(103,A3:A60)</f>
        <v>30</v>
      </c>
      <c r="B62" s="112" t="s">
        <v>306</v>
      </c>
    </row>
    <row r="63" customFormat="false" ht="13.5" hidden="false" customHeight="true" outlineLevel="0" collapsed="false">
      <c r="C63" s="138"/>
    </row>
    <row r="64" customFormat="false" ht="13.5" hidden="false" customHeight="true" outlineLevel="0" collapsed="false">
      <c r="C64" s="138"/>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M27" activeCellId="0" sqref="M27"/>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24.83"/>
    <col collapsed="false" customWidth="true" hidden="false" outlineLevel="0" max="3" min="3" style="23" width="9"/>
    <col collapsed="false" customWidth="false" hidden="false" outlineLevel="0" max="5" min="4" style="23" width="8.67"/>
    <col collapsed="false" customWidth="true" hidden="false" outlineLevel="0" max="6" min="6" style="23" width="12.5"/>
    <col collapsed="false" customWidth="true" hidden="false" outlineLevel="0" max="7" min="7" style="23" width="13.34"/>
    <col collapsed="false" customWidth="true" hidden="false" outlineLevel="0" max="8" min="8" style="1" width="11.16"/>
    <col collapsed="false" customWidth="true" hidden="true" outlineLevel="0" max="9" min="9" style="23" width="10.83"/>
    <col collapsed="false" customWidth="true" hidden="false" outlineLevel="0" max="10" min="10" style="23" width="9"/>
    <col collapsed="false" customWidth="true" hidden="false" outlineLevel="0" max="11" min="11" style="23" width="8.5"/>
    <col collapsed="false" customWidth="true" hidden="false" outlineLevel="0" max="12" min="12" style="23" width="7.83"/>
    <col collapsed="false" customWidth="true" hidden="false" outlineLevel="0" max="13" min="13" style="23" width="6.83"/>
    <col collapsed="false" customWidth="true" hidden="false" outlineLevel="0" max="14" min="14" style="23" width="8"/>
    <col collapsed="false" customWidth="true" hidden="false" outlineLevel="0" max="15" min="15" style="23" width="7.5"/>
    <col collapsed="false" customWidth="true" hidden="false" outlineLevel="0" max="16" min="16" style="23" width="10.51"/>
    <col collapsed="false" customWidth="true" hidden="false" outlineLevel="0" max="18" min="18" style="1" width="28"/>
    <col collapsed="false" customWidth="true" hidden="false" outlineLevel="0" max="19" min="19" style="1" width="12.83"/>
  </cols>
  <sheetData>
    <row r="1" customFormat="false" ht="15" hidden="false" customHeight="true" outlineLevel="0" collapsed="false">
      <c r="A1" s="139" t="s">
        <v>425</v>
      </c>
      <c r="B1" s="139"/>
      <c r="C1" s="140"/>
      <c r="D1" s="140"/>
      <c r="E1" s="140"/>
      <c r="F1" s="140"/>
      <c r="G1" s="140"/>
      <c r="H1" s="139"/>
      <c r="I1" s="140"/>
      <c r="J1" s="140"/>
      <c r="K1" s="140"/>
      <c r="L1" s="140"/>
      <c r="M1" s="140"/>
      <c r="N1" s="140"/>
      <c r="O1" s="140"/>
      <c r="P1" s="140"/>
      <c r="Q1" s="139"/>
      <c r="R1" s="139"/>
      <c r="S1" s="139"/>
    </row>
    <row r="2" customFormat="false" ht="68.25" hidden="false" customHeight="true" outlineLevel="0" collapsed="false">
      <c r="A2" s="141" t="s">
        <v>82</v>
      </c>
      <c r="B2" s="141" t="s">
        <v>296</v>
      </c>
      <c r="C2" s="141" t="s">
        <v>426</v>
      </c>
      <c r="D2" s="141" t="s">
        <v>427</v>
      </c>
      <c r="E2" s="141" t="s">
        <v>428</v>
      </c>
      <c r="F2" s="141" t="s">
        <v>429</v>
      </c>
      <c r="G2" s="141" t="s">
        <v>430</v>
      </c>
      <c r="H2" s="141" t="s">
        <v>431</v>
      </c>
      <c r="I2" s="141" t="s">
        <v>432</v>
      </c>
      <c r="J2" s="141" t="s">
        <v>433</v>
      </c>
      <c r="K2" s="141" t="s">
        <v>434</v>
      </c>
      <c r="L2" s="141" t="s">
        <v>435</v>
      </c>
      <c r="M2" s="141" t="s">
        <v>436</v>
      </c>
      <c r="N2" s="141" t="s">
        <v>437</v>
      </c>
      <c r="O2" s="141" t="s">
        <v>438</v>
      </c>
      <c r="P2" s="141" t="s">
        <v>439</v>
      </c>
      <c r="Q2" s="141" t="s">
        <v>440</v>
      </c>
      <c r="R2" s="141" t="s">
        <v>441</v>
      </c>
      <c r="S2" s="141" t="s">
        <v>442</v>
      </c>
    </row>
    <row r="3" customFormat="false" ht="15" hidden="false" customHeight="true" outlineLevel="0" collapsed="false">
      <c r="A3" s="142" t="str">
        <f aca="false">IF(Scoring!A3="","",Scoring!A3)</f>
        <v>MU</v>
      </c>
      <c r="B3" s="143" t="str">
        <f aca="false">IF(Scoring!B3="","",Scoring!B3)</f>
        <v>Micron Technology</v>
      </c>
      <c r="C3" s="142" t="str">
        <f aca="false">IF(Scoring!AG3="","",IF(OR(Scoring!AG3="STRONG BUY",Scoring!AG3="BUY"),"PASS","FAIL"))</f>
        <v>PASS</v>
      </c>
      <c r="D3" s="142" t="str">
        <f aca="false">IF(Scoring!AH3="","",IF(Scoring!AH3="OK","PASS","FAIL"))</f>
        <v>PASS</v>
      </c>
      <c r="E3" s="142" t="str">
        <f aca="false">IF(Scoring!AI3="","",IF(Scoring!AI3="OK","PASS","FAIL — mandatory review required"))</f>
        <v>PASS</v>
      </c>
      <c r="F3" s="142"/>
      <c r="G3" s="142"/>
      <c r="H3" s="143" t="str">
        <f aca="false">IF(OR(F3="",G3=""),"",IF(AND(F3="Y",G3="Y"),"Standard initial size","50% of normal initial size + 90-day technical review"))</f>
        <v/>
      </c>
      <c r="I3" s="142"/>
      <c r="J3" s="142"/>
      <c r="K3" s="144" t="str">
        <f aca="false">IF(I3="","",IF(I3="N","PASS",IF(J3="Y","PASS — risk documented in thesis","FAIL — undocumented binary risk")))</f>
        <v/>
      </c>
      <c r="L3" s="142" t="str">
        <f aca="false">IF('Implied-Return Calculator'!S4="","",'Implied-Return Calculator'!S4)</f>
        <v/>
      </c>
      <c r="M3" s="142" t="str">
        <f aca="false">IF('Implied-Return Calculator'!T4="","",'Implied-Return Calculator'!T4)</f>
        <v/>
      </c>
      <c r="N3" s="142" t="str">
        <f aca="false">IF('Implied-Return Calculator'!U4="","",'Implied-Return Calculator'!U4)</f>
        <v/>
      </c>
      <c r="O3" s="142"/>
      <c r="P3" s="142"/>
      <c r="Q3" s="144" t="str">
        <f aca="false">IF(OR(O3="",P3=""),"",IF(O3&lt;=50,"PASS — within ceiling",IF(AND(P3&gt;0.3,M3="PASS"),"PASS — growth+bear case exception met","FAIL — exceeds 50x, exception not met")))</f>
        <v/>
      </c>
      <c r="R3" s="143" t="str">
        <f aca="false">IF(OR(C3="",D3="",E3="",K3="",L3="",M3="",N3="",Q3=""),"",IF(AND(C3="PASS",D3="PASS",LEFT(E3,4)="PASS",LEFT(K3,4)="PASS",L3="PASS",M3="PASS",N3="OK",LEFT(Q3,4)="PASS"),"YES","NO — see failing rule(s)"))</f>
        <v/>
      </c>
      <c r="S3" s="143" t="str">
        <f aca="false">IF(R3="","",IF(R3="YES","Initiate: "&amp;H3,"DO NOT ENTER — resolve failing Entry Rule(s) above first"))</f>
        <v/>
      </c>
    </row>
    <row r="4" customFormat="false" ht="15" hidden="false" customHeight="true" outlineLevel="0" collapsed="false">
      <c r="A4" s="142" t="str">
        <f aca="false">IF(Scoring!A4="","",Scoring!A4)</f>
        <v>AVGO</v>
      </c>
      <c r="B4" s="143" t="str">
        <f aca="false">IF(Scoring!B4="","",Scoring!B4)</f>
        <v>Broadcom Inc.</v>
      </c>
      <c r="C4" s="142" t="str">
        <f aca="false">IF(Scoring!AG4="","",IF(OR(Scoring!AG4="STRONG BUY",Scoring!AG4="BUY"),"PASS","FAIL"))</f>
        <v>PASS</v>
      </c>
      <c r="D4" s="142" t="str">
        <f aca="false">IF(Scoring!AH4="","",IF(Scoring!AH4="OK","PASS","FAIL"))</f>
        <v>PASS</v>
      </c>
      <c r="E4" s="142" t="str">
        <f aca="false">IF(Scoring!AI4="","",IF(Scoring!AI4="OK","PASS","FAIL — mandatory review required"))</f>
        <v>PASS</v>
      </c>
      <c r="F4" s="142"/>
      <c r="G4" s="142"/>
      <c r="H4" s="143" t="str">
        <f aca="false">IF(OR(F4="",G4=""),"",IF(AND(F4="Y",G4="Y"),"Standard initial size","50% of normal initial size + 90-day technical review"))</f>
        <v/>
      </c>
      <c r="I4" s="142"/>
      <c r="J4" s="142"/>
      <c r="K4" s="144" t="str">
        <f aca="false">IF(I4="","",IF(I4="N","PASS",IF(J4="Y","PASS — risk documented in thesis","FAIL — undocumented binary risk")))</f>
        <v/>
      </c>
      <c r="L4" s="142" t="str">
        <f aca="false">IF('Implied-Return Calculator'!S5="","",'Implied-Return Calculator'!S5)</f>
        <v/>
      </c>
      <c r="M4" s="142" t="str">
        <f aca="false">IF('Implied-Return Calculator'!T5="","",'Implied-Return Calculator'!T5)</f>
        <v/>
      </c>
      <c r="N4" s="142" t="str">
        <f aca="false">IF('Implied-Return Calculator'!U5="","",'Implied-Return Calculator'!U5)</f>
        <v/>
      </c>
      <c r="O4" s="142"/>
      <c r="P4" s="142"/>
      <c r="Q4" s="144" t="str">
        <f aca="false">IF(OR(O4="",P4=""),"",IF(O4&lt;=50,"PASS — within ceiling",IF(AND(P4&gt;0.3,M4="PASS"),"PASS — growth+bear case exception met","FAIL — exceeds 50x, exception not met")))</f>
        <v/>
      </c>
      <c r="R4" s="143" t="str">
        <f aca="false">IF(OR(C4="",D4="",E4="",K4="",L4="",M4="",N4="",Q4=""),"",IF(AND(C4="PASS",D4="PASS",LEFT(E4,4)="PASS",LEFT(K4,4)="PASS",L4="PASS",M4="PASS",N4="OK",LEFT(Q4,4)="PASS"),"YES","NO — see failing rule(s)"))</f>
        <v/>
      </c>
      <c r="S4" s="143" t="str">
        <f aca="false">IF(R4="","",IF(R4="YES","Initiate: "&amp;H4,"DO NOT ENTER — resolve failing Entry Rule(s) above first"))</f>
        <v/>
      </c>
    </row>
    <row r="5" customFormat="false" ht="15" hidden="false" customHeight="true" outlineLevel="0" collapsed="false">
      <c r="A5" s="142" t="str">
        <f aca="false">IF(Scoring!A5="","",Scoring!A5)</f>
        <v>PLTR</v>
      </c>
      <c r="B5" s="143" t="str">
        <f aca="false">IF(Scoring!B5="","",Scoring!B5)</f>
        <v>Palantir Technologies</v>
      </c>
      <c r="C5" s="142" t="str">
        <f aca="false">IF(Scoring!AG5="","",IF(OR(Scoring!AG5="STRONG BUY",Scoring!AG5="BUY"),"PASS","FAIL"))</f>
        <v>PASS</v>
      </c>
      <c r="D5" s="142" t="str">
        <f aca="false">IF(Scoring!AH5="","",IF(Scoring!AH5="OK","PASS","FAIL"))</f>
        <v>PASS</v>
      </c>
      <c r="E5" s="142" t="str">
        <f aca="false">IF(Scoring!AI5="","",IF(Scoring!AI5="OK","PASS","FAIL — mandatory review required"))</f>
        <v>PASS</v>
      </c>
      <c r="F5" s="142"/>
      <c r="G5" s="142"/>
      <c r="H5" s="143" t="str">
        <f aca="false">IF(OR(F5="",G5=""),"",IF(AND(F5="Y",G5="Y"),"Standard initial size","50% of normal initial size + 90-day technical review"))</f>
        <v/>
      </c>
      <c r="I5" s="142"/>
      <c r="J5" s="142"/>
      <c r="K5" s="144" t="str">
        <f aca="false">IF(I5="","",IF(I5="N","PASS",IF(J5="Y","PASS — risk documented in thesis","FAIL — undocumented binary risk")))</f>
        <v/>
      </c>
      <c r="L5" s="142" t="str">
        <f aca="false">IF('Implied-Return Calculator'!S6="","",'Implied-Return Calculator'!S6)</f>
        <v/>
      </c>
      <c r="M5" s="142" t="str">
        <f aca="false">IF('Implied-Return Calculator'!T6="","",'Implied-Return Calculator'!T6)</f>
        <v/>
      </c>
      <c r="N5" s="142" t="str">
        <f aca="false">IF('Implied-Return Calculator'!U6="","",'Implied-Return Calculator'!U6)</f>
        <v/>
      </c>
      <c r="O5" s="142"/>
      <c r="P5" s="142"/>
      <c r="Q5" s="144" t="str">
        <f aca="false">IF(OR(O5="",P5=""),"",IF(O5&lt;=50,"PASS — within ceiling",IF(AND(P5&gt;0.3,M5="PASS"),"PASS — growth+bear case exception met","FAIL — exceeds 50x, exception not met")))</f>
        <v/>
      </c>
      <c r="R5" s="143" t="str">
        <f aca="false">IF(OR(C5="",D5="",E5="",K5="",L5="",M5="",N5="",Q5=""),"",IF(AND(C5="PASS",D5="PASS",LEFT(E5,4)="PASS",LEFT(K5,4)="PASS",L5="PASS",M5="PASS",N5="OK",LEFT(Q5,4)="PASS"),"YES","NO — see failing rule(s)"))</f>
        <v/>
      </c>
      <c r="S5" s="143" t="str">
        <f aca="false">IF(R5="","",IF(R5="YES","Initiate: "&amp;H5,"DO NOT ENTER — resolve failing Entry Rule(s) above first"))</f>
        <v/>
      </c>
    </row>
    <row r="6" customFormat="false" ht="15" hidden="false" customHeight="true" outlineLevel="0" collapsed="false">
      <c r="A6" s="142" t="str">
        <f aca="false">IF(Scoring!A6="","",Scoring!A6)</f>
        <v>NVDA</v>
      </c>
      <c r="B6" s="143" t="str">
        <f aca="false">IF(Scoring!B6="","",Scoring!B6)</f>
        <v>NVIDIA Corporation</v>
      </c>
      <c r="C6" s="142" t="str">
        <f aca="false">IF(Scoring!AG6="","",IF(OR(Scoring!AG6="STRONG BUY",Scoring!AG6="BUY"),"PASS","FAIL"))</f>
        <v>PASS</v>
      </c>
      <c r="D6" s="142" t="str">
        <f aca="false">IF(Scoring!AH6="","",IF(Scoring!AH6="OK","PASS","FAIL"))</f>
        <v>PASS</v>
      </c>
      <c r="E6" s="142" t="str">
        <f aca="false">IF(Scoring!AI6="","",IF(Scoring!AI6="OK","PASS","FAIL — mandatory review required"))</f>
        <v>PASS</v>
      </c>
      <c r="F6" s="142"/>
      <c r="G6" s="142"/>
      <c r="H6" s="143" t="str">
        <f aca="false">IF(OR(F6="",G6=""),"",IF(AND(F6="Y",G6="Y"),"Standard initial size","50% of normal initial size + 90-day technical review"))</f>
        <v/>
      </c>
      <c r="I6" s="142"/>
      <c r="J6" s="142"/>
      <c r="K6" s="144" t="str">
        <f aca="false">IF(I6="","",IF(I6="N","PASS",IF(J6="Y","PASS — risk documented in thesis","FAIL — undocumented binary risk")))</f>
        <v/>
      </c>
      <c r="L6" s="142" t="str">
        <f aca="false">IF('Implied-Return Calculator'!S7="","",'Implied-Return Calculator'!S7)</f>
        <v/>
      </c>
      <c r="M6" s="142" t="str">
        <f aca="false">IF('Implied-Return Calculator'!T7="","",'Implied-Return Calculator'!T7)</f>
        <v/>
      </c>
      <c r="N6" s="142" t="str">
        <f aca="false">IF('Implied-Return Calculator'!U7="","",'Implied-Return Calculator'!U7)</f>
        <v/>
      </c>
      <c r="O6" s="142"/>
      <c r="P6" s="142"/>
      <c r="Q6" s="144" t="str">
        <f aca="false">IF(OR(O6="",P6=""),"",IF(O6&lt;=50,"PASS — within ceiling",IF(AND(P6&gt;0.3,M6="PASS"),"PASS — growth+bear case exception met","FAIL — exceeds 50x, exception not met")))</f>
        <v/>
      </c>
      <c r="R6" s="143" t="str">
        <f aca="false">IF(OR(C6="",D6="",E6="",K6="",L6="",M6="",N6="",Q6=""),"",IF(AND(C6="PASS",D6="PASS",LEFT(E6,4)="PASS",LEFT(K6,4)="PASS",L6="PASS",M6="PASS",N6="OK",LEFT(Q6,4)="PASS"),"YES","NO — see failing rule(s)"))</f>
        <v/>
      </c>
      <c r="S6" s="143" t="str">
        <f aca="false">IF(R6="","",IF(R6="YES","Initiate: "&amp;H6,"DO NOT ENTER — resolve failing Entry Rule(s) above first"))</f>
        <v/>
      </c>
    </row>
    <row r="7" customFormat="false" ht="15" hidden="false" customHeight="true" outlineLevel="0" collapsed="false">
      <c r="A7" s="142" t="str">
        <f aca="false">IF(Scoring!A7="","",Scoring!A7)</f>
        <v>VRTX</v>
      </c>
      <c r="B7" s="143" t="str">
        <f aca="false">IF(Scoring!B7="","",Scoring!B7)</f>
        <v>Vertex Pharmaceuticals</v>
      </c>
      <c r="C7" s="142" t="str">
        <f aca="false">IF(Scoring!AG7="","",IF(OR(Scoring!AG7="STRONG BUY",Scoring!AG7="BUY"),"PASS","FAIL"))</f>
        <v>PASS</v>
      </c>
      <c r="D7" s="142" t="str">
        <f aca="false">IF(Scoring!AH7="","",IF(Scoring!AH7="OK","PASS","FAIL"))</f>
        <v>PASS</v>
      </c>
      <c r="E7" s="142" t="str">
        <f aca="false">IF(Scoring!AI7="","",IF(Scoring!AI7="OK","PASS","FAIL — mandatory review required"))</f>
        <v>PASS</v>
      </c>
      <c r="F7" s="142"/>
      <c r="G7" s="142"/>
      <c r="H7" s="143" t="str">
        <f aca="false">IF(OR(F7="",G7=""),"",IF(AND(F7="Y",G7="Y"),"Standard initial size","50% of normal initial size + 90-day technical review"))</f>
        <v/>
      </c>
      <c r="I7" s="142"/>
      <c r="J7" s="142"/>
      <c r="K7" s="144" t="str">
        <f aca="false">IF(I7="","",IF(I7="N","PASS",IF(J7="Y","PASS — risk documented in thesis","FAIL — undocumented binary risk")))</f>
        <v/>
      </c>
      <c r="L7" s="142" t="str">
        <f aca="false">IF('Implied-Return Calculator'!S8="","",'Implied-Return Calculator'!S8)</f>
        <v/>
      </c>
      <c r="M7" s="142" t="str">
        <f aca="false">IF('Implied-Return Calculator'!T8="","",'Implied-Return Calculator'!T8)</f>
        <v/>
      </c>
      <c r="N7" s="142" t="str">
        <f aca="false">IF('Implied-Return Calculator'!U8="","",'Implied-Return Calculator'!U8)</f>
        <v/>
      </c>
      <c r="O7" s="142"/>
      <c r="P7" s="142"/>
      <c r="Q7" s="144" t="str">
        <f aca="false">IF(OR(O7="",P7=""),"",IF(O7&lt;=50,"PASS — within ceiling",IF(AND(P7&gt;0.3,M7="PASS"),"PASS — growth+bear case exception met","FAIL — exceeds 50x, exception not met")))</f>
        <v/>
      </c>
      <c r="R7" s="143" t="str">
        <f aca="false">IF(OR(C7="",D7="",E7="",K7="",L7="",M7="",N7="",Q7=""),"",IF(AND(C7="PASS",D7="PASS",LEFT(E7,4)="PASS",LEFT(K7,4)="PASS",L7="PASS",M7="PASS",N7="OK",LEFT(Q7,4)="PASS"),"YES","NO — see failing rule(s)"))</f>
        <v/>
      </c>
      <c r="S7" s="143" t="str">
        <f aca="false">IF(R7="","",IF(R7="YES","Initiate: "&amp;H7,"DO NOT ENTER — resolve failing Entry Rule(s) above first"))</f>
        <v/>
      </c>
    </row>
    <row r="8" customFormat="false" ht="15" hidden="false" customHeight="true" outlineLevel="0" collapsed="false">
      <c r="A8" s="142" t="str">
        <f aca="false">IF(Scoring!A8="","",Scoring!A8)</f>
        <v>PLD</v>
      </c>
      <c r="B8" s="143" t="str">
        <f aca="false">IF(Scoring!B8="","",Scoring!B8)</f>
        <v>Prologis Inc. (REIT-adapted)</v>
      </c>
      <c r="C8" s="142" t="str">
        <f aca="false">IF(Scoring!AG8="","",IF(OR(Scoring!AG8="STRONG BUY",Scoring!AG8="BUY"),"PASS","FAIL"))</f>
        <v>PASS</v>
      </c>
      <c r="D8" s="142" t="str">
        <f aca="false">IF(Scoring!AH8="","",IF(Scoring!AH8="OK","PASS","FAIL"))</f>
        <v>PASS</v>
      </c>
      <c r="E8" s="142" t="str">
        <f aca="false">IF(Scoring!AI8="","",IF(Scoring!AI8="OK","PASS","FAIL — mandatory review required"))</f>
        <v>PASS</v>
      </c>
      <c r="F8" s="142"/>
      <c r="G8" s="142"/>
      <c r="H8" s="143" t="str">
        <f aca="false">IF(OR(F8="",G8=""),"",IF(AND(F8="Y",G8="Y"),"Standard initial size","50% of normal initial size + 90-day technical review"))</f>
        <v/>
      </c>
      <c r="I8" s="142"/>
      <c r="J8" s="142"/>
      <c r="K8" s="144" t="str">
        <f aca="false">IF(I8="","",IF(I8="N","PASS",IF(J8="Y","PASS — risk documented in thesis","FAIL — undocumented binary risk")))</f>
        <v/>
      </c>
      <c r="L8" s="142" t="str">
        <f aca="false">IF('Implied-Return Calculator'!S9="","",'Implied-Return Calculator'!S9)</f>
        <v/>
      </c>
      <c r="M8" s="142" t="str">
        <f aca="false">IF('Implied-Return Calculator'!T9="","",'Implied-Return Calculator'!T9)</f>
        <v/>
      </c>
      <c r="N8" s="142" t="str">
        <f aca="false">IF('Implied-Return Calculator'!U9="","",'Implied-Return Calculator'!U9)</f>
        <v/>
      </c>
      <c r="O8" s="142"/>
      <c r="P8" s="142"/>
      <c r="Q8" s="144" t="str">
        <f aca="false">IF(OR(O8="",P8=""),"",IF(O8&lt;=50,"PASS — within ceiling",IF(AND(P8&gt;0.3,M8="PASS"),"PASS — growth+bear case exception met","FAIL — exceeds 50x, exception not met")))</f>
        <v/>
      </c>
      <c r="R8" s="143" t="str">
        <f aca="false">IF(OR(C8="",D8="",E8="",K8="",L8="",M8="",N8="",Q8=""),"",IF(AND(C8="PASS",D8="PASS",LEFT(E8,4)="PASS",LEFT(K8,4)="PASS",L8="PASS",M8="PASS",N8="OK",LEFT(Q8,4)="PASS"),"YES","NO — see failing rule(s)"))</f>
        <v/>
      </c>
      <c r="S8" s="143" t="str">
        <f aca="false">IF(R8="","",IF(R8="YES","Initiate: "&amp;H8,"DO NOT ENTER — resolve failing Entry Rule(s) above first"))</f>
        <v/>
      </c>
    </row>
    <row r="9" customFormat="false" ht="15" hidden="false" customHeight="true" outlineLevel="0" collapsed="false">
      <c r="A9" s="142" t="str">
        <f aca="false">IF(Scoring!A9="","",Scoring!A9)</f>
        <v>SFM</v>
      </c>
      <c r="B9" s="143" t="str">
        <f aca="false">IF(Scoring!B9="","",Scoring!B9)</f>
        <v>Sprouts Farmers Market</v>
      </c>
      <c r="C9" s="142" t="str">
        <f aca="false">IF(Scoring!AG9="","",IF(OR(Scoring!AG9="STRONG BUY",Scoring!AG9="BUY"),"PASS","FAIL"))</f>
        <v/>
      </c>
      <c r="D9" s="142" t="str">
        <f aca="false">IF(Scoring!AH9="","",IF(Scoring!AH9="OK","PASS","FAIL"))</f>
        <v>FAIL</v>
      </c>
      <c r="E9" s="142" t="str">
        <f aca="false">IF(Scoring!AI9="","",IF(Scoring!AI9="OK","PASS","FAIL — mandatory review required"))</f>
        <v>FAIL — mandatory review required</v>
      </c>
      <c r="F9" s="142"/>
      <c r="G9" s="142"/>
      <c r="H9" s="143" t="str">
        <f aca="false">IF(OR(F9="",G9=""),"",IF(AND(F9="Y",G9="Y"),"Standard initial size","50% of normal initial size + 90-day technical review"))</f>
        <v/>
      </c>
      <c r="I9" s="142"/>
      <c r="J9" s="142"/>
      <c r="K9" s="144" t="str">
        <f aca="false">IF(I9="","",IF(I9="N","PASS",IF(J9="Y","PASS — risk documented in thesis","FAIL — undocumented binary risk")))</f>
        <v/>
      </c>
      <c r="L9" s="142" t="str">
        <f aca="false">IF('Implied-Return Calculator'!S10="","",'Implied-Return Calculator'!S10)</f>
        <v/>
      </c>
      <c r="M9" s="142" t="str">
        <f aca="false">IF('Implied-Return Calculator'!T10="","",'Implied-Return Calculator'!T10)</f>
        <v/>
      </c>
      <c r="N9" s="142" t="str">
        <f aca="false">IF('Implied-Return Calculator'!U10="","",'Implied-Return Calculator'!U10)</f>
        <v/>
      </c>
      <c r="O9" s="142"/>
      <c r="P9" s="142"/>
      <c r="Q9" s="144" t="str">
        <f aca="false">IF(OR(O9="",P9=""),"",IF(O9&lt;=50,"PASS — within ceiling",IF(AND(P9&gt;0.3,M9="PASS"),"PASS — growth+bear case exception met","FAIL — exceeds 50x, exception not met")))</f>
        <v/>
      </c>
      <c r="R9" s="143" t="str">
        <f aca="false">IF(OR(C9="",D9="",E9="",K9="",L9="",M9="",N9="",Q9=""),"",IF(AND(C9="PASS",D9="PASS",LEFT(E9,4)="PASS",LEFT(K9,4)="PASS",L9="PASS",M9="PASS",N9="OK",LEFT(Q9,4)="PASS"),"YES","NO — see failing rule(s)"))</f>
        <v/>
      </c>
      <c r="S9" s="143" t="str">
        <f aca="false">IF(R9="","",IF(R9="YES","Initiate: "&amp;H9,"DO NOT ENTER — resolve failing Entry Rule(s) above first"))</f>
        <v/>
      </c>
    </row>
    <row r="10" customFormat="false" ht="15" hidden="false" customHeight="true" outlineLevel="0" collapsed="false">
      <c r="A10" s="142" t="str">
        <f aca="false">IF(Scoring!A10="","",Scoring!A10)</f>
        <v>ONON</v>
      </c>
      <c r="B10" s="143" t="str">
        <f aca="false">IF(Scoring!B10="","",Scoring!B10)</f>
        <v>On Holding AG</v>
      </c>
      <c r="C10" s="142" t="str">
        <f aca="false">IF(Scoring!AG10="","",IF(OR(Scoring!AG10="STRONG BUY",Scoring!AG10="BUY"),"PASS","FAIL"))</f>
        <v/>
      </c>
      <c r="D10" s="142" t="str">
        <f aca="false">IF(Scoring!AH10="","",IF(Scoring!AH10="OK","PASS","FAIL"))</f>
        <v>FAIL</v>
      </c>
      <c r="E10" s="142" t="str">
        <f aca="false">IF(Scoring!AI10="","",IF(Scoring!AI10="OK","PASS","FAIL — mandatory review required"))</f>
        <v>PASS</v>
      </c>
      <c r="F10" s="142"/>
      <c r="G10" s="142"/>
      <c r="H10" s="143" t="str">
        <f aca="false">IF(OR(F10="",G10=""),"",IF(AND(F10="Y",G10="Y"),"Standard initial size","50% of normal initial size + 90-day technical review"))</f>
        <v/>
      </c>
      <c r="I10" s="142"/>
      <c r="J10" s="142"/>
      <c r="K10" s="144" t="str">
        <f aca="false">IF(I10="","",IF(I10="N","PASS",IF(J10="Y","PASS — risk documented in thesis","FAIL — undocumented binary risk")))</f>
        <v/>
      </c>
      <c r="L10" s="142" t="str">
        <f aca="false">IF('Implied-Return Calculator'!S11="","",'Implied-Return Calculator'!S11)</f>
        <v/>
      </c>
      <c r="M10" s="142" t="str">
        <f aca="false">IF('Implied-Return Calculator'!T11="","",'Implied-Return Calculator'!T11)</f>
        <v/>
      </c>
      <c r="N10" s="142" t="str">
        <f aca="false">IF('Implied-Return Calculator'!U11="","",'Implied-Return Calculator'!U11)</f>
        <v/>
      </c>
      <c r="O10" s="142"/>
      <c r="P10" s="142"/>
      <c r="Q10" s="144" t="str">
        <f aca="false">IF(OR(O10="",P10=""),"",IF(O10&lt;=50,"PASS — within ceiling",IF(AND(P10&gt;0.3,M10="PASS"),"PASS — growth+bear case exception met","FAIL — exceeds 50x, exception not met")))</f>
        <v/>
      </c>
      <c r="R10" s="143" t="str">
        <f aca="false">IF(OR(C10="",D10="",E10="",K10="",L10="",M10="",N10="",Q10=""),"",IF(AND(C10="PASS",D10="PASS",LEFT(E10,4)="PASS",LEFT(K10,4)="PASS",L10="PASS",M10="PASS",N10="OK",LEFT(Q10,4)="PASS"),"YES","NO — see failing rule(s)"))</f>
        <v/>
      </c>
      <c r="S10" s="143" t="str">
        <f aca="false">IF(R10="","",IF(R10="YES","Initiate: "&amp;H10,"DO NOT ENTER — resolve failing Entry Rule(s) above first"))</f>
        <v/>
      </c>
    </row>
    <row r="11" customFormat="false" ht="15" hidden="false" customHeight="true" outlineLevel="0" collapsed="false">
      <c r="A11" s="142" t="str">
        <f aca="false">IF(Scoring!A11="","",Scoring!A11)</f>
        <v>TSLA</v>
      </c>
      <c r="B11" s="143" t="str">
        <f aca="false">IF(Scoring!B11="","",Scoring!B11)</f>
        <v>Tesla Inc.</v>
      </c>
      <c r="C11" s="142" t="str">
        <f aca="false">IF(Scoring!AG11="","",IF(OR(Scoring!AG11="STRONG BUY",Scoring!AG11="BUY"),"PASS","FAIL"))</f>
        <v/>
      </c>
      <c r="D11" s="142" t="str">
        <f aca="false">IF(Scoring!AH11="","",IF(Scoring!AH11="OK","PASS","FAIL"))</f>
        <v>FAIL</v>
      </c>
      <c r="E11" s="142" t="str">
        <f aca="false">IF(Scoring!AI11="","",IF(Scoring!AI11="OK","PASS","FAIL — mandatory review required"))</f>
        <v>FAIL — mandatory review required</v>
      </c>
      <c r="F11" s="142"/>
      <c r="G11" s="142"/>
      <c r="H11" s="143" t="str">
        <f aca="false">IF(OR(F11="",G11=""),"",IF(AND(F11="Y",G11="Y"),"Standard initial size","50% of normal initial size + 90-day technical review"))</f>
        <v/>
      </c>
      <c r="I11" s="142"/>
      <c r="J11" s="142"/>
      <c r="K11" s="144" t="str">
        <f aca="false">IF(I11="","",IF(I11="N","PASS",IF(J11="Y","PASS — risk documented in thesis","FAIL — undocumented binary risk")))</f>
        <v/>
      </c>
      <c r="L11" s="142" t="str">
        <f aca="false">IF('Implied-Return Calculator'!S12="","",'Implied-Return Calculator'!S12)</f>
        <v/>
      </c>
      <c r="M11" s="142" t="str">
        <f aca="false">IF('Implied-Return Calculator'!T12="","",'Implied-Return Calculator'!T12)</f>
        <v/>
      </c>
      <c r="N11" s="142" t="str">
        <f aca="false">IF('Implied-Return Calculator'!U12="","",'Implied-Return Calculator'!U12)</f>
        <v/>
      </c>
      <c r="O11" s="142"/>
      <c r="P11" s="142"/>
      <c r="Q11" s="144" t="str">
        <f aca="false">IF(OR(O11="",P11=""),"",IF(O11&lt;=50,"PASS — within ceiling",IF(AND(P11&gt;0.3,M11="PASS"),"PASS — growth+bear case exception met","FAIL — exceeds 50x, exception not met")))</f>
        <v/>
      </c>
      <c r="R11" s="143" t="str">
        <f aca="false">IF(OR(C11="",D11="",E11="",K11="",L11="",M11="",N11="",Q11=""),"",IF(AND(C11="PASS",D11="PASS",LEFT(E11,4)="PASS",LEFT(K11,4)="PASS",L11="PASS",M11="PASS",N11="OK",LEFT(Q11,4)="PASS"),"YES","NO — see failing rule(s)"))</f>
        <v/>
      </c>
      <c r="S11" s="143" t="str">
        <f aca="false">IF(R11="","",IF(R11="YES","Initiate: "&amp;H11,"DO NOT ENTER — resolve failing Entry Rule(s) above first"))</f>
        <v/>
      </c>
    </row>
    <row r="12" customFormat="false" ht="15" hidden="false" customHeight="true" outlineLevel="0" collapsed="false">
      <c r="A12" s="142" t="str">
        <f aca="false">IF(Scoring!A12="","",Scoring!A12)</f>
        <v>ADBE</v>
      </c>
      <c r="B12" s="143" t="str">
        <f aca="false">IF(Scoring!B12="","",Scoring!B12)</f>
        <v>Adobe Inc.</v>
      </c>
      <c r="C12" s="142" t="str">
        <f aca="false">IF(Scoring!AG12="","",IF(OR(Scoring!AG12="STRONG BUY",Scoring!AG12="BUY"),"PASS","FAIL"))</f>
        <v>PASS</v>
      </c>
      <c r="D12" s="142" t="str">
        <f aca="false">IF(Scoring!AH12="","",IF(Scoring!AH12="OK","PASS","FAIL"))</f>
        <v>PASS</v>
      </c>
      <c r="E12" s="142" t="str">
        <f aca="false">IF(Scoring!AI12="","",IF(Scoring!AI12="OK","PASS","FAIL — mandatory review required"))</f>
        <v>PASS</v>
      </c>
      <c r="F12" s="142"/>
      <c r="G12" s="142"/>
      <c r="H12" s="143" t="str">
        <f aca="false">IF(OR(F12="",G12=""),"",IF(AND(F12="Y",G12="Y"),"Standard initial size","50% of normal initial size + 90-day technical review"))</f>
        <v/>
      </c>
      <c r="I12" s="142"/>
      <c r="J12" s="142"/>
      <c r="K12" s="144" t="str">
        <f aca="false">IF(I12="","",IF(I12="N","PASS",IF(J12="Y","PASS — risk documented in thesis","FAIL — undocumented binary risk")))</f>
        <v/>
      </c>
      <c r="L12" s="142" t="str">
        <f aca="false">IF('Implied-Return Calculator'!S13="","",'Implied-Return Calculator'!S13)</f>
        <v/>
      </c>
      <c r="M12" s="142" t="str">
        <f aca="false">IF('Implied-Return Calculator'!T13="","",'Implied-Return Calculator'!T13)</f>
        <v/>
      </c>
      <c r="N12" s="142" t="str">
        <f aca="false">IF('Implied-Return Calculator'!U13="","",'Implied-Return Calculator'!U13)</f>
        <v/>
      </c>
      <c r="O12" s="142"/>
      <c r="P12" s="142"/>
      <c r="Q12" s="144" t="str">
        <f aca="false">IF(OR(O12="",P12=""),"",IF(O12&lt;=50,"PASS — within ceiling",IF(AND(P12&gt;0.3,M12="PASS"),"PASS — growth+bear case exception met","FAIL — exceeds 50x, exception not met")))</f>
        <v/>
      </c>
      <c r="R12" s="143" t="str">
        <f aca="false">IF(OR(C12="",D12="",E12="",K12="",L12="",M12="",N12="",Q12=""),"",IF(AND(C12="PASS",D12="PASS",LEFT(E12,4)="PASS",LEFT(K12,4)="PASS",L12="PASS",M12="PASS",N12="OK",LEFT(Q12,4)="PASS"),"YES","NO — see failing rule(s)"))</f>
        <v/>
      </c>
      <c r="S12" s="143" t="str">
        <f aca="false">IF(R12="","",IF(R12="YES","Initiate: "&amp;H12,"DO NOT ENTER — resolve failing Entry Rule(s) above first"))</f>
        <v/>
      </c>
    </row>
    <row r="13" customFormat="false" ht="15" hidden="false" customHeight="true" outlineLevel="0" collapsed="false">
      <c r="A13" s="142" t="str">
        <f aca="false">IF(Scoring!A13="","",Scoring!A13)</f>
        <v>ANET</v>
      </c>
      <c r="B13" s="143" t="str">
        <f aca="false">IF(Scoring!B13="","",Scoring!B13)</f>
        <v>Arista Networks</v>
      </c>
      <c r="C13" s="142" t="str">
        <f aca="false">IF(Scoring!AG13="","",IF(OR(Scoring!AG13="STRONG BUY",Scoring!AG13="BUY"),"PASS","FAIL"))</f>
        <v>PASS</v>
      </c>
      <c r="D13" s="142" t="str">
        <f aca="false">IF(Scoring!AH13="","",IF(Scoring!AH13="OK","PASS","FAIL"))</f>
        <v>PASS</v>
      </c>
      <c r="E13" s="142" t="str">
        <f aca="false">IF(Scoring!AI13="","",IF(Scoring!AI13="OK","PASS","FAIL — mandatory review required"))</f>
        <v>PASS</v>
      </c>
      <c r="F13" s="142"/>
      <c r="G13" s="142"/>
      <c r="H13" s="143" t="str">
        <f aca="false">IF(OR(F13="",G13=""),"",IF(AND(F13="Y",G13="Y"),"Standard initial size","50% of normal initial size + 90-day technical review"))</f>
        <v/>
      </c>
      <c r="I13" s="142"/>
      <c r="J13" s="142"/>
      <c r="K13" s="144" t="str">
        <f aca="false">IF(I13="","",IF(I13="N","PASS",IF(J13="Y","PASS — risk documented in thesis","FAIL — undocumented binary risk")))</f>
        <v/>
      </c>
      <c r="L13" s="142" t="str">
        <f aca="false">IF('Implied-Return Calculator'!S14="","",'Implied-Return Calculator'!S14)</f>
        <v/>
      </c>
      <c r="M13" s="142" t="str">
        <f aca="false">IF('Implied-Return Calculator'!T14="","",'Implied-Return Calculator'!T14)</f>
        <v/>
      </c>
      <c r="N13" s="142" t="str">
        <f aca="false">IF('Implied-Return Calculator'!U14="","",'Implied-Return Calculator'!U14)</f>
        <v/>
      </c>
      <c r="O13" s="142"/>
      <c r="P13" s="142"/>
      <c r="Q13" s="144" t="str">
        <f aca="false">IF(OR(O13="",P13=""),"",IF(O13&lt;=50,"PASS — within ceiling",IF(AND(P13&gt;0.3,M13="PASS"),"PASS — growth+bear case exception met","FAIL — exceeds 50x, exception not met")))</f>
        <v/>
      </c>
      <c r="R13" s="143" t="str">
        <f aca="false">IF(OR(C13="",D13="",E13="",K13="",L13="",M13="",N13="",Q13=""),"",IF(AND(C13="PASS",D13="PASS",LEFT(E13,4)="PASS",LEFT(K13,4)="PASS",L13="PASS",M13="PASS",N13="OK",LEFT(Q13,4)="PASS"),"YES","NO — see failing rule(s)"))</f>
        <v/>
      </c>
      <c r="S13" s="143" t="str">
        <f aca="false">IF(R13="","",IF(R13="YES","Initiate: "&amp;H13,"DO NOT ENTER — resolve failing Entry Rule(s) above first"))</f>
        <v/>
      </c>
    </row>
    <row r="14" customFormat="false" ht="15" hidden="false" customHeight="true" outlineLevel="0" collapsed="false">
      <c r="A14" s="142" t="str">
        <f aca="false">IF(Scoring!A14="","",Scoring!A14)</f>
        <v>ASML</v>
      </c>
      <c r="B14" s="143" t="str">
        <f aca="false">IF(Scoring!B14="","",Scoring!B14)</f>
        <v>ASML Holding</v>
      </c>
      <c r="C14" s="142" t="str">
        <f aca="false">IF(Scoring!AG14="","",IF(OR(Scoring!AG14="STRONG BUY",Scoring!AG14="BUY"),"PASS","FAIL"))</f>
        <v>PASS</v>
      </c>
      <c r="D14" s="142" t="str">
        <f aca="false">IF(Scoring!AH14="","",IF(Scoring!AH14="OK","PASS","FAIL"))</f>
        <v>PASS</v>
      </c>
      <c r="E14" s="142" t="str">
        <f aca="false">IF(Scoring!AI14="","",IF(Scoring!AI14="OK","PASS","FAIL — mandatory review required"))</f>
        <v>PASS</v>
      </c>
      <c r="F14" s="142"/>
      <c r="G14" s="142"/>
      <c r="H14" s="143" t="str">
        <f aca="false">IF(OR(F14="",G14=""),"",IF(AND(F14="Y",G14="Y"),"Standard initial size","50% of normal initial size + 90-day technical review"))</f>
        <v/>
      </c>
      <c r="I14" s="142"/>
      <c r="J14" s="142"/>
      <c r="K14" s="144" t="str">
        <f aca="false">IF(I14="","",IF(I14="N","PASS",IF(J14="Y","PASS — risk documented in thesis","FAIL — undocumented binary risk")))</f>
        <v/>
      </c>
      <c r="L14" s="142" t="str">
        <f aca="false">IF('Implied-Return Calculator'!S15="","",'Implied-Return Calculator'!S15)</f>
        <v/>
      </c>
      <c r="M14" s="142" t="str">
        <f aca="false">IF('Implied-Return Calculator'!T15="","",'Implied-Return Calculator'!T15)</f>
        <v/>
      </c>
      <c r="N14" s="142" t="str">
        <f aca="false">IF('Implied-Return Calculator'!U15="","",'Implied-Return Calculator'!U15)</f>
        <v/>
      </c>
      <c r="O14" s="142"/>
      <c r="P14" s="142"/>
      <c r="Q14" s="144" t="str">
        <f aca="false">IF(OR(O14="",P14=""),"",IF(O14&lt;=50,"PASS — within ceiling",IF(AND(P14&gt;0.3,M14="PASS"),"PASS — growth+bear case exception met","FAIL — exceeds 50x, exception not met")))</f>
        <v/>
      </c>
      <c r="R14" s="143" t="str">
        <f aca="false">IF(OR(C14="",D14="",E14="",K14="",L14="",M14="",N14="",Q14=""),"",IF(AND(C14="PASS",D14="PASS",LEFT(E14,4)="PASS",LEFT(K14,4)="PASS",L14="PASS",M14="PASS",N14="OK",LEFT(Q14,4)="PASS"),"YES","NO — see failing rule(s)"))</f>
        <v/>
      </c>
      <c r="S14" s="143" t="str">
        <f aca="false">IF(R14="","",IF(R14="YES","Initiate: "&amp;H14,"DO NOT ENTER — resolve failing Entry Rule(s) above first"))</f>
        <v/>
      </c>
    </row>
    <row r="15" customFormat="false" ht="15" hidden="false" customHeight="true" outlineLevel="0" collapsed="false">
      <c r="A15" s="142" t="str">
        <f aca="false">IF(Scoring!A15="","",Scoring!A15)</f>
        <v>CRWD</v>
      </c>
      <c r="B15" s="143" t="str">
        <f aca="false">IF(Scoring!B15="","",Scoring!B15)</f>
        <v>CrowdStrike Holdings</v>
      </c>
      <c r="C15" s="142" t="str">
        <f aca="false">IF(Scoring!AG15="","",IF(OR(Scoring!AG15="STRONG BUY",Scoring!AG15="BUY"),"PASS","FAIL"))</f>
        <v>FAIL</v>
      </c>
      <c r="D15" s="142" t="str">
        <f aca="false">IF(Scoring!AH15="","",IF(Scoring!AH15="OK","PASS","FAIL"))</f>
        <v>PASS</v>
      </c>
      <c r="E15" s="142" t="str">
        <f aca="false">IF(Scoring!AI15="","",IF(Scoring!AI15="OK","PASS","FAIL — mandatory review required"))</f>
        <v>PASS</v>
      </c>
      <c r="F15" s="142"/>
      <c r="G15" s="142"/>
      <c r="H15" s="143" t="str">
        <f aca="false">IF(OR(F15="",G15=""),"",IF(AND(F15="Y",G15="Y"),"Standard initial size","50% of normal initial size + 90-day technical review"))</f>
        <v/>
      </c>
      <c r="I15" s="142"/>
      <c r="J15" s="142"/>
      <c r="K15" s="144" t="str">
        <f aca="false">IF(I15="","",IF(I15="N","PASS",IF(J15="Y","PASS — risk documented in thesis","FAIL — undocumented binary risk")))</f>
        <v/>
      </c>
      <c r="L15" s="142" t="str">
        <f aca="false">IF('Implied-Return Calculator'!S16="","",'Implied-Return Calculator'!S16)</f>
        <v/>
      </c>
      <c r="M15" s="142" t="str">
        <f aca="false">IF('Implied-Return Calculator'!T16="","",'Implied-Return Calculator'!T16)</f>
        <v/>
      </c>
      <c r="N15" s="142" t="str">
        <f aca="false">IF('Implied-Return Calculator'!U16="","",'Implied-Return Calculator'!U16)</f>
        <v/>
      </c>
      <c r="O15" s="142"/>
      <c r="P15" s="142"/>
      <c r="Q15" s="144" t="str">
        <f aca="false">IF(OR(O15="",P15=""),"",IF(O15&lt;=50,"PASS — within ceiling",IF(AND(P15&gt;0.3,M15="PASS"),"PASS — growth+bear case exception met","FAIL — exceeds 50x, exception not met")))</f>
        <v/>
      </c>
      <c r="R15" s="143" t="str">
        <f aca="false">IF(OR(C15="",D15="",E15="",K15="",L15="",M15="",N15="",Q15=""),"",IF(AND(C15="PASS",D15="PASS",LEFT(E15,4)="PASS",LEFT(K15,4)="PASS",L15="PASS",M15="PASS",N15="OK",LEFT(Q15,4)="PASS"),"YES","NO — see failing rule(s)"))</f>
        <v/>
      </c>
      <c r="S15" s="143" t="str">
        <f aca="false">IF(R15="","",IF(R15="YES","Initiate: "&amp;H15,"DO NOT ENTER — resolve failing Entry Rule(s) above first"))</f>
        <v/>
      </c>
    </row>
    <row r="16" customFormat="false" ht="15" hidden="false" customHeight="true" outlineLevel="0" collapsed="false">
      <c r="A16" s="142" t="str">
        <f aca="false">IF(Scoring!A16="","",Scoring!A16)</f>
        <v>KLAC</v>
      </c>
      <c r="B16" s="143" t="str">
        <f aca="false">IF(Scoring!B16="","",Scoring!B16)</f>
        <v>KLA Corporation</v>
      </c>
      <c r="C16" s="142" t="str">
        <f aca="false">IF(Scoring!AG16="","",IF(OR(Scoring!AG16="STRONG BUY",Scoring!AG16="BUY"),"PASS","FAIL"))</f>
        <v>PASS</v>
      </c>
      <c r="D16" s="142" t="str">
        <f aca="false">IF(Scoring!AH16="","",IF(Scoring!AH16="OK","PASS","FAIL"))</f>
        <v>PASS</v>
      </c>
      <c r="E16" s="142" t="str">
        <f aca="false">IF(Scoring!AI16="","",IF(Scoring!AI16="OK","PASS","FAIL — mandatory review required"))</f>
        <v>PASS</v>
      </c>
      <c r="F16" s="142"/>
      <c r="G16" s="142"/>
      <c r="H16" s="143" t="str">
        <f aca="false">IF(OR(F16="",G16=""),"",IF(AND(F16="Y",G16="Y"),"Standard initial size","50% of normal initial size + 90-day technical review"))</f>
        <v/>
      </c>
      <c r="I16" s="142"/>
      <c r="J16" s="142"/>
      <c r="K16" s="144" t="str">
        <f aca="false">IF(I16="","",IF(I16="N","PASS",IF(J16="Y","PASS — risk documented in thesis","FAIL — undocumented binary risk")))</f>
        <v/>
      </c>
      <c r="L16" s="142" t="str">
        <f aca="false">IF('Implied-Return Calculator'!S17="","",'Implied-Return Calculator'!S17)</f>
        <v/>
      </c>
      <c r="M16" s="142" t="str">
        <f aca="false">IF('Implied-Return Calculator'!T17="","",'Implied-Return Calculator'!T17)</f>
        <v/>
      </c>
      <c r="N16" s="142" t="str">
        <f aca="false">IF('Implied-Return Calculator'!U17="","",'Implied-Return Calculator'!U17)</f>
        <v/>
      </c>
      <c r="O16" s="142"/>
      <c r="P16" s="142"/>
      <c r="Q16" s="144" t="str">
        <f aca="false">IF(OR(O16="",P16=""),"",IF(O16&lt;=50,"PASS — within ceiling",IF(AND(P16&gt;0.3,M16="PASS"),"PASS — growth+bear case exception met","FAIL — exceeds 50x, exception not met")))</f>
        <v/>
      </c>
      <c r="R16" s="143" t="str">
        <f aca="false">IF(OR(C16="",D16="",E16="",K16="",L16="",M16="",N16="",Q16=""),"",IF(AND(C16="PASS",D16="PASS",LEFT(E16,4)="PASS",LEFT(K16,4)="PASS",L16="PASS",M16="PASS",N16="OK",LEFT(Q16,4)="PASS"),"YES","NO — see failing rule(s)"))</f>
        <v/>
      </c>
      <c r="S16" s="143" t="str">
        <f aca="false">IF(R16="","",IF(R16="YES","Initiate: "&amp;H16,"DO NOT ENTER — resolve failing Entry Rule(s) above first"))</f>
        <v/>
      </c>
    </row>
    <row r="17" customFormat="false" ht="15" hidden="false" customHeight="true" outlineLevel="0" collapsed="false">
      <c r="A17" s="142" t="str">
        <f aca="false">IF(Scoring!A17="","",Scoring!A17)</f>
        <v>TSM</v>
      </c>
      <c r="B17" s="143" t="str">
        <f aca="false">IF(Scoring!B17="","",Scoring!B17)</f>
        <v>Taiwan Semiconductor Mfg.</v>
      </c>
      <c r="C17" s="142" t="str">
        <f aca="false">IF(Scoring!AG17="","",IF(OR(Scoring!AG17="STRONG BUY",Scoring!AG17="BUY"),"PASS","FAIL"))</f>
        <v>PASS</v>
      </c>
      <c r="D17" s="142" t="str">
        <f aca="false">IF(Scoring!AH17="","",IF(Scoring!AH17="OK","PASS","FAIL"))</f>
        <v>PASS</v>
      </c>
      <c r="E17" s="142" t="str">
        <f aca="false">IF(Scoring!AI17="","",IF(Scoring!AI17="OK","PASS","FAIL — mandatory review required"))</f>
        <v>PASS</v>
      </c>
      <c r="F17" s="142"/>
      <c r="G17" s="142"/>
      <c r="H17" s="143" t="str">
        <f aca="false">IF(OR(F17="",G17=""),"",IF(AND(F17="Y",G17="Y"),"Standard initial size","50% of normal initial size + 90-day technical review"))</f>
        <v/>
      </c>
      <c r="I17" s="142"/>
      <c r="J17" s="142"/>
      <c r="K17" s="144" t="str">
        <f aca="false">IF(I17="","",IF(I17="N","PASS",IF(J17="Y","PASS — risk documented in thesis","FAIL — undocumented binary risk")))</f>
        <v/>
      </c>
      <c r="L17" s="142" t="str">
        <f aca="false">IF('Implied-Return Calculator'!S18="","",'Implied-Return Calculator'!S18)</f>
        <v/>
      </c>
      <c r="M17" s="142" t="str">
        <f aca="false">IF('Implied-Return Calculator'!T18="","",'Implied-Return Calculator'!T18)</f>
        <v/>
      </c>
      <c r="N17" s="142" t="str">
        <f aca="false">IF('Implied-Return Calculator'!U18="","",'Implied-Return Calculator'!U18)</f>
        <v/>
      </c>
      <c r="O17" s="142"/>
      <c r="P17" s="142"/>
      <c r="Q17" s="144" t="str">
        <f aca="false">IF(OR(O17="",P17=""),"",IF(O17&lt;=50,"PASS — within ceiling",IF(AND(P17&gt;0.3,M17="PASS"),"PASS — growth+bear case exception met","FAIL — exceeds 50x, exception not met")))</f>
        <v/>
      </c>
      <c r="R17" s="143" t="str">
        <f aca="false">IF(OR(C17="",D17="",E17="",K17="",L17="",M17="",N17="",Q17=""),"",IF(AND(C17="PASS",D17="PASS",LEFT(E17,4)="PASS",LEFT(K17,4)="PASS",L17="PASS",M17="PASS",N17="OK",LEFT(Q17,4)="PASS"),"YES","NO — see failing rule(s)"))</f>
        <v/>
      </c>
      <c r="S17" s="143" t="str">
        <f aca="false">IF(R17="","",IF(R17="YES","Initiate: "&amp;H17,"DO NOT ENTER — resolve failing Entry Rule(s) above first"))</f>
        <v/>
      </c>
    </row>
    <row r="18" customFormat="false" ht="15" hidden="false" customHeight="true" outlineLevel="0" collapsed="false">
      <c r="A18" s="142" t="str">
        <f aca="false">IF(Scoring!A18="","",Scoring!A18)</f>
        <v>VRT</v>
      </c>
      <c r="B18" s="143" t="str">
        <f aca="false">IF(Scoring!B18="","",Scoring!B18)</f>
        <v>Vertiv Holdings</v>
      </c>
      <c r="C18" s="142" t="str">
        <f aca="false">IF(Scoring!AG18="","",IF(OR(Scoring!AG18="STRONG BUY",Scoring!AG18="BUY"),"PASS","FAIL"))</f>
        <v>PASS</v>
      </c>
      <c r="D18" s="142" t="str">
        <f aca="false">IF(Scoring!AH18="","",IF(Scoring!AH18="OK","PASS","FAIL"))</f>
        <v>PASS</v>
      </c>
      <c r="E18" s="142" t="str">
        <f aca="false">IF(Scoring!AI18="","",IF(Scoring!AI18="OK","PASS","FAIL — mandatory review required"))</f>
        <v>PASS</v>
      </c>
      <c r="F18" s="142"/>
      <c r="G18" s="142"/>
      <c r="H18" s="143" t="str">
        <f aca="false">IF(OR(F18="",G18=""),"",IF(AND(F18="Y",G18="Y"),"Standard initial size","50% of normal initial size + 90-day technical review"))</f>
        <v/>
      </c>
      <c r="I18" s="142"/>
      <c r="J18" s="142"/>
      <c r="K18" s="144" t="str">
        <f aca="false">IF(I18="","",IF(I18="N","PASS",IF(J18="Y","PASS — risk documented in thesis","FAIL — undocumented binary risk")))</f>
        <v/>
      </c>
      <c r="L18" s="142" t="str">
        <f aca="false">IF('Implied-Return Calculator'!S19="","",'Implied-Return Calculator'!S19)</f>
        <v/>
      </c>
      <c r="M18" s="142" t="str">
        <f aca="false">IF('Implied-Return Calculator'!T19="","",'Implied-Return Calculator'!T19)</f>
        <v/>
      </c>
      <c r="N18" s="142" t="str">
        <f aca="false">IF('Implied-Return Calculator'!U19="","",'Implied-Return Calculator'!U19)</f>
        <v/>
      </c>
      <c r="O18" s="142"/>
      <c r="P18" s="142"/>
      <c r="Q18" s="144" t="str">
        <f aca="false">IF(OR(O18="",P18=""),"",IF(O18&lt;=50,"PASS — within ceiling",IF(AND(P18&gt;0.3,M18="PASS"),"PASS — growth+bear case exception met","FAIL — exceeds 50x, exception not met")))</f>
        <v/>
      </c>
      <c r="R18" s="143" t="str">
        <f aca="false">IF(OR(C18="",D18="",E18="",K18="",L18="",M18="",N18="",Q18=""),"",IF(AND(C18="PASS",D18="PASS",LEFT(E18,4)="PASS",LEFT(K18,4)="PASS",L18="PASS",M18="PASS",N18="OK",LEFT(Q18,4)="PASS"),"YES","NO — see failing rule(s)"))</f>
        <v/>
      </c>
      <c r="S18" s="143" t="str">
        <f aca="false">IF(R18="","",IF(R18="YES","Initiate: "&amp;H18,"DO NOT ENTER — resolve failing Entry Rule(s) above first"))</f>
        <v/>
      </c>
    </row>
    <row r="19" customFormat="false" ht="15" hidden="false" customHeight="true" outlineLevel="0" collapsed="false">
      <c r="A19" s="142" t="str">
        <f aca="false">IF(Scoring!A19="","",Scoring!A19)</f>
        <v>COST</v>
      </c>
      <c r="B19" s="143" t="str">
        <f aca="false">IF(Scoring!B19="","",Scoring!B19)</f>
        <v>Costco Wholesale Corp.</v>
      </c>
      <c r="C19" s="142" t="str">
        <f aca="false">IF(Scoring!AG19="","",IF(OR(Scoring!AG19="STRONG BUY",Scoring!AG19="BUY"),"PASS","FAIL"))</f>
        <v>PASS</v>
      </c>
      <c r="D19" s="142" t="str">
        <f aca="false">IF(Scoring!AH19="","",IF(Scoring!AH19="OK","PASS","FAIL"))</f>
        <v>PASS</v>
      </c>
      <c r="E19" s="142" t="str">
        <f aca="false">IF(Scoring!AI19="","",IF(Scoring!AI19="OK","PASS","FAIL — mandatory review required"))</f>
        <v>PASS</v>
      </c>
      <c r="F19" s="142" t="s">
        <v>222</v>
      </c>
      <c r="G19" s="142" t="s">
        <v>222</v>
      </c>
      <c r="H19" s="143" t="str">
        <f aca="false">IF(OR(F19="",G19=""),"",IF(AND(F19="Y",G19="Y"),"Standard initial size","50% of normal initial size + 90-day technical review"))</f>
        <v>Standard initial size</v>
      </c>
      <c r="I19" s="142" t="s">
        <v>224</v>
      </c>
      <c r="J19" s="142"/>
      <c r="K19" s="144" t="str">
        <f aca="false">IF(I19="","",IF(I19="N","PASS",IF(J19="Y","PASS — risk documented in thesis","FAIL — undocumented binary risk")))</f>
        <v>PASS</v>
      </c>
      <c r="L19" s="142" t="str">
        <f aca="false">IF('Implied-Return Calculator'!S20="","",'Implied-Return Calculator'!S20)</f>
        <v>FAIL</v>
      </c>
      <c r="M19" s="142" t="str">
        <f aca="false">IF('Implied-Return Calculator'!T20="","",'Implied-Return Calculator'!T20)</f>
        <v>PASS</v>
      </c>
      <c r="N19" s="142" t="str">
        <f aca="false">IF('Implied-Return Calculator'!U20="","",'Implied-Return Calculator'!U20)</f>
        <v>OK</v>
      </c>
      <c r="O19" s="142" t="n">
        <v>61.48</v>
      </c>
      <c r="P19" s="142" t="n">
        <v>0.07</v>
      </c>
      <c r="Q19" s="144" t="str">
        <f aca="false">IF(OR(O19="",P19=""),"",IF(O19&lt;=50,"PASS — within ceiling",IF(AND(P19&gt;0.3,M19="PASS"),"PASS — growth+bear case exception met","FAIL — exceeds 50x, exception not met")))</f>
        <v>FAIL — exceeds 50x, exception not met</v>
      </c>
      <c r="R19" s="143" t="str">
        <f aca="false">IF(OR(C19="",D19="",E19="",K19="",L19="",M19="",N19="",Q19=""),"",IF(AND(C19="PASS",D19="PASS",LEFT(E19,4)="PASS",LEFT(K19,4)="PASS",L19="PASS",M19="PASS",N19="OK",LEFT(Q19,4)="PASS"),"YES","NO — see failing rule(s)"))</f>
        <v>NO — see failing rule(s)</v>
      </c>
      <c r="S19" s="143" t="str">
        <f aca="false">IF(R19="","",IF(R19="YES","Initiate: "&amp;H19,"DO NOT ENTER — resolve failing Entry Rule(s) above first"))</f>
        <v>DO NOT ENTER — resolve failing Entry Rule(s) above first</v>
      </c>
    </row>
    <row r="20" customFormat="false" ht="15" hidden="false" customHeight="true" outlineLevel="0" collapsed="false">
      <c r="A20" s="142" t="str">
        <f aca="false">IF(Scoring!A20="","",Scoring!A20)</f>
        <v>V</v>
      </c>
      <c r="B20" s="143" t="str">
        <f aca="false">IF(Scoring!B20="","",Scoring!B20)</f>
        <v>Visa Inc.</v>
      </c>
      <c r="C20" s="142" t="str">
        <f aca="false">IF(Scoring!AG20="","",IF(OR(Scoring!AG20="STRONG BUY",Scoring!AG20="BUY"),"PASS","FAIL"))</f>
        <v>PASS</v>
      </c>
      <c r="D20" s="142" t="str">
        <f aca="false">IF(Scoring!AH20="","",IF(Scoring!AH20="OK","PASS","FAIL"))</f>
        <v>PASS</v>
      </c>
      <c r="E20" s="142" t="str">
        <f aca="false">IF(Scoring!AI20="","",IF(Scoring!AI20="OK","PASS","FAIL — mandatory review required"))</f>
        <v>PASS</v>
      </c>
      <c r="F20" s="142" t="s">
        <v>222</v>
      </c>
      <c r="G20" s="142" t="s">
        <v>222</v>
      </c>
      <c r="H20" s="143" t="str">
        <f aca="false">IF(OR(F20="",G20=""),"",IF(AND(F20="Y",G20="Y"),"Standard initial size","50% of normal initial size + 90-day technical review"))</f>
        <v>Standard initial size</v>
      </c>
      <c r="I20" s="142" t="s">
        <v>222</v>
      </c>
      <c r="J20" s="142" t="s">
        <v>222</v>
      </c>
      <c r="K20" s="144" t="str">
        <f aca="false">IF(I20="","",IF(I20="N","PASS",IF(J20="Y","PASS — risk documented in thesis","FAIL — undocumented binary risk")))</f>
        <v>PASS — risk documented in thesis</v>
      </c>
      <c r="L20" s="142" t="str">
        <f aca="false">IF('Implied-Return Calculator'!S21="","",'Implied-Return Calculator'!S21)</f>
        <v>PASS</v>
      </c>
      <c r="M20" s="142" t="str">
        <f aca="false">IF('Implied-Return Calculator'!T21="","",'Implied-Return Calculator'!T21)</f>
        <v>PASS</v>
      </c>
      <c r="N20" s="142" t="str">
        <f aca="false">IF('Implied-Return Calculator'!U21="","",'Implied-Return Calculator'!U21)</f>
        <v>OK</v>
      </c>
      <c r="O20" s="142" t="n">
        <v>34.36</v>
      </c>
      <c r="P20" s="142" t="n">
        <v>0.11</v>
      </c>
      <c r="Q20" s="144" t="str">
        <f aca="false">IF(OR(O20="",P20=""),"",IF(O20&lt;=50,"PASS — within ceiling",IF(AND(P20&gt;0.3,M20="PASS"),"PASS — growth+bear case exception met","FAIL — exceeds 50x, exception not met")))</f>
        <v>PASS — within ceiling</v>
      </c>
      <c r="R20" s="143" t="str">
        <f aca="false">IF(OR(C20="",D20="",E20="",K20="",L20="",M20="",N20="",Q20=""),"",IF(AND(C20="PASS",D20="PASS",LEFT(E20,4)="PASS",LEFT(K20,4)="PASS",L20="PASS",M20="PASS",N20="OK",LEFT(Q20,4)="PASS"),"YES","NO — see failing rule(s)"))</f>
        <v>YES</v>
      </c>
      <c r="S20" s="143" t="str">
        <f aca="false">IF(R20="","",IF(R20="YES","Initiate: "&amp;H20,"DO NOT ENTER — resolve failing Entry Rule(s) above first"))</f>
        <v>Initiate: Standard initial size</v>
      </c>
    </row>
    <row r="21" customFormat="false" ht="15" hidden="false" customHeight="true" outlineLevel="0" collapsed="false">
      <c r="A21" s="142" t="str">
        <f aca="false">IF(Scoring!A21="","",Scoring!A21)</f>
        <v>NEE</v>
      </c>
      <c r="B21" s="143" t="str">
        <f aca="false">IF(Scoring!B21="","",Scoring!B21)</f>
        <v>NextEra Energy Inc.</v>
      </c>
      <c r="C21" s="142" t="str">
        <f aca="false">IF(Scoring!AG21="","",IF(OR(Scoring!AG21="STRONG BUY",Scoring!AG21="BUY"),"PASS","FAIL"))</f>
        <v/>
      </c>
      <c r="D21" s="142" t="str">
        <f aca="false">IF(Scoring!AH21="","",IF(Scoring!AH21="OK","PASS","FAIL"))</f>
        <v>FAIL</v>
      </c>
      <c r="E21" s="142" t="str">
        <f aca="false">IF(Scoring!AI21="","",IF(Scoring!AI21="OK","PASS","FAIL — mandatory review required"))</f>
        <v>FAIL — mandatory review required</v>
      </c>
      <c r="F21" s="142"/>
      <c r="G21" s="142"/>
      <c r="H21" s="143" t="str">
        <f aca="false">IF(OR(F21="",G21=""),"",IF(AND(F21="Y",G21="Y"),"Standard initial size","50% of normal initial size + 90-day technical review"))</f>
        <v/>
      </c>
      <c r="I21" s="142"/>
      <c r="J21" s="142"/>
      <c r="K21" s="144" t="str">
        <f aca="false">IF(I21="","",IF(I21="N","PASS",IF(J21="Y","PASS — risk documented in thesis","FAIL — undocumented binary risk")))</f>
        <v/>
      </c>
      <c r="L21" s="142" t="str">
        <f aca="false">IF('Implied-Return Calculator'!S22="","",'Implied-Return Calculator'!S22)</f>
        <v/>
      </c>
      <c r="M21" s="142" t="str">
        <f aca="false">IF('Implied-Return Calculator'!T22="","",'Implied-Return Calculator'!T22)</f>
        <v/>
      </c>
      <c r="N21" s="142" t="str">
        <f aca="false">IF('Implied-Return Calculator'!U22="","",'Implied-Return Calculator'!U22)</f>
        <v/>
      </c>
      <c r="O21" s="142"/>
      <c r="P21" s="142"/>
      <c r="Q21" s="144" t="str">
        <f aca="false">IF(OR(O21="",P21=""),"",IF(O21&lt;=50,"PASS — within ceiling",IF(AND(P21&gt;0.3,M21="PASS"),"PASS — growth+bear case exception met","FAIL — exceeds 50x, exception not met")))</f>
        <v/>
      </c>
      <c r="R21" s="143" t="str">
        <f aca="false">IF(OR(C21="",D21="",E21="",K21="",L21="",M21="",N21="",Q21=""),"",IF(AND(C21="PASS",D21="PASS",LEFT(E21,4)="PASS",LEFT(K21,4)="PASS",L21="PASS",M21="PASS",N21="OK",LEFT(Q21,4)="PASS"),"YES","NO — see failing rule(s)"))</f>
        <v/>
      </c>
      <c r="S21" s="143" t="str">
        <f aca="false">IF(R21="","",IF(R21="YES","Initiate: "&amp;H21,"DO NOT ENTER — resolve failing Entry Rule(s) above first"))</f>
        <v/>
      </c>
    </row>
    <row r="22" customFormat="false" ht="15" hidden="false" customHeight="true" outlineLevel="0" collapsed="false">
      <c r="A22" s="142" t="str">
        <f aca="false">IF(Scoring!A22="","",Scoring!A22)</f>
        <v>CRK</v>
      </c>
      <c r="B22" s="143" t="str">
        <f aca="false">IF(Scoring!B22="","",Scoring!B22)</f>
        <v>Comstock Resources Inc.</v>
      </c>
      <c r="C22" s="142" t="str">
        <f aca="false">IF(Scoring!AG22="","",IF(OR(Scoring!AG22="STRONG BUY",Scoring!AG22="BUY"),"PASS","FAIL"))</f>
        <v/>
      </c>
      <c r="D22" s="142" t="str">
        <f aca="false">IF(Scoring!AH22="","",IF(Scoring!AH22="OK","PASS","FAIL"))</f>
        <v>FAIL</v>
      </c>
      <c r="E22" s="142" t="str">
        <f aca="false">IF(Scoring!AI22="","",IF(Scoring!AI22="OK","PASS","FAIL — mandatory review required"))</f>
        <v>FAIL — mandatory review required</v>
      </c>
      <c r="F22" s="142"/>
      <c r="G22" s="142"/>
      <c r="H22" s="143" t="str">
        <f aca="false">IF(OR(F22="",G22=""),"",IF(AND(F22="Y",G22="Y"),"Standard initial size","50% of normal initial size + 90-day technical review"))</f>
        <v/>
      </c>
      <c r="I22" s="142"/>
      <c r="J22" s="142"/>
      <c r="K22" s="144" t="str">
        <f aca="false">IF(I22="","",IF(I22="N","PASS",IF(J22="Y","PASS — risk documented in thesis","FAIL — undocumented binary risk")))</f>
        <v/>
      </c>
      <c r="L22" s="142" t="str">
        <f aca="false">IF('Implied-Return Calculator'!S23="","",'Implied-Return Calculator'!S23)</f>
        <v/>
      </c>
      <c r="M22" s="142" t="str">
        <f aca="false">IF('Implied-Return Calculator'!T23="","",'Implied-Return Calculator'!T23)</f>
        <v/>
      </c>
      <c r="N22" s="142" t="str">
        <f aca="false">IF('Implied-Return Calculator'!U23="","",'Implied-Return Calculator'!U23)</f>
        <v/>
      </c>
      <c r="O22" s="142"/>
      <c r="P22" s="142"/>
      <c r="Q22" s="144" t="str">
        <f aca="false">IF(OR(O22="",P22=""),"",IF(O22&lt;=50,"PASS — within ceiling",IF(AND(P22&gt;0.3,M22="PASS"),"PASS — growth+bear case exception met","FAIL — exceeds 50x, exception not met")))</f>
        <v/>
      </c>
      <c r="R22" s="143" t="str">
        <f aca="false">IF(OR(C22="",D22="",E22="",K22="",L22="",M22="",N22="",Q22=""),"",IF(AND(C22="PASS",D22="PASS",LEFT(E22,4)="PASS",LEFT(K22,4)="PASS",L22="PASS",M22="PASS",N22="OK",LEFT(Q22,4)="PASS"),"YES","NO — see failing rule(s)"))</f>
        <v/>
      </c>
      <c r="S22" s="143" t="str">
        <f aca="false">IF(R22="","",IF(R22="YES","Initiate: "&amp;H22,"DO NOT ENTER — resolve failing Entry Rule(s) above first"))</f>
        <v/>
      </c>
    </row>
    <row r="23" customFormat="false" ht="15" hidden="false" customHeight="true" outlineLevel="0" collapsed="false">
      <c r="A23" s="142" t="str">
        <f aca="false">IF(Scoring!A23="","",Scoring!A23)</f>
        <v>ET</v>
      </c>
      <c r="B23" s="143" t="str">
        <f aca="false">IF(Scoring!B23="","",Scoring!B23)</f>
        <v>Energy Transfer LP</v>
      </c>
      <c r="C23" s="142" t="str">
        <f aca="false">IF(Scoring!AG23="","",IF(OR(Scoring!AG23="STRONG BUY",Scoring!AG23="BUY"),"PASS","FAIL"))</f>
        <v/>
      </c>
      <c r="D23" s="142" t="str">
        <f aca="false">IF(Scoring!AH23="","",IF(Scoring!AH23="OK","PASS","FAIL"))</f>
        <v>PASS</v>
      </c>
      <c r="E23" s="142" t="str">
        <f aca="false">IF(Scoring!AI23="","",IF(Scoring!AI23="OK","PASS","FAIL — mandatory review required"))</f>
        <v>FAIL — mandatory review required</v>
      </c>
      <c r="F23" s="142"/>
      <c r="G23" s="142"/>
      <c r="H23" s="143" t="str">
        <f aca="false">IF(OR(F23="",G23=""),"",IF(AND(F23="Y",G23="Y"),"Standard initial size","50% of normal initial size + 90-day technical review"))</f>
        <v/>
      </c>
      <c r="I23" s="142"/>
      <c r="J23" s="142"/>
      <c r="K23" s="144" t="str">
        <f aca="false">IF(I23="","",IF(I23="N","PASS",IF(J23="Y","PASS — risk documented in thesis","FAIL — undocumented binary risk")))</f>
        <v/>
      </c>
      <c r="L23" s="142" t="str">
        <f aca="false">IF('Implied-Return Calculator'!S24="","",'Implied-Return Calculator'!S24)</f>
        <v/>
      </c>
      <c r="M23" s="142" t="str">
        <f aca="false">IF('Implied-Return Calculator'!T24="","",'Implied-Return Calculator'!T24)</f>
        <v/>
      </c>
      <c r="N23" s="142" t="str">
        <f aca="false">IF('Implied-Return Calculator'!U24="","",'Implied-Return Calculator'!U24)</f>
        <v/>
      </c>
      <c r="O23" s="142"/>
      <c r="P23" s="142"/>
      <c r="Q23" s="144" t="str">
        <f aca="false">IF(OR(O23="",P23=""),"",IF(O23&lt;=50,"PASS — within ceiling",IF(AND(P23&gt;0.3,M23="PASS"),"PASS — growth+bear case exception met","FAIL — exceeds 50x, exception not met")))</f>
        <v/>
      </c>
      <c r="R23" s="143" t="str">
        <f aca="false">IF(OR(C23="",D23="",E23="",K23="",L23="",M23="",N23="",Q23=""),"",IF(AND(C23="PASS",D23="PASS",LEFT(E23,4)="PASS",LEFT(K23,4)="PASS",L23="PASS",M23="PASS",N23="OK",LEFT(Q23,4)="PASS"),"YES","NO — see failing rule(s)"))</f>
        <v/>
      </c>
      <c r="S23" s="143" t="str">
        <f aca="false">IF(R23="","",IF(R23="YES","Initiate: "&amp;H23,"DO NOT ENTER — resolve failing Entry Rule(s) above first"))</f>
        <v/>
      </c>
    </row>
    <row r="24" customFormat="false" ht="15" hidden="false" customHeight="true" outlineLevel="0" collapsed="false">
      <c r="A24" s="142" t="str">
        <f aca="false">IF(Scoring!A24="","",Scoring!A24)</f>
        <v>LBRT</v>
      </c>
      <c r="B24" s="143" t="str">
        <f aca="false">IF(Scoring!B24="","",Scoring!B24)</f>
        <v>Liberty Energy Inc.</v>
      </c>
      <c r="C24" s="142" t="str">
        <f aca="false">IF(Scoring!AG24="","",IF(OR(Scoring!AG24="STRONG BUY",Scoring!AG24="BUY"),"PASS","FAIL"))</f>
        <v/>
      </c>
      <c r="D24" s="142" t="str">
        <f aca="false">IF(Scoring!AH24="","",IF(Scoring!AH24="OK","PASS","FAIL"))</f>
        <v>FAIL</v>
      </c>
      <c r="E24" s="142" t="str">
        <f aca="false">IF(Scoring!AI24="","",IF(Scoring!AI24="OK","PASS","FAIL — mandatory review required"))</f>
        <v>FAIL — mandatory review required</v>
      </c>
      <c r="F24" s="142"/>
      <c r="G24" s="142"/>
      <c r="H24" s="143" t="str">
        <f aca="false">IF(OR(F24="",G24=""),"",IF(AND(F24="Y",G24="Y"),"Standard initial size","50% of normal initial size + 90-day technical review"))</f>
        <v/>
      </c>
      <c r="I24" s="142"/>
      <c r="J24" s="142"/>
      <c r="K24" s="144" t="str">
        <f aca="false">IF(I24="","",IF(I24="N","PASS",IF(J24="Y","PASS — risk documented in thesis","FAIL — undocumented binary risk")))</f>
        <v/>
      </c>
      <c r="L24" s="142" t="str">
        <f aca="false">IF('Implied-Return Calculator'!S25="","",'Implied-Return Calculator'!S25)</f>
        <v/>
      </c>
      <c r="M24" s="142" t="str">
        <f aca="false">IF('Implied-Return Calculator'!T25="","",'Implied-Return Calculator'!T25)</f>
        <v/>
      </c>
      <c r="N24" s="142" t="str">
        <f aca="false">IF('Implied-Return Calculator'!U25="","",'Implied-Return Calculator'!U25)</f>
        <v/>
      </c>
      <c r="O24" s="142"/>
      <c r="P24" s="142"/>
      <c r="Q24" s="144" t="str">
        <f aca="false">IF(OR(O24="",P24=""),"",IF(O24&lt;=50,"PASS — within ceiling",IF(AND(P24&gt;0.3,M24="PASS"),"PASS — growth+bear case exception met","FAIL — exceeds 50x, exception not met")))</f>
        <v/>
      </c>
      <c r="R24" s="143" t="str">
        <f aca="false">IF(OR(C24="",D24="",E24="",K24="",L24="",M24="",N24="",Q24=""),"",IF(AND(C24="PASS",D24="PASS",LEFT(E24,4)="PASS",LEFT(K24,4)="PASS",L24="PASS",M24="PASS",N24="OK",LEFT(Q24,4)="PASS"),"YES","NO — see failing rule(s)"))</f>
        <v/>
      </c>
      <c r="S24" s="143" t="str">
        <f aca="false">IF(R24="","",IF(R24="YES","Initiate: "&amp;H24,"DO NOT ENTER — resolve failing Entry Rule(s) above first"))</f>
        <v/>
      </c>
    </row>
    <row r="25" customFormat="false" ht="15" hidden="false" customHeight="true" outlineLevel="0" collapsed="false">
      <c r="A25" s="142" t="str">
        <f aca="false">IF(Scoring!A25="","",Scoring!A25)</f>
        <v>NOV</v>
      </c>
      <c r="B25" s="143" t="str">
        <f aca="false">IF(Scoring!B25="","",Scoring!B25)</f>
        <v>NOV Inc.</v>
      </c>
      <c r="C25" s="142" t="str">
        <f aca="false">IF(Scoring!AG25="","",IF(OR(Scoring!AG25="STRONG BUY",Scoring!AG25="BUY"),"PASS","FAIL"))</f>
        <v/>
      </c>
      <c r="D25" s="142" t="str">
        <f aca="false">IF(Scoring!AH25="","",IF(Scoring!AH25="OK","PASS","FAIL"))</f>
        <v>FAIL</v>
      </c>
      <c r="E25" s="142" t="str">
        <f aca="false">IF(Scoring!AI25="","",IF(Scoring!AI25="OK","PASS","FAIL — mandatory review required"))</f>
        <v>PASS</v>
      </c>
      <c r="F25" s="142"/>
      <c r="G25" s="142"/>
      <c r="H25" s="143" t="str">
        <f aca="false">IF(OR(F25="",G25=""),"",IF(AND(F25="Y",G25="Y"),"Standard initial size","50% of normal initial size + 90-day technical review"))</f>
        <v/>
      </c>
      <c r="I25" s="142"/>
      <c r="J25" s="142"/>
      <c r="K25" s="144" t="str">
        <f aca="false">IF(I25="","",IF(I25="N","PASS",IF(J25="Y","PASS — risk documented in thesis","FAIL — undocumented binary risk")))</f>
        <v/>
      </c>
      <c r="L25" s="142" t="str">
        <f aca="false">IF('Implied-Return Calculator'!S26="","",'Implied-Return Calculator'!S26)</f>
        <v/>
      </c>
      <c r="M25" s="142" t="str">
        <f aca="false">IF('Implied-Return Calculator'!T26="","",'Implied-Return Calculator'!T26)</f>
        <v/>
      </c>
      <c r="N25" s="142" t="str">
        <f aca="false">IF('Implied-Return Calculator'!U26="","",'Implied-Return Calculator'!U26)</f>
        <v/>
      </c>
      <c r="O25" s="142"/>
      <c r="P25" s="142"/>
      <c r="Q25" s="144" t="str">
        <f aca="false">IF(OR(O25="",P25=""),"",IF(O25&lt;=50,"PASS — within ceiling",IF(AND(P25&gt;0.3,M25="PASS"),"PASS — growth+bear case exception met","FAIL — exceeds 50x, exception not met")))</f>
        <v/>
      </c>
      <c r="R25" s="143" t="str">
        <f aca="false">IF(OR(C25="",D25="",E25="",K25="",L25="",M25="",N25="",Q25=""),"",IF(AND(C25="PASS",D25="PASS",LEFT(E25,4)="PASS",LEFT(K25,4)="PASS",L25="PASS",M25="PASS",N25="OK",LEFT(Q25,4)="PASS"),"YES","NO — see failing rule(s)"))</f>
        <v/>
      </c>
      <c r="S25" s="143" t="str">
        <f aca="false">IF(R25="","",IF(R25="YES","Initiate: "&amp;H25,"DO NOT ENTER — resolve failing Entry Rule(s) above first"))</f>
        <v/>
      </c>
    </row>
    <row r="26" customFormat="false" ht="15" hidden="false" customHeight="true" outlineLevel="0" collapsed="false">
      <c r="A26" s="142" t="str">
        <f aca="false">IF(Scoring!A26="","",Scoring!A26)</f>
        <v>CE</v>
      </c>
      <c r="B26" s="143" t="str">
        <f aca="false">IF(Scoring!B26="","",Scoring!B26)</f>
        <v>Celanese Corp.</v>
      </c>
      <c r="C26" s="142" t="str">
        <f aca="false">IF(Scoring!AG26="","",IF(OR(Scoring!AG26="STRONG BUY",Scoring!AG26="BUY"),"PASS","FAIL"))</f>
        <v/>
      </c>
      <c r="D26" s="142" t="str">
        <f aca="false">IF(Scoring!AH26="","",IF(Scoring!AH26="OK","PASS","FAIL"))</f>
        <v>FAIL</v>
      </c>
      <c r="E26" s="142" t="str">
        <f aca="false">IF(Scoring!AI26="","",IF(Scoring!AI26="OK","PASS","FAIL — mandatory review required"))</f>
        <v>FAIL — mandatory review required</v>
      </c>
      <c r="F26" s="142"/>
      <c r="G26" s="142"/>
      <c r="H26" s="143" t="str">
        <f aca="false">IF(OR(F26="",G26=""),"",IF(AND(F26="Y",G26="Y"),"Standard initial size","50% of normal initial size + 90-day technical review"))</f>
        <v/>
      </c>
      <c r="I26" s="142"/>
      <c r="J26" s="142"/>
      <c r="K26" s="144" t="str">
        <f aca="false">IF(I26="","",IF(I26="N","PASS",IF(J26="Y","PASS — risk documented in thesis","FAIL — undocumented binary risk")))</f>
        <v/>
      </c>
      <c r="L26" s="142" t="str">
        <f aca="false">IF('Implied-Return Calculator'!S27="","",'Implied-Return Calculator'!S27)</f>
        <v/>
      </c>
      <c r="M26" s="142" t="str">
        <f aca="false">IF('Implied-Return Calculator'!T27="","",'Implied-Return Calculator'!T27)</f>
        <v/>
      </c>
      <c r="N26" s="142" t="str">
        <f aca="false">IF('Implied-Return Calculator'!U27="","",'Implied-Return Calculator'!U27)</f>
        <v/>
      </c>
      <c r="O26" s="142"/>
      <c r="P26" s="142"/>
      <c r="Q26" s="144" t="str">
        <f aca="false">IF(OR(O26="",P26=""),"",IF(O26&lt;=50,"PASS — within ceiling",IF(AND(P26&gt;0.3,M26="PASS"),"PASS — growth+bear case exception met","FAIL — exceeds 50x, exception not met")))</f>
        <v/>
      </c>
      <c r="R26" s="143" t="str">
        <f aca="false">IF(OR(C26="",D26="",E26="",K26="",L26="",M26="",N26="",Q26=""),"",IF(AND(C26="PASS",D26="PASS",LEFT(E26,4)="PASS",LEFT(K26,4)="PASS",L26="PASS",M26="PASS",N26="OK",LEFT(Q26,4)="PASS"),"YES","NO — see failing rule(s)"))</f>
        <v/>
      </c>
      <c r="S26" s="143" t="str">
        <f aca="false">IF(R26="","",IF(R26="YES","Initiate: "&amp;H26,"DO NOT ENTER — resolve failing Entry Rule(s) above first"))</f>
        <v/>
      </c>
    </row>
    <row r="27" customFormat="false" ht="15" hidden="false" customHeight="true" outlineLevel="0" collapsed="false">
      <c r="A27" s="142" t="str">
        <f aca="false">IF(Scoring!A27="","",Scoring!A27)</f>
        <v>CLF</v>
      </c>
      <c r="B27" s="143" t="str">
        <f aca="false">IF(Scoring!B27="","",Scoring!B27)</f>
        <v>Cleveland-Cliffs Inc.</v>
      </c>
      <c r="C27" s="142" t="str">
        <f aca="false">IF(Scoring!AG27="","",IF(OR(Scoring!AG27="STRONG BUY",Scoring!AG27="BUY"),"PASS","FAIL"))</f>
        <v/>
      </c>
      <c r="D27" s="142" t="str">
        <f aca="false">IF(Scoring!AH27="","",IF(Scoring!AH27="OK","PASS","FAIL"))</f>
        <v>FAIL</v>
      </c>
      <c r="E27" s="142" t="str">
        <f aca="false">IF(Scoring!AI27="","",IF(Scoring!AI27="OK","PASS","FAIL — mandatory review required"))</f>
        <v>FAIL — mandatory review required</v>
      </c>
      <c r="F27" s="142"/>
      <c r="G27" s="142"/>
      <c r="H27" s="143" t="str">
        <f aca="false">IF(OR(F27="",G27=""),"",IF(AND(F27="Y",G27="Y"),"Standard initial size","50% of normal initial size + 90-day technical review"))</f>
        <v/>
      </c>
      <c r="I27" s="142"/>
      <c r="J27" s="142"/>
      <c r="K27" s="144" t="str">
        <f aca="false">IF(I27="","",IF(I27="N","PASS",IF(J27="Y","PASS — risk documented in thesis","FAIL — undocumented binary risk")))</f>
        <v/>
      </c>
      <c r="L27" s="142" t="str">
        <f aca="false">IF('Implied-Return Calculator'!S28="","",'Implied-Return Calculator'!S28)</f>
        <v/>
      </c>
      <c r="M27" s="142" t="str">
        <f aca="false">IF('Implied-Return Calculator'!T28="","",'Implied-Return Calculator'!T28)</f>
        <v/>
      </c>
      <c r="N27" s="142" t="str">
        <f aca="false">IF('Implied-Return Calculator'!U28="","",'Implied-Return Calculator'!U28)</f>
        <v/>
      </c>
      <c r="O27" s="142"/>
      <c r="P27" s="142"/>
      <c r="Q27" s="144" t="str">
        <f aca="false">IF(OR(O27="",P27=""),"",IF(O27&lt;=50,"PASS — within ceiling",IF(AND(P27&gt;0.3,M27="PASS"),"PASS — growth+bear case exception met","FAIL — exceeds 50x, exception not met")))</f>
        <v/>
      </c>
      <c r="R27" s="143" t="str">
        <f aca="false">IF(OR(C27="",D27="",E27="",K27="",L27="",M27="",N27="",Q27=""),"",IF(AND(C27="PASS",D27="PASS",LEFT(E27,4)="PASS",LEFT(K27,4)="PASS",L27="PASS",M27="PASS",N27="OK",LEFT(Q27,4)="PASS"),"YES","NO — see failing rule(s)"))</f>
        <v/>
      </c>
      <c r="S27" s="143" t="str">
        <f aca="false">IF(R27="","",IF(R27="YES","Initiate: "&amp;H27,"DO NOT ENTER — resolve failing Entry Rule(s) above first"))</f>
        <v/>
      </c>
    </row>
    <row r="28" customFormat="false" ht="15" hidden="false" customHeight="true" outlineLevel="0" collapsed="false">
      <c r="A28" s="142" t="str">
        <f aca="false">IF(Scoring!A28="","",Scoring!A28)</f>
        <v>LIN</v>
      </c>
      <c r="B28" s="143" t="str">
        <f aca="false">IF(Scoring!B28="","",Scoring!B28)</f>
        <v>Linde plc</v>
      </c>
      <c r="C28" s="142" t="str">
        <f aca="false">IF(Scoring!AG28="","",IF(OR(Scoring!AG28="STRONG BUY",Scoring!AG28="BUY"),"PASS","FAIL"))</f>
        <v/>
      </c>
      <c r="D28" s="142" t="str">
        <f aca="false">IF(Scoring!AH28="","",IF(Scoring!AH28="OK","PASS","FAIL"))</f>
        <v>PASS</v>
      </c>
      <c r="E28" s="142" t="str">
        <f aca="false">IF(Scoring!AI28="","",IF(Scoring!AI28="OK","PASS","FAIL — mandatory review required"))</f>
        <v>PASS</v>
      </c>
      <c r="F28" s="142"/>
      <c r="G28" s="142"/>
      <c r="H28" s="143" t="str">
        <f aca="false">IF(OR(F28="",G28=""),"",IF(AND(F28="Y",G28="Y"),"Standard initial size","50% of normal initial size + 90-day technical review"))</f>
        <v/>
      </c>
      <c r="I28" s="142"/>
      <c r="J28" s="142"/>
      <c r="K28" s="144" t="str">
        <f aca="false">IF(I28="","",IF(I28="N","PASS",IF(J28="Y","PASS — risk documented in thesis","FAIL — undocumented binary risk")))</f>
        <v/>
      </c>
      <c r="L28" s="142" t="str">
        <f aca="false">IF('Implied-Return Calculator'!S29="","",'Implied-Return Calculator'!S29)</f>
        <v/>
      </c>
      <c r="M28" s="142" t="str">
        <f aca="false">IF('Implied-Return Calculator'!T29="","",'Implied-Return Calculator'!T29)</f>
        <v/>
      </c>
      <c r="N28" s="142" t="str">
        <f aca="false">IF('Implied-Return Calculator'!U29="","",'Implied-Return Calculator'!U29)</f>
        <v/>
      </c>
      <c r="O28" s="142"/>
      <c r="P28" s="142"/>
      <c r="Q28" s="144" t="str">
        <f aca="false">IF(OR(O28="",P28=""),"",IF(O28&lt;=50,"PASS — within ceiling",IF(AND(P28&gt;0.3,M28="PASS"),"PASS — growth+bear case exception met","FAIL — exceeds 50x, exception not met")))</f>
        <v/>
      </c>
      <c r="R28" s="143" t="str">
        <f aca="false">IF(OR(C28="",D28="",E28="",K28="",L28="",M28="",N28="",Q28=""),"",IF(AND(C28="PASS",D28="PASS",LEFT(E28,4)="PASS",LEFT(K28,4)="PASS",L28="PASS",M28="PASS",N28="OK",LEFT(Q28,4)="PASS"),"YES","NO — see failing rule(s)"))</f>
        <v/>
      </c>
      <c r="S28" s="143" t="str">
        <f aca="false">IF(R28="","",IF(R28="YES","Initiate: "&amp;H28,"DO NOT ENTER — resolve failing Entry Rule(s) above first"))</f>
        <v/>
      </c>
    </row>
    <row r="29" customFormat="false" ht="15" hidden="false" customHeight="true" outlineLevel="0" collapsed="false">
      <c r="A29" s="142" t="str">
        <f aca="false">IF(Scoring!A29="","",Scoring!A29)</f>
        <v>DEO</v>
      </c>
      <c r="B29" s="143" t="str">
        <f aca="false">IF(Scoring!B29="","",Scoring!B29)</f>
        <v>Diageo plc</v>
      </c>
      <c r="C29" s="142" t="str">
        <f aca="false">IF(Scoring!AG29="","",IF(OR(Scoring!AG29="STRONG BUY",Scoring!AG29="BUY"),"PASS","FAIL"))</f>
        <v/>
      </c>
      <c r="D29" s="142" t="str">
        <f aca="false">IF(Scoring!AH29="","",IF(Scoring!AH29="OK","PASS","FAIL"))</f>
        <v>FAIL</v>
      </c>
      <c r="E29" s="142" t="str">
        <f aca="false">IF(Scoring!AI29="","",IF(Scoring!AI29="OK","PASS","FAIL — mandatory review required"))</f>
        <v>PASS</v>
      </c>
      <c r="F29" s="142"/>
      <c r="G29" s="142"/>
      <c r="H29" s="143" t="str">
        <f aca="false">IF(OR(F29="",G29=""),"",IF(AND(F29="Y",G29="Y"),"Standard initial size","50% of normal initial size + 90-day technical review"))</f>
        <v/>
      </c>
      <c r="I29" s="142"/>
      <c r="J29" s="142"/>
      <c r="K29" s="144" t="str">
        <f aca="false">IF(I29="","",IF(I29="N","PASS",IF(J29="Y","PASS — risk documented in thesis","FAIL — undocumented binary risk")))</f>
        <v/>
      </c>
      <c r="L29" s="142" t="str">
        <f aca="false">IF('Implied-Return Calculator'!S30="","",'Implied-Return Calculator'!S30)</f>
        <v/>
      </c>
      <c r="M29" s="142" t="str">
        <f aca="false">IF('Implied-Return Calculator'!T30="","",'Implied-Return Calculator'!T30)</f>
        <v/>
      </c>
      <c r="N29" s="142" t="str">
        <f aca="false">IF('Implied-Return Calculator'!U30="","",'Implied-Return Calculator'!U30)</f>
        <v/>
      </c>
      <c r="O29" s="142"/>
      <c r="P29" s="142"/>
      <c r="Q29" s="144" t="str">
        <f aca="false">IF(OR(O29="",P29=""),"",IF(O29&lt;=50,"PASS — within ceiling",IF(AND(P29&gt;0.3,M29="PASS"),"PASS — growth+bear case exception met","FAIL — exceeds 50x, exception not met")))</f>
        <v/>
      </c>
      <c r="R29" s="143" t="str">
        <f aca="false">IF(OR(C29="",D29="",E29="",K29="",L29="",M29="",N29="",Q29=""),"",IF(AND(C29="PASS",D29="PASS",LEFT(E29,4)="PASS",LEFT(K29,4)="PASS",L29="PASS",M29="PASS",N29="OK",LEFT(Q29,4)="PASS"),"YES","NO — see failing rule(s)"))</f>
        <v/>
      </c>
      <c r="S29" s="143" t="str">
        <f aca="false">IF(R29="","",IF(R29="YES","Initiate: "&amp;H29,"DO NOT ENTER — resolve failing Entry Rule(s) above first"))</f>
        <v/>
      </c>
    </row>
    <row r="30" customFormat="false" ht="15" hidden="false" customHeight="true" outlineLevel="0" collapsed="false">
      <c r="A30" s="142" t="str">
        <f aca="false">IF(Scoring!A30="","",Scoring!A30)</f>
        <v>EL</v>
      </c>
      <c r="B30" s="143" t="str">
        <f aca="false">IF(Scoring!B30="","",Scoring!B30)</f>
        <v>Estee Lauder Companies</v>
      </c>
      <c r="C30" s="142" t="str">
        <f aca="false">IF(Scoring!AG30="","",IF(OR(Scoring!AG30="STRONG BUY",Scoring!AG30="BUY"),"PASS","FAIL"))</f>
        <v/>
      </c>
      <c r="D30" s="142" t="str">
        <f aca="false">IF(Scoring!AH30="","",IF(Scoring!AH30="OK","PASS","FAIL"))</f>
        <v>FAIL</v>
      </c>
      <c r="E30" s="142" t="str">
        <f aca="false">IF(Scoring!AI30="","",IF(Scoring!AI30="OK","PASS","FAIL — mandatory review required"))</f>
        <v>FAIL — mandatory review required</v>
      </c>
      <c r="F30" s="142"/>
      <c r="G30" s="142"/>
      <c r="H30" s="143" t="str">
        <f aca="false">IF(OR(F30="",G30=""),"",IF(AND(F30="Y",G30="Y"),"Standard initial size","50% of normal initial size + 90-day technical review"))</f>
        <v/>
      </c>
      <c r="I30" s="142"/>
      <c r="J30" s="142"/>
      <c r="K30" s="144" t="str">
        <f aca="false">IF(I30="","",IF(I30="N","PASS",IF(J30="Y","PASS — risk documented in thesis","FAIL — undocumented binary risk")))</f>
        <v/>
      </c>
      <c r="L30" s="142" t="str">
        <f aca="false">IF('Implied-Return Calculator'!S31="","",'Implied-Return Calculator'!S31)</f>
        <v/>
      </c>
      <c r="M30" s="142" t="str">
        <f aca="false">IF('Implied-Return Calculator'!T31="","",'Implied-Return Calculator'!T31)</f>
        <v/>
      </c>
      <c r="N30" s="142" t="str">
        <f aca="false">IF('Implied-Return Calculator'!U31="","",'Implied-Return Calculator'!U31)</f>
        <v/>
      </c>
      <c r="O30" s="142"/>
      <c r="P30" s="142"/>
      <c r="Q30" s="144" t="str">
        <f aca="false">IF(OR(O30="",P30=""),"",IF(O30&lt;=50,"PASS — within ceiling",IF(AND(P30&gt;0.3,M30="PASS"),"PASS — growth+bear case exception met","FAIL — exceeds 50x, exception not met")))</f>
        <v/>
      </c>
      <c r="R30" s="143" t="str">
        <f aca="false">IF(OR(C30="",D30="",E30="",K30="",L30="",M30="",N30="",Q30=""),"",IF(AND(C30="PASS",D30="PASS",LEFT(E30,4)="PASS",LEFT(K30,4)="PASS",L30="PASS",M30="PASS",N30="OK",LEFT(Q30,4)="PASS"),"YES","NO — see failing rule(s)"))</f>
        <v/>
      </c>
      <c r="S30" s="143" t="str">
        <f aca="false">IF(R30="","",IF(R30="YES","Initiate: "&amp;H30,"DO NOT ENTER — resolve failing Entry Rule(s) above first"))</f>
        <v/>
      </c>
    </row>
    <row r="31" customFormat="false" ht="15" hidden="false" customHeight="true" outlineLevel="0" collapsed="false">
      <c r="A31" s="142" t="str">
        <f aca="false">IF(Scoring!A31="","",Scoring!A31)</f>
        <v>HRL</v>
      </c>
      <c r="B31" s="143" t="str">
        <f aca="false">IF(Scoring!B31="","",Scoring!B31)</f>
        <v>Hormel Foods Corp.</v>
      </c>
      <c r="C31" s="142" t="str">
        <f aca="false">IF(Scoring!AG31="","",IF(OR(Scoring!AG31="STRONG BUY",Scoring!AG31="BUY"),"PASS","FAIL"))</f>
        <v/>
      </c>
      <c r="D31" s="142" t="str">
        <f aca="false">IF(Scoring!AH31="","",IF(Scoring!AH31="OK","PASS","FAIL"))</f>
        <v>FAIL</v>
      </c>
      <c r="E31" s="142" t="str">
        <f aca="false">IF(Scoring!AI31="","",IF(Scoring!AI31="OK","PASS","FAIL — mandatory review required"))</f>
        <v>FAIL — mandatory review required</v>
      </c>
      <c r="F31" s="142"/>
      <c r="G31" s="142"/>
      <c r="H31" s="143" t="str">
        <f aca="false">IF(OR(F31="",G31=""),"",IF(AND(F31="Y",G31="Y"),"Standard initial size","50% of normal initial size + 90-day technical review"))</f>
        <v/>
      </c>
      <c r="I31" s="142"/>
      <c r="J31" s="142"/>
      <c r="K31" s="144" t="str">
        <f aca="false">IF(I31="","",IF(I31="N","PASS",IF(J31="Y","PASS — risk documented in thesis","FAIL — undocumented binary risk")))</f>
        <v/>
      </c>
      <c r="L31" s="142" t="str">
        <f aca="false">IF('Implied-Return Calculator'!S32="","",'Implied-Return Calculator'!S32)</f>
        <v/>
      </c>
      <c r="M31" s="142" t="str">
        <f aca="false">IF('Implied-Return Calculator'!T32="","",'Implied-Return Calculator'!T32)</f>
        <v/>
      </c>
      <c r="N31" s="142" t="str">
        <f aca="false">IF('Implied-Return Calculator'!U32="","",'Implied-Return Calculator'!U32)</f>
        <v/>
      </c>
      <c r="O31" s="142"/>
      <c r="P31" s="142"/>
      <c r="Q31" s="144" t="str">
        <f aca="false">IF(OR(O31="",P31=""),"",IF(O31&lt;=50,"PASS — within ceiling",IF(AND(P31&gt;0.3,M31="PASS"),"PASS — growth+bear case exception met","FAIL — exceeds 50x, exception not met")))</f>
        <v/>
      </c>
      <c r="R31" s="143" t="str">
        <f aca="false">IF(OR(C31="",D31="",E31="",K31="",L31="",M31="",N31="",Q31=""),"",IF(AND(C31="PASS",D31="PASS",LEFT(E31,4)="PASS",LEFT(K31,4)="PASS",L31="PASS",M31="PASS",N31="OK",LEFT(Q31,4)="PASS"),"YES","NO — see failing rule(s)"))</f>
        <v/>
      </c>
      <c r="S31" s="143" t="str">
        <f aca="false">IF(R31="","",IF(R31="YES","Initiate: "&amp;H31,"DO NOT ENTER — resolve failing Entry Rule(s) above first"))</f>
        <v/>
      </c>
    </row>
    <row r="32" customFormat="false" ht="15" hidden="false" customHeight="true" outlineLevel="0" collapsed="false">
      <c r="A32" s="142" t="str">
        <f aca="false">IF(Scoring!A32="","",Scoring!A32)</f>
        <v>PG</v>
      </c>
      <c r="B32" s="143" t="str">
        <f aca="false">IF(Scoring!B32="","",Scoring!B32)</f>
        <v>Procter &amp; Gamble Co.</v>
      </c>
      <c r="C32" s="142" t="str">
        <f aca="false">IF(Scoring!AG32="","",IF(OR(Scoring!AG32="STRONG BUY",Scoring!AG32="BUY"),"PASS","FAIL"))</f>
        <v/>
      </c>
      <c r="D32" s="142" t="str">
        <f aca="false">IF(Scoring!AH32="","",IF(Scoring!AH32="OK","PASS","FAIL"))</f>
        <v>PASS</v>
      </c>
      <c r="E32" s="142" t="str">
        <f aca="false">IF(Scoring!AI32="","",IF(Scoring!AI32="OK","PASS","FAIL — mandatory review required"))</f>
        <v>PASS</v>
      </c>
      <c r="F32" s="142"/>
      <c r="G32" s="142"/>
      <c r="H32" s="143" t="str">
        <f aca="false">IF(OR(F32="",G32=""),"",IF(AND(F32="Y",G32="Y"),"Standard initial size","50% of normal initial size + 90-day technical review"))</f>
        <v/>
      </c>
      <c r="I32" s="142"/>
      <c r="J32" s="142"/>
      <c r="K32" s="144" t="str">
        <f aca="false">IF(I32="","",IF(I32="N","PASS",IF(J32="Y","PASS — risk documented in thesis","FAIL — undocumented binary risk")))</f>
        <v/>
      </c>
      <c r="L32" s="142" t="str">
        <f aca="false">IF('Implied-Return Calculator'!S33="","",'Implied-Return Calculator'!S33)</f>
        <v/>
      </c>
      <c r="M32" s="142" t="str">
        <f aca="false">IF('Implied-Return Calculator'!T33="","",'Implied-Return Calculator'!T33)</f>
        <v/>
      </c>
      <c r="N32" s="142" t="str">
        <f aca="false">IF('Implied-Return Calculator'!U33="","",'Implied-Return Calculator'!U33)</f>
        <v/>
      </c>
      <c r="O32" s="142"/>
      <c r="P32" s="142"/>
      <c r="Q32" s="144" t="str">
        <f aca="false">IF(OR(O32="",P32=""),"",IF(O32&lt;=50,"PASS — within ceiling",IF(AND(P32&gt;0.3,M32="PASS"),"PASS — growth+bear case exception met","FAIL — exceeds 50x, exception not met")))</f>
        <v/>
      </c>
      <c r="R32" s="143" t="str">
        <f aca="false">IF(OR(C32="",D32="",E32="",K32="",L32="",M32="",N32="",Q32=""),"",IF(AND(C32="PASS",D32="PASS",LEFT(E32,4)="PASS",LEFT(K32,4)="PASS",L32="PASS",M32="PASS",N32="OK",LEFT(Q32,4)="PASS"),"YES","NO — see failing rule(s)"))</f>
        <v/>
      </c>
      <c r="S32" s="143" t="str">
        <f aca="false">IF(R32="","",IF(R32="YES","Initiate: "&amp;H32,"DO NOT ENTER — resolve failing Entry Rule(s) above first"))</f>
        <v/>
      </c>
    </row>
    <row r="33" customFormat="false" ht="15" hidden="false" customHeight="true" outlineLevel="0" collapsed="false">
      <c r="A33" s="142" t="str">
        <f aca="false">IF(Scoring!A33="","",Scoring!A33)</f>
        <v>CMG</v>
      </c>
      <c r="B33" s="143" t="str">
        <f aca="false">IF(Scoring!B33="","",Scoring!B33)</f>
        <v>Chipotle Mexican Grill</v>
      </c>
      <c r="C33" s="142" t="str">
        <f aca="false">IF(Scoring!AG33="","",IF(OR(Scoring!AG33="STRONG BUY",Scoring!AG33="BUY"),"PASS","FAIL"))</f>
        <v/>
      </c>
      <c r="D33" s="142" t="str">
        <f aca="false">IF(Scoring!AH33="","",IF(Scoring!AH33="OK","PASS","FAIL"))</f>
        <v>PASS</v>
      </c>
      <c r="E33" s="142" t="str">
        <f aca="false">IF(Scoring!AI33="","",IF(Scoring!AI33="OK","PASS","FAIL — mandatory review required"))</f>
        <v>PASS</v>
      </c>
      <c r="F33" s="142"/>
      <c r="G33" s="142"/>
      <c r="H33" s="143" t="str">
        <f aca="false">IF(OR(F33="",G33=""),"",IF(AND(F33="Y",G33="Y"),"Standard initial size","50% of normal initial size + 90-day technical review"))</f>
        <v/>
      </c>
      <c r="I33" s="142"/>
      <c r="J33" s="142"/>
      <c r="K33" s="144" t="str">
        <f aca="false">IF(I33="","",IF(I33="N","PASS",IF(J33="Y","PASS — risk documented in thesis","FAIL — undocumented binary risk")))</f>
        <v/>
      </c>
      <c r="L33" s="142" t="str">
        <f aca="false">IF('Implied-Return Calculator'!S34="","",'Implied-Return Calculator'!S34)</f>
        <v/>
      </c>
      <c r="M33" s="142" t="str">
        <f aca="false">IF('Implied-Return Calculator'!T34="","",'Implied-Return Calculator'!T34)</f>
        <v/>
      </c>
      <c r="N33" s="142" t="str">
        <f aca="false">IF('Implied-Return Calculator'!U34="","",'Implied-Return Calculator'!U34)</f>
        <v/>
      </c>
      <c r="O33" s="142"/>
      <c r="P33" s="142"/>
      <c r="Q33" s="144" t="str">
        <f aca="false">IF(OR(O33="",P33=""),"",IF(O33&lt;=50,"PASS — within ceiling",IF(AND(P33&gt;0.3,M33="PASS"),"PASS — growth+bear case exception met","FAIL — exceeds 50x, exception not met")))</f>
        <v/>
      </c>
      <c r="R33" s="143" t="str">
        <f aca="false">IF(OR(C33="",D33="",E33="",K33="",L33="",M33="",N33="",Q33=""),"",IF(AND(C33="PASS",D33="PASS",LEFT(E33,4)="PASS",LEFT(K33,4)="PASS",L33="PASS",M33="PASS",N33="OK",LEFT(Q33,4)="PASS"),"YES","NO — see failing rule(s)"))</f>
        <v/>
      </c>
      <c r="S33" s="143" t="str">
        <f aca="false">IF(R33="","",IF(R33="YES","Initiate: "&amp;H33,"DO NOT ENTER — resolve failing Entry Rule(s) above first"))</f>
        <v/>
      </c>
    </row>
    <row r="34" customFormat="false" ht="15" hidden="false" customHeight="true" outlineLevel="0" collapsed="false">
      <c r="A34" s="142" t="str">
        <f aca="false">IF(Scoring!A34="","",Scoring!A34)</f>
        <v>DPZ</v>
      </c>
      <c r="B34" s="143" t="str">
        <f aca="false">IF(Scoring!B34="","",Scoring!B34)</f>
        <v>Domino's Pizza Inc.</v>
      </c>
      <c r="C34" s="142" t="str">
        <f aca="false">IF(Scoring!AG34="","",IF(OR(Scoring!AG34="STRONG BUY",Scoring!AG34="BUY"),"PASS","FAIL"))</f>
        <v/>
      </c>
      <c r="D34" s="142" t="str">
        <f aca="false">IF(Scoring!AH34="","",IF(Scoring!AH34="OK","PASS","FAIL"))</f>
        <v>PASS</v>
      </c>
      <c r="E34" s="142" t="str">
        <f aca="false">IF(Scoring!AI34="","",IF(Scoring!AI34="OK","PASS","FAIL — mandatory review required"))</f>
        <v>PASS</v>
      </c>
      <c r="F34" s="142"/>
      <c r="G34" s="142"/>
      <c r="H34" s="143" t="str">
        <f aca="false">IF(OR(F34="",G34=""),"",IF(AND(F34="Y",G34="Y"),"Standard initial size","50% of normal initial size + 90-day technical review"))</f>
        <v/>
      </c>
      <c r="I34" s="142"/>
      <c r="J34" s="142"/>
      <c r="K34" s="144" t="str">
        <f aca="false">IF(I34="","",IF(I34="N","PASS",IF(J34="Y","PASS — risk documented in thesis","FAIL — undocumented binary risk")))</f>
        <v/>
      </c>
      <c r="L34" s="142" t="str">
        <f aca="false">IF('Implied-Return Calculator'!S35="","",'Implied-Return Calculator'!S35)</f>
        <v/>
      </c>
      <c r="M34" s="142" t="str">
        <f aca="false">IF('Implied-Return Calculator'!T35="","",'Implied-Return Calculator'!T35)</f>
        <v/>
      </c>
      <c r="N34" s="142" t="str">
        <f aca="false">IF('Implied-Return Calculator'!U35="","",'Implied-Return Calculator'!U35)</f>
        <v/>
      </c>
      <c r="O34" s="142"/>
      <c r="P34" s="142"/>
      <c r="Q34" s="144" t="str">
        <f aca="false">IF(OR(O34="",P34=""),"",IF(O34&lt;=50,"PASS — within ceiling",IF(AND(P34&gt;0.3,M34="PASS"),"PASS — growth+bear case exception met","FAIL — exceeds 50x, exception not met")))</f>
        <v/>
      </c>
      <c r="R34" s="143" t="str">
        <f aca="false">IF(OR(C34="",D34="",E34="",K34="",L34="",M34="",N34="",Q34=""),"",IF(AND(C34="PASS",D34="PASS",LEFT(E34,4)="PASS",LEFT(K34,4)="PASS",L34="PASS",M34="PASS",N34="OK",LEFT(Q34,4)="PASS"),"YES","NO — see failing rule(s)"))</f>
        <v/>
      </c>
      <c r="S34" s="143" t="str">
        <f aca="false">IF(R34="","",IF(R34="YES","Initiate: "&amp;H34,"DO NOT ENTER — resolve failing Entry Rule(s) above first"))</f>
        <v/>
      </c>
    </row>
    <row r="35" customFormat="false" ht="15" hidden="false" customHeight="true" outlineLevel="0" collapsed="false">
      <c r="A35" s="142" t="str">
        <f aca="false">IF(Scoring!A35="","",Scoring!A35)</f>
        <v>PZZA</v>
      </c>
      <c r="B35" s="143" t="str">
        <f aca="false">IF(Scoring!B35="","",Scoring!B35)</f>
        <v>Papa John's Intl.</v>
      </c>
      <c r="C35" s="142" t="str">
        <f aca="false">IF(Scoring!AG35="","",IF(OR(Scoring!AG35="STRONG BUY",Scoring!AG35="BUY"),"PASS","FAIL"))</f>
        <v/>
      </c>
      <c r="D35" s="142" t="str">
        <f aca="false">IF(Scoring!AH35="","",IF(Scoring!AH35="OK","PASS","FAIL"))</f>
        <v>FAIL</v>
      </c>
      <c r="E35" s="142" t="str">
        <f aca="false">IF(Scoring!AI35="","",IF(Scoring!AI35="OK","PASS","FAIL — mandatory review required"))</f>
        <v>FAIL — mandatory review required</v>
      </c>
      <c r="F35" s="142"/>
      <c r="G35" s="142"/>
      <c r="H35" s="143" t="str">
        <f aca="false">IF(OR(F35="",G35=""),"",IF(AND(F35="Y",G35="Y"),"Standard initial size","50% of normal initial size + 90-day technical review"))</f>
        <v/>
      </c>
      <c r="I35" s="142"/>
      <c r="J35" s="142"/>
      <c r="K35" s="144" t="str">
        <f aca="false">IF(I35="","",IF(I35="N","PASS",IF(J35="Y","PASS — risk documented in thesis","FAIL — undocumented binary risk")))</f>
        <v/>
      </c>
      <c r="L35" s="142" t="str">
        <f aca="false">IF('Implied-Return Calculator'!S36="","",'Implied-Return Calculator'!S36)</f>
        <v/>
      </c>
      <c r="M35" s="142" t="str">
        <f aca="false">IF('Implied-Return Calculator'!T36="","",'Implied-Return Calculator'!T36)</f>
        <v/>
      </c>
      <c r="N35" s="142" t="str">
        <f aca="false">IF('Implied-Return Calculator'!U36="","",'Implied-Return Calculator'!U36)</f>
        <v/>
      </c>
      <c r="O35" s="142"/>
      <c r="P35" s="142"/>
      <c r="Q35" s="144" t="str">
        <f aca="false">IF(OR(O35="",P35=""),"",IF(O35&lt;=50,"PASS — within ceiling",IF(AND(P35&gt;0.3,M35="PASS"),"PASS — growth+bear case exception met","FAIL — exceeds 50x, exception not met")))</f>
        <v/>
      </c>
      <c r="R35" s="143" t="str">
        <f aca="false">IF(OR(C35="",D35="",E35="",K35="",L35="",M35="",N35="",Q35=""),"",IF(AND(C35="PASS",D35="PASS",LEFT(E35,4)="PASS",LEFT(K35,4)="PASS",L35="PASS",M35="PASS",N35="OK",LEFT(Q35,4)="PASS"),"YES","NO — see failing rule(s)"))</f>
        <v/>
      </c>
      <c r="S35" s="143" t="str">
        <f aca="false">IF(R35="","",IF(R35="YES","Initiate: "&amp;H35,"DO NOT ENTER — resolve failing Entry Rule(s) above first"))</f>
        <v/>
      </c>
    </row>
    <row r="36" customFormat="false" ht="15" hidden="false" customHeight="true" outlineLevel="0" collapsed="false">
      <c r="A36" s="142" t="str">
        <f aca="false">IF(Scoring!A36="","",Scoring!A36)</f>
        <v>YUM</v>
      </c>
      <c r="B36" s="143" t="str">
        <f aca="false">IF(Scoring!B36="","",Scoring!B36)</f>
        <v>Yum! Brands Inc.</v>
      </c>
      <c r="C36" s="142" t="str">
        <f aca="false">IF(Scoring!AG36="","",IF(OR(Scoring!AG36="STRONG BUY",Scoring!AG36="BUY"),"PASS","FAIL"))</f>
        <v/>
      </c>
      <c r="D36" s="142" t="str">
        <f aca="false">IF(Scoring!AH36="","",IF(Scoring!AH36="OK","PASS","FAIL"))</f>
        <v>PASS</v>
      </c>
      <c r="E36" s="142" t="str">
        <f aca="false">IF(Scoring!AI36="","",IF(Scoring!AI36="OK","PASS","FAIL — mandatory review required"))</f>
        <v>PASS</v>
      </c>
      <c r="F36" s="142"/>
      <c r="G36" s="142"/>
      <c r="H36" s="143" t="str">
        <f aca="false">IF(OR(F36="",G36=""),"",IF(AND(F36="Y",G36="Y"),"Standard initial size","50% of normal initial size + 90-day technical review"))</f>
        <v/>
      </c>
      <c r="I36" s="142"/>
      <c r="J36" s="142"/>
      <c r="K36" s="144" t="str">
        <f aca="false">IF(I36="","",IF(I36="N","PASS",IF(J36="Y","PASS — risk documented in thesis","FAIL — undocumented binary risk")))</f>
        <v/>
      </c>
      <c r="L36" s="142" t="str">
        <f aca="false">IF('Implied-Return Calculator'!S37="","",'Implied-Return Calculator'!S37)</f>
        <v/>
      </c>
      <c r="M36" s="142" t="str">
        <f aca="false">IF('Implied-Return Calculator'!T37="","",'Implied-Return Calculator'!T37)</f>
        <v/>
      </c>
      <c r="N36" s="142" t="str">
        <f aca="false">IF('Implied-Return Calculator'!U37="","",'Implied-Return Calculator'!U37)</f>
        <v/>
      </c>
      <c r="O36" s="142"/>
      <c r="P36" s="142"/>
      <c r="Q36" s="144" t="str">
        <f aca="false">IF(OR(O36="",P36=""),"",IF(O36&lt;=50,"PASS — within ceiling",IF(AND(P36&gt;0.3,M36="PASS"),"PASS — growth+bear case exception met","FAIL — exceeds 50x, exception not met")))</f>
        <v/>
      </c>
      <c r="R36" s="143" t="str">
        <f aca="false">IF(OR(C36="",D36="",E36="",K36="",L36="",M36="",N36="",Q36=""),"",IF(AND(C36="PASS",D36="PASS",LEFT(E36,4)="PASS",LEFT(K36,4)="PASS",L36="PASS",M36="PASS",N36="OK",LEFT(Q36,4)="PASS"),"YES","NO — see failing rule(s)"))</f>
        <v/>
      </c>
      <c r="S36" s="143" t="str">
        <f aca="false">IF(R36="","",IF(R36="YES","Initiate: "&amp;H36,"DO NOT ENTER — resolve failing Entry Rule(s) above first"))</f>
        <v/>
      </c>
    </row>
    <row r="37" customFormat="false" ht="15" hidden="false" customHeight="true" outlineLevel="0" collapsed="false">
      <c r="A37" s="142" t="str">
        <f aca="false">IF(Scoring!A37="","",Scoring!A37)</f>
        <v>NKE</v>
      </c>
      <c r="B37" s="143" t="str">
        <f aca="false">IF(Scoring!B37="","",Scoring!B37)</f>
        <v>Nike Inc.</v>
      </c>
      <c r="C37" s="142" t="str">
        <f aca="false">IF(Scoring!AG37="","",IF(OR(Scoring!AG37="STRONG BUY",Scoring!AG37="BUY"),"PASS","FAIL"))</f>
        <v/>
      </c>
      <c r="D37" s="142" t="str">
        <f aca="false">IF(Scoring!AH37="","",IF(Scoring!AH37="OK","PASS","FAIL"))</f>
        <v>FAIL</v>
      </c>
      <c r="E37" s="142" t="str">
        <f aca="false">IF(Scoring!AI37="","",IF(Scoring!AI37="OK","PASS","FAIL — mandatory review required"))</f>
        <v>FAIL — mandatory review required</v>
      </c>
      <c r="F37" s="142"/>
      <c r="G37" s="142"/>
      <c r="H37" s="143" t="str">
        <f aca="false">IF(OR(F37="",G37=""),"",IF(AND(F37="Y",G37="Y"),"Standard initial size","50% of normal initial size + 90-day technical review"))</f>
        <v/>
      </c>
      <c r="I37" s="142"/>
      <c r="J37" s="142"/>
      <c r="K37" s="144" t="str">
        <f aca="false">IF(I37="","",IF(I37="N","PASS",IF(J37="Y","PASS — risk documented in thesis","FAIL — undocumented binary risk")))</f>
        <v/>
      </c>
      <c r="L37" s="142" t="str">
        <f aca="false">IF('Implied-Return Calculator'!S38="","",'Implied-Return Calculator'!S38)</f>
        <v/>
      </c>
      <c r="M37" s="142" t="str">
        <f aca="false">IF('Implied-Return Calculator'!T38="","",'Implied-Return Calculator'!T38)</f>
        <v/>
      </c>
      <c r="N37" s="142" t="str">
        <f aca="false">IF('Implied-Return Calculator'!U38="","",'Implied-Return Calculator'!U38)</f>
        <v/>
      </c>
      <c r="O37" s="142"/>
      <c r="P37" s="142"/>
      <c r="Q37" s="144" t="str">
        <f aca="false">IF(OR(O37="",P37=""),"",IF(O37&lt;=50,"PASS — within ceiling",IF(AND(P37&gt;0.3,M37="PASS"),"PASS — growth+bear case exception met","FAIL — exceeds 50x, exception not met")))</f>
        <v/>
      </c>
      <c r="R37" s="143" t="str">
        <f aca="false">IF(OR(C37="",D37="",E37="",K37="",L37="",M37="",N37="",Q37=""),"",IF(AND(C37="PASS",D37="PASS",LEFT(E37,4)="PASS",LEFT(K37,4)="PASS",L37="PASS",M37="PASS",N37="OK",LEFT(Q37,4)="PASS"),"YES","NO — see failing rule(s)"))</f>
        <v/>
      </c>
      <c r="S37" s="143" t="str">
        <f aca="false">IF(R37="","",IF(R37="YES","Initiate: "&amp;H37,"DO NOT ENTER — resolve failing Entry Rule(s) above first"))</f>
        <v/>
      </c>
    </row>
    <row r="38" customFormat="false" ht="15" hidden="false" customHeight="true" outlineLevel="0" collapsed="false">
      <c r="A38" s="142" t="str">
        <f aca="false">IF(Scoring!A38="","",Scoring!A38)</f>
        <v>VFC</v>
      </c>
      <c r="B38" s="143" t="str">
        <f aca="false">IF(Scoring!B38="","",Scoring!B38)</f>
        <v>V.F. Corporation</v>
      </c>
      <c r="C38" s="142" t="str">
        <f aca="false">IF(Scoring!AG38="","",IF(OR(Scoring!AG38="STRONG BUY",Scoring!AG38="BUY"),"PASS","FAIL"))</f>
        <v/>
      </c>
      <c r="D38" s="142" t="str">
        <f aca="false">IF(Scoring!AH38="","",IF(Scoring!AH38="OK","PASS","FAIL"))</f>
        <v>FAIL</v>
      </c>
      <c r="E38" s="142" t="str">
        <f aca="false">IF(Scoring!AI38="","",IF(Scoring!AI38="OK","PASS","FAIL — mandatory review required"))</f>
        <v>PASS</v>
      </c>
      <c r="F38" s="142"/>
      <c r="G38" s="142"/>
      <c r="H38" s="143" t="str">
        <f aca="false">IF(OR(F38="",G38=""),"",IF(AND(F38="Y",G38="Y"),"Standard initial size","50% of normal initial size + 90-day technical review"))</f>
        <v/>
      </c>
      <c r="I38" s="142"/>
      <c r="J38" s="142"/>
      <c r="K38" s="144" t="str">
        <f aca="false">IF(I38="","",IF(I38="N","PASS",IF(J38="Y","PASS — risk documented in thesis","FAIL — undocumented binary risk")))</f>
        <v/>
      </c>
      <c r="L38" s="142" t="str">
        <f aca="false">IF('Implied-Return Calculator'!S39="","",'Implied-Return Calculator'!S39)</f>
        <v/>
      </c>
      <c r="M38" s="142" t="str">
        <f aca="false">IF('Implied-Return Calculator'!T39="","",'Implied-Return Calculator'!T39)</f>
        <v/>
      </c>
      <c r="N38" s="142" t="str">
        <f aca="false">IF('Implied-Return Calculator'!U39="","",'Implied-Return Calculator'!U39)</f>
        <v/>
      </c>
      <c r="O38" s="142"/>
      <c r="P38" s="142"/>
      <c r="Q38" s="144" t="str">
        <f aca="false">IF(OR(O38="",P38=""),"",IF(O38&lt;=50,"PASS — within ceiling",IF(AND(P38&gt;0.3,M38="PASS"),"PASS — growth+bear case exception met","FAIL — exceeds 50x, exception not met")))</f>
        <v/>
      </c>
      <c r="R38" s="143" t="str">
        <f aca="false">IF(OR(C38="",D38="",E38="",K38="",L38="",M38="",N38="",Q38=""),"",IF(AND(C38="PASS",D38="PASS",LEFT(E38,4)="PASS",LEFT(K38,4)="PASS",L38="PASS",M38="PASS",N38="OK",LEFT(Q38,4)="PASS"),"YES","NO — see failing rule(s)"))</f>
        <v/>
      </c>
      <c r="S38" s="143" t="str">
        <f aca="false">IF(R38="","",IF(R38="YES","Initiate: "&amp;H38,"DO NOT ENTER — resolve failing Entry Rule(s) above first"))</f>
        <v/>
      </c>
    </row>
    <row r="39" customFormat="false" ht="15" hidden="false" customHeight="true" outlineLevel="0" collapsed="false">
      <c r="A39" s="142" t="str">
        <f aca="false">IF(Scoring!A39="","",Scoring!A39)</f>
        <v>GOOS</v>
      </c>
      <c r="B39" s="143" t="str">
        <f aca="false">IF(Scoring!B39="","",Scoring!B39)</f>
        <v>Canada Goose Holdings</v>
      </c>
      <c r="C39" s="142" t="str">
        <f aca="false">IF(Scoring!AG39="","",IF(OR(Scoring!AG39="STRONG BUY",Scoring!AG39="BUY"),"PASS","FAIL"))</f>
        <v/>
      </c>
      <c r="D39" s="142" t="str">
        <f aca="false">IF(Scoring!AH39="","",IF(Scoring!AH39="OK","PASS","FAIL"))</f>
        <v>FAIL</v>
      </c>
      <c r="E39" s="142" t="str">
        <f aca="false">IF(Scoring!AI39="","",IF(Scoring!AI39="OK","PASS","FAIL — mandatory review required"))</f>
        <v>FAIL — mandatory review required</v>
      </c>
      <c r="F39" s="142"/>
      <c r="G39" s="142"/>
      <c r="H39" s="143" t="str">
        <f aca="false">IF(OR(F39="",G39=""),"",IF(AND(F39="Y",G39="Y"),"Standard initial size","50% of normal initial size + 90-day technical review"))</f>
        <v/>
      </c>
      <c r="I39" s="142"/>
      <c r="J39" s="142"/>
      <c r="K39" s="144" t="str">
        <f aca="false">IF(I39="","",IF(I39="N","PASS",IF(J39="Y","PASS — risk documented in thesis","FAIL — undocumented binary risk")))</f>
        <v/>
      </c>
      <c r="L39" s="142" t="str">
        <f aca="false">IF('Implied-Return Calculator'!S40="","",'Implied-Return Calculator'!S40)</f>
        <v/>
      </c>
      <c r="M39" s="142" t="str">
        <f aca="false">IF('Implied-Return Calculator'!T40="","",'Implied-Return Calculator'!T40)</f>
        <v/>
      </c>
      <c r="N39" s="142" t="str">
        <f aca="false">IF('Implied-Return Calculator'!U40="","",'Implied-Return Calculator'!U40)</f>
        <v/>
      </c>
      <c r="O39" s="142"/>
      <c r="P39" s="142"/>
      <c r="Q39" s="144" t="str">
        <f aca="false">IF(OR(O39="",P39=""),"",IF(O39&lt;=50,"PASS — within ceiling",IF(AND(P39&gt;0.3,M39="PASS"),"PASS — growth+bear case exception met","FAIL — exceeds 50x, exception not met")))</f>
        <v/>
      </c>
      <c r="R39" s="143" t="str">
        <f aca="false">IF(OR(C39="",D39="",E39="",K39="",L39="",M39="",N39="",Q39=""),"",IF(AND(C39="PASS",D39="PASS",LEFT(E39,4)="PASS",LEFT(K39,4)="PASS",L39="PASS",M39="PASS",N39="OK",LEFT(Q39,4)="PASS"),"YES","NO — see failing rule(s)"))</f>
        <v/>
      </c>
      <c r="S39" s="143" t="str">
        <f aca="false">IF(R39="","",IF(R39="YES","Initiate: "&amp;H39,"DO NOT ENTER — resolve failing Entry Rule(s) above first"))</f>
        <v/>
      </c>
    </row>
    <row r="40" customFormat="false" ht="15" hidden="false" customHeight="true" outlineLevel="0" collapsed="false">
      <c r="A40" s="142" t="str">
        <f aca="false">IF(Scoring!A40="","",Scoring!A40)</f>
        <v>AAP</v>
      </c>
      <c r="B40" s="143" t="str">
        <f aca="false">IF(Scoring!B40="","",Scoring!B40)</f>
        <v>Advance Auto Parts Inc.</v>
      </c>
      <c r="C40" s="142" t="str">
        <f aca="false">IF(Scoring!AG40="","",IF(OR(Scoring!AG40="STRONG BUY",Scoring!AG40="BUY"),"PASS","FAIL"))</f>
        <v/>
      </c>
      <c r="D40" s="142" t="str">
        <f aca="false">IF(Scoring!AH40="","",IF(Scoring!AH40="OK","PASS","FAIL"))</f>
        <v>FAIL</v>
      </c>
      <c r="E40" s="142" t="str">
        <f aca="false">IF(Scoring!AI40="","",IF(Scoring!AI40="OK","PASS","FAIL — mandatory review required"))</f>
        <v>FAIL — mandatory review required</v>
      </c>
      <c r="F40" s="142"/>
      <c r="G40" s="142"/>
      <c r="H40" s="143" t="str">
        <f aca="false">IF(OR(F40="",G40=""),"",IF(AND(F40="Y",G40="Y"),"Standard initial size","50% of normal initial size + 90-day technical review"))</f>
        <v/>
      </c>
      <c r="I40" s="142"/>
      <c r="J40" s="142"/>
      <c r="K40" s="144" t="str">
        <f aca="false">IF(I40="","",IF(I40="N","PASS",IF(J40="Y","PASS — risk documented in thesis","FAIL — undocumented binary risk")))</f>
        <v/>
      </c>
      <c r="L40" s="142" t="str">
        <f aca="false">IF('Implied-Return Calculator'!S41="","",'Implied-Return Calculator'!S41)</f>
        <v/>
      </c>
      <c r="M40" s="142" t="str">
        <f aca="false">IF('Implied-Return Calculator'!T41="","",'Implied-Return Calculator'!T41)</f>
        <v/>
      </c>
      <c r="N40" s="142" t="str">
        <f aca="false">IF('Implied-Return Calculator'!U41="","",'Implied-Return Calculator'!U41)</f>
        <v/>
      </c>
      <c r="O40" s="142"/>
      <c r="P40" s="142"/>
      <c r="Q40" s="144" t="str">
        <f aca="false">IF(OR(O40="",P40=""),"",IF(O40&lt;=50,"PASS — within ceiling",IF(AND(P40&gt;0.3,M40="PASS"),"PASS — growth+bear case exception met","FAIL — exceeds 50x, exception not met")))</f>
        <v/>
      </c>
      <c r="R40" s="143" t="str">
        <f aca="false">IF(OR(C40="",D40="",E40="",K40="",L40="",M40="",N40="",Q40=""),"",IF(AND(C40="PASS",D40="PASS",LEFT(E40,4)="PASS",LEFT(K40,4)="PASS",L40="PASS",M40="PASS",N40="OK",LEFT(Q40,4)="PASS"),"YES","NO — see failing rule(s)"))</f>
        <v/>
      </c>
      <c r="S40" s="143" t="str">
        <f aca="false">IF(R40="","",IF(R40="YES","Initiate: "&amp;H40,"DO NOT ENTER — resolve failing Entry Rule(s) above first"))</f>
        <v/>
      </c>
    </row>
    <row r="41" customFormat="false" ht="15" hidden="false" customHeight="true" outlineLevel="0" collapsed="false">
      <c r="A41" s="142" t="str">
        <f aca="false">IF(Scoring!A41="","",Scoring!A41)</f>
        <v>BABA</v>
      </c>
      <c r="B41" s="143" t="str">
        <f aca="false">IF(Scoring!B41="","",Scoring!B41)</f>
        <v>Alibaba Group Holding Ltd.</v>
      </c>
      <c r="C41" s="142" t="str">
        <f aca="false">IF(Scoring!AG41="","",IF(OR(Scoring!AG41="STRONG BUY",Scoring!AG41="BUY"),"PASS","FAIL"))</f>
        <v/>
      </c>
      <c r="D41" s="142" t="str">
        <f aca="false">IF(Scoring!AH41="","",IF(Scoring!AH41="OK","PASS","FAIL"))</f>
        <v>FAIL</v>
      </c>
      <c r="E41" s="142" t="str">
        <f aca="false">IF(Scoring!AI41="","",IF(Scoring!AI41="OK","PASS","FAIL — mandatory review required"))</f>
        <v>PASS</v>
      </c>
      <c r="F41" s="142"/>
      <c r="G41" s="142"/>
      <c r="H41" s="143" t="str">
        <f aca="false">IF(OR(F41="",G41=""),"",IF(AND(F41="Y",G41="Y"),"Standard initial size","50% of normal initial size + 90-day technical review"))</f>
        <v/>
      </c>
      <c r="I41" s="142"/>
      <c r="J41" s="142"/>
      <c r="K41" s="144" t="str">
        <f aca="false">IF(I41="","",IF(I41="N","PASS",IF(J41="Y","PASS — risk documented in thesis","FAIL — undocumented binary risk")))</f>
        <v/>
      </c>
      <c r="L41" s="142" t="str">
        <f aca="false">IF('Implied-Return Calculator'!S42="","",'Implied-Return Calculator'!S42)</f>
        <v/>
      </c>
      <c r="M41" s="142" t="str">
        <f aca="false">IF('Implied-Return Calculator'!T42="","",'Implied-Return Calculator'!T42)</f>
        <v/>
      </c>
      <c r="N41" s="142" t="str">
        <f aca="false">IF('Implied-Return Calculator'!U42="","",'Implied-Return Calculator'!U42)</f>
        <v/>
      </c>
      <c r="O41" s="142"/>
      <c r="P41" s="142"/>
      <c r="Q41" s="144" t="str">
        <f aca="false">IF(OR(O41="",P41=""),"",IF(O41&lt;=50,"PASS — within ceiling",IF(AND(P41&gt;0.3,M41="PASS"),"PASS — growth+bear case exception met","FAIL — exceeds 50x, exception not met")))</f>
        <v/>
      </c>
      <c r="R41" s="143" t="str">
        <f aca="false">IF(OR(C41="",D41="",E41="",K41="",L41="",M41="",N41="",Q41=""),"",IF(AND(C41="PASS",D41="PASS",LEFT(E41,4)="PASS",LEFT(K41,4)="PASS",L41="PASS",M41="PASS",N41="OK",LEFT(Q41,4)="PASS"),"YES","NO — see failing rule(s)"))</f>
        <v/>
      </c>
      <c r="S41" s="143" t="str">
        <f aca="false">IF(R41="","",IF(R41="YES","Initiate: "&amp;H41,"DO NOT ENTER — resolve failing Entry Rule(s) above first"))</f>
        <v/>
      </c>
    </row>
    <row r="42" customFormat="false" ht="15" hidden="false" customHeight="true" outlineLevel="0" collapsed="false">
      <c r="A42" s="142" t="str">
        <f aca="false">IF(Scoring!A42="","",Scoring!A42)</f>
        <v>ETSY</v>
      </c>
      <c r="B42" s="143" t="str">
        <f aca="false">IF(Scoring!B42="","",Scoring!B42)</f>
        <v>Etsy Inc.</v>
      </c>
      <c r="C42" s="142" t="str">
        <f aca="false">IF(Scoring!AG42="","",IF(OR(Scoring!AG42="STRONG BUY",Scoring!AG42="BUY"),"PASS","FAIL"))</f>
        <v/>
      </c>
      <c r="D42" s="142" t="str">
        <f aca="false">IF(Scoring!AH42="","",IF(Scoring!AH42="OK","PASS","FAIL"))</f>
        <v>PASS</v>
      </c>
      <c r="E42" s="142" t="str">
        <f aca="false">IF(Scoring!AI42="","",IF(Scoring!AI42="OK","PASS","FAIL — mandatory review required"))</f>
        <v>PASS</v>
      </c>
      <c r="F42" s="142"/>
      <c r="G42" s="142"/>
      <c r="H42" s="143" t="str">
        <f aca="false">IF(OR(F42="",G42=""),"",IF(AND(F42="Y",G42="Y"),"Standard initial size","50% of normal initial size + 90-day technical review"))</f>
        <v/>
      </c>
      <c r="I42" s="142"/>
      <c r="J42" s="142"/>
      <c r="K42" s="144" t="str">
        <f aca="false">IF(I42="","",IF(I42="N","PASS",IF(J42="Y","PASS — risk documented in thesis","FAIL — undocumented binary risk")))</f>
        <v/>
      </c>
      <c r="L42" s="142" t="str">
        <f aca="false">IF('Implied-Return Calculator'!S43="","",'Implied-Return Calculator'!S43)</f>
        <v/>
      </c>
      <c r="M42" s="142" t="str">
        <f aca="false">IF('Implied-Return Calculator'!T43="","",'Implied-Return Calculator'!T43)</f>
        <v/>
      </c>
      <c r="N42" s="142" t="str">
        <f aca="false">IF('Implied-Return Calculator'!U43="","",'Implied-Return Calculator'!U43)</f>
        <v/>
      </c>
      <c r="O42" s="142"/>
      <c r="P42" s="142"/>
      <c r="Q42" s="144" t="str">
        <f aca="false">IF(OR(O42="",P42=""),"",IF(O42&lt;=50,"PASS — within ceiling",IF(AND(P42&gt;0.3,M42="PASS"),"PASS — growth+bear case exception met","FAIL — exceeds 50x, exception not met")))</f>
        <v/>
      </c>
      <c r="R42" s="143" t="str">
        <f aca="false">IF(OR(C42="",D42="",E42="",K42="",L42="",M42="",N42="",Q42=""),"",IF(AND(C42="PASS",D42="PASS",LEFT(E42,4)="PASS",LEFT(K42,4)="PASS",L42="PASS",M42="PASS",N42="OK",LEFT(Q42,4)="PASS"),"YES","NO — see failing rule(s)"))</f>
        <v/>
      </c>
      <c r="S42" s="143" t="str">
        <f aca="false">IF(R42="","",IF(R42="YES","Initiate: "&amp;H42,"DO NOT ENTER — resolve failing Entry Rule(s) above first"))</f>
        <v/>
      </c>
    </row>
    <row r="43" customFormat="false" ht="15" hidden="false" customHeight="true" outlineLevel="0" collapsed="false">
      <c r="A43" s="142" t="str">
        <f aca="false">IF(Scoring!A43="","",Scoring!A43)</f>
        <v>GE</v>
      </c>
      <c r="B43" s="143" t="str">
        <f aca="false">IF(Scoring!B43="","",Scoring!B43)</f>
        <v>GE Aerospace</v>
      </c>
      <c r="C43" s="142" t="str">
        <f aca="false">IF(Scoring!AG43="","",IF(OR(Scoring!AG43="STRONG BUY",Scoring!AG43="BUY"),"PASS","FAIL"))</f>
        <v>PASS</v>
      </c>
      <c r="D43" s="142" t="str">
        <f aca="false">IF(Scoring!AH43="","",IF(Scoring!AH43="OK","PASS","FAIL"))</f>
        <v>PASS</v>
      </c>
      <c r="E43" s="142" t="str">
        <f aca="false">IF(Scoring!AI43="","",IF(Scoring!AI43="OK","PASS","FAIL — mandatory review required"))</f>
        <v>PASS</v>
      </c>
      <c r="F43" s="142" t="s">
        <v>222</v>
      </c>
      <c r="G43" s="142" t="s">
        <v>222</v>
      </c>
      <c r="H43" s="143" t="str">
        <f aca="false">IF(OR(F43="",G43=""),"",IF(AND(F43="Y",G43="Y"),"Standard initial size","50% of normal initial size + 90-day technical review"))</f>
        <v>Standard initial size</v>
      </c>
      <c r="I43" s="142" t="s">
        <v>224</v>
      </c>
      <c r="J43" s="142"/>
      <c r="K43" s="144" t="str">
        <f aca="false">IF(I43="","",IF(I43="N","PASS",IF(J43="Y","PASS — risk documented in thesis","FAIL — undocumented binary risk")))</f>
        <v>PASS</v>
      </c>
      <c r="L43" s="142" t="str">
        <f aca="false">IF('Implied-Return Calculator'!S44="","",'Implied-Return Calculator'!S44)</f>
        <v>PASS</v>
      </c>
      <c r="M43" s="142" t="str">
        <f aca="false">IF('Implied-Return Calculator'!T44="","",'Implied-Return Calculator'!T44)</f>
        <v>PASS</v>
      </c>
      <c r="N43" s="142" t="str">
        <f aca="false">IF('Implied-Return Calculator'!U44="","",'Implied-Return Calculator'!U44)</f>
        <v>OK</v>
      </c>
      <c r="O43" s="142" t="n">
        <v>40.9</v>
      </c>
      <c r="P43" s="142" t="n">
        <v>0.147</v>
      </c>
      <c r="Q43" s="144" t="str">
        <f aca="false">IF(OR(O43="",P43=""),"",IF(O43&lt;=50,"PASS — within ceiling",IF(AND(P43&gt;0.3,M43="PASS"),"PASS — growth+bear case exception met","FAIL — exceeds 50x, exception not met")))</f>
        <v>PASS — within ceiling</v>
      </c>
      <c r="R43" s="143" t="str">
        <f aca="false">IF(OR(C43="",D43="",E43="",K43="",L43="",M43="",N43="",Q43=""),"",IF(AND(C43="PASS",D43="PASS",LEFT(E43,4)="PASS",LEFT(K43,4)="PASS",L43="PASS",M43="PASS",N43="OK",LEFT(Q43,4)="PASS"),"YES","NO — see failing rule(s)"))</f>
        <v>YES</v>
      </c>
      <c r="S43" s="143" t="str">
        <f aca="false">IF(R43="","",IF(R43="YES","Initiate: "&amp;H43,"DO NOT ENTER — resolve failing Entry Rule(s) above first"))</f>
        <v>Initiate: Standard initial size</v>
      </c>
    </row>
    <row r="44" customFormat="false" ht="15" hidden="false" customHeight="true" outlineLevel="0" collapsed="false">
      <c r="A44" s="142" t="str">
        <f aca="false">IF(Scoring!A44="","",Scoring!A44)</f>
        <v>PH</v>
      </c>
      <c r="B44" s="143" t="str">
        <f aca="false">IF(Scoring!B44="","",Scoring!B44)</f>
        <v>Parker-Hannifin Corporation</v>
      </c>
      <c r="C44" s="142" t="str">
        <f aca="false">IF(Scoring!AG44="","",IF(OR(Scoring!AG44="STRONG BUY",Scoring!AG44="BUY"),"PASS","FAIL"))</f>
        <v/>
      </c>
      <c r="D44" s="142" t="str">
        <f aca="false">IF(Scoring!AH44="","",IF(Scoring!AH44="OK","PASS","FAIL"))</f>
        <v>PASS</v>
      </c>
      <c r="E44" s="142" t="str">
        <f aca="false">IF(Scoring!AI44="","",IF(Scoring!AI44="OK","PASS","FAIL — mandatory review required"))</f>
        <v>PASS</v>
      </c>
      <c r="F44" s="142"/>
      <c r="G44" s="142"/>
      <c r="H44" s="143" t="str">
        <f aca="false">IF(OR(F44="",G44=""),"",IF(AND(F44="Y",G44="Y"),"Standard initial size","50% of normal initial size + 90-day technical review"))</f>
        <v/>
      </c>
      <c r="I44" s="142"/>
      <c r="J44" s="142"/>
      <c r="K44" s="144" t="str">
        <f aca="false">IF(I44="","",IF(I44="N","PASS",IF(J44="Y","PASS — risk documented in thesis","FAIL — undocumented binary risk")))</f>
        <v/>
      </c>
      <c r="L44" s="142" t="str">
        <f aca="false">IF('Implied-Return Calculator'!S45="","",'Implied-Return Calculator'!S45)</f>
        <v/>
      </c>
      <c r="M44" s="142" t="str">
        <f aca="false">IF('Implied-Return Calculator'!T45="","",'Implied-Return Calculator'!T45)</f>
        <v/>
      </c>
      <c r="N44" s="142" t="str">
        <f aca="false">IF('Implied-Return Calculator'!U45="","",'Implied-Return Calculator'!U45)</f>
        <v/>
      </c>
      <c r="O44" s="142"/>
      <c r="P44" s="142"/>
      <c r="Q44" s="144" t="str">
        <f aca="false">IF(OR(O44="",P44=""),"",IF(O44&lt;=50,"PASS — within ceiling",IF(AND(P44&gt;0.3,M44="PASS"),"PASS — growth+bear case exception met","FAIL — exceeds 50x, exception not met")))</f>
        <v/>
      </c>
      <c r="R44" s="143" t="str">
        <f aca="false">IF(OR(C44="",D44="",E44="",K44="",L44="",M44="",N44="",Q44=""),"",IF(AND(C44="PASS",D44="PASS",LEFT(E44,4)="PASS",LEFT(K44,4)="PASS",L44="PASS",M44="PASS",N44="OK",LEFT(Q44,4)="PASS"),"YES","NO — see failing rule(s)"))</f>
        <v/>
      </c>
      <c r="S44" s="143" t="str">
        <f aca="false">IF(R44="","",IF(R44="YES","Initiate: "&amp;H44,"DO NOT ENTER — resolve failing Entry Rule(s) above first"))</f>
        <v/>
      </c>
    </row>
    <row r="45" customFormat="false" ht="15" hidden="false" customHeight="true" outlineLevel="0" collapsed="false">
      <c r="A45" s="142" t="str">
        <f aca="false">IF(Scoring!A45="","",Scoring!A45)</f>
        <v>ETN</v>
      </c>
      <c r="B45" s="143" t="str">
        <f aca="false">IF(Scoring!B45="","",Scoring!B45)</f>
        <v>Eaton Corporation plc</v>
      </c>
      <c r="C45" s="142" t="str">
        <f aca="false">IF(Scoring!AG45="","",IF(OR(Scoring!AG45="STRONG BUY",Scoring!AG45="BUY"),"PASS","FAIL"))</f>
        <v/>
      </c>
      <c r="D45" s="142" t="str">
        <f aca="false">IF(Scoring!AH45="","",IF(Scoring!AH45="OK","PASS","FAIL"))</f>
        <v>PASS</v>
      </c>
      <c r="E45" s="142" t="str">
        <f aca="false">IF(Scoring!AI45="","",IF(Scoring!AI45="OK","PASS","FAIL — mandatory review required"))</f>
        <v>PASS</v>
      </c>
      <c r="F45" s="142"/>
      <c r="G45" s="142"/>
      <c r="H45" s="143" t="str">
        <f aca="false">IF(OR(F45="",G45=""),"",IF(AND(F45="Y",G45="Y"),"Standard initial size","50% of normal initial size + 90-day technical review"))</f>
        <v/>
      </c>
      <c r="I45" s="142"/>
      <c r="J45" s="142"/>
      <c r="K45" s="144" t="str">
        <f aca="false">IF(I45="","",IF(I45="N","PASS",IF(J45="Y","PASS — risk documented in thesis","FAIL — undocumented binary risk")))</f>
        <v/>
      </c>
      <c r="L45" s="142" t="str">
        <f aca="false">IF('Implied-Return Calculator'!S46="","",'Implied-Return Calculator'!S46)</f>
        <v/>
      </c>
      <c r="M45" s="142" t="str">
        <f aca="false">IF('Implied-Return Calculator'!T46="","",'Implied-Return Calculator'!T46)</f>
        <v/>
      </c>
      <c r="N45" s="142" t="str">
        <f aca="false">IF('Implied-Return Calculator'!U46="","",'Implied-Return Calculator'!U46)</f>
        <v/>
      </c>
      <c r="O45" s="142"/>
      <c r="P45" s="142"/>
      <c r="Q45" s="144" t="str">
        <f aca="false">IF(OR(O45="",P45=""),"",IF(O45&lt;=50,"PASS — within ceiling",IF(AND(P45&gt;0.3,M45="PASS"),"PASS — growth+bear case exception met","FAIL — exceeds 50x, exception not met")))</f>
        <v/>
      </c>
      <c r="R45" s="143" t="str">
        <f aca="false">IF(OR(C45="",D45="",E45="",K45="",L45="",M45="",N45="",Q45=""),"",IF(AND(C45="PASS",D45="PASS",LEFT(E45,4)="PASS",LEFT(K45,4)="PASS",L45="PASS",M45="PASS",N45="OK",LEFT(Q45,4)="PASS"),"YES","NO — see failing rule(s)"))</f>
        <v/>
      </c>
      <c r="S45" s="143" t="str">
        <f aca="false">IF(R45="","",IF(R45="YES","Initiate: "&amp;H45,"DO NOT ENTER — resolve failing Entry Rule(s) above first"))</f>
        <v/>
      </c>
    </row>
    <row r="46" customFormat="false" ht="15" hidden="false" customHeight="true" outlineLevel="0" collapsed="false">
      <c r="A46" s="142" t="str">
        <f aca="false">IF(Scoring!A46="","",Scoring!A46)</f>
        <v>DIS</v>
      </c>
      <c r="B46" s="143" t="str">
        <f aca="false">IF(Scoring!B46="","",Scoring!B46)</f>
        <v>The Walt Disney Company</v>
      </c>
      <c r="C46" s="142" t="str">
        <f aca="false">IF(Scoring!AG46="","",IF(OR(Scoring!AG46="STRONG BUY",Scoring!AG46="BUY"),"PASS","FAIL"))</f>
        <v/>
      </c>
      <c r="D46" s="142" t="str">
        <f aca="false">IF(Scoring!AH46="","",IF(Scoring!AH46="OK","PASS","FAIL"))</f>
        <v>FAIL</v>
      </c>
      <c r="E46" s="142" t="str">
        <f aca="false">IF(Scoring!AI46="","",IF(Scoring!AI46="OK","PASS","FAIL — mandatory review required"))</f>
        <v>PASS</v>
      </c>
      <c r="F46" s="142"/>
      <c r="G46" s="142"/>
      <c r="H46" s="143" t="str">
        <f aca="false">IF(OR(F46="",G46=""),"",IF(AND(F46="Y",G46="Y"),"Standard initial size","50% of normal initial size + 90-day technical review"))</f>
        <v/>
      </c>
      <c r="I46" s="142"/>
      <c r="J46" s="142"/>
      <c r="K46" s="144" t="str">
        <f aca="false">IF(I46="","",IF(I46="N","PASS",IF(J46="Y","PASS — risk documented in thesis","FAIL — undocumented binary risk")))</f>
        <v/>
      </c>
      <c r="L46" s="142" t="str">
        <f aca="false">IF('Implied-Return Calculator'!S47="","",'Implied-Return Calculator'!S47)</f>
        <v/>
      </c>
      <c r="M46" s="142" t="str">
        <f aca="false">IF('Implied-Return Calculator'!T47="","",'Implied-Return Calculator'!T47)</f>
        <v/>
      </c>
      <c r="N46" s="142" t="str">
        <f aca="false">IF('Implied-Return Calculator'!U47="","",'Implied-Return Calculator'!U47)</f>
        <v/>
      </c>
      <c r="O46" s="142"/>
      <c r="P46" s="142"/>
      <c r="Q46" s="144" t="str">
        <f aca="false">IF(OR(O46="",P46=""),"",IF(O46&lt;=50,"PASS — within ceiling",IF(AND(P46&gt;0.3,M46="PASS"),"PASS — growth+bear case exception met","FAIL — exceeds 50x, exception not met")))</f>
        <v/>
      </c>
      <c r="R46" s="143" t="str">
        <f aca="false">IF(OR(C46="",D46="",E46="",K46="",L46="",M46="",N46="",Q46=""),"",IF(AND(C46="PASS",D46="PASS",LEFT(E46,4)="PASS",LEFT(K46,4)="PASS",L46="PASS",M46="PASS",N46="OK",LEFT(Q46,4)="PASS"),"YES","NO — see failing rule(s)"))</f>
        <v/>
      </c>
      <c r="S46" s="143" t="str">
        <f aca="false">IF(R46="","",IF(R46="YES","Initiate: "&amp;H46,"DO NOT ENTER — resolve failing Entry Rule(s) above first"))</f>
        <v/>
      </c>
    </row>
    <row r="47" customFormat="false" ht="15" hidden="false" customHeight="true" outlineLevel="0" collapsed="false">
      <c r="A47" s="142" t="str">
        <f aca="false">IF(Scoring!A47="","",Scoring!A47)</f>
        <v>NFLX</v>
      </c>
      <c r="B47" s="143" t="str">
        <f aca="false">IF(Scoring!B47="","",Scoring!B47)</f>
        <v>Netflix, Inc.</v>
      </c>
      <c r="C47" s="142" t="str">
        <f aca="false">IF(Scoring!AG47="","",IF(OR(Scoring!AG47="STRONG BUY",Scoring!AG47="BUY"),"PASS","FAIL"))</f>
        <v>PASS</v>
      </c>
      <c r="D47" s="142" t="str">
        <f aca="false">IF(Scoring!AH47="","",IF(Scoring!AH47="OK","PASS","FAIL"))</f>
        <v>PASS</v>
      </c>
      <c r="E47" s="142" t="str">
        <f aca="false">IF(Scoring!AI47="","",IF(Scoring!AI47="OK","PASS","FAIL — mandatory review required"))</f>
        <v>PASS</v>
      </c>
      <c r="F47" s="142" t="s">
        <v>224</v>
      </c>
      <c r="G47" s="142" t="s">
        <v>224</v>
      </c>
      <c r="H47" s="143" t="str">
        <f aca="false">IF(OR(F47="",G47=""),"",IF(AND(F47="Y",G47="Y"),"Standard initial size","50% of normal initial size + 90-day technical review"))</f>
        <v>50% of normal initial size + 90-day technical review</v>
      </c>
      <c r="I47" s="142" t="s">
        <v>224</v>
      </c>
      <c r="J47" s="142"/>
      <c r="K47" s="144" t="str">
        <f aca="false">IF(I47="","",IF(I47="N","PASS",IF(J47="Y","PASS — risk documented in thesis","FAIL — undocumented binary risk")))</f>
        <v>PASS</v>
      </c>
      <c r="L47" s="142" t="str">
        <f aca="false">IF('Implied-Return Calculator'!S48="","",'Implied-Return Calculator'!S48)</f>
        <v>PASS</v>
      </c>
      <c r="M47" s="142" t="str">
        <f aca="false">IF('Implied-Return Calculator'!T48="","",'Implied-Return Calculator'!T48)</f>
        <v>PASS</v>
      </c>
      <c r="N47" s="142" t="str">
        <f aca="false">IF('Implied-Return Calculator'!U48="","",'Implied-Return Calculator'!U48)</f>
        <v>OK</v>
      </c>
      <c r="O47" s="142" t="n">
        <v>37.8</v>
      </c>
      <c r="P47" s="142" t="n">
        <v>0.15</v>
      </c>
      <c r="Q47" s="144" t="str">
        <f aca="false">IF(OR(O47="",P47=""),"",IF(O47&lt;=50,"PASS — within ceiling",IF(AND(P47&gt;0.3,M47="PASS"),"PASS — growth+bear case exception met","FAIL — exceeds 50x, exception not met")))</f>
        <v>PASS — within ceiling</v>
      </c>
      <c r="R47" s="143" t="str">
        <f aca="false">IF(OR(C47="",D47="",E47="",K47="",L47="",M47="",N47="",Q47=""),"",IF(AND(C47="PASS",D47="PASS",LEFT(E47,4)="PASS",LEFT(K47,4)="PASS",L47="PASS",M47="PASS",N47="OK",LEFT(Q47,4)="PASS"),"YES","NO — see failing rule(s)"))</f>
        <v>YES</v>
      </c>
      <c r="S47" s="143" t="str">
        <f aca="false">IF(R47="","",IF(R47="YES","Initiate: "&amp;H47,"DO NOT ENTER — resolve failing Entry Rule(s) above first"))</f>
        <v>Initiate: 50% of normal initial size + 90-day technical review</v>
      </c>
    </row>
    <row r="48" customFormat="false" ht="15" hidden="false" customHeight="true" outlineLevel="0" collapsed="false">
      <c r="A48" s="142" t="str">
        <f aca="false">IF(Scoring!A48="","",Scoring!A48)</f>
        <v>KGS</v>
      </c>
      <c r="B48" s="143" t="str">
        <f aca="false">IF(Scoring!B48="","",Scoring!B48)</f>
        <v>Kodiak Gas Services, Inc.</v>
      </c>
      <c r="C48" s="142" t="str">
        <f aca="false">IF(Scoring!AG48="","",IF(OR(Scoring!AG48="STRONG BUY",Scoring!AG48="BUY"),"PASS","FAIL"))</f>
        <v/>
      </c>
      <c r="D48" s="142" t="str">
        <f aca="false">IF(Scoring!AH48="","",IF(Scoring!AH48="OK","PASS","FAIL"))</f>
        <v>PASS</v>
      </c>
      <c r="E48" s="142" t="str">
        <f aca="false">IF(Scoring!AI48="","",IF(Scoring!AI48="OK","PASS","FAIL — mandatory review required"))</f>
        <v>PASS</v>
      </c>
      <c r="F48" s="142"/>
      <c r="G48" s="142"/>
      <c r="H48" s="143" t="str">
        <f aca="false">IF(OR(F48="",G48=""),"",IF(AND(F48="Y",G48="Y"),"Standard initial size","50% of normal initial size + 90-day technical review"))</f>
        <v/>
      </c>
      <c r="I48" s="142"/>
      <c r="J48" s="142"/>
      <c r="K48" s="144" t="str">
        <f aca="false">IF(I48="","",IF(I48="N","PASS",IF(J48="Y","PASS — risk documented in thesis","FAIL — undocumented binary risk")))</f>
        <v/>
      </c>
      <c r="L48" s="142" t="str">
        <f aca="false">IF('Implied-Return Calculator'!S49="","",'Implied-Return Calculator'!S49)</f>
        <v/>
      </c>
      <c r="M48" s="142" t="str">
        <f aca="false">IF('Implied-Return Calculator'!T49="","",'Implied-Return Calculator'!T49)</f>
        <v/>
      </c>
      <c r="N48" s="142" t="str">
        <f aca="false">IF('Implied-Return Calculator'!U49="","",'Implied-Return Calculator'!U49)</f>
        <v/>
      </c>
      <c r="O48" s="142"/>
      <c r="P48" s="142"/>
      <c r="Q48" s="144" t="str">
        <f aca="false">IF(OR(O48="",P48=""),"",IF(O48&lt;=50,"PASS — within ceiling",IF(AND(P48&gt;0.3,M48="PASS"),"PASS — growth+bear case exception met","FAIL — exceeds 50x, exception not met")))</f>
        <v/>
      </c>
      <c r="R48" s="143" t="str">
        <f aca="false">IF(OR(C48="",D48="",E48="",K48="",L48="",M48="",N48="",Q48=""),"",IF(AND(C48="PASS",D48="PASS",LEFT(E48,4)="PASS",LEFT(K48,4)="PASS",L48="PASS",M48="PASS",N48="OK",LEFT(Q48,4)="PASS"),"YES","NO — see failing rule(s)"))</f>
        <v/>
      </c>
      <c r="S48" s="143" t="str">
        <f aca="false">IF(R48="","",IF(R48="YES","Initiate: "&amp;H48,"DO NOT ENTER — resolve failing Entry Rule(s) above first"))</f>
        <v/>
      </c>
    </row>
    <row r="49" customFormat="false" ht="15" hidden="false" customHeight="true" outlineLevel="0" collapsed="false">
      <c r="A49" s="142" t="str">
        <f aca="false">IF(Scoring!A49="","",Scoring!A49)</f>
        <v>ABT</v>
      </c>
      <c r="B49" s="143" t="str">
        <f aca="false">IF(Scoring!B49="","",Scoring!B49)</f>
        <v>Abbott Laboratories</v>
      </c>
      <c r="C49" s="142" t="str">
        <f aca="false">IF(Scoring!AG49="","",IF(OR(Scoring!AG49="STRONG BUY",Scoring!AG49="BUY"),"PASS","FAIL"))</f>
        <v>PASS</v>
      </c>
      <c r="D49" s="142" t="str">
        <f aca="false">IF(Scoring!AH49="","",IF(Scoring!AH49="OK","PASS","FAIL"))</f>
        <v>PASS</v>
      </c>
      <c r="E49" s="142" t="str">
        <f aca="false">IF(Scoring!AI49="","",IF(Scoring!AI49="OK","PASS","FAIL — mandatory review required"))</f>
        <v>PASS</v>
      </c>
      <c r="F49" s="142"/>
      <c r="G49" s="142"/>
      <c r="H49" s="143" t="str">
        <f aca="false">IF(OR(F49="",G49=""),"",IF(AND(F49="Y",G49="Y"),"Standard initial size","50% of normal initial size + 90-day technical review"))</f>
        <v/>
      </c>
      <c r="I49" s="142"/>
      <c r="J49" s="142"/>
      <c r="K49" s="144" t="str">
        <f aca="false">IF(I49="","",IF(I49="N","PASS",IF(J49="Y","PASS — risk documented in thesis","FAIL — undocumented binary risk")))</f>
        <v/>
      </c>
      <c r="L49" s="142" t="str">
        <f aca="false">IF('Implied-Return Calculator'!S50="","",'Implied-Return Calculator'!S50)</f>
        <v/>
      </c>
      <c r="M49" s="142" t="str">
        <f aca="false">IF('Implied-Return Calculator'!T50="","",'Implied-Return Calculator'!T50)</f>
        <v/>
      </c>
      <c r="N49" s="142" t="str">
        <f aca="false">IF('Implied-Return Calculator'!U50="","",'Implied-Return Calculator'!U50)</f>
        <v/>
      </c>
      <c r="O49" s="142"/>
      <c r="P49" s="142"/>
      <c r="Q49" s="144" t="str">
        <f aca="false">IF(OR(O49="",P49=""),"",IF(O49&lt;=50,"PASS — within ceiling",IF(AND(P49&gt;0.3,M49="PASS"),"PASS — growth+bear case exception met","FAIL — exceeds 50x, exception not met")))</f>
        <v/>
      </c>
      <c r="R49" s="143" t="str">
        <f aca="false">IF(OR(C49="",D49="",E49="",K49="",L49="",M49="",N49="",Q49=""),"",IF(AND(C49="PASS",D49="PASS",LEFT(E49,4)="PASS",LEFT(K49,4)="PASS",L49="PASS",M49="PASS",N49="OK",LEFT(Q49,4)="PASS"),"YES","NO — see failing rule(s)"))</f>
        <v/>
      </c>
      <c r="S49" s="143" t="str">
        <f aca="false">IF(R49="","",IF(R49="YES","Initiate: "&amp;H49,"DO NOT ENTER — resolve failing Entry Rule(s) above first"))</f>
        <v/>
      </c>
    </row>
    <row r="50" customFormat="false" ht="15" hidden="false" customHeight="true" outlineLevel="0" collapsed="false">
      <c r="A50" s="142" t="str">
        <f aca="false">IF(Scoring!A50="","",Scoring!A50)</f>
        <v>SLB</v>
      </c>
      <c r="B50" s="143" t="str">
        <f aca="false">IF(Scoring!B50="","",Scoring!B50)</f>
        <v>SLB N.V.</v>
      </c>
      <c r="C50" s="142" t="str">
        <f aca="false">IF(Scoring!AG50="","",IF(OR(Scoring!AG50="STRONG BUY",Scoring!AG50="BUY"),"PASS","FAIL"))</f>
        <v>PASS</v>
      </c>
      <c r="D50" s="142" t="str">
        <f aca="false">IF(Scoring!AH50="","",IF(Scoring!AH50="OK","PASS","FAIL"))</f>
        <v>PASS</v>
      </c>
      <c r="E50" s="142" t="str">
        <f aca="false">IF(Scoring!AI50="","",IF(Scoring!AI50="OK","PASS","FAIL — mandatory review required"))</f>
        <v>PASS</v>
      </c>
      <c r="F50" s="142" t="s">
        <v>222</v>
      </c>
      <c r="G50" s="142" t="s">
        <v>222</v>
      </c>
      <c r="H50" s="143" t="str">
        <f aca="false">IF(OR(F50="",G50=""),"",IF(AND(F50="Y",G50="Y"),"Standard initial size","50% of normal initial size + 90-day technical review"))</f>
        <v>Standard initial size</v>
      </c>
      <c r="I50" s="142" t="s">
        <v>224</v>
      </c>
      <c r="J50" s="142"/>
      <c r="K50" s="144" t="str">
        <f aca="false">IF(I50="","",IF(I50="N","PASS",IF(J50="Y","PASS — risk documented in thesis","FAIL — undocumented binary risk")))</f>
        <v>PASS</v>
      </c>
      <c r="L50" s="142" t="str">
        <f aca="false">IF('Implied-Return Calculator'!S51="","",'Implied-Return Calculator'!S51)</f>
        <v>FAIL</v>
      </c>
      <c r="M50" s="142" t="str">
        <f aca="false">IF('Implied-Return Calculator'!T51="","",'Implied-Return Calculator'!T51)</f>
        <v>FAIL</v>
      </c>
      <c r="N50" s="142" t="str">
        <f aca="false">IF('Implied-Return Calculator'!U51="","",'Implied-Return Calculator'!U51)</f>
        <v>OK</v>
      </c>
      <c r="O50" s="142" t="n">
        <v>17.7</v>
      </c>
      <c r="P50" s="142" t="n">
        <v>0.047</v>
      </c>
      <c r="Q50" s="144" t="str">
        <f aca="false">IF(OR(O50="",P50=""),"",IF(O50&lt;=50,"PASS — within ceiling",IF(AND(P50&gt;0.3,M50="PASS"),"PASS — growth+bear case exception met","FAIL — exceeds 50x, exception not met")))</f>
        <v>PASS — within ceiling</v>
      </c>
      <c r="R50" s="143" t="str">
        <f aca="false">IF(OR(C50="",D50="",E50="",K50="",L50="",M50="",N50="",Q50=""),"",IF(AND(C50="PASS",D50="PASS",LEFT(E50,4)="PASS",LEFT(K50,4)="PASS",L50="PASS",M50="PASS",N50="OK",LEFT(Q50,4)="PASS"),"YES","NO — see failing rule(s)"))</f>
        <v>NO — see failing rule(s)</v>
      </c>
      <c r="S50" s="143" t="str">
        <f aca="false">IF(R50="","",IF(R50="YES","Initiate: "&amp;H50,"DO NOT ENTER — resolve failing Entry Rule(s) above first"))</f>
        <v>DO NOT ENTER — resolve failing Entry Rule(s) above first</v>
      </c>
    </row>
    <row r="51" customFormat="false" ht="15" hidden="false" customHeight="true" outlineLevel="0" collapsed="false">
      <c r="A51" s="142" t="str">
        <f aca="false">IF(Scoring!A51="","",Scoring!A51)</f>
        <v>VEEV</v>
      </c>
      <c r="B51" s="143" t="str">
        <f aca="false">IF(Scoring!B51="","",Scoring!B51)</f>
        <v>Veeva Systems Inc.</v>
      </c>
      <c r="C51" s="142" t="str">
        <f aca="false">IF(Scoring!AG51="","",IF(OR(Scoring!AG51="STRONG BUY",Scoring!AG51="BUY"),"PASS","FAIL"))</f>
        <v>PASS</v>
      </c>
      <c r="D51" s="142" t="str">
        <f aca="false">IF(Scoring!AH51="","",IF(Scoring!AH51="OK","PASS","FAIL"))</f>
        <v>PASS</v>
      </c>
      <c r="E51" s="142" t="str">
        <f aca="false">IF(Scoring!AI51="","",IF(Scoring!AI51="OK","PASS","FAIL — mandatory review required"))</f>
        <v>PASS</v>
      </c>
      <c r="F51" s="142" t="s">
        <v>222</v>
      </c>
      <c r="G51" s="142" t="s">
        <v>222</v>
      </c>
      <c r="H51" s="143" t="str">
        <f aca="false">IF(OR(F51="",G51=""),"",IF(AND(F51="Y",G51="Y"),"Standard initial size","50% of normal initial size + 90-day technical review"))</f>
        <v>Standard initial size</v>
      </c>
      <c r="I51" s="142" t="s">
        <v>224</v>
      </c>
      <c r="J51" s="142"/>
      <c r="K51" s="144" t="str">
        <f aca="false">IF(I51="","",IF(I51="N","PASS",IF(J51="Y","PASS — risk documented in thesis","FAIL — undocumented binary risk")))</f>
        <v>PASS</v>
      </c>
      <c r="L51" s="142" t="str">
        <f aca="false">IF('Implied-Return Calculator'!S52="","",'Implied-Return Calculator'!S52)</f>
        <v>PASS</v>
      </c>
      <c r="M51" s="142" t="str">
        <f aca="false">IF('Implied-Return Calculator'!T52="","",'Implied-Return Calculator'!T52)</f>
        <v>PASS</v>
      </c>
      <c r="N51" s="142" t="str">
        <f aca="false">IF('Implied-Return Calculator'!U52="","",'Implied-Return Calculator'!U52)</f>
        <v>OK</v>
      </c>
      <c r="O51" s="142" t="n">
        <v>40.4</v>
      </c>
      <c r="P51" s="142" t="n">
        <v>0.125</v>
      </c>
      <c r="Q51" s="144" t="str">
        <f aca="false">IF(OR(O51="",P51=""),"",IF(O51&lt;=50,"PASS — within ceiling",IF(AND(P51&gt;0.3,M51="PASS"),"PASS — growth+bear case exception met","FAIL — exceeds 50x, exception not met")))</f>
        <v>PASS — within ceiling</v>
      </c>
      <c r="R51" s="143" t="str">
        <f aca="false">IF(OR(C51="",D51="",E51="",K51="",L51="",M51="",N51="",Q51=""),"",IF(AND(C51="PASS",D51="PASS",LEFT(E51,4)="PASS",LEFT(K51,4)="PASS",L51="PASS",M51="PASS",N51="OK",LEFT(Q51,4)="PASS"),"YES","NO — see failing rule(s)"))</f>
        <v>YES</v>
      </c>
      <c r="S51" s="143" t="str">
        <f aca="false">IF(R51="","",IF(R51="YES","Initiate: "&amp;H51,"DO NOT ENTER — resolve failing Entry Rule(s) above first"))</f>
        <v>Initiate: Standard initial size</v>
      </c>
    </row>
    <row r="52" customFormat="false" ht="15" hidden="false" customHeight="true" outlineLevel="0" collapsed="false">
      <c r="K52" s="145"/>
      <c r="Q52" s="145"/>
    </row>
    <row r="53" customFormat="false" ht="15" hidden="false" customHeight="true" outlineLevel="0" collapsed="false">
      <c r="K53" s="145"/>
      <c r="Q53" s="145"/>
    </row>
    <row r="54" customFormat="false" ht="15" hidden="false" customHeight="true" outlineLevel="0" collapsed="false">
      <c r="K54" s="145"/>
      <c r="Q54" s="145"/>
    </row>
    <row r="55" customFormat="false" ht="15" hidden="false" customHeight="true" outlineLevel="0" collapsed="false">
      <c r="K55" s="145"/>
      <c r="Q55" s="145"/>
    </row>
    <row r="56" customFormat="false" ht="15" hidden="false" customHeight="true" outlineLevel="0" collapsed="false">
      <c r="K56" s="145"/>
      <c r="Q56" s="145"/>
    </row>
    <row r="57" customFormat="false" ht="15" hidden="false" customHeight="true" outlineLevel="0" collapsed="false">
      <c r="K57" s="145"/>
      <c r="Q57" s="145"/>
    </row>
    <row r="58" customFormat="false" ht="15" hidden="false" customHeight="true" outlineLevel="0" collapsed="false">
      <c r="K58" s="145"/>
      <c r="Q58" s="145"/>
    </row>
    <row r="59" customFormat="false" ht="15" hidden="false" customHeight="true" outlineLevel="0" collapsed="false">
      <c r="K59" s="145"/>
      <c r="Q59" s="145"/>
    </row>
    <row r="60" customFormat="false" ht="15" hidden="false" customHeight="true" outlineLevel="0" collapsed="false">
      <c r="K60" s="145"/>
      <c r="Q60" s="145"/>
    </row>
    <row r="61" customFormat="false" ht="15" hidden="false" customHeight="true" outlineLevel="0" collapsed="false">
      <c r="K61" s="145"/>
      <c r="Q61" s="145"/>
    </row>
    <row r="62" customFormat="false" ht="15" hidden="false" customHeight="true" outlineLevel="0" collapsed="false">
      <c r="K62" s="145"/>
      <c r="Q62" s="145"/>
    </row>
    <row r="63" customFormat="false" ht="15" hidden="false" customHeight="true" outlineLevel="0" collapsed="false">
      <c r="K63" s="145"/>
      <c r="Q63" s="145"/>
    </row>
    <row r="64" customFormat="false" ht="15" hidden="false" customHeight="true" outlineLevel="0" collapsed="false">
      <c r="K64" s="145"/>
      <c r="Q64" s="145"/>
    </row>
    <row r="65" customFormat="false" ht="15" hidden="false" customHeight="true" outlineLevel="0" collapsed="false">
      <c r="K65" s="145"/>
      <c r="Q65" s="145"/>
    </row>
    <row r="66" customFormat="false" ht="15" hidden="false" customHeight="true" outlineLevel="0" collapsed="false">
      <c r="K66" s="145"/>
      <c r="Q66" s="145"/>
    </row>
  </sheetData>
  <conditionalFormatting sqref="K3:M66">
    <cfRule type="containsText" priority="2" operator="containsText" aboveAverage="0" equalAverage="0" bottom="0" percent="0" rank="0" text="pass" dxfId="21">
      <formula>NOT(ISERROR(SEARCH("pass",K3)))</formula>
    </cfRule>
    <cfRule type="containsText" priority="3" operator="containsText" aboveAverage="0" equalAverage="0" bottom="0" percent="0" rank="0" text="fail" dxfId="28">
      <formula>NOT(ISERROR(SEARCH("fail",K3)))</formula>
    </cfRule>
  </conditionalFormatting>
  <conditionalFormatting sqref="Q3:Q66">
    <cfRule type="containsText" priority="4" operator="containsText" aboveAverage="0" equalAverage="0" bottom="0" percent="0" rank="0" text="pass" dxfId="21">
      <formula>NOT(ISERROR(SEARCH("pass",Q3)))</formula>
    </cfRule>
    <cfRule type="containsText" priority="5" operator="containsText" aboveAverage="0" equalAverage="0" bottom="0" percent="0" rank="0" text="fail" dxfId="28">
      <formula>NOT(ISERROR(SEARCH("fail",Q3)))</formula>
    </cfRule>
  </conditionalFormatting>
  <conditionalFormatting sqref="R3:R122">
    <cfRule type="containsText" priority="6" operator="containsText" aboveAverage="0" equalAverage="0" bottom="0" percent="0" rank="0" text="yes" dxfId="21">
      <formula>NOT(ISERROR(SEARCH("yes",R3)))</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N26" activeCellId="0" sqref="N26"/>
    </sheetView>
  </sheetViews>
  <sheetFormatPr defaultColWidth="8.66796875" defaultRowHeight="15" customHeight="false" zeroHeight="false" outlineLevelRow="0" outlineLevelCol="0"/>
  <cols>
    <col collapsed="false" customWidth="true" hidden="false" outlineLevel="0" max="1" min="1" style="1" width="7.67"/>
    <col collapsed="false" customWidth="true" hidden="false" outlineLevel="0" max="2" min="2" style="145"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7.67"/>
    <col collapsed="false" customWidth="true" hidden="false" outlineLevel="0" max="9" min="9" style="1" width="8.5"/>
  </cols>
  <sheetData>
    <row r="1" customFormat="false" ht="42" hidden="false" customHeight="true" outlineLevel="0" collapsed="false">
      <c r="A1" s="146" t="s">
        <v>443</v>
      </c>
      <c r="B1" s="146"/>
      <c r="C1" s="146"/>
      <c r="D1" s="146"/>
      <c r="E1" s="146"/>
      <c r="F1" s="146"/>
      <c r="G1" s="146"/>
      <c r="H1" s="146"/>
      <c r="I1" s="146"/>
    </row>
    <row r="2" customFormat="false" ht="25.5" hidden="false" customHeight="true" outlineLevel="0" collapsed="false">
      <c r="A2" s="121" t="s">
        <v>82</v>
      </c>
      <c r="B2" s="121" t="s">
        <v>296</v>
      </c>
      <c r="C2" s="121" t="s">
        <v>444</v>
      </c>
      <c r="D2" s="121" t="s">
        <v>445</v>
      </c>
      <c r="E2" s="121" t="s">
        <v>446</v>
      </c>
      <c r="F2" s="121" t="s">
        <v>447</v>
      </c>
      <c r="G2" s="121" t="s">
        <v>448</v>
      </c>
      <c r="H2" s="121" t="s">
        <v>449</v>
      </c>
      <c r="I2" s="121" t="s">
        <v>450</v>
      </c>
    </row>
    <row r="3" customFormat="false" ht="15" hidden="false" customHeight="true" outlineLevel="0" collapsed="false">
      <c r="A3" s="125" t="s">
        <v>287</v>
      </c>
      <c r="B3" s="123" t="s">
        <v>420</v>
      </c>
      <c r="C3" s="147" t="n">
        <v>97.5</v>
      </c>
      <c r="D3" s="130" t="n">
        <v>8644982</v>
      </c>
      <c r="E3" s="148" t="n">
        <v>168712.372224</v>
      </c>
      <c r="F3" s="149" t="n">
        <v>31.451614</v>
      </c>
      <c r="G3" s="147" t="n">
        <v>81.97</v>
      </c>
      <c r="H3" s="147" t="n">
        <v>135.24</v>
      </c>
      <c r="I3" s="132" t="n">
        <v>2.58</v>
      </c>
    </row>
    <row r="4" customFormat="false" ht="15" hidden="false" customHeight="true" outlineLevel="0" collapsed="false">
      <c r="A4" s="125" t="s">
        <v>96</v>
      </c>
      <c r="B4" s="123" t="s">
        <v>97</v>
      </c>
      <c r="C4" s="147" t="n">
        <v>237.69</v>
      </c>
      <c r="D4" s="130" t="n">
        <v>3115208</v>
      </c>
      <c r="E4" s="148" t="n">
        <v>92508.946432</v>
      </c>
      <c r="F4" s="149" t="n">
        <v>13.263951</v>
      </c>
      <c r="G4" s="147" t="n">
        <v>190.12</v>
      </c>
      <c r="H4" s="147" t="n">
        <v>363.7</v>
      </c>
      <c r="I4" s="132"/>
    </row>
    <row r="5" customFormat="false" ht="15" hidden="false" customHeight="true" outlineLevel="0" collapsed="false">
      <c r="A5" s="125" t="s">
        <v>101</v>
      </c>
      <c r="B5" s="123" t="s">
        <v>102</v>
      </c>
      <c r="C5" s="147" t="n">
        <v>207.35</v>
      </c>
      <c r="D5" s="130" t="n">
        <v>4113045</v>
      </c>
      <c r="E5" s="148" t="n">
        <v>261514.952704</v>
      </c>
      <c r="F5" s="149" t="n">
        <v>65.82539</v>
      </c>
      <c r="G5" s="147" t="n">
        <v>114.52</v>
      </c>
      <c r="H5" s="147" t="n">
        <v>214.89</v>
      </c>
      <c r="I5" s="132"/>
    </row>
    <row r="6" customFormat="false" ht="15" hidden="false" customHeight="true" outlineLevel="0" collapsed="false">
      <c r="A6" s="125" t="s">
        <v>103</v>
      </c>
      <c r="B6" s="123" t="s">
        <v>104</v>
      </c>
      <c r="C6" s="147" t="n">
        <v>1867.31</v>
      </c>
      <c r="D6" s="130" t="n">
        <v>1345027</v>
      </c>
      <c r="E6" s="148" t="n">
        <v>717233.782784</v>
      </c>
      <c r="F6" s="149" t="n">
        <v>64.92733</v>
      </c>
      <c r="G6" s="147" t="n">
        <v>935.41</v>
      </c>
      <c r="H6" s="147" t="n">
        <v>1999.96</v>
      </c>
      <c r="I6" s="132" t="n">
        <v>0.49</v>
      </c>
    </row>
    <row r="7" customFormat="false" ht="15" hidden="false" customHeight="true" outlineLevel="0" collapsed="false">
      <c r="A7" s="125" t="s">
        <v>172</v>
      </c>
      <c r="B7" s="123" t="s">
        <v>173</v>
      </c>
      <c r="C7" s="147" t="n">
        <v>355.14</v>
      </c>
      <c r="D7" s="130" t="n">
        <v>24639562</v>
      </c>
      <c r="E7" s="148" t="n">
        <v>1695307.005952</v>
      </c>
      <c r="F7" s="149" t="n">
        <v>45.24077</v>
      </c>
      <c r="G7" s="147" t="n">
        <v>289.96</v>
      </c>
      <c r="H7" s="147" t="n">
        <v>495</v>
      </c>
      <c r="I7" s="132" t="n">
        <v>0.73</v>
      </c>
    </row>
    <row r="8" customFormat="false" ht="15" hidden="false" customHeight="true" outlineLevel="0" collapsed="false">
      <c r="A8" s="125" t="s">
        <v>163</v>
      </c>
      <c r="B8" s="123" t="s">
        <v>164</v>
      </c>
      <c r="C8" s="147" t="n">
        <v>120.03</v>
      </c>
      <c r="D8" s="130" t="n">
        <v>1577333</v>
      </c>
      <c r="E8" s="148"/>
      <c r="F8" s="149" t="n">
        <v>11.920055</v>
      </c>
      <c r="G8" s="147" t="n">
        <v>93.87</v>
      </c>
      <c r="H8" s="147" t="n">
        <v>129.05</v>
      </c>
      <c r="I8" s="132" t="n">
        <v>1.25</v>
      </c>
    </row>
    <row r="9" customFormat="false" ht="15" hidden="false" customHeight="true" outlineLevel="0" collapsed="false">
      <c r="A9" s="125" t="s">
        <v>242</v>
      </c>
      <c r="B9" s="123" t="s">
        <v>398</v>
      </c>
      <c r="C9" s="147" t="n">
        <v>32.36</v>
      </c>
      <c r="D9" s="130" t="n">
        <v>15057494</v>
      </c>
      <c r="E9" s="148" t="n">
        <v>40948.928512</v>
      </c>
      <c r="F9" s="149" t="n">
        <v>29.962963</v>
      </c>
      <c r="G9" s="147" t="n">
        <v>28.04</v>
      </c>
      <c r="H9" s="147" t="n">
        <v>42.82</v>
      </c>
      <c r="I9" s="132"/>
    </row>
    <row r="10" customFormat="false" ht="15" hidden="false" customHeight="true" outlineLevel="0" collapsed="false">
      <c r="A10" s="125" t="s">
        <v>244</v>
      </c>
      <c r="B10" s="123" t="s">
        <v>369</v>
      </c>
      <c r="C10" s="147" t="n">
        <v>920.65</v>
      </c>
      <c r="D10" s="130" t="n">
        <v>2025566</v>
      </c>
      <c r="E10" s="148" t="n">
        <v>408092.83584</v>
      </c>
      <c r="F10" s="149" t="n">
        <v>44.454372</v>
      </c>
      <c r="G10" s="147" t="n">
        <v>844.06</v>
      </c>
      <c r="H10" s="147" t="n">
        <v>1096.5</v>
      </c>
      <c r="I10" s="132" t="n">
        <v>0.64</v>
      </c>
    </row>
    <row r="11" customFormat="false" ht="15" hidden="false" customHeight="true" outlineLevel="0" collapsed="false">
      <c r="A11" s="125" t="s">
        <v>105</v>
      </c>
      <c r="B11" s="123" t="s">
        <v>106</v>
      </c>
      <c r="C11" s="147" t="n">
        <v>270.04</v>
      </c>
      <c r="D11" s="130" t="n">
        <v>5857040</v>
      </c>
      <c r="E11" s="148" t="n">
        <v>276503.363584</v>
      </c>
      <c r="F11" s="149" t="n">
        <v>4500.667</v>
      </c>
      <c r="G11" s="147" t="n">
        <v>85.68</v>
      </c>
      <c r="H11" s="147" t="n">
        <v>273.5351</v>
      </c>
      <c r="I11" s="132"/>
    </row>
    <row r="12" customFormat="false" ht="15" hidden="false" customHeight="true" outlineLevel="0" collapsed="false">
      <c r="A12" s="125" t="s">
        <v>249</v>
      </c>
      <c r="B12" s="123" t="s">
        <v>400</v>
      </c>
      <c r="C12" s="147" t="n">
        <v>297.615</v>
      </c>
      <c r="D12" s="130" t="n">
        <v>579133</v>
      </c>
      <c r="E12" s="148" t="n">
        <v>9845.620736</v>
      </c>
      <c r="F12" s="149" t="n">
        <v>16.86204</v>
      </c>
      <c r="G12" s="147" t="n">
        <v>282</v>
      </c>
      <c r="H12" s="147" t="n">
        <v>442.35</v>
      </c>
      <c r="I12" s="132" t="n">
        <v>2.67</v>
      </c>
    </row>
    <row r="13" customFormat="false" ht="15" hidden="false" customHeight="true" outlineLevel="0" collapsed="false">
      <c r="A13" s="125" t="s">
        <v>128</v>
      </c>
      <c r="B13" s="123" t="s">
        <v>129</v>
      </c>
      <c r="C13" s="147" t="n">
        <v>153.05</v>
      </c>
      <c r="D13" s="130" t="n">
        <v>307298</v>
      </c>
      <c r="E13" s="148"/>
      <c r="F13" s="149" t="n">
        <v>14.554879</v>
      </c>
      <c r="G13" s="147" t="n">
        <v>137.16</v>
      </c>
      <c r="H13" s="147" t="n">
        <v>167.06</v>
      </c>
      <c r="I13" s="132" t="n">
        <v>3.24</v>
      </c>
    </row>
    <row r="14" customFormat="false" ht="15" hidden="false" customHeight="true" outlineLevel="0" collapsed="false">
      <c r="A14" s="125" t="s">
        <v>252</v>
      </c>
      <c r="B14" s="123" t="s">
        <v>379</v>
      </c>
      <c r="C14" s="147" t="n">
        <v>20.47</v>
      </c>
      <c r="D14" s="130" t="n">
        <v>11114908</v>
      </c>
      <c r="E14" s="148" t="n">
        <v>70484.33664</v>
      </c>
      <c r="F14" s="149" t="n">
        <v>14.020547</v>
      </c>
      <c r="G14" s="147" t="n">
        <v>16.18</v>
      </c>
      <c r="H14" s="147" t="n">
        <v>21.84</v>
      </c>
      <c r="I14" s="132" t="n">
        <v>6.64</v>
      </c>
    </row>
    <row r="15" customFormat="false" ht="15" hidden="false" customHeight="true" outlineLevel="0" collapsed="false">
      <c r="A15" s="125" t="s">
        <v>254</v>
      </c>
      <c r="B15" s="123" t="s">
        <v>415</v>
      </c>
      <c r="C15" s="147" t="n">
        <v>436.11</v>
      </c>
      <c r="D15" s="130" t="n">
        <v>2088721</v>
      </c>
      <c r="E15" s="148" t="n">
        <v>169385.115648</v>
      </c>
      <c r="F15" s="149" t="n">
        <v>44.455654</v>
      </c>
      <c r="G15" s="147" t="n">
        <v>311.92</v>
      </c>
      <c r="H15" s="147" t="n">
        <v>478</v>
      </c>
      <c r="I15" s="132" t="n">
        <v>1.01</v>
      </c>
    </row>
    <row r="16" customFormat="false" ht="15" hidden="false" customHeight="true" outlineLevel="0" collapsed="false">
      <c r="A16" s="125" t="s">
        <v>256</v>
      </c>
      <c r="B16" s="123" t="s">
        <v>411</v>
      </c>
      <c r="C16" s="147" t="n">
        <v>72.77</v>
      </c>
      <c r="D16" s="130" t="n">
        <v>1975132</v>
      </c>
      <c r="E16" s="148" t="n">
        <v>6678.957056</v>
      </c>
      <c r="F16" s="149" t="n">
        <v>23.028479</v>
      </c>
      <c r="G16" s="147" t="n">
        <v>44</v>
      </c>
      <c r="H16" s="147" t="n">
        <v>87.974</v>
      </c>
      <c r="I16" s="132"/>
    </row>
    <row r="17" customFormat="false" ht="15" hidden="false" customHeight="true" outlineLevel="0" collapsed="false">
      <c r="A17" s="125" t="s">
        <v>143</v>
      </c>
      <c r="B17" s="123" t="s">
        <v>144</v>
      </c>
      <c r="C17" s="147" t="n">
        <v>309.56</v>
      </c>
      <c r="D17" s="130" t="n">
        <v>4148627</v>
      </c>
      <c r="E17" s="148" t="n">
        <v>321187.84</v>
      </c>
      <c r="F17" s="149" t="n">
        <v>36.50472</v>
      </c>
      <c r="G17" s="147" t="n">
        <v>268.91</v>
      </c>
      <c r="H17" s="147" t="n">
        <v>388.84</v>
      </c>
      <c r="I17" s="132" t="n">
        <v>0.61</v>
      </c>
    </row>
    <row r="18" customFormat="false" ht="15" hidden="false" customHeight="true" outlineLevel="0" collapsed="false">
      <c r="A18" s="125" t="s">
        <v>169</v>
      </c>
      <c r="B18" s="123" t="s">
        <v>170</v>
      </c>
      <c r="C18" s="147" t="n">
        <v>69.42</v>
      </c>
      <c r="D18" s="130" t="n">
        <v>273443</v>
      </c>
      <c r="E18" s="148"/>
      <c r="F18" s="149" t="n">
        <v>24.468174</v>
      </c>
      <c r="G18" s="147" t="n">
        <v>63.24</v>
      </c>
      <c r="H18" s="147" t="n">
        <v>70.23</v>
      </c>
      <c r="I18" s="132" t="n">
        <v>0.62</v>
      </c>
    </row>
    <row r="19" customFormat="false" ht="15" hidden="false" customHeight="true" outlineLevel="0" collapsed="false">
      <c r="A19" s="125" t="s">
        <v>195</v>
      </c>
      <c r="B19" s="123" t="s">
        <v>196</v>
      </c>
      <c r="C19" s="147" t="n">
        <v>56.1</v>
      </c>
      <c r="D19" s="130" t="n">
        <v>4897921</v>
      </c>
      <c r="E19" s="148"/>
      <c r="F19" s="149" t="n">
        <v>24.939985</v>
      </c>
      <c r="G19" s="147" t="n">
        <v>55.1</v>
      </c>
      <c r="H19" s="147" t="n">
        <v>59.9</v>
      </c>
      <c r="I19" s="132" t="n">
        <v>7.97</v>
      </c>
    </row>
    <row r="20" customFormat="false" ht="15" hidden="false" customHeight="true" outlineLevel="0" collapsed="false">
      <c r="A20" s="125" t="s">
        <v>159</v>
      </c>
      <c r="B20" s="123" t="s">
        <v>160</v>
      </c>
      <c r="C20" s="147" t="n">
        <v>61.04</v>
      </c>
      <c r="D20" s="130" t="n">
        <v>7333590</v>
      </c>
      <c r="E20" s="148" t="n">
        <v>225986.3</v>
      </c>
      <c r="F20" s="149" t="n">
        <v>29.525686</v>
      </c>
      <c r="G20" s="147" t="n">
        <v>53.51</v>
      </c>
      <c r="H20" s="147" t="n">
        <v>61.72</v>
      </c>
      <c r="I20" s="132" t="n">
        <v>10.84</v>
      </c>
    </row>
    <row r="21" customFormat="false" ht="15" hidden="false" customHeight="true" outlineLevel="0" collapsed="false">
      <c r="A21" s="125" t="s">
        <v>285</v>
      </c>
      <c r="B21" s="123" t="s">
        <v>419</v>
      </c>
      <c r="C21" s="147" t="n">
        <v>54.33</v>
      </c>
      <c r="D21" s="130" t="n">
        <v>1354391</v>
      </c>
      <c r="E21" s="148" t="n">
        <v>5492.982272</v>
      </c>
      <c r="F21" s="149" t="n">
        <v>61.73864</v>
      </c>
      <c r="G21" s="147" t="n">
        <v>32.55</v>
      </c>
      <c r="H21" s="147" t="n">
        <v>77.68</v>
      </c>
      <c r="I21" s="132" t="n">
        <v>3.61</v>
      </c>
    </row>
    <row r="22" customFormat="false" ht="15" hidden="false" customHeight="true" outlineLevel="0" collapsed="false">
      <c r="A22" s="125" t="s">
        <v>107</v>
      </c>
      <c r="B22" s="123" t="s">
        <v>108</v>
      </c>
      <c r="C22" s="147" t="n">
        <v>206.89</v>
      </c>
      <c r="D22" s="130" t="n">
        <v>7356292</v>
      </c>
      <c r="E22" s="148" t="n">
        <v>269992.787968</v>
      </c>
      <c r="F22" s="149" t="n">
        <v>56.52732</v>
      </c>
      <c r="G22" s="147" t="n">
        <v>98.097</v>
      </c>
      <c r="H22" s="147" t="n">
        <v>307.37</v>
      </c>
      <c r="I22" s="132" t="n">
        <v>0.44</v>
      </c>
    </row>
    <row r="23" customFormat="false" ht="15" hidden="false" customHeight="true" outlineLevel="0" collapsed="false">
      <c r="A23" s="125" t="s">
        <v>262</v>
      </c>
      <c r="B23" s="123" t="s">
        <v>389</v>
      </c>
      <c r="C23" s="147" t="n">
        <v>479.48</v>
      </c>
      <c r="D23" s="130" t="n">
        <v>2534284</v>
      </c>
      <c r="E23" s="148" t="n">
        <v>221030.776832</v>
      </c>
      <c r="F23" s="149" t="n">
        <v>30.954165</v>
      </c>
      <c r="G23" s="147" t="n">
        <v>387.78</v>
      </c>
      <c r="H23" s="147" t="n">
        <v>548.2</v>
      </c>
      <c r="I23" s="132" t="n">
        <v>1.33</v>
      </c>
    </row>
    <row r="24" customFormat="false" ht="15" hidden="false" customHeight="true" outlineLevel="0" collapsed="false">
      <c r="A24" s="125" t="s">
        <v>138</v>
      </c>
      <c r="B24" s="123" t="s">
        <v>139</v>
      </c>
      <c r="C24" s="147" t="n">
        <v>51.17</v>
      </c>
      <c r="D24" s="130" t="n">
        <v>347350</v>
      </c>
      <c r="E24" s="148"/>
      <c r="F24" s="149" t="n">
        <v>17.65314</v>
      </c>
      <c r="G24" s="147" t="n">
        <v>49.15</v>
      </c>
      <c r="H24" s="147" t="n">
        <v>58.47</v>
      </c>
      <c r="I24" s="132"/>
    </row>
    <row r="25" customFormat="false" ht="15" hidden="false" customHeight="true" outlineLevel="0" collapsed="false">
      <c r="A25" s="125" t="s">
        <v>109</v>
      </c>
      <c r="B25" s="123" t="s">
        <v>110</v>
      </c>
      <c r="C25" s="147" t="n">
        <v>1074.89</v>
      </c>
      <c r="D25" s="130" t="n">
        <v>27337514</v>
      </c>
      <c r="E25" s="148" t="n">
        <v>1213973.397504</v>
      </c>
      <c r="F25" s="149" t="n">
        <v>14.461052</v>
      </c>
      <c r="G25" s="147" t="n">
        <v>179.61</v>
      </c>
      <c r="H25" s="147" t="n">
        <v>1255</v>
      </c>
      <c r="I25" s="132" t="n">
        <v>0.06</v>
      </c>
    </row>
    <row r="26" customFormat="false" ht="15" hidden="false" customHeight="true" outlineLevel="0" collapsed="false">
      <c r="A26" s="125" t="s">
        <v>146</v>
      </c>
      <c r="B26" s="123" t="s">
        <v>147</v>
      </c>
      <c r="C26" s="147" t="n">
        <v>67.06</v>
      </c>
      <c r="D26" s="130" t="n">
        <v>38672123</v>
      </c>
      <c r="E26" s="148" t="n">
        <v>279233.789952</v>
      </c>
      <c r="F26" s="149" t="n">
        <v>21.088049</v>
      </c>
      <c r="G26" s="147" t="n">
        <v>65.08</v>
      </c>
      <c r="H26" s="147" t="n">
        <v>124.86</v>
      </c>
      <c r="I26" s="132"/>
    </row>
    <row r="27" customFormat="false" ht="15" hidden="false" customHeight="true" outlineLevel="0" collapsed="false">
      <c r="A27" s="125" t="s">
        <v>111</v>
      </c>
      <c r="B27" s="123" t="s">
        <v>112</v>
      </c>
      <c r="C27" s="147" t="n">
        <v>233.95</v>
      </c>
      <c r="D27" s="130" t="n">
        <v>135167817</v>
      </c>
      <c r="E27" s="148" t="n">
        <v>5649190.617088</v>
      </c>
      <c r="F27" s="149" t="n">
        <v>29.576487</v>
      </c>
      <c r="G27" s="147" t="n">
        <v>164.27</v>
      </c>
      <c r="H27" s="147" t="n">
        <v>237.88</v>
      </c>
      <c r="I27" s="132" t="n">
        <v>0.43</v>
      </c>
    </row>
    <row r="28" customFormat="false" ht="15" hidden="false" customHeight="true" outlineLevel="0" collapsed="false">
      <c r="A28" s="125" t="s">
        <v>273</v>
      </c>
      <c r="B28" s="123" t="s">
        <v>397</v>
      </c>
      <c r="C28" s="147" t="n">
        <v>144.91</v>
      </c>
      <c r="D28" s="130" t="n">
        <v>6219527</v>
      </c>
      <c r="E28" s="148" t="n">
        <v>336578.47808</v>
      </c>
      <c r="F28" s="149" t="n">
        <v>21.889729</v>
      </c>
      <c r="G28" s="147" t="n">
        <v>137.62</v>
      </c>
      <c r="H28" s="147" t="n">
        <v>167.25</v>
      </c>
      <c r="I28" s="132" t="n">
        <v>3</v>
      </c>
    </row>
    <row r="29" customFormat="false" ht="15" hidden="false" customHeight="true" outlineLevel="0" collapsed="false">
      <c r="A29" s="125" t="s">
        <v>275</v>
      </c>
      <c r="B29" s="123" t="s">
        <v>413</v>
      </c>
      <c r="C29" s="147" t="n">
        <v>972.55</v>
      </c>
      <c r="D29" s="130" t="n">
        <v>343039</v>
      </c>
      <c r="E29" s="148" t="n">
        <v>122650.632192</v>
      </c>
      <c r="F29" s="149" t="n">
        <v>34.148525</v>
      </c>
      <c r="G29" s="147" t="n">
        <v>715.37</v>
      </c>
      <c r="H29" s="147" t="n">
        <v>1099.94</v>
      </c>
      <c r="I29" s="132" t="n">
        <v>0.82</v>
      </c>
    </row>
    <row r="30" customFormat="false" ht="15" hidden="false" customHeight="true" outlineLevel="0" collapsed="false">
      <c r="A30" s="125" t="s">
        <v>177</v>
      </c>
      <c r="B30" s="123" t="s">
        <v>355</v>
      </c>
      <c r="C30" s="147" t="n">
        <v>128.91</v>
      </c>
      <c r="D30" s="130" t="n">
        <v>3811300</v>
      </c>
      <c r="E30" s="148" t="n">
        <v>125312.303104</v>
      </c>
      <c r="F30" s="149" t="n">
        <v>28.646667</v>
      </c>
      <c r="G30" s="147" t="n">
        <v>111.03</v>
      </c>
      <c r="H30" s="147" t="n">
        <v>153.35</v>
      </c>
      <c r="I30" s="132" t="n">
        <v>3.32</v>
      </c>
    </row>
    <row r="31" customFormat="false" ht="15" hidden="false" customHeight="true" outlineLevel="0" collapsed="false">
      <c r="A31" s="125" t="s">
        <v>113</v>
      </c>
      <c r="B31" s="123" t="s">
        <v>114</v>
      </c>
      <c r="C31" s="147" t="n">
        <v>188.75</v>
      </c>
      <c r="D31" s="130" t="n">
        <v>17932108</v>
      </c>
      <c r="E31" s="148" t="n">
        <v>453577.27744</v>
      </c>
      <c r="F31" s="149" t="n">
        <v>161.3248</v>
      </c>
      <c r="G31" s="147" t="n">
        <v>106.37</v>
      </c>
      <c r="H31" s="147" t="n">
        <v>207.52</v>
      </c>
      <c r="I31" s="132"/>
    </row>
    <row r="32" customFormat="false" ht="15" hidden="false" customHeight="true" outlineLevel="0" collapsed="false">
      <c r="A32" s="125" t="s">
        <v>134</v>
      </c>
      <c r="B32" s="123" t="s">
        <v>135</v>
      </c>
      <c r="C32" s="147" t="n">
        <v>32.72</v>
      </c>
      <c r="D32" s="130" t="n">
        <v>20649814</v>
      </c>
      <c r="E32" s="148"/>
      <c r="F32" s="149" t="n">
        <v>18.057316</v>
      </c>
      <c r="G32" s="147" t="n">
        <v>26.32</v>
      </c>
      <c r="H32" s="147" t="n">
        <v>35.31</v>
      </c>
      <c r="I32" s="132" t="n">
        <v>3</v>
      </c>
    </row>
    <row r="33" customFormat="false" ht="15" hidden="false" customHeight="true" outlineLevel="0" collapsed="false">
      <c r="A33" s="125" t="s">
        <v>289</v>
      </c>
      <c r="B33" s="123" t="s">
        <v>422</v>
      </c>
      <c r="C33" s="147" t="n">
        <v>48.74</v>
      </c>
      <c r="D33" s="130" t="n">
        <v>11141176</v>
      </c>
      <c r="E33" s="148" t="n">
        <v>72337.145856</v>
      </c>
      <c r="F33" s="149" t="n">
        <v>23.775612</v>
      </c>
      <c r="G33" s="147" t="n">
        <v>31.64</v>
      </c>
      <c r="H33" s="147" t="n">
        <v>60.46</v>
      </c>
      <c r="I33" s="132" t="n">
        <v>2.42</v>
      </c>
    </row>
    <row r="34" customFormat="false" ht="15" hidden="false" customHeight="true" outlineLevel="0" collapsed="false">
      <c r="A34" s="125" t="s">
        <v>140</v>
      </c>
      <c r="B34" s="123" t="s">
        <v>141</v>
      </c>
      <c r="C34" s="147" t="n">
        <v>153.23</v>
      </c>
      <c r="D34" s="130" t="n">
        <v>2110789</v>
      </c>
      <c r="E34" s="148" t="n">
        <v>100824.6</v>
      </c>
      <c r="F34" s="149" t="n">
        <v>28.292862</v>
      </c>
      <c r="G34" s="147" t="n">
        <v>107.24</v>
      </c>
      <c r="H34" s="147" t="n">
        <v>162.3</v>
      </c>
      <c r="I34" s="132" t="n">
        <v>0.71</v>
      </c>
    </row>
    <row r="35" customFormat="false" ht="15" hidden="false" customHeight="true" outlineLevel="0" collapsed="false">
      <c r="A35" s="125" t="s">
        <v>115</v>
      </c>
      <c r="B35" s="123" t="s">
        <v>366</v>
      </c>
      <c r="C35" s="147" t="n">
        <v>472.78</v>
      </c>
      <c r="D35" s="130" t="n">
        <v>9722477</v>
      </c>
      <c r="E35" s="148" t="n">
        <v>2452061.159424</v>
      </c>
      <c r="F35" s="149" t="n">
        <v>35.334827</v>
      </c>
      <c r="G35" s="147" t="n">
        <v>266.82</v>
      </c>
      <c r="H35" s="147" t="n">
        <v>479</v>
      </c>
      <c r="I35" s="132" t="n">
        <v>0.8</v>
      </c>
    </row>
    <row r="36" customFormat="false" ht="15" hidden="false" customHeight="true" outlineLevel="0" collapsed="false">
      <c r="A36" s="125" t="s">
        <v>119</v>
      </c>
      <c r="B36" s="123" t="s">
        <v>120</v>
      </c>
      <c r="C36" s="147" t="n">
        <v>360.66</v>
      </c>
      <c r="D36" s="130" t="n">
        <v>3987848</v>
      </c>
      <c r="E36" s="148" t="n">
        <v>677086.953472</v>
      </c>
      <c r="F36" s="149" t="n">
        <v>30.668367</v>
      </c>
      <c r="G36" s="147" t="n">
        <v>293.89</v>
      </c>
      <c r="H36" s="147" t="n">
        <v>385.57</v>
      </c>
      <c r="I36" s="132" t="n">
        <v>0.74</v>
      </c>
    </row>
    <row r="37" customFormat="false" ht="15" hidden="false" customHeight="true" outlineLevel="0" collapsed="false">
      <c r="A37" s="125" t="s">
        <v>149</v>
      </c>
      <c r="B37" s="123" t="s">
        <v>423</v>
      </c>
      <c r="C37" s="147" t="n">
        <v>273.33</v>
      </c>
      <c r="D37" s="130" t="n">
        <v>1077706</v>
      </c>
      <c r="E37" s="148" t="n">
        <v>44254.543872</v>
      </c>
      <c r="F37" s="149" t="n">
        <v>44.808197</v>
      </c>
      <c r="G37" s="147" t="n">
        <v>148.05</v>
      </c>
      <c r="H37" s="147" t="n">
        <v>310.5</v>
      </c>
      <c r="I37" s="132"/>
    </row>
    <row r="38" customFormat="false" ht="15" hidden="false" customHeight="true" outlineLevel="0" collapsed="false">
      <c r="A38" s="125" t="s">
        <v>131</v>
      </c>
      <c r="B38" s="123" t="s">
        <v>132</v>
      </c>
      <c r="C38" s="147" t="n">
        <v>51.82</v>
      </c>
      <c r="D38" s="130" t="n">
        <v>3089053</v>
      </c>
      <c r="E38" s="148"/>
      <c r="F38" s="149" t="n">
        <v>16.458015</v>
      </c>
      <c r="G38" s="147" t="n">
        <v>36.56</v>
      </c>
      <c r="H38" s="147" t="n">
        <v>56.44</v>
      </c>
      <c r="I38" s="132" t="n">
        <v>1.01</v>
      </c>
    </row>
    <row r="39" customFormat="false" ht="15" hidden="false" customHeight="true" outlineLevel="0" collapsed="false">
      <c r="A39" s="125" t="s">
        <v>117</v>
      </c>
      <c r="B39" s="123" t="s">
        <v>118</v>
      </c>
      <c r="C39" s="147" t="n">
        <v>252.18</v>
      </c>
      <c r="D39" s="130" t="n">
        <v>3336969</v>
      </c>
      <c r="E39" s="148" t="n">
        <v>97086.308352</v>
      </c>
      <c r="F39" s="149" t="n">
        <v>57.183674</v>
      </c>
      <c r="G39" s="147" t="n">
        <v>147.82</v>
      </c>
      <c r="H39" s="147" t="n">
        <v>379.935</v>
      </c>
      <c r="I39" s="132" t="n">
        <v>0.1</v>
      </c>
    </row>
    <row r="40" customFormat="false" ht="15" hidden="false" customHeight="true" outlineLevel="0" collapsed="false">
      <c r="A40" s="125" t="s">
        <v>174</v>
      </c>
      <c r="B40" s="123" t="s">
        <v>175</v>
      </c>
      <c r="C40" s="147" t="n">
        <v>504.73</v>
      </c>
      <c r="D40" s="130" t="n">
        <v>939658</v>
      </c>
      <c r="E40" s="148" t="n">
        <v>127929.335808</v>
      </c>
      <c r="F40" s="149" t="n">
        <v>29.413172</v>
      </c>
      <c r="G40" s="147" t="n">
        <v>400.74</v>
      </c>
      <c r="H40" s="147" t="n">
        <v>560.25</v>
      </c>
      <c r="I40" s="132"/>
    </row>
    <row r="41" customFormat="false" ht="15" hidden="false" customHeight="true" outlineLevel="0" collapsed="false">
      <c r="A41" s="125" t="s">
        <v>136</v>
      </c>
      <c r="B41" s="123" t="s">
        <v>137</v>
      </c>
      <c r="C41" s="147" t="n">
        <v>156.46</v>
      </c>
      <c r="D41" s="130" t="n">
        <v>1229990</v>
      </c>
      <c r="E41" s="148"/>
      <c r="F41" s="149" t="n">
        <v>19.653795</v>
      </c>
      <c r="G41" s="147" t="n">
        <v>137.42</v>
      </c>
      <c r="H41" s="147" t="n">
        <v>167.61</v>
      </c>
      <c r="I41" s="132" t="n">
        <v>2.22</v>
      </c>
    </row>
    <row r="42" customFormat="false" ht="15" hidden="false" customHeight="true" outlineLevel="0" collapsed="false">
      <c r="A42" s="125" t="s">
        <v>283</v>
      </c>
      <c r="B42" s="123" t="s">
        <v>402</v>
      </c>
      <c r="C42" s="147" t="n">
        <v>136.12</v>
      </c>
      <c r="D42" s="130" t="n">
        <v>1751563</v>
      </c>
      <c r="E42" s="148" t="n">
        <v>37147.295744</v>
      </c>
      <c r="F42" s="149" t="n">
        <v>17.143576</v>
      </c>
      <c r="G42" s="147" t="n">
        <v>134.26</v>
      </c>
      <c r="H42" s="147" t="n">
        <v>170.14</v>
      </c>
      <c r="I42" s="132" t="n">
        <v>2.2</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162"/>
  <sheetViews>
    <sheetView showFormulas="false" showGridLines="false" showRowColHeaders="true" showZeros="true" rightToLeft="false" tabSelected="false" showOutlineSymbols="true" defaultGridColor="true" view="normal" topLeftCell="A199" colorId="64" zoomScale="100" zoomScaleNormal="100" zoomScalePageLayoutView="100" workbookViewId="0">
      <pane xSplit="1" ySplit="2" topLeftCell="B3" activePane="bottomRight" state="frozen"/>
      <selection pane="topLeft" activeCell="A199" activeCellId="0" sqref="A199"/>
      <selection pane="topRight" activeCell="B199" activeCellId="0" sqref="B199"/>
      <selection pane="bottomLeft" activeCell="A3" activeCellId="0" sqref="A3"/>
      <selection pane="bottomRight" activeCell="V7" activeCellId="0" sqref="V7"/>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 collapsed="false" customWidth="true" hidden="false" outlineLevel="0" max="47" min="42" style="1" width="4.16"/>
  </cols>
  <sheetData>
    <row r="1" customFormat="false" ht="27" hidden="false" customHeight="true" outlineLevel="0" collapsed="false">
      <c r="A1" s="150" t="s">
        <v>451</v>
      </c>
      <c r="B1" s="150"/>
      <c r="C1" s="150"/>
      <c r="D1" s="150"/>
      <c r="E1" s="150"/>
      <c r="F1" s="150"/>
      <c r="G1" s="150"/>
      <c r="H1" s="150"/>
      <c r="I1" s="150"/>
      <c r="J1" s="150"/>
      <c r="K1" s="150"/>
      <c r="L1" s="150"/>
      <c r="M1" s="150"/>
      <c r="N1" s="150"/>
      <c r="O1" s="150"/>
      <c r="P1" s="150"/>
      <c r="Q1" s="150"/>
      <c r="R1" s="150"/>
      <c r="S1" s="150"/>
      <c r="T1" s="150"/>
      <c r="U1" s="150"/>
    </row>
    <row r="2" customFormat="false" ht="15" hidden="false" customHeight="true" outlineLevel="0" collapsed="false">
      <c r="A2" s="121" t="s">
        <v>294</v>
      </c>
      <c r="B2" s="121" t="str">
        <f aca="false">'Price History'!B2</f>
        <v>ADBE</v>
      </c>
      <c r="C2" s="121" t="str">
        <f aca="false">'Price History'!C2</f>
        <v>ANET</v>
      </c>
      <c r="D2" s="121" t="str">
        <f aca="false">'Price History'!D2</f>
        <v>ASML</v>
      </c>
      <c r="E2" s="121" t="str">
        <f aca="false">'Price History'!E2</f>
        <v>AVGO</v>
      </c>
      <c r="F2" s="121" t="str">
        <f aca="false">'Price History'!F2</f>
        <v>CRWD</v>
      </c>
      <c r="G2" s="121" t="str">
        <f aca="false">'Price History'!G2</f>
        <v>KLAC</v>
      </c>
      <c r="H2" s="121" t="str">
        <f aca="false">'Price History'!H2</f>
        <v>MU</v>
      </c>
      <c r="I2" s="121" t="str">
        <f aca="false">'Price History'!I2</f>
        <v>NVDA</v>
      </c>
      <c r="J2" s="121" t="str">
        <f aca="false">'Price History'!J2</f>
        <v>PLD</v>
      </c>
      <c r="K2" s="121" t="str">
        <f aca="false">'Price History'!K2</f>
        <v>PLTR</v>
      </c>
      <c r="L2" s="121" t="str">
        <f aca="false">'Price History'!L2</f>
        <v>TSM</v>
      </c>
      <c r="M2" s="121" t="str">
        <f aca="false">'Price History'!M2</f>
        <v>VRT</v>
      </c>
      <c r="N2" s="121" t="str">
        <f aca="false">'Price History'!N2</f>
        <v>VRTX</v>
      </c>
      <c r="O2" s="121" t="str">
        <f aca="false">'Price History'!O2</f>
        <v>AVUV</v>
      </c>
      <c r="P2" s="121" t="str">
        <f aca="false">'Price History'!P2</f>
        <v>DVY</v>
      </c>
      <c r="Q2" s="121" t="str">
        <f aca="false">'Price History'!Q2</f>
        <v>HELO</v>
      </c>
      <c r="R2" s="121" t="str">
        <f aca="false">'Price History'!R2</f>
        <v>JEPQ</v>
      </c>
      <c r="S2" s="121" t="str">
        <f aca="false">'Price History'!S2</f>
        <v>SPMO</v>
      </c>
      <c r="T2" s="121" t="str">
        <f aca="false">'Price History'!T2</f>
        <v>VFLO</v>
      </c>
      <c r="U2" s="121" t="str">
        <f aca="false">'Price History'!U2</f>
        <v>SCHD</v>
      </c>
      <c r="V2" s="151" t="str">
        <f aca="false">'Price History'!V2</f>
        <v>V</v>
      </c>
      <c r="W2" s="152" t="s">
        <v>452</v>
      </c>
      <c r="X2" s="152" t="s">
        <v>453</v>
      </c>
      <c r="Y2" s="152" t="s">
        <v>454</v>
      </c>
      <c r="Z2" s="152" t="s">
        <v>455</v>
      </c>
      <c r="AA2" s="152" t="s">
        <v>456</v>
      </c>
      <c r="AB2" s="152" t="s">
        <v>457</v>
      </c>
      <c r="AC2" s="152" t="s">
        <v>458</v>
      </c>
      <c r="AD2" s="152" t="s">
        <v>459</v>
      </c>
      <c r="AE2" s="152" t="s">
        <v>460</v>
      </c>
      <c r="AF2" s="152" t="s">
        <v>461</v>
      </c>
      <c r="AG2" s="152" t="s">
        <v>462</v>
      </c>
      <c r="AH2" s="152" t="s">
        <v>463</v>
      </c>
      <c r="AI2" s="152" t="s">
        <v>464</v>
      </c>
      <c r="AJ2" s="152" t="s">
        <v>465</v>
      </c>
      <c r="AK2" s="152" t="s">
        <v>466</v>
      </c>
      <c r="AL2" s="152" t="s">
        <v>467</v>
      </c>
      <c r="AM2" s="152" t="s">
        <v>468</v>
      </c>
      <c r="AN2" s="152" t="s">
        <v>469</v>
      </c>
      <c r="AO2" s="151" t="s">
        <v>470</v>
      </c>
      <c r="AP2" s="151" t="str">
        <f aca="false">'Price History'!W2</f>
        <v>VYM</v>
      </c>
      <c r="AQ2" s="151" t="str">
        <f aca="false">'Price History'!X2</f>
        <v>MLPI</v>
      </c>
      <c r="AR2" s="151" t="str">
        <f aca="false">'Price History'!Y2</f>
        <v>JEPI</v>
      </c>
      <c r="AS2" s="151" t="str">
        <f aca="false">'Price History'!Z2</f>
        <v>GE</v>
      </c>
      <c r="AT2" s="151" t="str">
        <f aca="false">'Price History'!AA2</f>
        <v>NFLX</v>
      </c>
      <c r="AU2" s="151" t="str">
        <f aca="false">'Price History'!AB2</f>
        <v>VEEV</v>
      </c>
    </row>
    <row r="3" customFormat="false" ht="15" hidden="false" customHeight="true" outlineLevel="0" collapsed="false">
      <c r="A3" s="153" t="n">
        <f aca="false">IF('Price History'!A4="","",'Price History'!A4)</f>
        <v>45191</v>
      </c>
      <c r="B3" s="154" t="n">
        <f aca="false">IFERROR(IF(OR(NOT(ISNUMBER('Price History'!B4)),NOT(ISNUMBER('Price History'!B3)),'Price History'!B3=0),"",'Price History'!B4/'Price History'!B3-1),"")</f>
        <v>-0.0302331297623325</v>
      </c>
      <c r="C3" s="154" t="n">
        <f aca="false">IFERROR(IF(OR(NOT(ISNUMBER('Price History'!C4)),NOT(ISNUMBER('Price History'!C3)),'Price History'!C3=0),"",'Price History'!C4/'Price History'!C3-1),"")</f>
        <v>-0.0238198354265916</v>
      </c>
      <c r="D3" s="154" t="n">
        <f aca="false">IFERROR(IF(OR(NOT(ISNUMBER('Price History'!D4)),NOT(ISNUMBER('Price History'!D3)),'Price History'!D3=0),"",'Price History'!D4/'Price History'!D3-1),"")</f>
        <v>-0.016013470558925</v>
      </c>
      <c r="E3" s="154" t="n">
        <f aca="false">IFERROR(IF(OR(NOT(ISNUMBER('Price History'!E4)),NOT(ISNUMBER('Price History'!E3)),'Price History'!E3=0),"",'Price History'!E4/'Price History'!E3-1),"")</f>
        <v>-0.0212195121951219</v>
      </c>
      <c r="F3" s="154" t="n">
        <f aca="false">IFERROR(IF(OR(NOT(ISNUMBER('Price History'!F4)),NOT(ISNUMBER('Price History'!F3)),'Price History'!F3=0),"",'Price History'!F4/'Price History'!F3-1),"")</f>
        <v>-0.0174081237911025</v>
      </c>
      <c r="G3" s="154" t="n">
        <f aca="false">IFERROR(IF(OR(NOT(ISNUMBER('Price History'!G4)),NOT(ISNUMBER('Price History'!G3)),'Price History'!G3=0),"",'Price History'!G4/'Price History'!G3-1),"")</f>
        <v>-0.00518602029312298</v>
      </c>
      <c r="H3" s="154" t="n">
        <f aca="false">IFERROR(IF(OR(NOT(ISNUMBER('Price History'!H4)),NOT(ISNUMBER('Price History'!H3)),'Price History'!H3=0),"",'Price History'!H4/'Price History'!H3-1),"")</f>
        <v>-0.0143249891477354</v>
      </c>
      <c r="I3" s="154" t="n">
        <f aca="false">IFERROR(IF(OR(NOT(ISNUMBER('Price History'!I4)),NOT(ISNUMBER('Price History'!I3)),'Price History'!I3=0),"",'Price History'!I4/'Price History'!I3-1),"")</f>
        <v>-0.0520904729266621</v>
      </c>
      <c r="J3" s="154" t="n">
        <f aca="false">IFERROR(IF(OR(NOT(ISNUMBER('Price History'!J4)),NOT(ISNUMBER('Price History'!J3)),'Price History'!J3=0),"",'Price History'!J4/'Price History'!J3-1),"")</f>
        <v>-0.073944921316166</v>
      </c>
      <c r="K3" s="154" t="n">
        <f aca="false">IFERROR(IF(OR(NOT(ISNUMBER('Price History'!K4)),NOT(ISNUMBER('Price History'!K3)),'Price History'!K3=0),"",'Price History'!K4/'Price History'!K3-1),"")</f>
        <v>-0.0782778864970646</v>
      </c>
      <c r="L3" s="154" t="n">
        <f aca="false">IFERROR(IF(OR(NOT(ISNUMBER('Price History'!L4)),NOT(ISNUMBER('Price History'!L3)),'Price History'!L3=0),"",'Price History'!L4/'Price History'!L3-1),"")</f>
        <v>-0.040466472303207</v>
      </c>
      <c r="M3" s="154" t="n">
        <f aca="false">IFERROR(IF(OR(NOT(ISNUMBER('Price History'!M4)),NOT(ISNUMBER('Price History'!M3)),'Price History'!M3=0),"",'Price History'!M4/'Price History'!M3-1),"")</f>
        <v>-0.0449763282482903</v>
      </c>
      <c r="N3" s="154" t="n">
        <f aca="false">IFERROR(IF(OR(NOT(ISNUMBER('Price History'!N4)),NOT(ISNUMBER('Price History'!N3)),'Price History'!N3=0),"",'Price History'!N4/'Price History'!N3-1),"")</f>
        <v>0.00180567497850381</v>
      </c>
      <c r="O3" s="154" t="n">
        <f aca="false">IFERROR(IF(OR(NOT(ISNUMBER('Price History'!O4)),NOT(ISNUMBER('Price History'!O3)),'Price History'!O3=0),"",'Price History'!O4/'Price History'!O3-1),"")</f>
        <v>-0.0292125879697251</v>
      </c>
      <c r="P3" s="154" t="n">
        <f aca="false">IFERROR(IF(OR(NOT(ISNUMBER('Price History'!P4)),NOT(ISNUMBER('Price History'!P3)),'Price History'!P3=0),"",'Price History'!P4/'Price History'!P3-1),"")</f>
        <v>-0.021373894025251</v>
      </c>
      <c r="Q3" s="154" t="str">
        <f aca="false">IFERROR(IF(OR(NOT(ISNUMBER('Price History'!Q4)),NOT(ISNUMBER('Price History'!Q3)),'Price History'!Q3=0),"",'Price History'!Q4/'Price History'!Q3-1),"")</f>
        <v/>
      </c>
      <c r="R3" s="154" t="n">
        <f aca="false">IFERROR(IF(OR(NOT(ISNUMBER('Price History'!R4)),NOT(ISNUMBER('Price History'!R3)),'Price History'!R3=0),"",'Price History'!R4/'Price History'!R3-1),"")</f>
        <v>-0.0269721577726219</v>
      </c>
      <c r="S3" s="154" t="n">
        <f aca="false">IFERROR(IF(OR(NOT(ISNUMBER('Price History'!S4)),NOT(ISNUMBER('Price History'!S3)),'Price History'!S3=0),"",'Price History'!S4/'Price History'!S3-1),"")</f>
        <v>-0.0242929030019088</v>
      </c>
      <c r="T3" s="154" t="n">
        <f aca="false">IFERROR(IF(OR(NOT(ISNUMBER('Price History'!T4)),NOT(ISNUMBER('Price History'!T3)),'Price History'!T3=0),"",'Price History'!T4/'Price History'!T3-1),"")</f>
        <v>-0.0146592709984151</v>
      </c>
      <c r="U3" s="154" t="n">
        <f aca="false">IFERROR(IF(OR(NOT(ISNUMBER('Price History'!U4)),NOT(ISNUMBER('Price History'!U3)),'Price History'!U3=0),"",'Price History'!U4/'Price History'!U3-1),"")</f>
        <v>-0.0229357798165137</v>
      </c>
      <c r="V3" s="155" t="n">
        <f aca="false">IFERROR(IF(OR(NOT(ISNUMBER('Price History'!V4)),NOT(ISNUMBER('Price History'!V3)),'Price History'!V3=0),"",'Price History'!V4/'Price History'!V3-1),"")</f>
        <v>-0.0248270593727454</v>
      </c>
      <c r="W3" s="156" t="n">
        <f aca="false">IFERROR('Price History'!B3+(INDEX('Price History'!B:B,MATCH(9.99E+307,'Returns (Calc)'!$A:$A)+1)-'Price History'!B3)*(ROW()-3)/(MATCH(9.99E+307,'Returns (Calc)'!$A:$A)-3),"")</f>
        <v>528.89</v>
      </c>
      <c r="X3" s="156" t="n">
        <f aca="false">IFERROR('Price History'!C3+(INDEX('Price History'!C:C,MATCH(9.99E+307,'Returns (Calc)'!$A:$A)+1)-'Price History'!C3)*(ROW()-3)/(MATCH(9.99E+307,'Returns (Calc)'!$A:$A)-3),"")</f>
        <v>46.18</v>
      </c>
      <c r="Y3" s="156" t="n">
        <f aca="false">IFERROR('Price History'!D3+(INDEX('Price History'!D:D,MATCH(9.99E+307,'Returns (Calc)'!$A:$A)+1)-'Price History'!D3)*(ROW()-3)/(MATCH(9.99E+307,'Returns (Calc)'!$A:$A)-3),"")</f>
        <v>582.01</v>
      </c>
      <c r="Z3" s="156" t="n">
        <f aca="false">IFERROR('Price History'!E3+(INDEX('Price History'!E:E,MATCH(9.99E+307,'Returns (Calc)'!$A:$A)+1)-'Price History'!E3)*(ROW()-3)/(MATCH(9.99E+307,'Returns (Calc)'!$A:$A)-3),"")</f>
        <v>82</v>
      </c>
      <c r="AA3" s="156" t="n">
        <f aca="false">IFERROR('Price History'!F3+(INDEX('Price History'!F:F,MATCH(9.99E+307,'Returns (Calc)'!$A:$A)+1)-'Price History'!F3)*(ROW()-3)/(MATCH(9.99E+307,'Returns (Calc)'!$A:$A)-3),"")</f>
        <v>41.36</v>
      </c>
      <c r="AB3" s="156" t="n">
        <f aca="false">IFERROR('Price History'!G3+(INDEX('Price History'!G:G,MATCH(9.99E+307,'Returns (Calc)'!$A:$A)+1)-'Price History'!G3)*(ROW()-3)/(MATCH(9.99E+307,'Returns (Calc)'!$A:$A)-3),"")</f>
        <v>44.35</v>
      </c>
      <c r="AC3" s="156" t="n">
        <f aca="false">IFERROR('Price History'!H3+(INDEX('Price History'!H:H,MATCH(9.99E+307,'Returns (Calc)'!$A:$A)+1)-'Price History'!H3)*(ROW()-3)/(MATCH(9.99E+307,'Returns (Calc)'!$A:$A)-3),"")</f>
        <v>69.11</v>
      </c>
      <c r="AD3" s="156" t="n">
        <f aca="false">IFERROR('Price History'!I3+(INDEX('Price History'!I:I,MATCH(9.99E+307,'Returns (Calc)'!$A:$A)+1)-'Price History'!I3)*(ROW()-3)/(MATCH(9.99E+307,'Returns (Calc)'!$A:$A)-3),"")</f>
        <v>43.77</v>
      </c>
      <c r="AE3" s="156" t="n">
        <f aca="false">IFERROR('Price History'!J3+(INDEX('Price History'!J:J,MATCH(9.99E+307,'Returns (Calc)'!$A:$A)+1)-'Price History'!J3)*(ROW()-3)/(MATCH(9.99E+307,'Returns (Calc)'!$A:$A)-3),"")</f>
        <v>111.84</v>
      </c>
      <c r="AF3" s="156" t="n">
        <f aca="false">IFERROR('Price History'!K3+(INDEX('Price History'!K:K,MATCH(9.99E+307,'Returns (Calc)'!$A:$A)+1)-'Price History'!K3)*(ROW()-3)/(MATCH(9.99E+307,'Returns (Calc)'!$A:$A)-3),"")</f>
        <v>15.33</v>
      </c>
      <c r="AG3" s="156" t="n">
        <f aca="false">IFERROR('Price History'!L3+(INDEX('Price History'!L:L,MATCH(9.99E+307,'Returns (Calc)'!$A:$A)+1)-'Price History'!L3)*(ROW()-3)/(MATCH(9.99E+307,'Returns (Calc)'!$A:$A)-3),"")</f>
        <v>85.75</v>
      </c>
      <c r="AH3" s="156" t="n">
        <f aca="false">IFERROR('Price History'!M3+(INDEX('Price History'!M:M,MATCH(9.99E+307,'Returns (Calc)'!$A:$A)+1)-'Price History'!M3)*(ROW()-3)/(MATCH(9.99E+307,'Returns (Calc)'!$A:$A)-3),"")</f>
        <v>38.02</v>
      </c>
      <c r="AI3" s="156" t="n">
        <f aca="false">IFERROR('Price History'!N3+(INDEX('Price History'!N:N,MATCH(9.99E+307,'Returns (Calc)'!$A:$A)+1)-'Price History'!N3)*(ROW()-3)/(MATCH(9.99E+307,'Returns (Calc)'!$A:$A)-3),"")</f>
        <v>348.9</v>
      </c>
      <c r="AJ3" s="156" t="n">
        <f aca="false">IFERROR('Price History'!O3+(INDEX('Price History'!O:O,MATCH(9.99E+307,'Returns (Calc)'!$A:$A)+1)-'Price History'!O3)*(ROW()-3)/(MATCH(9.99E+307,'Returns (Calc)'!$A:$A)-3),"")</f>
        <v>75.31</v>
      </c>
      <c r="AK3" s="156" t="n">
        <f aca="false">IFERROR('Price History'!Q3+(INDEX('Price History'!Q:Q,MATCH(9.99E+307,'Returns (Calc)'!$A:$A)+1)-'Price History'!Q3)*(ROW()-3)/(MATCH(9.99E+307,'Returns (Calc)'!$A:$A)-3),"")</f>
        <v>0</v>
      </c>
      <c r="AL3" s="156" t="n">
        <f aca="false">IFERROR('Price History'!R3+(INDEX('Price History'!R:R,MATCH(9.99E+307,'Returns (Calc)'!$A:$A)+1)-'Price History'!R3)*(ROW()-3)/(MATCH(9.99E+307,'Returns (Calc)'!$A:$A)-3),"")</f>
        <v>34.48</v>
      </c>
      <c r="AM3" s="156" t="n">
        <f aca="false">IFERROR('Price History'!S3+(INDEX('Price History'!S:S,MATCH(9.99E+307,'Returns (Calc)'!$A:$A)+1)-'Price History'!S3)*(ROW()-3)/(MATCH(9.99E+307,'Returns (Calc)'!$A:$A)-3),"")</f>
        <v>57.63</v>
      </c>
      <c r="AN3" s="156" t="n">
        <f aca="false">IFERROR('Price History'!T3+(INDEX('Price History'!T:T,MATCH(9.99E+307,'Returns (Calc)'!$A:$A)+1)-'Price History'!T3)*(ROW()-3)/(MATCH(9.99E+307,'Returns (Calc)'!$A:$A)-3),"")</f>
        <v>25.24</v>
      </c>
      <c r="AO3" s="157" t="n">
        <f aca="false">IFERROR('Price History'!V3+(INDEX('Price History'!V:V,MATCH(9.99E+307,'Returns (Calc)'!$A:$A)+1)-'Price History'!V3)*(ROW()-3)/(MATCH(9.99E+307,'Returns (Calc)'!$A:$A)-3),"")</f>
        <v>235.63</v>
      </c>
      <c r="AP3" s="155" t="n">
        <f aca="false">IFERROR(IF(OR(NOT(ISNUMBER('Price History'!W4)),NOT(ISNUMBER('Price History'!W3)),'Price History'!W3=0),"",'Price History'!W4/'Price History'!W3-1),"")</f>
        <v>-0.0218074855462015</v>
      </c>
      <c r="AQ3" s="155" t="str">
        <f aca="false">IFERROR(IF(OR(NOT(ISNUMBER('Price History'!X4)),NOT(ISNUMBER('Price History'!X3)),'Price History'!X3=0),"",'Price History'!X4/'Price History'!X3-1),"")</f>
        <v/>
      </c>
      <c r="AR3" s="155" t="n">
        <f aca="false">IFERROR(IF(OR(NOT(ISNUMBER('Price History'!Y4)),NOT(ISNUMBER('Price History'!Y3)),'Price History'!Y3=0),"",'Price History'!Y4/'Price History'!Y3-1),"")</f>
        <v>-0.0187369882026369</v>
      </c>
      <c r="AS3" s="155" t="n">
        <f aca="false">IFERROR(IF(OR(NOT(ISNUMBER('Price History'!Z4)),NOT(ISNUMBER('Price History'!Z3)),'Price History'!Z3=0),"",'Price History'!Z4/'Price History'!Z3-1),"")</f>
        <v>-0.0367225408028232</v>
      </c>
      <c r="AT3" s="155" t="n">
        <f aca="false">IFERROR(IF(OR(NOT(ISNUMBER('Price History'!AA4)),NOT(ISNUMBER('Price History'!AA3)),'Price History'!AA3=0),"",'Price History'!AA4/'Price History'!AA3-1),"")</f>
        <v>-0.0430839002267573</v>
      </c>
      <c r="AU3" s="155" t="n">
        <f aca="false">IFERROR(IF(OR(NOT(ISNUMBER('Price History'!AB4)),NOT(ISNUMBER('Price History'!AB3)),'Price History'!AB3=0),"",'Price History'!AB4/'Price History'!AB3-1),"")</f>
        <v>-0.0280847806325056</v>
      </c>
    </row>
    <row r="4" customFormat="false" ht="15" hidden="false" customHeight="true" outlineLevel="0" collapsed="false">
      <c r="A4" s="153" t="n">
        <f aca="false">IF('Price History'!A5="","",'Price History'!A5)</f>
        <v>45198</v>
      </c>
      <c r="B4" s="154" t="n">
        <f aca="false">IFERROR(IF(OR(NOT(ISNUMBER('Price History'!B5)),NOT(ISNUMBER('Price History'!B4)),'Price History'!B4=0),"",'Price History'!B5/'Price History'!B4-1),"")</f>
        <v>-0.00584909339052442</v>
      </c>
      <c r="C4" s="154" t="n">
        <f aca="false">IFERROR(IF(OR(NOT(ISNUMBER('Price History'!C5)),NOT(ISNUMBER('Price History'!C4)),'Price History'!C4=0),"",'Price History'!C5/'Price History'!C4-1),"")</f>
        <v>0.0199645075421473</v>
      </c>
      <c r="D4" s="154" t="n">
        <f aca="false">IFERROR(IF(OR(NOT(ISNUMBER('Price History'!D5)),NOT(ISNUMBER('Price History'!D4)),'Price History'!D4=0),"",'Price History'!D5/'Price History'!D4-1),"")</f>
        <v>0.00265414098377836</v>
      </c>
      <c r="E4" s="154" t="n">
        <f aca="false">IFERROR(IF(OR(NOT(ISNUMBER('Price History'!E5)),NOT(ISNUMBER('Price History'!E4)),'Price History'!E4=0),"",'Price History'!E5/'Price History'!E4-1),"")</f>
        <v>0.00186892599053068</v>
      </c>
      <c r="F4" s="154" t="n">
        <f aca="false">IFERROR(IF(OR(NOT(ISNUMBER('Price History'!F5)),NOT(ISNUMBER('Price History'!F4)),'Price History'!F4=0),"",'Price History'!F5/'Price History'!F4-1),"")</f>
        <v>0.0297736220472442</v>
      </c>
      <c r="G4" s="154" t="n">
        <f aca="false">IFERROR(IF(OR(NOT(ISNUMBER('Price History'!G5)),NOT(ISNUMBER('Price History'!G4)),'Price History'!G4=0),"",'Price History'!G5/'Price History'!G4-1),"")</f>
        <v>0.0151858567543064</v>
      </c>
      <c r="H4" s="154" t="n">
        <f aca="false">IFERROR(IF(OR(NOT(ISNUMBER('Price History'!H5)),NOT(ISNUMBER('Price History'!H4)),'Price History'!H4=0),"",'Price History'!H5/'Price History'!H4-1),"")</f>
        <v>-0.0123311802701116</v>
      </c>
      <c r="I4" s="154" t="n">
        <f aca="false">IFERROR(IF(OR(NOT(ISNUMBER('Price History'!I5)),NOT(ISNUMBER('Price History'!I4)),'Price History'!I4=0),"",'Price History'!I5/'Price History'!I4-1),"")</f>
        <v>0.0453121234032297</v>
      </c>
      <c r="J4" s="154" t="n">
        <f aca="false">IFERROR(IF(OR(NOT(ISNUMBER('Price History'!J5)),NOT(ISNUMBER('Price History'!J4)),'Price History'!J4=0),"",'Price History'!J5/'Price History'!J4-1),"")</f>
        <v>-0.0163174664478131</v>
      </c>
      <c r="K4" s="154" t="n">
        <f aca="false">IFERROR(IF(OR(NOT(ISNUMBER('Price History'!K5)),NOT(ISNUMBER('Price History'!K4)),'Price History'!K4=0),"",'Price History'!K5/'Price History'!K4-1),"")</f>
        <v>0.132342533616419</v>
      </c>
      <c r="L4" s="154" t="n">
        <f aca="false">IFERROR(IF(OR(NOT(ISNUMBER('Price History'!L5)),NOT(ISNUMBER('Price History'!L4)),'Price History'!L4=0),"",'Price History'!L5/'Price History'!L4-1),"")</f>
        <v>0.0147058823529411</v>
      </c>
      <c r="M4" s="154" t="n">
        <f aca="false">IFERROR(IF(OR(NOT(ISNUMBER('Price History'!M5)),NOT(ISNUMBER('Price History'!M4)),'Price History'!M4=0),"",'Price History'!M5/'Price History'!M4-1),"")</f>
        <v>0.0206554668135499</v>
      </c>
      <c r="N4" s="154" t="n">
        <f aca="false">IFERROR(IF(OR(NOT(ISNUMBER('Price History'!N5)),NOT(ISNUMBER('Price History'!N4)),'Price History'!N4=0),"",'Price History'!N5/'Price History'!N4-1),"")</f>
        <v>-0.00512116270420271</v>
      </c>
      <c r="O4" s="154" t="n">
        <f aca="false">IFERROR(IF(OR(NOT(ISNUMBER('Price History'!O5)),NOT(ISNUMBER('Price History'!O4)),'Price History'!O4=0),"",'Price History'!O5/'Price History'!O4-1),"")</f>
        <v>0.0164136233073451</v>
      </c>
      <c r="P4" s="154" t="n">
        <f aca="false">IFERROR(IF(OR(NOT(ISNUMBER('Price History'!P5)),NOT(ISNUMBER('Price History'!P4)),'Price History'!P4=0),"",'Price History'!P5/'Price History'!P4-1),"")</f>
        <v>-0.0187931735067045</v>
      </c>
      <c r="Q4" s="154" t="str">
        <f aca="false">IFERROR(IF(OR(NOT(ISNUMBER('Price History'!Q5)),NOT(ISNUMBER('Price History'!Q4)),'Price History'!Q4=0),"",'Price History'!Q5/'Price History'!Q4-1),"")</f>
        <v/>
      </c>
      <c r="R4" s="154" t="n">
        <f aca="false">IFERROR(IF(OR(NOT(ISNUMBER('Price History'!R5)),NOT(ISNUMBER('Price History'!R4)),'Price History'!R4=0),"",'Price History'!R5/'Price History'!R4-1),"")</f>
        <v>0.000596125186289154</v>
      </c>
      <c r="S4" s="154" t="n">
        <f aca="false">IFERROR(IF(OR(NOT(ISNUMBER('Price History'!S5)),NOT(ISNUMBER('Price History'!S4)),'Price History'!S4=0),"",'Price History'!S5/'Price History'!S4-1),"")</f>
        <v>-0.00302329717232785</v>
      </c>
      <c r="T4" s="154" t="n">
        <f aca="false">IFERROR(IF(OR(NOT(ISNUMBER('Price History'!T5)),NOT(ISNUMBER('Price History'!T4)),'Price History'!T4=0),"",'Price History'!T5/'Price History'!T4-1),"")</f>
        <v>0.00281463610776034</v>
      </c>
      <c r="U4" s="154" t="n">
        <f aca="false">IFERROR(IF(OR(NOT(ISNUMBER('Price History'!U5)),NOT(ISNUMBER('Price History'!U4)),'Price History'!U4=0),"",'Price History'!U5/'Price History'!U4-1),"")</f>
        <v>-0.00751173708920183</v>
      </c>
      <c r="V4" s="155" t="n">
        <f aca="false">IFERROR(IF(OR(NOT(ISNUMBER('Price History'!V5)),NOT(ISNUMBER('Price History'!V4)),'Price History'!V4=0),"",'Price History'!V5/'Price History'!V4-1),"")</f>
        <v>-0.0215858647401863</v>
      </c>
      <c r="W4" s="156" t="n">
        <f aca="false">IFERROR('Price History'!B3+(INDEX('Price History'!B:B,MATCH(9.99E+307,'Returns (Calc)'!$A:$A)+1)-'Price History'!B3)*(ROW()-3)/(MATCH(9.99E+307,'Returns (Calc)'!$A:$A)-3),"")</f>
        <v>527.046962025317</v>
      </c>
      <c r="X4" s="156" t="n">
        <f aca="false">IFERROR('Price History'!C3+(INDEX('Price History'!C:C,MATCH(9.99E+307,'Returns (Calc)'!$A:$A)+1)-'Price History'!C3)*(ROW()-3)/(MATCH(9.99E+307,'Returns (Calc)'!$A:$A)-3),"")</f>
        <v>47.2000632911392</v>
      </c>
      <c r="Y4" s="156" t="n">
        <f aca="false">IFERROR('Price History'!D3+(INDEX('Price History'!D:D,MATCH(9.99E+307,'Returns (Calc)'!$A:$A)+1)-'Price History'!D3)*(ROW()-3)/(MATCH(9.99E+307,'Returns (Calc)'!$A:$A)-3),"")</f>
        <v>590.144810126582</v>
      </c>
      <c r="Z4" s="156" t="n">
        <f aca="false">IFERROR('Price History'!E3+(INDEX('Price History'!E:E,MATCH(9.99E+307,'Returns (Calc)'!$A:$A)+1)-'Price History'!E3)*(ROW()-3)/(MATCH(9.99E+307,'Returns (Calc)'!$A:$A)-3),"")</f>
        <v>83.7287341772152</v>
      </c>
      <c r="AA4" s="156" t="n">
        <f aca="false">IFERROR('Price History'!F3+(INDEX('Price History'!F:F,MATCH(9.99E+307,'Returns (Calc)'!$A:$A)+1)-'Price History'!F3)*(ROW()-3)/(MATCH(9.99E+307,'Returns (Calc)'!$A:$A)-3),"")</f>
        <v>42.8073417721519</v>
      </c>
      <c r="AB4" s="156" t="n">
        <f aca="false">IFERROR('Price History'!G3+(INDEX('Price History'!G:G,MATCH(9.99E+307,'Returns (Calc)'!$A:$A)+1)-'Price History'!G3)*(ROW()-3)/(MATCH(9.99E+307,'Returns (Calc)'!$A:$A)-3),"")</f>
        <v>45.3787341772152</v>
      </c>
      <c r="AC4" s="156" t="n">
        <f aca="false">IFERROR('Price History'!H3+(INDEX('Price History'!H:H,MATCH(9.99E+307,'Returns (Calc)'!$A:$A)+1)-'Price History'!H3)*(ROW()-3)/(MATCH(9.99E+307,'Returns (Calc)'!$A:$A)-3),"")</f>
        <v>75.4756962025317</v>
      </c>
      <c r="AD4" s="156" t="n">
        <f aca="false">IFERROR('Price History'!I3+(INDEX('Price History'!I:I,MATCH(9.99E+307,'Returns (Calc)'!$A:$A)+1)-'Price History'!I3)*(ROW()-3)/(MATCH(9.99E+307,'Returns (Calc)'!$A:$A)-3),"")</f>
        <v>44.973670886076</v>
      </c>
      <c r="AE4" s="156" t="n">
        <f aca="false">IFERROR('Price History'!J3+(INDEX('Price History'!J:J,MATCH(9.99E+307,'Returns (Calc)'!$A:$A)+1)-'Price History'!J3)*(ROW()-3)/(MATCH(9.99E+307,'Returns (Calc)'!$A:$A)-3),"")</f>
        <v>111.948037974684</v>
      </c>
      <c r="AF4" s="156" t="n">
        <f aca="false">IFERROR('Price History'!K3+(INDEX('Price History'!K:K,MATCH(9.99E+307,'Returns (Calc)'!$A:$A)+1)-'Price History'!K3)*(ROW()-3)/(MATCH(9.99E+307,'Returns (Calc)'!$A:$A)-3),"")</f>
        <v>16.4275949367089</v>
      </c>
      <c r="AG4" s="156" t="n">
        <f aca="false">IFERROR('Price History'!L3+(INDEX('Price History'!L:L,MATCH(9.99E+307,'Returns (Calc)'!$A:$A)+1)-'Price History'!L3)*(ROW()-3)/(MATCH(9.99E+307,'Returns (Calc)'!$A:$A)-3),"")</f>
        <v>88.1995569620253</v>
      </c>
      <c r="AH4" s="156" t="n">
        <f aca="false">IFERROR('Price History'!M3+(INDEX('Price History'!M:M,MATCH(9.99E+307,'Returns (Calc)'!$A:$A)+1)-'Price History'!M3)*(ROW()-3)/(MATCH(9.99E+307,'Returns (Calc)'!$A:$A)-3),"")</f>
        <v>39.3754430379747</v>
      </c>
      <c r="AI4" s="156" t="n">
        <f aca="false">IFERROR('Price History'!N3+(INDEX('Price History'!N:N,MATCH(9.99E+307,'Returns (Calc)'!$A:$A)+1)-'Price History'!N3)*(ROW()-3)/(MATCH(9.99E+307,'Returns (Calc)'!$A:$A)-3),"")</f>
        <v>349.886265822785</v>
      </c>
      <c r="AJ4" s="156" t="n">
        <f aca="false">IFERROR('Price History'!O3+(INDEX('Price History'!O:O,MATCH(9.99E+307,'Returns (Calc)'!$A:$A)+1)-'Price History'!O3)*(ROW()-3)/(MATCH(9.99E+307,'Returns (Calc)'!$A:$A)-3),"")</f>
        <v>75.5930379746835</v>
      </c>
      <c r="AK4" s="156" t="n">
        <f aca="false">IFERROR('Price History'!Q3+(INDEX('Price History'!Q:Q,MATCH(9.99E+307,'Returns (Calc)'!$A:$A)+1)-'Price History'!Q3)*(ROW()-3)/(MATCH(9.99E+307,'Returns (Calc)'!$A:$A)-3),"")</f>
        <v>0.439367088607595</v>
      </c>
      <c r="AL4" s="156" t="n">
        <f aca="false">IFERROR('Price History'!R3+(INDEX('Price History'!R:R,MATCH(9.99E+307,'Returns (Calc)'!$A:$A)+1)-'Price History'!R3)*(ROW()-3)/(MATCH(9.99E+307,'Returns (Calc)'!$A:$A)-3),"")</f>
        <v>34.6481012658228</v>
      </c>
      <c r="AM4" s="156" t="n">
        <f aca="false">IFERROR('Price History'!S3+(INDEX('Price History'!S:S,MATCH(9.99E+307,'Returns (Calc)'!$A:$A)+1)-'Price History'!S3)*(ROW()-3)/(MATCH(9.99E+307,'Returns (Calc)'!$A:$A)-3),"")</f>
        <v>58.2350632911392</v>
      </c>
      <c r="AN4" s="156" t="n">
        <f aca="false">IFERROR('Price History'!T3+(INDEX('Price History'!T:T,MATCH(9.99E+307,'Returns (Calc)'!$A:$A)+1)-'Price History'!T3)*(ROW()-3)/(MATCH(9.99E+307,'Returns (Calc)'!$A:$A)-3),"")</f>
        <v>25.4082278481013</v>
      </c>
      <c r="AO4" s="157" t="n">
        <f aca="false">IFERROR('Price History'!V3+(INDEX('Price History'!V:V,MATCH(9.99E+307,'Returns (Calc)'!$A:$A)+1)-'Price History'!V3)*(ROW()-3)/(MATCH(9.99E+307,'Returns (Calc)'!$A:$A)-3),"")</f>
        <v>236.421329113924</v>
      </c>
      <c r="AP4" s="155" t="n">
        <f aca="false">IFERROR(IF(OR(NOT(ISNUMBER('Price History'!W5)),NOT(ISNUMBER('Price History'!W4)),'Price History'!W4=0),"",'Price History'!W5/'Price History'!W4-1),"")</f>
        <v>-0.0127540439651598</v>
      </c>
      <c r="AQ4" s="155" t="str">
        <f aca="false">IFERROR(IF(OR(NOT(ISNUMBER('Price History'!X5)),NOT(ISNUMBER('Price History'!X4)),'Price History'!X4=0),"",'Price History'!X5/'Price History'!X4-1),"")</f>
        <v/>
      </c>
      <c r="AR4" s="155" t="n">
        <f aca="false">IFERROR(IF(OR(NOT(ISNUMBER('Price History'!Y5)),NOT(ISNUMBER('Price History'!Y4)),'Price History'!Y4=0),"",'Price History'!Y5/'Price History'!Y4-1),"")</f>
        <v>-0.011079679396511</v>
      </c>
      <c r="AS4" s="155" t="n">
        <f aca="false">IFERROR(IF(OR(NOT(ISNUMBER('Price History'!Z5)),NOT(ISNUMBER('Price History'!Z4)),'Price History'!Z4=0),"",'Price History'!Z5/'Price History'!Z4-1),"")</f>
        <v>-0.00560961648540348</v>
      </c>
      <c r="AT4" s="155" t="n">
        <f aca="false">IFERROR(IF(OR(NOT(ISNUMBER('Price History'!AA5)),NOT(ISNUMBER('Price History'!AA4)),'Price History'!AA4=0),"",'Price History'!AA5/'Price History'!AA4-1),"")</f>
        <v>-0.00579252238020012</v>
      </c>
      <c r="AU4" s="155" t="n">
        <f aca="false">IFERROR(IF(OR(NOT(ISNUMBER('Price History'!AB5)),NOT(ISNUMBER('Price History'!AB4)),'Price History'!AB4=0),"",'Price History'!AB5/'Price History'!AB4-1),"")</f>
        <v>0.00152604115388399</v>
      </c>
    </row>
    <row r="5" customFormat="false" ht="15" hidden="false" customHeight="true" outlineLevel="0" collapsed="false">
      <c r="A5" s="153" t="n">
        <f aca="false">IF('Price History'!A6="","",'Price History'!A6)</f>
        <v>45205</v>
      </c>
      <c r="B5" s="154" t="n">
        <f aca="false">IFERROR(IF(OR(NOT(ISNUMBER('Price History'!B6)),NOT(ISNUMBER('Price History'!B5)),'Price History'!B5=0),"",'Price History'!B6/'Price History'!B5-1),"")</f>
        <v>0.0329084134143949</v>
      </c>
      <c r="C5" s="154" t="n">
        <f aca="false">IFERROR(IF(OR(NOT(ISNUMBER('Price History'!C6)),NOT(ISNUMBER('Price History'!C5)),'Price History'!C5=0),"",'Price History'!C6/'Price History'!C5-1),"")</f>
        <v>0.0550239234449761</v>
      </c>
      <c r="D5" s="154" t="n">
        <f aca="false">IFERROR(IF(OR(NOT(ISNUMBER('Price History'!D6)),NOT(ISNUMBER('Price History'!D5)),'Price History'!D5=0),"",'Price History'!D6/'Price History'!D5-1),"")</f>
        <v>0.0147681161944238</v>
      </c>
      <c r="E5" s="154" t="n">
        <f aca="false">IFERROR(IF(OR(NOT(ISNUMBER('Price History'!E6)),NOT(ISNUMBER('Price History'!E5)),'Price History'!E5=0),"",'Price History'!E6/'Price History'!E5-1),"")</f>
        <v>0.0176594950876756</v>
      </c>
      <c r="F5" s="154" t="n">
        <f aca="false">IFERROR(IF(OR(NOT(ISNUMBER('Price History'!F6)),NOT(ISNUMBER('Price History'!F5)),'Price History'!F5=0),"",'Price History'!F6/'Price History'!F5-1),"")</f>
        <v>0.055436081242533</v>
      </c>
      <c r="G5" s="154" t="n">
        <f aca="false">IFERROR(IF(OR(NOT(ISNUMBER('Price History'!G6)),NOT(ISNUMBER('Price History'!G5)),'Price History'!G5=0),"",'Price History'!G6/'Price History'!G5-1),"")</f>
        <v>0.0203170350524671</v>
      </c>
      <c r="H5" s="154" t="n">
        <f aca="false">IFERROR(IF(OR(NOT(ISNUMBER('Price History'!H6)),NOT(ISNUMBER('Price History'!H5)),'Price History'!H5=0),"",'Price History'!H6/'Price History'!H5-1),"")</f>
        <v>0.0300237812128419</v>
      </c>
      <c r="I5" s="154" t="n">
        <f aca="false">IFERROR(IF(OR(NOT(ISNUMBER('Price History'!I6)),NOT(ISNUMBER('Price History'!I5)),'Price History'!I5=0),"",'Price History'!I6/'Price History'!I5-1),"")</f>
        <v>0.0521097532856816</v>
      </c>
      <c r="J5" s="154" t="n">
        <f aca="false">IFERROR(IF(OR(NOT(ISNUMBER('Price History'!J6)),NOT(ISNUMBER('Price History'!J5)),'Price History'!J5=0),"",'Price History'!J6/'Price History'!J5-1),"")</f>
        <v>-0.0294464075382803</v>
      </c>
      <c r="K5" s="154" t="n">
        <f aca="false">IFERROR(IF(OR(NOT(ISNUMBER('Price History'!K6)),NOT(ISNUMBER('Price History'!K5)),'Price History'!K5=0),"",'Price History'!K6/'Price History'!K5-1),"")</f>
        <v>0.038125</v>
      </c>
      <c r="L5" s="154" t="n">
        <f aca="false">IFERROR(IF(OR(NOT(ISNUMBER('Price History'!L6)),NOT(ISNUMBER('Price History'!L5)),'Price History'!L5=0),"",'Price History'!L6/'Price History'!L5-1),"")</f>
        <v>0.0275482093663912</v>
      </c>
      <c r="M5" s="154" t="n">
        <f aca="false">IFERROR(IF(OR(NOT(ISNUMBER('Price History'!M6)),NOT(ISNUMBER('Price History'!M5)),'Price History'!M5=0),"",'Price History'!M6/'Price History'!M5-1),"")</f>
        <v>0.0690771721532648</v>
      </c>
      <c r="N5" s="154" t="n">
        <f aca="false">IFERROR(IF(OR(NOT(ISNUMBER('Price History'!N6)),NOT(ISNUMBER('Price History'!N5)),'Price History'!N5=0),"",'Price History'!N6/'Price History'!N5-1),"")</f>
        <v>0.0370391671938806</v>
      </c>
      <c r="O5" s="154" t="n">
        <f aca="false">IFERROR(IF(OR(NOT(ISNUMBER('Price History'!O6)),NOT(ISNUMBER('Price History'!O5)),'Price History'!O5=0),"",'Price History'!O6/'Price History'!O5-1),"")</f>
        <v>-0.0301439913874312</v>
      </c>
      <c r="P5" s="154" t="n">
        <f aca="false">IFERROR(IF(OR(NOT(ISNUMBER('Price History'!P6)),NOT(ISNUMBER('Price History'!P5)),'Price History'!P5=0),"",'Price History'!P6/'Price History'!P5-1),"")</f>
        <v>-0.0222590330261933</v>
      </c>
      <c r="Q5" s="154" t="n">
        <f aca="false">IFERROR(IF(OR(NOT(ISNUMBER('Price History'!Q6)),NOT(ISNUMBER('Price History'!Q5)),'Price History'!Q5=0),"",'Price History'!Q6/'Price History'!Q5-1),"")</f>
        <v>0.00327198364008185</v>
      </c>
      <c r="R5" s="154" t="n">
        <f aca="false">IFERROR(IF(OR(NOT(ISNUMBER('Price History'!R6)),NOT(ISNUMBER('Price History'!R5)),'Price History'!R5=0),"",'Price History'!R6/'Price History'!R5-1),"")</f>
        <v>0.0131069407208817</v>
      </c>
      <c r="S5" s="154" t="n">
        <f aca="false">IFERROR(IF(OR(NOT(ISNUMBER('Price History'!S6)),NOT(ISNUMBER('Price History'!S5)),'Price History'!S5=0),"",'Price History'!S6/'Price History'!S5-1),"")</f>
        <v>0.0110595790224759</v>
      </c>
      <c r="T5" s="154" t="n">
        <f aca="false">IFERROR(IF(OR(NOT(ISNUMBER('Price History'!T6)),NOT(ISNUMBER('Price History'!T5)),'Price History'!T5=0),"",'Price History'!T6/'Price History'!T5-1),"")</f>
        <v>-0.0188452285485166</v>
      </c>
      <c r="U5" s="154" t="n">
        <f aca="false">IFERROR(IF(OR(NOT(ISNUMBER('Price History'!U6)),NOT(ISNUMBER('Price History'!U5)),'Price History'!U5=0),"",'Price History'!U6/'Price History'!U5-1),"")</f>
        <v>-0.0160832544938505</v>
      </c>
      <c r="V5" s="155" t="n">
        <f aca="false">IFERROR(IF(OR(NOT(ISNUMBER('Price History'!V6)),NOT(ISNUMBER('Price History'!V5)),'Price History'!V5=0),"",'Price History'!V6/'Price History'!V5-1),"")</f>
        <v>0.0218841740058715</v>
      </c>
      <c r="W5" s="156" t="n">
        <f aca="false">IFERROR('Price History'!B3+(INDEX('Price History'!B:B,MATCH(9.99E+307,'Returns (Calc)'!$A:$A)+1)-'Price History'!B3)*(ROW()-3)/(MATCH(9.99E+307,'Returns (Calc)'!$A:$A)-3),"")</f>
        <v>525.203924050633</v>
      </c>
      <c r="X5" s="156" t="n">
        <f aca="false">IFERROR('Price History'!C3+(INDEX('Price History'!C:C,MATCH(9.99E+307,'Returns (Calc)'!$A:$A)+1)-'Price History'!C3)*(ROW()-3)/(MATCH(9.99E+307,'Returns (Calc)'!$A:$A)-3),"")</f>
        <v>48.2201265822785</v>
      </c>
      <c r="Y5" s="156" t="n">
        <f aca="false">IFERROR('Price History'!D3+(INDEX('Price History'!D:D,MATCH(9.99E+307,'Returns (Calc)'!$A:$A)+1)-'Price History'!D3)*(ROW()-3)/(MATCH(9.99E+307,'Returns (Calc)'!$A:$A)-3),"")</f>
        <v>598.279620253165</v>
      </c>
      <c r="Z5" s="156" t="n">
        <f aca="false">IFERROR('Price History'!E3+(INDEX('Price History'!E:E,MATCH(9.99E+307,'Returns (Calc)'!$A:$A)+1)-'Price History'!E3)*(ROW()-3)/(MATCH(9.99E+307,'Returns (Calc)'!$A:$A)-3),"")</f>
        <v>85.4574683544304</v>
      </c>
      <c r="AA5" s="156" t="n">
        <f aca="false">IFERROR('Price History'!F3+(INDEX('Price History'!F:F,MATCH(9.99E+307,'Returns (Calc)'!$A:$A)+1)-'Price History'!F3)*(ROW()-3)/(MATCH(9.99E+307,'Returns (Calc)'!$A:$A)-3),"")</f>
        <v>44.2546835443038</v>
      </c>
      <c r="AB5" s="156" t="n">
        <f aca="false">IFERROR('Price History'!G3+(INDEX('Price History'!G:G,MATCH(9.99E+307,'Returns (Calc)'!$A:$A)+1)-'Price History'!G3)*(ROW()-3)/(MATCH(9.99E+307,'Returns (Calc)'!$A:$A)-3),"")</f>
        <v>46.4074683544304</v>
      </c>
      <c r="AC5" s="156" t="n">
        <f aca="false">IFERROR('Price History'!H3+(INDEX('Price History'!H:H,MATCH(9.99E+307,'Returns (Calc)'!$A:$A)+1)-'Price History'!H3)*(ROW()-3)/(MATCH(9.99E+307,'Returns (Calc)'!$A:$A)-3),"")</f>
        <v>81.8413924050633</v>
      </c>
      <c r="AD5" s="156" t="n">
        <f aca="false">IFERROR('Price History'!I3+(INDEX('Price History'!I:I,MATCH(9.99E+307,'Returns (Calc)'!$A:$A)+1)-'Price History'!I3)*(ROW()-3)/(MATCH(9.99E+307,'Returns (Calc)'!$A:$A)-3),"")</f>
        <v>46.1773417721519</v>
      </c>
      <c r="AE5" s="156" t="n">
        <f aca="false">IFERROR('Price History'!J3+(INDEX('Price History'!J:J,MATCH(9.99E+307,'Returns (Calc)'!$A:$A)+1)-'Price History'!J3)*(ROW()-3)/(MATCH(9.99E+307,'Returns (Calc)'!$A:$A)-3),"")</f>
        <v>112.056075949367</v>
      </c>
      <c r="AF5" s="156" t="n">
        <f aca="false">IFERROR('Price History'!K3+(INDEX('Price History'!K:K,MATCH(9.99E+307,'Returns (Calc)'!$A:$A)+1)-'Price History'!K3)*(ROW()-3)/(MATCH(9.99E+307,'Returns (Calc)'!$A:$A)-3),"")</f>
        <v>17.5251898734177</v>
      </c>
      <c r="AG5" s="156" t="n">
        <f aca="false">IFERROR('Price History'!L3+(INDEX('Price History'!L:L,MATCH(9.99E+307,'Returns (Calc)'!$A:$A)+1)-'Price History'!L3)*(ROW()-3)/(MATCH(9.99E+307,'Returns (Calc)'!$A:$A)-3),"")</f>
        <v>90.6491139240506</v>
      </c>
      <c r="AH5" s="156" t="n">
        <f aca="false">IFERROR('Price History'!M3+(INDEX('Price History'!M:M,MATCH(9.99E+307,'Returns (Calc)'!$A:$A)+1)-'Price History'!M3)*(ROW()-3)/(MATCH(9.99E+307,'Returns (Calc)'!$A:$A)-3),"")</f>
        <v>40.7308860759494</v>
      </c>
      <c r="AI5" s="156" t="n">
        <f aca="false">IFERROR('Price History'!N3+(INDEX('Price History'!N:N,MATCH(9.99E+307,'Returns (Calc)'!$A:$A)+1)-'Price History'!N3)*(ROW()-3)/(MATCH(9.99E+307,'Returns (Calc)'!$A:$A)-3),"")</f>
        <v>350.87253164557</v>
      </c>
      <c r="AJ5" s="156" t="n">
        <f aca="false">IFERROR('Price History'!O3+(INDEX('Price History'!O:O,MATCH(9.99E+307,'Returns (Calc)'!$A:$A)+1)-'Price History'!O3)*(ROW()-3)/(MATCH(9.99E+307,'Returns (Calc)'!$A:$A)-3),"")</f>
        <v>75.8760759493671</v>
      </c>
      <c r="AK5" s="156" t="n">
        <f aca="false">IFERROR('Price History'!Q3+(INDEX('Price History'!Q:Q,MATCH(9.99E+307,'Returns (Calc)'!$A:$A)+1)-'Price History'!Q3)*(ROW()-3)/(MATCH(9.99E+307,'Returns (Calc)'!$A:$A)-3),"")</f>
        <v>0.87873417721519</v>
      </c>
      <c r="AL5" s="156" t="n">
        <f aca="false">IFERROR('Price History'!R3+(INDEX('Price History'!R:R,MATCH(9.99E+307,'Returns (Calc)'!$A:$A)+1)-'Price History'!R3)*(ROW()-3)/(MATCH(9.99E+307,'Returns (Calc)'!$A:$A)-3),"")</f>
        <v>34.8162025316456</v>
      </c>
      <c r="AM5" s="156" t="n">
        <f aca="false">IFERROR('Price History'!S3+(INDEX('Price History'!S:S,MATCH(9.99E+307,'Returns (Calc)'!$A:$A)+1)-'Price History'!S3)*(ROW()-3)/(MATCH(9.99E+307,'Returns (Calc)'!$A:$A)-3),"")</f>
        <v>58.8401265822785</v>
      </c>
      <c r="AN5" s="156" t="n">
        <f aca="false">IFERROR('Price History'!T3+(INDEX('Price History'!T:T,MATCH(9.99E+307,'Returns (Calc)'!$A:$A)+1)-'Price History'!T3)*(ROW()-3)/(MATCH(9.99E+307,'Returns (Calc)'!$A:$A)-3),"")</f>
        <v>25.5764556962025</v>
      </c>
      <c r="AO5" s="157" t="n">
        <f aca="false">IFERROR('Price History'!V3+(INDEX('Price History'!V:V,MATCH(9.99E+307,'Returns (Calc)'!$A:$A)+1)-'Price History'!V3)*(ROW()-3)/(MATCH(9.99E+307,'Returns (Calc)'!$A:$A)-3),"")</f>
        <v>237.212658227848</v>
      </c>
      <c r="AP5" s="155" t="n">
        <f aca="false">IFERROR(IF(OR(NOT(ISNUMBER('Price History'!W6)),NOT(ISNUMBER('Price History'!W5)),'Price History'!W5=0),"",'Price History'!W6/'Price History'!W5-1),"")</f>
        <v>-0.0194307320659594</v>
      </c>
      <c r="AQ5" s="155" t="str">
        <f aca="false">IFERROR(IF(OR(NOT(ISNUMBER('Price History'!X6)),NOT(ISNUMBER('Price History'!X5)),'Price History'!X5=0),"",'Price History'!X6/'Price History'!X5-1),"")</f>
        <v/>
      </c>
      <c r="AR5" s="155" t="n">
        <f aca="false">IFERROR(IF(OR(NOT(ISNUMBER('Price History'!Y6)),NOT(ISNUMBER('Price History'!Y5)),'Price History'!Y5=0),"",'Price History'!Y6/'Price History'!Y5-1),"")</f>
        <v>-0.00357568533969022</v>
      </c>
      <c r="AS5" s="155" t="n">
        <f aca="false">IFERROR(IF(OR(NOT(ISNUMBER('Price History'!Z6)),NOT(ISNUMBER('Price History'!Z5)),'Price History'!Z5=0),"",'Price History'!Z6/'Price History'!Z5-1),"")</f>
        <v>0.00840432880497355</v>
      </c>
      <c r="AT5" s="155" t="n">
        <f aca="false">IFERROR(IF(OR(NOT(ISNUMBER('Price History'!AA6)),NOT(ISNUMBER('Price History'!AA5)),'Price History'!AA5=0),"",'Price History'!AA6/'Price History'!AA5-1),"")</f>
        <v>0.0103283898305084</v>
      </c>
      <c r="AU5" s="155" t="n">
        <f aca="false">IFERROR(IF(OR(NOT(ISNUMBER('Price History'!AB6)),NOT(ISNUMBER('Price History'!AB5)),'Price History'!AB5=0),"",'Price History'!AB6/'Price History'!AB5-1),"")</f>
        <v>0.0302285573851069</v>
      </c>
    </row>
    <row r="6" customFormat="false" ht="15" hidden="false" customHeight="true" outlineLevel="0" collapsed="false">
      <c r="A6" s="153" t="n">
        <f aca="false">IF('Price History'!A7="","",'Price History'!A7)</f>
        <v>45212</v>
      </c>
      <c r="B6" s="154" t="n">
        <f aca="false">IFERROR(IF(OR(NOT(ISNUMBER('Price History'!B7)),NOT(ISNUMBER('Price History'!B6)),'Price History'!B6=0),"",'Price History'!B7/'Price History'!B6-1),"")</f>
        <v>0.0419229892914104</v>
      </c>
      <c r="C6" s="154" t="n">
        <f aca="false">IFERROR(IF(OR(NOT(ISNUMBER('Price History'!C7)),NOT(ISNUMBER('Price History'!C6)),'Price History'!C6=0),"",'Price History'!C7/'Price History'!C6-1),"")</f>
        <v>-0.0216450216450216</v>
      </c>
      <c r="D6" s="154" t="n">
        <f aca="false">IFERROR(IF(OR(NOT(ISNUMBER('Price History'!D7)),NOT(ISNUMBER('Price History'!D6)),'Price History'!D6=0),"",'Price History'!D7/'Price History'!D6-1),"")</f>
        <v>0.00401585748854427</v>
      </c>
      <c r="E6" s="154" t="n">
        <f aca="false">IFERROR(IF(OR(NOT(ISNUMBER('Price History'!E7)),NOT(ISNUMBER('Price History'!E6)),'Price History'!E6=0),"",'Price History'!E7/'Price History'!E6-1),"")</f>
        <v>0.044849077355493</v>
      </c>
      <c r="F6" s="154" t="n">
        <f aca="false">IFERROR(IF(OR(NOT(ISNUMBER('Price History'!F7)),NOT(ISNUMBER('Price History'!F6)),'Price History'!F6=0),"",'Price History'!F7/'Price History'!F6-1),"")</f>
        <v>0.0511659497396422</v>
      </c>
      <c r="G6" s="154" t="n">
        <f aca="false">IFERROR(IF(OR(NOT(ISNUMBER('Price History'!G7)),NOT(ISNUMBER('Price History'!G6)),'Price History'!G6=0),"",'Price History'!G7/'Price History'!G6-1),"")</f>
        <v>0.0402625820568927</v>
      </c>
      <c r="H6" s="154" t="n">
        <f aca="false">IFERROR(IF(OR(NOT(ISNUMBER('Price History'!H7)),NOT(ISNUMBER('Price History'!H6)),'Price History'!H6=0),"",'Price History'!H7/'Price History'!H6-1),"")</f>
        <v>-0.0106782106782106</v>
      </c>
      <c r="I6" s="154" t="n">
        <f aca="false">IFERROR(IF(OR(NOT(ISNUMBER('Price History'!I7)),NOT(ISNUMBER('Price History'!I6)),'Price History'!I6=0),"",'Price History'!I7/'Price History'!I6-1),"")</f>
        <v>-0.00657462195923741</v>
      </c>
      <c r="J6" s="154" t="n">
        <f aca="false">IFERROR(IF(OR(NOT(ISNUMBER('Price History'!J7)),NOT(ISNUMBER('Price History'!J6)),'Price History'!J6=0),"",'Price History'!J7/'Price History'!J6-1),"")</f>
        <v>0.00687702265372181</v>
      </c>
      <c r="K6" s="154" t="n">
        <f aca="false">IFERROR(IF(OR(NOT(ISNUMBER('Price History'!K7)),NOT(ISNUMBER('Price History'!K6)),'Price History'!K6=0),"",'Price History'!K7/'Price History'!K6-1),"")</f>
        <v>0.0451535219747141</v>
      </c>
      <c r="L6" s="154" t="n">
        <f aca="false">IFERROR(IF(OR(NOT(ISNUMBER('Price History'!L7)),NOT(ISNUMBER('Price History'!L6)),'Price History'!L6=0),"",'Price History'!L7/'Price History'!L6-1),"")</f>
        <v>0.0131716983331389</v>
      </c>
      <c r="M6" s="154" t="n">
        <f aca="false">IFERROR(IF(OR(NOT(ISNUMBER('Price History'!M7)),NOT(ISNUMBER('Price History'!M6)),'Price History'!M6=0),"",'Price History'!M7/'Price History'!M6-1),"")</f>
        <v>-0.0169106511862694</v>
      </c>
      <c r="N6" s="154" t="n">
        <f aca="false">IFERROR(IF(OR(NOT(ISNUMBER('Price History'!N7)),NOT(ISNUMBER('Price History'!N6)),'Price History'!N6=0),"",'Price History'!N7/'Price History'!N6-1),"")</f>
        <v>0.0287837612999833</v>
      </c>
      <c r="O6" s="154" t="n">
        <f aca="false">IFERROR(IF(OR(NOT(ISNUMBER('Price History'!O7)),NOT(ISNUMBER('Price History'!O6)),'Price History'!O6=0),"",'Price History'!O7/'Price History'!O6-1),"")</f>
        <v>0.00263632579436668</v>
      </c>
      <c r="P6" s="154" t="n">
        <f aca="false">IFERROR(IF(OR(NOT(ISNUMBER('Price History'!P7)),NOT(ISNUMBER('Price History'!P6)),'Price History'!P6=0),"",'Price History'!P7/'Price History'!P6-1),"")</f>
        <v>0.0136594663278273</v>
      </c>
      <c r="Q6" s="154" t="n">
        <f aca="false">IFERROR(IF(OR(NOT(ISNUMBER('Price History'!Q7)),NOT(ISNUMBER('Price History'!Q6)),'Price History'!Q6=0),"",'Price History'!Q7/'Price History'!Q6-1),"")</f>
        <v>0.0034651447207501</v>
      </c>
      <c r="R6" s="154" t="n">
        <f aca="false">IFERROR(IF(OR(NOT(ISNUMBER('Price History'!R7)),NOT(ISNUMBER('Price History'!R6)),'Price History'!R6=0),"",'Price History'!R7/'Price History'!R6-1),"")</f>
        <v>0.00264628050573368</v>
      </c>
      <c r="S6" s="154" t="n">
        <f aca="false">IFERROR(IF(OR(NOT(ISNUMBER('Price History'!S7)),NOT(ISNUMBER('Price History'!S6)),'Price History'!S6=0),"",'Price History'!S7/'Price History'!S6-1),"")</f>
        <v>0.00564573041637262</v>
      </c>
      <c r="T6" s="154" t="n">
        <f aca="false">IFERROR(IF(OR(NOT(ISNUMBER('Price History'!T7)),NOT(ISNUMBER('Price History'!T6)),'Price History'!T6=0),"",'Price History'!T7/'Price History'!T6-1),"")</f>
        <v>0.0143032284429914</v>
      </c>
      <c r="U6" s="154" t="n">
        <f aca="false">IFERROR(IF(OR(NOT(ISNUMBER('Price History'!U7)),NOT(ISNUMBER('Price History'!U6)),'Price History'!U6=0),"",'Price History'!U7/'Price History'!U6-1),"")</f>
        <v>0.0100961538461539</v>
      </c>
      <c r="V6" s="155" t="n">
        <f aca="false">IFERROR(IF(OR(NOT(ISNUMBER('Price History'!V7)),NOT(ISNUMBER('Price History'!V6)),'Price History'!V6=0),"",'Price History'!V7/'Price History'!V6-1),"")</f>
        <v>0.0111865587185513</v>
      </c>
      <c r="W6" s="156" t="n">
        <f aca="false">IFERROR('Price History'!B3+(INDEX('Price History'!B:B,MATCH(9.99E+307,'Returns (Calc)'!$A:$A)+1)-'Price History'!B3)*(ROW()-3)/(MATCH(9.99E+307,'Returns (Calc)'!$A:$A)-3),"")</f>
        <v>523.360886075949</v>
      </c>
      <c r="X6" s="156" t="n">
        <f aca="false">IFERROR('Price History'!C3+(INDEX('Price History'!C:C,MATCH(9.99E+307,'Returns (Calc)'!$A:$A)+1)-'Price History'!C3)*(ROW()-3)/(MATCH(9.99E+307,'Returns (Calc)'!$A:$A)-3),"")</f>
        <v>49.2401898734177</v>
      </c>
      <c r="Y6" s="156" t="n">
        <f aca="false">IFERROR('Price History'!D3+(INDEX('Price History'!D:D,MATCH(9.99E+307,'Returns (Calc)'!$A:$A)+1)-'Price History'!D3)*(ROW()-3)/(MATCH(9.99E+307,'Returns (Calc)'!$A:$A)-3),"")</f>
        <v>606.414430379747</v>
      </c>
      <c r="Z6" s="156" t="n">
        <f aca="false">IFERROR('Price History'!E3+(INDEX('Price History'!E:E,MATCH(9.99E+307,'Returns (Calc)'!$A:$A)+1)-'Price History'!E3)*(ROW()-3)/(MATCH(9.99E+307,'Returns (Calc)'!$A:$A)-3),"")</f>
        <v>87.1862025316456</v>
      </c>
      <c r="AA6" s="156" t="n">
        <f aca="false">IFERROR('Price History'!F3+(INDEX('Price History'!F:F,MATCH(9.99E+307,'Returns (Calc)'!$A:$A)+1)-'Price History'!F3)*(ROW()-3)/(MATCH(9.99E+307,'Returns (Calc)'!$A:$A)-3),"")</f>
        <v>45.7020253164557</v>
      </c>
      <c r="AB6" s="156" t="n">
        <f aca="false">IFERROR('Price History'!G3+(INDEX('Price History'!G:G,MATCH(9.99E+307,'Returns (Calc)'!$A:$A)+1)-'Price History'!G3)*(ROW()-3)/(MATCH(9.99E+307,'Returns (Calc)'!$A:$A)-3),"")</f>
        <v>47.4362025316456</v>
      </c>
      <c r="AC6" s="156" t="n">
        <f aca="false">IFERROR('Price History'!H3+(INDEX('Price History'!H:H,MATCH(9.99E+307,'Returns (Calc)'!$A:$A)+1)-'Price History'!H3)*(ROW()-3)/(MATCH(9.99E+307,'Returns (Calc)'!$A:$A)-3),"")</f>
        <v>88.2070886075949</v>
      </c>
      <c r="AD6" s="156" t="n">
        <f aca="false">IFERROR('Price History'!I3+(INDEX('Price History'!I:I,MATCH(9.99E+307,'Returns (Calc)'!$A:$A)+1)-'Price History'!I3)*(ROW()-3)/(MATCH(9.99E+307,'Returns (Calc)'!$A:$A)-3),"")</f>
        <v>47.3810126582279</v>
      </c>
      <c r="AE6" s="156" t="n">
        <f aca="false">IFERROR('Price History'!J3+(INDEX('Price History'!J:J,MATCH(9.99E+307,'Returns (Calc)'!$A:$A)+1)-'Price History'!J3)*(ROW()-3)/(MATCH(9.99E+307,'Returns (Calc)'!$A:$A)-3),"")</f>
        <v>112.164113924051</v>
      </c>
      <c r="AF6" s="156" t="n">
        <f aca="false">IFERROR('Price History'!K3+(INDEX('Price History'!K:K,MATCH(9.99E+307,'Returns (Calc)'!$A:$A)+1)-'Price History'!K3)*(ROW()-3)/(MATCH(9.99E+307,'Returns (Calc)'!$A:$A)-3),"")</f>
        <v>18.6227848101266</v>
      </c>
      <c r="AG6" s="156" t="n">
        <f aca="false">IFERROR('Price History'!L3+(INDEX('Price History'!L:L,MATCH(9.99E+307,'Returns (Calc)'!$A:$A)+1)-'Price History'!L3)*(ROW()-3)/(MATCH(9.99E+307,'Returns (Calc)'!$A:$A)-3),"")</f>
        <v>93.098670886076</v>
      </c>
      <c r="AH6" s="156" t="n">
        <f aca="false">IFERROR('Price History'!M3+(INDEX('Price History'!M:M,MATCH(9.99E+307,'Returns (Calc)'!$A:$A)+1)-'Price History'!M3)*(ROW()-3)/(MATCH(9.99E+307,'Returns (Calc)'!$A:$A)-3),"")</f>
        <v>42.0863291139241</v>
      </c>
      <c r="AI6" s="156" t="n">
        <f aca="false">IFERROR('Price History'!N3+(INDEX('Price History'!N:N,MATCH(9.99E+307,'Returns (Calc)'!$A:$A)+1)-'Price History'!N3)*(ROW()-3)/(MATCH(9.99E+307,'Returns (Calc)'!$A:$A)-3),"")</f>
        <v>351.858797468354</v>
      </c>
      <c r="AJ6" s="156" t="n">
        <f aca="false">IFERROR('Price History'!O3+(INDEX('Price History'!O:O,MATCH(9.99E+307,'Returns (Calc)'!$A:$A)+1)-'Price History'!O3)*(ROW()-3)/(MATCH(9.99E+307,'Returns (Calc)'!$A:$A)-3),"")</f>
        <v>76.1591139240506</v>
      </c>
      <c r="AK6" s="156" t="n">
        <f aca="false">IFERROR('Price History'!Q3+(INDEX('Price History'!Q:Q,MATCH(9.99E+307,'Returns (Calc)'!$A:$A)+1)-'Price History'!Q3)*(ROW()-3)/(MATCH(9.99E+307,'Returns (Calc)'!$A:$A)-3),"")</f>
        <v>1.31810126582278</v>
      </c>
      <c r="AL6" s="156" t="n">
        <f aca="false">IFERROR('Price History'!R3+(INDEX('Price History'!R:R,MATCH(9.99E+307,'Returns (Calc)'!$A:$A)+1)-'Price History'!R3)*(ROW()-3)/(MATCH(9.99E+307,'Returns (Calc)'!$A:$A)-3),"")</f>
        <v>34.9843037974684</v>
      </c>
      <c r="AM6" s="156" t="n">
        <f aca="false">IFERROR('Price History'!S3+(INDEX('Price History'!S:S,MATCH(9.99E+307,'Returns (Calc)'!$A:$A)+1)-'Price History'!S3)*(ROW()-3)/(MATCH(9.99E+307,'Returns (Calc)'!$A:$A)-3),"")</f>
        <v>59.4451898734177</v>
      </c>
      <c r="AN6" s="156" t="n">
        <f aca="false">IFERROR('Price History'!T3+(INDEX('Price History'!T:T,MATCH(9.99E+307,'Returns (Calc)'!$A:$A)+1)-'Price History'!T3)*(ROW()-3)/(MATCH(9.99E+307,'Returns (Calc)'!$A:$A)-3),"")</f>
        <v>25.7446835443038</v>
      </c>
      <c r="AO6" s="157" t="n">
        <f aca="false">IFERROR('Price History'!V3+(INDEX('Price History'!V:V,MATCH(9.99E+307,'Returns (Calc)'!$A:$A)+1)-'Price History'!V3)*(ROW()-3)/(MATCH(9.99E+307,'Returns (Calc)'!$A:$A)-3),"")</f>
        <v>238.003987341772</v>
      </c>
      <c r="AP6" s="155" t="n">
        <f aca="false">IFERROR(IF(OR(NOT(ISNUMBER('Price History'!W7)),NOT(ISNUMBER('Price History'!W6)),'Price History'!W6=0),"",'Price History'!W7/'Price History'!W6-1),"")</f>
        <v>0.0113538988860327</v>
      </c>
      <c r="AQ6" s="155" t="str">
        <f aca="false">IFERROR(IF(OR(NOT(ISNUMBER('Price History'!X7)),NOT(ISNUMBER('Price History'!X6)),'Price History'!X6=0),"",'Price History'!X7/'Price History'!X6-1),"")</f>
        <v/>
      </c>
      <c r="AR6" s="155" t="n">
        <f aca="false">IFERROR(IF(OR(NOT(ISNUMBER('Price History'!Y7)),NOT(ISNUMBER('Price History'!Y6)),'Price History'!Y6=0),"",'Price History'!Y7/'Price History'!Y6-1),"")</f>
        <v>0.00861244019138763</v>
      </c>
      <c r="AS6" s="155" t="n">
        <f aca="false">IFERROR(IF(OR(NOT(ISNUMBER('Price History'!Z7)),NOT(ISNUMBER('Price History'!Z6)),'Price History'!Z6=0),"",'Price History'!Z7/'Price History'!Z6-1),"")</f>
        <v>-0.018837766868364</v>
      </c>
      <c r="AT6" s="155" t="n">
        <f aca="false">IFERROR(IF(OR(NOT(ISNUMBER('Price History'!AA7)),NOT(ISNUMBER('Price History'!AA6)),'Price History'!AA6=0),"",'Price History'!AA7/'Price History'!AA6-1),"")</f>
        <v>-0.0676277850589777</v>
      </c>
      <c r="AU6" s="155" t="n">
        <f aca="false">IFERROR(IF(OR(NOT(ISNUMBER('Price History'!AB7)),NOT(ISNUMBER('Price History'!AB6)),'Price History'!AB6=0),"",'Price History'!AB7/'Price History'!AB6-1),"")</f>
        <v>0.0310591603053436</v>
      </c>
    </row>
    <row r="7" customFormat="false" ht="15" hidden="false" customHeight="true" outlineLevel="0" collapsed="false">
      <c r="A7" s="153" t="n">
        <f aca="false">IF('Price History'!A8="","",'Price History'!A8)</f>
        <v>45219</v>
      </c>
      <c r="B7" s="154" t="n">
        <f aca="false">IFERROR(IF(OR(NOT(ISNUMBER('Price History'!B8)),NOT(ISNUMBER('Price History'!B7)),'Price History'!B7=0),"",'Price History'!B8/'Price History'!B7-1),"")</f>
        <v>-0.0142138639842553</v>
      </c>
      <c r="C7" s="154" t="n">
        <f aca="false">IFERROR(IF(OR(NOT(ISNUMBER('Price History'!C8)),NOT(ISNUMBER('Price History'!C7)),'Price History'!C7=0),"",'Price History'!C8/'Price History'!C7-1),"")</f>
        <v>-0.0195954487989887</v>
      </c>
      <c r="D7" s="154" t="n">
        <f aca="false">IFERROR(IF(OR(NOT(ISNUMBER('Price History'!D8)),NOT(ISNUMBER('Price History'!D7)),'Price History'!D7=0),"",'Price History'!D8/'Price History'!D7-1),"")</f>
        <v>-0.0327675503820316</v>
      </c>
      <c r="E7" s="154" t="n">
        <f aca="false">IFERROR(IF(OR(NOT(ISNUMBER('Price History'!E8)),NOT(ISNUMBER('Price History'!E7)),'Price History'!E7=0),"",'Price History'!E8/'Price History'!E7-1),"")</f>
        <v>-0.0334502923976608</v>
      </c>
      <c r="F7" s="154" t="n">
        <f aca="false">IFERROR(IF(OR(NOT(ISNUMBER('Price History'!F8)),NOT(ISNUMBER('Price History'!F7)),'Price History'!F7=0),"",'Price History'!F8/'Price History'!F7-1),"")</f>
        <v>-0.0374757699763084</v>
      </c>
      <c r="G7" s="154" t="n">
        <f aca="false">IFERROR(IF(OR(NOT(ISNUMBER('Price History'!G8)),NOT(ISNUMBER('Price History'!G7)),'Price History'!G7=0),"",'Price History'!G8/'Price History'!G7-1),"")</f>
        <v>-0.0500631047538915</v>
      </c>
      <c r="H7" s="154" t="n">
        <f aca="false">IFERROR(IF(OR(NOT(ISNUMBER('Price History'!H8)),NOT(ISNUMBER('Price History'!H7)),'Price History'!H7=0),"",'Price History'!H8/'Price History'!H7-1),"")</f>
        <v>-0.0287339556592765</v>
      </c>
      <c r="I7" s="154" t="n">
        <f aca="false">IFERROR(IF(OR(NOT(ISNUMBER('Price History'!I8)),NOT(ISNUMBER('Price History'!I7)),'Price History'!I7=0),"",'Price History'!I8/'Price History'!I7-1),"")</f>
        <v>-0.0897860136774763</v>
      </c>
      <c r="J7" s="154" t="n">
        <f aca="false">IFERROR(IF(OR(NOT(ISNUMBER('Price History'!J8)),NOT(ISNUMBER('Price History'!J7)),'Price History'!J7=0),"",'Price History'!J8/'Price History'!J7-1),"")</f>
        <v>-0.0658899156287666</v>
      </c>
      <c r="K7" s="154" t="n">
        <f aca="false">IFERROR(IF(OR(NOT(ISNUMBER('Price History'!K8)),NOT(ISNUMBER('Price History'!K7)),'Price History'!K7=0),"",'Price History'!K8/'Price History'!K7-1),"")</f>
        <v>-0.0720046082949308</v>
      </c>
      <c r="L7" s="154" t="n">
        <f aca="false">IFERROR(IF(OR(NOT(ISNUMBER('Price History'!L8)),NOT(ISNUMBER('Price History'!L7)),'Price History'!L7=0),"",'Price History'!L8/'Price History'!L7-1),"")</f>
        <v>0.00931891394385653</v>
      </c>
      <c r="M7" s="154" t="n">
        <f aca="false">IFERROR(IF(OR(NOT(ISNUMBER('Price History'!M8)),NOT(ISNUMBER('Price History'!M7)),'Price History'!M7=0),"",'Price History'!M8/'Price History'!M7-1),"")</f>
        <v>-0.0603337612323492</v>
      </c>
      <c r="N7" s="154" t="n">
        <f aca="false">IFERROR(IF(OR(NOT(ISNUMBER('Price History'!N8)),NOT(ISNUMBER('Price History'!N7)),'Price History'!N7=0),"",'Price History'!N8/'Price History'!N7-1),"")</f>
        <v>-0.0246361185983827</v>
      </c>
      <c r="O7" s="154" t="n">
        <f aca="false">IFERROR(IF(OR(NOT(ISNUMBER('Price History'!O8)),NOT(ISNUMBER('Price History'!O7)),'Price History'!O7=0),"",'Price History'!O8/'Price History'!O7-1),"")</f>
        <v>-0.0167450871851648</v>
      </c>
      <c r="P7" s="154" t="n">
        <f aca="false">IFERROR(IF(OR(NOT(ISNUMBER('Price History'!P8)),NOT(ISNUMBER('Price History'!P7)),'Price History'!P7=0),"",'Price History'!P8/'Price History'!P7-1),"")</f>
        <v>-0.019011804032174</v>
      </c>
      <c r="Q7" s="154" t="n">
        <f aca="false">IFERROR(IF(OR(NOT(ISNUMBER('Price History'!Q8)),NOT(ISNUMBER('Price History'!Q7)),'Price History'!Q7=0),"",'Price History'!Q8/'Price History'!Q7-1),"")</f>
        <v>-0.011375177737152</v>
      </c>
      <c r="R7" s="154" t="n">
        <f aca="false">IFERROR(IF(OR(NOT(ISNUMBER('Price History'!R8)),NOT(ISNUMBER('Price History'!R7)),'Price History'!R7=0),"",'Price History'!R8/'Price History'!R7-1),"")</f>
        <v>-0.0196480938416422</v>
      </c>
      <c r="S7" s="154" t="n">
        <f aca="false">IFERROR(IF(OR(NOT(ISNUMBER('Price History'!S8)),NOT(ISNUMBER('Price History'!S7)),'Price History'!S7=0),"",'Price History'!S8/'Price History'!S7-1),"")</f>
        <v>-0.0289473684210526</v>
      </c>
      <c r="T7" s="154" t="n">
        <f aca="false">IFERROR(IF(OR(NOT(ISNUMBER('Price History'!T8)),NOT(ISNUMBER('Price History'!T7)),'Price History'!T7=0),"",'Price History'!T8/'Price History'!T7-1),"")</f>
        <v>-0.0124899274778404</v>
      </c>
      <c r="U7" s="154" t="n">
        <f aca="false">IFERROR(IF(OR(NOT(ISNUMBER('Price History'!U8)),NOT(ISNUMBER('Price History'!U7)),'Price History'!U7=0),"",'Price History'!U8/'Price History'!U7-1),"")</f>
        <v>-0.0147548786292243</v>
      </c>
      <c r="V7" s="155" t="n">
        <f aca="false">IFERROR(IF(OR(NOT(ISNUMBER('Price History'!V8)),NOT(ISNUMBER('Price History'!V7)),'Price History'!V7=0),"",'Price History'!V8/'Price History'!V7-1),"")</f>
        <v>-0.0180362446730662</v>
      </c>
      <c r="W7" s="156" t="n">
        <f aca="false">IFERROR('Price History'!B3+(INDEX('Price History'!B:B,MATCH(9.99E+307,'Returns (Calc)'!$A:$A)+1)-'Price History'!B3)*(ROW()-3)/(MATCH(9.99E+307,'Returns (Calc)'!$A:$A)-3),"")</f>
        <v>521.517848101266</v>
      </c>
      <c r="X7" s="156" t="n">
        <f aca="false">IFERROR('Price History'!C3+(INDEX('Price History'!C:C,MATCH(9.99E+307,'Returns (Calc)'!$A:$A)+1)-'Price History'!C3)*(ROW()-3)/(MATCH(9.99E+307,'Returns (Calc)'!$A:$A)-3),"")</f>
        <v>50.260253164557</v>
      </c>
      <c r="Y7" s="156" t="n">
        <f aca="false">IFERROR('Price History'!D3+(INDEX('Price History'!D:D,MATCH(9.99E+307,'Returns (Calc)'!$A:$A)+1)-'Price History'!D3)*(ROW()-3)/(MATCH(9.99E+307,'Returns (Calc)'!$A:$A)-3),"")</f>
        <v>614.549240506329</v>
      </c>
      <c r="Z7" s="156" t="n">
        <f aca="false">IFERROR('Price History'!E3+(INDEX('Price History'!E:E,MATCH(9.99E+307,'Returns (Calc)'!$A:$A)+1)-'Price History'!E3)*(ROW()-3)/(MATCH(9.99E+307,'Returns (Calc)'!$A:$A)-3),"")</f>
        <v>88.9149367088608</v>
      </c>
      <c r="AA7" s="156" t="n">
        <f aca="false">IFERROR('Price History'!F3+(INDEX('Price History'!F:F,MATCH(9.99E+307,'Returns (Calc)'!$A:$A)+1)-'Price History'!F3)*(ROW()-3)/(MATCH(9.99E+307,'Returns (Calc)'!$A:$A)-3),"")</f>
        <v>47.1493670886076</v>
      </c>
      <c r="AB7" s="156" t="n">
        <f aca="false">IFERROR('Price History'!G3+(INDEX('Price History'!G:G,MATCH(9.99E+307,'Returns (Calc)'!$A:$A)+1)-'Price History'!G3)*(ROW()-3)/(MATCH(9.99E+307,'Returns (Calc)'!$A:$A)-3),"")</f>
        <v>48.4649367088608</v>
      </c>
      <c r="AC7" s="156" t="n">
        <f aca="false">IFERROR('Price History'!H3+(INDEX('Price History'!H:H,MATCH(9.99E+307,'Returns (Calc)'!$A:$A)+1)-'Price History'!H3)*(ROW()-3)/(MATCH(9.99E+307,'Returns (Calc)'!$A:$A)-3),"")</f>
        <v>94.5727848101266</v>
      </c>
      <c r="AD7" s="156" t="n">
        <f aca="false">IFERROR('Price History'!I3+(INDEX('Price History'!I:I,MATCH(9.99E+307,'Returns (Calc)'!$A:$A)+1)-'Price History'!I3)*(ROW()-3)/(MATCH(9.99E+307,'Returns (Calc)'!$A:$A)-3),"")</f>
        <v>48.5846835443038</v>
      </c>
      <c r="AE7" s="156" t="n">
        <f aca="false">IFERROR('Price History'!J3+(INDEX('Price History'!J:J,MATCH(9.99E+307,'Returns (Calc)'!$A:$A)+1)-'Price History'!J3)*(ROW()-3)/(MATCH(9.99E+307,'Returns (Calc)'!$A:$A)-3),"")</f>
        <v>112.272151898734</v>
      </c>
      <c r="AF7" s="156" t="n">
        <f aca="false">IFERROR('Price History'!K3+(INDEX('Price History'!K:K,MATCH(9.99E+307,'Returns (Calc)'!$A:$A)+1)-'Price History'!K3)*(ROW()-3)/(MATCH(9.99E+307,'Returns (Calc)'!$A:$A)-3),"")</f>
        <v>19.7203797468354</v>
      </c>
      <c r="AG7" s="156" t="n">
        <f aca="false">IFERROR('Price History'!L3+(INDEX('Price History'!L:L,MATCH(9.99E+307,'Returns (Calc)'!$A:$A)+1)-'Price History'!L3)*(ROW()-3)/(MATCH(9.99E+307,'Returns (Calc)'!$A:$A)-3),"")</f>
        <v>95.5482278481013</v>
      </c>
      <c r="AH7" s="156" t="n">
        <f aca="false">IFERROR('Price History'!M3+(INDEX('Price History'!M:M,MATCH(9.99E+307,'Returns (Calc)'!$A:$A)+1)-'Price History'!M3)*(ROW()-3)/(MATCH(9.99E+307,'Returns (Calc)'!$A:$A)-3),"")</f>
        <v>43.4417721518987</v>
      </c>
      <c r="AI7" s="156" t="n">
        <f aca="false">IFERROR('Price History'!N3+(INDEX('Price History'!N:N,MATCH(9.99E+307,'Returns (Calc)'!$A:$A)+1)-'Price History'!N3)*(ROW()-3)/(MATCH(9.99E+307,'Returns (Calc)'!$A:$A)-3),"")</f>
        <v>352.845063291139</v>
      </c>
      <c r="AJ7" s="156" t="n">
        <f aca="false">IFERROR('Price History'!O3+(INDEX('Price History'!O:O,MATCH(9.99E+307,'Returns (Calc)'!$A:$A)+1)-'Price History'!O3)*(ROW()-3)/(MATCH(9.99E+307,'Returns (Calc)'!$A:$A)-3),"")</f>
        <v>76.4421518987342</v>
      </c>
      <c r="AK7" s="156" t="n">
        <f aca="false">IFERROR('Price History'!Q3+(INDEX('Price History'!Q:Q,MATCH(9.99E+307,'Returns (Calc)'!$A:$A)+1)-'Price History'!Q3)*(ROW()-3)/(MATCH(9.99E+307,'Returns (Calc)'!$A:$A)-3),"")</f>
        <v>1.75746835443038</v>
      </c>
      <c r="AL7" s="156" t="n">
        <f aca="false">IFERROR('Price History'!R3+(INDEX('Price History'!R:R,MATCH(9.99E+307,'Returns (Calc)'!$A:$A)+1)-'Price History'!R3)*(ROW()-3)/(MATCH(9.99E+307,'Returns (Calc)'!$A:$A)-3),"")</f>
        <v>35.1524050632911</v>
      </c>
      <c r="AM7" s="156" t="n">
        <f aca="false">IFERROR('Price History'!S3+(INDEX('Price History'!S:S,MATCH(9.99E+307,'Returns (Calc)'!$A:$A)+1)-'Price History'!S3)*(ROW()-3)/(MATCH(9.99E+307,'Returns (Calc)'!$A:$A)-3),"")</f>
        <v>60.050253164557</v>
      </c>
      <c r="AN7" s="156" t="n">
        <f aca="false">IFERROR('Price History'!T3+(INDEX('Price History'!T:T,MATCH(9.99E+307,'Returns (Calc)'!$A:$A)+1)-'Price History'!T3)*(ROW()-3)/(MATCH(9.99E+307,'Returns (Calc)'!$A:$A)-3),"")</f>
        <v>25.9129113924051</v>
      </c>
      <c r="AO7" s="157" t="n">
        <f aca="false">IFERROR('Price History'!V3+(INDEX('Price History'!V:V,MATCH(9.99E+307,'Returns (Calc)'!$A:$A)+1)-'Price History'!V3)*(ROW()-3)/(MATCH(9.99E+307,'Returns (Calc)'!$A:$A)-3),"")</f>
        <v>238.795316455696</v>
      </c>
      <c r="AP7" s="155" t="n">
        <f aca="false">IFERROR(IF(OR(NOT(ISNUMBER('Price History'!W8)),NOT(ISNUMBER('Price History'!W7)),'Price History'!W7=0),"",'Price History'!W8/'Price History'!W7-1),"")</f>
        <v>-0.0121796229612371</v>
      </c>
      <c r="AQ7" s="155" t="str">
        <f aca="false">IFERROR(IF(OR(NOT(ISNUMBER('Price History'!X8)),NOT(ISNUMBER('Price History'!X7)),'Price History'!X7=0),"",'Price History'!X8/'Price History'!X7-1),"")</f>
        <v/>
      </c>
      <c r="AR7" s="155" t="n">
        <f aca="false">IFERROR(IF(OR(NOT(ISNUMBER('Price History'!Y8)),NOT(ISNUMBER('Price History'!Y7)),'Price History'!Y7=0),"",'Price History'!Y8/'Price History'!Y7-1),"")</f>
        <v>-0.0147058823529411</v>
      </c>
      <c r="AS7" s="155" t="n">
        <f aca="false">IFERROR(IF(OR(NOT(ISNUMBER('Price History'!Z8)),NOT(ISNUMBER('Price History'!Z7)),'Price History'!Z7=0),"",'Price History'!Z8/'Price History'!Z7-1),"")</f>
        <v>-0.0301373050965791</v>
      </c>
      <c r="AT7" s="155" t="n">
        <f aca="false">IFERROR(IF(OR(NOT(ISNUMBER('Price History'!AA8)),NOT(ISNUMBER('Price History'!AA7)),'Price History'!AA7=0),"",'Price History'!AA8/'Price History'!AA7-1),"")</f>
        <v>0.127354512229407</v>
      </c>
      <c r="AU7" s="155" t="n">
        <f aca="false">IFERROR(IF(OR(NOT(ISNUMBER('Price History'!AB8)),NOT(ISNUMBER('Price History'!AB7)),'Price History'!AB7=0),"",'Price History'!AB8/'Price History'!AB7-1),"")</f>
        <v>-0.0727407338855214</v>
      </c>
    </row>
    <row r="8" customFormat="false" ht="15" hidden="false" customHeight="true" outlineLevel="0" collapsed="false">
      <c r="A8" s="153" t="n">
        <f aca="false">IF('Price History'!A9="","",'Price History'!A9)</f>
        <v>45226</v>
      </c>
      <c r="B8" s="154" t="n">
        <f aca="false">IFERROR(IF(OR(NOT(ISNUMBER('Price History'!B9)),NOT(ISNUMBER('Price History'!B8)),'Price History'!B8=0),"",'Price History'!B9/'Price History'!B8-1),"")</f>
        <v>-0.0607068914522331</v>
      </c>
      <c r="C8" s="154" t="n">
        <f aca="false">IFERROR(IF(OR(NOT(ISNUMBER('Price History'!C9)),NOT(ISNUMBER('Price History'!C8)),'Price History'!C8=0),"",'Price History'!C9/'Price History'!C8-1),"")</f>
        <v>-0.0532989469159683</v>
      </c>
      <c r="D8" s="154" t="n">
        <f aca="false">IFERROR(IF(OR(NOT(ISNUMBER('Price History'!D9)),NOT(ISNUMBER('Price History'!D8)),'Price History'!D8=0),"",'Price History'!D9/'Price History'!D8-1),"")</f>
        <v>0.0170713604071677</v>
      </c>
      <c r="E8" s="154" t="n">
        <f aca="false">IFERROR(IF(OR(NOT(ISNUMBER('Price History'!E9)),NOT(ISNUMBER('Price History'!E8)),'Price History'!E8=0),"",'Price History'!E9/'Price History'!E8-1),"")</f>
        <v>-0.0179090029041626</v>
      </c>
      <c r="F8" s="154" t="n">
        <f aca="false">IFERROR(IF(OR(NOT(ISNUMBER('Price History'!F9)),NOT(ISNUMBER('Price History'!F8)),'Price History'!F8=0),"",'Price History'!F9/'Price History'!F8-1),"")</f>
        <v>-0.0331170284179906</v>
      </c>
      <c r="G8" s="154" t="n">
        <f aca="false">IFERROR(IF(OR(NOT(ISNUMBER('Price History'!G9)),NOT(ISNUMBER('Price History'!G8)),'Price History'!G8=0),"",'Price History'!G9/'Price History'!G8-1),"")</f>
        <v>-0.00974313551815764</v>
      </c>
      <c r="H8" s="154" t="n">
        <f aca="false">IFERROR(IF(OR(NOT(ISNUMBER('Price History'!H9)),NOT(ISNUMBER('Price History'!H8)),'Price History'!H8=0),"",'Price History'!H9/'Price History'!H8-1),"")</f>
        <v>-0.0234269409821295</v>
      </c>
      <c r="I8" s="154" t="n">
        <f aca="false">IFERROR(IF(OR(NOT(ISNUMBER('Price History'!I9)),NOT(ISNUMBER('Price History'!I8)),'Price History'!I8=0),"",'Price History'!I9/'Price History'!I8-1),"")</f>
        <v>-0.0213281628696073</v>
      </c>
      <c r="J8" s="154" t="n">
        <f aca="false">IFERROR(IF(OR(NOT(ISNUMBER('Price History'!J9)),NOT(ISNUMBER('Price History'!J8)),'Price History'!J8=0),"",'Price History'!J9/'Price History'!J8-1),"")</f>
        <v>-0.0498924731182796</v>
      </c>
      <c r="K8" s="154" t="n">
        <f aca="false">IFERROR(IF(OR(NOT(ISNUMBER('Price History'!K9)),NOT(ISNUMBER('Price History'!K8)),'Price History'!K8=0),"",'Price History'!K9/'Price History'!K8-1),"")</f>
        <v>-0.0645561762880198</v>
      </c>
      <c r="L8" s="154" t="n">
        <f aca="false">IFERROR(IF(OR(NOT(ISNUMBER('Price History'!L9)),NOT(ISNUMBER('Price History'!L8)),'Price History'!L8=0),"",'Price History'!L9/'Price History'!L8-1),"")</f>
        <v>-0.0582468938789468</v>
      </c>
      <c r="M8" s="154" t="n">
        <f aca="false">IFERROR(IF(OR(NOT(ISNUMBER('Price History'!M9)),NOT(ISNUMBER('Price History'!M8)),'Price History'!M8=0),"",'Price History'!M9/'Price History'!M8-1),"")</f>
        <v>-0.00874316939890707</v>
      </c>
      <c r="N8" s="154" t="n">
        <f aca="false">IFERROR(IF(OR(NOT(ISNUMBER('Price History'!N9)),NOT(ISNUMBER('Price History'!N8)),'Price History'!N8=0),"",'Price History'!N9/'Price History'!N8-1),"")</f>
        <v>-0.018183827999779</v>
      </c>
      <c r="O8" s="154" t="n">
        <f aca="false">IFERROR(IF(OR(NOT(ISNUMBER('Price History'!O9)),NOT(ISNUMBER('Price History'!O8)),'Price History'!O8=0),"",'Price History'!O9/'Price History'!O8-1),"")</f>
        <v>-0.0154820548909218</v>
      </c>
      <c r="P8" s="154" t="n">
        <f aca="false">IFERROR(IF(OR(NOT(ISNUMBER('Price History'!P9)),NOT(ISNUMBER('Price History'!P8)),'Price History'!P8=0),"",'Price History'!P9/'Price History'!P8-1),"")</f>
        <v>-0.0160792247896921</v>
      </c>
      <c r="Q8" s="154" t="n">
        <f aca="false">IFERROR(IF(OR(NOT(ISNUMBER('Price History'!Q9)),NOT(ISNUMBER('Price History'!Q8)),'Price History'!Q8=0),"",'Price History'!Q9/'Price History'!Q8-1),"")</f>
        <v>-0.0172590918430245</v>
      </c>
      <c r="R8" s="154" t="n">
        <f aca="false">IFERROR(IF(OR(NOT(ISNUMBER('Price History'!R9)),NOT(ISNUMBER('Price History'!R8)),'Price History'!R8=0),"",'Price History'!R9/'Price History'!R8-1),"")</f>
        <v>-0.0209392760993121</v>
      </c>
      <c r="S8" s="154" t="n">
        <f aca="false">IFERROR(IF(OR(NOT(ISNUMBER('Price History'!S9)),NOT(ISNUMBER('Price History'!S8)),'Price History'!S8=0),"",'Price History'!S9/'Price History'!S8-1),"")</f>
        <v>-0.0202348690153569</v>
      </c>
      <c r="T8" s="154" t="n">
        <f aca="false">IFERROR(IF(OR(NOT(ISNUMBER('Price History'!T9)),NOT(ISNUMBER('Price History'!T8)),'Price History'!T8=0),"",'Price History'!T9/'Price History'!T8-1),"")</f>
        <v>-0.0330477356181151</v>
      </c>
      <c r="U8" s="154" t="n">
        <f aca="false">IFERROR(IF(OR(NOT(ISNUMBER('Price History'!U9)),NOT(ISNUMBER('Price History'!U8)),'Price History'!U8=0),"",'Price History'!U9/'Price History'!U8-1),"")</f>
        <v>-0.0342995169082126</v>
      </c>
      <c r="V8" s="155" t="n">
        <f aca="false">IFERROR(IF(OR(NOT(ISNUMBER('Price History'!V9)),NOT(ISNUMBER('Price History'!V8)),'Price History'!V8=0),"",'Price History'!V9/'Price History'!V8-1),"")</f>
        <v>-0.0176223040504998</v>
      </c>
      <c r="W8" s="156" t="n">
        <f aca="false">IFERROR('Price History'!B3+(INDEX('Price History'!B:B,MATCH(9.99E+307,'Returns (Calc)'!$A:$A)+1)-'Price History'!B3)*(ROW()-3)/(MATCH(9.99E+307,'Returns (Calc)'!$A:$A)-3),"")</f>
        <v>519.674810126582</v>
      </c>
      <c r="X8" s="156" t="n">
        <f aca="false">IFERROR('Price History'!C3+(INDEX('Price History'!C:C,MATCH(9.99E+307,'Returns (Calc)'!$A:$A)+1)-'Price History'!C3)*(ROW()-3)/(MATCH(9.99E+307,'Returns (Calc)'!$A:$A)-3),"")</f>
        <v>51.2803164556962</v>
      </c>
      <c r="Y8" s="156" t="n">
        <f aca="false">IFERROR('Price History'!D3+(INDEX('Price History'!D:D,MATCH(9.99E+307,'Returns (Calc)'!$A:$A)+1)-'Price History'!D3)*(ROW()-3)/(MATCH(9.99E+307,'Returns (Calc)'!$A:$A)-3),"")</f>
        <v>622.684050632911</v>
      </c>
      <c r="Z8" s="156" t="n">
        <f aca="false">IFERROR('Price History'!E3+(INDEX('Price History'!E:E,MATCH(9.99E+307,'Returns (Calc)'!$A:$A)+1)-'Price History'!E3)*(ROW()-3)/(MATCH(9.99E+307,'Returns (Calc)'!$A:$A)-3),"")</f>
        <v>90.643670886076</v>
      </c>
      <c r="AA8" s="156" t="n">
        <f aca="false">IFERROR('Price History'!F3+(INDEX('Price History'!F:F,MATCH(9.99E+307,'Returns (Calc)'!$A:$A)+1)-'Price History'!F3)*(ROW()-3)/(MATCH(9.99E+307,'Returns (Calc)'!$A:$A)-3),"")</f>
        <v>48.5967088607595</v>
      </c>
      <c r="AB8" s="156" t="n">
        <f aca="false">IFERROR('Price History'!G3+(INDEX('Price History'!G:G,MATCH(9.99E+307,'Returns (Calc)'!$A:$A)+1)-'Price History'!G3)*(ROW()-3)/(MATCH(9.99E+307,'Returns (Calc)'!$A:$A)-3),"")</f>
        <v>49.493670886076</v>
      </c>
      <c r="AC8" s="156" t="n">
        <f aca="false">IFERROR('Price History'!H3+(INDEX('Price History'!H:H,MATCH(9.99E+307,'Returns (Calc)'!$A:$A)+1)-'Price History'!H3)*(ROW()-3)/(MATCH(9.99E+307,'Returns (Calc)'!$A:$A)-3),"")</f>
        <v>100.938481012658</v>
      </c>
      <c r="AD8" s="156" t="n">
        <f aca="false">IFERROR('Price History'!I3+(INDEX('Price History'!I:I,MATCH(9.99E+307,'Returns (Calc)'!$A:$A)+1)-'Price History'!I3)*(ROW()-3)/(MATCH(9.99E+307,'Returns (Calc)'!$A:$A)-3),"")</f>
        <v>49.7883544303798</v>
      </c>
      <c r="AE8" s="156" t="n">
        <f aca="false">IFERROR('Price History'!J3+(INDEX('Price History'!J:J,MATCH(9.99E+307,'Returns (Calc)'!$A:$A)+1)-'Price History'!J3)*(ROW()-3)/(MATCH(9.99E+307,'Returns (Calc)'!$A:$A)-3),"")</f>
        <v>112.380189873418</v>
      </c>
      <c r="AF8" s="156" t="n">
        <f aca="false">IFERROR('Price History'!K3+(INDEX('Price History'!K:K,MATCH(9.99E+307,'Returns (Calc)'!$A:$A)+1)-'Price History'!K3)*(ROW()-3)/(MATCH(9.99E+307,'Returns (Calc)'!$A:$A)-3),"")</f>
        <v>20.8179746835443</v>
      </c>
      <c r="AG8" s="156" t="n">
        <f aca="false">IFERROR('Price History'!L3+(INDEX('Price History'!L:L,MATCH(9.99E+307,'Returns (Calc)'!$A:$A)+1)-'Price History'!L3)*(ROW()-3)/(MATCH(9.99E+307,'Returns (Calc)'!$A:$A)-3),"")</f>
        <v>97.9977848101266</v>
      </c>
      <c r="AH8" s="156" t="n">
        <f aca="false">IFERROR('Price History'!M3+(INDEX('Price History'!M:M,MATCH(9.99E+307,'Returns (Calc)'!$A:$A)+1)-'Price History'!M3)*(ROW()-3)/(MATCH(9.99E+307,'Returns (Calc)'!$A:$A)-3),"")</f>
        <v>44.7972151898734</v>
      </c>
      <c r="AI8" s="156" t="n">
        <f aca="false">IFERROR('Price History'!N3+(INDEX('Price History'!N:N,MATCH(9.99E+307,'Returns (Calc)'!$A:$A)+1)-'Price History'!N3)*(ROW()-3)/(MATCH(9.99E+307,'Returns (Calc)'!$A:$A)-3),"")</f>
        <v>353.831329113924</v>
      </c>
      <c r="AJ8" s="156" t="n">
        <f aca="false">IFERROR('Price History'!O3+(INDEX('Price History'!O:O,MATCH(9.99E+307,'Returns (Calc)'!$A:$A)+1)-'Price History'!O3)*(ROW()-3)/(MATCH(9.99E+307,'Returns (Calc)'!$A:$A)-3),"")</f>
        <v>76.7251898734177</v>
      </c>
      <c r="AK8" s="156" t="n">
        <f aca="false">IFERROR('Price History'!Q3+(INDEX('Price History'!Q:Q,MATCH(9.99E+307,'Returns (Calc)'!$A:$A)+1)-'Price History'!Q3)*(ROW()-3)/(MATCH(9.99E+307,'Returns (Calc)'!$A:$A)-3),"")</f>
        <v>2.19683544303798</v>
      </c>
      <c r="AL8" s="156" t="n">
        <f aca="false">IFERROR('Price History'!R3+(INDEX('Price History'!R:R,MATCH(9.99E+307,'Returns (Calc)'!$A:$A)+1)-'Price History'!R3)*(ROW()-3)/(MATCH(9.99E+307,'Returns (Calc)'!$A:$A)-3),"")</f>
        <v>35.3205063291139</v>
      </c>
      <c r="AM8" s="156" t="n">
        <f aca="false">IFERROR('Price History'!S3+(INDEX('Price History'!S:S,MATCH(9.99E+307,'Returns (Calc)'!$A:$A)+1)-'Price History'!S3)*(ROW()-3)/(MATCH(9.99E+307,'Returns (Calc)'!$A:$A)-3),"")</f>
        <v>60.6553164556962</v>
      </c>
      <c r="AN8" s="156" t="n">
        <f aca="false">IFERROR('Price History'!T3+(INDEX('Price History'!T:T,MATCH(9.99E+307,'Returns (Calc)'!$A:$A)+1)-'Price History'!T3)*(ROW()-3)/(MATCH(9.99E+307,'Returns (Calc)'!$A:$A)-3),"")</f>
        <v>26.0811392405063</v>
      </c>
      <c r="AO8" s="157" t="n">
        <f aca="false">IFERROR('Price History'!V3+(INDEX('Price History'!V:V,MATCH(9.99E+307,'Returns (Calc)'!$A:$A)+1)-'Price History'!V3)*(ROW()-3)/(MATCH(9.99E+307,'Returns (Calc)'!$A:$A)-3),"")</f>
        <v>239.58664556962</v>
      </c>
      <c r="AP8" s="155" t="n">
        <f aca="false">IFERROR(IF(OR(NOT(ISNUMBER('Price History'!W9)),NOT(ISNUMBER('Price History'!W8)),'Price History'!W8=0),"",'Price History'!W9/'Price History'!W8-1),"")</f>
        <v>-0.0247668060469605</v>
      </c>
      <c r="AQ8" s="155" t="str">
        <f aca="false">IFERROR(IF(OR(NOT(ISNUMBER('Price History'!X9)),NOT(ISNUMBER('Price History'!X8)),'Price History'!X8=0),"",'Price History'!X9/'Price History'!X8-1),"")</f>
        <v/>
      </c>
      <c r="AR8" s="155" t="n">
        <f aca="false">IFERROR(IF(OR(NOT(ISNUMBER('Price History'!Y9)),NOT(ISNUMBER('Price History'!Y8)),'Price History'!Y8=0),"",'Price History'!Y9/'Price History'!Y8-1),"")</f>
        <v>-0.0221473278767453</v>
      </c>
      <c r="AS8" s="155" t="n">
        <f aca="false">IFERROR(IF(OR(NOT(ISNUMBER('Price History'!Z9)),NOT(ISNUMBER('Price History'!Z8)),'Price History'!Z8=0),"",'Price History'!Z9/'Price History'!Z8-1),"")</f>
        <v>0.00251949610077995</v>
      </c>
      <c r="AT8" s="155" t="n">
        <f aca="false">IFERROR(IF(OR(NOT(ISNUMBER('Price History'!AA9)),NOT(ISNUMBER('Price History'!AA8)),'Price History'!AA8=0),"",'Price History'!AA9/'Price History'!AA8-1),"")</f>
        <v>-0.00773067331670829</v>
      </c>
      <c r="AU8" s="155" t="n">
        <f aca="false">IFERROR(IF(OR(NOT(ISNUMBER('Price History'!AB9)),NOT(ISNUMBER('Price History'!AB8)),'Price History'!AB8=0),"",'Price History'!AB9/'Price History'!AB8-1),"")</f>
        <v>-0.0542442237636608</v>
      </c>
    </row>
    <row r="9" customFormat="false" ht="15" hidden="false" customHeight="true" outlineLevel="0" collapsed="false">
      <c r="A9" s="153" t="n">
        <f aca="false">IF('Price History'!A10="","",'Price History'!A10)</f>
        <v>45233</v>
      </c>
      <c r="B9" s="154" t="n">
        <f aca="false">IFERROR(IF(OR(NOT(ISNUMBER('Price History'!B10)),NOT(ISNUMBER('Price History'!B9)),'Price History'!B9=0),"",'Price History'!B10/'Price History'!B9-1),"")</f>
        <v>0.10930488860899</v>
      </c>
      <c r="C9" s="154" t="n">
        <f aca="false">IFERROR(IF(OR(NOT(ISNUMBER('Price History'!C10)),NOT(ISNUMBER('Price History'!C9)),'Price History'!C9=0),"",'Price History'!C10/'Price History'!C9-1),"")</f>
        <v>0.205902383654938</v>
      </c>
      <c r="D9" s="154" t="n">
        <f aca="false">IFERROR(IF(OR(NOT(ISNUMBER('Price History'!D10)),NOT(ISNUMBER('Price History'!D9)),'Price History'!D9=0),"",'Price History'!D10/'Price History'!D9-1),"")</f>
        <v>0.0916041145398945</v>
      </c>
      <c r="E9" s="154" t="n">
        <f aca="false">IFERROR(IF(OR(NOT(ISNUMBER('Price History'!E10)),NOT(ISNUMBER('Price History'!E9)),'Price History'!E9=0),"",'Price History'!E10/'Price History'!E9-1),"")</f>
        <v>0.0528585510103501</v>
      </c>
      <c r="F9" s="154" t="n">
        <f aca="false">IFERROR(IF(OR(NOT(ISNUMBER('Price History'!F10)),NOT(ISNUMBER('Price History'!F9)),'Price History'!F9=0),"",'Price History'!F10/'Price History'!F9-1),"")</f>
        <v>0.0890997454292988</v>
      </c>
      <c r="G9" s="154" t="n">
        <f aca="false">IFERROR(IF(OR(NOT(ISNUMBER('Price History'!G10)),NOT(ISNUMBER('Price History'!G9)),'Price History'!G9=0),"",'Price History'!G10/'Price History'!G9-1),"")</f>
        <v>0.091010733452594</v>
      </c>
      <c r="H9" s="154" t="n">
        <f aca="false">IFERROR(IF(OR(NOT(ISNUMBER('Price History'!H10)),NOT(ISNUMBER('Price History'!H9)),'Price History'!H9=0),"",'Price History'!H10/'Price History'!H9-1),"")</f>
        <v>0.10564354913117</v>
      </c>
      <c r="I9" s="154" t="n">
        <f aca="false">IFERROR(IF(OR(NOT(ISNUMBER('Price History'!I10)),NOT(ISNUMBER('Price History'!I9)),'Price History'!I9=0),"",'Price History'!I10/'Price History'!I9-1),"")</f>
        <v>0.111193660227835</v>
      </c>
      <c r="J9" s="154" t="n">
        <f aca="false">IFERROR(IF(OR(NOT(ISNUMBER('Price History'!J10)),NOT(ISNUMBER('Price History'!J9)),'Price History'!J9=0),"",'Price History'!J10/'Price History'!J9-1),"")</f>
        <v>0.0948392937980986</v>
      </c>
      <c r="K9" s="154" t="n">
        <f aca="false">IFERROR(IF(OR(NOT(ISNUMBER('Price History'!K10)),NOT(ISNUMBER('Price History'!K9)),'Price History'!K9=0),"",'Price History'!K10/'Price History'!K9-1),"")</f>
        <v>0.253483742534838</v>
      </c>
      <c r="L9" s="154" t="n">
        <f aca="false">IFERROR(IF(OR(NOT(ISNUMBER('Price History'!L10)),NOT(ISNUMBER('Price History'!L9)),'Price History'!L9=0),"",'Price History'!L10/'Price History'!L9-1),"")</f>
        <v>0.0674170902929072</v>
      </c>
      <c r="M9" s="154" t="n">
        <f aca="false">IFERROR(IF(OR(NOT(ISNUMBER('Price History'!M10)),NOT(ISNUMBER('Price History'!M9)),'Price History'!M9=0),"",'Price History'!M10/'Price History'!M9-1),"")</f>
        <v>0.110253583241455</v>
      </c>
      <c r="N9" s="154" t="n">
        <f aca="false">IFERROR(IF(OR(NOT(ISNUMBER('Price History'!N10)),NOT(ISNUMBER('Price History'!N9)),'Price History'!N9=0),"",'Price History'!N10/'Price History'!N9-1),"")</f>
        <v>0.0588831344291827</v>
      </c>
      <c r="O9" s="154" t="n">
        <f aca="false">IFERROR(IF(OR(NOT(ISNUMBER('Price History'!O10)),NOT(ISNUMBER('Price History'!O9)),'Price History'!O9=0),"",'Price History'!O10/'Price History'!O9-1),"")</f>
        <v>0.0716225875625445</v>
      </c>
      <c r="P9" s="154" t="n">
        <f aca="false">IFERROR(IF(OR(NOT(ISNUMBER('Price History'!P10)),NOT(ISNUMBER('Price History'!P9)),'Price History'!P9=0),"",'Price History'!P10/'Price History'!P9-1),"")</f>
        <v>0.0586580086580084</v>
      </c>
      <c r="Q9" s="154" t="n">
        <f aca="false">IFERROR(IF(OR(NOT(ISNUMBER('Price History'!Q10)),NOT(ISNUMBER('Price History'!Q9)),'Price History'!Q9=0),"",'Price History'!Q10/'Price History'!Q9-1),"")</f>
        <v>0.0403512439891283</v>
      </c>
      <c r="R9" s="154" t="n">
        <f aca="false">IFERROR(IF(OR(NOT(ISNUMBER('Price History'!R10)),NOT(ISNUMBER('Price History'!R9)),'Price History'!R9=0),"",'Price History'!R10/'Price History'!R9-1),"")</f>
        <v>0.0574396578062939</v>
      </c>
      <c r="S9" s="154" t="n">
        <f aca="false">IFERROR(IF(OR(NOT(ISNUMBER('Price History'!S10)),NOT(ISNUMBER('Price History'!S9)),'Price History'!S9=0),"",'Price History'!S10/'Price History'!S9-1),"")</f>
        <v>0.0584547298543243</v>
      </c>
      <c r="T9" s="154" t="n">
        <f aca="false">IFERROR(IF(OR(NOT(ISNUMBER('Price History'!T10)),NOT(ISNUMBER('Price History'!T9)),'Price History'!T9=0),"",'Price History'!T10/'Price History'!T9-1),"")</f>
        <v>0.0586497890295359</v>
      </c>
      <c r="U9" s="154" t="n">
        <f aca="false">IFERROR(IF(OR(NOT(ISNUMBER('Price History'!U10)),NOT(ISNUMBER('Price History'!U9)),'Price History'!U9=0),"",'Price History'!U10/'Price History'!U9-1),"")</f>
        <v>0.0500250125062531</v>
      </c>
      <c r="V9" s="155" t="n">
        <f aca="false">IFERROR(IF(OR(NOT(ISNUMBER('Price History'!V10)),NOT(ISNUMBER('Price History'!V9)),'Price History'!V9=0),"",'Price History'!V10/'Price History'!V9-1),"")</f>
        <v>0.062516733601071</v>
      </c>
      <c r="W9" s="156" t="n">
        <f aca="false">IFERROR('Price History'!B3+(INDEX('Price History'!B:B,MATCH(9.99E+307,'Returns (Calc)'!$A:$A)+1)-'Price History'!B3)*(ROW()-3)/(MATCH(9.99E+307,'Returns (Calc)'!$A:$A)-3),"")</f>
        <v>517.831772151899</v>
      </c>
      <c r="X9" s="156" t="n">
        <f aca="false">IFERROR('Price History'!C3+(INDEX('Price History'!C:C,MATCH(9.99E+307,'Returns (Calc)'!$A:$A)+1)-'Price History'!C3)*(ROW()-3)/(MATCH(9.99E+307,'Returns (Calc)'!$A:$A)-3),"")</f>
        <v>52.3003797468354</v>
      </c>
      <c r="Y9" s="156" t="n">
        <f aca="false">IFERROR('Price History'!D3+(INDEX('Price History'!D:D,MATCH(9.99E+307,'Returns (Calc)'!$A:$A)+1)-'Price History'!D3)*(ROW()-3)/(MATCH(9.99E+307,'Returns (Calc)'!$A:$A)-3),"")</f>
        <v>630.818860759494</v>
      </c>
      <c r="Z9" s="156" t="n">
        <f aca="false">IFERROR('Price History'!E3+(INDEX('Price History'!E:E,MATCH(9.99E+307,'Returns (Calc)'!$A:$A)+1)-'Price History'!E3)*(ROW()-3)/(MATCH(9.99E+307,'Returns (Calc)'!$A:$A)-3),"")</f>
        <v>92.3724050632911</v>
      </c>
      <c r="AA9" s="156" t="n">
        <f aca="false">IFERROR('Price History'!F3+(INDEX('Price History'!F:F,MATCH(9.99E+307,'Returns (Calc)'!$A:$A)+1)-'Price History'!F3)*(ROW()-3)/(MATCH(9.99E+307,'Returns (Calc)'!$A:$A)-3),"")</f>
        <v>50.0440506329114</v>
      </c>
      <c r="AB9" s="156" t="n">
        <f aca="false">IFERROR('Price History'!G3+(INDEX('Price History'!G:G,MATCH(9.99E+307,'Returns (Calc)'!$A:$A)+1)-'Price History'!G3)*(ROW()-3)/(MATCH(9.99E+307,'Returns (Calc)'!$A:$A)-3),"")</f>
        <v>50.5224050632911</v>
      </c>
      <c r="AC9" s="156" t="n">
        <f aca="false">IFERROR('Price History'!H3+(INDEX('Price History'!H:H,MATCH(9.99E+307,'Returns (Calc)'!$A:$A)+1)-'Price History'!H3)*(ROW()-3)/(MATCH(9.99E+307,'Returns (Calc)'!$A:$A)-3),"")</f>
        <v>107.30417721519</v>
      </c>
      <c r="AD9" s="156" t="n">
        <f aca="false">IFERROR('Price History'!I3+(INDEX('Price History'!I:I,MATCH(9.99E+307,'Returns (Calc)'!$A:$A)+1)-'Price History'!I3)*(ROW()-3)/(MATCH(9.99E+307,'Returns (Calc)'!$A:$A)-3),"")</f>
        <v>50.9920253164557</v>
      </c>
      <c r="AE9" s="156" t="n">
        <f aca="false">IFERROR('Price History'!J3+(INDEX('Price History'!J:J,MATCH(9.99E+307,'Returns (Calc)'!$A:$A)+1)-'Price History'!J3)*(ROW()-3)/(MATCH(9.99E+307,'Returns (Calc)'!$A:$A)-3),"")</f>
        <v>112.488227848101</v>
      </c>
      <c r="AF9" s="156" t="n">
        <f aca="false">IFERROR('Price History'!K3+(INDEX('Price History'!K:K,MATCH(9.99E+307,'Returns (Calc)'!$A:$A)+1)-'Price History'!K3)*(ROW()-3)/(MATCH(9.99E+307,'Returns (Calc)'!$A:$A)-3),"")</f>
        <v>21.9155696202532</v>
      </c>
      <c r="AG9" s="156" t="n">
        <f aca="false">IFERROR('Price History'!L3+(INDEX('Price History'!L:L,MATCH(9.99E+307,'Returns (Calc)'!$A:$A)+1)-'Price History'!L3)*(ROW()-3)/(MATCH(9.99E+307,'Returns (Calc)'!$A:$A)-3),"")</f>
        <v>100.447341772152</v>
      </c>
      <c r="AH9" s="156" t="n">
        <f aca="false">IFERROR('Price History'!M3+(INDEX('Price History'!M:M,MATCH(9.99E+307,'Returns (Calc)'!$A:$A)+1)-'Price History'!M3)*(ROW()-3)/(MATCH(9.99E+307,'Returns (Calc)'!$A:$A)-3),"")</f>
        <v>46.1526582278481</v>
      </c>
      <c r="AI9" s="156" t="n">
        <f aca="false">IFERROR('Price History'!N3+(INDEX('Price History'!N:N,MATCH(9.99E+307,'Returns (Calc)'!$A:$A)+1)-'Price History'!N3)*(ROW()-3)/(MATCH(9.99E+307,'Returns (Calc)'!$A:$A)-3),"")</f>
        <v>354.817594936709</v>
      </c>
      <c r="AJ9" s="156" t="n">
        <f aca="false">IFERROR('Price History'!O3+(INDEX('Price History'!O:O,MATCH(9.99E+307,'Returns (Calc)'!$A:$A)+1)-'Price History'!O3)*(ROW()-3)/(MATCH(9.99E+307,'Returns (Calc)'!$A:$A)-3),"")</f>
        <v>77.0082278481013</v>
      </c>
      <c r="AK9" s="156" t="n">
        <f aca="false">IFERROR('Price History'!Q3+(INDEX('Price History'!Q:Q,MATCH(9.99E+307,'Returns (Calc)'!$A:$A)+1)-'Price History'!Q3)*(ROW()-3)/(MATCH(9.99E+307,'Returns (Calc)'!$A:$A)-3),"")</f>
        <v>2.63620253164557</v>
      </c>
      <c r="AL9" s="156" t="n">
        <f aca="false">IFERROR('Price History'!R3+(INDEX('Price History'!R:R,MATCH(9.99E+307,'Returns (Calc)'!$A:$A)+1)-'Price History'!R3)*(ROW()-3)/(MATCH(9.99E+307,'Returns (Calc)'!$A:$A)-3),"")</f>
        <v>35.4886075949367</v>
      </c>
      <c r="AM9" s="156" t="n">
        <f aca="false">IFERROR('Price History'!S3+(INDEX('Price History'!S:S,MATCH(9.99E+307,'Returns (Calc)'!$A:$A)+1)-'Price History'!S3)*(ROW()-3)/(MATCH(9.99E+307,'Returns (Calc)'!$A:$A)-3),"")</f>
        <v>61.2603797468355</v>
      </c>
      <c r="AN9" s="156" t="n">
        <f aca="false">IFERROR('Price History'!T3+(INDEX('Price History'!T:T,MATCH(9.99E+307,'Returns (Calc)'!$A:$A)+1)-'Price History'!T3)*(ROW()-3)/(MATCH(9.99E+307,'Returns (Calc)'!$A:$A)-3),"")</f>
        <v>26.2493670886076</v>
      </c>
      <c r="AO9" s="157" t="n">
        <f aca="false">IFERROR('Price History'!V3+(INDEX('Price History'!V:V,MATCH(9.99E+307,'Returns (Calc)'!$A:$A)+1)-'Price History'!V3)*(ROW()-3)/(MATCH(9.99E+307,'Returns (Calc)'!$A:$A)-3),"")</f>
        <v>240.377974683544</v>
      </c>
      <c r="AP9" s="155" t="n">
        <f aca="false">IFERROR(IF(OR(NOT(ISNUMBER('Price History'!W10)),NOT(ISNUMBER('Price History'!W9)),'Price History'!W9=0),"",'Price History'!W10/'Price History'!W9-1),"")</f>
        <v>0.0517810026385226</v>
      </c>
      <c r="AQ9" s="155" t="str">
        <f aca="false">IFERROR(IF(OR(NOT(ISNUMBER('Price History'!X10)),NOT(ISNUMBER('Price History'!X9)),'Price History'!X9=0),"",'Price History'!X10/'Price History'!X9-1),"")</f>
        <v/>
      </c>
      <c r="AR9" s="155" t="n">
        <f aca="false">IFERROR(IF(OR(NOT(ISNUMBER('Price History'!Y10)),NOT(ISNUMBER('Price History'!Y9)),'Price History'!Y9=0),"",'Price History'!Y10/'Price History'!Y9-1),"")</f>
        <v>0.0475135401280158</v>
      </c>
      <c r="AS9" s="155" t="n">
        <f aca="false">IFERROR(IF(OR(NOT(ISNUMBER('Price History'!Z10)),NOT(ISNUMBER('Price History'!Z9)),'Price History'!Z9=0),"",'Price History'!Z10/'Price History'!Z9-1),"")</f>
        <v>0.0241742460507419</v>
      </c>
      <c r="AT9" s="155" t="n">
        <f aca="false">IFERROR(IF(OR(NOT(ISNUMBER('Price History'!AA10)),NOT(ISNUMBER('Price History'!AA9)),'Price History'!AA9=0),"",'Price History'!AA10/'Price History'!AA9-1),"")</f>
        <v>0.0867052023121389</v>
      </c>
      <c r="AU9" s="155" t="n">
        <f aca="false">IFERROR(IF(OR(NOT(ISNUMBER('Price History'!AB10)),NOT(ISNUMBER('Price History'!AB9)),'Price History'!AB9=0),"",'Price History'!AB10/'Price History'!AB9-1),"")</f>
        <v>0.0267517940059097</v>
      </c>
    </row>
    <row r="10" customFormat="false" ht="15" hidden="false" customHeight="true" outlineLevel="0" collapsed="false">
      <c r="A10" s="153" t="n">
        <f aca="false">IF('Price History'!A11="","",'Price History'!A11)</f>
        <v>45240</v>
      </c>
      <c r="B10" s="154" t="n">
        <f aca="false">IFERROR(IF(OR(NOT(ISNUMBER('Price History'!B11)),NOT(ISNUMBER('Price History'!B10)),'Price History'!B10=0),"",'Price History'!B11/'Price History'!B10-1),"")</f>
        <v>0.0595394386687012</v>
      </c>
      <c r="C10" s="154" t="n">
        <f aca="false">IFERROR(IF(OR(NOT(ISNUMBER('Price History'!C11)),NOT(ISNUMBER('Price History'!C10)),'Price History'!C10=0),"",'Price History'!C11/'Price History'!C10-1),"")</f>
        <v>-0.0265436746987952</v>
      </c>
      <c r="D10" s="154" t="n">
        <f aca="false">IFERROR(IF(OR(NOT(ISNUMBER('Price History'!D11)),NOT(ISNUMBER('Price History'!D10)),'Price History'!D10=0),"",'Price History'!D11/'Price History'!D10-1),"")</f>
        <v>0.0293836750286516</v>
      </c>
      <c r="E10" s="154" t="n">
        <f aca="false">IFERROR(IF(OR(NOT(ISNUMBER('Price History'!E11)),NOT(ISNUMBER('Price History'!E10)),'Price History'!E10=0),"",'Price History'!E11/'Price History'!E10-1),"")</f>
        <v>0.0847279110590988</v>
      </c>
      <c r="F10" s="154" t="n">
        <f aca="false">IFERROR(IF(OR(NOT(ISNUMBER('Price History'!F11)),NOT(ISNUMBER('Price History'!F10)),'Price History'!F10=0),"",'Price History'!F11/'Price History'!F10-1),"")</f>
        <v>0.0429239269018273</v>
      </c>
      <c r="G10" s="154" t="n">
        <f aca="false">IFERROR(IF(OR(NOT(ISNUMBER('Price History'!G11)),NOT(ISNUMBER('Price History'!G10)),'Price History'!G10=0),"",'Price History'!G11/'Price History'!G10-1),"")</f>
        <v>0.0692764910842387</v>
      </c>
      <c r="H10" s="154" t="n">
        <f aca="false">IFERROR(IF(OR(NOT(ISNUMBER('Price History'!H11)),NOT(ISNUMBER('Price History'!H10)),'Price History'!H10=0),"",'Price History'!H11/'Price History'!H10-1),"")</f>
        <v>0.0382475660639778</v>
      </c>
      <c r="I10" s="154" t="n">
        <f aca="false">IFERROR(IF(OR(NOT(ISNUMBER('Price History'!I11)),NOT(ISNUMBER('Price History'!I10)),'Price History'!I10=0),"",'Price History'!I11/'Price History'!I10-1),"")</f>
        <v>0.0739915310898149</v>
      </c>
      <c r="J10" s="154" t="n">
        <f aca="false">IFERROR(IF(OR(NOT(ISNUMBER('Price History'!J11)),NOT(ISNUMBER('Price History'!J10)),'Price History'!J10=0),"",'Price History'!J11/'Price History'!J10-1),"")</f>
        <v>-0.0187099441802769</v>
      </c>
      <c r="K10" s="154" t="n">
        <f aca="false">IFERROR(IF(OR(NOT(ISNUMBER('Price History'!K11)),NOT(ISNUMBER('Price History'!K10)),'Price History'!K10=0),"",'Price History'!K11/'Price History'!K10-1),"")</f>
        <v>0.0412916887241928</v>
      </c>
      <c r="L10" s="154" t="n">
        <f aca="false">IFERROR(IF(OR(NOT(ISNUMBER('Price History'!L11)),NOT(ISNUMBER('Price History'!L10)),'Price History'!L10=0),"",'Price History'!L11/'Price History'!L10-1),"")</f>
        <v>0.061571606758136</v>
      </c>
      <c r="M10" s="154" t="n">
        <f aca="false">IFERROR(IF(OR(NOT(ISNUMBER('Price History'!M11)),NOT(ISNUMBER('Price History'!M10)),'Price History'!M10=0),"",'Price History'!M11/'Price History'!M10-1),"")</f>
        <v>0.0345084409136047</v>
      </c>
      <c r="N10" s="154" t="n">
        <f aca="false">IFERROR(IF(OR(NOT(ISNUMBER('Price History'!N11)),NOT(ISNUMBER('Price History'!N10)),'Price History'!N10=0),"",'Price History'!N11/'Price History'!N10-1),"")</f>
        <v>-0.00677830940988844</v>
      </c>
      <c r="O10" s="154" t="n">
        <f aca="false">IFERROR(IF(OR(NOT(ISNUMBER('Price History'!O11)),NOT(ISNUMBER('Price History'!O10)),'Price History'!O10=0),"",'Price History'!O11/'Price History'!O10-1),"")</f>
        <v>-0.0341515474919956</v>
      </c>
      <c r="P10" s="154" t="n">
        <f aca="false">IFERROR(IF(OR(NOT(ISNUMBER('Price History'!P11)),NOT(ISNUMBER('Price History'!P10)),'Price History'!P10=0),"",'Price History'!P11/'Price History'!P10-1),"")</f>
        <v>-0.0225925168677161</v>
      </c>
      <c r="Q10" s="154" t="n">
        <f aca="false">IFERROR(IF(OR(NOT(ISNUMBER('Price History'!Q11)),NOT(ISNUMBER('Price History'!Q10)),'Price History'!Q10=0),"",'Price History'!Q11/'Price History'!Q10-1),"")</f>
        <v>0.010048231511254</v>
      </c>
      <c r="R10" s="154" t="n">
        <f aca="false">IFERROR(IF(OR(NOT(ISNUMBER('Price History'!R11)),NOT(ISNUMBER('Price History'!R10)),'Price History'!R10=0),"",'Price History'!R11/'Price History'!R10-1),"")</f>
        <v>0.0208032360589425</v>
      </c>
      <c r="S10" s="154" t="n">
        <f aca="false">IFERROR(IF(OR(NOT(ISNUMBER('Price History'!S11)),NOT(ISNUMBER('Price History'!S10)),'Price History'!S10=0),"",'Price History'!S11/'Price History'!S10-1),"")</f>
        <v>0.0294425087108015</v>
      </c>
      <c r="T10" s="154" t="n">
        <f aca="false">IFERROR(IF(OR(NOT(ISNUMBER('Price History'!T11)),NOT(ISNUMBER('Price History'!T10)),'Price History'!T10=0),"",'Price History'!T11/'Price History'!T10-1),"")</f>
        <v>-0.00637704264647265</v>
      </c>
      <c r="U10" s="154" t="n">
        <f aca="false">IFERROR(IF(OR(NOT(ISNUMBER('Price History'!U11)),NOT(ISNUMBER('Price History'!U10)),'Price History'!U10=0),"",'Price History'!U11/'Price History'!U10-1),"")</f>
        <v>-0.0114340161981895</v>
      </c>
      <c r="V10" s="155" t="n">
        <f aca="false">IFERROR(IF(OR(NOT(ISNUMBER('Price History'!V11)),NOT(ISNUMBER('Price History'!V10)),'Price History'!V10=0),"",'Price History'!V11/'Price History'!V10-1),"")</f>
        <v>0.00890344798622467</v>
      </c>
      <c r="W10" s="156" t="n">
        <f aca="false">IFERROR('Price History'!B3+(INDEX('Price History'!B:B,MATCH(9.99E+307,'Returns (Calc)'!$A:$A)+1)-'Price History'!B3)*(ROW()-3)/(MATCH(9.99E+307,'Returns (Calc)'!$A:$A)-3),"")</f>
        <v>515.988734177215</v>
      </c>
      <c r="X10" s="156" t="n">
        <f aca="false">IFERROR('Price History'!C3+(INDEX('Price History'!C:C,MATCH(9.99E+307,'Returns (Calc)'!$A:$A)+1)-'Price History'!C3)*(ROW()-3)/(MATCH(9.99E+307,'Returns (Calc)'!$A:$A)-3),"")</f>
        <v>53.3204430379747</v>
      </c>
      <c r="Y10" s="156" t="n">
        <f aca="false">IFERROR('Price History'!D3+(INDEX('Price History'!D:D,MATCH(9.99E+307,'Returns (Calc)'!$A:$A)+1)-'Price History'!D3)*(ROW()-3)/(MATCH(9.99E+307,'Returns (Calc)'!$A:$A)-3),"")</f>
        <v>638.953670886076</v>
      </c>
      <c r="Z10" s="156" t="n">
        <f aca="false">IFERROR('Price History'!E3+(INDEX('Price History'!E:E,MATCH(9.99E+307,'Returns (Calc)'!$A:$A)+1)-'Price History'!E3)*(ROW()-3)/(MATCH(9.99E+307,'Returns (Calc)'!$A:$A)-3),"")</f>
        <v>94.1011392405063</v>
      </c>
      <c r="AA10" s="156" t="n">
        <f aca="false">IFERROR('Price History'!F3+(INDEX('Price History'!F:F,MATCH(9.99E+307,'Returns (Calc)'!$A:$A)+1)-'Price History'!F3)*(ROW()-3)/(MATCH(9.99E+307,'Returns (Calc)'!$A:$A)-3),"")</f>
        <v>51.4913924050633</v>
      </c>
      <c r="AB10" s="156" t="n">
        <f aca="false">IFERROR('Price History'!G3+(INDEX('Price History'!G:G,MATCH(9.99E+307,'Returns (Calc)'!$A:$A)+1)-'Price History'!G3)*(ROW()-3)/(MATCH(9.99E+307,'Returns (Calc)'!$A:$A)-3),"")</f>
        <v>51.5511392405063</v>
      </c>
      <c r="AC10" s="156" t="n">
        <f aca="false">IFERROR('Price History'!H3+(INDEX('Price History'!H:H,MATCH(9.99E+307,'Returns (Calc)'!$A:$A)+1)-'Price History'!H3)*(ROW()-3)/(MATCH(9.99E+307,'Returns (Calc)'!$A:$A)-3),"")</f>
        <v>113.669873417722</v>
      </c>
      <c r="AD10" s="156" t="n">
        <f aca="false">IFERROR('Price History'!I3+(INDEX('Price History'!I:I,MATCH(9.99E+307,'Returns (Calc)'!$A:$A)+1)-'Price History'!I3)*(ROW()-3)/(MATCH(9.99E+307,'Returns (Calc)'!$A:$A)-3),"")</f>
        <v>52.1956962025317</v>
      </c>
      <c r="AE10" s="156" t="n">
        <f aca="false">IFERROR('Price History'!J3+(INDEX('Price History'!J:J,MATCH(9.99E+307,'Returns (Calc)'!$A:$A)+1)-'Price History'!J3)*(ROW()-3)/(MATCH(9.99E+307,'Returns (Calc)'!$A:$A)-3),"")</f>
        <v>112.596265822785</v>
      </c>
      <c r="AF10" s="156" t="n">
        <f aca="false">IFERROR('Price History'!K3+(INDEX('Price History'!K:K,MATCH(9.99E+307,'Returns (Calc)'!$A:$A)+1)-'Price History'!K3)*(ROW()-3)/(MATCH(9.99E+307,'Returns (Calc)'!$A:$A)-3),"")</f>
        <v>23.013164556962</v>
      </c>
      <c r="AG10" s="156" t="n">
        <f aca="false">IFERROR('Price History'!L3+(INDEX('Price History'!L:L,MATCH(9.99E+307,'Returns (Calc)'!$A:$A)+1)-'Price History'!L3)*(ROW()-3)/(MATCH(9.99E+307,'Returns (Calc)'!$A:$A)-3),"")</f>
        <v>102.896898734177</v>
      </c>
      <c r="AH10" s="156" t="n">
        <f aca="false">IFERROR('Price History'!M3+(INDEX('Price History'!M:M,MATCH(9.99E+307,'Returns (Calc)'!$A:$A)+1)-'Price History'!M3)*(ROW()-3)/(MATCH(9.99E+307,'Returns (Calc)'!$A:$A)-3),"")</f>
        <v>47.5081012658228</v>
      </c>
      <c r="AI10" s="156" t="n">
        <f aca="false">IFERROR('Price History'!N3+(INDEX('Price History'!N:N,MATCH(9.99E+307,'Returns (Calc)'!$A:$A)+1)-'Price History'!N3)*(ROW()-3)/(MATCH(9.99E+307,'Returns (Calc)'!$A:$A)-3),"")</f>
        <v>355.803860759494</v>
      </c>
      <c r="AJ10" s="156" t="n">
        <f aca="false">IFERROR('Price History'!O3+(INDEX('Price History'!O:O,MATCH(9.99E+307,'Returns (Calc)'!$A:$A)+1)-'Price History'!O3)*(ROW()-3)/(MATCH(9.99E+307,'Returns (Calc)'!$A:$A)-3),"")</f>
        <v>77.2912658227848</v>
      </c>
      <c r="AK10" s="156" t="n">
        <f aca="false">IFERROR('Price History'!Q3+(INDEX('Price History'!Q:Q,MATCH(9.99E+307,'Returns (Calc)'!$A:$A)+1)-'Price History'!Q3)*(ROW()-3)/(MATCH(9.99E+307,'Returns (Calc)'!$A:$A)-3),"")</f>
        <v>3.07556962025316</v>
      </c>
      <c r="AL10" s="156" t="n">
        <f aca="false">IFERROR('Price History'!R3+(INDEX('Price History'!R:R,MATCH(9.99E+307,'Returns (Calc)'!$A:$A)+1)-'Price History'!R3)*(ROW()-3)/(MATCH(9.99E+307,'Returns (Calc)'!$A:$A)-3),"")</f>
        <v>35.6567088607595</v>
      </c>
      <c r="AM10" s="156" t="n">
        <f aca="false">IFERROR('Price History'!S3+(INDEX('Price History'!S:S,MATCH(9.99E+307,'Returns (Calc)'!$A:$A)+1)-'Price History'!S3)*(ROW()-3)/(MATCH(9.99E+307,'Returns (Calc)'!$A:$A)-3),"")</f>
        <v>61.8654430379747</v>
      </c>
      <c r="AN10" s="156" t="n">
        <f aca="false">IFERROR('Price History'!T3+(INDEX('Price History'!T:T,MATCH(9.99E+307,'Returns (Calc)'!$A:$A)+1)-'Price History'!T3)*(ROW()-3)/(MATCH(9.99E+307,'Returns (Calc)'!$A:$A)-3),"")</f>
        <v>26.4175949367089</v>
      </c>
      <c r="AO10" s="157" t="n">
        <f aca="false">IFERROR('Price History'!V3+(INDEX('Price History'!V:V,MATCH(9.99E+307,'Returns (Calc)'!$A:$A)+1)-'Price History'!V3)*(ROW()-3)/(MATCH(9.99E+307,'Returns (Calc)'!$A:$A)-3),"")</f>
        <v>241.169303797468</v>
      </c>
      <c r="AP10" s="155" t="n">
        <f aca="false">IFERROR(IF(OR(NOT(ISNUMBER('Price History'!W11)),NOT(ISNUMBER('Price History'!W10)),'Price History'!W10=0),"",'Price History'!W11/'Price History'!W10-1),"")</f>
        <v>-0.0112888052681092</v>
      </c>
      <c r="AQ10" s="155" t="str">
        <f aca="false">IFERROR(IF(OR(NOT(ISNUMBER('Price History'!X11)),NOT(ISNUMBER('Price History'!X10)),'Price History'!X10=0),"",'Price History'!X11/'Price History'!X10-1),"")</f>
        <v/>
      </c>
      <c r="AR10" s="155" t="n">
        <f aca="false">IFERROR(IF(OR(NOT(ISNUMBER('Price History'!Y11)),NOT(ISNUMBER('Price History'!Y10)),'Price History'!Y10=0),"",'Price History'!Y11/'Price History'!Y10-1),"")</f>
        <v>0.00399529964747369</v>
      </c>
      <c r="AS10" s="155" t="n">
        <f aca="false">IFERROR(IF(OR(NOT(ISNUMBER('Price History'!Z11)),NOT(ISNUMBER('Price History'!Z10)),'Price History'!Z10=0),"",'Price History'!Z11/'Price History'!Z10-1),"")</f>
        <v>0.0583080158915634</v>
      </c>
      <c r="AT10" s="155" t="n">
        <f aca="false">IFERROR(IF(OR(NOT(ISNUMBER('Price History'!AA11)),NOT(ISNUMBER('Price History'!AA10)),'Price History'!AA10=0),"",'Price History'!AA11/'Price History'!AA10-1),"")</f>
        <v>0.0342275670675301</v>
      </c>
      <c r="AU10" s="155" t="n">
        <f aca="false">IFERROR(IF(OR(NOT(ISNUMBER('Price History'!AB11)),NOT(ISNUMBER('Price History'!AB10)),'Price History'!AB10=0),"",'Price History'!AB11/'Price History'!AB10-1),"")</f>
        <v>-0.151652191787862</v>
      </c>
    </row>
    <row r="11" customFormat="false" ht="15" hidden="false" customHeight="true" outlineLevel="0" collapsed="false">
      <c r="A11" s="153" t="n">
        <f aca="false">IF('Price History'!A12="","",'Price History'!A12)</f>
        <v>45247</v>
      </c>
      <c r="B11" s="154" t="n">
        <f aca="false">IFERROR(IF(OR(NOT(ISNUMBER('Price History'!B12)),NOT(ISNUMBER('Price History'!B11)),'Price History'!B11=0),"",'Price History'!B12/'Price History'!B11-1),"")</f>
        <v>0.00910887110277603</v>
      </c>
      <c r="C11" s="154" t="n">
        <f aca="false">IFERROR(IF(OR(NOT(ISNUMBER('Price History'!C12)),NOT(ISNUMBER('Price History'!C11)),'Price History'!C11=0),"",'Price History'!C12/'Price History'!C11-1),"")</f>
        <v>0.0377103074840455</v>
      </c>
      <c r="D11" s="154" t="n">
        <f aca="false">IFERROR(IF(OR(NOT(ISNUMBER('Price History'!D12)),NOT(ISNUMBER('Price History'!D11)),'Price History'!D11=0),"",'Price History'!D12/'Price History'!D11-1),"")</f>
        <v>0.0375135302304004</v>
      </c>
      <c r="E11" s="154" t="n">
        <f aca="false">IFERROR(IF(OR(NOT(ISNUMBER('Price History'!E12)),NOT(ISNUMBER('Price History'!E11)),'Price History'!E11=0),"",'Price History'!E12/'Price History'!E11-1),"")</f>
        <v>0.0211457546660914</v>
      </c>
      <c r="F11" s="154" t="n">
        <f aca="false">IFERROR(IF(OR(NOT(ISNUMBER('Price History'!F12)),NOT(ISNUMBER('Price History'!F11)),'Price History'!F11=0),"",'Price History'!F12/'Price History'!F11-1),"")</f>
        <v>0.0548084759576204</v>
      </c>
      <c r="G11" s="154" t="n">
        <f aca="false">IFERROR(IF(OR(NOT(ISNUMBER('Price History'!G12)),NOT(ISNUMBER('Price History'!G11)),'Price History'!G11=0),"",'Price History'!G12/'Price History'!G11-1),"")</f>
        <v>0.0220433199156602</v>
      </c>
      <c r="H11" s="154" t="n">
        <f aca="false">IFERROR(IF(OR(NOT(ISNUMBER('Price History'!H12)),NOT(ISNUMBER('Price History'!H11)),'Price History'!H11=0),"",'Price History'!H12/'Price History'!H11-1),"")</f>
        <v>0.029202947086403</v>
      </c>
      <c r="I11" s="154" t="n">
        <f aca="false">IFERROR(IF(OR(NOT(ISNUMBER('Price History'!I12)),NOT(ISNUMBER('Price History'!I11)),'Price History'!I11=0),"",'Price History'!I12/'Price History'!I11-1),"")</f>
        <v>0.0199211454658643</v>
      </c>
      <c r="J11" s="154" t="n">
        <f aca="false">IFERROR(IF(OR(NOT(ISNUMBER('Price History'!J12)),NOT(ISNUMBER('Price History'!J11)),'Price History'!J11=0),"",'Price History'!J12/'Price History'!J11-1),"")</f>
        <v>0.0527757294848834</v>
      </c>
      <c r="K11" s="154" t="n">
        <f aca="false">IFERROR(IF(OR(NOT(ISNUMBER('Price History'!K12)),NOT(ISNUMBER('Price History'!K11)),'Price History'!K11=0),"",'Price History'!K12/'Price History'!K11-1),"")</f>
        <v>0.0416878495170308</v>
      </c>
      <c r="L11" s="154" t="n">
        <f aca="false">IFERROR(IF(OR(NOT(ISNUMBER('Price History'!L12)),NOT(ISNUMBER('Price History'!L11)),'Price History'!L11=0),"",'Price History'!L12/'Price History'!L11-1),"")</f>
        <v>0.022003845332194</v>
      </c>
      <c r="M11" s="154" t="n">
        <f aca="false">IFERROR(IF(OR(NOT(ISNUMBER('Price History'!M12)),NOT(ISNUMBER('Price History'!M11)),'Price History'!M11=0),"",'Price History'!M12/'Price History'!M11-1),"")</f>
        <v>0.0347972162227022</v>
      </c>
      <c r="N11" s="154" t="n">
        <f aca="false">IFERROR(IF(OR(NOT(ISNUMBER('Price History'!N12)),NOT(ISNUMBER('Price History'!N11)),'Price History'!N11=0),"",'Price History'!N12/'Price History'!N11-1),"")</f>
        <v>-0.06195637628797</v>
      </c>
      <c r="O11" s="154" t="n">
        <f aca="false">IFERROR(IF(OR(NOT(ISNUMBER('Price History'!O12)),NOT(ISNUMBER('Price History'!O11)),'Price History'!O11=0),"",'Price History'!O12/'Price History'!O11-1),"")</f>
        <v>0.055524861878453</v>
      </c>
      <c r="P11" s="154" t="n">
        <f aca="false">IFERROR(IF(OR(NOT(ISNUMBER('Price History'!P12)),NOT(ISNUMBER('Price History'!P11)),'Price History'!P11=0),"",'Price History'!P12/'Price History'!P11-1),"")</f>
        <v>0.0354565422026985</v>
      </c>
      <c r="Q11" s="154" t="n">
        <f aca="false">IFERROR(IF(OR(NOT(ISNUMBER('Price History'!Q12)),NOT(ISNUMBER('Price History'!Q11)),'Price History'!Q11=0),"",'Price History'!Q12/'Price History'!Q11-1),"")</f>
        <v>0.0129327497015519</v>
      </c>
      <c r="R11" s="154" t="n">
        <f aca="false">IFERROR(IF(OR(NOT(ISNUMBER('Price History'!R12)),NOT(ISNUMBER('Price History'!R11)),'Price History'!R11=0),"",'Price History'!R12/'Price History'!R11-1),"")</f>
        <v>0.00934050382111518</v>
      </c>
      <c r="S11" s="154" t="n">
        <f aca="false">IFERROR(IF(OR(NOT(ISNUMBER('Price History'!S12)),NOT(ISNUMBER('Price History'!S11)),'Price History'!S11=0),"",'Price History'!S12/'Price History'!S11-1),"")</f>
        <v>0.0216618717211032</v>
      </c>
      <c r="T11" s="154" t="n">
        <f aca="false">IFERROR(IF(OR(NOT(ISNUMBER('Price History'!T12)),NOT(ISNUMBER('Price History'!T11)),'Price History'!T11=0),"",'Price History'!T12/'Price History'!T11-1),"")</f>
        <v>0.0256718812675492</v>
      </c>
      <c r="U11" s="154" t="n">
        <f aca="false">IFERROR(IF(OR(NOT(ISNUMBER('Price History'!U12)),NOT(ISNUMBER('Price History'!U11)),'Price History'!U11=0),"",'Price History'!U12/'Price History'!U11-1),"")</f>
        <v>0.0240963855421688</v>
      </c>
      <c r="V11" s="155" t="n">
        <f aca="false">IFERROR(IF(OR(NOT(ISNUMBER('Price History'!V12)),NOT(ISNUMBER('Price History'!V11)),'Price History'!V11=0),"",'Price History'!V12/'Price History'!V11-1),"")</f>
        <v>0.0175664987720101</v>
      </c>
      <c r="W11" s="156" t="n">
        <f aca="false">IFERROR('Price History'!B3+(INDEX('Price History'!B:B,MATCH(9.99E+307,'Returns (Calc)'!$A:$A)+1)-'Price History'!B3)*(ROW()-3)/(MATCH(9.99E+307,'Returns (Calc)'!$A:$A)-3),"")</f>
        <v>514.145696202532</v>
      </c>
      <c r="X11" s="156" t="n">
        <f aca="false">IFERROR('Price History'!C3+(INDEX('Price History'!C:C,MATCH(9.99E+307,'Returns (Calc)'!$A:$A)+1)-'Price History'!C3)*(ROW()-3)/(MATCH(9.99E+307,'Returns (Calc)'!$A:$A)-3),"")</f>
        <v>54.3405063291139</v>
      </c>
      <c r="Y11" s="156" t="n">
        <f aca="false">IFERROR('Price History'!D3+(INDEX('Price History'!D:D,MATCH(9.99E+307,'Returns (Calc)'!$A:$A)+1)-'Price History'!D3)*(ROW()-3)/(MATCH(9.99E+307,'Returns (Calc)'!$A:$A)-3),"")</f>
        <v>647.088481012658</v>
      </c>
      <c r="Z11" s="156" t="n">
        <f aca="false">IFERROR('Price History'!E3+(INDEX('Price History'!E:E,MATCH(9.99E+307,'Returns (Calc)'!$A:$A)+1)-'Price History'!E3)*(ROW()-3)/(MATCH(9.99E+307,'Returns (Calc)'!$A:$A)-3),"")</f>
        <v>95.8298734177215</v>
      </c>
      <c r="AA11" s="156" t="n">
        <f aca="false">IFERROR('Price History'!F3+(INDEX('Price History'!F:F,MATCH(9.99E+307,'Returns (Calc)'!$A:$A)+1)-'Price History'!F3)*(ROW()-3)/(MATCH(9.99E+307,'Returns (Calc)'!$A:$A)-3),"")</f>
        <v>52.9387341772152</v>
      </c>
      <c r="AB11" s="156" t="n">
        <f aca="false">IFERROR('Price History'!G3+(INDEX('Price History'!G:G,MATCH(9.99E+307,'Returns (Calc)'!$A:$A)+1)-'Price History'!G3)*(ROW()-3)/(MATCH(9.99E+307,'Returns (Calc)'!$A:$A)-3),"")</f>
        <v>52.5798734177215</v>
      </c>
      <c r="AC11" s="156" t="n">
        <f aca="false">IFERROR('Price History'!H3+(INDEX('Price History'!H:H,MATCH(9.99E+307,'Returns (Calc)'!$A:$A)+1)-'Price History'!H3)*(ROW()-3)/(MATCH(9.99E+307,'Returns (Calc)'!$A:$A)-3),"")</f>
        <v>120.035569620253</v>
      </c>
      <c r="AD11" s="156" t="n">
        <f aca="false">IFERROR('Price History'!I3+(INDEX('Price History'!I:I,MATCH(9.99E+307,'Returns (Calc)'!$A:$A)+1)-'Price History'!I3)*(ROW()-3)/(MATCH(9.99E+307,'Returns (Calc)'!$A:$A)-3),"")</f>
        <v>53.3993670886076</v>
      </c>
      <c r="AE11" s="156" t="n">
        <f aca="false">IFERROR('Price History'!J3+(INDEX('Price History'!J:J,MATCH(9.99E+307,'Returns (Calc)'!$A:$A)+1)-'Price History'!J3)*(ROW()-3)/(MATCH(9.99E+307,'Returns (Calc)'!$A:$A)-3),"")</f>
        <v>112.704303797468</v>
      </c>
      <c r="AF11" s="156" t="n">
        <f aca="false">IFERROR('Price History'!K3+(INDEX('Price History'!K:K,MATCH(9.99E+307,'Returns (Calc)'!$A:$A)+1)-'Price History'!K3)*(ROW()-3)/(MATCH(9.99E+307,'Returns (Calc)'!$A:$A)-3),"")</f>
        <v>24.1107594936709</v>
      </c>
      <c r="AG11" s="156" t="n">
        <f aca="false">IFERROR('Price History'!L3+(INDEX('Price History'!L:L,MATCH(9.99E+307,'Returns (Calc)'!$A:$A)+1)-'Price History'!L3)*(ROW()-3)/(MATCH(9.99E+307,'Returns (Calc)'!$A:$A)-3),"")</f>
        <v>105.346455696203</v>
      </c>
      <c r="AH11" s="156" t="n">
        <f aca="false">IFERROR('Price History'!M3+(INDEX('Price History'!M:M,MATCH(9.99E+307,'Returns (Calc)'!$A:$A)+1)-'Price History'!M3)*(ROW()-3)/(MATCH(9.99E+307,'Returns (Calc)'!$A:$A)-3),"")</f>
        <v>48.8635443037975</v>
      </c>
      <c r="AI11" s="156" t="n">
        <f aca="false">IFERROR('Price History'!N3+(INDEX('Price History'!N:N,MATCH(9.99E+307,'Returns (Calc)'!$A:$A)+1)-'Price History'!N3)*(ROW()-3)/(MATCH(9.99E+307,'Returns (Calc)'!$A:$A)-3),"")</f>
        <v>356.790126582278</v>
      </c>
      <c r="AJ11" s="156" t="n">
        <f aca="false">IFERROR('Price History'!O3+(INDEX('Price History'!O:O,MATCH(9.99E+307,'Returns (Calc)'!$A:$A)+1)-'Price History'!O3)*(ROW()-3)/(MATCH(9.99E+307,'Returns (Calc)'!$A:$A)-3),"")</f>
        <v>77.5743037974684</v>
      </c>
      <c r="AK11" s="156" t="n">
        <f aca="false">IFERROR('Price History'!Q3+(INDEX('Price History'!Q:Q,MATCH(9.99E+307,'Returns (Calc)'!$A:$A)+1)-'Price History'!Q3)*(ROW()-3)/(MATCH(9.99E+307,'Returns (Calc)'!$A:$A)-3),"")</f>
        <v>3.51493670886076</v>
      </c>
      <c r="AL11" s="156" t="n">
        <f aca="false">IFERROR('Price History'!R3+(INDEX('Price History'!R:R,MATCH(9.99E+307,'Returns (Calc)'!$A:$A)+1)-'Price History'!R3)*(ROW()-3)/(MATCH(9.99E+307,'Returns (Calc)'!$A:$A)-3),"")</f>
        <v>35.8248101265823</v>
      </c>
      <c r="AM11" s="156" t="n">
        <f aca="false">IFERROR('Price History'!S3+(INDEX('Price History'!S:S,MATCH(9.99E+307,'Returns (Calc)'!$A:$A)+1)-'Price History'!S3)*(ROW()-3)/(MATCH(9.99E+307,'Returns (Calc)'!$A:$A)-3),"")</f>
        <v>62.4705063291139</v>
      </c>
      <c r="AN11" s="156" t="n">
        <f aca="false">IFERROR('Price History'!T3+(INDEX('Price History'!T:T,MATCH(9.99E+307,'Returns (Calc)'!$A:$A)+1)-'Price History'!T3)*(ROW()-3)/(MATCH(9.99E+307,'Returns (Calc)'!$A:$A)-3),"")</f>
        <v>26.5858227848101</v>
      </c>
      <c r="AO11" s="157" t="n">
        <f aca="false">IFERROR('Price History'!V3+(INDEX('Price History'!V:V,MATCH(9.99E+307,'Returns (Calc)'!$A:$A)+1)-'Price History'!V3)*(ROW()-3)/(MATCH(9.99E+307,'Returns (Calc)'!$A:$A)-3),"")</f>
        <v>241.960632911392</v>
      </c>
      <c r="AP11" s="155" t="n">
        <f aca="false">IFERROR(IF(OR(NOT(ISNUMBER('Price History'!W12)),NOT(ISNUMBER('Price History'!W11)),'Price History'!W11=0),"",'Price History'!W12/'Price History'!W11-1),"")</f>
        <v>0.025584099799133</v>
      </c>
      <c r="AQ11" s="155" t="str">
        <f aca="false">IFERROR(IF(OR(NOT(ISNUMBER('Price History'!X12)),NOT(ISNUMBER('Price History'!X11)),'Price History'!X11=0),"",'Price History'!X12/'Price History'!X11-1),"")</f>
        <v/>
      </c>
      <c r="AR11" s="155" t="n">
        <f aca="false">IFERROR(IF(OR(NOT(ISNUMBER('Price History'!Y12)),NOT(ISNUMBER('Price History'!Y11)),'Price History'!Y11=0),"",'Price History'!Y12/'Price History'!Y11-1),"")</f>
        <v>0.00866104868913875</v>
      </c>
      <c r="AS11" s="155" t="n">
        <f aca="false">IFERROR(IF(OR(NOT(ISNUMBER('Price History'!Z12)),NOT(ISNUMBER('Price History'!Z11)),'Price History'!Z11=0),"",'Price History'!Z12/'Price History'!Z11-1),"")</f>
        <v>0.0404107320304739</v>
      </c>
      <c r="AT11" s="155" t="n">
        <f aca="false">IFERROR(IF(OR(NOT(ISNUMBER('Price History'!AA12)),NOT(ISNUMBER('Price History'!AA11)),'Price History'!AA11=0),"",'Price History'!AA12/'Price History'!AA11-1),"")</f>
        <v>0.0418157423971379</v>
      </c>
      <c r="AU11" s="155" t="n">
        <f aca="false">IFERROR(IF(OR(NOT(ISNUMBER('Price History'!AB12)),NOT(ISNUMBER('Price History'!AB11)),'Price History'!AB11=0),"",'Price History'!AB12/'Price History'!AB11-1),"")</f>
        <v>0.0694208868427428</v>
      </c>
    </row>
    <row r="12" customFormat="false" ht="15" hidden="false" customHeight="true" outlineLevel="0" collapsed="false">
      <c r="A12" s="153" t="n">
        <f aca="false">IF('Price History'!A13="","",'Price History'!A13)</f>
        <v>45254</v>
      </c>
      <c r="B12" s="154" t="n">
        <f aca="false">IFERROR(IF(OR(NOT(ISNUMBER('Price History'!B13)),NOT(ISNUMBER('Price History'!B12)),'Price History'!B12=0),"",'Price History'!B13/'Price History'!B12-1),"")</f>
        <v>0.02782663525039</v>
      </c>
      <c r="C12" s="154" t="n">
        <f aca="false">IFERROR(IF(OR(NOT(ISNUMBER('Price History'!C13)),NOT(ISNUMBER('Price History'!C12)),'Price History'!C12=0),"",'Price History'!C13/'Price History'!C12-1),"")</f>
        <v>0.0175177040626167</v>
      </c>
      <c r="D12" s="154" t="n">
        <f aca="false">IFERROR(IF(OR(NOT(ISNUMBER('Price History'!D13)),NOT(ISNUMBER('Price History'!D12)),'Price History'!D12=0),"",'Price History'!D13/'Price History'!D12-1),"")</f>
        <v>0.00742220102539637</v>
      </c>
      <c r="E12" s="154" t="n">
        <f aca="false">IFERROR(IF(OR(NOT(ISNUMBER('Price History'!E13)),NOT(ISNUMBER('Price History'!E12)),'Price History'!E12=0),"",'Price History'!E13/'Price History'!E12-1),"")</f>
        <v>0.001162176439514</v>
      </c>
      <c r="F12" s="154" t="n">
        <f aca="false">IFERROR(IF(OR(NOT(ISNUMBER('Price History'!F13)),NOT(ISNUMBER('Price History'!F12)),'Price History'!F12=0),"",'Price History'!F13/'Price History'!F12-1),"")</f>
        <v>0.0173845856673749</v>
      </c>
      <c r="G12" s="154" t="n">
        <f aca="false">IFERROR(IF(OR(NOT(ISNUMBER('Price History'!G13)),NOT(ISNUMBER('Price History'!G12)),'Price History'!G12=0),"",'Price History'!G13/'Price History'!G12-1),"")</f>
        <v>0.0204426106526632</v>
      </c>
      <c r="H12" s="154" t="n">
        <f aca="false">IFERROR(IF(OR(NOT(ISNUMBER('Price History'!H13)),NOT(ISNUMBER('Price History'!H12)),'Price History'!H12=0),"",'Price History'!H13/'Price History'!H12-1),"")</f>
        <v>-0.00885070935832344</v>
      </c>
      <c r="I12" s="154" t="n">
        <f aca="false">IFERROR(IF(OR(NOT(ISNUMBER('Price History'!I13)),NOT(ISNUMBER('Price History'!I12)),'Price History'!I12=0),"",'Price History'!I13/'Price History'!I12-1),"")</f>
        <v>-0.0309257375381484</v>
      </c>
      <c r="J12" s="154" t="n">
        <f aca="false">IFERROR(IF(OR(NOT(ISNUMBER('Price History'!J13)),NOT(ISNUMBER('Price History'!J12)),'Price History'!J12=0),"",'Price History'!J13/'Price History'!J12-1),"")</f>
        <v>0.0175105063037824</v>
      </c>
      <c r="K12" s="154" t="n">
        <f aca="false">IFERROR(IF(OR(NOT(ISNUMBER('Price History'!K13)),NOT(ISNUMBER('Price History'!K12)),'Price History'!K12=0),"",'Price History'!K13/'Price History'!K12-1),"")</f>
        <v>-0.0629575402635432</v>
      </c>
      <c r="L12" s="154" t="n">
        <f aca="false">IFERROR(IF(OR(NOT(ISNUMBER('Price History'!L13)),NOT(ISNUMBER('Price History'!L12)),'Price History'!L12=0),"",'Price History'!L13/'Price History'!L12-1),"")</f>
        <v>-0.0175585284280937</v>
      </c>
      <c r="M12" s="154" t="n">
        <f aca="false">IFERROR(IF(OR(NOT(ISNUMBER('Price History'!M13)),NOT(ISNUMBER('Price History'!M12)),'Price History'!M12=0),"",'Price History'!M13/'Price History'!M12-1),"")</f>
        <v>-0.0139146567717995</v>
      </c>
      <c r="N12" s="154" t="n">
        <f aca="false">IFERROR(IF(OR(NOT(ISNUMBER('Price History'!N13)),NOT(ISNUMBER('Price History'!N12)),'Price History'!N12=0),"",'Price History'!N13/'Price History'!N12-1),"")</f>
        <v>0.00724679029957209</v>
      </c>
      <c r="O12" s="154" t="n">
        <f aca="false">IFERROR(IF(OR(NOT(ISNUMBER('Price History'!O13)),NOT(ISNUMBER('Price History'!O12)),'Price History'!O12=0),"",'Price History'!O13/'Price History'!O12-1),"")</f>
        <v>0.000130855796911966</v>
      </c>
      <c r="P12" s="154" t="n">
        <f aca="false">IFERROR(IF(OR(NOT(ISNUMBER('Price History'!P13)),NOT(ISNUMBER('Price History'!P12)),'Price History'!P12=0),"",'Price History'!P13/'Price History'!P12-1),"")</f>
        <v>0.0035353535353535</v>
      </c>
      <c r="Q12" s="154" t="n">
        <f aca="false">IFERROR(IF(OR(NOT(ISNUMBER('Price History'!Q13)),NOT(ISNUMBER('Price History'!Q12)),'Price History'!Q12=0),"",'Price History'!Q13/'Price History'!Q12-1),"")</f>
        <v>0.00432135140443934</v>
      </c>
      <c r="R12" s="154" t="n">
        <f aca="false">IFERROR(IF(OR(NOT(ISNUMBER('Price History'!R13)),NOT(ISNUMBER('Price History'!R12)),'Price History'!R12=0),"",'Price History'!R13/'Price History'!R12-1),"")</f>
        <v>0.00532809871003948</v>
      </c>
      <c r="S12" s="154" t="n">
        <f aca="false">IFERROR(IF(OR(NOT(ISNUMBER('Price History'!S13)),NOT(ISNUMBER('Price History'!S12)),'Price History'!S12=0),"",'Price History'!S13/'Price History'!S12-1),"")</f>
        <v>0.00546629120424069</v>
      </c>
      <c r="T12" s="154" t="n">
        <f aca="false">IFERROR(IF(OR(NOT(ISNUMBER('Price History'!T13)),NOT(ISNUMBER('Price History'!T12)),'Price History'!T12=0),"",'Price History'!T13/'Price History'!T12-1),"")</f>
        <v>0.00703949941337512</v>
      </c>
      <c r="U12" s="154" t="n">
        <f aca="false">IFERROR(IF(OR(NOT(ISNUMBER('Price History'!U13)),NOT(ISNUMBER('Price History'!U12)),'Price History'!U12=0),"",'Price History'!U13/'Price History'!U12-1),"")</f>
        <v>0.00941176470588223</v>
      </c>
      <c r="V12" s="155" t="n">
        <f aca="false">IFERROR(IF(OR(NOT(ISNUMBER('Price History'!V13)),NOT(ISNUMBER('Price History'!V12)),'Price History'!V12=0),"",'Price History'!V13/'Price History'!V12-1),"")</f>
        <v>0.019022294947842</v>
      </c>
      <c r="W12" s="156" t="n">
        <f aca="false">IFERROR('Price History'!B3+(INDEX('Price History'!B:B,MATCH(9.99E+307,'Returns (Calc)'!$A:$A)+1)-'Price History'!B3)*(ROW()-3)/(MATCH(9.99E+307,'Returns (Calc)'!$A:$A)-3),"")</f>
        <v>512.302658227848</v>
      </c>
      <c r="X12" s="156" t="n">
        <f aca="false">IFERROR('Price History'!C3+(INDEX('Price History'!C:C,MATCH(9.99E+307,'Returns (Calc)'!$A:$A)+1)-'Price History'!C3)*(ROW()-3)/(MATCH(9.99E+307,'Returns (Calc)'!$A:$A)-3),"")</f>
        <v>55.3605696202532</v>
      </c>
      <c r="Y12" s="156" t="n">
        <f aca="false">IFERROR('Price History'!D3+(INDEX('Price History'!D:D,MATCH(9.99E+307,'Returns (Calc)'!$A:$A)+1)-'Price History'!D3)*(ROW()-3)/(MATCH(9.99E+307,'Returns (Calc)'!$A:$A)-3),"")</f>
        <v>655.223291139241</v>
      </c>
      <c r="Z12" s="156" t="n">
        <f aca="false">IFERROR('Price History'!E3+(INDEX('Price History'!E:E,MATCH(9.99E+307,'Returns (Calc)'!$A:$A)+1)-'Price History'!E3)*(ROW()-3)/(MATCH(9.99E+307,'Returns (Calc)'!$A:$A)-3),"")</f>
        <v>97.5586075949367</v>
      </c>
      <c r="AA12" s="156" t="n">
        <f aca="false">IFERROR('Price History'!F3+(INDEX('Price History'!F:F,MATCH(9.99E+307,'Returns (Calc)'!$A:$A)+1)-'Price History'!F3)*(ROW()-3)/(MATCH(9.99E+307,'Returns (Calc)'!$A:$A)-3),"")</f>
        <v>54.3860759493671</v>
      </c>
      <c r="AB12" s="156" t="n">
        <f aca="false">IFERROR('Price History'!G3+(INDEX('Price History'!G:G,MATCH(9.99E+307,'Returns (Calc)'!$A:$A)+1)-'Price History'!G3)*(ROW()-3)/(MATCH(9.99E+307,'Returns (Calc)'!$A:$A)-3),"")</f>
        <v>53.6086075949367</v>
      </c>
      <c r="AC12" s="156" t="n">
        <f aca="false">IFERROR('Price History'!H3+(INDEX('Price History'!H:H,MATCH(9.99E+307,'Returns (Calc)'!$A:$A)+1)-'Price History'!H3)*(ROW()-3)/(MATCH(9.99E+307,'Returns (Calc)'!$A:$A)-3),"")</f>
        <v>126.401265822785</v>
      </c>
      <c r="AD12" s="156" t="n">
        <f aca="false">IFERROR('Price History'!I3+(INDEX('Price History'!I:I,MATCH(9.99E+307,'Returns (Calc)'!$A:$A)+1)-'Price History'!I3)*(ROW()-3)/(MATCH(9.99E+307,'Returns (Calc)'!$A:$A)-3),"")</f>
        <v>54.6030379746835</v>
      </c>
      <c r="AE12" s="156" t="n">
        <f aca="false">IFERROR('Price History'!J3+(INDEX('Price History'!J:J,MATCH(9.99E+307,'Returns (Calc)'!$A:$A)+1)-'Price History'!J3)*(ROW()-3)/(MATCH(9.99E+307,'Returns (Calc)'!$A:$A)-3),"")</f>
        <v>112.812341772152</v>
      </c>
      <c r="AF12" s="156" t="n">
        <f aca="false">IFERROR('Price History'!K3+(INDEX('Price History'!K:K,MATCH(9.99E+307,'Returns (Calc)'!$A:$A)+1)-'Price History'!K3)*(ROW()-3)/(MATCH(9.99E+307,'Returns (Calc)'!$A:$A)-3),"")</f>
        <v>25.2083544303797</v>
      </c>
      <c r="AG12" s="156" t="n">
        <f aca="false">IFERROR('Price History'!L3+(INDEX('Price History'!L:L,MATCH(9.99E+307,'Returns (Calc)'!$A:$A)+1)-'Price History'!L3)*(ROW()-3)/(MATCH(9.99E+307,'Returns (Calc)'!$A:$A)-3),"")</f>
        <v>107.796012658228</v>
      </c>
      <c r="AH12" s="156" t="n">
        <f aca="false">IFERROR('Price History'!M3+(INDEX('Price History'!M:M,MATCH(9.99E+307,'Returns (Calc)'!$A:$A)+1)-'Price History'!M3)*(ROW()-3)/(MATCH(9.99E+307,'Returns (Calc)'!$A:$A)-3),"")</f>
        <v>50.2189873417722</v>
      </c>
      <c r="AI12" s="156" t="n">
        <f aca="false">IFERROR('Price History'!N3+(INDEX('Price History'!N:N,MATCH(9.99E+307,'Returns (Calc)'!$A:$A)+1)-'Price History'!N3)*(ROW()-3)/(MATCH(9.99E+307,'Returns (Calc)'!$A:$A)-3),"")</f>
        <v>357.776392405063</v>
      </c>
      <c r="AJ12" s="156" t="n">
        <f aca="false">IFERROR('Price History'!O3+(INDEX('Price History'!O:O,MATCH(9.99E+307,'Returns (Calc)'!$A:$A)+1)-'Price History'!O3)*(ROW()-3)/(MATCH(9.99E+307,'Returns (Calc)'!$A:$A)-3),"")</f>
        <v>77.8573417721519</v>
      </c>
      <c r="AK12" s="156" t="n">
        <f aca="false">IFERROR('Price History'!Q3+(INDEX('Price History'!Q:Q,MATCH(9.99E+307,'Returns (Calc)'!$A:$A)+1)-'Price History'!Q3)*(ROW()-3)/(MATCH(9.99E+307,'Returns (Calc)'!$A:$A)-3),"")</f>
        <v>3.95430379746835</v>
      </c>
      <c r="AL12" s="156" t="n">
        <f aca="false">IFERROR('Price History'!R3+(INDEX('Price History'!R:R,MATCH(9.99E+307,'Returns (Calc)'!$A:$A)+1)-'Price History'!R3)*(ROW()-3)/(MATCH(9.99E+307,'Returns (Calc)'!$A:$A)-3),"")</f>
        <v>35.9929113924051</v>
      </c>
      <c r="AM12" s="156" t="n">
        <f aca="false">IFERROR('Price History'!S3+(INDEX('Price History'!S:S,MATCH(9.99E+307,'Returns (Calc)'!$A:$A)+1)-'Price History'!S3)*(ROW()-3)/(MATCH(9.99E+307,'Returns (Calc)'!$A:$A)-3),"")</f>
        <v>63.0755696202532</v>
      </c>
      <c r="AN12" s="156" t="n">
        <f aca="false">IFERROR('Price History'!T3+(INDEX('Price History'!T:T,MATCH(9.99E+307,'Returns (Calc)'!$A:$A)+1)-'Price History'!T3)*(ROW()-3)/(MATCH(9.99E+307,'Returns (Calc)'!$A:$A)-3),"")</f>
        <v>26.7540506329114</v>
      </c>
      <c r="AO12" s="157" t="n">
        <f aca="false">IFERROR('Price History'!V3+(INDEX('Price History'!V:V,MATCH(9.99E+307,'Returns (Calc)'!$A:$A)+1)-'Price History'!V3)*(ROW()-3)/(MATCH(9.99E+307,'Returns (Calc)'!$A:$A)-3),"")</f>
        <v>242.751962025316</v>
      </c>
      <c r="AP12" s="155" t="n">
        <f aca="false">IFERROR(IF(OR(NOT(ISNUMBER('Price History'!W13)),NOT(ISNUMBER('Price History'!W12)),'Price History'!W12=0),"",'Price History'!W13/'Price History'!W12-1),"")</f>
        <v>0.0070095866405524</v>
      </c>
      <c r="AQ12" s="155" t="str">
        <f aca="false">IFERROR(IF(OR(NOT(ISNUMBER('Price History'!X13)),NOT(ISNUMBER('Price History'!X12)),'Price History'!X12=0),"",'Price History'!X13/'Price History'!X12-1),"")</f>
        <v/>
      </c>
      <c r="AR12" s="155" t="n">
        <f aca="false">IFERROR(IF(OR(NOT(ISNUMBER('Price History'!Y13)),NOT(ISNUMBER('Price History'!Y12)),'Price History'!Y12=0),"",'Price History'!Y13/'Price History'!Y12-1),"")</f>
        <v>0.00765838941749819</v>
      </c>
      <c r="AS12" s="155" t="n">
        <f aca="false">IFERROR(IF(OR(NOT(ISNUMBER('Price History'!Z13)),NOT(ISNUMBER('Price History'!Z12)),'Price History'!Z12=0),"",'Price History'!Z13/'Price History'!Z12-1),"")</f>
        <v>0.000424493261169445</v>
      </c>
      <c r="AT12" s="155" t="n">
        <f aca="false">IFERROR(IF(OR(NOT(ISNUMBER('Price History'!AA13)),NOT(ISNUMBER('Price History'!AA12)),'Price History'!AA12=0),"",'Price History'!AA13/'Price History'!AA12-1),"")</f>
        <v>0.0294054518136939</v>
      </c>
      <c r="AU12" s="155" t="n">
        <f aca="false">IFERROR(IF(OR(NOT(ISNUMBER('Price History'!AB13)),NOT(ISNUMBER('Price History'!AB12)),'Price History'!AB12=0),"",'Price History'!AB13/'Price History'!AB12-1),"")</f>
        <v>0.000169933159623881</v>
      </c>
    </row>
    <row r="13" customFormat="false" ht="15" hidden="false" customHeight="true" outlineLevel="0" collapsed="false">
      <c r="A13" s="153" t="n">
        <f aca="false">IF('Price History'!A14="","",'Price History'!A14)</f>
        <v>45261</v>
      </c>
      <c r="B13" s="154" t="n">
        <f aca="false">IFERROR(IF(OR(NOT(ISNUMBER('Price History'!B14)),NOT(ISNUMBER('Price History'!B13)),'Price History'!B13=0),"",'Price History'!B14/'Price History'!B13-1),"")</f>
        <v>-0.0112361364480247</v>
      </c>
      <c r="C13" s="154" t="n">
        <f aca="false">IFERROR(IF(OR(NOT(ISNUMBER('Price History'!C14)),NOT(ISNUMBER('Price History'!C13)),'Price History'!C13=0),"",'Price History'!C14/'Price History'!C13-1),"")</f>
        <v>-0.00805860805860814</v>
      </c>
      <c r="D13" s="154" t="n">
        <f aca="false">IFERROR(IF(OR(NOT(ISNUMBER('Price History'!D14)),NOT(ISNUMBER('Price History'!D13)),'Price History'!D13=0),"",'Price History'!D14/'Price History'!D13-1),"")</f>
        <v>0.00147942125040679</v>
      </c>
      <c r="E13" s="154" t="n">
        <f aca="false">IFERROR(IF(OR(NOT(ISNUMBER('Price History'!E14)),NOT(ISNUMBER('Price History'!E13)),'Price History'!E13=0),"",'Price History'!E14/'Price History'!E13-1),"")</f>
        <v>-0.0499155761924863</v>
      </c>
      <c r="F13" s="154" t="n">
        <f aca="false">IFERROR(IF(OR(NOT(ISNUMBER('Price History'!F14)),NOT(ISNUMBER('Price History'!F13)),'Price History'!F13=0),"",'Price History'!F14/'Price History'!F13-1),"")</f>
        <v>0.115625593316879</v>
      </c>
      <c r="G13" s="154" t="n">
        <f aca="false">IFERROR(IF(OR(NOT(ISNUMBER('Price History'!G14)),NOT(ISNUMBER('Price History'!G13)),'Price History'!G13=0),"",'Price History'!G14/'Price History'!G13-1),"")</f>
        <v>-0.0119463333945966</v>
      </c>
      <c r="H13" s="154" t="n">
        <f aca="false">IFERROR(IF(OR(NOT(ISNUMBER('Price History'!H14)),NOT(ISNUMBER('Price History'!H13)),'Price History'!H13=0),"",'Price History'!H14/'Price History'!H13-1),"")</f>
        <v>-0.0122127380170717</v>
      </c>
      <c r="I13" s="154" t="n">
        <f aca="false">IFERROR(IF(OR(NOT(ISNUMBER('Price History'!I14)),NOT(ISNUMBER('Price History'!I13)),'Price History'!I13=0),"",'Price History'!I14/'Price History'!I13-1),"")</f>
        <v>-0.0209951711106445</v>
      </c>
      <c r="J13" s="154" t="n">
        <f aca="false">IFERROR(IF(OR(NOT(ISNUMBER('Price History'!J14)),NOT(ISNUMBER('Price History'!J13)),'Price History'!J13=0),"",'Price History'!J14/'Price History'!J13-1),"")</f>
        <v>0.0558560330415971</v>
      </c>
      <c r="K13" s="154" t="n">
        <f aca="false">IFERROR(IF(OR(NOT(ISNUMBER('Price History'!K14)),NOT(ISNUMBER('Price History'!K13)),'Price History'!K13=0),"",'Price History'!K14/'Price History'!K13-1),"")</f>
        <v>0.0557291666666666</v>
      </c>
      <c r="L13" s="154" t="n">
        <f aca="false">IFERROR(IF(OR(NOT(ISNUMBER('Price History'!L14)),NOT(ISNUMBER('Price History'!L13)),'Price History'!L13=0),"",'Price History'!L14/'Price History'!L13-1),"")</f>
        <v>0.00734042553191494</v>
      </c>
      <c r="M13" s="154" t="n">
        <f aca="false">IFERROR(IF(OR(NOT(ISNUMBER('Price History'!M14)),NOT(ISNUMBER('Price History'!M13)),'Price History'!M13=0),"",'Price History'!M14/'Price History'!M13-1),"")</f>
        <v>0.0576199435559737</v>
      </c>
      <c r="N13" s="154" t="n">
        <f aca="false">IFERROR(IF(OR(NOT(ISNUMBER('Price History'!N14)),NOT(ISNUMBER('Price History'!N13)),'Price History'!N13=0),"",'Price History'!N14/'Price History'!N13-1),"")</f>
        <v>-0.00532517561749379</v>
      </c>
      <c r="O13" s="154" t="n">
        <f aca="false">IFERROR(IF(OR(NOT(ISNUMBER('Price History'!O14)),NOT(ISNUMBER('Price History'!O13)),'Price History'!O13=0),"",'Price History'!O14/'Price History'!O13-1),"")</f>
        <v>0.0334947010336253</v>
      </c>
      <c r="P13" s="154" t="n">
        <f aca="false">IFERROR(IF(OR(NOT(ISNUMBER('Price History'!P14)),NOT(ISNUMBER('Price History'!P13)),'Price History'!P13=0),"",'Price History'!P14/'Price History'!P13-1),"")</f>
        <v>0.0292903875188728</v>
      </c>
      <c r="Q13" s="154" t="n">
        <f aca="false">IFERROR(IF(OR(NOT(ISNUMBER('Price History'!Q14)),NOT(ISNUMBER('Price History'!Q13)),'Price History'!Q13=0),"",'Price History'!Q14/'Price History'!Q13-1),"")</f>
        <v>0.000977899471934274</v>
      </c>
      <c r="R13" s="154" t="n">
        <f aca="false">IFERROR(IF(OR(NOT(ISNUMBER('Price History'!R14)),NOT(ISNUMBER('Price History'!R13)),'Price History'!R13=0),"",'Price History'!R14/'Price History'!R13-1),"")</f>
        <v>0.00195258019525801</v>
      </c>
      <c r="S13" s="154" t="n">
        <f aca="false">IFERROR(IF(OR(NOT(ISNUMBER('Price History'!S14)),NOT(ISNUMBER('Price History'!S13)),'Price History'!S13=0),"",'Price History'!S14/'Price History'!S13-1),"")</f>
        <v>-0.0021416803953872</v>
      </c>
      <c r="T13" s="154" t="n">
        <f aca="false">IFERROR(IF(OR(NOT(ISNUMBER('Price History'!T14)),NOT(ISNUMBER('Price History'!T13)),'Price History'!T13=0),"",'Price History'!T14/'Price History'!T13-1),"")</f>
        <v>0.0135922330097087</v>
      </c>
      <c r="U13" s="154" t="n">
        <f aca="false">IFERROR(IF(OR(NOT(ISNUMBER('Price History'!U14)),NOT(ISNUMBER('Price History'!U13)),'Price History'!U13=0),"",'Price History'!U14/'Price History'!U13-1),"")</f>
        <v>0.0186480186480187</v>
      </c>
      <c r="V13" s="155" t="n">
        <f aca="false">IFERROR(IF(OR(NOT(ISNUMBER('Price History'!V14)),NOT(ISNUMBER('Price History'!V13)),'Price History'!V13=0),"",'Price History'!V14/'Price History'!V13-1),"")</f>
        <v>0.00843034925732633</v>
      </c>
      <c r="W13" s="156" t="n">
        <f aca="false">IFERROR('Price History'!B3+(INDEX('Price History'!B:B,MATCH(9.99E+307,'Returns (Calc)'!$A:$A)+1)-'Price History'!B3)*(ROW()-3)/(MATCH(9.99E+307,'Returns (Calc)'!$A:$A)-3),"")</f>
        <v>510.459620253165</v>
      </c>
      <c r="X13" s="156" t="n">
        <f aca="false">IFERROR('Price History'!C3+(INDEX('Price History'!C:C,MATCH(9.99E+307,'Returns (Calc)'!$A:$A)+1)-'Price History'!C3)*(ROW()-3)/(MATCH(9.99E+307,'Returns (Calc)'!$A:$A)-3),"")</f>
        <v>56.3806329113924</v>
      </c>
      <c r="Y13" s="156" t="n">
        <f aca="false">IFERROR('Price History'!D3+(INDEX('Price History'!D:D,MATCH(9.99E+307,'Returns (Calc)'!$A:$A)+1)-'Price History'!D3)*(ROW()-3)/(MATCH(9.99E+307,'Returns (Calc)'!$A:$A)-3),"")</f>
        <v>663.358101265823</v>
      </c>
      <c r="Z13" s="156" t="n">
        <f aca="false">IFERROR('Price History'!E3+(INDEX('Price History'!E:E,MATCH(9.99E+307,'Returns (Calc)'!$A:$A)+1)-'Price History'!E3)*(ROW()-3)/(MATCH(9.99E+307,'Returns (Calc)'!$A:$A)-3),"")</f>
        <v>99.2873417721519</v>
      </c>
      <c r="AA13" s="156" t="n">
        <f aca="false">IFERROR('Price History'!F3+(INDEX('Price History'!F:F,MATCH(9.99E+307,'Returns (Calc)'!$A:$A)+1)-'Price History'!F3)*(ROW()-3)/(MATCH(9.99E+307,'Returns (Calc)'!$A:$A)-3),"")</f>
        <v>55.833417721519</v>
      </c>
      <c r="AB13" s="156" t="n">
        <f aca="false">IFERROR('Price History'!G3+(INDEX('Price History'!G:G,MATCH(9.99E+307,'Returns (Calc)'!$A:$A)+1)-'Price History'!G3)*(ROW()-3)/(MATCH(9.99E+307,'Returns (Calc)'!$A:$A)-3),"")</f>
        <v>54.6373417721519</v>
      </c>
      <c r="AC13" s="156" t="n">
        <f aca="false">IFERROR('Price History'!H3+(INDEX('Price History'!H:H,MATCH(9.99E+307,'Returns (Calc)'!$A:$A)+1)-'Price History'!H3)*(ROW()-3)/(MATCH(9.99E+307,'Returns (Calc)'!$A:$A)-3),"")</f>
        <v>132.766962025316</v>
      </c>
      <c r="AD13" s="156" t="n">
        <f aca="false">IFERROR('Price History'!I3+(INDEX('Price History'!I:I,MATCH(9.99E+307,'Returns (Calc)'!$A:$A)+1)-'Price History'!I3)*(ROW()-3)/(MATCH(9.99E+307,'Returns (Calc)'!$A:$A)-3),"")</f>
        <v>55.8067088607595</v>
      </c>
      <c r="AE13" s="156" t="n">
        <f aca="false">IFERROR('Price History'!J3+(INDEX('Price History'!J:J,MATCH(9.99E+307,'Returns (Calc)'!$A:$A)+1)-'Price History'!J3)*(ROW()-3)/(MATCH(9.99E+307,'Returns (Calc)'!$A:$A)-3),"")</f>
        <v>112.920379746835</v>
      </c>
      <c r="AF13" s="156" t="n">
        <f aca="false">IFERROR('Price History'!K3+(INDEX('Price History'!K:K,MATCH(9.99E+307,'Returns (Calc)'!$A:$A)+1)-'Price History'!K3)*(ROW()-3)/(MATCH(9.99E+307,'Returns (Calc)'!$A:$A)-3),"")</f>
        <v>26.3059493670886</v>
      </c>
      <c r="AG13" s="156" t="n">
        <f aca="false">IFERROR('Price History'!L3+(INDEX('Price History'!L:L,MATCH(9.99E+307,'Returns (Calc)'!$A:$A)+1)-'Price History'!L3)*(ROW()-3)/(MATCH(9.99E+307,'Returns (Calc)'!$A:$A)-3),"")</f>
        <v>110.245569620253</v>
      </c>
      <c r="AH13" s="156" t="n">
        <f aca="false">IFERROR('Price History'!M3+(INDEX('Price History'!M:M,MATCH(9.99E+307,'Returns (Calc)'!$A:$A)+1)-'Price History'!M3)*(ROW()-3)/(MATCH(9.99E+307,'Returns (Calc)'!$A:$A)-3),"")</f>
        <v>51.5744303797468</v>
      </c>
      <c r="AI13" s="156" t="n">
        <f aca="false">IFERROR('Price History'!N3+(INDEX('Price History'!N:N,MATCH(9.99E+307,'Returns (Calc)'!$A:$A)+1)-'Price History'!N3)*(ROW()-3)/(MATCH(9.99E+307,'Returns (Calc)'!$A:$A)-3),"")</f>
        <v>358.762658227848</v>
      </c>
      <c r="AJ13" s="156" t="n">
        <f aca="false">IFERROR('Price History'!O3+(INDEX('Price History'!O:O,MATCH(9.99E+307,'Returns (Calc)'!$A:$A)+1)-'Price History'!O3)*(ROW()-3)/(MATCH(9.99E+307,'Returns (Calc)'!$A:$A)-3),"")</f>
        <v>78.1403797468355</v>
      </c>
      <c r="AK13" s="156" t="n">
        <f aca="false">IFERROR('Price History'!Q3+(INDEX('Price History'!Q:Q,MATCH(9.99E+307,'Returns (Calc)'!$A:$A)+1)-'Price History'!Q3)*(ROW()-3)/(MATCH(9.99E+307,'Returns (Calc)'!$A:$A)-3),"")</f>
        <v>4.39367088607595</v>
      </c>
      <c r="AL13" s="156" t="n">
        <f aca="false">IFERROR('Price History'!R3+(INDEX('Price History'!R:R,MATCH(9.99E+307,'Returns (Calc)'!$A:$A)+1)-'Price History'!R3)*(ROW()-3)/(MATCH(9.99E+307,'Returns (Calc)'!$A:$A)-3),"")</f>
        <v>36.1610126582279</v>
      </c>
      <c r="AM13" s="156" t="n">
        <f aca="false">IFERROR('Price History'!S3+(INDEX('Price History'!S:S,MATCH(9.99E+307,'Returns (Calc)'!$A:$A)+1)-'Price History'!S3)*(ROW()-3)/(MATCH(9.99E+307,'Returns (Calc)'!$A:$A)-3),"")</f>
        <v>63.6806329113924</v>
      </c>
      <c r="AN13" s="156" t="n">
        <f aca="false">IFERROR('Price History'!T3+(INDEX('Price History'!T:T,MATCH(9.99E+307,'Returns (Calc)'!$A:$A)+1)-'Price History'!T3)*(ROW()-3)/(MATCH(9.99E+307,'Returns (Calc)'!$A:$A)-3),"")</f>
        <v>26.9222784810127</v>
      </c>
      <c r="AO13" s="157" t="n">
        <f aca="false">IFERROR('Price History'!V3+(INDEX('Price History'!V:V,MATCH(9.99E+307,'Returns (Calc)'!$A:$A)+1)-'Price History'!V3)*(ROW()-3)/(MATCH(9.99E+307,'Returns (Calc)'!$A:$A)-3),"")</f>
        <v>243.543291139241</v>
      </c>
      <c r="AP13" s="155" t="n">
        <f aca="false">IFERROR(IF(OR(NOT(ISNUMBER('Price History'!W14)),NOT(ISNUMBER('Price History'!W13)),'Price History'!W13=0),"",'Price History'!W14/'Price History'!W13-1),"")</f>
        <v>0.0172996212508956</v>
      </c>
      <c r="AQ13" s="155" t="str">
        <f aca="false">IFERROR(IF(OR(NOT(ISNUMBER('Price History'!X14)),NOT(ISNUMBER('Price History'!X13)),'Price History'!X13=0),"",'Price History'!X14/'Price History'!X13-1),"")</f>
        <v/>
      </c>
      <c r="AR13" s="155" t="n">
        <f aca="false">IFERROR(IF(OR(NOT(ISNUMBER('Price History'!Y14)),NOT(ISNUMBER('Price History'!Y13)),'Price History'!Y13=0),"",'Price History'!Y14/'Price History'!Y13-1),"")</f>
        <v>0.00460617227084281</v>
      </c>
      <c r="AS13" s="155" t="n">
        <f aca="false">IFERROR(IF(OR(NOT(ISNUMBER('Price History'!Z14)),NOT(ISNUMBER('Price History'!Z13)),'Price History'!Z13=0),"",'Price History'!Z14/'Price History'!Z13-1),"")</f>
        <v>0.0210035005834306</v>
      </c>
      <c r="AT13" s="155" t="n">
        <f aca="false">IFERROR(IF(OR(NOT(ISNUMBER('Price History'!AA14)),NOT(ISNUMBER('Price History'!AA13)),'Price History'!AA13=0),"",'Price History'!AA14/'Price History'!AA13-1),"")</f>
        <v>-0.0289824854045038</v>
      </c>
      <c r="AU13" s="155" t="n">
        <f aca="false">IFERROR(IF(OR(NOT(ISNUMBER('Price History'!AB14)),NOT(ISNUMBER('Price History'!AB13)),'Price History'!AB13=0),"",'Price History'!AB14/'Price History'!AB13-1),"")</f>
        <v>0.0128560910686981</v>
      </c>
    </row>
    <row r="14" customFormat="false" ht="15" hidden="false" customHeight="true" outlineLevel="0" collapsed="false">
      <c r="A14" s="153" t="n">
        <f aca="false">IF('Price History'!A15="","",'Price History'!A15)</f>
        <v>45268</v>
      </c>
      <c r="B14" s="154" t="n">
        <f aca="false">IFERROR(IF(OR(NOT(ISNUMBER('Price History'!B15)),NOT(ISNUMBER('Price History'!B14)),'Price History'!B14=0),"",'Price History'!B15/'Price History'!B14-1),"")</f>
        <v>-0.00401652325828206</v>
      </c>
      <c r="C14" s="154" t="n">
        <f aca="false">IFERROR(IF(OR(NOT(ISNUMBER('Price History'!C15)),NOT(ISNUMBER('Price History'!C14)),'Price History'!C14=0),"",'Price History'!C15/'Price History'!C14-1),"")</f>
        <v>0.0341580502215657</v>
      </c>
      <c r="D14" s="154" t="n">
        <f aca="false">IFERROR(IF(OR(NOT(ISNUMBER('Price History'!D15)),NOT(ISNUMBER('Price History'!D14)),'Price History'!D14=0),"",'Price History'!D15/'Price History'!D14-1),"")</f>
        <v>0.00610098383904045</v>
      </c>
      <c r="E14" s="154" t="n">
        <f aca="false">IFERROR(IF(OR(NOT(ISNUMBER('Price History'!E15)),NOT(ISNUMBER('Price History'!E14)),'Price History'!E14=0),"",'Price History'!E15/'Price History'!E14-1),"")</f>
        <v>0.0153282239253583</v>
      </c>
      <c r="F14" s="154" t="n">
        <f aca="false">IFERROR(IF(OR(NOT(ISNUMBER('Price History'!F15)),NOT(ISNUMBER('Price History'!F14)),'Price History'!F14=0),"",'Price History'!F15/'Price History'!F14-1),"")</f>
        <v>0.0319945541184479</v>
      </c>
      <c r="G14" s="154" t="n">
        <f aca="false">IFERROR(IF(OR(NOT(ISNUMBER('Price History'!G15)),NOT(ISNUMBER('Price History'!G14)),'Price History'!G14=0),"",'Price History'!G15/'Price History'!G14-1),"")</f>
        <v>-0.0265997023809523</v>
      </c>
      <c r="H14" s="154" t="n">
        <f aca="false">IFERROR(IF(OR(NOT(ISNUMBER('Price History'!H15)),NOT(ISNUMBER('Price History'!H14)),'Price History'!H14=0),"",'Price History'!H15/'Price History'!H14-1),"")</f>
        <v>-0.0127625631480989</v>
      </c>
      <c r="I14" s="154" t="n">
        <f aca="false">IFERROR(IF(OR(NOT(ISNUMBER('Price History'!I15)),NOT(ISNUMBER('Price History'!I14)),'Price History'!I14=0),"",'Price History'!I15/'Price History'!I14-1),"")</f>
        <v>0.0158696118378725</v>
      </c>
      <c r="J14" s="154" t="n">
        <f aca="false">IFERROR(IF(OR(NOT(ISNUMBER('Price History'!J15)),NOT(ISNUMBER('Price History'!J14)),'Price History'!J14=0),"",'Price History'!J15/'Price History'!J14-1),"")</f>
        <v>0.0135047033622053</v>
      </c>
      <c r="K14" s="154" t="n">
        <f aca="false">IFERROR(IF(OR(NOT(ISNUMBER('Price History'!K15)),NOT(ISNUMBER('Price History'!K14)),'Price History'!K14=0),"",'Price History'!K15/'Price History'!K14-1),"")</f>
        <v>-0.123334977799704</v>
      </c>
      <c r="L14" s="154" t="n">
        <f aca="false">IFERROR(IF(OR(NOT(ISNUMBER('Price History'!L15)),NOT(ISNUMBER('Price History'!L14)),'Price History'!L14=0),"",'Price History'!L15/'Price History'!L14-1),"")</f>
        <v>0.0182701446826488</v>
      </c>
      <c r="M14" s="154" t="n">
        <f aca="false">IFERROR(IF(OR(NOT(ISNUMBER('Price History'!M15)),NOT(ISNUMBER('Price History'!M14)),'Price History'!M14=0),"",'Price History'!M15/'Price History'!M14-1),"")</f>
        <v>0.0446964643095396</v>
      </c>
      <c r="N14" s="154" t="n">
        <f aca="false">IFERROR(IF(OR(NOT(ISNUMBER('Price History'!N15)),NOT(ISNUMBER('Price History'!N14)),'Price History'!N14=0),"",'Price History'!N15/'Price History'!N14-1),"")</f>
        <v>-0.0028761817974714</v>
      </c>
      <c r="O14" s="154" t="n">
        <f aca="false">IFERROR(IF(OR(NOT(ISNUMBER('Price History'!O15)),NOT(ISNUMBER('Price History'!O14)),'Price History'!O14=0),"",'Price History'!O15/'Price History'!O14-1),"")</f>
        <v>0.00835548803646047</v>
      </c>
      <c r="P14" s="154" t="n">
        <f aca="false">IFERROR(IF(OR(NOT(ISNUMBER('Price History'!P15)),NOT(ISNUMBER('Price History'!P14)),'Price History'!P14=0),"",'Price History'!P15/'Price History'!P14-1),"")</f>
        <v>0.00215137883825545</v>
      </c>
      <c r="Q14" s="154" t="n">
        <f aca="false">IFERROR(IF(OR(NOT(ISNUMBER('Price History'!Q15)),NOT(ISNUMBER('Price History'!Q14)),'Price History'!Q14=0),"",'Price History'!Q15/'Price History'!Q14-1),"")</f>
        <v>0.00371238765142623</v>
      </c>
      <c r="R14" s="154" t="n">
        <f aca="false">IFERROR(IF(OR(NOT(ISNUMBER('Price History'!R15)),NOT(ISNUMBER('Price History'!R14)),'Price History'!R14=0),"",'Price History'!R15/'Price History'!R14-1),"")</f>
        <v>0.0072383073496658</v>
      </c>
      <c r="S14" s="154" t="n">
        <f aca="false">IFERROR(IF(OR(NOT(ISNUMBER('Price History'!S15)),NOT(ISNUMBER('Price History'!S14)),'Price History'!S14=0),"",'Price History'!S15/'Price History'!S14-1),"")</f>
        <v>0.00363216113587583</v>
      </c>
      <c r="T14" s="154" t="n">
        <f aca="false">IFERROR(IF(OR(NOT(ISNUMBER('Price History'!T15)),NOT(ISNUMBER('Price History'!T14)),'Price History'!T14=0),"",'Price History'!T15/'Price History'!T14-1),"")</f>
        <v>0.00881226053639828</v>
      </c>
      <c r="U14" s="154" t="n">
        <f aca="false">IFERROR(IF(OR(NOT(ISNUMBER('Price History'!U15)),NOT(ISNUMBER('Price History'!U14)),'Price History'!U14=0),"",'Price History'!U15/'Price History'!U14-1),"")</f>
        <v>0.0018306636155605</v>
      </c>
      <c r="V14" s="155" t="n">
        <f aca="false">IFERROR(IF(OR(NOT(ISNUMBER('Price History'!V15)),NOT(ISNUMBER('Price History'!V14)),'Price History'!V14=0),"",'Price History'!V15/'Price History'!V14-1),"")</f>
        <v>-0.00274681528662424</v>
      </c>
      <c r="W14" s="156" t="n">
        <f aca="false">IFERROR('Price History'!B3+(INDEX('Price History'!B:B,MATCH(9.99E+307,'Returns (Calc)'!$A:$A)+1)-'Price History'!B3)*(ROW()-3)/(MATCH(9.99E+307,'Returns (Calc)'!$A:$A)-3),"")</f>
        <v>508.616582278481</v>
      </c>
      <c r="X14" s="156" t="n">
        <f aca="false">IFERROR('Price History'!C3+(INDEX('Price History'!C:C,MATCH(9.99E+307,'Returns (Calc)'!$A:$A)+1)-'Price History'!C3)*(ROW()-3)/(MATCH(9.99E+307,'Returns (Calc)'!$A:$A)-3),"")</f>
        <v>57.4006962025317</v>
      </c>
      <c r="Y14" s="156" t="n">
        <f aca="false">IFERROR('Price History'!D3+(INDEX('Price History'!D:D,MATCH(9.99E+307,'Returns (Calc)'!$A:$A)+1)-'Price History'!D3)*(ROW()-3)/(MATCH(9.99E+307,'Returns (Calc)'!$A:$A)-3),"")</f>
        <v>671.492911392405</v>
      </c>
      <c r="Z14" s="156" t="n">
        <f aca="false">IFERROR('Price History'!E3+(INDEX('Price History'!E:E,MATCH(9.99E+307,'Returns (Calc)'!$A:$A)+1)-'Price History'!E3)*(ROW()-3)/(MATCH(9.99E+307,'Returns (Calc)'!$A:$A)-3),"")</f>
        <v>101.016075949367</v>
      </c>
      <c r="AA14" s="156" t="n">
        <f aca="false">IFERROR('Price History'!F3+(INDEX('Price History'!F:F,MATCH(9.99E+307,'Returns (Calc)'!$A:$A)+1)-'Price History'!F3)*(ROW()-3)/(MATCH(9.99E+307,'Returns (Calc)'!$A:$A)-3),"")</f>
        <v>57.2807594936709</v>
      </c>
      <c r="AB14" s="156" t="n">
        <f aca="false">IFERROR('Price History'!G3+(INDEX('Price History'!G:G,MATCH(9.99E+307,'Returns (Calc)'!$A:$A)+1)-'Price History'!G3)*(ROW()-3)/(MATCH(9.99E+307,'Returns (Calc)'!$A:$A)-3),"")</f>
        <v>55.6660759493671</v>
      </c>
      <c r="AC14" s="156" t="n">
        <f aca="false">IFERROR('Price History'!H3+(INDEX('Price History'!H:H,MATCH(9.99E+307,'Returns (Calc)'!$A:$A)+1)-'Price History'!H3)*(ROW()-3)/(MATCH(9.99E+307,'Returns (Calc)'!$A:$A)-3),"")</f>
        <v>139.132658227848</v>
      </c>
      <c r="AD14" s="156" t="n">
        <f aca="false">IFERROR('Price History'!I3+(INDEX('Price History'!I:I,MATCH(9.99E+307,'Returns (Calc)'!$A:$A)+1)-'Price History'!I3)*(ROW()-3)/(MATCH(9.99E+307,'Returns (Calc)'!$A:$A)-3),"")</f>
        <v>57.0103797468354</v>
      </c>
      <c r="AE14" s="156" t="n">
        <f aca="false">IFERROR('Price History'!J3+(INDEX('Price History'!J:J,MATCH(9.99E+307,'Returns (Calc)'!$A:$A)+1)-'Price History'!J3)*(ROW()-3)/(MATCH(9.99E+307,'Returns (Calc)'!$A:$A)-3),"")</f>
        <v>113.028417721519</v>
      </c>
      <c r="AF14" s="156" t="n">
        <f aca="false">IFERROR('Price History'!K3+(INDEX('Price History'!K:K,MATCH(9.99E+307,'Returns (Calc)'!$A:$A)+1)-'Price History'!K3)*(ROW()-3)/(MATCH(9.99E+307,'Returns (Calc)'!$A:$A)-3),"")</f>
        <v>27.4035443037975</v>
      </c>
      <c r="AG14" s="156" t="n">
        <f aca="false">IFERROR('Price History'!L3+(INDEX('Price History'!L:L,MATCH(9.99E+307,'Returns (Calc)'!$A:$A)+1)-'Price History'!L3)*(ROW()-3)/(MATCH(9.99E+307,'Returns (Calc)'!$A:$A)-3),"")</f>
        <v>112.695126582278</v>
      </c>
      <c r="AH14" s="156" t="n">
        <f aca="false">IFERROR('Price History'!M3+(INDEX('Price History'!M:M,MATCH(9.99E+307,'Returns (Calc)'!$A:$A)+1)-'Price History'!M3)*(ROW()-3)/(MATCH(9.99E+307,'Returns (Calc)'!$A:$A)-3),"")</f>
        <v>52.9298734177215</v>
      </c>
      <c r="AI14" s="156" t="n">
        <f aca="false">IFERROR('Price History'!N3+(INDEX('Price History'!N:N,MATCH(9.99E+307,'Returns (Calc)'!$A:$A)+1)-'Price History'!N3)*(ROW()-3)/(MATCH(9.99E+307,'Returns (Calc)'!$A:$A)-3),"")</f>
        <v>359.748924050633</v>
      </c>
      <c r="AJ14" s="156" t="n">
        <f aca="false">IFERROR('Price History'!O3+(INDEX('Price History'!O:O,MATCH(9.99E+307,'Returns (Calc)'!$A:$A)+1)-'Price History'!O3)*(ROW()-3)/(MATCH(9.99E+307,'Returns (Calc)'!$A:$A)-3),"")</f>
        <v>78.423417721519</v>
      </c>
      <c r="AK14" s="156" t="n">
        <f aca="false">IFERROR('Price History'!Q3+(INDEX('Price History'!Q:Q,MATCH(9.99E+307,'Returns (Calc)'!$A:$A)+1)-'Price History'!Q3)*(ROW()-3)/(MATCH(9.99E+307,'Returns (Calc)'!$A:$A)-3),"")</f>
        <v>4.83303797468355</v>
      </c>
      <c r="AL14" s="156" t="n">
        <f aca="false">IFERROR('Price History'!R3+(INDEX('Price History'!R:R,MATCH(9.99E+307,'Returns (Calc)'!$A:$A)+1)-'Price History'!R3)*(ROW()-3)/(MATCH(9.99E+307,'Returns (Calc)'!$A:$A)-3),"")</f>
        <v>36.3291139240506</v>
      </c>
      <c r="AM14" s="156" t="n">
        <f aca="false">IFERROR('Price History'!S3+(INDEX('Price History'!S:S,MATCH(9.99E+307,'Returns (Calc)'!$A:$A)+1)-'Price History'!S3)*(ROW()-3)/(MATCH(9.99E+307,'Returns (Calc)'!$A:$A)-3),"")</f>
        <v>64.2856962025317</v>
      </c>
      <c r="AN14" s="156" t="n">
        <f aca="false">IFERROR('Price History'!T3+(INDEX('Price History'!T:T,MATCH(9.99E+307,'Returns (Calc)'!$A:$A)+1)-'Price History'!T3)*(ROW()-3)/(MATCH(9.99E+307,'Returns (Calc)'!$A:$A)-3),"")</f>
        <v>27.0905063291139</v>
      </c>
      <c r="AO14" s="157" t="n">
        <f aca="false">IFERROR('Price History'!V3+(INDEX('Price History'!V:V,MATCH(9.99E+307,'Returns (Calc)'!$A:$A)+1)-'Price History'!V3)*(ROW()-3)/(MATCH(9.99E+307,'Returns (Calc)'!$A:$A)-3),"")</f>
        <v>244.334620253165</v>
      </c>
      <c r="AP14" s="155" t="n">
        <f aca="false">IFERROR(IF(OR(NOT(ISNUMBER('Price History'!W15)),NOT(ISNUMBER('Price History'!W14)),'Price History'!W14=0),"",'Price History'!W15/'Price History'!W14-1),"")</f>
        <v>-0.00231434896357408</v>
      </c>
      <c r="AQ14" s="155" t="str">
        <f aca="false">IFERROR(IF(OR(NOT(ISNUMBER('Price History'!X15)),NOT(ISNUMBER('Price History'!X14)),'Price History'!X14=0),"",'Price History'!X15/'Price History'!X14-1),"")</f>
        <v/>
      </c>
      <c r="AR14" s="155" t="n">
        <f aca="false">IFERROR(IF(OR(NOT(ISNUMBER('Price History'!Y15)),NOT(ISNUMBER('Price History'!Y14)),'Price History'!Y14=0),"",'Price History'!Y15/'Price History'!Y14-1),"")</f>
        <v>-0.00298028427326902</v>
      </c>
      <c r="AS14" s="155" t="n">
        <f aca="false">IFERROR(IF(OR(NOT(ISNUMBER('Price History'!Z15)),NOT(ISNUMBER('Price History'!Z14)),'Price History'!Z14=0),"",'Price History'!Z15/'Price History'!Z14-1),"")</f>
        <v>-0.0155844155844156</v>
      </c>
      <c r="AT14" s="155" t="n">
        <f aca="false">IFERROR(IF(OR(NOT(ISNUMBER('Price History'!AA15)),NOT(ISNUMBER('Price History'!AA14)),'Price History'!AA14=0),"",'Price History'!AA15/'Price History'!AA14-1),"")</f>
        <v>-0.0255529310715052</v>
      </c>
      <c r="AU14" s="155" t="n">
        <f aca="false">IFERROR(IF(OR(NOT(ISNUMBER('Price History'!AB15)),NOT(ISNUMBER('Price History'!AB14)),'Price History'!AB14=0),"",'Price History'!AB15/'Price History'!AB14-1),"")</f>
        <v>-0.0342764482218743</v>
      </c>
    </row>
    <row r="15" customFormat="false" ht="15" hidden="false" customHeight="true" outlineLevel="0" collapsed="false">
      <c r="A15" s="153" t="n">
        <f aca="false">IF('Price History'!A16="","",'Price History'!A16)</f>
        <v>45275</v>
      </c>
      <c r="B15" s="154" t="n">
        <f aca="false">IFERROR(IF(OR(NOT(ISNUMBER('Price History'!B16)),NOT(ISNUMBER('Price History'!B15)),'Price History'!B15=0),"",'Price History'!B16/'Price History'!B15-1),"")</f>
        <v>-0.0415239094441076</v>
      </c>
      <c r="C15" s="154" t="n">
        <f aca="false">IFERROR(IF(OR(NOT(ISNUMBER('Price History'!C16)),NOT(ISNUMBER('Price History'!C15)),'Price History'!C15=0),"",'Price History'!C16/'Price History'!C15-1),"")</f>
        <v>0.0515979289412605</v>
      </c>
      <c r="D15" s="154" t="n">
        <f aca="false">IFERROR(IF(OR(NOT(ISNUMBER('Price History'!D16)),NOT(ISNUMBER('Price History'!D15)),'Price History'!D15=0),"",'Price History'!D16/'Price History'!D15-1),"")</f>
        <v>0.0811810827080917</v>
      </c>
      <c r="E15" s="154" t="n">
        <f aca="false">IFERROR(IF(OR(NOT(ISNUMBER('Price History'!E16)),NOT(ISNUMBER('Price History'!E15)),'Price History'!E15=0),"",'Price History'!E16/'Price History'!E15-1),"")</f>
        <v>0.1964774094738</v>
      </c>
      <c r="F15" s="154" t="n">
        <f aca="false">IFERROR(IF(OR(NOT(ISNUMBER('Price History'!F16)),NOT(ISNUMBER('Price History'!F15)),'Price History'!F15=0),"",'Price History'!F16/'Price History'!F15-1),"")</f>
        <v>0.0722295514511873</v>
      </c>
      <c r="G15" s="154" t="n">
        <f aca="false">IFERROR(IF(OR(NOT(ISNUMBER('Price History'!G16)),NOT(ISNUMBER('Price History'!G15)),'Price History'!G15=0),"",'Price History'!G16/'Price History'!G15-1),"")</f>
        <v>0.0947831072042806</v>
      </c>
      <c r="H15" s="154" t="n">
        <f aca="false">IFERROR(IF(OR(NOT(ISNUMBER('Price History'!H16)),NOT(ISNUMBER('Price History'!H15)),'Price History'!H15=0),"",'Price History'!H16/'Price History'!H15-1),"")</f>
        <v>0.0859143549690278</v>
      </c>
      <c r="I15" s="154" t="n">
        <f aca="false">IFERROR(IF(OR(NOT(ISNUMBER('Price History'!I16)),NOT(ISNUMBER('Price History'!I15)),'Price History'!I15=0),"",'Price History'!I16/'Price History'!I15-1),"")</f>
        <v>0.0291323622545916</v>
      </c>
      <c r="J15" s="154" t="n">
        <f aca="false">IFERROR(IF(OR(NOT(ISNUMBER('Price History'!J16)),NOT(ISNUMBER('Price History'!J15)),'Price History'!J15=0),"",'Price History'!J16/'Price History'!J15-1),"")</f>
        <v>0.127366292960853</v>
      </c>
      <c r="K15" s="154" t="n">
        <f aca="false">IFERROR(IF(OR(NOT(ISNUMBER('Price History'!K16)),NOT(ISNUMBER('Price History'!K15)),'Price History'!K15=0),"",'Price History'!K16/'Price History'!K15-1),"")</f>
        <v>0.024198086662915</v>
      </c>
      <c r="L15" s="154" t="n">
        <f aca="false">IFERROR(IF(OR(NOT(ISNUMBER('Price History'!L16)),NOT(ISNUMBER('Price History'!L15)),'Price History'!L15=0),"",'Price History'!L16/'Price History'!L15-1),"")</f>
        <v>0.0266542211159511</v>
      </c>
      <c r="M15" s="154" t="n">
        <f aca="false">IFERROR(IF(OR(NOT(ISNUMBER('Price History'!M16)),NOT(ISNUMBER('Price History'!M15)),'Price History'!M15=0),"",'Price History'!M16/'Price History'!M15-1),"")</f>
        <v>0.0125585355470415</v>
      </c>
      <c r="N15" s="154" t="n">
        <f aca="false">IFERROR(IF(OR(NOT(ISNUMBER('Price History'!N16)),NOT(ISNUMBER('Price History'!N15)),'Price History'!N15=0),"",'Price History'!N16/'Price History'!N15-1),"")</f>
        <v>0.172868770526917</v>
      </c>
      <c r="O15" s="154" t="n">
        <f aca="false">IFERROR(IF(OR(NOT(ISNUMBER('Price History'!O16)),NOT(ISNUMBER('Price History'!O15)),'Price History'!O15=0),"",'Price History'!O16/'Price History'!O15-1),"")</f>
        <v>0.0548650345260513</v>
      </c>
      <c r="P15" s="154" t="n">
        <f aca="false">IFERROR(IF(OR(NOT(ISNUMBER('Price History'!P16)),NOT(ISNUMBER('Price History'!P15)),'Price History'!P15=0),"",'Price History'!P16/'Price History'!P15-1),"")</f>
        <v>0.0298594847775175</v>
      </c>
      <c r="Q15" s="154" t="n">
        <f aca="false">IFERROR(IF(OR(NOT(ISNUMBER('Price History'!Q16)),NOT(ISNUMBER('Price History'!Q15)),'Price History'!Q15=0),"",'Price History'!Q16/'Price History'!Q15-1),"")</f>
        <v>0.00914930893517618</v>
      </c>
      <c r="R15" s="154" t="n">
        <f aca="false">IFERROR(IF(OR(NOT(ISNUMBER('Price History'!R16)),NOT(ISNUMBER('Price History'!R15)),'Price History'!R15=0),"",'Price History'!R16/'Price History'!R15-1),"")</f>
        <v>0.0152017689331121</v>
      </c>
      <c r="S15" s="154" t="n">
        <f aca="false">IFERROR(IF(OR(NOT(ISNUMBER('Price History'!S16)),NOT(ISNUMBER('Price History'!S15)),'Price History'!S15=0),"",'Price History'!S16/'Price History'!S15-1),"")</f>
        <v>0.0342161539726928</v>
      </c>
      <c r="T15" s="154" t="n">
        <f aca="false">IFERROR(IF(OR(NOT(ISNUMBER('Price History'!T16)),NOT(ISNUMBER('Price History'!T15)),'Price History'!T15=0),"",'Price History'!T16/'Price History'!T15-1),"")</f>
        <v>0.0277250284846182</v>
      </c>
      <c r="U15" s="154" t="n">
        <f aca="false">IFERROR(IF(OR(NOT(ISNUMBER('Price History'!U16)),NOT(ISNUMBER('Price History'!U15)),'Price History'!U15=0),"",'Price History'!U16/'Price History'!U15-1),"")</f>
        <v>0.0402010050251256</v>
      </c>
      <c r="V15" s="155" t="n">
        <f aca="false">IFERROR(IF(OR(NOT(ISNUMBER('Price History'!V16)),NOT(ISNUMBER('Price History'!V15)),'Price History'!V15=0),"",'Price History'!V16/'Price History'!V15-1),"")</f>
        <v>0.00894175881202353</v>
      </c>
      <c r="W15" s="156" t="n">
        <f aca="false">IFERROR('Price History'!B3+(INDEX('Price History'!B:B,MATCH(9.99E+307,'Returns (Calc)'!$A:$A)+1)-'Price History'!B3)*(ROW()-3)/(MATCH(9.99E+307,'Returns (Calc)'!$A:$A)-3),"")</f>
        <v>506.773544303797</v>
      </c>
      <c r="X15" s="156" t="n">
        <f aca="false">IFERROR('Price History'!C3+(INDEX('Price History'!C:C,MATCH(9.99E+307,'Returns (Calc)'!$A:$A)+1)-'Price History'!C3)*(ROW()-3)/(MATCH(9.99E+307,'Returns (Calc)'!$A:$A)-3),"")</f>
        <v>58.4207594936709</v>
      </c>
      <c r="Y15" s="156" t="n">
        <f aca="false">IFERROR('Price History'!D3+(INDEX('Price History'!D:D,MATCH(9.99E+307,'Returns (Calc)'!$A:$A)+1)-'Price History'!D3)*(ROW()-3)/(MATCH(9.99E+307,'Returns (Calc)'!$A:$A)-3),"")</f>
        <v>679.627721518987</v>
      </c>
      <c r="Z15" s="156" t="n">
        <f aca="false">IFERROR('Price History'!E3+(INDEX('Price History'!E:E,MATCH(9.99E+307,'Returns (Calc)'!$A:$A)+1)-'Price History'!E3)*(ROW()-3)/(MATCH(9.99E+307,'Returns (Calc)'!$A:$A)-3),"")</f>
        <v>102.744810126582</v>
      </c>
      <c r="AA15" s="156" t="n">
        <f aca="false">IFERROR('Price History'!F3+(INDEX('Price History'!F:F,MATCH(9.99E+307,'Returns (Calc)'!$A:$A)+1)-'Price History'!F3)*(ROW()-3)/(MATCH(9.99E+307,'Returns (Calc)'!$A:$A)-3),"")</f>
        <v>58.7281012658228</v>
      </c>
      <c r="AB15" s="156" t="n">
        <f aca="false">IFERROR('Price History'!G3+(INDEX('Price History'!G:G,MATCH(9.99E+307,'Returns (Calc)'!$A:$A)+1)-'Price History'!G3)*(ROW()-3)/(MATCH(9.99E+307,'Returns (Calc)'!$A:$A)-3),"")</f>
        <v>56.6948101265823</v>
      </c>
      <c r="AC15" s="156" t="n">
        <f aca="false">IFERROR('Price History'!H3+(INDEX('Price History'!H:H,MATCH(9.99E+307,'Returns (Calc)'!$A:$A)+1)-'Price History'!H3)*(ROW()-3)/(MATCH(9.99E+307,'Returns (Calc)'!$A:$A)-3),"")</f>
        <v>145.49835443038</v>
      </c>
      <c r="AD15" s="156" t="n">
        <f aca="false">IFERROR('Price History'!I3+(INDEX('Price History'!I:I,MATCH(9.99E+307,'Returns (Calc)'!$A:$A)+1)-'Price History'!I3)*(ROW()-3)/(MATCH(9.99E+307,'Returns (Calc)'!$A:$A)-3),"")</f>
        <v>58.2140506329114</v>
      </c>
      <c r="AE15" s="156" t="n">
        <f aca="false">IFERROR('Price History'!J3+(INDEX('Price History'!J:J,MATCH(9.99E+307,'Returns (Calc)'!$A:$A)+1)-'Price History'!J3)*(ROW()-3)/(MATCH(9.99E+307,'Returns (Calc)'!$A:$A)-3),"")</f>
        <v>113.136455696203</v>
      </c>
      <c r="AF15" s="156" t="n">
        <f aca="false">IFERROR('Price History'!K3+(INDEX('Price History'!K:K,MATCH(9.99E+307,'Returns (Calc)'!$A:$A)+1)-'Price History'!K3)*(ROW()-3)/(MATCH(9.99E+307,'Returns (Calc)'!$A:$A)-3),"")</f>
        <v>28.5011392405063</v>
      </c>
      <c r="AG15" s="156" t="n">
        <f aca="false">IFERROR('Price History'!L3+(INDEX('Price History'!L:L,MATCH(9.99E+307,'Returns (Calc)'!$A:$A)+1)-'Price History'!L3)*(ROW()-3)/(MATCH(9.99E+307,'Returns (Calc)'!$A:$A)-3),"")</f>
        <v>115.144683544304</v>
      </c>
      <c r="AH15" s="156" t="n">
        <f aca="false">IFERROR('Price History'!M3+(INDEX('Price History'!M:M,MATCH(9.99E+307,'Returns (Calc)'!$A:$A)+1)-'Price History'!M3)*(ROW()-3)/(MATCH(9.99E+307,'Returns (Calc)'!$A:$A)-3),"")</f>
        <v>54.2853164556962</v>
      </c>
      <c r="AI15" s="156" t="n">
        <f aca="false">IFERROR('Price History'!N3+(INDEX('Price History'!N:N,MATCH(9.99E+307,'Returns (Calc)'!$A:$A)+1)-'Price History'!N3)*(ROW()-3)/(MATCH(9.99E+307,'Returns (Calc)'!$A:$A)-3),"")</f>
        <v>360.735189873418</v>
      </c>
      <c r="AJ15" s="156" t="n">
        <f aca="false">IFERROR('Price History'!O3+(INDEX('Price History'!O:O,MATCH(9.99E+307,'Returns (Calc)'!$A:$A)+1)-'Price History'!O3)*(ROW()-3)/(MATCH(9.99E+307,'Returns (Calc)'!$A:$A)-3),"")</f>
        <v>78.7064556962025</v>
      </c>
      <c r="AK15" s="156" t="n">
        <f aca="false">IFERROR('Price History'!Q3+(INDEX('Price History'!Q:Q,MATCH(9.99E+307,'Returns (Calc)'!$A:$A)+1)-'Price History'!Q3)*(ROW()-3)/(MATCH(9.99E+307,'Returns (Calc)'!$A:$A)-3),"")</f>
        <v>5.27240506329114</v>
      </c>
      <c r="AL15" s="156" t="n">
        <f aca="false">IFERROR('Price History'!R3+(INDEX('Price History'!R:R,MATCH(9.99E+307,'Returns (Calc)'!$A:$A)+1)-'Price History'!R3)*(ROW()-3)/(MATCH(9.99E+307,'Returns (Calc)'!$A:$A)-3),"")</f>
        <v>36.4972151898734</v>
      </c>
      <c r="AM15" s="156" t="n">
        <f aca="false">IFERROR('Price History'!S3+(INDEX('Price History'!S:S,MATCH(9.99E+307,'Returns (Calc)'!$A:$A)+1)-'Price History'!S3)*(ROW()-3)/(MATCH(9.99E+307,'Returns (Calc)'!$A:$A)-3),"")</f>
        <v>64.8907594936709</v>
      </c>
      <c r="AN15" s="156" t="n">
        <f aca="false">IFERROR('Price History'!T3+(INDEX('Price History'!T:T,MATCH(9.99E+307,'Returns (Calc)'!$A:$A)+1)-'Price History'!T3)*(ROW()-3)/(MATCH(9.99E+307,'Returns (Calc)'!$A:$A)-3),"")</f>
        <v>27.2587341772152</v>
      </c>
      <c r="AO15" s="157" t="n">
        <f aca="false">IFERROR('Price History'!V3+(INDEX('Price History'!V:V,MATCH(9.99E+307,'Returns (Calc)'!$A:$A)+1)-'Price History'!V3)*(ROW()-3)/(MATCH(9.99E+307,'Returns (Calc)'!$A:$A)-3),"")</f>
        <v>245.125949367089</v>
      </c>
      <c r="AP15" s="155" t="n">
        <f aca="false">IFERROR(IF(OR(NOT(ISNUMBER('Price History'!W16)),NOT(ISNUMBER('Price History'!W15)),'Price History'!W15=0),"",'Price History'!W16/'Price History'!W15-1),"")</f>
        <v>0.0343923348461925</v>
      </c>
      <c r="AQ15" s="155" t="str">
        <f aca="false">IFERROR(IF(OR(NOT(ISNUMBER('Price History'!X16)),NOT(ISNUMBER('Price History'!X15)),'Price History'!X15=0),"",'Price History'!X16/'Price History'!X15-1),"")</f>
        <v/>
      </c>
      <c r="AR15" s="155" t="n">
        <f aca="false">IFERROR(IF(OR(NOT(ISNUMBER('Price History'!Y16)),NOT(ISNUMBER('Price History'!Y15)),'Price History'!Y15=0),"",'Price History'!Y16/'Price History'!Y15-1),"")</f>
        <v>0.0121867095884112</v>
      </c>
      <c r="AS15" s="155" t="n">
        <f aca="false">IFERROR(IF(OR(NOT(ISNUMBER('Price History'!Z16)),NOT(ISNUMBER('Price History'!Z15)),'Price History'!Z15=0),"",'Price History'!Z16/'Price History'!Z15-1),"")</f>
        <v>0.021952506596306</v>
      </c>
      <c r="AT15" s="155" t="n">
        <f aca="false">IFERROR(IF(OR(NOT(ISNUMBER('Price History'!AA16)),NOT(ISNUMBER('Price History'!AA15)),'Price History'!AA15=0),"",'Price History'!AA16/'Price History'!AA15-1),"")</f>
        <v>0.0403261348611723</v>
      </c>
      <c r="AU15" s="155" t="n">
        <f aca="false">IFERROR(IF(OR(NOT(ISNUMBER('Price History'!AB16)),NOT(ISNUMBER('Price History'!AB15)),'Price History'!AB15=0),"",'Price History'!AB16/'Price History'!AB15-1),"")</f>
        <v>0.0460888194082565</v>
      </c>
    </row>
    <row r="16" customFormat="false" ht="15" hidden="false" customHeight="true" outlineLevel="0" collapsed="false">
      <c r="A16" s="153" t="n">
        <f aca="false">IF('Price History'!A17="","",'Price History'!A17)</f>
        <v>45282</v>
      </c>
      <c r="B16" s="154" t="n">
        <f aca="false">IFERROR(IF(OR(NOT(ISNUMBER('Price History'!B17)),NOT(ISNUMBER('Price History'!B16)),'Price History'!B16=0),"",'Price History'!B17/'Price History'!B16-1),"")</f>
        <v>0.0240644455086545</v>
      </c>
      <c r="C16" s="154" t="n">
        <f aca="false">IFERROR(IF(OR(NOT(ISNUMBER('Price History'!C17)),NOT(ISNUMBER('Price History'!C16)),'Price History'!C16=0),"",'Price History'!C17/'Price History'!C16-1),"")</f>
        <v>0.0112054329371818</v>
      </c>
      <c r="D16" s="154" t="n">
        <f aca="false">IFERROR(IF(OR(NOT(ISNUMBER('Price History'!D17)),NOT(ISNUMBER('Price History'!D16)),'Price History'!D16=0),"",'Price History'!D17/'Price History'!D16-1),"")</f>
        <v>-0.000570373187028017</v>
      </c>
      <c r="E16" s="154" t="n">
        <f aca="false">IFERROR(IF(OR(NOT(ISNUMBER('Price History'!E17)),NOT(ISNUMBER('Price History'!E16)),'Price History'!E16=0),"",'Price History'!E17/'Price History'!E16-1),"")</f>
        <v>-0.00237725153149859</v>
      </c>
      <c r="F16" s="154" t="n">
        <f aca="false">IFERROR(IF(OR(NOT(ISNUMBER('Price History'!F17)),NOT(ISNUMBER('Price History'!F16)),'Price History'!F16=0),"",'Price History'!F17/'Price History'!F16-1),"")</f>
        <v>-0.0170716702553061</v>
      </c>
      <c r="G16" s="154" t="n">
        <f aca="false">IFERROR(IF(OR(NOT(ISNUMBER('Price History'!G17)),NOT(ISNUMBER('Price History'!G16)),'Price History'!G16=0),"",'Price History'!G17/'Price History'!G16-1),"")</f>
        <v>-0.00418921277709905</v>
      </c>
      <c r="H16" s="154" t="n">
        <f aca="false">IFERROR(IF(OR(NOT(ISNUMBER('Price History'!H17)),NOT(ISNUMBER('Price History'!H16)),'Price History'!H16=0),"",'Price History'!H17/'Price History'!H16-1),"")</f>
        <v>0.0625</v>
      </c>
      <c r="I16" s="154" t="n">
        <f aca="false">IFERROR(IF(OR(NOT(ISNUMBER('Price History'!I17)),NOT(ISNUMBER('Price History'!I16)),'Price History'!I16=0),"",'Price History'!I17/'Price History'!I16-1),"")</f>
        <v>-0.00123076923076926</v>
      </c>
      <c r="J16" s="154" t="n">
        <f aca="false">IFERROR(IF(OR(NOT(ISNUMBER('Price History'!J17)),NOT(ISNUMBER('Price History'!J16)),'Price History'!J16=0),"",'Price History'!J17/'Price History'!J16-1),"")</f>
        <v>-0.013857189435931</v>
      </c>
      <c r="K16" s="154" t="n">
        <f aca="false">IFERROR(IF(OR(NOT(ISNUMBER('Price History'!K17)),NOT(ISNUMBER('Price History'!K16)),'Price History'!K16=0),"",'Price History'!K17/'Price History'!K16-1),"")</f>
        <v>-0.0434065934065934</v>
      </c>
      <c r="L16" s="154" t="n">
        <f aca="false">IFERROR(IF(OR(NOT(ISNUMBER('Price History'!L17)),NOT(ISNUMBER('Price History'!L16)),'Price History'!L16=0),"",'Price History'!L17/'Price History'!L16-1),"")</f>
        <v>0.00585917769471656</v>
      </c>
      <c r="M16" s="154" t="n">
        <f aca="false">IFERROR(IF(OR(NOT(ISNUMBER('Price History'!M17)),NOT(ISNUMBER('Price History'!M16)),'Price History'!M16=0),"",'Price History'!M17/'Price History'!M16-1),"")</f>
        <v>0.0220727349169645</v>
      </c>
      <c r="N16" s="154" t="n">
        <f aca="false">IFERROR(IF(OR(NOT(ISNUMBER('Price History'!N17)),NOT(ISNUMBER('Price History'!N16)),'Price History'!N16=0),"",'Price History'!N17/'Price History'!N16-1),"")</f>
        <v>-0.0132219733125548</v>
      </c>
      <c r="O16" s="154" t="n">
        <f aca="false">IFERROR(IF(OR(NOT(ISNUMBER('Price History'!O17)),NOT(ISNUMBER('Price History'!O16)),'Price History'!O16=0),"",'Price History'!O17/'Price History'!O16-1),"")</f>
        <v>0.0277314925017853</v>
      </c>
      <c r="P16" s="154" t="n">
        <f aca="false">IFERROR(IF(OR(NOT(ISNUMBER('Price History'!P17)),NOT(ISNUMBER('Price History'!P16)),'Price History'!P16=0),"",'Price History'!P17/'Price History'!P16-1),"")</f>
        <v>0.00265302255069155</v>
      </c>
      <c r="Q16" s="154" t="n">
        <f aca="false">IFERROR(IF(OR(NOT(ISNUMBER('Price History'!Q17)),NOT(ISNUMBER('Price History'!Q16)),'Price History'!Q16=0),"",'Price History'!Q17/'Price History'!Q16-1),"")</f>
        <v>0.00115740740740722</v>
      </c>
      <c r="R16" s="154" t="n">
        <f aca="false">IFERROR(IF(OR(NOT(ISNUMBER('Price History'!R17)),NOT(ISNUMBER('Price History'!R16)),'Price History'!R16=0),"",'Price History'!R17/'Price History'!R16-1),"")</f>
        <v>0.00299482711679833</v>
      </c>
      <c r="S16" s="154" t="n">
        <f aca="false">IFERROR(IF(OR(NOT(ISNUMBER('Price History'!S17)),NOT(ISNUMBER('Price History'!S16)),'Price History'!S16=0),"",'Price History'!S17/'Price History'!S16-1),"")</f>
        <v>0.014951487195801</v>
      </c>
      <c r="T16" s="154" t="n">
        <f aca="false">IFERROR(IF(OR(NOT(ISNUMBER('Price History'!T17)),NOT(ISNUMBER('Price History'!T16)),'Price History'!T16=0),"",'Price History'!T17/'Price History'!T16-1),"")</f>
        <v>0.0121951219512195</v>
      </c>
      <c r="U16" s="154" t="n">
        <f aca="false">IFERROR(IF(OR(NOT(ISNUMBER('Price History'!U17)),NOT(ISNUMBER('Price History'!U16)),'Price History'!U16=0),"",'Price History'!U17/'Price History'!U16-1),"")</f>
        <v>0.00527009222661401</v>
      </c>
      <c r="V16" s="155" t="n">
        <f aca="false">IFERROR(IF(OR(NOT(ISNUMBER('Price History'!V17)),NOT(ISNUMBER('Price History'!V16)),'Price History'!V16=0),"",'Price History'!V17/'Price History'!V16-1),"")</f>
        <v>0.0015430267062313</v>
      </c>
      <c r="W16" s="156" t="n">
        <f aca="false">IFERROR('Price History'!B3+(INDEX('Price History'!B:B,MATCH(9.99E+307,'Returns (Calc)'!$A:$A)+1)-'Price History'!B3)*(ROW()-3)/(MATCH(9.99E+307,'Returns (Calc)'!$A:$A)-3),"")</f>
        <v>504.930506329114</v>
      </c>
      <c r="X16" s="156" t="n">
        <f aca="false">IFERROR('Price History'!C3+(INDEX('Price History'!C:C,MATCH(9.99E+307,'Returns (Calc)'!$A:$A)+1)-'Price History'!C3)*(ROW()-3)/(MATCH(9.99E+307,'Returns (Calc)'!$A:$A)-3),"")</f>
        <v>59.4408227848101</v>
      </c>
      <c r="Y16" s="156" t="n">
        <f aca="false">IFERROR('Price History'!D3+(INDEX('Price History'!D:D,MATCH(9.99E+307,'Returns (Calc)'!$A:$A)+1)-'Price History'!D3)*(ROW()-3)/(MATCH(9.99E+307,'Returns (Calc)'!$A:$A)-3),"")</f>
        <v>687.76253164557</v>
      </c>
      <c r="Z16" s="156" t="n">
        <f aca="false">IFERROR('Price History'!E3+(INDEX('Price History'!E:E,MATCH(9.99E+307,'Returns (Calc)'!$A:$A)+1)-'Price History'!E3)*(ROW()-3)/(MATCH(9.99E+307,'Returns (Calc)'!$A:$A)-3),"")</f>
        <v>104.473544303797</v>
      </c>
      <c r="AA16" s="156" t="n">
        <f aca="false">IFERROR('Price History'!F3+(INDEX('Price History'!F:F,MATCH(9.99E+307,'Returns (Calc)'!$A:$A)+1)-'Price History'!F3)*(ROW()-3)/(MATCH(9.99E+307,'Returns (Calc)'!$A:$A)-3),"")</f>
        <v>60.1754430379747</v>
      </c>
      <c r="AB16" s="156" t="n">
        <f aca="false">IFERROR('Price History'!G3+(INDEX('Price History'!G:G,MATCH(9.99E+307,'Returns (Calc)'!$A:$A)+1)-'Price History'!G3)*(ROW()-3)/(MATCH(9.99E+307,'Returns (Calc)'!$A:$A)-3),"")</f>
        <v>57.7235443037975</v>
      </c>
      <c r="AC16" s="156" t="n">
        <f aca="false">IFERROR('Price History'!H3+(INDEX('Price History'!H:H,MATCH(9.99E+307,'Returns (Calc)'!$A:$A)+1)-'Price History'!H3)*(ROW()-3)/(MATCH(9.99E+307,'Returns (Calc)'!$A:$A)-3),"")</f>
        <v>151.864050632911</v>
      </c>
      <c r="AD16" s="156" t="n">
        <f aca="false">IFERROR('Price History'!I3+(INDEX('Price History'!I:I,MATCH(9.99E+307,'Returns (Calc)'!$A:$A)+1)-'Price History'!I3)*(ROW()-3)/(MATCH(9.99E+307,'Returns (Calc)'!$A:$A)-3),"")</f>
        <v>59.4177215189873</v>
      </c>
      <c r="AE16" s="156" t="n">
        <f aca="false">IFERROR('Price History'!J3+(INDEX('Price History'!J:J,MATCH(9.99E+307,'Returns (Calc)'!$A:$A)+1)-'Price History'!J3)*(ROW()-3)/(MATCH(9.99E+307,'Returns (Calc)'!$A:$A)-3),"")</f>
        <v>113.244493670886</v>
      </c>
      <c r="AF16" s="156" t="n">
        <f aca="false">IFERROR('Price History'!K3+(INDEX('Price History'!K:K,MATCH(9.99E+307,'Returns (Calc)'!$A:$A)+1)-'Price History'!K3)*(ROW()-3)/(MATCH(9.99E+307,'Returns (Calc)'!$A:$A)-3),"")</f>
        <v>29.5987341772152</v>
      </c>
      <c r="AG16" s="156" t="n">
        <f aca="false">IFERROR('Price History'!L3+(INDEX('Price History'!L:L,MATCH(9.99E+307,'Returns (Calc)'!$A:$A)+1)-'Price History'!L3)*(ROW()-3)/(MATCH(9.99E+307,'Returns (Calc)'!$A:$A)-3),"")</f>
        <v>117.594240506329</v>
      </c>
      <c r="AH16" s="156" t="n">
        <f aca="false">IFERROR('Price History'!M3+(INDEX('Price History'!M:M,MATCH(9.99E+307,'Returns (Calc)'!$A:$A)+1)-'Price History'!M3)*(ROW()-3)/(MATCH(9.99E+307,'Returns (Calc)'!$A:$A)-3),"")</f>
        <v>55.6407594936709</v>
      </c>
      <c r="AI16" s="156" t="n">
        <f aca="false">IFERROR('Price History'!N3+(INDEX('Price History'!N:N,MATCH(9.99E+307,'Returns (Calc)'!$A:$A)+1)-'Price History'!N3)*(ROW()-3)/(MATCH(9.99E+307,'Returns (Calc)'!$A:$A)-3),"")</f>
        <v>361.721455696203</v>
      </c>
      <c r="AJ16" s="156" t="n">
        <f aca="false">IFERROR('Price History'!O3+(INDEX('Price History'!O:O,MATCH(9.99E+307,'Returns (Calc)'!$A:$A)+1)-'Price History'!O3)*(ROW()-3)/(MATCH(9.99E+307,'Returns (Calc)'!$A:$A)-3),"")</f>
        <v>78.9894936708861</v>
      </c>
      <c r="AK16" s="156" t="n">
        <f aca="false">IFERROR('Price History'!Q3+(INDEX('Price History'!Q:Q,MATCH(9.99E+307,'Returns (Calc)'!$A:$A)+1)-'Price History'!Q3)*(ROW()-3)/(MATCH(9.99E+307,'Returns (Calc)'!$A:$A)-3),"")</f>
        <v>5.71177215189873</v>
      </c>
      <c r="AL16" s="156" t="n">
        <f aca="false">IFERROR('Price History'!R3+(INDEX('Price History'!R:R,MATCH(9.99E+307,'Returns (Calc)'!$A:$A)+1)-'Price History'!R3)*(ROW()-3)/(MATCH(9.99E+307,'Returns (Calc)'!$A:$A)-3),"")</f>
        <v>36.6653164556962</v>
      </c>
      <c r="AM16" s="156" t="n">
        <f aca="false">IFERROR('Price History'!S3+(INDEX('Price History'!S:S,MATCH(9.99E+307,'Returns (Calc)'!$A:$A)+1)-'Price History'!S3)*(ROW()-3)/(MATCH(9.99E+307,'Returns (Calc)'!$A:$A)-3),"")</f>
        <v>65.4958227848101</v>
      </c>
      <c r="AN16" s="156" t="n">
        <f aca="false">IFERROR('Price History'!T3+(INDEX('Price History'!T:T,MATCH(9.99E+307,'Returns (Calc)'!$A:$A)+1)-'Price History'!T3)*(ROW()-3)/(MATCH(9.99E+307,'Returns (Calc)'!$A:$A)-3),"")</f>
        <v>27.4269620253165</v>
      </c>
      <c r="AO16" s="157" t="n">
        <f aca="false">IFERROR('Price History'!V3+(INDEX('Price History'!V:V,MATCH(9.99E+307,'Returns (Calc)'!$A:$A)+1)-'Price History'!V3)*(ROW()-3)/(MATCH(9.99E+307,'Returns (Calc)'!$A:$A)-3),"")</f>
        <v>245.917278481013</v>
      </c>
      <c r="AP16" s="155" t="n">
        <f aca="false">IFERROR(IF(OR(NOT(ISNUMBER('Price History'!W17)),NOT(ISNUMBER('Price History'!W16)),'Price History'!W16=0),"",'Price History'!W17/'Price History'!W16-1),"")</f>
        <v>0.0068252730109204</v>
      </c>
      <c r="AQ16" s="155" t="str">
        <f aca="false">IFERROR(IF(OR(NOT(ISNUMBER('Price History'!X17)),NOT(ISNUMBER('Price History'!X16)),'Price History'!X16=0),"",'Price History'!X17/'Price History'!X16-1),"")</f>
        <v/>
      </c>
      <c r="AR16" s="155" t="n">
        <f aca="false">IFERROR(IF(OR(NOT(ISNUMBER('Price History'!Y17)),NOT(ISNUMBER('Price History'!Y16)),'Price History'!Y16=0),"",'Price History'!Y17/'Price History'!Y16-1),"")</f>
        <v>0.00136301681054052</v>
      </c>
      <c r="AS16" s="155" t="n">
        <f aca="false">IFERROR(IF(OR(NOT(ISNUMBER('Price History'!Z17)),NOT(ISNUMBER('Price History'!Z16)),'Price History'!Z16=0),"",'Price History'!Z17/'Price History'!Z16-1),"")</f>
        <v>0.0280904678302178</v>
      </c>
      <c r="AT16" s="155" t="n">
        <f aca="false">IFERROR(IF(OR(NOT(ISNUMBER('Price History'!AA17)),NOT(ISNUMBER('Price History'!AA16)),'Price History'!AA16=0),"",'Price History'!AA17/'Price History'!AA16-1),"")</f>
        <v>0.0311374708748147</v>
      </c>
      <c r="AU16" s="155" t="n">
        <f aca="false">IFERROR(IF(OR(NOT(ISNUMBER('Price History'!AB17)),NOT(ISNUMBER('Price History'!AB16)),'Price History'!AB16=0),"",'Price History'!AB17/'Price History'!AB16-1),"")</f>
        <v>0.0563458238777883</v>
      </c>
    </row>
    <row r="17" customFormat="false" ht="15" hidden="false" customHeight="true" outlineLevel="0" collapsed="false">
      <c r="A17" s="153" t="n">
        <f aca="false">IF('Price History'!A18="","",'Price History'!A18)</f>
        <v>45289</v>
      </c>
      <c r="B17" s="154" t="n">
        <f aca="false">IFERROR(IF(OR(NOT(ISNUMBER('Price History'!B18)),NOT(ISNUMBER('Price History'!B17)),'Price History'!B17=0),"",'Price History'!B18/'Price History'!B17-1),"")</f>
        <v>-0.00359081419624219</v>
      </c>
      <c r="C17" s="154" t="n">
        <f aca="false">IFERROR(IF(OR(NOT(ISNUMBER('Price History'!C18)),NOT(ISNUMBER('Price History'!C17)),'Price History'!C17=0),"",'Price History'!C18/'Price History'!C17-1),"")</f>
        <v>-0.0114170584284755</v>
      </c>
      <c r="D17" s="154" t="n">
        <f aca="false">IFERROR(IF(OR(NOT(ISNUMBER('Price History'!D18)),NOT(ISNUMBER('Price History'!D17)),'Price History'!D17=0),"",'Price History'!D18/'Price History'!D17-1),"")</f>
        <v>0.00582927956083368</v>
      </c>
      <c r="E17" s="154" t="n">
        <f aca="false">IFERROR(IF(OR(NOT(ISNUMBER('Price History'!E18)),NOT(ISNUMBER('Price History'!E17)),'Price History'!E17=0),"",'Price History'!E18/'Price History'!E17-1),"")</f>
        <v>-0.00504078452937395</v>
      </c>
      <c r="F17" s="154" t="n">
        <f aca="false">IFERROR(IF(OR(NOT(ISNUMBER('Price History'!F18)),NOT(ISNUMBER('Price History'!F17)),'Price History'!F17=0),"",'Price History'!F18/'Price History'!F17-1),"")</f>
        <v>-0.00125176028790486</v>
      </c>
      <c r="G17" s="154" t="n">
        <f aca="false">IFERROR(IF(OR(NOT(ISNUMBER('Price History'!G18)),NOT(ISNUMBER('Price History'!G17)),'Price History'!G17=0),"",'Price History'!G18/'Price History'!G17-1),"")</f>
        <v>-0.00227870289219978</v>
      </c>
      <c r="H17" s="154" t="n">
        <f aca="false">IFERROR(IF(OR(NOT(ISNUMBER('Price History'!H18)),NOT(ISNUMBER('Price History'!H17)),'Price History'!H17=0),"",'Price History'!H18/'Price History'!H17-1),"")</f>
        <v>-0.0120214752567693</v>
      </c>
      <c r="I17" s="154" t="n">
        <f aca="false">IFERROR(IF(OR(NOT(ISNUMBER('Price History'!I18)),NOT(ISNUMBER('Price History'!I17)),'Price History'!I17=0),"",'Price History'!I18/'Price History'!I17-1),"")</f>
        <v>0.0141712877387554</v>
      </c>
      <c r="J17" s="154" t="n">
        <f aca="false">IFERROR(IF(OR(NOT(ISNUMBER('Price History'!J18)),NOT(ISNUMBER('Price History'!J17)),'Price History'!J17=0),"",'Price History'!J18/'Price History'!J17-1),"")</f>
        <v>0.00677797983137696</v>
      </c>
      <c r="K17" s="154" t="n">
        <f aca="false">IFERROR(IF(OR(NOT(ISNUMBER('Price History'!K18)),NOT(ISNUMBER('Price History'!K17)),'Price History'!K17=0),"",'Price History'!K18/'Price History'!K17-1),"")</f>
        <v>-0.0137851809304996</v>
      </c>
      <c r="L17" s="154" t="n">
        <f aca="false">IFERROR(IF(OR(NOT(ISNUMBER('Price History'!L18)),NOT(ISNUMBER('Price History'!L17)),'Price History'!L17=0),"",'Price History'!L18/'Price History'!L17-1),"")</f>
        <v>0.00833584412975807</v>
      </c>
      <c r="M17" s="154" t="n">
        <f aca="false">IFERROR(IF(OR(NOT(ISNUMBER('Price History'!M18)),NOT(ISNUMBER('Price History'!M17)),'Price History'!M17=0),"",'Price History'!M18/'Price History'!M17-1),"")</f>
        <v>-0.0154257507198684</v>
      </c>
      <c r="N17" s="154" t="n">
        <f aca="false">IFERROR(IF(OR(NOT(ISNUMBER('Price History'!N18)),NOT(ISNUMBER('Price History'!N17)),'Price History'!N17=0),"",'Price History'!N18/'Price History'!N17-1),"")</f>
        <v>0.00404688463911174</v>
      </c>
      <c r="O17" s="154" t="n">
        <f aca="false">IFERROR(IF(OR(NOT(ISNUMBER('Price History'!O18)),NOT(ISNUMBER('Price History'!O17)),'Price History'!O17=0),"",'Price History'!O18/'Price History'!O17-1),"")</f>
        <v>-0.00370584829183551</v>
      </c>
      <c r="P17" s="154" t="n">
        <f aca="false">IFERROR(IF(OR(NOT(ISNUMBER('Price History'!P18)),NOT(ISNUMBER('Price History'!P17)),'Price History'!P17=0),"",'Price History'!P18/'Price History'!P17-1),"")</f>
        <v>0.0040635040635042</v>
      </c>
      <c r="Q17" s="154" t="n">
        <f aca="false">IFERROR(IF(OR(NOT(ISNUMBER('Price History'!Q18)),NOT(ISNUMBER('Price History'!Q17)),'Price History'!Q17=0),"",'Price History'!Q18/'Price History'!Q17-1),"")</f>
        <v>0.00173410404624286</v>
      </c>
      <c r="R17" s="154" t="n">
        <f aca="false">IFERROR(IF(OR(NOT(ISNUMBER('Price History'!R18)),NOT(ISNUMBER('Price History'!R17)),'Price History'!R17=0),"",'Price History'!R18/'Price History'!R17-1),"")</f>
        <v>0.00325732899022801</v>
      </c>
      <c r="S17" s="154" t="n">
        <f aca="false">IFERROR(IF(OR(NOT(ISNUMBER('Price History'!S18)),NOT(ISNUMBER('Price History'!S17)),'Price History'!S17=0),"",'Price History'!S18/'Price History'!S17-1),"")</f>
        <v>0.00705218617771508</v>
      </c>
      <c r="T17" s="154" t="n">
        <f aca="false">IFERROR(IF(OR(NOT(ISNUMBER('Price History'!T18)),NOT(ISNUMBER('Price History'!T17)),'Price History'!T17=0),"",'Price History'!T18/'Price History'!T17-1),"")</f>
        <v>-0.00219058050383358</v>
      </c>
      <c r="U17" s="154" t="n">
        <f aca="false">IFERROR(IF(OR(NOT(ISNUMBER('Price History'!U18)),NOT(ISNUMBER('Price History'!U17)),'Price History'!U17=0),"",'Price History'!U18/'Price History'!U17-1),"")</f>
        <v>0.00393184796854529</v>
      </c>
      <c r="V17" s="155" t="n">
        <f aca="false">IFERROR(IF(OR(NOT(ISNUMBER('Price History'!V18)),NOT(ISNUMBER('Price History'!V17)),'Price History'!V17=0),"",'Price History'!V18/'Price History'!V17-1),"")</f>
        <v>0.00742672039187808</v>
      </c>
      <c r="W17" s="156" t="n">
        <f aca="false">IFERROR('Price History'!B3+(INDEX('Price History'!B:B,MATCH(9.99E+307,'Returns (Calc)'!$A:$A)+1)-'Price History'!B3)*(ROW()-3)/(MATCH(9.99E+307,'Returns (Calc)'!$A:$A)-3),"")</f>
        <v>503.08746835443</v>
      </c>
      <c r="X17" s="156" t="n">
        <f aca="false">IFERROR('Price History'!C3+(INDEX('Price History'!C:C,MATCH(9.99E+307,'Returns (Calc)'!$A:$A)+1)-'Price History'!C3)*(ROW()-3)/(MATCH(9.99E+307,'Returns (Calc)'!$A:$A)-3),"")</f>
        <v>60.4608860759494</v>
      </c>
      <c r="Y17" s="156" t="n">
        <f aca="false">IFERROR('Price History'!D3+(INDEX('Price History'!D:D,MATCH(9.99E+307,'Returns (Calc)'!$A:$A)+1)-'Price History'!D3)*(ROW()-3)/(MATCH(9.99E+307,'Returns (Calc)'!$A:$A)-3),"")</f>
        <v>695.897341772152</v>
      </c>
      <c r="Z17" s="156" t="n">
        <f aca="false">IFERROR('Price History'!E3+(INDEX('Price History'!E:E,MATCH(9.99E+307,'Returns (Calc)'!$A:$A)+1)-'Price History'!E3)*(ROW()-3)/(MATCH(9.99E+307,'Returns (Calc)'!$A:$A)-3),"")</f>
        <v>106.202278481013</v>
      </c>
      <c r="AA17" s="156" t="n">
        <f aca="false">IFERROR('Price History'!F3+(INDEX('Price History'!F:F,MATCH(9.99E+307,'Returns (Calc)'!$A:$A)+1)-'Price History'!F3)*(ROW()-3)/(MATCH(9.99E+307,'Returns (Calc)'!$A:$A)-3),"")</f>
        <v>61.6227848101266</v>
      </c>
      <c r="AB17" s="156" t="n">
        <f aca="false">IFERROR('Price History'!G3+(INDEX('Price History'!G:G,MATCH(9.99E+307,'Returns (Calc)'!$A:$A)+1)-'Price History'!G3)*(ROW()-3)/(MATCH(9.99E+307,'Returns (Calc)'!$A:$A)-3),"")</f>
        <v>58.7522784810127</v>
      </c>
      <c r="AC17" s="156" t="n">
        <f aca="false">IFERROR('Price History'!H3+(INDEX('Price History'!H:H,MATCH(9.99E+307,'Returns (Calc)'!$A:$A)+1)-'Price History'!H3)*(ROW()-3)/(MATCH(9.99E+307,'Returns (Calc)'!$A:$A)-3),"")</f>
        <v>158.229746835443</v>
      </c>
      <c r="AD17" s="156" t="n">
        <f aca="false">IFERROR('Price History'!I3+(INDEX('Price History'!I:I,MATCH(9.99E+307,'Returns (Calc)'!$A:$A)+1)-'Price History'!I3)*(ROW()-3)/(MATCH(9.99E+307,'Returns (Calc)'!$A:$A)-3),"")</f>
        <v>60.6213924050633</v>
      </c>
      <c r="AE17" s="156" t="n">
        <f aca="false">IFERROR('Price History'!J3+(INDEX('Price History'!J:J,MATCH(9.99E+307,'Returns (Calc)'!$A:$A)+1)-'Price History'!J3)*(ROW()-3)/(MATCH(9.99E+307,'Returns (Calc)'!$A:$A)-3),"")</f>
        <v>113.35253164557</v>
      </c>
      <c r="AF17" s="156" t="n">
        <f aca="false">IFERROR('Price History'!K3+(INDEX('Price History'!K:K,MATCH(9.99E+307,'Returns (Calc)'!$A:$A)+1)-'Price History'!K3)*(ROW()-3)/(MATCH(9.99E+307,'Returns (Calc)'!$A:$A)-3),"")</f>
        <v>30.6963291139241</v>
      </c>
      <c r="AG17" s="156" t="n">
        <f aca="false">IFERROR('Price History'!L3+(INDEX('Price History'!L:L,MATCH(9.99E+307,'Returns (Calc)'!$A:$A)+1)-'Price History'!L3)*(ROW()-3)/(MATCH(9.99E+307,'Returns (Calc)'!$A:$A)-3),"")</f>
        <v>120.043797468354</v>
      </c>
      <c r="AH17" s="156" t="n">
        <f aca="false">IFERROR('Price History'!M3+(INDEX('Price History'!M:M,MATCH(9.99E+307,'Returns (Calc)'!$A:$A)+1)-'Price History'!M3)*(ROW()-3)/(MATCH(9.99E+307,'Returns (Calc)'!$A:$A)-3),"")</f>
        <v>56.9962025316456</v>
      </c>
      <c r="AI17" s="156" t="n">
        <f aca="false">IFERROR('Price History'!N3+(INDEX('Price History'!N:N,MATCH(9.99E+307,'Returns (Calc)'!$A:$A)+1)-'Price History'!N3)*(ROW()-3)/(MATCH(9.99E+307,'Returns (Calc)'!$A:$A)-3),"")</f>
        <v>362.707721518987</v>
      </c>
      <c r="AJ17" s="156" t="n">
        <f aca="false">IFERROR('Price History'!O3+(INDEX('Price History'!O:O,MATCH(9.99E+307,'Returns (Calc)'!$A:$A)+1)-'Price History'!O3)*(ROW()-3)/(MATCH(9.99E+307,'Returns (Calc)'!$A:$A)-3),"")</f>
        <v>79.2725316455696</v>
      </c>
      <c r="AK17" s="156" t="n">
        <f aca="false">IFERROR('Price History'!Q3+(INDEX('Price History'!Q:Q,MATCH(9.99E+307,'Returns (Calc)'!$A:$A)+1)-'Price History'!Q3)*(ROW()-3)/(MATCH(9.99E+307,'Returns (Calc)'!$A:$A)-3),"")</f>
        <v>6.15113924050633</v>
      </c>
      <c r="AL17" s="156" t="n">
        <f aca="false">IFERROR('Price History'!R3+(INDEX('Price History'!R:R,MATCH(9.99E+307,'Returns (Calc)'!$A:$A)+1)-'Price History'!R3)*(ROW()-3)/(MATCH(9.99E+307,'Returns (Calc)'!$A:$A)-3),"")</f>
        <v>36.833417721519</v>
      </c>
      <c r="AM17" s="156" t="n">
        <f aca="false">IFERROR('Price History'!S3+(INDEX('Price History'!S:S,MATCH(9.99E+307,'Returns (Calc)'!$A:$A)+1)-'Price History'!S3)*(ROW()-3)/(MATCH(9.99E+307,'Returns (Calc)'!$A:$A)-3),"")</f>
        <v>66.1008860759494</v>
      </c>
      <c r="AN17" s="156" t="n">
        <f aca="false">IFERROR('Price History'!T3+(INDEX('Price History'!T:T,MATCH(9.99E+307,'Returns (Calc)'!$A:$A)+1)-'Price History'!T3)*(ROW()-3)/(MATCH(9.99E+307,'Returns (Calc)'!$A:$A)-3),"")</f>
        <v>27.5951898734177</v>
      </c>
      <c r="AO17" s="157" t="n">
        <f aca="false">IFERROR('Price History'!V3+(INDEX('Price History'!V:V,MATCH(9.99E+307,'Returns (Calc)'!$A:$A)+1)-'Price History'!V3)*(ROW()-3)/(MATCH(9.99E+307,'Returns (Calc)'!$A:$A)-3),"")</f>
        <v>246.708607594937</v>
      </c>
      <c r="AP17" s="155" t="n">
        <f aca="false">IFERROR(IF(OR(NOT(ISNUMBER('Price History'!W18)),NOT(ISNUMBER('Price History'!W17)),'Price History'!W17=0),"",'Price History'!W18/'Price History'!W17-1),"")</f>
        <v>0.00610110400929687</v>
      </c>
      <c r="AQ17" s="155" t="str">
        <f aca="false">IFERROR(IF(OR(NOT(ISNUMBER('Price History'!X18)),NOT(ISNUMBER('Price History'!X17)),'Price History'!X17=0),"",'Price History'!X18/'Price History'!X17-1),"")</f>
        <v/>
      </c>
      <c r="AR17" s="155" t="n">
        <f aca="false">IFERROR(IF(OR(NOT(ISNUMBER('Price History'!Y18)),NOT(ISNUMBER('Price History'!Y17)),'Price History'!Y17=0),"",'Price History'!Y18/'Price History'!Y17-1),"")</f>
        <v>0.00521778584392019</v>
      </c>
      <c r="AS17" s="155" t="n">
        <f aca="false">IFERROR(IF(OR(NOT(ISNUMBER('Price History'!Z18)),NOT(ISNUMBER('Price History'!Z17)),'Price History'!Z17=0),"",'Price History'!Z18/'Price History'!Z17-1),"")</f>
        <v>0.00803616273229535</v>
      </c>
      <c r="AT17" s="155" t="n">
        <f aca="false">IFERROR(IF(OR(NOT(ISNUMBER('Price History'!AA18)),NOT(ISNUMBER('Price History'!AA17)),'Price History'!AA17=0),"",'Price History'!AA18/'Price History'!AA17-1),"")</f>
        <v>0.000205423171733665</v>
      </c>
      <c r="AU17" s="155" t="n">
        <f aca="false">IFERROR(IF(OR(NOT(ISNUMBER('Price History'!AB18)),NOT(ISNUMBER('Price History'!AB17)),'Price History'!AB17=0),"",'Price History'!AB18/'Price History'!AB17-1),"")</f>
        <v>0.00875032748231597</v>
      </c>
    </row>
    <row r="18" customFormat="false" ht="15" hidden="false" customHeight="true" outlineLevel="0" collapsed="false">
      <c r="A18" s="153" t="n">
        <f aca="false">IF('Price History'!A19="","",'Price History'!A19)</f>
        <v>45296</v>
      </c>
      <c r="B18" s="154" t="n">
        <f aca="false">IFERROR(IF(OR(NOT(ISNUMBER('Price History'!B19)),NOT(ISNUMBER('Price History'!B18)),'Price History'!B18=0),"",'Price History'!B19/'Price History'!B18-1),"")</f>
        <v>-0.0536372779081462</v>
      </c>
      <c r="C18" s="154" t="n">
        <f aca="false">IFERROR(IF(OR(NOT(ISNUMBER('Price History'!C19)),NOT(ISNUMBER('Price History'!C18)),'Price History'!C18=0),"",'Price History'!C19/'Price History'!C18-1),"")</f>
        <v>-0.0195312500000001</v>
      </c>
      <c r="D18" s="154" t="n">
        <f aca="false">IFERROR(IF(OR(NOT(ISNUMBER('Price History'!D19)),NOT(ISNUMBER('Price History'!D18)),'Price History'!D18=0),"",'Price History'!D19/'Price History'!D18-1),"")</f>
        <v>-0.0707888088837253</v>
      </c>
      <c r="E18" s="154" t="n">
        <f aca="false">IFERROR(IF(OR(NOT(ISNUMBER('Price History'!E19)),NOT(ISNUMBER('Price History'!E18)),'Price History'!E18=0),"",'Price History'!E19/'Price History'!E18-1),"")</f>
        <v>-0.0600589535740604</v>
      </c>
      <c r="F18" s="154" t="n">
        <f aca="false">IFERROR(IF(OR(NOT(ISNUMBER('Price History'!F19)),NOT(ISNUMBER('Price History'!F18)),'Price History'!F18=0),"",'Price History'!F19/'Price History'!F18-1),"")</f>
        <v>-0.0307065643114524</v>
      </c>
      <c r="G18" s="154" t="n">
        <f aca="false">IFERROR(IF(OR(NOT(ISNUMBER('Price History'!G19)),NOT(ISNUMBER('Price History'!G18)),'Price History'!G18=0),"",'Price History'!G19/'Price History'!G18-1),"")</f>
        <v>-0.0635980323260718</v>
      </c>
      <c r="H18" s="154" t="n">
        <f aca="false">IFERROR(IF(OR(NOT(ISNUMBER('Price History'!H19)),NOT(ISNUMBER('Price History'!H18)),'Price History'!H18=0),"",'Price History'!H19/'Price History'!H18-1),"")</f>
        <v>-0.0220909627879504</v>
      </c>
      <c r="I18" s="154" t="n">
        <f aca="false">IFERROR(IF(OR(NOT(ISNUMBER('Price History'!I19)),NOT(ISNUMBER('Price History'!I18)),'Price History'!I18=0),"",'Price History'!I19/'Price History'!I18-1),"")</f>
        <v>-0.00850546780072903</v>
      </c>
      <c r="J18" s="154" t="n">
        <f aca="false">IFERROR(IF(OR(NOT(ISNUMBER('Price History'!J19)),NOT(ISNUMBER('Price History'!J18)),'Price History'!J18=0),"",'Price History'!J19/'Price History'!J18-1),"")</f>
        <v>-0.0205254515599344</v>
      </c>
      <c r="K18" s="154" t="n">
        <f aca="false">IFERROR(IF(OR(NOT(ISNUMBER('Price History'!K19)),NOT(ISNUMBER('Price History'!K18)),'Price History'!K18=0),"",'Price History'!K19/'Price History'!K18-1),"")</f>
        <v>-0.0693069306930694</v>
      </c>
      <c r="L18" s="154" t="n">
        <f aca="false">IFERROR(IF(OR(NOT(ISNUMBER('Price History'!L19)),NOT(ISNUMBER('Price History'!L18)),'Price History'!L18=0),"",'Price History'!L19/'Price History'!L18-1),"")</f>
        <v>-0.0422310756972113</v>
      </c>
      <c r="M18" s="154" t="n">
        <f aca="false">IFERROR(IF(OR(NOT(ISNUMBER('Price History'!M19)),NOT(ISNUMBER('Price History'!M18)),'Price History'!M18=0),"",'Price History'!M19/'Price History'!M18-1),"")</f>
        <v>-0.0357217463964905</v>
      </c>
      <c r="N18" s="154" t="n">
        <f aca="false">IFERROR(IF(OR(NOT(ISNUMBER('Price History'!N19)),NOT(ISNUMBER('Price History'!N18)),'Price History'!N18=0),"",'Price History'!N19/'Price History'!N18-1),"")</f>
        <v>0.0236181769028485</v>
      </c>
      <c r="O18" s="154" t="n">
        <f aca="false">IFERROR(IF(OR(NOT(ISNUMBER('Price History'!O19)),NOT(ISNUMBER('Price History'!O18)),'Price History'!O18=0),"",'Price History'!O19/'Price History'!O18-1),"")</f>
        <v>-0.0259211902824597</v>
      </c>
      <c r="P18" s="154" t="n">
        <f aca="false">IFERROR(IF(OR(NOT(ISNUMBER('Price History'!P19)),NOT(ISNUMBER('Price History'!P18)),'Price History'!P18=0),"",'Price History'!P19/'Price History'!P18-1),"")</f>
        <v>0.00705882352941178</v>
      </c>
      <c r="Q18" s="154" t="n">
        <f aca="false">IFERROR(IF(OR(NOT(ISNUMBER('Price History'!Q19)),NOT(ISNUMBER('Price History'!Q18)),'Price History'!Q18=0),"",'Price History'!Q19/'Price History'!Q18-1),"")</f>
        <v>-0.00442392767839972</v>
      </c>
      <c r="R18" s="154" t="n">
        <f aca="false">IFERROR(IF(OR(NOT(ISNUMBER('Price History'!R19)),NOT(ISNUMBER('Price History'!R18)),'Price History'!R18=0),"",'Price History'!R19/'Price History'!R18-1),"")</f>
        <v>-0.0156926406926406</v>
      </c>
      <c r="S18" s="154" t="n">
        <f aca="false">IFERROR(IF(OR(NOT(ISNUMBER('Price History'!S19)),NOT(ISNUMBER('Price History'!S18)),'Price History'!S18=0),"",'Price History'!S19/'Price History'!S18-1),"")</f>
        <v>-0.0102707749766574</v>
      </c>
      <c r="T18" s="154" t="n">
        <f aca="false">IFERROR(IF(OR(NOT(ISNUMBER('Price History'!T19)),NOT(ISNUMBER('Price History'!T18)),'Price History'!T18=0),"",'Price History'!T19/'Price History'!T18-1),"")</f>
        <v>0.000731796560556219</v>
      </c>
      <c r="U18" s="154" t="n">
        <f aca="false">IFERROR(IF(OR(NOT(ISNUMBER('Price History'!U19)),NOT(ISNUMBER('Price History'!U18)),'Price History'!U18=0),"",'Price History'!U19/'Price History'!U18-1),"")</f>
        <v>0.00304612706701479</v>
      </c>
      <c r="V18" s="155" t="n">
        <f aca="false">IFERROR(IF(OR(NOT(ISNUMBER('Price History'!V19)),NOT(ISNUMBER('Price History'!V18)),'Price History'!V18=0),"",'Price History'!V19/'Price History'!V18-1),"")</f>
        <v>-0.0025096070896401</v>
      </c>
      <c r="W18" s="156" t="n">
        <f aca="false">IFERROR('Price History'!B3+(INDEX('Price History'!B:B,MATCH(9.99E+307,'Returns (Calc)'!$A:$A)+1)-'Price History'!B3)*(ROW()-3)/(MATCH(9.99E+307,'Returns (Calc)'!$A:$A)-3),"")</f>
        <v>501.244430379747</v>
      </c>
      <c r="X18" s="156" t="n">
        <f aca="false">IFERROR('Price History'!C3+(INDEX('Price History'!C:C,MATCH(9.99E+307,'Returns (Calc)'!$A:$A)+1)-'Price History'!C3)*(ROW()-3)/(MATCH(9.99E+307,'Returns (Calc)'!$A:$A)-3),"")</f>
        <v>61.4809493670886</v>
      </c>
      <c r="Y18" s="156" t="n">
        <f aca="false">IFERROR('Price History'!D3+(INDEX('Price History'!D:D,MATCH(9.99E+307,'Returns (Calc)'!$A:$A)+1)-'Price History'!D3)*(ROW()-3)/(MATCH(9.99E+307,'Returns (Calc)'!$A:$A)-3),"")</f>
        <v>704.032151898734</v>
      </c>
      <c r="Z18" s="156" t="n">
        <f aca="false">IFERROR('Price History'!E3+(INDEX('Price History'!E:E,MATCH(9.99E+307,'Returns (Calc)'!$A:$A)+1)-'Price History'!E3)*(ROW()-3)/(MATCH(9.99E+307,'Returns (Calc)'!$A:$A)-3),"")</f>
        <v>107.931012658228</v>
      </c>
      <c r="AA18" s="156" t="n">
        <f aca="false">IFERROR('Price History'!F3+(INDEX('Price History'!F:F,MATCH(9.99E+307,'Returns (Calc)'!$A:$A)+1)-'Price History'!F3)*(ROW()-3)/(MATCH(9.99E+307,'Returns (Calc)'!$A:$A)-3),"")</f>
        <v>63.0701265822785</v>
      </c>
      <c r="AB18" s="156" t="n">
        <f aca="false">IFERROR('Price History'!G3+(INDEX('Price History'!G:G,MATCH(9.99E+307,'Returns (Calc)'!$A:$A)+1)-'Price History'!G3)*(ROW()-3)/(MATCH(9.99E+307,'Returns (Calc)'!$A:$A)-3),"")</f>
        <v>59.7810126582279</v>
      </c>
      <c r="AC18" s="156" t="n">
        <f aca="false">IFERROR('Price History'!H3+(INDEX('Price History'!H:H,MATCH(9.99E+307,'Returns (Calc)'!$A:$A)+1)-'Price History'!H3)*(ROW()-3)/(MATCH(9.99E+307,'Returns (Calc)'!$A:$A)-3),"")</f>
        <v>164.595443037975</v>
      </c>
      <c r="AD18" s="156" t="n">
        <f aca="false">IFERROR('Price History'!I3+(INDEX('Price History'!I:I,MATCH(9.99E+307,'Returns (Calc)'!$A:$A)+1)-'Price History'!I3)*(ROW()-3)/(MATCH(9.99E+307,'Returns (Calc)'!$A:$A)-3),"")</f>
        <v>61.8250632911392</v>
      </c>
      <c r="AE18" s="156" t="n">
        <f aca="false">IFERROR('Price History'!J3+(INDEX('Price History'!J:J,MATCH(9.99E+307,'Returns (Calc)'!$A:$A)+1)-'Price History'!J3)*(ROW()-3)/(MATCH(9.99E+307,'Returns (Calc)'!$A:$A)-3),"")</f>
        <v>113.460569620253</v>
      </c>
      <c r="AF18" s="156" t="n">
        <f aca="false">IFERROR('Price History'!K3+(INDEX('Price History'!K:K,MATCH(9.99E+307,'Returns (Calc)'!$A:$A)+1)-'Price History'!K3)*(ROW()-3)/(MATCH(9.99E+307,'Returns (Calc)'!$A:$A)-3),"")</f>
        <v>31.7939240506329</v>
      </c>
      <c r="AG18" s="156" t="n">
        <f aca="false">IFERROR('Price History'!L3+(INDEX('Price History'!L:L,MATCH(9.99E+307,'Returns (Calc)'!$A:$A)+1)-'Price History'!L3)*(ROW()-3)/(MATCH(9.99E+307,'Returns (Calc)'!$A:$A)-3),"")</f>
        <v>122.49335443038</v>
      </c>
      <c r="AH18" s="156" t="n">
        <f aca="false">IFERROR('Price History'!M3+(INDEX('Price History'!M:M,MATCH(9.99E+307,'Returns (Calc)'!$A:$A)+1)-'Price History'!M3)*(ROW()-3)/(MATCH(9.99E+307,'Returns (Calc)'!$A:$A)-3),"")</f>
        <v>58.3516455696203</v>
      </c>
      <c r="AI18" s="156" t="n">
        <f aca="false">IFERROR('Price History'!N3+(INDEX('Price History'!N:N,MATCH(9.99E+307,'Returns (Calc)'!$A:$A)+1)-'Price History'!N3)*(ROW()-3)/(MATCH(9.99E+307,'Returns (Calc)'!$A:$A)-3),"")</f>
        <v>363.693987341772</v>
      </c>
      <c r="AJ18" s="156" t="n">
        <f aca="false">IFERROR('Price History'!O3+(INDEX('Price History'!O:O,MATCH(9.99E+307,'Returns (Calc)'!$A:$A)+1)-'Price History'!O3)*(ROW()-3)/(MATCH(9.99E+307,'Returns (Calc)'!$A:$A)-3),"")</f>
        <v>79.5555696202532</v>
      </c>
      <c r="AK18" s="156" t="n">
        <f aca="false">IFERROR('Price History'!Q3+(INDEX('Price History'!Q:Q,MATCH(9.99E+307,'Returns (Calc)'!$A:$A)+1)-'Price History'!Q3)*(ROW()-3)/(MATCH(9.99E+307,'Returns (Calc)'!$A:$A)-3),"")</f>
        <v>6.59050632911392</v>
      </c>
      <c r="AL18" s="156" t="n">
        <f aca="false">IFERROR('Price History'!R3+(INDEX('Price History'!R:R,MATCH(9.99E+307,'Returns (Calc)'!$A:$A)+1)-'Price History'!R3)*(ROW()-3)/(MATCH(9.99E+307,'Returns (Calc)'!$A:$A)-3),"")</f>
        <v>37.0015189873418</v>
      </c>
      <c r="AM18" s="156" t="n">
        <f aca="false">IFERROR('Price History'!S3+(INDEX('Price History'!S:S,MATCH(9.99E+307,'Returns (Calc)'!$A:$A)+1)-'Price History'!S3)*(ROW()-3)/(MATCH(9.99E+307,'Returns (Calc)'!$A:$A)-3),"")</f>
        <v>66.7059493670886</v>
      </c>
      <c r="AN18" s="156" t="n">
        <f aca="false">IFERROR('Price History'!T3+(INDEX('Price History'!T:T,MATCH(9.99E+307,'Returns (Calc)'!$A:$A)+1)-'Price History'!T3)*(ROW()-3)/(MATCH(9.99E+307,'Returns (Calc)'!$A:$A)-3),"")</f>
        <v>27.763417721519</v>
      </c>
      <c r="AO18" s="157" t="n">
        <f aca="false">IFERROR('Price History'!V3+(INDEX('Price History'!V:V,MATCH(9.99E+307,'Returns (Calc)'!$A:$A)+1)-'Price History'!V3)*(ROW()-3)/(MATCH(9.99E+307,'Returns (Calc)'!$A:$A)-3),"")</f>
        <v>247.499936708861</v>
      </c>
      <c r="AP18" s="155" t="n">
        <f aca="false">IFERROR(IF(OR(NOT(ISNUMBER('Price History'!W19)),NOT(ISNUMBER('Price History'!W18)),'Price History'!W18=0),"",'Price History'!W19/'Price History'!W18-1),"")</f>
        <v>0.00221388006545387</v>
      </c>
      <c r="AQ18" s="155" t="str">
        <f aca="false">IFERROR(IF(OR(NOT(ISNUMBER('Price History'!X19)),NOT(ISNUMBER('Price History'!X18)),'Price History'!X18=0),"",'Price History'!X19/'Price History'!X18-1),"")</f>
        <v/>
      </c>
      <c r="AR18" s="155" t="n">
        <f aca="false">IFERROR(IF(OR(NOT(ISNUMBER('Price History'!Y19)),NOT(ISNUMBER('Price History'!Y18)),'Price History'!Y18=0),"",'Price History'!Y19/'Price History'!Y18-1),"")</f>
        <v>-0.00428797111261581</v>
      </c>
      <c r="AS18" s="155" t="n">
        <f aca="false">IFERROR(IF(OR(NOT(ISNUMBER('Price History'!Z19)),NOT(ISNUMBER('Price History'!Z18)),'Price History'!Z18=0),"",'Price History'!Z19/'Price History'!Z18-1),"")</f>
        <v>-0.01056302939711</v>
      </c>
      <c r="AT18" s="155" t="n">
        <f aca="false">IFERROR(IF(OR(NOT(ISNUMBER('Price History'!AA19)),NOT(ISNUMBER('Price History'!AA18)),'Price History'!AA18=0),"",'Price History'!AA19/'Price History'!AA18-1),"")</f>
        <v>-0.0262887656602999</v>
      </c>
      <c r="AU18" s="155" t="n">
        <f aca="false">IFERROR(IF(OR(NOT(ISNUMBER('Price History'!AB19)),NOT(ISNUMBER('Price History'!AB18)),'Price History'!AB18=0),"",'Price History'!AB19/'Price History'!AB18-1),"")</f>
        <v>-0.0354768335757325</v>
      </c>
    </row>
    <row r="19" customFormat="false" ht="15" hidden="false" customHeight="true" outlineLevel="0" collapsed="false">
      <c r="A19" s="153" t="n">
        <f aca="false">IF('Price History'!A20="","",'Price History'!A20)</f>
        <v>45303</v>
      </c>
      <c r="B19" s="154" t="n">
        <f aca="false">IFERROR(IF(OR(NOT(ISNUMBER('Price History'!B20)),NOT(ISNUMBER('Price History'!B19)),'Price History'!B19=0),"",'Price History'!B20/'Price History'!B19-1),"")</f>
        <v>0.0565710237336166</v>
      </c>
      <c r="C19" s="154" t="n">
        <f aca="false">IFERROR(IF(OR(NOT(ISNUMBER('Price History'!C20)),NOT(ISNUMBER('Price History'!C19)),'Price History'!C19=0),"",'Price History'!C20/'Price History'!C19-1),"")</f>
        <v>0.0914602459726313</v>
      </c>
      <c r="D19" s="154" t="n">
        <f aca="false">IFERROR(IF(OR(NOT(ISNUMBER('Price History'!D20)),NOT(ISNUMBER('Price History'!D19)),'Price History'!D19=0),"",'Price History'!D20/'Price History'!D19-1),"")</f>
        <v>0.0140441678903216</v>
      </c>
      <c r="E19" s="154" t="n">
        <f aca="false">IFERROR(IF(OR(NOT(ISNUMBER('Price History'!E20)),NOT(ISNUMBER('Price History'!E19)),'Price History'!E19=0),"",'Price History'!E20/'Price History'!E19-1),"")</f>
        <v>0.0556644453155624</v>
      </c>
      <c r="F19" s="154" t="n">
        <f aca="false">IFERROR(IF(OR(NOT(ISNUMBER('Price History'!F20)),NOT(ISNUMBER('Price History'!F19)),'Price History'!F19=0),"",'Price History'!F20/'Price History'!F19-1),"")</f>
        <v>0.144981412639405</v>
      </c>
      <c r="G19" s="154" t="n">
        <f aca="false">IFERROR(IF(OR(NOT(ISNUMBER('Price History'!G20)),NOT(ISNUMBER('Price History'!G19)),'Price History'!G19=0),"",'Price History'!G20/'Price History'!G19-1),"")</f>
        <v>0.0298311444652908</v>
      </c>
      <c r="H19" s="154" t="n">
        <f aca="false">IFERROR(IF(OR(NOT(ISNUMBER('Price History'!H20)),NOT(ISNUMBER('Price History'!H19)),'Price History'!H19=0),"",'Price History'!H20/'Price History'!H19-1),"")</f>
        <v>-0.0128050253684465</v>
      </c>
      <c r="I19" s="154" t="n">
        <f aca="false">IFERROR(IF(OR(NOT(ISNUMBER('Price History'!I20)),NOT(ISNUMBER('Price History'!I19)),'Price History'!I19=0),"",'Price History'!I20/'Price History'!I19-1),"")</f>
        <v>0.114174836601307</v>
      </c>
      <c r="J19" s="154" t="n">
        <f aca="false">IFERROR(IF(OR(NOT(ISNUMBER('Price History'!J20)),NOT(ISNUMBER('Price History'!J19)),'Price History'!J19=0),"",'Price History'!J20/'Price History'!J19-1),"")</f>
        <v>0.0075440067057837</v>
      </c>
      <c r="K19" s="154" t="n">
        <f aca="false">IFERROR(IF(OR(NOT(ISNUMBER('Price History'!K20)),NOT(ISNUMBER('Price History'!K19)),'Price History'!K19=0),"",'Price History'!K20/'Price History'!K19-1),"")</f>
        <v>0.0488110137672091</v>
      </c>
      <c r="L19" s="154" t="n">
        <f aca="false">IFERROR(IF(OR(NOT(ISNUMBER('Price History'!L20)),NOT(ISNUMBER('Price History'!L19)),'Price History'!L19=0),"",'Price History'!L20/'Price History'!L19-1),"")</f>
        <v>0.0163269550748753</v>
      </c>
      <c r="M19" s="154" t="n">
        <f aca="false">IFERROR(IF(OR(NOT(ISNUMBER('Price History'!M20)),NOT(ISNUMBER('Price History'!M19)),'Price History'!M19=0),"",'Price History'!M20/'Price History'!M19-1),"")</f>
        <v>0.0693240901213172</v>
      </c>
      <c r="N19" s="154" t="n">
        <f aca="false">IFERROR(IF(OR(NOT(ISNUMBER('Price History'!N20)),NOT(ISNUMBER('Price History'!N19)),'Price History'!N19=0),"",'Price History'!N20/'Price History'!N19-1),"")</f>
        <v>0.0405762304921968</v>
      </c>
      <c r="O19" s="154" t="n">
        <f aca="false">IFERROR(IF(OR(NOT(ISNUMBER('Price History'!O20)),NOT(ISNUMBER('Price History'!O19)),'Price History'!O19=0),"",'Price History'!O20/'Price History'!O19-1),"")</f>
        <v>-0.0113365155131265</v>
      </c>
      <c r="P19" s="154" t="n">
        <f aca="false">IFERROR(IF(OR(NOT(ISNUMBER('Price History'!P20)),NOT(ISNUMBER('Price History'!P19)),'Price History'!P19=0),"",'Price History'!P20/'Price History'!P19-1),"")</f>
        <v>-0.0138317757009346</v>
      </c>
      <c r="Q19" s="154" t="n">
        <f aca="false">IFERROR(IF(OR(NOT(ISNUMBER('Price History'!Q20)),NOT(ISNUMBER('Price History'!Q19)),'Price History'!Q19=0),"",'Price History'!Q20/'Price History'!Q19-1),"")</f>
        <v>0.00985316846986106</v>
      </c>
      <c r="R19" s="154" t="n">
        <f aca="false">IFERROR(IF(OR(NOT(ISNUMBER('Price History'!R20)),NOT(ISNUMBER('Price History'!R19)),'Price History'!R19=0),"",'Price History'!R20/'Price History'!R19-1),"")</f>
        <v>0.0274876305662453</v>
      </c>
      <c r="S19" s="154" t="n">
        <f aca="false">IFERROR(IF(OR(NOT(ISNUMBER('Price History'!S20)),NOT(ISNUMBER('Price History'!S19)),'Price History'!S19=0),"",'Price History'!S20/'Price History'!S19-1),"")</f>
        <v>0.0309748427672956</v>
      </c>
      <c r="T19" s="154" t="n">
        <f aca="false">IFERROR(IF(OR(NOT(ISNUMBER('Price History'!T20)),NOT(ISNUMBER('Price History'!T19)),'Price History'!T19=0),"",'Price History'!T20/'Price History'!T19-1),"")</f>
        <v>-0.00219378427787942</v>
      </c>
      <c r="U19" s="154" t="n">
        <f aca="false">IFERROR(IF(OR(NOT(ISNUMBER('Price History'!U20)),NOT(ISNUMBER('Price History'!U19)),'Price History'!U19=0),"",'Price History'!U20/'Price History'!U19-1),"")</f>
        <v>-0.00130151843817794</v>
      </c>
      <c r="V19" s="155" t="n">
        <f aca="false">IFERROR(IF(OR(NOT(ISNUMBER('Price History'!V20)),NOT(ISNUMBER('Price History'!V19)),'Price History'!V19=0),"",'Price History'!V20/'Price History'!V19-1),"")</f>
        <v>0.0172183347747463</v>
      </c>
      <c r="W19" s="156" t="n">
        <f aca="false">IFERROR('Price History'!B3+(INDEX('Price History'!B:B,MATCH(9.99E+307,'Returns (Calc)'!$A:$A)+1)-'Price History'!B3)*(ROW()-3)/(MATCH(9.99E+307,'Returns (Calc)'!$A:$A)-3),"")</f>
        <v>499.401392405063</v>
      </c>
      <c r="X19" s="156" t="n">
        <f aca="false">IFERROR('Price History'!C3+(INDEX('Price History'!C:C,MATCH(9.99E+307,'Returns (Calc)'!$A:$A)+1)-'Price History'!C3)*(ROW()-3)/(MATCH(9.99E+307,'Returns (Calc)'!$A:$A)-3),"")</f>
        <v>62.5010126582279</v>
      </c>
      <c r="Y19" s="156" t="n">
        <f aca="false">IFERROR('Price History'!D3+(INDEX('Price History'!D:D,MATCH(9.99E+307,'Returns (Calc)'!$A:$A)+1)-'Price History'!D3)*(ROW()-3)/(MATCH(9.99E+307,'Returns (Calc)'!$A:$A)-3),"")</f>
        <v>712.166962025317</v>
      </c>
      <c r="Z19" s="156" t="n">
        <f aca="false">IFERROR('Price History'!E3+(INDEX('Price History'!E:E,MATCH(9.99E+307,'Returns (Calc)'!$A:$A)+1)-'Price History'!E3)*(ROW()-3)/(MATCH(9.99E+307,'Returns (Calc)'!$A:$A)-3),"")</f>
        <v>109.659746835443</v>
      </c>
      <c r="AA19" s="156" t="n">
        <f aca="false">IFERROR('Price History'!F3+(INDEX('Price History'!F:F,MATCH(9.99E+307,'Returns (Calc)'!$A:$A)+1)-'Price History'!F3)*(ROW()-3)/(MATCH(9.99E+307,'Returns (Calc)'!$A:$A)-3),"")</f>
        <v>64.5174683544304</v>
      </c>
      <c r="AB19" s="156" t="n">
        <f aca="false">IFERROR('Price History'!G3+(INDEX('Price History'!G:G,MATCH(9.99E+307,'Returns (Calc)'!$A:$A)+1)-'Price History'!G3)*(ROW()-3)/(MATCH(9.99E+307,'Returns (Calc)'!$A:$A)-3),"")</f>
        <v>60.809746835443</v>
      </c>
      <c r="AC19" s="156" t="n">
        <f aca="false">IFERROR('Price History'!H3+(INDEX('Price History'!H:H,MATCH(9.99E+307,'Returns (Calc)'!$A:$A)+1)-'Price History'!H3)*(ROW()-3)/(MATCH(9.99E+307,'Returns (Calc)'!$A:$A)-3),"")</f>
        <v>170.961139240506</v>
      </c>
      <c r="AD19" s="156" t="n">
        <f aca="false">IFERROR('Price History'!I3+(INDEX('Price History'!I:I,MATCH(9.99E+307,'Returns (Calc)'!$A:$A)+1)-'Price History'!I3)*(ROW()-3)/(MATCH(9.99E+307,'Returns (Calc)'!$A:$A)-3),"")</f>
        <v>63.0287341772152</v>
      </c>
      <c r="AE19" s="156" t="n">
        <f aca="false">IFERROR('Price History'!J3+(INDEX('Price History'!J:J,MATCH(9.99E+307,'Returns (Calc)'!$A:$A)+1)-'Price History'!J3)*(ROW()-3)/(MATCH(9.99E+307,'Returns (Calc)'!$A:$A)-3),"")</f>
        <v>113.568607594937</v>
      </c>
      <c r="AF19" s="156" t="n">
        <f aca="false">IFERROR('Price History'!K3+(INDEX('Price History'!K:K,MATCH(9.99E+307,'Returns (Calc)'!$A:$A)+1)-'Price History'!K3)*(ROW()-3)/(MATCH(9.99E+307,'Returns (Calc)'!$A:$A)-3),"")</f>
        <v>32.8915189873418</v>
      </c>
      <c r="AG19" s="156" t="n">
        <f aca="false">IFERROR('Price History'!L3+(INDEX('Price History'!L:L,MATCH(9.99E+307,'Returns (Calc)'!$A:$A)+1)-'Price History'!L3)*(ROW()-3)/(MATCH(9.99E+307,'Returns (Calc)'!$A:$A)-3),"")</f>
        <v>124.942911392405</v>
      </c>
      <c r="AH19" s="156" t="n">
        <f aca="false">IFERROR('Price History'!M3+(INDEX('Price History'!M:M,MATCH(9.99E+307,'Returns (Calc)'!$A:$A)+1)-'Price History'!M3)*(ROW()-3)/(MATCH(9.99E+307,'Returns (Calc)'!$A:$A)-3),"")</f>
        <v>59.7070886075949</v>
      </c>
      <c r="AI19" s="156" t="n">
        <f aca="false">IFERROR('Price History'!N3+(INDEX('Price History'!N:N,MATCH(9.99E+307,'Returns (Calc)'!$A:$A)+1)-'Price History'!N3)*(ROW()-3)/(MATCH(9.99E+307,'Returns (Calc)'!$A:$A)-3),"")</f>
        <v>364.680253164557</v>
      </c>
      <c r="AJ19" s="156" t="n">
        <f aca="false">IFERROR('Price History'!O3+(INDEX('Price History'!O:O,MATCH(9.99E+307,'Returns (Calc)'!$A:$A)+1)-'Price History'!O3)*(ROW()-3)/(MATCH(9.99E+307,'Returns (Calc)'!$A:$A)-3),"")</f>
        <v>79.8386075949367</v>
      </c>
      <c r="AK19" s="156" t="n">
        <f aca="false">IFERROR('Price History'!Q3+(INDEX('Price History'!Q:Q,MATCH(9.99E+307,'Returns (Calc)'!$A:$A)+1)-'Price History'!Q3)*(ROW()-3)/(MATCH(9.99E+307,'Returns (Calc)'!$A:$A)-3),"")</f>
        <v>7.02987341772152</v>
      </c>
      <c r="AL19" s="156" t="n">
        <f aca="false">IFERROR('Price History'!R3+(INDEX('Price History'!R:R,MATCH(9.99E+307,'Returns (Calc)'!$A:$A)+1)-'Price History'!R3)*(ROW()-3)/(MATCH(9.99E+307,'Returns (Calc)'!$A:$A)-3),"")</f>
        <v>37.1696202531646</v>
      </c>
      <c r="AM19" s="156" t="n">
        <f aca="false">IFERROR('Price History'!S3+(INDEX('Price History'!S:S,MATCH(9.99E+307,'Returns (Calc)'!$A:$A)+1)-'Price History'!S3)*(ROW()-3)/(MATCH(9.99E+307,'Returns (Calc)'!$A:$A)-3),"")</f>
        <v>67.3110126582279</v>
      </c>
      <c r="AN19" s="156" t="n">
        <f aca="false">IFERROR('Price History'!T3+(INDEX('Price History'!T:T,MATCH(9.99E+307,'Returns (Calc)'!$A:$A)+1)-'Price History'!T3)*(ROW()-3)/(MATCH(9.99E+307,'Returns (Calc)'!$A:$A)-3),"")</f>
        <v>27.9316455696203</v>
      </c>
      <c r="AO19" s="157" t="n">
        <f aca="false">IFERROR('Price History'!V3+(INDEX('Price History'!V:V,MATCH(9.99E+307,'Returns (Calc)'!$A:$A)+1)-'Price History'!V3)*(ROW()-3)/(MATCH(9.99E+307,'Returns (Calc)'!$A:$A)-3),"")</f>
        <v>248.291265822785</v>
      </c>
      <c r="AP19" s="155" t="n">
        <f aca="false">IFERROR(IF(OR(NOT(ISNUMBER('Price History'!W20)),NOT(ISNUMBER('Price History'!W19)),'Price History'!W19=0),"",'Price History'!W20/'Price History'!W19-1),"")</f>
        <v>-0.00345754898194395</v>
      </c>
      <c r="AQ19" s="155" t="str">
        <f aca="false">IFERROR(IF(OR(NOT(ISNUMBER('Price History'!X20)),NOT(ISNUMBER('Price History'!X19)),'Price History'!X19=0),"",'Price History'!X20/'Price History'!X19-1),"")</f>
        <v/>
      </c>
      <c r="AR19" s="155" t="n">
        <f aca="false">IFERROR(IF(OR(NOT(ISNUMBER('Price History'!Y20)),NOT(ISNUMBER('Price History'!Y19)),'Price History'!Y19=0),"",'Price History'!Y20/'Price History'!Y19-1),"")</f>
        <v>0.010199456029012</v>
      </c>
      <c r="AS19" s="155" t="n">
        <f aca="false">IFERROR(IF(OR(NOT(ISNUMBER('Price History'!Z20)),NOT(ISNUMBER('Price History'!Z19)),'Price History'!Z19=0),"",'Price History'!Z20/'Price History'!Z19-1),"")</f>
        <v>0.0277973612649813</v>
      </c>
      <c r="AT19" s="155" t="n">
        <f aca="false">IFERROR(IF(OR(NOT(ISNUMBER('Price History'!AA20)),NOT(ISNUMBER('Price History'!AA19)),'Price History'!AA19=0),"",'Price History'!AA20/'Price History'!AA19-1),"")</f>
        <v>0.0381775996625184</v>
      </c>
      <c r="AU19" s="155" t="n">
        <f aca="false">IFERROR(IF(OR(NOT(ISNUMBER('Price History'!AB20)),NOT(ISNUMBER('Price History'!AB19)),'Price History'!AB19=0),"",'Price History'!AB20/'Price History'!AB19-1),"")</f>
        <v>0.123862351230545</v>
      </c>
    </row>
    <row r="20" customFormat="false" ht="15" hidden="false" customHeight="true" outlineLevel="0" collapsed="false">
      <c r="A20" s="153" t="n">
        <f aca="false">IF('Price History'!A21="","",'Price History'!A21)</f>
        <v>45310</v>
      </c>
      <c r="B20" s="154" t="n">
        <f aca="false">IFERROR(IF(OR(NOT(ISNUMBER('Price History'!B21)),NOT(ISNUMBER('Price History'!B20)),'Price History'!B20=0),"",'Price History'!B21/'Price History'!B20-1),"")</f>
        <v>0.0251617661850001</v>
      </c>
      <c r="C20" s="154" t="n">
        <f aca="false">IFERROR(IF(OR(NOT(ISNUMBER('Price History'!C21)),NOT(ISNUMBER('Price History'!C20)),'Price History'!C20=0),"",'Price History'!C21/'Price History'!C20-1),"")</f>
        <v>0.0455483256625933</v>
      </c>
      <c r="D20" s="154" t="n">
        <f aca="false">IFERROR(IF(OR(NOT(ISNUMBER('Price History'!D21)),NOT(ISNUMBER('Price History'!D20)),'Price History'!D20=0),"",'Price History'!D21/'Price History'!D20-1),"")</f>
        <v>0.0625528681414787</v>
      </c>
      <c r="E20" s="154" t="n">
        <f aca="false">IFERROR(IF(OR(NOT(ISNUMBER('Price History'!E21)),NOT(ISNUMBER('Price History'!E20)),'Price History'!E20=0),"",'Price History'!E21/'Price History'!E20-1),"")</f>
        <v>0.0934831043445972</v>
      </c>
      <c r="F20" s="154" t="n">
        <f aca="false">IFERROR(IF(OR(NOT(ISNUMBER('Price History'!F21)),NOT(ISNUMBER('Price History'!F20)),'Price History'!F20=0),"",'Price History'!F21/'Price History'!F20-1),"")</f>
        <v>0.0254093732354601</v>
      </c>
      <c r="G20" s="154" t="n">
        <f aca="false">IFERROR(IF(OR(NOT(ISNUMBER('Price History'!G21)),NOT(ISNUMBER('Price History'!G20)),'Price History'!G20=0),"",'Price History'!G21/'Price History'!G20-1),"")</f>
        <v>0.093459646565859</v>
      </c>
      <c r="H20" s="154" t="n">
        <f aca="false">IFERROR(IF(OR(NOT(ISNUMBER('Price History'!H21)),NOT(ISNUMBER('Price History'!H20)),'Price History'!H20=0),"",'Price History'!H21/'Price History'!H20-1),"")</f>
        <v>0.062163485070974</v>
      </c>
      <c r="I20" s="154" t="n">
        <f aca="false">IFERROR(IF(OR(NOT(ISNUMBER('Price History'!I21)),NOT(ISNUMBER('Price History'!I20)),'Price History'!I20=0),"",'Price History'!I21/'Price History'!I20-1),"")</f>
        <v>0.0874427131072411</v>
      </c>
      <c r="J20" s="154" t="n">
        <f aca="false">IFERROR(IF(OR(NOT(ISNUMBER('Price History'!J21)),NOT(ISNUMBER('Price History'!J20)),'Price History'!J20=0),"",'Price History'!J21/'Price History'!J20-1),"")</f>
        <v>-0.0236272878535774</v>
      </c>
      <c r="K20" s="154" t="n">
        <f aca="false">IFERROR(IF(OR(NOT(ISNUMBER('Price History'!K21)),NOT(ISNUMBER('Price History'!K20)),'Price History'!K20=0),"",'Price History'!K21/'Price History'!K20-1),"")</f>
        <v>0.00119331742243434</v>
      </c>
      <c r="L20" s="154" t="n">
        <f aca="false">IFERROR(IF(OR(NOT(ISNUMBER('Price History'!L21)),NOT(ISNUMBER('Price History'!L20)),'Price History'!L20=0),"",'Price History'!L21/'Price History'!L20-1),"")</f>
        <v>0.128005730072649</v>
      </c>
      <c r="M20" s="154" t="n">
        <f aca="false">IFERROR(IF(OR(NOT(ISNUMBER('Price History'!M21)),NOT(ISNUMBER('Price History'!M20)),'Price History'!M20=0),"",'Price History'!M21/'Price History'!M20-1),"")</f>
        <v>0.0836709886547813</v>
      </c>
      <c r="N20" s="154" t="n">
        <f aca="false">IFERROR(IF(OR(NOT(ISNUMBER('Price History'!N21)),NOT(ISNUMBER('Price History'!N20)),'Price History'!N20=0),"",'Price History'!N21/'Price History'!N20-1),"")</f>
        <v>0.00373788647900319</v>
      </c>
      <c r="O20" s="154" t="n">
        <f aca="false">IFERROR(IF(OR(NOT(ISNUMBER('Price History'!O21)),NOT(ISNUMBER('Price History'!O20)),'Price History'!O20=0),"",'Price History'!O21/'Price History'!O20-1),"")</f>
        <v>0.0030175015087508</v>
      </c>
      <c r="P20" s="154" t="n">
        <f aca="false">IFERROR(IF(OR(NOT(ISNUMBER('Price History'!P21)),NOT(ISNUMBER('Price History'!P20)),'Price History'!P20=0),"",'Price History'!P21/'Price History'!P20-1),"")</f>
        <v>-0.0131728582259287</v>
      </c>
      <c r="Q20" s="154" t="n">
        <f aca="false">IFERROR(IF(OR(NOT(ISNUMBER('Price History'!Q21)),NOT(ISNUMBER('Price History'!Q20)),'Price History'!Q20=0),"",'Price History'!Q21/'Price History'!Q20-1),"")</f>
        <v>0.00593074421274142</v>
      </c>
      <c r="R20" s="154" t="n">
        <f aca="false">IFERROR(IF(OR(NOT(ISNUMBER('Price History'!R21)),NOT(ISNUMBER('Price History'!R20)),'Price History'!R20=0),"",'Price History'!R21/'Price History'!R20-1),"")</f>
        <v>0.0176565008025682</v>
      </c>
      <c r="S20" s="154" t="n">
        <f aca="false">IFERROR(IF(OR(NOT(ISNUMBER('Price History'!S21)),NOT(ISNUMBER('Price History'!S20)),'Price History'!S20=0),"",'Price History'!S21/'Price History'!S20-1),"")</f>
        <v>0.0211987189263383</v>
      </c>
      <c r="T20" s="154" t="n">
        <f aca="false">IFERROR(IF(OR(NOT(ISNUMBER('Price History'!T21)),NOT(ISNUMBER('Price History'!T20)),'Price History'!T20=0),"",'Price History'!T21/'Price History'!T20-1),"")</f>
        <v>-0.00952729937706109</v>
      </c>
      <c r="U20" s="154" t="n">
        <f aca="false">IFERROR(IF(OR(NOT(ISNUMBER('Price History'!U21)),NOT(ISNUMBER('Price History'!U20)),'Price History'!U20=0),"",'Price History'!U21/'Price History'!U20-1),"")</f>
        <v>0.00434404865334503</v>
      </c>
      <c r="V20" s="155" t="n">
        <f aca="false">IFERROR(IF(OR(NOT(ISNUMBER('Price History'!V21)),NOT(ISNUMBER('Price History'!V20)),'Price History'!V20=0),"",'Price History'!V21/'Price History'!V20-1),"")</f>
        <v>0.0255062606276086</v>
      </c>
      <c r="W20" s="156" t="n">
        <f aca="false">IFERROR('Price History'!B3+(INDEX('Price History'!B:B,MATCH(9.99E+307,'Returns (Calc)'!$A:$A)+1)-'Price History'!B3)*(ROW()-3)/(MATCH(9.99E+307,'Returns (Calc)'!$A:$A)-3),"")</f>
        <v>497.55835443038</v>
      </c>
      <c r="X20" s="156" t="n">
        <f aca="false">IFERROR('Price History'!C3+(INDEX('Price History'!C:C,MATCH(9.99E+307,'Returns (Calc)'!$A:$A)+1)-'Price History'!C3)*(ROW()-3)/(MATCH(9.99E+307,'Returns (Calc)'!$A:$A)-3),"")</f>
        <v>63.5210759493671</v>
      </c>
      <c r="Y20" s="156" t="n">
        <f aca="false">IFERROR('Price History'!D3+(INDEX('Price History'!D:D,MATCH(9.99E+307,'Returns (Calc)'!$A:$A)+1)-'Price History'!D3)*(ROW()-3)/(MATCH(9.99E+307,'Returns (Calc)'!$A:$A)-3),"")</f>
        <v>720.301772151899</v>
      </c>
      <c r="Z20" s="156" t="n">
        <f aca="false">IFERROR('Price History'!E3+(INDEX('Price History'!E:E,MATCH(9.99E+307,'Returns (Calc)'!$A:$A)+1)-'Price History'!E3)*(ROW()-3)/(MATCH(9.99E+307,'Returns (Calc)'!$A:$A)-3),"")</f>
        <v>111.388481012658</v>
      </c>
      <c r="AA20" s="156" t="n">
        <f aca="false">IFERROR('Price History'!F3+(INDEX('Price History'!F:F,MATCH(9.99E+307,'Returns (Calc)'!$A:$A)+1)-'Price History'!F3)*(ROW()-3)/(MATCH(9.99E+307,'Returns (Calc)'!$A:$A)-3),"")</f>
        <v>65.9648101265823</v>
      </c>
      <c r="AB20" s="156" t="n">
        <f aca="false">IFERROR('Price History'!G3+(INDEX('Price History'!G:G,MATCH(9.99E+307,'Returns (Calc)'!$A:$A)+1)-'Price History'!G3)*(ROW()-3)/(MATCH(9.99E+307,'Returns (Calc)'!$A:$A)-3),"")</f>
        <v>61.8384810126582</v>
      </c>
      <c r="AC20" s="156" t="n">
        <f aca="false">IFERROR('Price History'!H3+(INDEX('Price History'!H:H,MATCH(9.99E+307,'Returns (Calc)'!$A:$A)+1)-'Price History'!H3)*(ROW()-3)/(MATCH(9.99E+307,'Returns (Calc)'!$A:$A)-3),"")</f>
        <v>177.326835443038</v>
      </c>
      <c r="AD20" s="156" t="n">
        <f aca="false">IFERROR('Price History'!I3+(INDEX('Price History'!I:I,MATCH(9.99E+307,'Returns (Calc)'!$A:$A)+1)-'Price History'!I3)*(ROW()-3)/(MATCH(9.99E+307,'Returns (Calc)'!$A:$A)-3),"")</f>
        <v>64.2324050632911</v>
      </c>
      <c r="AE20" s="156" t="n">
        <f aca="false">IFERROR('Price History'!J3+(INDEX('Price History'!J:J,MATCH(9.99E+307,'Returns (Calc)'!$A:$A)+1)-'Price History'!J3)*(ROW()-3)/(MATCH(9.99E+307,'Returns (Calc)'!$A:$A)-3),"")</f>
        <v>113.67664556962</v>
      </c>
      <c r="AF20" s="156" t="n">
        <f aca="false">IFERROR('Price History'!K3+(INDEX('Price History'!K:K,MATCH(9.99E+307,'Returns (Calc)'!$A:$A)+1)-'Price History'!K3)*(ROW()-3)/(MATCH(9.99E+307,'Returns (Calc)'!$A:$A)-3),"")</f>
        <v>33.9891139240506</v>
      </c>
      <c r="AG20" s="156" t="n">
        <f aca="false">IFERROR('Price History'!L3+(INDEX('Price History'!L:L,MATCH(9.99E+307,'Returns (Calc)'!$A:$A)+1)-'Price History'!L3)*(ROW()-3)/(MATCH(9.99E+307,'Returns (Calc)'!$A:$A)-3),"")</f>
        <v>127.39246835443</v>
      </c>
      <c r="AH20" s="156" t="n">
        <f aca="false">IFERROR('Price History'!M3+(INDEX('Price History'!M:M,MATCH(9.99E+307,'Returns (Calc)'!$A:$A)+1)-'Price History'!M3)*(ROW()-3)/(MATCH(9.99E+307,'Returns (Calc)'!$A:$A)-3),"")</f>
        <v>61.0625316455696</v>
      </c>
      <c r="AI20" s="156" t="n">
        <f aca="false">IFERROR('Price History'!N3+(INDEX('Price History'!N:N,MATCH(9.99E+307,'Returns (Calc)'!$A:$A)+1)-'Price History'!N3)*(ROW()-3)/(MATCH(9.99E+307,'Returns (Calc)'!$A:$A)-3),"")</f>
        <v>365.666518987342</v>
      </c>
      <c r="AJ20" s="156" t="n">
        <f aca="false">IFERROR('Price History'!O3+(INDEX('Price History'!O:O,MATCH(9.99E+307,'Returns (Calc)'!$A:$A)+1)-'Price History'!O3)*(ROW()-3)/(MATCH(9.99E+307,'Returns (Calc)'!$A:$A)-3),"")</f>
        <v>80.1216455696203</v>
      </c>
      <c r="AK20" s="156" t="n">
        <f aca="false">IFERROR('Price History'!Q3+(INDEX('Price History'!Q:Q,MATCH(9.99E+307,'Returns (Calc)'!$A:$A)+1)-'Price History'!Q3)*(ROW()-3)/(MATCH(9.99E+307,'Returns (Calc)'!$A:$A)-3),"")</f>
        <v>7.46924050632912</v>
      </c>
      <c r="AL20" s="156" t="n">
        <f aca="false">IFERROR('Price History'!R3+(INDEX('Price History'!R:R,MATCH(9.99E+307,'Returns (Calc)'!$A:$A)+1)-'Price History'!R3)*(ROW()-3)/(MATCH(9.99E+307,'Returns (Calc)'!$A:$A)-3),"")</f>
        <v>37.3377215189873</v>
      </c>
      <c r="AM20" s="156" t="n">
        <f aca="false">IFERROR('Price History'!S3+(INDEX('Price History'!S:S,MATCH(9.99E+307,'Returns (Calc)'!$A:$A)+1)-'Price History'!S3)*(ROW()-3)/(MATCH(9.99E+307,'Returns (Calc)'!$A:$A)-3),"")</f>
        <v>67.9160759493671</v>
      </c>
      <c r="AN20" s="156" t="n">
        <f aca="false">IFERROR('Price History'!T3+(INDEX('Price History'!T:T,MATCH(9.99E+307,'Returns (Calc)'!$A:$A)+1)-'Price History'!T3)*(ROW()-3)/(MATCH(9.99E+307,'Returns (Calc)'!$A:$A)-3),"")</f>
        <v>28.0998734177215</v>
      </c>
      <c r="AO20" s="157" t="n">
        <f aca="false">IFERROR('Price History'!V3+(INDEX('Price History'!V:V,MATCH(9.99E+307,'Returns (Calc)'!$A:$A)+1)-'Price History'!V3)*(ROW()-3)/(MATCH(9.99E+307,'Returns (Calc)'!$A:$A)-3),"")</f>
        <v>249.082594936709</v>
      </c>
      <c r="AP20" s="155" t="n">
        <f aca="false">IFERROR(IF(OR(NOT(ISNUMBER('Price History'!W21)),NOT(ISNUMBER('Price History'!W20)),'Price History'!W20=0),"",'Price History'!W21/'Price History'!W20-1),"")</f>
        <v>0.00125289128758666</v>
      </c>
      <c r="AQ20" s="155" t="str">
        <f aca="false">IFERROR(IF(OR(NOT(ISNUMBER('Price History'!X21)),NOT(ISNUMBER('Price History'!X20)),'Price History'!X20=0),"",'Price History'!X21/'Price History'!X20-1),"")</f>
        <v/>
      </c>
      <c r="AR20" s="155" t="n">
        <f aca="false">IFERROR(IF(OR(NOT(ISNUMBER('Price History'!Y21)),NOT(ISNUMBER('Price History'!Y20)),'Price History'!Y20=0),"",'Price History'!Y21/'Price History'!Y20-1),"")</f>
        <v>0.00291676015256903</v>
      </c>
      <c r="AS20" s="155" t="n">
        <f aca="false">IFERROR(IF(OR(NOT(ISNUMBER('Price History'!Z21)),NOT(ISNUMBER('Price History'!Z20)),'Price History'!Z20=0),"",'Price History'!Z21/'Price History'!Z20-1),"")</f>
        <v>9.79911807936773E-005</v>
      </c>
      <c r="AT20" s="155" t="n">
        <f aca="false">IFERROR(IF(OR(NOT(ISNUMBER('Price History'!AA21)),NOT(ISNUMBER('Price History'!AA20)),'Price History'!AA20=0),"",'Price History'!AA21/'Price History'!AA20-1),"")</f>
        <v>-0.0188947582283624</v>
      </c>
      <c r="AU20" s="155" t="n">
        <f aca="false">IFERROR(IF(OR(NOT(ISNUMBER('Price History'!AB21)),NOT(ISNUMBER('Price History'!AB20)),'Price History'!AB20=0),"",'Price History'!AB21/'Price History'!AB20-1),"")</f>
        <v>-0.00737936652450999</v>
      </c>
    </row>
    <row r="21" customFormat="false" ht="15" hidden="false" customHeight="true" outlineLevel="0" collapsed="false">
      <c r="A21" s="153" t="n">
        <f aca="false">IF('Price History'!A22="","",'Price History'!A22)</f>
        <v>45317</v>
      </c>
      <c r="B21" s="154" t="n">
        <f aca="false">IFERROR(IF(OR(NOT(ISNUMBER('Price History'!B22)),NOT(ISNUMBER('Price History'!B21)),'Price History'!B21=0),"",'Price History'!B22/'Price History'!B21-1),"")</f>
        <v>0.00389175047011681</v>
      </c>
      <c r="C21" s="154" t="n">
        <f aca="false">IFERROR(IF(OR(NOT(ISNUMBER('Price History'!C22)),NOT(ISNUMBER('Price History'!C21)),'Price History'!C21=0),"",'Price History'!C22/'Price History'!C21-1),"")</f>
        <v>0.00333940497874918</v>
      </c>
      <c r="D21" s="154" t="n">
        <f aca="false">IFERROR(IF(OR(NOT(ISNUMBER('Price History'!D22)),NOT(ISNUMBER('Price History'!D21)),'Price History'!D21=0),"",'Price History'!D22/'Price History'!D21-1),"")</f>
        <v>0.145037240932643</v>
      </c>
      <c r="E21" s="154" t="n">
        <f aca="false">IFERROR(IF(OR(NOT(ISNUMBER('Price History'!E22)),NOT(ISNUMBER('Price History'!E21)),'Price History'!E21=0),"",'Price History'!E22/'Price History'!E21-1),"")</f>
        <v>-0.00517870786993802</v>
      </c>
      <c r="F21" s="154" t="n">
        <f aca="false">IFERROR(IF(OR(NOT(ISNUMBER('Price History'!F22)),NOT(ISNUMBER('Price History'!F21)),'Price History'!F21=0),"",'Price History'!F22/'Price History'!F21-1),"")</f>
        <v>-0.000825991189427389</v>
      </c>
      <c r="G21" s="154" t="n">
        <f aca="false">IFERROR(IF(OR(NOT(ISNUMBER('Price History'!G22)),NOT(ISNUMBER('Price History'!G21)),'Price History'!G21=0),"",'Price History'!G22/'Price History'!G21-1),"")</f>
        <v>-0.0221592802399201</v>
      </c>
      <c r="H21" s="154" t="n">
        <f aca="false">IFERROR(IF(OR(NOT(ISNUMBER('Price History'!H22)),NOT(ISNUMBER('Price History'!H21)),'Price History'!H21=0),"",'Price History'!H22/'Price History'!H21-1),"")</f>
        <v>0.00622119815668221</v>
      </c>
      <c r="I21" s="154" t="n">
        <f aca="false">IFERROR(IF(OR(NOT(ISNUMBER('Price History'!I22)),NOT(ISNUMBER('Price History'!I21)),'Price History'!I21=0),"",'Price History'!I22/'Price History'!I21-1),"")</f>
        <v>0.0257923128792987</v>
      </c>
      <c r="J21" s="154" t="n">
        <f aca="false">IFERROR(IF(OR(NOT(ISNUMBER('Price History'!J22)),NOT(ISNUMBER('Price History'!J21)),'Price History'!J21=0),"",'Price History'!J22/'Price History'!J21-1),"")</f>
        <v>-0.0121847307430129</v>
      </c>
      <c r="K21" s="154" t="n">
        <f aca="false">IFERROR(IF(OR(NOT(ISNUMBER('Price History'!K22)),NOT(ISNUMBER('Price History'!K21)),'Price History'!K21=0),"",'Price History'!K22/'Price History'!K21-1),"")</f>
        <v>-0.0256257449344458</v>
      </c>
      <c r="L21" s="154" t="n">
        <f aca="false">IFERROR(IF(OR(NOT(ISNUMBER('Price History'!L22)),NOT(ISNUMBER('Price History'!L21)),'Price History'!L21=0),"",'Price History'!L22/'Price History'!L21-1),"")</f>
        <v>0.0268505079825836</v>
      </c>
      <c r="M21" s="154" t="n">
        <f aca="false">IFERROR(IF(OR(NOT(ISNUMBER('Price History'!M22)),NOT(ISNUMBER('Price History'!M21)),'Price History'!M21=0),"",'Price History'!M22/'Price History'!M21-1),"")</f>
        <v>-0.00392596747055529</v>
      </c>
      <c r="N21" s="154" t="n">
        <f aca="false">IFERROR(IF(OR(NOT(ISNUMBER('Price History'!N22)),NOT(ISNUMBER('Price History'!N21)),'Price History'!N21=0),"",'Price History'!N22/'Price History'!N21-1),"")</f>
        <v>-0.0111489126936691</v>
      </c>
      <c r="O21" s="154" t="n">
        <f aca="false">IFERROR(IF(OR(NOT(ISNUMBER('Price History'!O22)),NOT(ISNUMBER('Price History'!O21)),'Price History'!O21=0),"",'Price History'!O22/'Price History'!O21-1),"")</f>
        <v>0.023586040914561</v>
      </c>
      <c r="P21" s="154" t="n">
        <f aca="false">IFERROR(IF(OR(NOT(ISNUMBER('Price History'!P22)),NOT(ISNUMBER('Price History'!P21)),'Price History'!P21=0),"",'Price History'!P22/'Price History'!P21-1),"")</f>
        <v>0.0157495438394315</v>
      </c>
      <c r="Q21" s="154" t="n">
        <f aca="false">IFERROR(IF(OR(NOT(ISNUMBER('Price History'!Q22)),NOT(ISNUMBER('Price History'!Q21)),'Price History'!Q21=0),"",'Price History'!Q22/'Price History'!Q21-1),"")</f>
        <v>0.006276150627615</v>
      </c>
      <c r="R21" s="154" t="n">
        <f aca="false">IFERROR(IF(OR(NOT(ISNUMBER('Price History'!R22)),NOT(ISNUMBER('Price History'!R21)),'Price History'!R21=0),"",'Price History'!R22/'Price History'!R21-1),"")</f>
        <v>0.00788643533123046</v>
      </c>
      <c r="S21" s="154" t="n">
        <f aca="false">IFERROR(IF(OR(NOT(ISNUMBER('Price History'!S22)),NOT(ISNUMBER('Price History'!S21)),'Price History'!S21=0),"",'Price History'!S22/'Price History'!S21-1),"")</f>
        <v>0.0161290322580647</v>
      </c>
      <c r="T21" s="154" t="n">
        <f aca="false">IFERROR(IF(OR(NOT(ISNUMBER('Price History'!T22)),NOT(ISNUMBER('Price History'!T21)),'Price History'!T21=0),"",'Price History'!T22/'Price History'!T21-1),"")</f>
        <v>0.00813910469848311</v>
      </c>
      <c r="U21" s="154" t="n">
        <f aca="false">IFERROR(IF(OR(NOT(ISNUMBER('Price History'!U22)),NOT(ISNUMBER('Price History'!U21)),'Price History'!U21=0),"",'Price History'!U22/'Price History'!U21-1),"")</f>
        <v>0.00562283737024227</v>
      </c>
      <c r="V21" s="155" t="n">
        <f aca="false">IFERROR(IF(OR(NOT(ISNUMBER('Price History'!V22)),NOT(ISNUMBER('Price History'!V21)),'Price History'!V21=0),"",'Price History'!V22/'Price History'!V21-1),"")</f>
        <v>-0.0109285498944831</v>
      </c>
      <c r="W21" s="156" t="n">
        <f aca="false">IFERROR('Price History'!B3+(INDEX('Price History'!B:B,MATCH(9.99E+307,'Returns (Calc)'!$A:$A)+1)-'Price History'!B3)*(ROW()-3)/(MATCH(9.99E+307,'Returns (Calc)'!$A:$A)-3),"")</f>
        <v>495.715316455696</v>
      </c>
      <c r="X21" s="156" t="n">
        <f aca="false">IFERROR('Price History'!C3+(INDEX('Price History'!C:C,MATCH(9.99E+307,'Returns (Calc)'!$A:$A)+1)-'Price History'!C3)*(ROW()-3)/(MATCH(9.99E+307,'Returns (Calc)'!$A:$A)-3),"")</f>
        <v>64.5411392405063</v>
      </c>
      <c r="Y21" s="156" t="n">
        <f aca="false">IFERROR('Price History'!D3+(INDEX('Price History'!D:D,MATCH(9.99E+307,'Returns (Calc)'!$A:$A)+1)-'Price History'!D3)*(ROW()-3)/(MATCH(9.99E+307,'Returns (Calc)'!$A:$A)-3),"")</f>
        <v>728.436582278481</v>
      </c>
      <c r="Z21" s="156" t="n">
        <f aca="false">IFERROR('Price History'!E3+(INDEX('Price History'!E:E,MATCH(9.99E+307,'Returns (Calc)'!$A:$A)+1)-'Price History'!E3)*(ROW()-3)/(MATCH(9.99E+307,'Returns (Calc)'!$A:$A)-3),"")</f>
        <v>113.117215189873</v>
      </c>
      <c r="AA21" s="156" t="n">
        <f aca="false">IFERROR('Price History'!F3+(INDEX('Price History'!F:F,MATCH(9.99E+307,'Returns (Calc)'!$A:$A)+1)-'Price History'!F3)*(ROW()-3)/(MATCH(9.99E+307,'Returns (Calc)'!$A:$A)-3),"")</f>
        <v>67.4121518987342</v>
      </c>
      <c r="AB21" s="156" t="n">
        <f aca="false">IFERROR('Price History'!G3+(INDEX('Price History'!G:G,MATCH(9.99E+307,'Returns (Calc)'!$A:$A)+1)-'Price History'!G3)*(ROW()-3)/(MATCH(9.99E+307,'Returns (Calc)'!$A:$A)-3),"")</f>
        <v>62.8672151898734</v>
      </c>
      <c r="AC21" s="156" t="n">
        <f aca="false">IFERROR('Price History'!H3+(INDEX('Price History'!H:H,MATCH(9.99E+307,'Returns (Calc)'!$A:$A)+1)-'Price History'!H3)*(ROW()-3)/(MATCH(9.99E+307,'Returns (Calc)'!$A:$A)-3),"")</f>
        <v>183.69253164557</v>
      </c>
      <c r="AD21" s="156" t="n">
        <f aca="false">IFERROR('Price History'!I3+(INDEX('Price History'!I:I,MATCH(9.99E+307,'Returns (Calc)'!$A:$A)+1)-'Price History'!I3)*(ROW()-3)/(MATCH(9.99E+307,'Returns (Calc)'!$A:$A)-3),"")</f>
        <v>65.4360759493671</v>
      </c>
      <c r="AE21" s="156" t="n">
        <f aca="false">IFERROR('Price History'!J3+(INDEX('Price History'!J:J,MATCH(9.99E+307,'Returns (Calc)'!$A:$A)+1)-'Price History'!J3)*(ROW()-3)/(MATCH(9.99E+307,'Returns (Calc)'!$A:$A)-3),"")</f>
        <v>113.784683544304</v>
      </c>
      <c r="AF21" s="156" t="n">
        <f aca="false">IFERROR('Price History'!K3+(INDEX('Price History'!K:K,MATCH(9.99E+307,'Returns (Calc)'!$A:$A)+1)-'Price History'!K3)*(ROW()-3)/(MATCH(9.99E+307,'Returns (Calc)'!$A:$A)-3),"")</f>
        <v>35.0867088607595</v>
      </c>
      <c r="AG21" s="156" t="n">
        <f aca="false">IFERROR('Price History'!L3+(INDEX('Price History'!L:L,MATCH(9.99E+307,'Returns (Calc)'!$A:$A)+1)-'Price History'!L3)*(ROW()-3)/(MATCH(9.99E+307,'Returns (Calc)'!$A:$A)-3),"")</f>
        <v>129.842025316456</v>
      </c>
      <c r="AH21" s="156" t="n">
        <f aca="false">IFERROR('Price History'!M3+(INDEX('Price History'!M:M,MATCH(9.99E+307,'Returns (Calc)'!$A:$A)+1)-'Price History'!M3)*(ROW()-3)/(MATCH(9.99E+307,'Returns (Calc)'!$A:$A)-3),"")</f>
        <v>62.4179746835443</v>
      </c>
      <c r="AI21" s="156" t="n">
        <f aca="false">IFERROR('Price History'!N3+(INDEX('Price History'!N:N,MATCH(9.99E+307,'Returns (Calc)'!$A:$A)+1)-'Price History'!N3)*(ROW()-3)/(MATCH(9.99E+307,'Returns (Calc)'!$A:$A)-3),"")</f>
        <v>366.652784810127</v>
      </c>
      <c r="AJ21" s="156" t="n">
        <f aca="false">IFERROR('Price History'!O3+(INDEX('Price History'!O:O,MATCH(9.99E+307,'Returns (Calc)'!$A:$A)+1)-'Price History'!O3)*(ROW()-3)/(MATCH(9.99E+307,'Returns (Calc)'!$A:$A)-3),"")</f>
        <v>80.4046835443038</v>
      </c>
      <c r="AK21" s="156" t="n">
        <f aca="false">IFERROR('Price History'!Q3+(INDEX('Price History'!Q:Q,MATCH(9.99E+307,'Returns (Calc)'!$A:$A)+1)-'Price History'!Q3)*(ROW()-3)/(MATCH(9.99E+307,'Returns (Calc)'!$A:$A)-3),"")</f>
        <v>7.90860759493671</v>
      </c>
      <c r="AL21" s="156" t="n">
        <f aca="false">IFERROR('Price History'!R3+(INDEX('Price History'!R:R,MATCH(9.99E+307,'Returns (Calc)'!$A:$A)+1)-'Price History'!R3)*(ROW()-3)/(MATCH(9.99E+307,'Returns (Calc)'!$A:$A)-3),"")</f>
        <v>37.5058227848101</v>
      </c>
      <c r="AM21" s="156" t="n">
        <f aca="false">IFERROR('Price History'!S3+(INDEX('Price History'!S:S,MATCH(9.99E+307,'Returns (Calc)'!$A:$A)+1)-'Price History'!S3)*(ROW()-3)/(MATCH(9.99E+307,'Returns (Calc)'!$A:$A)-3),"")</f>
        <v>68.5211392405063</v>
      </c>
      <c r="AN21" s="156" t="n">
        <f aca="false">IFERROR('Price History'!T3+(INDEX('Price History'!T:T,MATCH(9.99E+307,'Returns (Calc)'!$A:$A)+1)-'Price History'!T3)*(ROW()-3)/(MATCH(9.99E+307,'Returns (Calc)'!$A:$A)-3),"")</f>
        <v>28.2681012658228</v>
      </c>
      <c r="AO21" s="157" t="n">
        <f aca="false">IFERROR('Price History'!V3+(INDEX('Price History'!V:V,MATCH(9.99E+307,'Returns (Calc)'!$A:$A)+1)-'Price History'!V3)*(ROW()-3)/(MATCH(9.99E+307,'Returns (Calc)'!$A:$A)-3),"")</f>
        <v>249.873924050633</v>
      </c>
      <c r="AP21" s="155" t="n">
        <f aca="false">IFERROR(IF(OR(NOT(ISNUMBER('Price History'!W22)),NOT(ISNUMBER('Price History'!W21)),'Price History'!W21=0),"",'Price History'!W22/'Price History'!W21-1),"")</f>
        <v>0.0122244681875059</v>
      </c>
      <c r="AQ21" s="155" t="str">
        <f aca="false">IFERROR(IF(OR(NOT(ISNUMBER('Price History'!X22)),NOT(ISNUMBER('Price History'!X21)),'Price History'!X21=0),"",'Price History'!X22/'Price History'!X21-1),"")</f>
        <v/>
      </c>
      <c r="AR21" s="155" t="n">
        <f aca="false">IFERROR(IF(OR(NOT(ISNUMBER('Price History'!Y22)),NOT(ISNUMBER('Price History'!Y21)),'Price History'!Y21=0),"",'Price History'!Y22/'Price History'!Y21-1),"")</f>
        <v>0.00850111856823266</v>
      </c>
      <c r="AS21" s="155" t="n">
        <f aca="false">IFERROR(IF(OR(NOT(ISNUMBER('Price History'!Z22)),NOT(ISNUMBER('Price History'!Z21)),'Price History'!Z21=0),"",'Price History'!Z22/'Price History'!Z21-1),"")</f>
        <v>0.0106799921614738</v>
      </c>
      <c r="AT21" s="155" t="n">
        <f aca="false">IFERROR(IF(OR(NOT(ISNUMBER('Price History'!AA22)),NOT(ISNUMBER('Price History'!AA21)),'Price History'!AA21=0),"",'Price History'!AA22/'Price History'!AA21-1),"")</f>
        <v>0.181196935183268</v>
      </c>
      <c r="AU21" s="155" t="n">
        <f aca="false">IFERROR(IF(OR(NOT(ISNUMBER('Price History'!AB22)),NOT(ISNUMBER('Price History'!AB21)),'Price History'!AB21=0),"",'Price History'!AB22/'Price History'!AB21-1),"")</f>
        <v>0.00762732319575177</v>
      </c>
    </row>
    <row r="22" customFormat="false" ht="15" hidden="false" customHeight="true" outlineLevel="0" collapsed="false">
      <c r="A22" s="153" t="n">
        <f aca="false">IF('Price History'!A23="","",'Price History'!A23)</f>
        <v>45324</v>
      </c>
      <c r="B22" s="154" t="n">
        <f aca="false">IFERROR(IF(OR(NOT(ISNUMBER('Price History'!B23)),NOT(ISNUMBER('Price History'!B22)),'Price History'!B22=0),"",'Price History'!B23/'Price History'!B22-1),"")</f>
        <v>0.0339289495545096</v>
      </c>
      <c r="C22" s="154" t="n">
        <f aca="false">IFERROR(IF(OR(NOT(ISNUMBER('Price History'!C23)),NOT(ISNUMBER('Price History'!C22)),'Price History'!C22=0),"",'Price History'!C23/'Price History'!C22-1),"")</f>
        <v>0.032980332829047</v>
      </c>
      <c r="D22" s="154" t="n">
        <f aca="false">IFERROR(IF(OR(NOT(ISNUMBER('Price History'!D23)),NOT(ISNUMBER('Price History'!D22)),'Price History'!D22=0),"",'Price History'!D23/'Price History'!D22-1),"")</f>
        <v>0.0264078905504295</v>
      </c>
      <c r="E22" s="154" t="n">
        <f aca="false">IFERROR(IF(OR(NOT(ISNUMBER('Price History'!E23)),NOT(ISNUMBER('Price History'!E22)),'Price History'!E22=0),"",'Price History'!E23/'Price History'!E22-1),"")</f>
        <v>0.0161290322580645</v>
      </c>
      <c r="F22" s="154" t="n">
        <f aca="false">IFERROR(IF(OR(NOT(ISNUMBER('Price History'!F23)),NOT(ISNUMBER('Price History'!F22)),'Price History'!F22=0),"",'Price History'!F23/'Price History'!F22-1),"")</f>
        <v>0.0456048498208874</v>
      </c>
      <c r="G22" s="154" t="n">
        <f aca="false">IFERROR(IF(OR(NOT(ISNUMBER('Price History'!G23)),NOT(ISNUMBER('Price History'!G22)),'Price History'!G22=0),"",'Price History'!G23/'Price History'!G22-1),"")</f>
        <v>0.0081785653433295</v>
      </c>
      <c r="H22" s="154" t="n">
        <f aca="false">IFERROR(IF(OR(NOT(ISNUMBER('Price History'!H23)),NOT(ISNUMBER('Price History'!H22)),'Price History'!H22=0),"",'Price History'!H23/'Price History'!H22-1),"")</f>
        <v>-0.0178612319670255</v>
      </c>
      <c r="I22" s="154" t="n">
        <f aca="false">IFERROR(IF(OR(NOT(ISNUMBER('Price History'!I23)),NOT(ISNUMBER('Price History'!I22)),'Price History'!I22=0),"",'Price History'!I23/'Price History'!I22-1),"")</f>
        <v>0.0841413311421528</v>
      </c>
      <c r="J22" s="154" t="n">
        <f aca="false">IFERROR(IF(OR(NOT(ISNUMBER('Price History'!J23)),NOT(ISNUMBER('Price History'!J22)),'Price History'!J22=0),"",'Price History'!J23/'Price History'!J22-1),"")</f>
        <v>0.0187181920124211</v>
      </c>
      <c r="K22" s="154" t="n">
        <f aca="false">IFERROR(IF(OR(NOT(ISNUMBER('Price History'!K23)),NOT(ISNUMBER('Price History'!K22)),'Price History'!K22=0),"",'Price History'!K23/'Price History'!K22-1),"")</f>
        <v>0.0409785932721711</v>
      </c>
      <c r="L22" s="154" t="n">
        <f aca="false">IFERROR(IF(OR(NOT(ISNUMBER('Price History'!L23)),NOT(ISNUMBER('Price History'!L22)),'Price History'!L22=0),"",'Price History'!L23/'Price History'!L22-1),"")</f>
        <v>-0.0128975265017669</v>
      </c>
      <c r="M22" s="154" t="n">
        <f aca="false">IFERROR(IF(OR(NOT(ISNUMBER('Price History'!M23)),NOT(ISNUMBER('Price History'!M22)),'Price History'!M22=0),"",'Price History'!M23/'Price History'!M22-1),"")</f>
        <v>0.149962462462462</v>
      </c>
      <c r="N22" s="154" t="n">
        <f aca="false">IFERROR(IF(OR(NOT(ISNUMBER('Price History'!N23)),NOT(ISNUMBER('Price History'!N22)),'Price History'!N22=0),"",'Price History'!N23/'Price History'!N22-1),"")</f>
        <v>-0.012762396261943</v>
      </c>
      <c r="O22" s="154" t="n">
        <f aca="false">IFERROR(IF(OR(NOT(ISNUMBER('Price History'!O23)),NOT(ISNUMBER('Price History'!O22)),'Price History'!O22=0),"",'Price History'!O23/'Price History'!O22-1),"")</f>
        <v>-0.0186926875146956</v>
      </c>
      <c r="P22" s="154" t="n">
        <f aca="false">IFERROR(IF(OR(NOT(ISNUMBER('Price History'!P23)),NOT(ISNUMBER('Price History'!P22)),'Price History'!P22=0),"",'Price History'!P23/'Price History'!P22-1),"")</f>
        <v>-0.0128580883048123</v>
      </c>
      <c r="Q22" s="154" t="n">
        <f aca="false">IFERROR(IF(OR(NOT(ISNUMBER('Price History'!Q23)),NOT(ISNUMBER('Price History'!Q22)),'Price History'!Q22=0),"",'Price History'!Q23/'Price History'!Q22-1),"")</f>
        <v>0.0141750141750141</v>
      </c>
      <c r="R22" s="154" t="n">
        <f aca="false">IFERROR(IF(OR(NOT(ISNUMBER('Price History'!R23)),NOT(ISNUMBER('Price History'!R22)),'Price History'!R22=0),"",'Price History'!R23/'Price History'!R22-1),"")</f>
        <v>0.0096504955659884</v>
      </c>
      <c r="S22" s="154" t="n">
        <f aca="false">IFERROR(IF(OR(NOT(ISNUMBER('Price History'!S23)),NOT(ISNUMBER('Price History'!S22)),'Price History'!S22=0),"",'Price History'!S23/'Price History'!S22-1),"")</f>
        <v>0.0457084068195179</v>
      </c>
      <c r="T22" s="154" t="n">
        <f aca="false">IFERROR(IF(OR(NOT(ISNUMBER('Price History'!T23)),NOT(ISNUMBER('Price History'!T22)),'Price History'!T22=0),"",'Price History'!T23/'Price History'!T22-1),"")</f>
        <v>0.00954128440366975</v>
      </c>
      <c r="U22" s="154" t="n">
        <f aca="false">IFERROR(IF(OR(NOT(ISNUMBER('Price History'!U23)),NOT(ISNUMBER('Price History'!U22)),'Price History'!U22=0),"",'Price History'!U23/'Price History'!U22-1),"")</f>
        <v>-0.000430107526881773</v>
      </c>
      <c r="V22" s="155" t="n">
        <f aca="false">IFERROR(IF(OR(NOT(ISNUMBER('Price History'!V23)),NOT(ISNUMBER('Price History'!V22)),'Price History'!V22=0),"",'Price History'!V23/'Price History'!V22-1),"")</f>
        <v>0.0344814447915873</v>
      </c>
      <c r="W22" s="156" t="n">
        <f aca="false">IFERROR('Price History'!B3+(INDEX('Price History'!B:B,MATCH(9.99E+307,'Returns (Calc)'!$A:$A)+1)-'Price History'!B3)*(ROW()-3)/(MATCH(9.99E+307,'Returns (Calc)'!$A:$A)-3),"")</f>
        <v>493.872278481013</v>
      </c>
      <c r="X22" s="156" t="n">
        <f aca="false">IFERROR('Price History'!C3+(INDEX('Price History'!C:C,MATCH(9.99E+307,'Returns (Calc)'!$A:$A)+1)-'Price History'!C3)*(ROW()-3)/(MATCH(9.99E+307,'Returns (Calc)'!$A:$A)-3),"")</f>
        <v>65.5612025316456</v>
      </c>
      <c r="Y22" s="156" t="n">
        <f aca="false">IFERROR('Price History'!D3+(INDEX('Price History'!D:D,MATCH(9.99E+307,'Returns (Calc)'!$A:$A)+1)-'Price History'!D3)*(ROW()-3)/(MATCH(9.99E+307,'Returns (Calc)'!$A:$A)-3),"")</f>
        <v>736.571392405063</v>
      </c>
      <c r="Z22" s="156" t="n">
        <f aca="false">IFERROR('Price History'!E3+(INDEX('Price History'!E:E,MATCH(9.99E+307,'Returns (Calc)'!$A:$A)+1)-'Price History'!E3)*(ROW()-3)/(MATCH(9.99E+307,'Returns (Calc)'!$A:$A)-3),"")</f>
        <v>114.845949367089</v>
      </c>
      <c r="AA22" s="156" t="n">
        <f aca="false">IFERROR('Price History'!F3+(INDEX('Price History'!F:F,MATCH(9.99E+307,'Returns (Calc)'!$A:$A)+1)-'Price History'!F3)*(ROW()-3)/(MATCH(9.99E+307,'Returns (Calc)'!$A:$A)-3),"")</f>
        <v>68.8594936708861</v>
      </c>
      <c r="AB22" s="156" t="n">
        <f aca="false">IFERROR('Price History'!G3+(INDEX('Price History'!G:G,MATCH(9.99E+307,'Returns (Calc)'!$A:$A)+1)-'Price History'!G3)*(ROW()-3)/(MATCH(9.99E+307,'Returns (Calc)'!$A:$A)-3),"")</f>
        <v>63.8959493670886</v>
      </c>
      <c r="AC22" s="156" t="n">
        <f aca="false">IFERROR('Price History'!H3+(INDEX('Price History'!H:H,MATCH(9.99E+307,'Returns (Calc)'!$A:$A)+1)-'Price History'!H3)*(ROW()-3)/(MATCH(9.99E+307,'Returns (Calc)'!$A:$A)-3),"")</f>
        <v>190.058227848101</v>
      </c>
      <c r="AD22" s="156" t="n">
        <f aca="false">IFERROR('Price History'!I3+(INDEX('Price History'!I:I,MATCH(9.99E+307,'Returns (Calc)'!$A:$A)+1)-'Price History'!I3)*(ROW()-3)/(MATCH(9.99E+307,'Returns (Calc)'!$A:$A)-3),"")</f>
        <v>66.639746835443</v>
      </c>
      <c r="AE22" s="156" t="n">
        <f aca="false">IFERROR('Price History'!J3+(INDEX('Price History'!J:J,MATCH(9.99E+307,'Returns (Calc)'!$A:$A)+1)-'Price History'!J3)*(ROW()-3)/(MATCH(9.99E+307,'Returns (Calc)'!$A:$A)-3),"")</f>
        <v>113.892721518987</v>
      </c>
      <c r="AF22" s="156" t="n">
        <f aca="false">IFERROR('Price History'!K3+(INDEX('Price History'!K:K,MATCH(9.99E+307,'Returns (Calc)'!$A:$A)+1)-'Price History'!K3)*(ROW()-3)/(MATCH(9.99E+307,'Returns (Calc)'!$A:$A)-3),"")</f>
        <v>36.1843037974684</v>
      </c>
      <c r="AG22" s="156" t="n">
        <f aca="false">IFERROR('Price History'!L3+(INDEX('Price History'!L:L,MATCH(9.99E+307,'Returns (Calc)'!$A:$A)+1)-'Price History'!L3)*(ROW()-3)/(MATCH(9.99E+307,'Returns (Calc)'!$A:$A)-3),"")</f>
        <v>132.291582278481</v>
      </c>
      <c r="AH22" s="156" t="n">
        <f aca="false">IFERROR('Price History'!M3+(INDEX('Price History'!M:M,MATCH(9.99E+307,'Returns (Calc)'!$A:$A)+1)-'Price History'!M3)*(ROW()-3)/(MATCH(9.99E+307,'Returns (Calc)'!$A:$A)-3),"")</f>
        <v>63.773417721519</v>
      </c>
      <c r="AI22" s="156" t="n">
        <f aca="false">IFERROR('Price History'!N3+(INDEX('Price History'!N:N,MATCH(9.99E+307,'Returns (Calc)'!$A:$A)+1)-'Price History'!N3)*(ROW()-3)/(MATCH(9.99E+307,'Returns (Calc)'!$A:$A)-3),"")</f>
        <v>367.639050632911</v>
      </c>
      <c r="AJ22" s="156" t="n">
        <f aca="false">IFERROR('Price History'!O3+(INDEX('Price History'!O:O,MATCH(9.99E+307,'Returns (Calc)'!$A:$A)+1)-'Price History'!O3)*(ROW()-3)/(MATCH(9.99E+307,'Returns (Calc)'!$A:$A)-3),"")</f>
        <v>80.6877215189874</v>
      </c>
      <c r="AK22" s="156" t="n">
        <f aca="false">IFERROR('Price History'!Q3+(INDEX('Price History'!Q:Q,MATCH(9.99E+307,'Returns (Calc)'!$A:$A)+1)-'Price History'!Q3)*(ROW()-3)/(MATCH(9.99E+307,'Returns (Calc)'!$A:$A)-3),"")</f>
        <v>8.3479746835443</v>
      </c>
      <c r="AL22" s="156" t="n">
        <f aca="false">IFERROR('Price History'!R3+(INDEX('Price History'!R:R,MATCH(9.99E+307,'Returns (Calc)'!$A:$A)+1)-'Price History'!R3)*(ROW()-3)/(MATCH(9.99E+307,'Returns (Calc)'!$A:$A)-3),"")</f>
        <v>37.6739240506329</v>
      </c>
      <c r="AM22" s="156" t="n">
        <f aca="false">IFERROR('Price History'!S3+(INDEX('Price History'!S:S,MATCH(9.99E+307,'Returns (Calc)'!$A:$A)+1)-'Price History'!S3)*(ROW()-3)/(MATCH(9.99E+307,'Returns (Calc)'!$A:$A)-3),"")</f>
        <v>69.1262025316456</v>
      </c>
      <c r="AN22" s="156" t="n">
        <f aca="false">IFERROR('Price History'!T3+(INDEX('Price History'!T:T,MATCH(9.99E+307,'Returns (Calc)'!$A:$A)+1)-'Price History'!T3)*(ROW()-3)/(MATCH(9.99E+307,'Returns (Calc)'!$A:$A)-3),"")</f>
        <v>28.4363291139241</v>
      </c>
      <c r="AO22" s="157" t="n">
        <f aca="false">IFERROR('Price History'!V3+(INDEX('Price History'!V:V,MATCH(9.99E+307,'Returns (Calc)'!$A:$A)+1)-'Price History'!V3)*(ROW()-3)/(MATCH(9.99E+307,'Returns (Calc)'!$A:$A)-3),"")</f>
        <v>250.665253164557</v>
      </c>
      <c r="AP22" s="155" t="n">
        <f aca="false">IFERROR(IF(OR(NOT(ISNUMBER('Price History'!W23)),NOT(ISNUMBER('Price History'!W22)),'Price History'!W22=0),"",'Price History'!W23/'Price History'!W22-1),"")</f>
        <v>0.0012362114872575</v>
      </c>
      <c r="AQ22" s="155" t="str">
        <f aca="false">IFERROR(IF(OR(NOT(ISNUMBER('Price History'!X23)),NOT(ISNUMBER('Price History'!X22)),'Price History'!X22=0),"",'Price History'!X23/'Price History'!X22-1),"")</f>
        <v/>
      </c>
      <c r="AR22" s="155" t="n">
        <f aca="false">IFERROR(IF(OR(NOT(ISNUMBER('Price History'!Y23)),NOT(ISNUMBER('Price History'!Y22)),'Price History'!Y22=0),"",'Price History'!Y23/'Price History'!Y22-1),"")</f>
        <v>0.00998225377107365</v>
      </c>
      <c r="AS22" s="155" t="n">
        <f aca="false">IFERROR(IF(OR(NOT(ISNUMBER('Price History'!Z23)),NOT(ISNUMBER('Price History'!Z22)),'Price History'!Z22=0),"",'Price History'!Z23/'Price History'!Z22-1),"")</f>
        <v>0.0407174018419776</v>
      </c>
      <c r="AT22" s="155" t="n">
        <f aca="false">IFERROR(IF(OR(NOT(ISNUMBER('Price History'!AA23)),NOT(ISNUMBER('Price History'!AA22)),'Price History'!AA22=0),"",'Price History'!AA23/'Price History'!AA22-1),"")</f>
        <v>-0.0101683029453015</v>
      </c>
      <c r="AU22" s="155" t="n">
        <f aca="false">IFERROR(IF(OR(NOT(ISNUMBER('Price History'!AB23)),NOT(ISNUMBER('Price History'!AB22)),'Price History'!AB22=0),"",'Price History'!AB23/'Price History'!AB22-1),"")</f>
        <v>-0.00924639486417855</v>
      </c>
    </row>
    <row r="23" customFormat="false" ht="15" hidden="false" customHeight="true" outlineLevel="0" collapsed="false">
      <c r="A23" s="153" t="n">
        <f aca="false">IF('Price History'!A24="","",'Price History'!A24)</f>
        <v>45331</v>
      </c>
      <c r="B23" s="154" t="n">
        <f aca="false">IFERROR(IF(OR(NOT(ISNUMBER('Price History'!B24)),NOT(ISNUMBER('Price History'!B23)),'Price History'!B23=0),"",'Price History'!B24/'Price History'!B23-1),"")</f>
        <v>-0.0118942592475896</v>
      </c>
      <c r="C23" s="154" t="n">
        <f aca="false">IFERROR(IF(OR(NOT(ISNUMBER('Price History'!C24)),NOT(ISNUMBER('Price History'!C23)),'Price History'!C23=0),"",'Price History'!C24/'Price History'!C23-1),"")</f>
        <v>0.0341241944932631</v>
      </c>
      <c r="D23" s="154" t="n">
        <f aca="false">IFERROR(IF(OR(NOT(ISNUMBER('Price History'!D24)),NOT(ISNUMBER('Price History'!D23)),'Price History'!D23=0),"",'Price History'!D24/'Price History'!D23-1),"")</f>
        <v>0.0680466579412642</v>
      </c>
      <c r="E23" s="154" t="n">
        <f aca="false">IFERROR(IF(OR(NOT(ISNUMBER('Price History'!E24)),NOT(ISNUMBER('Price History'!E23)),'Price History'!E23=0),"",'Price History'!E24/'Price History'!E23-1),"")</f>
        <v>0.0482909213067944</v>
      </c>
      <c r="F23" s="154" t="n">
        <f aca="false">IFERROR(IF(OR(NOT(ISNUMBER('Price History'!F24)),NOT(ISNUMBER('Price History'!F23)),'Price History'!F23=0),"",'Price History'!F24/'Price History'!F23-1),"")</f>
        <v>0.0848596653050469</v>
      </c>
      <c r="G23" s="154" t="n">
        <f aca="false">IFERROR(IF(OR(NOT(ISNUMBER('Price History'!G24)),NOT(ISNUMBER('Price History'!G23)),'Price History'!G23=0),"",'Price History'!G24/'Price History'!G23-1),"")</f>
        <v>0.0753760351529491</v>
      </c>
      <c r="H23" s="154" t="n">
        <f aca="false">IFERROR(IF(OR(NOT(ISNUMBER('Price History'!H24)),NOT(ISNUMBER('Price History'!H23)),'Price History'!H23=0),"",'Price History'!H24/'Price History'!H23-1),"")</f>
        <v>-0.0106085334576824</v>
      </c>
      <c r="I23" s="154" t="n">
        <f aca="false">IFERROR(IF(OR(NOT(ISNUMBER('Price History'!I24)),NOT(ISNUMBER('Price History'!I23)),'Price History'!I23=0),"",'Price History'!I24/'Price History'!I23-1),"")</f>
        <v>0.0901925117477642</v>
      </c>
      <c r="J23" s="154" t="n">
        <f aca="false">IFERROR(IF(OR(NOT(ISNUMBER('Price History'!J24)),NOT(ISNUMBER('Price History'!J23)),'Price History'!J23=0),"",'Price History'!J24/'Price History'!J23-1),"")</f>
        <v>0.0249788314987298</v>
      </c>
      <c r="K23" s="154" t="n">
        <f aca="false">IFERROR(IF(OR(NOT(ISNUMBER('Price History'!K24)),NOT(ISNUMBER('Price History'!K23)),'Price History'!K23=0),"",'Price History'!K24/'Price History'!K23-1),"")</f>
        <v>0.432432432432432</v>
      </c>
      <c r="L23" s="154" t="n">
        <f aca="false">IFERROR(IF(OR(NOT(ISNUMBER('Price History'!L24)),NOT(ISNUMBER('Price History'!L23)),'Price History'!L23=0),"",'Price History'!L24/'Price History'!L23-1),"")</f>
        <v>0.149991050653302</v>
      </c>
      <c r="M23" s="154" t="n">
        <f aca="false">IFERROR(IF(OR(NOT(ISNUMBER('Price History'!M24)),NOT(ISNUMBER('Price History'!M23)),'Price History'!M23=0),"",'Price History'!M24/'Price History'!M23-1),"")</f>
        <v>0.0332952505304391</v>
      </c>
      <c r="N23" s="154" t="n">
        <f aca="false">IFERROR(IF(OR(NOT(ISNUMBER('Price History'!N24)),NOT(ISNUMBER('Price History'!N23)),'Price History'!N23=0),"",'Price History'!N24/'Price History'!N23-1),"")</f>
        <v>-0.00416784402373549</v>
      </c>
      <c r="O23" s="154" t="n">
        <f aca="false">IFERROR(IF(OR(NOT(ISNUMBER('Price History'!O24)),NOT(ISNUMBER('Price History'!O23)),'Price History'!O23=0),"",'Price History'!O24/'Price History'!O23-1),"")</f>
        <v>0.00898526416676648</v>
      </c>
      <c r="P23" s="154" t="n">
        <f aca="false">IFERROR(IF(OR(NOT(ISNUMBER('Price History'!P24)),NOT(ISNUMBER('Price History'!P23)),'Price History'!P23=0),"",'Price History'!P24/'Price History'!P23-1),"")</f>
        <v>-0.00890719279762464</v>
      </c>
      <c r="Q23" s="154" t="n">
        <f aca="false">IFERROR(IF(OR(NOT(ISNUMBER('Price History'!Q24)),NOT(ISNUMBER('Price History'!Q23)),'Price History'!Q23=0),"",'Price History'!Q24/'Price History'!Q23-1),"")</f>
        <v>0.00428624673872546</v>
      </c>
      <c r="R23" s="154" t="n">
        <f aca="false">IFERROR(IF(OR(NOT(ISNUMBER('Price History'!R24)),NOT(ISNUMBER('Price History'!R23)),'Price History'!R23=0),"",'Price History'!R24/'Price History'!R23-1),"")</f>
        <v>0.0105915784035133</v>
      </c>
      <c r="S23" s="154" t="n">
        <f aca="false">IFERROR(IF(OR(NOT(ISNUMBER('Price History'!S24)),NOT(ISNUMBER('Price History'!S23)),'Price History'!S23=0),"",'Price History'!S24/'Price History'!S23-1),"")</f>
        <v>0.0238931834153195</v>
      </c>
      <c r="T23" s="154" t="n">
        <f aca="false">IFERROR(IF(OR(NOT(ISNUMBER('Price History'!T24)),NOT(ISNUMBER('Price History'!T23)),'Price History'!T23=0),"",'Price History'!T24/'Price History'!T23-1),"")</f>
        <v>0.00508905852417296</v>
      </c>
      <c r="U23" s="154" t="n">
        <f aca="false">IFERROR(IF(OR(NOT(ISNUMBER('Price History'!U24)),NOT(ISNUMBER('Price History'!U23)),'Price History'!U23=0),"",'Price History'!U24/'Price History'!U23-1),"")</f>
        <v>-0.00258175559380369</v>
      </c>
      <c r="V23" s="155" t="n">
        <f aca="false">IFERROR(IF(OR(NOT(ISNUMBER('Price History'!V24)),NOT(ISNUMBER('Price History'!V23)),'Price History'!V23=0),"",'Price History'!V24/'Price History'!V23-1),"")</f>
        <v>-0.000847114286766648</v>
      </c>
      <c r="W23" s="156" t="n">
        <f aca="false">IFERROR('Price History'!B3+(INDEX('Price History'!B:B,MATCH(9.99E+307,'Returns (Calc)'!$A:$A)+1)-'Price History'!B3)*(ROW()-3)/(MATCH(9.99E+307,'Returns (Calc)'!$A:$A)-3),"")</f>
        <v>492.029240506329</v>
      </c>
      <c r="X23" s="156" t="n">
        <f aca="false">IFERROR('Price History'!C3+(INDEX('Price History'!C:C,MATCH(9.99E+307,'Returns (Calc)'!$A:$A)+1)-'Price History'!C3)*(ROW()-3)/(MATCH(9.99E+307,'Returns (Calc)'!$A:$A)-3),"")</f>
        <v>66.5812658227848</v>
      </c>
      <c r="Y23" s="156" t="n">
        <f aca="false">IFERROR('Price History'!D3+(INDEX('Price History'!D:D,MATCH(9.99E+307,'Returns (Calc)'!$A:$A)+1)-'Price History'!D3)*(ROW()-3)/(MATCH(9.99E+307,'Returns (Calc)'!$A:$A)-3),"")</f>
        <v>744.706202531646</v>
      </c>
      <c r="Z23" s="156" t="n">
        <f aca="false">IFERROR('Price History'!E3+(INDEX('Price History'!E:E,MATCH(9.99E+307,'Returns (Calc)'!$A:$A)+1)-'Price History'!E3)*(ROW()-3)/(MATCH(9.99E+307,'Returns (Calc)'!$A:$A)-3),"")</f>
        <v>116.574683544304</v>
      </c>
      <c r="AA23" s="156" t="n">
        <f aca="false">IFERROR('Price History'!F3+(INDEX('Price History'!F:F,MATCH(9.99E+307,'Returns (Calc)'!$A:$A)+1)-'Price History'!F3)*(ROW()-3)/(MATCH(9.99E+307,'Returns (Calc)'!$A:$A)-3),"")</f>
        <v>70.306835443038</v>
      </c>
      <c r="AB23" s="156" t="n">
        <f aca="false">IFERROR('Price History'!G3+(INDEX('Price History'!G:G,MATCH(9.99E+307,'Returns (Calc)'!$A:$A)+1)-'Price History'!G3)*(ROW()-3)/(MATCH(9.99E+307,'Returns (Calc)'!$A:$A)-3),"")</f>
        <v>64.9246835443038</v>
      </c>
      <c r="AC23" s="156" t="n">
        <f aca="false">IFERROR('Price History'!H3+(INDEX('Price History'!H:H,MATCH(9.99E+307,'Returns (Calc)'!$A:$A)+1)-'Price History'!H3)*(ROW()-3)/(MATCH(9.99E+307,'Returns (Calc)'!$A:$A)-3),"")</f>
        <v>196.423924050633</v>
      </c>
      <c r="AD23" s="156" t="n">
        <f aca="false">IFERROR('Price History'!I3+(INDEX('Price History'!I:I,MATCH(9.99E+307,'Returns (Calc)'!$A:$A)+1)-'Price History'!I3)*(ROW()-3)/(MATCH(9.99E+307,'Returns (Calc)'!$A:$A)-3),"")</f>
        <v>67.843417721519</v>
      </c>
      <c r="AE23" s="156" t="n">
        <f aca="false">IFERROR('Price History'!J3+(INDEX('Price History'!J:J,MATCH(9.99E+307,'Returns (Calc)'!$A:$A)+1)-'Price History'!J3)*(ROW()-3)/(MATCH(9.99E+307,'Returns (Calc)'!$A:$A)-3),"")</f>
        <v>114.000759493671</v>
      </c>
      <c r="AF23" s="156" t="n">
        <f aca="false">IFERROR('Price History'!K3+(INDEX('Price History'!K:K,MATCH(9.99E+307,'Returns (Calc)'!$A:$A)+1)-'Price History'!K3)*(ROW()-3)/(MATCH(9.99E+307,'Returns (Calc)'!$A:$A)-3),"")</f>
        <v>37.2818987341772</v>
      </c>
      <c r="AG23" s="156" t="n">
        <f aca="false">IFERROR('Price History'!L3+(INDEX('Price History'!L:L,MATCH(9.99E+307,'Returns (Calc)'!$A:$A)+1)-'Price History'!L3)*(ROW()-3)/(MATCH(9.99E+307,'Returns (Calc)'!$A:$A)-3),"")</f>
        <v>134.741139240506</v>
      </c>
      <c r="AH23" s="156" t="n">
        <f aca="false">IFERROR('Price History'!M3+(INDEX('Price History'!M:M,MATCH(9.99E+307,'Returns (Calc)'!$A:$A)+1)-'Price History'!M3)*(ROW()-3)/(MATCH(9.99E+307,'Returns (Calc)'!$A:$A)-3),"")</f>
        <v>65.1288607594937</v>
      </c>
      <c r="AI23" s="156" t="n">
        <f aca="false">IFERROR('Price History'!N3+(INDEX('Price History'!N:N,MATCH(9.99E+307,'Returns (Calc)'!$A:$A)+1)-'Price History'!N3)*(ROW()-3)/(MATCH(9.99E+307,'Returns (Calc)'!$A:$A)-3),"")</f>
        <v>368.625316455696</v>
      </c>
      <c r="AJ23" s="156" t="n">
        <f aca="false">IFERROR('Price History'!O3+(INDEX('Price History'!O:O,MATCH(9.99E+307,'Returns (Calc)'!$A:$A)+1)-'Price History'!O3)*(ROW()-3)/(MATCH(9.99E+307,'Returns (Calc)'!$A:$A)-3),"")</f>
        <v>80.9707594936709</v>
      </c>
      <c r="AK23" s="156" t="n">
        <f aca="false">IFERROR('Price History'!Q3+(INDEX('Price History'!Q:Q,MATCH(9.99E+307,'Returns (Calc)'!$A:$A)+1)-'Price History'!Q3)*(ROW()-3)/(MATCH(9.99E+307,'Returns (Calc)'!$A:$A)-3),"")</f>
        <v>8.7873417721519</v>
      </c>
      <c r="AL23" s="156" t="n">
        <f aca="false">IFERROR('Price History'!R3+(INDEX('Price History'!R:R,MATCH(9.99E+307,'Returns (Calc)'!$A:$A)+1)-'Price History'!R3)*(ROW()-3)/(MATCH(9.99E+307,'Returns (Calc)'!$A:$A)-3),"")</f>
        <v>37.8420253164557</v>
      </c>
      <c r="AM23" s="156" t="n">
        <f aca="false">IFERROR('Price History'!S3+(INDEX('Price History'!S:S,MATCH(9.99E+307,'Returns (Calc)'!$A:$A)+1)-'Price History'!S3)*(ROW()-3)/(MATCH(9.99E+307,'Returns (Calc)'!$A:$A)-3),"")</f>
        <v>69.7312658227848</v>
      </c>
      <c r="AN23" s="156" t="n">
        <f aca="false">IFERROR('Price History'!T3+(INDEX('Price History'!T:T,MATCH(9.99E+307,'Returns (Calc)'!$A:$A)+1)-'Price History'!T3)*(ROW()-3)/(MATCH(9.99E+307,'Returns (Calc)'!$A:$A)-3),"")</f>
        <v>28.6045569620253</v>
      </c>
      <c r="AO23" s="157" t="n">
        <f aca="false">IFERROR('Price History'!V3+(INDEX('Price History'!V:V,MATCH(9.99E+307,'Returns (Calc)'!$A:$A)+1)-'Price History'!V3)*(ROW()-3)/(MATCH(9.99E+307,'Returns (Calc)'!$A:$A)-3),"")</f>
        <v>251.456582278481</v>
      </c>
      <c r="AP23" s="155" t="n">
        <f aca="false">IFERROR(IF(OR(NOT(ISNUMBER('Price History'!W24)),NOT(ISNUMBER('Price History'!W23)),'Price History'!W23=0),"",'Price History'!W24/'Price History'!W23-1),"")</f>
        <v>-0.00218444296704345</v>
      </c>
      <c r="AQ23" s="155" t="str">
        <f aca="false">IFERROR(IF(OR(NOT(ISNUMBER('Price History'!X24)),NOT(ISNUMBER('Price History'!X23)),'Price History'!X23=0),"",'Price History'!X24/'Price History'!X23-1),"")</f>
        <v/>
      </c>
      <c r="AR23" s="155" t="n">
        <f aca="false">IFERROR(IF(OR(NOT(ISNUMBER('Price History'!Y24)),NOT(ISNUMBER('Price History'!Y23)),'Price History'!Y23=0),"",'Price History'!Y24/'Price History'!Y23-1),"")</f>
        <v>-0.000658906215681987</v>
      </c>
      <c r="AS23" s="155" t="n">
        <f aca="false">IFERROR(IF(OR(NOT(ISNUMBER('Price History'!Z24)),NOT(ISNUMBER('Price History'!Z23)),'Price History'!Z23=0),"",'Price History'!Z24/'Price History'!Z23-1),"")</f>
        <v>0.0201210992081975</v>
      </c>
      <c r="AT23" s="155" t="n">
        <f aca="false">IFERROR(IF(OR(NOT(ISNUMBER('Price History'!AA24)),NOT(ISNUMBER('Price History'!AA23)),'Price History'!AA23=0),"",'Price History'!AA24/'Price History'!AA23-1),"")</f>
        <v>-0.00584484590860779</v>
      </c>
      <c r="AU23" s="155" t="n">
        <f aca="false">IFERROR(IF(OR(NOT(ISNUMBER('Price History'!AB24)),NOT(ISNUMBER('Price History'!AB23)),'Price History'!AB23=0),"",'Price History'!AB24/'Price History'!AB23-1),"")</f>
        <v>0.0481624758220502</v>
      </c>
    </row>
    <row r="24" customFormat="false" ht="15" hidden="false" customHeight="true" outlineLevel="0" collapsed="false">
      <c r="A24" s="153" t="n">
        <f aca="false">IF('Price History'!A25="","",'Price History'!A25)</f>
        <v>45338</v>
      </c>
      <c r="B24" s="154" t="n">
        <f aca="false">IFERROR(IF(OR(NOT(ISNUMBER('Price History'!B25)),NOT(ISNUMBER('Price History'!B24)),'Price History'!B24=0),"",'Price History'!B25/'Price History'!B24-1),"")</f>
        <v>-0.128425886066868</v>
      </c>
      <c r="C24" s="154" t="n">
        <f aca="false">IFERROR(IF(OR(NOT(ISNUMBER('Price History'!C25)),NOT(ISNUMBER('Price History'!C24)),'Price History'!C24=0),"",'Price History'!C25/'Price History'!C24-1),"")</f>
        <v>-0.0732190907803427</v>
      </c>
      <c r="D24" s="154" t="n">
        <f aca="false">IFERROR(IF(OR(NOT(ISNUMBER('Price History'!D25)),NOT(ISNUMBER('Price History'!D24)),'Price History'!D24=0),"",'Price History'!D25/'Price History'!D24-1),"")</f>
        <v>-0.0217566565264595</v>
      </c>
      <c r="E24" s="154" t="n">
        <f aca="false">IFERROR(IF(OR(NOT(ISNUMBER('Price History'!E25)),NOT(ISNUMBER('Price History'!E24)),'Price History'!E24=0),"",'Price History'!E25/'Price History'!E24-1),"")</f>
        <v>-0.0296426854670725</v>
      </c>
      <c r="F24" s="154" t="n">
        <f aca="false">IFERROR(IF(OR(NOT(ISNUMBER('Price History'!F25)),NOT(ISNUMBER('Price History'!F24)),'Price History'!F24=0),"",'Price History'!F25/'Price History'!F24-1),"")</f>
        <v>-0.000242924814769729</v>
      </c>
      <c r="G24" s="154" t="n">
        <f aca="false">IFERROR(IF(OR(NOT(ISNUMBER('Price History'!G25)),NOT(ISNUMBER('Price History'!G24)),'Price History'!G24=0),"",'Price History'!G25/'Price History'!G24-1),"")</f>
        <v>0.0199591387710201</v>
      </c>
      <c r="H24" s="154" t="n">
        <f aca="false">IFERROR(IF(OR(NOT(ISNUMBER('Price History'!H25)),NOT(ISNUMBER('Price History'!H24)),'Price History'!H24=0),"",'Price History'!H25/'Price History'!H24-1),"")</f>
        <v>-0.0708141864027336</v>
      </c>
      <c r="I24" s="154" t="n">
        <f aca="false">IFERROR(IF(OR(NOT(ISNUMBER('Price History'!I25)),NOT(ISNUMBER('Price History'!I24)),'Price History'!I24=0),"",'Price History'!I25/'Price History'!I24-1),"")</f>
        <v>0.00667408231368194</v>
      </c>
      <c r="J24" s="154" t="n">
        <f aca="false">IFERROR(IF(OR(NOT(ISNUMBER('Price History'!J25)),NOT(ISNUMBER('Price History'!J24)),'Price History'!J24=0),"",'Price History'!J25/'Price History'!J24-1),"")</f>
        <v>0.00685667079719132</v>
      </c>
      <c r="K24" s="154" t="n">
        <f aca="false">IFERROR(IF(OR(NOT(ISNUMBER('Price History'!K25)),NOT(ISNUMBER('Price History'!K24)),'Price History'!K24=0),"",'Price History'!K25/'Price History'!K24-1),"")</f>
        <v>0.00246103363412642</v>
      </c>
      <c r="L24" s="154" t="n">
        <f aca="false">IFERROR(IF(OR(NOT(ISNUMBER('Price History'!L25)),NOT(ISNUMBER('Price History'!L24)),'Price History'!L24=0),"",'Price History'!L25/'Price History'!L24-1),"")</f>
        <v>-0.0482490272373541</v>
      </c>
      <c r="M24" s="154" t="n">
        <f aca="false">IFERROR(IF(OR(NOT(ISNUMBER('Price History'!M25)),NOT(ISNUMBER('Price History'!M24)),'Price History'!M24=0),"",'Price History'!M25/'Price History'!M24-1),"")</f>
        <v>-0.00868741115147698</v>
      </c>
      <c r="N24" s="154" t="n">
        <f aca="false">IFERROR(IF(OR(NOT(ISNUMBER('Price History'!N25)),NOT(ISNUMBER('Price History'!N24)),'Price History'!N24=0),"",'Price History'!N25/'Price History'!N24-1),"")</f>
        <v>-0.00167884419852937</v>
      </c>
      <c r="O24" s="154" t="n">
        <f aca="false">IFERROR(IF(OR(NOT(ISNUMBER('Price History'!O25)),NOT(ISNUMBER('Price History'!O24)),'Price History'!O24=0),"",'Price History'!O25/'Price History'!O24-1),"")</f>
        <v>0.00712419852766555</v>
      </c>
      <c r="P24" s="154" t="n">
        <f aca="false">IFERROR(IF(OR(NOT(ISNUMBER('Price History'!P25)),NOT(ISNUMBER('Price History'!P24)),'Price History'!P24=0),"",'Price History'!P25/'Price History'!P24-1),"")</f>
        <v>0.011693080788558</v>
      </c>
      <c r="Q24" s="154" t="n">
        <f aca="false">IFERROR(IF(OR(NOT(ISNUMBER('Price History'!Q25)),NOT(ISNUMBER('Price History'!Q24)),'Price History'!Q24=0),"",'Price History'!Q25/'Price History'!Q24-1),"")</f>
        <v>-0.00556689552792722</v>
      </c>
      <c r="R24" s="154" t="n">
        <f aca="false">IFERROR(IF(OR(NOT(ISNUMBER('Price History'!R25)),NOT(ISNUMBER('Price History'!R24)),'Price History'!R24=0),"",'Price History'!R25/'Price History'!R24-1),"")</f>
        <v>-0.00332310838445793</v>
      </c>
      <c r="S24" s="154" t="n">
        <f aca="false">IFERROR(IF(OR(NOT(ISNUMBER('Price History'!S25)),NOT(ISNUMBER('Price History'!S24)),'Price History'!S24=0),"",'Price History'!S25/'Price History'!S24-1),"")</f>
        <v>0.00837336993822913</v>
      </c>
      <c r="T24" s="154" t="n">
        <f aca="false">IFERROR(IF(OR(NOT(ISNUMBER('Price History'!T25)),NOT(ISNUMBER('Price History'!T24)),'Price History'!T24=0),"",'Price History'!T25/'Price History'!T24-1),"")</f>
        <v>0.00831826401446656</v>
      </c>
      <c r="U24" s="154" t="n">
        <f aca="false">IFERROR(IF(OR(NOT(ISNUMBER('Price History'!U25)),NOT(ISNUMBER('Price History'!U24)),'Price History'!U24=0),"",'Price History'!U25/'Price History'!U24-1),"")</f>
        <v>0.002588438308887</v>
      </c>
      <c r="V24" s="155" t="n">
        <f aca="false">IFERROR(IF(OR(NOT(ISNUMBER('Price History'!V25)),NOT(ISNUMBER('Price History'!V24)),'Price History'!V24=0),"",'Price History'!V25/'Price History'!V24-1),"")</f>
        <v>0.00770421704511959</v>
      </c>
      <c r="W24" s="156" t="n">
        <f aca="false">IFERROR('Price History'!B3+(INDEX('Price History'!B:B,MATCH(9.99E+307,'Returns (Calc)'!$A:$A)+1)-'Price History'!B3)*(ROW()-3)/(MATCH(9.99E+307,'Returns (Calc)'!$A:$A)-3),"")</f>
        <v>490.186202531646</v>
      </c>
      <c r="X24" s="156" t="n">
        <f aca="false">IFERROR('Price History'!C3+(INDEX('Price History'!C:C,MATCH(9.99E+307,'Returns (Calc)'!$A:$A)+1)-'Price History'!C3)*(ROW()-3)/(MATCH(9.99E+307,'Returns (Calc)'!$A:$A)-3),"")</f>
        <v>67.6013291139241</v>
      </c>
      <c r="Y24" s="156" t="n">
        <f aca="false">IFERROR('Price History'!D3+(INDEX('Price History'!D:D,MATCH(9.99E+307,'Returns (Calc)'!$A:$A)+1)-'Price History'!D3)*(ROW()-3)/(MATCH(9.99E+307,'Returns (Calc)'!$A:$A)-3),"")</f>
        <v>752.841012658228</v>
      </c>
      <c r="Z24" s="156" t="n">
        <f aca="false">IFERROR('Price History'!E3+(INDEX('Price History'!E:E,MATCH(9.99E+307,'Returns (Calc)'!$A:$A)+1)-'Price History'!E3)*(ROW()-3)/(MATCH(9.99E+307,'Returns (Calc)'!$A:$A)-3),"")</f>
        <v>118.303417721519</v>
      </c>
      <c r="AA24" s="156" t="n">
        <f aca="false">IFERROR('Price History'!F3+(INDEX('Price History'!F:F,MATCH(9.99E+307,'Returns (Calc)'!$A:$A)+1)-'Price History'!F3)*(ROW()-3)/(MATCH(9.99E+307,'Returns (Calc)'!$A:$A)-3),"")</f>
        <v>71.7541772151899</v>
      </c>
      <c r="AB24" s="156" t="n">
        <f aca="false">IFERROR('Price History'!G3+(INDEX('Price History'!G:G,MATCH(9.99E+307,'Returns (Calc)'!$A:$A)+1)-'Price History'!G3)*(ROW()-3)/(MATCH(9.99E+307,'Returns (Calc)'!$A:$A)-3),"")</f>
        <v>65.953417721519</v>
      </c>
      <c r="AC24" s="156" t="n">
        <f aca="false">IFERROR('Price History'!H3+(INDEX('Price History'!H:H,MATCH(9.99E+307,'Returns (Calc)'!$A:$A)+1)-'Price History'!H3)*(ROW()-3)/(MATCH(9.99E+307,'Returns (Calc)'!$A:$A)-3),"")</f>
        <v>202.789620253165</v>
      </c>
      <c r="AD24" s="156" t="n">
        <f aca="false">IFERROR('Price History'!I3+(INDEX('Price History'!I:I,MATCH(9.99E+307,'Returns (Calc)'!$A:$A)+1)-'Price History'!I3)*(ROW()-3)/(MATCH(9.99E+307,'Returns (Calc)'!$A:$A)-3),"")</f>
        <v>69.0470886075949</v>
      </c>
      <c r="AE24" s="156" t="n">
        <f aca="false">IFERROR('Price History'!J3+(INDEX('Price History'!J:J,MATCH(9.99E+307,'Returns (Calc)'!$A:$A)+1)-'Price History'!J3)*(ROW()-3)/(MATCH(9.99E+307,'Returns (Calc)'!$A:$A)-3),"")</f>
        <v>114.108797468354</v>
      </c>
      <c r="AF24" s="156" t="n">
        <f aca="false">IFERROR('Price History'!K3+(INDEX('Price History'!K:K,MATCH(9.99E+307,'Returns (Calc)'!$A:$A)+1)-'Price History'!K3)*(ROW()-3)/(MATCH(9.99E+307,'Returns (Calc)'!$A:$A)-3),"")</f>
        <v>38.3794936708861</v>
      </c>
      <c r="AG24" s="156" t="n">
        <f aca="false">IFERROR('Price History'!L3+(INDEX('Price History'!L:L,MATCH(9.99E+307,'Returns (Calc)'!$A:$A)+1)-'Price History'!L3)*(ROW()-3)/(MATCH(9.99E+307,'Returns (Calc)'!$A:$A)-3),"")</f>
        <v>137.190696202532</v>
      </c>
      <c r="AH24" s="156" t="n">
        <f aca="false">IFERROR('Price History'!M3+(INDEX('Price History'!M:M,MATCH(9.99E+307,'Returns (Calc)'!$A:$A)+1)-'Price History'!M3)*(ROW()-3)/(MATCH(9.99E+307,'Returns (Calc)'!$A:$A)-3),"")</f>
        <v>66.4843037974684</v>
      </c>
      <c r="AI24" s="156" t="n">
        <f aca="false">IFERROR('Price History'!N3+(INDEX('Price History'!N:N,MATCH(9.99E+307,'Returns (Calc)'!$A:$A)+1)-'Price History'!N3)*(ROW()-3)/(MATCH(9.99E+307,'Returns (Calc)'!$A:$A)-3),"")</f>
        <v>369.611582278481</v>
      </c>
      <c r="AJ24" s="156" t="n">
        <f aca="false">IFERROR('Price History'!O3+(INDEX('Price History'!O:O,MATCH(9.99E+307,'Returns (Calc)'!$A:$A)+1)-'Price History'!O3)*(ROW()-3)/(MATCH(9.99E+307,'Returns (Calc)'!$A:$A)-3),"")</f>
        <v>81.2537974683544</v>
      </c>
      <c r="AK24" s="156" t="n">
        <f aca="false">IFERROR('Price History'!Q3+(INDEX('Price History'!Q:Q,MATCH(9.99E+307,'Returns (Calc)'!$A:$A)+1)-'Price History'!Q3)*(ROW()-3)/(MATCH(9.99E+307,'Returns (Calc)'!$A:$A)-3),"")</f>
        <v>9.22670886075949</v>
      </c>
      <c r="AL24" s="156" t="n">
        <f aca="false">IFERROR('Price History'!R3+(INDEX('Price History'!R:R,MATCH(9.99E+307,'Returns (Calc)'!$A:$A)+1)-'Price History'!R3)*(ROW()-3)/(MATCH(9.99E+307,'Returns (Calc)'!$A:$A)-3),"")</f>
        <v>38.0101265822785</v>
      </c>
      <c r="AM24" s="156" t="n">
        <f aca="false">IFERROR('Price History'!S3+(INDEX('Price History'!S:S,MATCH(9.99E+307,'Returns (Calc)'!$A:$A)+1)-'Price History'!S3)*(ROW()-3)/(MATCH(9.99E+307,'Returns (Calc)'!$A:$A)-3),"")</f>
        <v>70.3363291139241</v>
      </c>
      <c r="AN24" s="156" t="n">
        <f aca="false">IFERROR('Price History'!T3+(INDEX('Price History'!T:T,MATCH(9.99E+307,'Returns (Calc)'!$A:$A)+1)-'Price History'!T3)*(ROW()-3)/(MATCH(9.99E+307,'Returns (Calc)'!$A:$A)-3),"")</f>
        <v>28.7727848101266</v>
      </c>
      <c r="AO24" s="157" t="n">
        <f aca="false">IFERROR('Price History'!V3+(INDEX('Price History'!V:V,MATCH(9.99E+307,'Returns (Calc)'!$A:$A)+1)-'Price History'!V3)*(ROW()-3)/(MATCH(9.99E+307,'Returns (Calc)'!$A:$A)-3),"")</f>
        <v>252.247911392405</v>
      </c>
      <c r="AP24" s="155" t="n">
        <f aca="false">IFERROR(IF(OR(NOT(ISNUMBER('Price History'!W25)),NOT(ISNUMBER('Price History'!W24)),'Price History'!W24=0),"",'Price History'!W25/'Price History'!W24-1),"")</f>
        <v>0.00932800304587866</v>
      </c>
      <c r="AQ24" s="155" t="str">
        <f aca="false">IFERROR(IF(OR(NOT(ISNUMBER('Price History'!X25)),NOT(ISNUMBER('Price History'!X24)),'Price History'!X24=0),"",'Price History'!X25/'Price History'!X24-1),"")</f>
        <v/>
      </c>
      <c r="AR24" s="155" t="n">
        <f aca="false">IFERROR(IF(OR(NOT(ISNUMBER('Price History'!Y25)),NOT(ISNUMBER('Price History'!Y24)),'Price History'!Y24=0),"",'Price History'!Y25/'Price History'!Y24-1),"")</f>
        <v>0.0013186813186814</v>
      </c>
      <c r="AS24" s="155" t="n">
        <f aca="false">IFERROR(IF(OR(NOT(ISNUMBER('Price History'!Z25)),NOT(ISNUMBER('Price History'!Z24)),'Price History'!Z24=0),"",'Price History'!Z25/'Price History'!Z24-1),"")</f>
        <v>0.0708611085745594</v>
      </c>
      <c r="AT24" s="155" t="n">
        <f aca="false">IFERROR(IF(OR(NOT(ISNUMBER('Price History'!AA25)),NOT(ISNUMBER('Price History'!AA24)),'Price History'!AA24=0),"",'Price History'!AA25/'Price History'!AA24-1),"")</f>
        <v>0.0404418314626758</v>
      </c>
      <c r="AU24" s="155" t="n">
        <f aca="false">IFERROR(IF(OR(NOT(ISNUMBER('Price History'!AB25)),NOT(ISNUMBER('Price History'!AB24)),'Price History'!AB24=0),"",'Price History'!AB25/'Price History'!AB24-1),"")</f>
        <v>0.0119486990219597</v>
      </c>
    </row>
    <row r="25" customFormat="false" ht="15" hidden="false" customHeight="true" outlineLevel="0" collapsed="false">
      <c r="A25" s="153" t="n">
        <f aca="false">IF('Price History'!A26="","",'Price History'!A26)</f>
        <v>45345</v>
      </c>
      <c r="B25" s="154" t="n">
        <f aca="false">IFERROR(IF(OR(NOT(ISNUMBER('Price History'!B26)),NOT(ISNUMBER('Price History'!B25)),'Price History'!B25=0),"",'Price History'!B26/'Price History'!B25-1),"")</f>
        <v>0.0124025902754914</v>
      </c>
      <c r="C25" s="154" t="n">
        <f aca="false">IFERROR(IF(OR(NOT(ISNUMBER('Price History'!C26)),NOT(ISNUMBER('Price History'!C25)),'Price History'!C25=0),"",'Price History'!C26/'Price History'!C25-1),"")</f>
        <v>0.0226161369193154</v>
      </c>
      <c r="D25" s="154" t="n">
        <f aca="false">IFERROR(IF(OR(NOT(ISNUMBER('Price History'!D26)),NOT(ISNUMBER('Price History'!D25)),'Price History'!D25=0),"",'Price History'!D26/'Price History'!D25-1),"")</f>
        <v>0.00463710785121707</v>
      </c>
      <c r="E25" s="154" t="n">
        <f aca="false">IFERROR(IF(OR(NOT(ISNUMBER('Price History'!E26)),NOT(ISNUMBER('Price History'!E25)),'Price History'!E25=0),"",'Price History'!E26/'Price History'!E25-1),"")</f>
        <v>0.0408685601056802</v>
      </c>
      <c r="F25" s="154" t="n">
        <f aca="false">IFERROR(IF(OR(NOT(ISNUMBER('Price History'!F26)),NOT(ISNUMBER('Price History'!F25)),'Price History'!F25=0),"",'Price History'!F26/'Price History'!F25-1),"")</f>
        <v>-0.0539424128295468</v>
      </c>
      <c r="G25" s="154" t="n">
        <f aca="false">IFERROR(IF(OR(NOT(ISNUMBER('Price History'!G26)),NOT(ISNUMBER('Price History'!G25)),'Price History'!G25=0),"",'Price History'!G26/'Price History'!G25-1),"")</f>
        <v>0.0112480739599381</v>
      </c>
      <c r="H25" s="154" t="n">
        <f aca="false">IFERROR(IF(OR(NOT(ISNUMBER('Price History'!H26)),NOT(ISNUMBER('Price History'!H25)),'Price History'!H25=0),"",'Price History'!H26/'Price History'!H25-1),"")</f>
        <v>0.0817905148364191</v>
      </c>
      <c r="I25" s="154" t="n">
        <f aca="false">IFERROR(IF(OR(NOT(ISNUMBER('Price History'!I26)),NOT(ISNUMBER('Price History'!I25)),'Price History'!I25=0),"",'Price History'!I26/'Price History'!I25-1),"")</f>
        <v>0.0854972375690608</v>
      </c>
      <c r="J25" s="154" t="n">
        <f aca="false">IFERROR(IF(OR(NOT(ISNUMBER('Price History'!J26)),NOT(ISNUMBER('Price History'!J25)),'Price History'!J25=0),"",'Price History'!J26/'Price History'!J25-1),"")</f>
        <v>-0.00131276665572688</v>
      </c>
      <c r="K25" s="154" t="n">
        <f aca="false">IFERROR(IF(OR(NOT(ISNUMBER('Price History'!K26)),NOT(ISNUMBER('Price History'!K25)),'Price History'!K25=0),"",'Price History'!K26/'Price History'!K25-1),"")</f>
        <v>-0.0601472995090018</v>
      </c>
      <c r="L25" s="154" t="n">
        <f aca="false">IFERROR(IF(OR(NOT(ISNUMBER('Price History'!L26)),NOT(ISNUMBER('Price History'!L25)),'Price History'!L25=0),"",'Price History'!L26/'Price History'!L25-1),"")</f>
        <v>0.0224039247751431</v>
      </c>
      <c r="M25" s="154" t="n">
        <f aca="false">IFERROR(IF(OR(NOT(ISNUMBER('Price History'!M26)),NOT(ISNUMBER('Price History'!M25)),'Price History'!M25=0),"",'Price History'!M26/'Price History'!M25-1),"")</f>
        <v>-0.00430210325047797</v>
      </c>
      <c r="N25" s="154" t="n">
        <f aca="false">IFERROR(IF(OR(NOT(ISNUMBER('Price History'!N26)),NOT(ISNUMBER('Price History'!N25)),'Price History'!N25=0),"",'Price History'!N26/'Price History'!N25-1),"")</f>
        <v>0.0187351965892941</v>
      </c>
      <c r="O25" s="154" t="n">
        <f aca="false">IFERROR(IF(OR(NOT(ISNUMBER('Price History'!O26)),NOT(ISNUMBER('Price History'!O25)),'Price History'!O25=0),"",'Price History'!O26/'Price History'!O25-1),"")</f>
        <v>-0.00330110822919105</v>
      </c>
      <c r="P25" s="154" t="n">
        <f aca="false">IFERROR(IF(OR(NOT(ISNUMBER('Price History'!P26)),NOT(ISNUMBER('Price History'!P25)),'Price History'!P25=0),"",'Price History'!P26/'Price History'!P25-1),"")</f>
        <v>0.0084057694144617</v>
      </c>
      <c r="Q25" s="154" t="n">
        <f aca="false">IFERROR(IF(OR(NOT(ISNUMBER('Price History'!Q26)),NOT(ISNUMBER('Price History'!Q25)),'Price History'!Q25=0),"",'Price History'!Q26/'Price History'!Q25-1),"")</f>
        <v>0.00765068109721967</v>
      </c>
      <c r="R25" s="154" t="n">
        <f aca="false">IFERROR(IF(OR(NOT(ISNUMBER('Price History'!R26)),NOT(ISNUMBER('Price History'!R25)),'Price History'!R25=0),"",'Price History'!R26/'Price History'!R25-1),"")</f>
        <v>0.0125673249551166</v>
      </c>
      <c r="S25" s="154" t="n">
        <f aca="false">IFERROR(IF(OR(NOT(ISNUMBER('Price History'!S26)),NOT(ISNUMBER('Price History'!S25)),'Price History'!S25=0),"",'Price History'!S26/'Price History'!S25-1),"")</f>
        <v>0.022325074870678</v>
      </c>
      <c r="T25" s="154" t="n">
        <f aca="false">IFERROR(IF(OR(NOT(ISNUMBER('Price History'!T26)),NOT(ISNUMBER('Price History'!T25)),'Price History'!T25=0),"",'Price History'!T26/'Price History'!T25-1),"")</f>
        <v>0.0218794835007174</v>
      </c>
      <c r="U25" s="154" t="n">
        <f aca="false">IFERROR(IF(OR(NOT(ISNUMBER('Price History'!U26)),NOT(ISNUMBER('Price History'!U25)),'Price History'!U25=0),"",'Price History'!U26/'Price History'!U25-1),"")</f>
        <v>0.0116179001721173</v>
      </c>
      <c r="V25" s="155" t="n">
        <f aca="false">IFERROR(IF(OR(NOT(ISNUMBER('Price History'!V26)),NOT(ISNUMBER('Price History'!V25)),'Price History'!V25=0),"",'Price History'!V26/'Price History'!V25-1),"")</f>
        <v>0.0180707466071623</v>
      </c>
      <c r="W25" s="156" t="n">
        <f aca="false">IFERROR('Price History'!B3+(INDEX('Price History'!B:B,MATCH(9.99E+307,'Returns (Calc)'!$A:$A)+1)-'Price History'!B3)*(ROW()-3)/(MATCH(9.99E+307,'Returns (Calc)'!$A:$A)-3),"")</f>
        <v>488.343164556962</v>
      </c>
      <c r="X25" s="156" t="n">
        <f aca="false">IFERROR('Price History'!C3+(INDEX('Price History'!C:C,MATCH(9.99E+307,'Returns (Calc)'!$A:$A)+1)-'Price History'!C3)*(ROW()-3)/(MATCH(9.99E+307,'Returns (Calc)'!$A:$A)-3),"")</f>
        <v>68.6213924050633</v>
      </c>
      <c r="Y25" s="156" t="n">
        <f aca="false">IFERROR('Price History'!D3+(INDEX('Price History'!D:D,MATCH(9.99E+307,'Returns (Calc)'!$A:$A)+1)-'Price History'!D3)*(ROW()-3)/(MATCH(9.99E+307,'Returns (Calc)'!$A:$A)-3),"")</f>
        <v>760.97582278481</v>
      </c>
      <c r="Z25" s="156" t="n">
        <f aca="false">IFERROR('Price History'!E3+(INDEX('Price History'!E:E,MATCH(9.99E+307,'Returns (Calc)'!$A:$A)+1)-'Price History'!E3)*(ROW()-3)/(MATCH(9.99E+307,'Returns (Calc)'!$A:$A)-3),"")</f>
        <v>120.032151898734</v>
      </c>
      <c r="AA25" s="156" t="n">
        <f aca="false">IFERROR('Price History'!F3+(INDEX('Price History'!F:F,MATCH(9.99E+307,'Returns (Calc)'!$A:$A)+1)-'Price History'!F3)*(ROW()-3)/(MATCH(9.99E+307,'Returns (Calc)'!$A:$A)-3),"")</f>
        <v>73.2015189873418</v>
      </c>
      <c r="AB25" s="156" t="n">
        <f aca="false">IFERROR('Price History'!G3+(INDEX('Price History'!G:G,MATCH(9.99E+307,'Returns (Calc)'!$A:$A)+1)-'Price History'!G3)*(ROW()-3)/(MATCH(9.99E+307,'Returns (Calc)'!$A:$A)-3),"")</f>
        <v>66.9821518987342</v>
      </c>
      <c r="AC25" s="156" t="n">
        <f aca="false">IFERROR('Price History'!H3+(INDEX('Price History'!H:H,MATCH(9.99E+307,'Returns (Calc)'!$A:$A)+1)-'Price History'!H3)*(ROW()-3)/(MATCH(9.99E+307,'Returns (Calc)'!$A:$A)-3),"")</f>
        <v>209.155316455696</v>
      </c>
      <c r="AD25" s="156" t="n">
        <f aca="false">IFERROR('Price History'!I3+(INDEX('Price History'!I:I,MATCH(9.99E+307,'Returns (Calc)'!$A:$A)+1)-'Price History'!I3)*(ROW()-3)/(MATCH(9.99E+307,'Returns (Calc)'!$A:$A)-3),"")</f>
        <v>70.2507594936709</v>
      </c>
      <c r="AE25" s="156" t="n">
        <f aca="false">IFERROR('Price History'!J3+(INDEX('Price History'!J:J,MATCH(9.99E+307,'Returns (Calc)'!$A:$A)+1)-'Price History'!J3)*(ROW()-3)/(MATCH(9.99E+307,'Returns (Calc)'!$A:$A)-3),"")</f>
        <v>114.216835443038</v>
      </c>
      <c r="AF25" s="156" t="n">
        <f aca="false">IFERROR('Price History'!K3+(INDEX('Price History'!K:K,MATCH(9.99E+307,'Returns (Calc)'!$A:$A)+1)-'Price History'!K3)*(ROW()-3)/(MATCH(9.99E+307,'Returns (Calc)'!$A:$A)-3),"")</f>
        <v>39.4770886075949</v>
      </c>
      <c r="AG25" s="156" t="n">
        <f aca="false">IFERROR('Price History'!L3+(INDEX('Price History'!L:L,MATCH(9.99E+307,'Returns (Calc)'!$A:$A)+1)-'Price History'!L3)*(ROW()-3)/(MATCH(9.99E+307,'Returns (Calc)'!$A:$A)-3),"")</f>
        <v>139.640253164557</v>
      </c>
      <c r="AH25" s="156" t="n">
        <f aca="false">IFERROR('Price History'!M3+(INDEX('Price History'!M:M,MATCH(9.99E+307,'Returns (Calc)'!$A:$A)+1)-'Price History'!M3)*(ROW()-3)/(MATCH(9.99E+307,'Returns (Calc)'!$A:$A)-3),"")</f>
        <v>67.839746835443</v>
      </c>
      <c r="AI25" s="156" t="n">
        <f aca="false">IFERROR('Price History'!N3+(INDEX('Price History'!N:N,MATCH(9.99E+307,'Returns (Calc)'!$A:$A)+1)-'Price History'!N3)*(ROW()-3)/(MATCH(9.99E+307,'Returns (Calc)'!$A:$A)-3),"")</f>
        <v>370.597848101266</v>
      </c>
      <c r="AJ25" s="156" t="n">
        <f aca="false">IFERROR('Price History'!O3+(INDEX('Price History'!O:O,MATCH(9.99E+307,'Returns (Calc)'!$A:$A)+1)-'Price History'!O3)*(ROW()-3)/(MATCH(9.99E+307,'Returns (Calc)'!$A:$A)-3),"")</f>
        <v>81.536835443038</v>
      </c>
      <c r="AK25" s="156" t="n">
        <f aca="false">IFERROR('Price History'!Q3+(INDEX('Price History'!Q:Q,MATCH(9.99E+307,'Returns (Calc)'!$A:$A)+1)-'Price History'!Q3)*(ROW()-3)/(MATCH(9.99E+307,'Returns (Calc)'!$A:$A)-3),"")</f>
        <v>9.66607594936709</v>
      </c>
      <c r="AL25" s="156" t="n">
        <f aca="false">IFERROR('Price History'!R3+(INDEX('Price History'!R:R,MATCH(9.99E+307,'Returns (Calc)'!$A:$A)+1)-'Price History'!R3)*(ROW()-3)/(MATCH(9.99E+307,'Returns (Calc)'!$A:$A)-3),"")</f>
        <v>38.1782278481013</v>
      </c>
      <c r="AM25" s="156" t="n">
        <f aca="false">IFERROR('Price History'!S3+(INDEX('Price History'!S:S,MATCH(9.99E+307,'Returns (Calc)'!$A:$A)+1)-'Price History'!S3)*(ROW()-3)/(MATCH(9.99E+307,'Returns (Calc)'!$A:$A)-3),"")</f>
        <v>70.9413924050633</v>
      </c>
      <c r="AN25" s="156" t="n">
        <f aca="false">IFERROR('Price History'!T3+(INDEX('Price History'!T:T,MATCH(9.99E+307,'Returns (Calc)'!$A:$A)+1)-'Price History'!T3)*(ROW()-3)/(MATCH(9.99E+307,'Returns (Calc)'!$A:$A)-3),"")</f>
        <v>28.9410126582278</v>
      </c>
      <c r="AO25" s="157" t="n">
        <f aca="false">IFERROR('Price History'!V3+(INDEX('Price History'!V:V,MATCH(9.99E+307,'Returns (Calc)'!$A:$A)+1)-'Price History'!V3)*(ROW()-3)/(MATCH(9.99E+307,'Returns (Calc)'!$A:$A)-3),"")</f>
        <v>253.039240506329</v>
      </c>
      <c r="AP25" s="155" t="n">
        <f aca="false">IFERROR(IF(OR(NOT(ISNUMBER('Price History'!W26)),NOT(ISNUMBER('Price History'!W25)),'Price History'!W25=0),"",'Price History'!W26/'Price History'!W25-1),"")</f>
        <v>0.0142399094681251</v>
      </c>
      <c r="AQ25" s="155" t="str">
        <f aca="false">IFERROR(IF(OR(NOT(ISNUMBER('Price History'!X26)),NOT(ISNUMBER('Price History'!X25)),'Price History'!X25=0),"",'Price History'!X26/'Price History'!X25-1),"")</f>
        <v/>
      </c>
      <c r="AR25" s="155" t="n">
        <f aca="false">IFERROR(IF(OR(NOT(ISNUMBER('Price History'!Y26)),NOT(ISNUMBER('Price History'!Y25)),'Price History'!Y25=0),"",'Price History'!Y26/'Price History'!Y25-1),"")</f>
        <v>0.0116330114135206</v>
      </c>
      <c r="AS25" s="155" t="n">
        <f aca="false">IFERROR(IF(OR(NOT(ISNUMBER('Price History'!Z26)),NOT(ISNUMBER('Price History'!Z25)),'Price History'!Z25=0),"",'Price History'!Z26/'Price History'!Z25-1),"")</f>
        <v>0.027969642704869</v>
      </c>
      <c r="AT25" s="155" t="n">
        <f aca="false">IFERROR(IF(OR(NOT(ISNUMBER('Price History'!AA26)),NOT(ISNUMBER('Price History'!AA25)),'Price History'!AA25=0),"",'Price History'!AA26/'Price History'!AA25-1),"")</f>
        <v>-0.00068493150684934</v>
      </c>
      <c r="AU25" s="155" t="n">
        <f aca="false">IFERROR(IF(OR(NOT(ISNUMBER('Price History'!AB26)),NOT(ISNUMBER('Price History'!AB25)),'Price History'!AB25=0),"",'Price History'!AB26/'Price History'!AB25-1),"")</f>
        <v>0.0104399361750627</v>
      </c>
    </row>
    <row r="26" customFormat="false" ht="15" hidden="false" customHeight="true" outlineLevel="0" collapsed="false">
      <c r="A26" s="153" t="n">
        <f aca="false">IF('Price History'!A27="","",'Price History'!A27)</f>
        <v>45352</v>
      </c>
      <c r="B26" s="154" t="n">
        <f aca="false">IFERROR(IF(OR(NOT(ISNUMBER('Price History'!B27)),NOT(ISNUMBER('Price History'!B26)),'Price History'!B26=0),"",'Price History'!B27/'Price History'!B26-1),"")</f>
        <v>0.0316023417172591</v>
      </c>
      <c r="C26" s="154" t="n">
        <f aca="false">IFERROR(IF(OR(NOT(ISNUMBER('Price History'!C27)),NOT(ISNUMBER('Price History'!C26)),'Price History'!C26=0),"",'Price History'!C27/'Price History'!C26-1),"")</f>
        <v>0.0748655110579797</v>
      </c>
      <c r="D26" s="154" t="n">
        <f aca="false">IFERROR(IF(OR(NOT(ISNUMBER('Price History'!D27)),NOT(ISNUMBER('Price History'!D26)),'Price History'!D26=0),"",'Price History'!D27/'Price History'!D26-1),"")</f>
        <v>0.0618088748400363</v>
      </c>
      <c r="E26" s="154" t="n">
        <f aca="false">IFERROR(IF(OR(NOT(ISNUMBER('Price History'!E27)),NOT(ISNUMBER('Price History'!E26)),'Price History'!E26=0),"",'Price History'!E27/'Price History'!E26-1),"")</f>
        <v>0.0793210121361148</v>
      </c>
      <c r="F26" s="154" t="n">
        <f aca="false">IFERROR(IF(OR(NOT(ISNUMBER('Price History'!F27)),NOT(ISNUMBER('Price History'!F26)),'Price History'!F26=0),"",'Price History'!F27/'Price History'!F26-1),"")</f>
        <v>0.010016694490818</v>
      </c>
      <c r="G26" s="154" t="n">
        <f aca="false">IFERROR(IF(OR(NOT(ISNUMBER('Price History'!G27)),NOT(ISNUMBER('Price History'!G26)),'Price History'!G26=0),"",'Price History'!G27/'Price History'!G26-1),"")</f>
        <v>0.0729849154350146</v>
      </c>
      <c r="H26" s="154" t="n">
        <f aca="false">IFERROR(IF(OR(NOT(ISNUMBER('Price History'!H27)),NOT(ISNUMBER('Price History'!H26)),'Price History'!H26=0),"",'Price History'!H27/'Price History'!H26-1),"")</f>
        <v>0.106318133864729</v>
      </c>
      <c r="I26" s="154" t="n">
        <f aca="false">IFERROR(IF(OR(NOT(ISNUMBER('Price History'!I27)),NOT(ISNUMBER('Price History'!I26)),'Price History'!I26=0),"",'Price History'!I27/'Price History'!I26-1),"")</f>
        <v>0.0438987148492176</v>
      </c>
      <c r="J26" s="154" t="n">
        <f aca="false">IFERROR(IF(OR(NOT(ISNUMBER('Price History'!J27)),NOT(ISNUMBER('Price History'!J26)),'Price History'!J26=0),"",'Price History'!J27/'Price History'!J26-1),"")</f>
        <v>0.0104337824515282</v>
      </c>
      <c r="K26" s="154" t="n">
        <f aca="false">IFERROR(IF(OR(NOT(ISNUMBER('Price History'!K27)),NOT(ISNUMBER('Price History'!K26)),'Price History'!K26=0),"",'Price History'!K27/'Price History'!K26-1),"")</f>
        <v>0.0853286895951242</v>
      </c>
      <c r="L26" s="154" t="n">
        <f aca="false">IFERROR(IF(OR(NOT(ISNUMBER('Price History'!L27)),NOT(ISNUMBER('Price History'!L26)),'Price History'!L26=0),"",'Price History'!L27/'Price History'!L26-1),"")</f>
        <v>0.0337492002559179</v>
      </c>
      <c r="M26" s="154" t="n">
        <f aca="false">IFERROR(IF(OR(NOT(ISNUMBER('Price History'!M27)),NOT(ISNUMBER('Price History'!M26)),'Price History'!M26=0),"",'Price History'!M27/'Price History'!M26-1),"")</f>
        <v>0.125620099215874</v>
      </c>
      <c r="N26" s="154" t="n">
        <f aca="false">IFERROR(IF(OR(NOT(ISNUMBER('Price History'!N27)),NOT(ISNUMBER('Price History'!N26)),'Price History'!N26=0),"",'Price History'!N27/'Price History'!N26-1),"")</f>
        <v>0.00616121457301611</v>
      </c>
      <c r="O26" s="154" t="n">
        <f aca="false">IFERROR(IF(OR(NOT(ISNUMBER('Price History'!O27)),NOT(ISNUMBER('Price History'!O26)),'Price History'!O26=0),"",'Price History'!O27/'Price History'!O26-1),"")</f>
        <v>0.0157321977762006</v>
      </c>
      <c r="P26" s="154" t="n">
        <f aca="false">IFERROR(IF(OR(NOT(ISNUMBER('Price History'!P27)),NOT(ISNUMBER('Price History'!P26)),'Price History'!P26=0),"",'Price History'!P27/'Price History'!P26-1),"")</f>
        <v>0.000189447759780359</v>
      </c>
      <c r="Q26" s="154" t="n">
        <f aca="false">IFERROR(IF(OR(NOT(ISNUMBER('Price History'!Q27)),NOT(ISNUMBER('Price History'!Q26)),'Price History'!Q26=0),"",'Price History'!Q27/'Price History'!Q26-1),"")</f>
        <v>0.00629629629629647</v>
      </c>
      <c r="R26" s="154" t="n">
        <f aca="false">IFERROR(IF(OR(NOT(ISNUMBER('Price History'!R27)),NOT(ISNUMBER('Price History'!R26)),'Price History'!R26=0),"",'Price History'!R27/'Price History'!R26-1),"")</f>
        <v>0.0126646403242148</v>
      </c>
      <c r="S26" s="154" t="n">
        <f aca="false">IFERROR(IF(OR(NOT(ISNUMBER('Price History'!S27)),NOT(ISNUMBER('Price History'!S26)),'Price History'!S26=0),"",'Price History'!S27/'Price History'!S26-1),"")</f>
        <v>0.0280958721704394</v>
      </c>
      <c r="T26" s="154" t="n">
        <f aca="false">IFERROR(IF(OR(NOT(ISNUMBER('Price History'!T27)),NOT(ISNUMBER('Price History'!T26)),'Price History'!T26=0),"",'Price History'!T27/'Price History'!T26-1),"")</f>
        <v>0.0217620217620218</v>
      </c>
      <c r="U26" s="154" t="n">
        <f aca="false">IFERROR(IF(OR(NOT(ISNUMBER('Price History'!U27)),NOT(ISNUMBER('Price History'!U26)),'Price History'!U26=0),"",'Price History'!U27/'Price History'!U26-1),"")</f>
        <v>0.00340280731603571</v>
      </c>
      <c r="V26" s="155" t="n">
        <f aca="false">IFERROR(IF(OR(NOT(ISNUMBER('Price History'!V27)),NOT(ISNUMBER('Price History'!V26)),'Price History'!V26=0),"",'Price History'!V27/'Price History'!V26-1),"")</f>
        <v>-0.00154503970392728</v>
      </c>
      <c r="W26" s="156" t="n">
        <f aca="false">IFERROR('Price History'!B3+(INDEX('Price History'!B:B,MATCH(9.99E+307,'Returns (Calc)'!$A:$A)+1)-'Price History'!B3)*(ROW()-3)/(MATCH(9.99E+307,'Returns (Calc)'!$A:$A)-3),"")</f>
        <v>486.500126582279</v>
      </c>
      <c r="X26" s="156" t="n">
        <f aca="false">IFERROR('Price History'!C3+(INDEX('Price History'!C:C,MATCH(9.99E+307,'Returns (Calc)'!$A:$A)+1)-'Price History'!C3)*(ROW()-3)/(MATCH(9.99E+307,'Returns (Calc)'!$A:$A)-3),"")</f>
        <v>69.6414556962025</v>
      </c>
      <c r="Y26" s="156" t="n">
        <f aca="false">IFERROR('Price History'!D3+(INDEX('Price History'!D:D,MATCH(9.99E+307,'Returns (Calc)'!$A:$A)+1)-'Price History'!D3)*(ROW()-3)/(MATCH(9.99E+307,'Returns (Calc)'!$A:$A)-3),"")</f>
        <v>769.110632911392</v>
      </c>
      <c r="Z26" s="156" t="n">
        <f aca="false">IFERROR('Price History'!E3+(INDEX('Price History'!E:E,MATCH(9.99E+307,'Returns (Calc)'!$A:$A)+1)-'Price History'!E3)*(ROW()-3)/(MATCH(9.99E+307,'Returns (Calc)'!$A:$A)-3),"")</f>
        <v>121.760886075949</v>
      </c>
      <c r="AA26" s="156" t="n">
        <f aca="false">IFERROR('Price History'!F3+(INDEX('Price History'!F:F,MATCH(9.99E+307,'Returns (Calc)'!$A:$A)+1)-'Price History'!F3)*(ROW()-3)/(MATCH(9.99E+307,'Returns (Calc)'!$A:$A)-3),"")</f>
        <v>74.6488607594937</v>
      </c>
      <c r="AB26" s="156" t="n">
        <f aca="false">IFERROR('Price History'!G3+(INDEX('Price History'!G:G,MATCH(9.99E+307,'Returns (Calc)'!$A:$A)+1)-'Price History'!G3)*(ROW()-3)/(MATCH(9.99E+307,'Returns (Calc)'!$A:$A)-3),"")</f>
        <v>68.0108860759494</v>
      </c>
      <c r="AC26" s="156" t="n">
        <f aca="false">IFERROR('Price History'!H3+(INDEX('Price History'!H:H,MATCH(9.99E+307,'Returns (Calc)'!$A:$A)+1)-'Price History'!H3)*(ROW()-3)/(MATCH(9.99E+307,'Returns (Calc)'!$A:$A)-3),"")</f>
        <v>215.521012658228</v>
      </c>
      <c r="AD26" s="156" t="n">
        <f aca="false">IFERROR('Price History'!I3+(INDEX('Price History'!I:I,MATCH(9.99E+307,'Returns (Calc)'!$A:$A)+1)-'Price History'!I3)*(ROW()-3)/(MATCH(9.99E+307,'Returns (Calc)'!$A:$A)-3),"")</f>
        <v>71.4544303797468</v>
      </c>
      <c r="AE26" s="156" t="n">
        <f aca="false">IFERROR('Price History'!J3+(INDEX('Price History'!J:J,MATCH(9.99E+307,'Returns (Calc)'!$A:$A)+1)-'Price History'!J3)*(ROW()-3)/(MATCH(9.99E+307,'Returns (Calc)'!$A:$A)-3),"")</f>
        <v>114.324873417722</v>
      </c>
      <c r="AF26" s="156" t="n">
        <f aca="false">IFERROR('Price History'!K3+(INDEX('Price History'!K:K,MATCH(9.99E+307,'Returns (Calc)'!$A:$A)+1)-'Price History'!K3)*(ROW()-3)/(MATCH(9.99E+307,'Returns (Calc)'!$A:$A)-3),"")</f>
        <v>40.5746835443038</v>
      </c>
      <c r="AG26" s="156" t="n">
        <f aca="false">IFERROR('Price History'!L3+(INDEX('Price History'!L:L,MATCH(9.99E+307,'Returns (Calc)'!$A:$A)+1)-'Price History'!L3)*(ROW()-3)/(MATCH(9.99E+307,'Returns (Calc)'!$A:$A)-3),"")</f>
        <v>142.089810126582</v>
      </c>
      <c r="AH26" s="156" t="n">
        <f aca="false">IFERROR('Price History'!M3+(INDEX('Price History'!M:M,MATCH(9.99E+307,'Returns (Calc)'!$A:$A)+1)-'Price History'!M3)*(ROW()-3)/(MATCH(9.99E+307,'Returns (Calc)'!$A:$A)-3),"")</f>
        <v>69.1951898734177</v>
      </c>
      <c r="AI26" s="156" t="n">
        <f aca="false">IFERROR('Price History'!N3+(INDEX('Price History'!N:N,MATCH(9.99E+307,'Returns (Calc)'!$A:$A)+1)-'Price History'!N3)*(ROW()-3)/(MATCH(9.99E+307,'Returns (Calc)'!$A:$A)-3),"")</f>
        <v>371.584113924051</v>
      </c>
      <c r="AJ26" s="156" t="n">
        <f aca="false">IFERROR('Price History'!O3+(INDEX('Price History'!O:O,MATCH(9.99E+307,'Returns (Calc)'!$A:$A)+1)-'Price History'!O3)*(ROW()-3)/(MATCH(9.99E+307,'Returns (Calc)'!$A:$A)-3),"")</f>
        <v>81.8198734177215</v>
      </c>
      <c r="AK26" s="156" t="n">
        <f aca="false">IFERROR('Price History'!Q3+(INDEX('Price History'!Q:Q,MATCH(9.99E+307,'Returns (Calc)'!$A:$A)+1)-'Price History'!Q3)*(ROW()-3)/(MATCH(9.99E+307,'Returns (Calc)'!$A:$A)-3),"")</f>
        <v>10.1054430379747</v>
      </c>
      <c r="AL26" s="156" t="n">
        <f aca="false">IFERROR('Price History'!R3+(INDEX('Price History'!R:R,MATCH(9.99E+307,'Returns (Calc)'!$A:$A)+1)-'Price History'!R3)*(ROW()-3)/(MATCH(9.99E+307,'Returns (Calc)'!$A:$A)-3),"")</f>
        <v>38.3463291139241</v>
      </c>
      <c r="AM26" s="156" t="n">
        <f aca="false">IFERROR('Price History'!S3+(INDEX('Price History'!S:S,MATCH(9.99E+307,'Returns (Calc)'!$A:$A)+1)-'Price History'!S3)*(ROW()-3)/(MATCH(9.99E+307,'Returns (Calc)'!$A:$A)-3),"")</f>
        <v>71.5464556962025</v>
      </c>
      <c r="AN26" s="156" t="n">
        <f aca="false">IFERROR('Price History'!T3+(INDEX('Price History'!T:T,MATCH(9.99E+307,'Returns (Calc)'!$A:$A)+1)-'Price History'!T3)*(ROW()-3)/(MATCH(9.99E+307,'Returns (Calc)'!$A:$A)-3),"")</f>
        <v>29.1092405063291</v>
      </c>
      <c r="AO26" s="157" t="n">
        <f aca="false">IFERROR('Price History'!V3+(INDEX('Price History'!V:V,MATCH(9.99E+307,'Returns (Calc)'!$A:$A)+1)-'Price History'!V3)*(ROW()-3)/(MATCH(9.99E+307,'Returns (Calc)'!$A:$A)-3),"")</f>
        <v>253.830569620253</v>
      </c>
      <c r="AP26" s="155" t="n">
        <f aca="false">IFERROR(IF(OR(NOT(ISNUMBER('Price History'!W27)),NOT(ISNUMBER('Price History'!W26)),'Price History'!W26=0),"",'Price History'!W27/'Price History'!W26-1),"")</f>
        <v>0.00520688052068818</v>
      </c>
      <c r="AQ26" s="155" t="str">
        <f aca="false">IFERROR(IF(OR(NOT(ISNUMBER('Price History'!X27)),NOT(ISNUMBER('Price History'!X26)),'Price History'!X26=0),"",'Price History'!X27/'Price History'!X26-1),"")</f>
        <v/>
      </c>
      <c r="AR26" s="155" t="n">
        <f aca="false">IFERROR(IF(OR(NOT(ISNUMBER('Price History'!Y27)),NOT(ISNUMBER('Price History'!Y26)),'Price History'!Y26=0),"",'Price History'!Y27/'Price History'!Y26-1),"")</f>
        <v>0.00412236927750054</v>
      </c>
      <c r="AS26" s="155" t="n">
        <f aca="false">IFERROR(IF(OR(NOT(ISNUMBER('Price History'!Z27)),NOT(ISNUMBER('Price History'!Z26)),'Price History'!Z26=0),"",'Price History'!Z27/'Price History'!Z26-1),"")</f>
        <v>0.0347573620904189</v>
      </c>
      <c r="AT26" s="155" t="n">
        <f aca="false">IFERROR(IF(OR(NOT(ISNUMBER('Price History'!AA27)),NOT(ISNUMBER('Price History'!AA26)),'Price History'!AA26=0),"",'Price History'!AA27/'Price History'!AA26-1),"")</f>
        <v>0.0611720356408498</v>
      </c>
      <c r="AU26" s="155" t="n">
        <f aca="false">IFERROR(IF(OR(NOT(ISNUMBER('Price History'!AB27)),NOT(ISNUMBER('Price History'!AB26)),'Price History'!AB26=0),"",'Price History'!AB27/'Price History'!AB26-1),"")</f>
        <v>0.00166937375924925</v>
      </c>
    </row>
    <row r="27" customFormat="false" ht="15" hidden="false" customHeight="true" outlineLevel="0" collapsed="false">
      <c r="A27" s="153" t="n">
        <f aca="false">IF('Price History'!A28="","",'Price History'!A28)</f>
        <v>45359</v>
      </c>
      <c r="B27" s="154" t="n">
        <f aca="false">IFERROR(IF(OR(NOT(ISNUMBER('Price History'!B28)),NOT(ISNUMBER('Price History'!B27)),'Price History'!B27=0),"",'Price History'!B28/'Price History'!B27-1),"")</f>
        <v>-0.0336994027288807</v>
      </c>
      <c r="C27" s="154" t="n">
        <f aca="false">IFERROR(IF(OR(NOT(ISNUMBER('Price History'!C28)),NOT(ISNUMBER('Price History'!C27)),'Price History'!C27=0),"",'Price History'!C28/'Price History'!C27-1),"")</f>
        <v>-0.0507437786737106</v>
      </c>
      <c r="D27" s="154" t="n">
        <f aca="false">IFERROR(IF(OR(NOT(ISNUMBER('Price History'!D28)),NOT(ISNUMBER('Price History'!D27)),'Price History'!D27=0),"",'Price History'!D28/'Price History'!D27-1),"")</f>
        <v>0.00343023136034937</v>
      </c>
      <c r="E27" s="154" t="n">
        <f aca="false">IFERROR(IF(OR(NOT(ISNUMBER('Price History'!E28)),NOT(ISNUMBER('Price History'!E27)),'Price History'!E27=0),"",'Price History'!E28/'Price History'!E27-1),"")</f>
        <v>-0.0646725949878739</v>
      </c>
      <c r="F27" s="154" t="n">
        <f aca="false">IFERROR(IF(OR(NOT(ISNUMBER('Price History'!F28)),NOT(ISNUMBER('Price History'!F27)),'Price History'!F27=0),"",'Price History'!F28/'Price History'!F27-1),"")</f>
        <v>0.0261919898283534</v>
      </c>
      <c r="G27" s="154" t="n">
        <f aca="false">IFERROR(IF(OR(NOT(ISNUMBER('Price History'!G28)),NOT(ISNUMBER('Price History'!G27)),'Price History'!G27=0),"",'Price History'!G28/'Price History'!G27-1),"")</f>
        <v>-0.0255609201931269</v>
      </c>
      <c r="H27" s="154" t="n">
        <f aca="false">IFERROR(IF(OR(NOT(ISNUMBER('Price History'!H28)),NOT(ISNUMBER('Price History'!H27)),'Price History'!H27=0),"",'Price History'!H28/'Price History'!H27-1),"")</f>
        <v>0.0259588895952532</v>
      </c>
      <c r="I27" s="154" t="n">
        <f aca="false">IFERROR(IF(OR(NOT(ISNUMBER('Price History'!I28)),NOT(ISNUMBER('Price History'!I27)),'Price History'!I27=0),"",'Price History'!I28/'Price History'!I27-1),"")</f>
        <v>0.0638712823013163</v>
      </c>
      <c r="J27" s="154" t="n">
        <f aca="false">IFERROR(IF(OR(NOT(ISNUMBER('Price History'!J28)),NOT(ISNUMBER('Price History'!J27)),'Price History'!J27=0),"",'Price History'!J28/'Price History'!J27-1),"")</f>
        <v>0.00349621920481336</v>
      </c>
      <c r="K27" s="154" t="n">
        <f aca="false">IFERROR(IF(OR(NOT(ISNUMBER('Price History'!K28)),NOT(ISNUMBER('Price History'!K27)),'Price History'!K27=0),"",'Price History'!K28/'Price History'!K27-1),"")</f>
        <v>0.0445246690734056</v>
      </c>
      <c r="L27" s="154" t="n">
        <f aca="false">IFERROR(IF(OR(NOT(ISNUMBER('Price History'!L28)),NOT(ISNUMBER('Price History'!L27)),'Price History'!L27=0),"",'Price History'!L28/'Price History'!L27-1),"")</f>
        <v>0.0931455980194957</v>
      </c>
      <c r="M27" s="154" t="n">
        <f aca="false">IFERROR(IF(OR(NOT(ISNUMBER('Price History'!M28)),NOT(ISNUMBER('Price History'!M27)),'Price History'!M27=0),"",'Price History'!M28/'Price History'!M27-1),"")</f>
        <v>-0.0170599943133353</v>
      </c>
      <c r="N27" s="154" t="n">
        <f aca="false">IFERROR(IF(OR(NOT(ISNUMBER('Price History'!N28)),NOT(ISNUMBER('Price History'!N27)),'Price History'!N27=0),"",'Price History'!N28/'Price History'!N27-1),"")</f>
        <v>-0.0442970699694981</v>
      </c>
      <c r="O27" s="154" t="n">
        <f aca="false">IFERROR(IF(OR(NOT(ISNUMBER('Price History'!O28)),NOT(ISNUMBER('Price History'!O27)),'Price History'!O27=0),"",'Price History'!O28/'Price History'!O27-1),"")</f>
        <v>0.00116455106556423</v>
      </c>
      <c r="P27" s="154" t="n">
        <f aca="false">IFERROR(IF(OR(NOT(ISNUMBER('Price History'!P28)),NOT(ISNUMBER('Price History'!P27)),'Price History'!P27=0),"",'Price History'!P28/'Price History'!P27-1),"")</f>
        <v>0.0267070745335731</v>
      </c>
      <c r="Q27" s="154" t="n">
        <f aca="false">IFERROR(IF(OR(NOT(ISNUMBER('Price History'!Q28)),NOT(ISNUMBER('Price History'!Q27)),'Price History'!Q27=0),"",'Price History'!Q28/'Price History'!Q27-1),"")</f>
        <v>0.0005520794994478</v>
      </c>
      <c r="R27" s="154" t="n">
        <f aca="false">IFERROR(IF(OR(NOT(ISNUMBER('Price History'!R28)),NOT(ISNUMBER('Price History'!R27)),'Price History'!R27=0),"",'Price History'!R28/'Price History'!R27-1),"")</f>
        <v>-0.00150075037518749</v>
      </c>
      <c r="S27" s="154" t="n">
        <f aca="false">IFERROR(IF(OR(NOT(ISNUMBER('Price History'!S28)),NOT(ISNUMBER('Price History'!S27)),'Price History'!S27=0),"",'Price History'!S28/'Price History'!S27-1),"")</f>
        <v>0.00388550705867141</v>
      </c>
      <c r="T27" s="154" t="n">
        <f aca="false">IFERROR(IF(OR(NOT(ISNUMBER('Price History'!T28)),NOT(ISNUMBER('Price History'!T27)),'Price History'!T27=0),"",'Price History'!T28/'Price History'!T27-1),"")</f>
        <v>0.0199244245963588</v>
      </c>
      <c r="U27" s="154" t="n">
        <f aca="false">IFERROR(IF(OR(NOT(ISNUMBER('Price History'!U28)),NOT(ISNUMBER('Price History'!U27)),'Price History'!U27=0),"",'Price History'!U28/'Price History'!U27-1),"")</f>
        <v>0.00339126748622309</v>
      </c>
      <c r="V27" s="155" t="n">
        <f aca="false">IFERROR(IF(OR(NOT(ISNUMBER('Price History'!V28)),NOT(ISNUMBER('Price History'!V27)),'Price History'!V27=0),"",'Price History'!V28/'Price History'!V27-1),"")</f>
        <v>-0.0110119476032819</v>
      </c>
      <c r="W27" s="156" t="n">
        <f aca="false">IFERROR('Price History'!B3+(INDEX('Price History'!B:B,MATCH(9.99E+307,'Returns (Calc)'!$A:$A)+1)-'Price History'!B3)*(ROW()-3)/(MATCH(9.99E+307,'Returns (Calc)'!$A:$A)-3),"")</f>
        <v>484.657088607595</v>
      </c>
      <c r="X27" s="156" t="n">
        <f aca="false">IFERROR('Price History'!C3+(INDEX('Price History'!C:C,MATCH(9.99E+307,'Returns (Calc)'!$A:$A)+1)-'Price History'!C3)*(ROW()-3)/(MATCH(9.99E+307,'Returns (Calc)'!$A:$A)-3),"")</f>
        <v>70.6615189873418</v>
      </c>
      <c r="Y27" s="156" t="n">
        <f aca="false">IFERROR('Price History'!D3+(INDEX('Price History'!D:D,MATCH(9.99E+307,'Returns (Calc)'!$A:$A)+1)-'Price History'!D3)*(ROW()-3)/(MATCH(9.99E+307,'Returns (Calc)'!$A:$A)-3),"")</f>
        <v>777.245443037975</v>
      </c>
      <c r="Z27" s="156" t="n">
        <f aca="false">IFERROR('Price History'!E3+(INDEX('Price History'!E:E,MATCH(9.99E+307,'Returns (Calc)'!$A:$A)+1)-'Price History'!E3)*(ROW()-3)/(MATCH(9.99E+307,'Returns (Calc)'!$A:$A)-3),"")</f>
        <v>123.489620253165</v>
      </c>
      <c r="AA27" s="156" t="n">
        <f aca="false">IFERROR('Price History'!F3+(INDEX('Price History'!F:F,MATCH(9.99E+307,'Returns (Calc)'!$A:$A)+1)-'Price History'!F3)*(ROW()-3)/(MATCH(9.99E+307,'Returns (Calc)'!$A:$A)-3),"")</f>
        <v>76.0962025316456</v>
      </c>
      <c r="AB27" s="156" t="n">
        <f aca="false">IFERROR('Price History'!G3+(INDEX('Price History'!G:G,MATCH(9.99E+307,'Returns (Calc)'!$A:$A)+1)-'Price History'!G3)*(ROW()-3)/(MATCH(9.99E+307,'Returns (Calc)'!$A:$A)-3),"")</f>
        <v>69.0396202531646</v>
      </c>
      <c r="AC27" s="156" t="n">
        <f aca="false">IFERROR('Price History'!H3+(INDEX('Price History'!H:H,MATCH(9.99E+307,'Returns (Calc)'!$A:$A)+1)-'Price History'!H3)*(ROW()-3)/(MATCH(9.99E+307,'Returns (Calc)'!$A:$A)-3),"")</f>
        <v>221.886708860759</v>
      </c>
      <c r="AD27" s="156" t="n">
        <f aca="false">IFERROR('Price History'!I3+(INDEX('Price History'!I:I,MATCH(9.99E+307,'Returns (Calc)'!$A:$A)+1)-'Price History'!I3)*(ROW()-3)/(MATCH(9.99E+307,'Returns (Calc)'!$A:$A)-3),"")</f>
        <v>72.6581012658228</v>
      </c>
      <c r="AE27" s="156" t="n">
        <f aca="false">IFERROR('Price History'!J3+(INDEX('Price History'!J:J,MATCH(9.99E+307,'Returns (Calc)'!$A:$A)+1)-'Price History'!J3)*(ROW()-3)/(MATCH(9.99E+307,'Returns (Calc)'!$A:$A)-3),"")</f>
        <v>114.432911392405</v>
      </c>
      <c r="AF27" s="156" t="n">
        <f aca="false">IFERROR('Price History'!K3+(INDEX('Price History'!K:K,MATCH(9.99E+307,'Returns (Calc)'!$A:$A)+1)-'Price History'!K3)*(ROW()-3)/(MATCH(9.99E+307,'Returns (Calc)'!$A:$A)-3),"")</f>
        <v>41.6722784810127</v>
      </c>
      <c r="AG27" s="156" t="n">
        <f aca="false">IFERROR('Price History'!L3+(INDEX('Price History'!L:L,MATCH(9.99E+307,'Returns (Calc)'!$A:$A)+1)-'Price History'!L3)*(ROW()-3)/(MATCH(9.99E+307,'Returns (Calc)'!$A:$A)-3),"")</f>
        <v>144.539367088608</v>
      </c>
      <c r="AH27" s="156" t="n">
        <f aca="false">IFERROR('Price History'!M3+(INDEX('Price History'!M:M,MATCH(9.99E+307,'Returns (Calc)'!$A:$A)+1)-'Price History'!M3)*(ROW()-3)/(MATCH(9.99E+307,'Returns (Calc)'!$A:$A)-3),"")</f>
        <v>70.5506329113924</v>
      </c>
      <c r="AI27" s="156" t="n">
        <f aca="false">IFERROR('Price History'!N3+(INDEX('Price History'!N:N,MATCH(9.99E+307,'Returns (Calc)'!$A:$A)+1)-'Price History'!N3)*(ROW()-3)/(MATCH(9.99E+307,'Returns (Calc)'!$A:$A)-3),"")</f>
        <v>372.570379746835</v>
      </c>
      <c r="AJ27" s="156" t="n">
        <f aca="false">IFERROR('Price History'!O3+(INDEX('Price History'!O:O,MATCH(9.99E+307,'Returns (Calc)'!$A:$A)+1)-'Price History'!O3)*(ROW()-3)/(MATCH(9.99E+307,'Returns (Calc)'!$A:$A)-3),"")</f>
        <v>82.1029113924051</v>
      </c>
      <c r="AK27" s="156" t="n">
        <f aca="false">IFERROR('Price History'!Q3+(INDEX('Price History'!Q:Q,MATCH(9.99E+307,'Returns (Calc)'!$A:$A)+1)-'Price History'!Q3)*(ROW()-3)/(MATCH(9.99E+307,'Returns (Calc)'!$A:$A)-3),"")</f>
        <v>10.5448101265823</v>
      </c>
      <c r="AL27" s="156" t="n">
        <f aca="false">IFERROR('Price History'!R3+(INDEX('Price History'!R:R,MATCH(9.99E+307,'Returns (Calc)'!$A:$A)+1)-'Price History'!R3)*(ROW()-3)/(MATCH(9.99E+307,'Returns (Calc)'!$A:$A)-3),"")</f>
        <v>38.5144303797468</v>
      </c>
      <c r="AM27" s="156" t="n">
        <f aca="false">IFERROR('Price History'!S3+(INDEX('Price History'!S:S,MATCH(9.99E+307,'Returns (Calc)'!$A:$A)+1)-'Price History'!S3)*(ROW()-3)/(MATCH(9.99E+307,'Returns (Calc)'!$A:$A)-3),"")</f>
        <v>72.1515189873418</v>
      </c>
      <c r="AN27" s="156" t="n">
        <f aca="false">IFERROR('Price History'!T3+(INDEX('Price History'!T:T,MATCH(9.99E+307,'Returns (Calc)'!$A:$A)+1)-'Price History'!T3)*(ROW()-3)/(MATCH(9.99E+307,'Returns (Calc)'!$A:$A)-3),"")</f>
        <v>29.2774683544304</v>
      </c>
      <c r="AO27" s="157" t="n">
        <f aca="false">IFERROR('Price History'!V3+(INDEX('Price History'!V:V,MATCH(9.99E+307,'Returns (Calc)'!$A:$A)+1)-'Price History'!V3)*(ROW()-3)/(MATCH(9.99E+307,'Returns (Calc)'!$A:$A)-3),"")</f>
        <v>254.621898734177</v>
      </c>
      <c r="AP27" s="155" t="n">
        <f aca="false">IFERROR(IF(OR(NOT(ISNUMBER('Price History'!W28)),NOT(ISNUMBER('Price History'!W27)),'Price History'!W27=0),"",'Price History'!W28/'Price History'!W27-1),"")</f>
        <v>0.0100823235593377</v>
      </c>
      <c r="AQ27" s="155" t="str">
        <f aca="false">IFERROR(IF(OR(NOT(ISNUMBER('Price History'!X28)),NOT(ISNUMBER('Price History'!X27)),'Price History'!X27=0),"",'Price History'!X28/'Price History'!X27-1),"")</f>
        <v/>
      </c>
      <c r="AR27" s="155" t="n">
        <f aca="false">IFERROR(IF(OR(NOT(ISNUMBER('Price History'!Y28)),NOT(ISNUMBER('Price History'!Y27)),'Price History'!Y27=0),"",'Price History'!Y28/'Price History'!Y27-1),"")</f>
        <v>0.00496974935177175</v>
      </c>
      <c r="AS27" s="155" t="n">
        <f aca="false">IFERROR(IF(OR(NOT(ISNUMBER('Price History'!Z28)),NOT(ISNUMBER('Price History'!Z27)),'Price History'!Z27=0),"",'Price History'!Z28/'Price History'!Z27-1),"")</f>
        <v>0.0586820586820587</v>
      </c>
      <c r="AT27" s="155" t="n">
        <f aca="false">IFERROR(IF(OR(NOT(ISNUMBER('Price History'!AA28)),NOT(ISNUMBER('Price History'!AA27)),'Price History'!AA27=0),"",'Price History'!AA28/'Price History'!AA27-1),"")</f>
        <v>-0.0234135314064267</v>
      </c>
      <c r="AU27" s="155" t="n">
        <f aca="false">IFERROR(IF(OR(NOT(ISNUMBER('Price History'!AB28)),NOT(ISNUMBER('Price History'!AB27)),'Price History'!AB27=0),"",'Price History'!AB28/'Price History'!AB27-1),"")</f>
        <v>0.0260348632944463</v>
      </c>
    </row>
    <row r="28" customFormat="false" ht="15" hidden="false" customHeight="true" outlineLevel="0" collapsed="false">
      <c r="A28" s="153" t="n">
        <f aca="false">IF('Price History'!A29="","",'Price History'!A29)</f>
        <v>45366</v>
      </c>
      <c r="B28" s="154" t="n">
        <f aca="false">IFERROR(IF(OR(NOT(ISNUMBER('Price History'!B29)),NOT(ISNUMBER('Price History'!B28)),'Price History'!B28=0),"",'Price History'!B29/'Price History'!B28-1),"")</f>
        <v>-0.107361017962987</v>
      </c>
      <c r="C28" s="154" t="n">
        <f aca="false">IFERROR(IF(OR(NOT(ISNUMBER('Price History'!C29)),NOT(ISNUMBER('Price History'!C28)),'Price History'!C28=0),"",'Price History'!C29/'Price History'!C28-1),"")</f>
        <v>0.0168424135910956</v>
      </c>
      <c r="D28" s="154" t="n">
        <f aca="false">IFERROR(IF(OR(NOT(ISNUMBER('Price History'!D29)),NOT(ISNUMBER('Price History'!D28)),'Price History'!D28=0),"",'Price History'!D29/'Price History'!D28-1),"")</f>
        <v>-0.054429171243494</v>
      </c>
      <c r="E28" s="154" t="n">
        <f aca="false">IFERROR(IF(OR(NOT(ISNUMBER('Price History'!E29)),NOT(ISNUMBER('Price History'!E28)),'Price History'!E28=0),"",'Price History'!E29/'Price History'!E28-1),"")</f>
        <v>-0.0559440559440558</v>
      </c>
      <c r="F28" s="154" t="n">
        <f aca="false">IFERROR(IF(OR(NOT(ISNUMBER('Price History'!F29)),NOT(ISNUMBER('Price History'!F28)),'Price History'!F28=0),"",'Price History'!F29/'Price History'!F28-1),"")</f>
        <v>-0.0223020691364143</v>
      </c>
      <c r="G28" s="154" t="n">
        <f aca="false">IFERROR(IF(OR(NOT(ISNUMBER('Price History'!G29)),NOT(ISNUMBER('Price History'!G28)),'Price History'!G28=0),"",'Price History'!G29/'Price History'!G28-1),"")</f>
        <v>-0.0220052462838823</v>
      </c>
      <c r="H28" s="154" t="n">
        <f aca="false">IFERROR(IF(OR(NOT(ISNUMBER('Price History'!H29)),NOT(ISNUMBER('Price History'!H28)),'Price History'!H28=0),"",'Price History'!H29/'Price History'!H28-1),"")</f>
        <v>-0.044717546215016</v>
      </c>
      <c r="I28" s="154" t="n">
        <f aca="false">IFERROR(IF(OR(NOT(ISNUMBER('Price History'!I29)),NOT(ISNUMBER('Price History'!I28)),'Price History'!I28=0),"",'Price History'!I29/'Price History'!I28-1),"")</f>
        <v>0.00355178735105421</v>
      </c>
      <c r="J28" s="154" t="n">
        <f aca="false">IFERROR(IF(OR(NOT(ISNUMBER('Price History'!J29)),NOT(ISNUMBER('Price History'!J28)),'Price History'!J28=0),"",'Price History'!J29/'Price History'!J28-1),"")</f>
        <v>-0.037757251660995</v>
      </c>
      <c r="K28" s="154" t="n">
        <f aca="false">IFERROR(IF(OR(NOT(ISNUMBER('Price History'!K29)),NOT(ISNUMBER('Price History'!K28)),'Price History'!K28=0),"",'Price History'!K29/'Price History'!K28-1),"")</f>
        <v>-0.097926267281106</v>
      </c>
      <c r="L28" s="154" t="n">
        <f aca="false">IFERROR(IF(OR(NOT(ISNUMBER('Price History'!L29)),NOT(ISNUMBER('Price History'!L28)),'Price History'!L28=0),"",'Price History'!L29/'Price History'!L28-1),"")</f>
        <v>-0.0641896673743809</v>
      </c>
      <c r="M28" s="154" t="n">
        <f aca="false">IFERROR(IF(OR(NOT(ISNUMBER('Price History'!M29)),NOT(ISNUMBER('Price History'!M28)),'Price History'!M28=0),"",'Price History'!M29/'Price History'!M28-1),"")</f>
        <v>0.068990454150998</v>
      </c>
      <c r="N28" s="154" t="n">
        <f aca="false">IFERROR(IF(OR(NOT(ISNUMBER('Price History'!N29)),NOT(ISNUMBER('Price History'!N28)),'Price History'!N28=0),"",'Price History'!N29/'Price History'!N28-1),"")</f>
        <v>-0.014265335235378</v>
      </c>
      <c r="O28" s="154" t="n">
        <f aca="false">IFERROR(IF(OR(NOT(ISNUMBER('Price History'!O29)),NOT(ISNUMBER('Price History'!O28)),'Price History'!O28=0),"",'Price History'!O29/'Price History'!O28-1),"")</f>
        <v>-0.00849133418634407</v>
      </c>
      <c r="P28" s="154" t="n">
        <f aca="false">IFERROR(IF(OR(NOT(ISNUMBER('Price History'!P29)),NOT(ISNUMBER('Price History'!P28)),'Price History'!P28=0),"",'Price History'!P29/'Price History'!P28-1),"")</f>
        <v>-0.0032284844571534</v>
      </c>
      <c r="Q28" s="154" t="n">
        <f aca="false">IFERROR(IF(OR(NOT(ISNUMBER('Price History'!Q29)),NOT(ISNUMBER('Price History'!Q28)),'Price History'!Q28=0),"",'Price History'!Q29/'Price History'!Q28-1),"")</f>
        <v>0.000183924958617077</v>
      </c>
      <c r="R28" s="154" t="n">
        <f aca="false">IFERROR(IF(OR(NOT(ISNUMBER('Price History'!R29)),NOT(ISNUMBER('Price History'!R28)),'Price History'!R28=0),"",'Price History'!R29/'Price History'!R28-1),"")</f>
        <v>-0.00526052104208419</v>
      </c>
      <c r="S28" s="154" t="n">
        <f aca="false">IFERROR(IF(OR(NOT(ISNUMBER('Price History'!S29)),NOT(ISNUMBER('Price History'!S28)),'Price History'!S28=0),"",'Price History'!S29/'Price History'!S28-1),"")</f>
        <v>-0.00516062443555676</v>
      </c>
      <c r="T28" s="154" t="n">
        <f aca="false">IFERROR(IF(OR(NOT(ISNUMBER('Price History'!T29)),NOT(ISNUMBER('Price History'!T28)),'Price History'!T28=0),"",'Price History'!T29/'Price History'!T28-1),"")</f>
        <v>0.0154934321320308</v>
      </c>
      <c r="U28" s="154" t="n">
        <f aca="false">IFERROR(IF(OR(NOT(ISNUMBER('Price History'!U29)),NOT(ISNUMBER('Price History'!U28)),'Price History'!U28=0),"",'Price History'!U29/'Price History'!U28-1),"")</f>
        <v>0.00168990283058723</v>
      </c>
      <c r="V28" s="155" t="n">
        <f aca="false">IFERROR(IF(OR(NOT(ISNUMBER('Price History'!V29)),NOT(ISNUMBER('Price History'!V28)),'Price History'!V28=0),"",'Price History'!V29/'Price History'!V28-1),"")</f>
        <v>0.0106979113601631</v>
      </c>
      <c r="W28" s="156" t="n">
        <f aca="false">IFERROR('Price History'!B3+(INDEX('Price History'!B:B,MATCH(9.99E+307,'Returns (Calc)'!$A:$A)+1)-'Price History'!B3)*(ROW()-3)/(MATCH(9.99E+307,'Returns (Calc)'!$A:$A)-3),"")</f>
        <v>482.814050632911</v>
      </c>
      <c r="X28" s="156" t="n">
        <f aca="false">IFERROR('Price History'!C3+(INDEX('Price History'!C:C,MATCH(9.99E+307,'Returns (Calc)'!$A:$A)+1)-'Price History'!C3)*(ROW()-3)/(MATCH(9.99E+307,'Returns (Calc)'!$A:$A)-3),"")</f>
        <v>71.681582278481</v>
      </c>
      <c r="Y28" s="156" t="n">
        <f aca="false">IFERROR('Price History'!D3+(INDEX('Price History'!D:D,MATCH(9.99E+307,'Returns (Calc)'!$A:$A)+1)-'Price History'!D3)*(ROW()-3)/(MATCH(9.99E+307,'Returns (Calc)'!$A:$A)-3),"")</f>
        <v>785.380253164557</v>
      </c>
      <c r="Z28" s="156" t="n">
        <f aca="false">IFERROR('Price History'!E3+(INDEX('Price History'!E:E,MATCH(9.99E+307,'Returns (Calc)'!$A:$A)+1)-'Price History'!E3)*(ROW()-3)/(MATCH(9.99E+307,'Returns (Calc)'!$A:$A)-3),"")</f>
        <v>125.21835443038</v>
      </c>
      <c r="AA28" s="156" t="n">
        <f aca="false">IFERROR('Price History'!F3+(INDEX('Price History'!F:F,MATCH(9.99E+307,'Returns (Calc)'!$A:$A)+1)-'Price History'!F3)*(ROW()-3)/(MATCH(9.99E+307,'Returns (Calc)'!$A:$A)-3),"")</f>
        <v>77.5435443037975</v>
      </c>
      <c r="AB28" s="156" t="n">
        <f aca="false">IFERROR('Price History'!G3+(INDEX('Price History'!G:G,MATCH(9.99E+307,'Returns (Calc)'!$A:$A)+1)-'Price History'!G3)*(ROW()-3)/(MATCH(9.99E+307,'Returns (Calc)'!$A:$A)-3),"")</f>
        <v>70.0683544303797</v>
      </c>
      <c r="AC28" s="156" t="n">
        <f aca="false">IFERROR('Price History'!H3+(INDEX('Price History'!H:H,MATCH(9.99E+307,'Returns (Calc)'!$A:$A)+1)-'Price History'!H3)*(ROW()-3)/(MATCH(9.99E+307,'Returns (Calc)'!$A:$A)-3),"")</f>
        <v>228.252405063291</v>
      </c>
      <c r="AD28" s="156" t="n">
        <f aca="false">IFERROR('Price History'!I3+(INDEX('Price History'!I:I,MATCH(9.99E+307,'Returns (Calc)'!$A:$A)+1)-'Price History'!I3)*(ROW()-3)/(MATCH(9.99E+307,'Returns (Calc)'!$A:$A)-3),"")</f>
        <v>73.8617721518987</v>
      </c>
      <c r="AE28" s="156" t="n">
        <f aca="false">IFERROR('Price History'!J3+(INDEX('Price History'!J:J,MATCH(9.99E+307,'Returns (Calc)'!$A:$A)+1)-'Price History'!J3)*(ROW()-3)/(MATCH(9.99E+307,'Returns (Calc)'!$A:$A)-3),"")</f>
        <v>114.540949367089</v>
      </c>
      <c r="AF28" s="156" t="n">
        <f aca="false">IFERROR('Price History'!K3+(INDEX('Price History'!K:K,MATCH(9.99E+307,'Returns (Calc)'!$A:$A)+1)-'Price History'!K3)*(ROW()-3)/(MATCH(9.99E+307,'Returns (Calc)'!$A:$A)-3),"")</f>
        <v>42.7698734177215</v>
      </c>
      <c r="AG28" s="156" t="n">
        <f aca="false">IFERROR('Price History'!L3+(INDEX('Price History'!L:L,MATCH(9.99E+307,'Returns (Calc)'!$A:$A)+1)-'Price History'!L3)*(ROW()-3)/(MATCH(9.99E+307,'Returns (Calc)'!$A:$A)-3),"")</f>
        <v>146.988924050633</v>
      </c>
      <c r="AH28" s="156" t="n">
        <f aca="false">IFERROR('Price History'!M3+(INDEX('Price History'!M:M,MATCH(9.99E+307,'Returns (Calc)'!$A:$A)+1)-'Price History'!M3)*(ROW()-3)/(MATCH(9.99E+307,'Returns (Calc)'!$A:$A)-3),"")</f>
        <v>71.9060759493671</v>
      </c>
      <c r="AI28" s="156" t="n">
        <f aca="false">IFERROR('Price History'!N3+(INDEX('Price History'!N:N,MATCH(9.99E+307,'Returns (Calc)'!$A:$A)+1)-'Price History'!N3)*(ROW()-3)/(MATCH(9.99E+307,'Returns (Calc)'!$A:$A)-3),"")</f>
        <v>373.55664556962</v>
      </c>
      <c r="AJ28" s="156" t="n">
        <f aca="false">IFERROR('Price History'!O3+(INDEX('Price History'!O:O,MATCH(9.99E+307,'Returns (Calc)'!$A:$A)+1)-'Price History'!O3)*(ROW()-3)/(MATCH(9.99E+307,'Returns (Calc)'!$A:$A)-3),"")</f>
        <v>82.3859493670886</v>
      </c>
      <c r="AK28" s="156" t="n">
        <f aca="false">IFERROR('Price History'!Q3+(INDEX('Price History'!Q:Q,MATCH(9.99E+307,'Returns (Calc)'!$A:$A)+1)-'Price History'!Q3)*(ROW()-3)/(MATCH(9.99E+307,'Returns (Calc)'!$A:$A)-3),"")</f>
        <v>10.9841772151899</v>
      </c>
      <c r="AL28" s="156" t="n">
        <f aca="false">IFERROR('Price History'!R3+(INDEX('Price History'!R:R,MATCH(9.99E+307,'Returns (Calc)'!$A:$A)+1)-'Price History'!R3)*(ROW()-3)/(MATCH(9.99E+307,'Returns (Calc)'!$A:$A)-3),"")</f>
        <v>38.6825316455696</v>
      </c>
      <c r="AM28" s="156" t="n">
        <f aca="false">IFERROR('Price History'!S3+(INDEX('Price History'!S:S,MATCH(9.99E+307,'Returns (Calc)'!$A:$A)+1)-'Price History'!S3)*(ROW()-3)/(MATCH(9.99E+307,'Returns (Calc)'!$A:$A)-3),"")</f>
        <v>72.756582278481</v>
      </c>
      <c r="AN28" s="156" t="n">
        <f aca="false">IFERROR('Price History'!T3+(INDEX('Price History'!T:T,MATCH(9.99E+307,'Returns (Calc)'!$A:$A)+1)-'Price History'!T3)*(ROW()-3)/(MATCH(9.99E+307,'Returns (Calc)'!$A:$A)-3),"")</f>
        <v>29.4456962025316</v>
      </c>
      <c r="AO28" s="157" t="n">
        <f aca="false">IFERROR('Price History'!V3+(INDEX('Price History'!V:V,MATCH(9.99E+307,'Returns (Calc)'!$A:$A)+1)-'Price History'!V3)*(ROW()-3)/(MATCH(9.99E+307,'Returns (Calc)'!$A:$A)-3),"")</f>
        <v>255.413227848101</v>
      </c>
      <c r="AP28" s="155" t="n">
        <f aca="false">IFERROR(IF(OR(NOT(ISNUMBER('Price History'!W29)),NOT(ISNUMBER('Price History'!W28)),'Price History'!W28=0),"",'Price History'!W29/'Price History'!W28-1),"")</f>
        <v>0.0021062271062271</v>
      </c>
      <c r="AQ28" s="155" t="str">
        <f aca="false">IFERROR(IF(OR(NOT(ISNUMBER('Price History'!X29)),NOT(ISNUMBER('Price History'!X28)),'Price History'!X28=0),"",'Price History'!X29/'Price History'!X28-1),"")</f>
        <v/>
      </c>
      <c r="AR28" s="155" t="n">
        <f aca="false">IFERROR(IF(OR(NOT(ISNUMBER('Price History'!Y29)),NOT(ISNUMBER('Price History'!Y28)),'Price History'!Y28=0),"",'Price History'!Y29/'Price History'!Y28-1),"")</f>
        <v>-0.00215007525263389</v>
      </c>
      <c r="AS28" s="155" t="n">
        <f aca="false">IFERROR(IF(OR(NOT(ISNUMBER('Price History'!Z29)),NOT(ISNUMBER('Price History'!Z28)),'Price History'!Z28=0),"",'Price History'!Z29/'Price History'!Z28-1),"")</f>
        <v>0.00552779039830376</v>
      </c>
      <c r="AT28" s="155" t="n">
        <f aca="false">IFERROR(IF(OR(NOT(ISNUMBER('Price History'!AA29)),NOT(ISNUMBER('Price History'!AA28)),'Price History'!AA28=0),"",'Price History'!AA29/'Price History'!AA28-1),"")</f>
        <v>0.00181878306878325</v>
      </c>
      <c r="AU28" s="155" t="n">
        <f aca="false">IFERROR(IF(OR(NOT(ISNUMBER('Price History'!AB29)),NOT(ISNUMBER('Price History'!AB28)),'Price History'!AB28=0),"",'Price History'!AB29/'Price History'!AB28-1),"")</f>
        <v>-0.00355590675622286</v>
      </c>
    </row>
    <row r="29" customFormat="false" ht="15" hidden="false" customHeight="true" outlineLevel="0" collapsed="false">
      <c r="A29" s="153" t="n">
        <f aca="false">IF('Price History'!A30="","",'Price History'!A30)</f>
        <v>45373</v>
      </c>
      <c r="B29" s="154" t="n">
        <f aca="false">IFERROR(IF(OR(NOT(ISNUMBER('Price History'!B30)),NOT(ISNUMBER('Price History'!B29)),'Price History'!B29=0),"",'Price History'!B30/'Price History'!B29-1),"")</f>
        <v>0.0143361897412988</v>
      </c>
      <c r="C29" s="154" t="n">
        <f aca="false">IFERROR(IF(OR(NOT(ISNUMBER('Price History'!C30)),NOT(ISNUMBER('Price History'!C29)),'Price History'!C29=0),"",'Price History'!C30/'Price History'!C29-1),"")</f>
        <v>0.103413510010082</v>
      </c>
      <c r="D29" s="154" t="n">
        <f aca="false">IFERROR(IF(OR(NOT(ISNUMBER('Price History'!D30)),NOT(ISNUMBER('Price History'!D29)),'Price History'!D29=0),"",'Price History'!D30/'Price History'!D29-1),"")</f>
        <v>0.042275999088037</v>
      </c>
      <c r="E29" s="154" t="n">
        <f aca="false">IFERROR(IF(OR(NOT(ISNUMBER('Price History'!E30)),NOT(ISNUMBER('Price History'!E29)),'Price History'!E29=0),"",'Price History'!E30/'Price History'!E29-1),"")</f>
        <v>0.100208073241781</v>
      </c>
      <c r="F29" s="154" t="n">
        <f aca="false">IFERROR(IF(OR(NOT(ISNUMBER('Price History'!F30)),NOT(ISNUMBER('Price History'!F29)),'Price History'!F29=0),"",'Price History'!F30/'Price History'!F29-1),"")</f>
        <v>0.037764541883158</v>
      </c>
      <c r="G29" s="154" t="n">
        <f aca="false">IFERROR(IF(OR(NOT(ISNUMBER('Price History'!G30)),NOT(ISNUMBER('Price History'!G29)),'Price History'!G29=0),"",'Price History'!G30/'Price History'!G29-1),"")</f>
        <v>0.0390403814632694</v>
      </c>
      <c r="H29" s="154" t="n">
        <f aca="false">IFERROR(IF(OR(NOT(ISNUMBER('Price History'!H30)),NOT(ISNUMBER('Price History'!H29)),'Price History'!H29=0),"",'Price History'!H30/'Price History'!H29-1),"")</f>
        <v>0.181837837837838</v>
      </c>
      <c r="I29" s="154" t="n">
        <f aca="false">IFERROR(IF(OR(NOT(ISNUMBER('Price History'!I30)),NOT(ISNUMBER('Price History'!I29)),'Price History'!I29=0),"",'Price History'!I30/'Price History'!I29-1),"")</f>
        <v>0.0734102066445941</v>
      </c>
      <c r="J29" s="154" t="n">
        <f aca="false">IFERROR(IF(OR(NOT(ISNUMBER('Price History'!J30)),NOT(ISNUMBER('Price History'!J29)),'Price History'!J29=0),"",'Price History'!J30/'Price History'!J29-1),"")</f>
        <v>-0.00303132367800607</v>
      </c>
      <c r="K29" s="154" t="n">
        <f aca="false">IFERROR(IF(OR(NOT(ISNUMBER('Price History'!K30)),NOT(ISNUMBER('Price History'!K29)),'Price History'!K29=0),"",'Price History'!K30/'Price History'!K29-1),"")</f>
        <v>0.029374201787995</v>
      </c>
      <c r="L29" s="154" t="n">
        <f aca="false">IFERROR(IF(OR(NOT(ISNUMBER('Price History'!L30)),NOT(ISNUMBER('Price History'!L29)),'Price History'!L29=0),"",'Price History'!L30/'Price History'!L29-1),"")</f>
        <v>0.0301746956061408</v>
      </c>
      <c r="M29" s="154" t="n">
        <f aca="false">IFERROR(IF(OR(NOT(ISNUMBER('Price History'!M30)),NOT(ISNUMBER('Price History'!M29)),'Price History'!M29=0),"",'Price History'!M30/'Price History'!M29-1),"")</f>
        <v>0.112839940468137</v>
      </c>
      <c r="N29" s="154" t="n">
        <f aca="false">IFERROR(IF(OR(NOT(ISNUMBER('Price History'!N30)),NOT(ISNUMBER('Price History'!N29)),'Price History'!N29=0),"",'Price History'!N30/'Price History'!N29-1),"")</f>
        <v>0.0195491672594375</v>
      </c>
      <c r="O29" s="154" t="n">
        <f aca="false">IFERROR(IF(OR(NOT(ISNUMBER('Price History'!O30)),NOT(ISNUMBER('Price History'!O29)),'Price History'!O29=0),"",'Price History'!O30/'Price History'!O29-1),"")</f>
        <v>0.0273345847020179</v>
      </c>
      <c r="P29" s="154" t="n">
        <f aca="false">IFERROR(IF(OR(NOT(ISNUMBER('Price History'!P30)),NOT(ISNUMBER('Price History'!P29)),'Price History'!P29=0),"",'Price History'!P30/'Price History'!P29-1),"")</f>
        <v>0.0161947066444568</v>
      </c>
      <c r="Q29" s="154" t="n">
        <f aca="false">IFERROR(IF(OR(NOT(ISNUMBER('Price History'!Q30)),NOT(ISNUMBER('Price History'!Q29)),'Price History'!Q29=0),"",'Price History'!Q30/'Price History'!Q29-1),"")</f>
        <v>0.0121368150055168</v>
      </c>
      <c r="R29" s="154" t="n">
        <f aca="false">IFERROR(IF(OR(NOT(ISNUMBER('Price History'!R30)),NOT(ISNUMBER('Price History'!R29)),'Price History'!R29=0),"",'Price History'!R30/'Price History'!R29-1),"")</f>
        <v>0.0256862251322083</v>
      </c>
      <c r="S29" s="154" t="n">
        <f aca="false">IFERROR(IF(OR(NOT(ISNUMBER('Price History'!S30)),NOT(ISNUMBER('Price History'!S29)),'Price History'!S29=0),"",'Price History'!S30/'Price History'!S29-1),"")</f>
        <v>0.0300868888600701</v>
      </c>
      <c r="T29" s="154" t="n">
        <f aca="false">IFERROR(IF(OR(NOT(ISNUMBER('Price History'!T30)),NOT(ISNUMBER('Price History'!T29)),'Price History'!T29=0),"",'Price History'!T30/'Price History'!T29-1),"")</f>
        <v>0.0242122719734661</v>
      </c>
      <c r="U29" s="154" t="n">
        <f aca="false">IFERROR(IF(OR(NOT(ISNUMBER('Price History'!U30)),NOT(ISNUMBER('Price History'!U29)),'Price History'!U29=0),"",'Price History'!U30/'Price History'!U29-1),"")</f>
        <v>0.0185575706452972</v>
      </c>
      <c r="V29" s="155" t="n">
        <f aca="false">IFERROR(IF(OR(NOT(ISNUMBER('Price History'!V30)),NOT(ISNUMBER('Price History'!V29)),'Price History'!V29=0),"",'Price History'!V30/'Price History'!V29-1),"")</f>
        <v>0.000792050691244439</v>
      </c>
      <c r="W29" s="156" t="n">
        <f aca="false">IFERROR('Price History'!B3+(INDEX('Price History'!B:B,MATCH(9.99E+307,'Returns (Calc)'!$A:$A)+1)-'Price History'!B3)*(ROW()-3)/(MATCH(9.99E+307,'Returns (Calc)'!$A:$A)-3),"")</f>
        <v>480.971012658228</v>
      </c>
      <c r="X29" s="156" t="n">
        <f aca="false">IFERROR('Price History'!C3+(INDEX('Price History'!C:C,MATCH(9.99E+307,'Returns (Calc)'!$A:$A)+1)-'Price History'!C3)*(ROW()-3)/(MATCH(9.99E+307,'Returns (Calc)'!$A:$A)-3),"")</f>
        <v>72.7016455696203</v>
      </c>
      <c r="Y29" s="156" t="n">
        <f aca="false">IFERROR('Price History'!D3+(INDEX('Price History'!D:D,MATCH(9.99E+307,'Returns (Calc)'!$A:$A)+1)-'Price History'!D3)*(ROW()-3)/(MATCH(9.99E+307,'Returns (Calc)'!$A:$A)-3),"")</f>
        <v>793.515063291139</v>
      </c>
      <c r="Z29" s="156" t="n">
        <f aca="false">IFERROR('Price History'!E3+(INDEX('Price History'!E:E,MATCH(9.99E+307,'Returns (Calc)'!$A:$A)+1)-'Price History'!E3)*(ROW()-3)/(MATCH(9.99E+307,'Returns (Calc)'!$A:$A)-3),"")</f>
        <v>126.947088607595</v>
      </c>
      <c r="AA29" s="156" t="n">
        <f aca="false">IFERROR('Price History'!F3+(INDEX('Price History'!F:F,MATCH(9.99E+307,'Returns (Calc)'!$A:$A)+1)-'Price History'!F3)*(ROW()-3)/(MATCH(9.99E+307,'Returns (Calc)'!$A:$A)-3),"")</f>
        <v>78.9908860759494</v>
      </c>
      <c r="AB29" s="156" t="n">
        <f aca="false">IFERROR('Price History'!G3+(INDEX('Price History'!G:G,MATCH(9.99E+307,'Returns (Calc)'!$A:$A)+1)-'Price History'!G3)*(ROW()-3)/(MATCH(9.99E+307,'Returns (Calc)'!$A:$A)-3),"")</f>
        <v>71.0970886075949</v>
      </c>
      <c r="AC29" s="156" t="n">
        <f aca="false">IFERROR('Price History'!H3+(INDEX('Price History'!H:H,MATCH(9.99E+307,'Returns (Calc)'!$A:$A)+1)-'Price History'!H3)*(ROW()-3)/(MATCH(9.99E+307,'Returns (Calc)'!$A:$A)-3),"")</f>
        <v>234.618101265823</v>
      </c>
      <c r="AD29" s="156" t="n">
        <f aca="false">IFERROR('Price History'!I3+(INDEX('Price History'!I:I,MATCH(9.99E+307,'Returns (Calc)'!$A:$A)+1)-'Price History'!I3)*(ROW()-3)/(MATCH(9.99E+307,'Returns (Calc)'!$A:$A)-3),"")</f>
        <v>75.0654430379747</v>
      </c>
      <c r="AE29" s="156" t="n">
        <f aca="false">IFERROR('Price History'!J3+(INDEX('Price History'!J:J,MATCH(9.99E+307,'Returns (Calc)'!$A:$A)+1)-'Price History'!J3)*(ROW()-3)/(MATCH(9.99E+307,'Returns (Calc)'!$A:$A)-3),"")</f>
        <v>114.648987341772</v>
      </c>
      <c r="AF29" s="156" t="n">
        <f aca="false">IFERROR('Price History'!K3+(INDEX('Price History'!K:K,MATCH(9.99E+307,'Returns (Calc)'!$A:$A)+1)-'Price History'!K3)*(ROW()-3)/(MATCH(9.99E+307,'Returns (Calc)'!$A:$A)-3),"")</f>
        <v>43.8674683544304</v>
      </c>
      <c r="AG29" s="156" t="n">
        <f aca="false">IFERROR('Price History'!L3+(INDEX('Price History'!L:L,MATCH(9.99E+307,'Returns (Calc)'!$A:$A)+1)-'Price History'!L3)*(ROW()-3)/(MATCH(9.99E+307,'Returns (Calc)'!$A:$A)-3),"")</f>
        <v>149.438481012658</v>
      </c>
      <c r="AH29" s="156" t="n">
        <f aca="false">IFERROR('Price History'!M3+(INDEX('Price History'!M:M,MATCH(9.99E+307,'Returns (Calc)'!$A:$A)+1)-'Price History'!M3)*(ROW()-3)/(MATCH(9.99E+307,'Returns (Calc)'!$A:$A)-3),"")</f>
        <v>73.2615189873418</v>
      </c>
      <c r="AI29" s="156" t="n">
        <f aca="false">IFERROR('Price History'!N3+(INDEX('Price History'!N:N,MATCH(9.99E+307,'Returns (Calc)'!$A:$A)+1)-'Price History'!N3)*(ROW()-3)/(MATCH(9.99E+307,'Returns (Calc)'!$A:$A)-3),"")</f>
        <v>374.542911392405</v>
      </c>
      <c r="AJ29" s="156" t="n">
        <f aca="false">IFERROR('Price History'!O3+(INDEX('Price History'!O:O,MATCH(9.99E+307,'Returns (Calc)'!$A:$A)+1)-'Price History'!O3)*(ROW()-3)/(MATCH(9.99E+307,'Returns (Calc)'!$A:$A)-3),"")</f>
        <v>82.6689873417722</v>
      </c>
      <c r="AK29" s="156" t="n">
        <f aca="false">IFERROR('Price History'!Q3+(INDEX('Price History'!Q:Q,MATCH(9.99E+307,'Returns (Calc)'!$A:$A)+1)-'Price History'!Q3)*(ROW()-3)/(MATCH(9.99E+307,'Returns (Calc)'!$A:$A)-3),"")</f>
        <v>11.4235443037975</v>
      </c>
      <c r="AL29" s="156" t="n">
        <f aca="false">IFERROR('Price History'!R3+(INDEX('Price History'!R:R,MATCH(9.99E+307,'Returns (Calc)'!$A:$A)+1)-'Price History'!R3)*(ROW()-3)/(MATCH(9.99E+307,'Returns (Calc)'!$A:$A)-3),"")</f>
        <v>38.8506329113924</v>
      </c>
      <c r="AM29" s="156" t="n">
        <f aca="false">IFERROR('Price History'!S3+(INDEX('Price History'!S:S,MATCH(9.99E+307,'Returns (Calc)'!$A:$A)+1)-'Price History'!S3)*(ROW()-3)/(MATCH(9.99E+307,'Returns (Calc)'!$A:$A)-3),"")</f>
        <v>73.3616455696203</v>
      </c>
      <c r="AN29" s="156" t="n">
        <f aca="false">IFERROR('Price History'!T3+(INDEX('Price History'!T:T,MATCH(9.99E+307,'Returns (Calc)'!$A:$A)+1)-'Price History'!T3)*(ROW()-3)/(MATCH(9.99E+307,'Returns (Calc)'!$A:$A)-3),"")</f>
        <v>29.6139240506329</v>
      </c>
      <c r="AO29" s="157" t="n">
        <f aca="false">IFERROR('Price History'!V3+(INDEX('Price History'!V:V,MATCH(9.99E+307,'Returns (Calc)'!$A:$A)+1)-'Price History'!V3)*(ROW()-3)/(MATCH(9.99E+307,'Returns (Calc)'!$A:$A)-3),"")</f>
        <v>256.204556962025</v>
      </c>
      <c r="AP29" s="155" t="n">
        <f aca="false">IFERROR(IF(OR(NOT(ISNUMBER('Price History'!W30)),NOT(ISNUMBER('Price History'!W29)),'Price History'!W29=0),"",'Price History'!W30/'Price History'!W29-1),"")</f>
        <v>0.018459289043224</v>
      </c>
      <c r="AQ29" s="155" t="str">
        <f aca="false">IFERROR(IF(OR(NOT(ISNUMBER('Price History'!X30)),NOT(ISNUMBER('Price History'!X29)),'Price History'!X29=0),"",'Price History'!X30/'Price History'!X29-1),"")</f>
        <v/>
      </c>
      <c r="AR29" s="155" t="n">
        <f aca="false">IFERROR(IF(OR(NOT(ISNUMBER('Price History'!Y30)),NOT(ISNUMBER('Price History'!Y29)),'Price History'!Y29=0),"",'Price History'!Y30/'Price History'!Y29-1),"")</f>
        <v>0.0086188321482441</v>
      </c>
      <c r="AS29" s="155" t="n">
        <f aca="false">IFERROR(IF(OR(NOT(ISNUMBER('Price History'!Z30)),NOT(ISNUMBER('Price History'!Z29)),'Price History'!Z29=0),"",'Price History'!Z30/'Price History'!Z29-1),"")</f>
        <v>0.0370509827547256</v>
      </c>
      <c r="AT29" s="155" t="n">
        <f aca="false">IFERROR(IF(OR(NOT(ISNUMBER('Price History'!AA30)),NOT(ISNUMBER('Price History'!AA29)),'Price History'!AA29=0),"",'Price History'!AA30/'Price History'!AA29-1),"")</f>
        <v>0.0364746657864332</v>
      </c>
      <c r="AU29" s="155" t="n">
        <f aca="false">IFERROR(IF(OR(NOT(ISNUMBER('Price History'!AB30)),NOT(ISNUMBER('Price History'!AB29)),'Price History'!AB29=0),"",'Price History'!AB30/'Price History'!AB29-1),"")</f>
        <v>0.0151555203101594</v>
      </c>
    </row>
    <row r="30" customFormat="false" ht="15" hidden="false" customHeight="true" outlineLevel="0" collapsed="false">
      <c r="A30" s="153" t="n">
        <f aca="false">IF('Price History'!A31="","",'Price History'!A31)</f>
        <v>45380</v>
      </c>
      <c r="B30" s="154" t="n">
        <f aca="false">IFERROR(IF(OR(NOT(ISNUMBER('Price History'!B31)),NOT(ISNUMBER('Price History'!B30)),'Price History'!B30=0),"",'Price History'!B31/'Price History'!B30-1),"")</f>
        <v>0.0101697629724535</v>
      </c>
      <c r="C30" s="154" t="n">
        <f aca="false">IFERROR(IF(OR(NOT(ISNUMBER('Price History'!C31)),NOT(ISNUMBER('Price History'!C30)),'Price History'!C30=0),"",'Price History'!C31/'Price History'!C30-1),"")</f>
        <v>-0.0536483487795327</v>
      </c>
      <c r="D30" s="154" t="n">
        <f aca="false">IFERROR(IF(OR(NOT(ISNUMBER('Price History'!D31)),NOT(ISNUMBER('Price History'!D30)),'Price History'!D30=0),"",'Price History'!D31/'Price History'!D30-1),"")</f>
        <v>-0.00968719727508516</v>
      </c>
      <c r="E30" s="154" t="n">
        <f aca="false">IFERROR(IF(OR(NOT(ISNUMBER('Price History'!E31)),NOT(ISNUMBER('Price History'!E30)),'Price History'!E30=0),"",'Price History'!E31/'Price History'!E30-1),"")</f>
        <v>-0.0207277403737046</v>
      </c>
      <c r="F30" s="154" t="n">
        <f aca="false">IFERROR(IF(OR(NOT(ISNUMBER('Price History'!F31)),NOT(ISNUMBER('Price History'!F30)),'Price History'!F30=0),"",'Price History'!F31/'Price History'!F30-1),"")</f>
        <v>-0.0212480156307241</v>
      </c>
      <c r="G30" s="154" t="n">
        <f aca="false">IFERROR(IF(OR(NOT(ISNUMBER('Price History'!G31)),NOT(ISNUMBER('Price History'!G30)),'Price History'!G30=0),"",'Price History'!G31/'Price History'!G30-1),"")</f>
        <v>-0.0169224150293992</v>
      </c>
      <c r="H30" s="154" t="n">
        <f aca="false">IFERROR(IF(OR(NOT(ISNUMBER('Price History'!H31)),NOT(ISNUMBER('Price History'!H30)),'Price History'!H30=0),"",'Price History'!H31/'Price History'!H30-1),"")</f>
        <v>0.0707098426637396</v>
      </c>
      <c r="I30" s="154" t="n">
        <f aca="false">IFERROR(IF(OR(NOT(ISNUMBER('Price History'!I31)),NOT(ISNUMBER('Price History'!I30)),'Price History'!I30=0),"",'Price History'!I31/'Price History'!I30-1),"")</f>
        <v>-0.0416932567538821</v>
      </c>
      <c r="J30" s="154" t="n">
        <f aca="false">IFERROR(IF(OR(NOT(ISNUMBER('Price History'!J31)),NOT(ISNUMBER('Price History'!J30)),'Price History'!J30=0),"",'Price History'!J31/'Price History'!J30-1),"")</f>
        <v>0.0124155405405406</v>
      </c>
      <c r="K30" s="154" t="n">
        <f aca="false">IFERROR(IF(OR(NOT(ISNUMBER('Price History'!K31)),NOT(ISNUMBER('Price History'!K30)),'Price History'!K30=0),"",'Price History'!K31/'Price History'!K30-1),"")</f>
        <v>-0.0483870967741935</v>
      </c>
      <c r="L30" s="154" t="n">
        <f aca="false">IFERROR(IF(OR(NOT(ISNUMBER('Price History'!L31)),NOT(ISNUMBER('Price History'!L30)),'Price History'!L30=0),"",'Price History'!L31/'Price History'!L30-1),"")</f>
        <v>-0.0319336367640581</v>
      </c>
      <c r="M30" s="154" t="n">
        <f aca="false">IFERROR(IF(OR(NOT(ISNUMBER('Price History'!M31)),NOT(ISNUMBER('Price History'!M30)),'Price History'!M30=0),"",'Price History'!M31/'Price History'!M30-1),"")</f>
        <v>-0.00996960486322185</v>
      </c>
      <c r="N30" s="154" t="n">
        <f aca="false">IFERROR(IF(OR(NOT(ISNUMBER('Price History'!N31)),NOT(ISNUMBER('Price History'!N30)),'Price History'!N30=0),"",'Price History'!N31/'Price History'!N30-1),"")</f>
        <v>0.00565365924072547</v>
      </c>
      <c r="O30" s="154" t="n">
        <f aca="false">IFERROR(IF(OR(NOT(ISNUMBER('Price History'!O31)),NOT(ISNUMBER('Price History'!O30)),'Price History'!O30=0),"",'Price History'!O31/'Price History'!O30-1),"")</f>
        <v>0.0286627840584677</v>
      </c>
      <c r="P30" s="154" t="n">
        <f aca="false">IFERROR(IF(OR(NOT(ISNUMBER('Price History'!P31)),NOT(ISNUMBER('Price History'!P30)),'Price History'!P30=0),"",'Price History'!P31/'Price History'!P30-1),"")</f>
        <v>0.0252253893088061</v>
      </c>
      <c r="Q30" s="154" t="n">
        <f aca="false">IFERROR(IF(OR(NOT(ISNUMBER('Price History'!Q31)),NOT(ISNUMBER('Price History'!Q30)),'Price History'!Q30=0),"",'Price History'!Q31/'Price History'!Q30-1),"")</f>
        <v>0.000726744186046568</v>
      </c>
      <c r="R30" s="154" t="n">
        <f aca="false">IFERROR(IF(OR(NOT(ISNUMBER('Price History'!R31)),NOT(ISNUMBER('Price History'!R30)),'Price History'!R30=0),"",'Price History'!R31/'Price History'!R30-1),"")</f>
        <v>-0.000491038546525768</v>
      </c>
      <c r="S30" s="154" t="n">
        <f aca="false">IFERROR(IF(OR(NOT(ISNUMBER('Price History'!S31)),NOT(ISNUMBER('Price History'!S30)),'Price History'!S30=0),"",'Price History'!S31/'Price History'!S30-1),"")</f>
        <v>-0.00755382097444302</v>
      </c>
      <c r="T30" s="154" t="n">
        <f aca="false">IFERROR(IF(OR(NOT(ISNUMBER('Price History'!T31)),NOT(ISNUMBER('Price History'!T30)),'Price History'!T30=0),"",'Price History'!T31/'Price History'!T30-1),"")</f>
        <v>0.0155440414507773</v>
      </c>
      <c r="U30" s="154" t="n">
        <f aca="false">IFERROR(IF(OR(NOT(ISNUMBER('Price History'!U31)),NOT(ISNUMBER('Price History'!U30)),'Price History'!U30=0),"",'Price History'!U31/'Price History'!U30-1),"")</f>
        <v>0.0157349896480332</v>
      </c>
      <c r="V30" s="155" t="n">
        <f aca="false">IFERROR(IF(OR(NOT(ISNUMBER('Price History'!V31)),NOT(ISNUMBER('Price History'!V30)),'Price History'!V30=0),"",'Price History'!V31/'Price History'!V30-1),"")</f>
        <v>-0.0147492625368733</v>
      </c>
      <c r="W30" s="156" t="n">
        <f aca="false">IFERROR('Price History'!B3+(INDEX('Price History'!B:B,MATCH(9.99E+307,'Returns (Calc)'!$A:$A)+1)-'Price History'!B3)*(ROW()-3)/(MATCH(9.99E+307,'Returns (Calc)'!$A:$A)-3),"")</f>
        <v>479.127974683544</v>
      </c>
      <c r="X30" s="156" t="n">
        <f aca="false">IFERROR('Price History'!C3+(INDEX('Price History'!C:C,MATCH(9.99E+307,'Returns (Calc)'!$A:$A)+1)-'Price History'!C3)*(ROW()-3)/(MATCH(9.99E+307,'Returns (Calc)'!$A:$A)-3),"")</f>
        <v>73.7217088607595</v>
      </c>
      <c r="Y30" s="156" t="n">
        <f aca="false">IFERROR('Price History'!D3+(INDEX('Price History'!D:D,MATCH(9.99E+307,'Returns (Calc)'!$A:$A)+1)-'Price History'!D3)*(ROW()-3)/(MATCH(9.99E+307,'Returns (Calc)'!$A:$A)-3),"")</f>
        <v>801.649873417721</v>
      </c>
      <c r="Z30" s="156" t="n">
        <f aca="false">IFERROR('Price History'!E3+(INDEX('Price History'!E:E,MATCH(9.99E+307,'Returns (Calc)'!$A:$A)+1)-'Price History'!E3)*(ROW()-3)/(MATCH(9.99E+307,'Returns (Calc)'!$A:$A)-3),"")</f>
        <v>128.67582278481</v>
      </c>
      <c r="AA30" s="156" t="n">
        <f aca="false">IFERROR('Price History'!F3+(INDEX('Price History'!F:F,MATCH(9.99E+307,'Returns (Calc)'!$A:$A)+1)-'Price History'!F3)*(ROW()-3)/(MATCH(9.99E+307,'Returns (Calc)'!$A:$A)-3),"")</f>
        <v>80.4382278481013</v>
      </c>
      <c r="AB30" s="156" t="n">
        <f aca="false">IFERROR('Price History'!G3+(INDEX('Price History'!G:G,MATCH(9.99E+307,'Returns (Calc)'!$A:$A)+1)-'Price History'!G3)*(ROW()-3)/(MATCH(9.99E+307,'Returns (Calc)'!$A:$A)-3),"")</f>
        <v>72.1258227848101</v>
      </c>
      <c r="AC30" s="156" t="n">
        <f aca="false">IFERROR('Price History'!H3+(INDEX('Price History'!H:H,MATCH(9.99E+307,'Returns (Calc)'!$A:$A)+1)-'Price History'!H3)*(ROW()-3)/(MATCH(9.99E+307,'Returns (Calc)'!$A:$A)-3),"")</f>
        <v>240.983797468354</v>
      </c>
      <c r="AD30" s="156" t="n">
        <f aca="false">IFERROR('Price History'!I3+(INDEX('Price History'!I:I,MATCH(9.99E+307,'Returns (Calc)'!$A:$A)+1)-'Price History'!I3)*(ROW()-3)/(MATCH(9.99E+307,'Returns (Calc)'!$A:$A)-3),"")</f>
        <v>76.2691139240506</v>
      </c>
      <c r="AE30" s="156" t="n">
        <f aca="false">IFERROR('Price History'!J3+(INDEX('Price History'!J:J,MATCH(9.99E+307,'Returns (Calc)'!$A:$A)+1)-'Price History'!J3)*(ROW()-3)/(MATCH(9.99E+307,'Returns (Calc)'!$A:$A)-3),"")</f>
        <v>114.757025316456</v>
      </c>
      <c r="AF30" s="156" t="n">
        <f aca="false">IFERROR('Price History'!K3+(INDEX('Price History'!K:K,MATCH(9.99E+307,'Returns (Calc)'!$A:$A)+1)-'Price History'!K3)*(ROW()-3)/(MATCH(9.99E+307,'Returns (Calc)'!$A:$A)-3),"")</f>
        <v>44.9650632911392</v>
      </c>
      <c r="AG30" s="156" t="n">
        <f aca="false">IFERROR('Price History'!L3+(INDEX('Price History'!L:L,MATCH(9.99E+307,'Returns (Calc)'!$A:$A)+1)-'Price History'!L3)*(ROW()-3)/(MATCH(9.99E+307,'Returns (Calc)'!$A:$A)-3),"")</f>
        <v>151.888037974684</v>
      </c>
      <c r="AH30" s="156" t="n">
        <f aca="false">IFERROR('Price History'!M3+(INDEX('Price History'!M:M,MATCH(9.99E+307,'Returns (Calc)'!$A:$A)+1)-'Price History'!M3)*(ROW()-3)/(MATCH(9.99E+307,'Returns (Calc)'!$A:$A)-3),"")</f>
        <v>74.6169620253165</v>
      </c>
      <c r="AI30" s="156" t="n">
        <f aca="false">IFERROR('Price History'!N3+(INDEX('Price History'!N:N,MATCH(9.99E+307,'Returns (Calc)'!$A:$A)+1)-'Price History'!N3)*(ROW()-3)/(MATCH(9.99E+307,'Returns (Calc)'!$A:$A)-3),"")</f>
        <v>375.52917721519</v>
      </c>
      <c r="AJ30" s="156" t="n">
        <f aca="false">IFERROR('Price History'!O3+(INDEX('Price History'!O:O,MATCH(9.99E+307,'Returns (Calc)'!$A:$A)+1)-'Price History'!O3)*(ROW()-3)/(MATCH(9.99E+307,'Returns (Calc)'!$A:$A)-3),"")</f>
        <v>82.9520253164557</v>
      </c>
      <c r="AK30" s="156" t="n">
        <f aca="false">IFERROR('Price History'!Q3+(INDEX('Price History'!Q:Q,MATCH(9.99E+307,'Returns (Calc)'!$A:$A)+1)-'Price History'!Q3)*(ROW()-3)/(MATCH(9.99E+307,'Returns (Calc)'!$A:$A)-3),"")</f>
        <v>11.8629113924051</v>
      </c>
      <c r="AL30" s="156" t="n">
        <f aca="false">IFERROR('Price History'!R3+(INDEX('Price History'!R:R,MATCH(9.99E+307,'Returns (Calc)'!$A:$A)+1)-'Price History'!R3)*(ROW()-3)/(MATCH(9.99E+307,'Returns (Calc)'!$A:$A)-3),"")</f>
        <v>39.0187341772152</v>
      </c>
      <c r="AM30" s="156" t="n">
        <f aca="false">IFERROR('Price History'!S3+(INDEX('Price History'!S:S,MATCH(9.99E+307,'Returns (Calc)'!$A:$A)+1)-'Price History'!S3)*(ROW()-3)/(MATCH(9.99E+307,'Returns (Calc)'!$A:$A)-3),"")</f>
        <v>73.9667088607595</v>
      </c>
      <c r="AN30" s="156" t="n">
        <f aca="false">IFERROR('Price History'!T3+(INDEX('Price History'!T:T,MATCH(9.99E+307,'Returns (Calc)'!$A:$A)+1)-'Price History'!T3)*(ROW()-3)/(MATCH(9.99E+307,'Returns (Calc)'!$A:$A)-3),"")</f>
        <v>29.7821518987342</v>
      </c>
      <c r="AO30" s="157" t="n">
        <f aca="false">IFERROR('Price History'!V3+(INDEX('Price History'!V:V,MATCH(9.99E+307,'Returns (Calc)'!$A:$A)+1)-'Price History'!V3)*(ROW()-3)/(MATCH(9.99E+307,'Returns (Calc)'!$A:$A)-3),"")</f>
        <v>256.995886075949</v>
      </c>
      <c r="AP30" s="155" t="n">
        <f aca="false">IFERROR(IF(OR(NOT(ISNUMBER('Price History'!W31)),NOT(ISNUMBER('Price History'!W30)),'Price History'!W30=0),"",'Price History'!W31/'Price History'!W30-1),"")</f>
        <v>0.0160610139075819</v>
      </c>
      <c r="AQ30" s="155" t="str">
        <f aca="false">IFERROR(IF(OR(NOT(ISNUMBER('Price History'!X31)),NOT(ISNUMBER('Price History'!X30)),'Price History'!X30=0),"",'Price History'!X31/'Price History'!X30-1),"")</f>
        <v/>
      </c>
      <c r="AR30" s="155" t="n">
        <f aca="false">IFERROR(IF(OR(NOT(ISNUMBER('Price History'!Y31)),NOT(ISNUMBER('Price History'!Y30)),'Price History'!Y30=0),"",'Price History'!Y31/'Price History'!Y30-1),"")</f>
        <v>0.0068361461226234</v>
      </c>
      <c r="AS30" s="155" t="n">
        <f aca="false">IFERROR(IF(OR(NOT(ISNUMBER('Price History'!Z31)),NOT(ISNUMBER('Price History'!Z30)),'Price History'!Z30=0),"",'Price History'!Z31/'Price History'!Z30-1),"")</f>
        <v>0.0021784910318785</v>
      </c>
      <c r="AT30" s="155" t="n">
        <f aca="false">IFERROR(IF(OR(NOT(ISNUMBER('Price History'!AA31)),NOT(ISNUMBER('Price History'!AA30)),'Price History'!AA30=0),"",'Price History'!AA31/'Price History'!AA30-1),"")</f>
        <v>-0.0329617834394904</v>
      </c>
      <c r="AU30" s="155" t="n">
        <f aca="false">IFERROR(IF(OR(NOT(ISNUMBER('Price History'!AB31)),NOT(ISNUMBER('Price History'!AB30)),'Price History'!AB30=0),"",'Price History'!AB31/'Price History'!AB30-1),"")</f>
        <v>0.00551167433382527</v>
      </c>
    </row>
    <row r="31" customFormat="false" ht="15" hidden="false" customHeight="true" outlineLevel="0" collapsed="false">
      <c r="A31" s="153" t="n">
        <f aca="false">IF('Price History'!A32="","",'Price History'!A32)</f>
        <v>45387</v>
      </c>
      <c r="B31" s="154" t="n">
        <f aca="false">IFERROR(IF(OR(NOT(ISNUMBER('Price History'!B32)),NOT(ISNUMBER('Price History'!B31)),'Price History'!B31=0),"",'Price History'!B32/'Price History'!B31-1),"")</f>
        <v>-0.0386048355132779</v>
      </c>
      <c r="C31" s="154" t="n">
        <f aca="false">IFERROR(IF(OR(NOT(ISNUMBER('Price History'!C32)),NOT(ISNUMBER('Price History'!C31)),'Price History'!C31=0),"",'Price History'!C32/'Price History'!C31-1),"")</f>
        <v>0.0262068965517241</v>
      </c>
      <c r="D31" s="154" t="n">
        <f aca="false">IFERROR(IF(OR(NOT(ISNUMBER('Price History'!D32)),NOT(ISNUMBER('Price History'!D31)),'Price History'!D31=0),"",'Price History'!D32/'Price History'!D31-1),"")</f>
        <v>0.00936122768819736</v>
      </c>
      <c r="E31" s="154" t="n">
        <f aca="false">IFERROR(IF(OR(NOT(ISNUMBER('Price History'!E32)),NOT(ISNUMBER('Price History'!E31)),'Price History'!E31=0),"",'Price History'!E32/'Price History'!E31-1),"")</f>
        <v>0.010583236770954</v>
      </c>
      <c r="F31" s="154" t="n">
        <f aca="false">IFERROR(IF(OR(NOT(ISNUMBER('Price History'!F32)),NOT(ISNUMBER('Price History'!F31)),'Price History'!F31=0),"",'Price History'!F32/'Price History'!F31-1),"")</f>
        <v>-0.015845290081098</v>
      </c>
      <c r="G31" s="154" t="n">
        <f aca="false">IFERROR(IF(OR(NOT(ISNUMBER('Price History'!G32)),NOT(ISNUMBER('Price History'!G31)),'Price History'!G31=0),"",'Price History'!G32/'Price History'!G31-1),"")</f>
        <v>-0.022465353756382</v>
      </c>
      <c r="H31" s="154" t="n">
        <f aca="false">IFERROR(IF(OR(NOT(ISNUMBER('Price History'!H32)),NOT(ISNUMBER('Price History'!H31)),'Price History'!H31=0),"",'Price History'!H32/'Price History'!H31-1),"")</f>
        <v>0.0482699700982487</v>
      </c>
      <c r="I31" s="154" t="n">
        <f aca="false">IFERROR(IF(OR(NOT(ISNUMBER('Price History'!I32)),NOT(ISNUMBER('Price History'!I31)),'Price History'!I31=0),"",'Price History'!I32/'Price History'!I31-1),"")</f>
        <v>-0.0259711431742508</v>
      </c>
      <c r="J31" s="154" t="n">
        <f aca="false">IFERROR(IF(OR(NOT(ISNUMBER('Price History'!J32)),NOT(ISNUMBER('Price History'!J31)),'Price History'!J31=0),"",'Price History'!J32/'Price History'!J31-1),"")</f>
        <v>-0.0421289730541421</v>
      </c>
      <c r="K31" s="154" t="n">
        <f aca="false">IFERROR(IF(OR(NOT(ISNUMBER('Price History'!K32)),NOT(ISNUMBER('Price History'!K31)),'Price History'!K31=0),"",'Price History'!K32/'Price History'!K31-1),"")</f>
        <v>-0.00217296827466318</v>
      </c>
      <c r="L31" s="154" t="n">
        <f aca="false">IFERROR(IF(OR(NOT(ISNUMBER('Price History'!L32)),NOT(ISNUMBER('Price History'!L31)),'Price History'!L31=0),"",'Price History'!L32/'Price History'!L31-1),"")</f>
        <v>0.0389777811481002</v>
      </c>
      <c r="M31" s="154" t="n">
        <f aca="false">IFERROR(IF(OR(NOT(ISNUMBER('Price History'!M32)),NOT(ISNUMBER('Price History'!M31)),'Price History'!M31=0),"",'Price History'!M32/'Price History'!M31-1),"")</f>
        <v>0.0449465798845634</v>
      </c>
      <c r="N31" s="154" t="n">
        <f aca="false">IFERROR(IF(OR(NOT(ISNUMBER('Price History'!N32)),NOT(ISNUMBER('Price History'!N31)),'Price History'!N31=0),"",'Price History'!N32/'Price History'!N31-1),"")</f>
        <v>-0.0271285375947943</v>
      </c>
      <c r="O31" s="154" t="n">
        <f aca="false">IFERROR(IF(OR(NOT(ISNUMBER('Price History'!O32)),NOT(ISNUMBER('Price History'!O31)),'Price History'!O31=0),"",'Price History'!O32/'Price History'!O31-1),"")</f>
        <v>-0.0215364120781527</v>
      </c>
      <c r="P31" s="154" t="n">
        <f aca="false">IFERROR(IF(OR(NOT(ISNUMBER('Price History'!P32)),NOT(ISNUMBER('Price History'!P31)),'Price History'!P31=0),"",'Price History'!P32/'Price History'!P31-1),"")</f>
        <v>-0.0177651447859301</v>
      </c>
      <c r="Q31" s="154" t="n">
        <f aca="false">IFERROR(IF(OR(NOT(ISNUMBER('Price History'!Q32)),NOT(ISNUMBER('Price History'!Q31)),'Price History'!Q31=0),"",'Price History'!Q32/'Price History'!Q31-1),"")</f>
        <v>-0.00381263616557737</v>
      </c>
      <c r="R31" s="154" t="n">
        <f aca="false">IFERROR(IF(OR(NOT(ISNUMBER('Price History'!R32)),NOT(ISNUMBER('Price History'!R31)),'Price History'!R31=0),"",'Price History'!R32/'Price History'!R31-1),"")</f>
        <v>-0.00417587816261367</v>
      </c>
      <c r="S31" s="154" t="n">
        <f aca="false">IFERROR(IF(OR(NOT(ISNUMBER('Price History'!S32)),NOT(ISNUMBER('Price History'!S31)),'Price History'!S31=0),"",'Price History'!S32/'Price History'!S31-1),"")</f>
        <v>0.00291767093746032</v>
      </c>
      <c r="T31" s="154" t="n">
        <f aca="false">IFERROR(IF(OR(NOT(ISNUMBER('Price History'!T32)),NOT(ISNUMBER('Price History'!T31)),'Price History'!T31=0),"",'Price History'!T32/'Price History'!T31-1),"")</f>
        <v>-0.00255102040816324</v>
      </c>
      <c r="U31" s="154" t="n">
        <f aca="false">IFERROR(IF(OR(NOT(ISNUMBER('Price History'!U32)),NOT(ISNUMBER('Price History'!U31)),'Price History'!U31=0),"",'Price History'!U32/'Price History'!U31-1),"")</f>
        <v>-0.0203832042397065</v>
      </c>
      <c r="V31" s="155" t="n">
        <f aca="false">IFERROR(IF(OR(NOT(ISNUMBER('Price History'!V32)),NOT(ISNUMBER('Price History'!V31)),'Price History'!V31=0),"",'Price History'!V32/'Price History'!V31-1),"")</f>
        <v>-0.00697385716372123</v>
      </c>
      <c r="W31" s="156" t="n">
        <f aca="false">IFERROR('Price History'!B3+(INDEX('Price History'!B:B,MATCH(9.99E+307,'Returns (Calc)'!$A:$A)+1)-'Price History'!B3)*(ROW()-3)/(MATCH(9.99E+307,'Returns (Calc)'!$A:$A)-3),"")</f>
        <v>477.284936708861</v>
      </c>
      <c r="X31" s="156" t="n">
        <f aca="false">IFERROR('Price History'!C3+(INDEX('Price History'!C:C,MATCH(9.99E+307,'Returns (Calc)'!$A:$A)+1)-'Price History'!C3)*(ROW()-3)/(MATCH(9.99E+307,'Returns (Calc)'!$A:$A)-3),"")</f>
        <v>74.7417721518987</v>
      </c>
      <c r="Y31" s="156" t="n">
        <f aca="false">IFERROR('Price History'!D3+(INDEX('Price History'!D:D,MATCH(9.99E+307,'Returns (Calc)'!$A:$A)+1)-'Price History'!D3)*(ROW()-3)/(MATCH(9.99E+307,'Returns (Calc)'!$A:$A)-3),"")</f>
        <v>809.784683544304</v>
      </c>
      <c r="Z31" s="156" t="n">
        <f aca="false">IFERROR('Price History'!E3+(INDEX('Price History'!E:E,MATCH(9.99E+307,'Returns (Calc)'!$A:$A)+1)-'Price History'!E3)*(ROW()-3)/(MATCH(9.99E+307,'Returns (Calc)'!$A:$A)-3),"")</f>
        <v>130.404556962025</v>
      </c>
      <c r="AA31" s="156" t="n">
        <f aca="false">IFERROR('Price History'!F3+(INDEX('Price History'!F:F,MATCH(9.99E+307,'Returns (Calc)'!$A:$A)+1)-'Price History'!F3)*(ROW()-3)/(MATCH(9.99E+307,'Returns (Calc)'!$A:$A)-3),"")</f>
        <v>81.8855696202532</v>
      </c>
      <c r="AB31" s="156" t="n">
        <f aca="false">IFERROR('Price History'!G3+(INDEX('Price History'!G:G,MATCH(9.99E+307,'Returns (Calc)'!$A:$A)+1)-'Price History'!G3)*(ROW()-3)/(MATCH(9.99E+307,'Returns (Calc)'!$A:$A)-3),"")</f>
        <v>73.1545569620253</v>
      </c>
      <c r="AC31" s="156" t="n">
        <f aca="false">IFERROR('Price History'!H3+(INDEX('Price History'!H:H,MATCH(9.99E+307,'Returns (Calc)'!$A:$A)+1)-'Price History'!H3)*(ROW()-3)/(MATCH(9.99E+307,'Returns (Calc)'!$A:$A)-3),"")</f>
        <v>247.349493670886</v>
      </c>
      <c r="AD31" s="156" t="n">
        <f aca="false">IFERROR('Price History'!I3+(INDEX('Price History'!I:I,MATCH(9.99E+307,'Returns (Calc)'!$A:$A)+1)-'Price History'!I3)*(ROW()-3)/(MATCH(9.99E+307,'Returns (Calc)'!$A:$A)-3),"")</f>
        <v>77.4727848101266</v>
      </c>
      <c r="AE31" s="156" t="n">
        <f aca="false">IFERROR('Price History'!J3+(INDEX('Price History'!J:J,MATCH(9.99E+307,'Returns (Calc)'!$A:$A)+1)-'Price History'!J3)*(ROW()-3)/(MATCH(9.99E+307,'Returns (Calc)'!$A:$A)-3),"")</f>
        <v>114.865063291139</v>
      </c>
      <c r="AF31" s="156" t="n">
        <f aca="false">IFERROR('Price History'!K3+(INDEX('Price History'!K:K,MATCH(9.99E+307,'Returns (Calc)'!$A:$A)+1)-'Price History'!K3)*(ROW()-3)/(MATCH(9.99E+307,'Returns (Calc)'!$A:$A)-3),"")</f>
        <v>46.0626582278481</v>
      </c>
      <c r="AG31" s="156" t="n">
        <f aca="false">IFERROR('Price History'!L3+(INDEX('Price History'!L:L,MATCH(9.99E+307,'Returns (Calc)'!$A:$A)+1)-'Price History'!L3)*(ROW()-3)/(MATCH(9.99E+307,'Returns (Calc)'!$A:$A)-3),"")</f>
        <v>154.337594936709</v>
      </c>
      <c r="AH31" s="156" t="n">
        <f aca="false">IFERROR('Price History'!M3+(INDEX('Price History'!M:M,MATCH(9.99E+307,'Returns (Calc)'!$A:$A)+1)-'Price History'!M3)*(ROW()-3)/(MATCH(9.99E+307,'Returns (Calc)'!$A:$A)-3),"")</f>
        <v>75.9724050632912</v>
      </c>
      <c r="AI31" s="156" t="n">
        <f aca="false">IFERROR('Price History'!N3+(INDEX('Price History'!N:N,MATCH(9.99E+307,'Returns (Calc)'!$A:$A)+1)-'Price History'!N3)*(ROW()-3)/(MATCH(9.99E+307,'Returns (Calc)'!$A:$A)-3),"")</f>
        <v>376.515443037975</v>
      </c>
      <c r="AJ31" s="156" t="n">
        <f aca="false">IFERROR('Price History'!O3+(INDEX('Price History'!O:O,MATCH(9.99E+307,'Returns (Calc)'!$A:$A)+1)-'Price History'!O3)*(ROW()-3)/(MATCH(9.99E+307,'Returns (Calc)'!$A:$A)-3),"")</f>
        <v>83.2350632911392</v>
      </c>
      <c r="AK31" s="156" t="n">
        <f aca="false">IFERROR('Price History'!Q3+(INDEX('Price History'!Q:Q,MATCH(9.99E+307,'Returns (Calc)'!$A:$A)+1)-'Price History'!Q3)*(ROW()-3)/(MATCH(9.99E+307,'Returns (Calc)'!$A:$A)-3),"")</f>
        <v>12.3022784810127</v>
      </c>
      <c r="AL31" s="156" t="n">
        <f aca="false">IFERROR('Price History'!R3+(INDEX('Price History'!R:R,MATCH(9.99E+307,'Returns (Calc)'!$A:$A)+1)-'Price History'!R3)*(ROW()-3)/(MATCH(9.99E+307,'Returns (Calc)'!$A:$A)-3),"")</f>
        <v>39.186835443038</v>
      </c>
      <c r="AM31" s="156" t="n">
        <f aca="false">IFERROR('Price History'!S3+(INDEX('Price History'!S:S,MATCH(9.99E+307,'Returns (Calc)'!$A:$A)+1)-'Price History'!S3)*(ROW()-3)/(MATCH(9.99E+307,'Returns (Calc)'!$A:$A)-3),"")</f>
        <v>74.5717721518987</v>
      </c>
      <c r="AN31" s="156" t="n">
        <f aca="false">IFERROR('Price History'!T3+(INDEX('Price History'!T:T,MATCH(9.99E+307,'Returns (Calc)'!$A:$A)+1)-'Price History'!T3)*(ROW()-3)/(MATCH(9.99E+307,'Returns (Calc)'!$A:$A)-3),"")</f>
        <v>29.9503797468354</v>
      </c>
      <c r="AO31" s="157" t="n">
        <f aca="false">IFERROR('Price History'!V3+(INDEX('Price History'!V:V,MATCH(9.99E+307,'Returns (Calc)'!$A:$A)+1)-'Price History'!V3)*(ROW()-3)/(MATCH(9.99E+307,'Returns (Calc)'!$A:$A)-3),"")</f>
        <v>257.787215189873</v>
      </c>
      <c r="AP31" s="155" t="n">
        <f aca="false">IFERROR(IF(OR(NOT(ISNUMBER('Price History'!W32)),NOT(ISNUMBER('Price History'!W31)),'Price History'!W31=0),"",'Price History'!W32/'Price History'!W31-1),"")</f>
        <v>-0.014305898975627</v>
      </c>
      <c r="AQ31" s="155" t="str">
        <f aca="false">IFERROR(IF(OR(NOT(ISNUMBER('Price History'!X32)),NOT(ISNUMBER('Price History'!X31)),'Price History'!X31=0),"",'Price History'!X32/'Price History'!X31-1),"")</f>
        <v/>
      </c>
      <c r="AR31" s="155" t="n">
        <f aca="false">IFERROR(IF(OR(NOT(ISNUMBER('Price History'!Y32)),NOT(ISNUMBER('Price History'!Y31)),'Price History'!Y31=0),"",'Price History'!Y32/'Price History'!Y31-1),"")</f>
        <v>-0.00763844684914061</v>
      </c>
      <c r="AS31" s="155" t="n">
        <f aca="false">IFERROR(IF(OR(NOT(ISNUMBER('Price History'!Z32)),NOT(ISNUMBER('Price History'!Z31)),'Price History'!Z31=0),"",'Price History'!Z32/'Price History'!Z31-1),"")</f>
        <v>0.115716252445475</v>
      </c>
      <c r="AT31" s="155" t="n">
        <f aca="false">IFERROR(IF(OR(NOT(ISNUMBER('Price History'!AA32)),NOT(ISNUMBER('Price History'!AA31)),'Price History'!AA31=0),"",'Price History'!AA32/'Price History'!AA31-1),"")</f>
        <v>0.0475876831878808</v>
      </c>
      <c r="AU31" s="155" t="n">
        <f aca="false">IFERROR(IF(OR(NOT(ISNUMBER('Price History'!AB32)),NOT(ISNUMBER('Price History'!AB31)),'Price History'!AB31=0),"",'Price History'!AB32/'Price History'!AB31-1),"")</f>
        <v>-0.0732012603047175</v>
      </c>
    </row>
    <row r="32" customFormat="false" ht="15" hidden="false" customHeight="true" outlineLevel="0" collapsed="false">
      <c r="A32" s="153" t="n">
        <f aca="false">IF('Price History'!A33="","",'Price History'!A33)</f>
        <v>45394</v>
      </c>
      <c r="B32" s="154" t="n">
        <f aca="false">IFERROR(IF(OR(NOT(ISNUMBER('Price History'!B33)),NOT(ISNUMBER('Price History'!B32)),'Price History'!B32=0),"",'Price History'!B33/'Price History'!B32-1),"")</f>
        <v>-0.0227366424802111</v>
      </c>
      <c r="C32" s="154" t="n">
        <f aca="false">IFERROR(IF(OR(NOT(ISNUMBER('Price History'!C33)),NOT(ISNUMBER('Price History'!C32)),'Price History'!C32=0),"",'Price History'!C33/'Price History'!C32-1),"")</f>
        <v>-0.0885752688172043</v>
      </c>
      <c r="D32" s="154" t="n">
        <f aca="false">IFERROR(IF(OR(NOT(ISNUMBER('Price History'!D33)),NOT(ISNUMBER('Price History'!D32)),'Price History'!D32=0),"",'Price History'!D33/'Price History'!D32-1),"")</f>
        <v>-0.01807988495566</v>
      </c>
      <c r="E32" s="154" t="n">
        <f aca="false">IFERROR(IF(OR(NOT(ISNUMBER('Price History'!E33)),NOT(ISNUMBER('Price History'!E32)),'Price History'!E32=0),"",'Price History'!E33/'Price History'!E32-1),"")</f>
        <v>0.00343984100290484</v>
      </c>
      <c r="F32" s="154" t="n">
        <f aca="false">IFERROR(IF(OR(NOT(ISNUMBER('Price History'!F33)),NOT(ISNUMBER('Price History'!F32)),'Price History'!F32=0),"",'Price History'!F33/'Price History'!F32-1),"")</f>
        <v>-0.0205375253549694</v>
      </c>
      <c r="G32" s="154" t="n">
        <f aca="false">IFERROR(IF(OR(NOT(ISNUMBER('Price History'!G33)),NOT(ISNUMBER('Price History'!G32)),'Price History'!G32=0),"",'Price History'!G33/'Price History'!G32-1),"")</f>
        <v>-0.00298462915982689</v>
      </c>
      <c r="H32" s="154" t="n">
        <f aca="false">IFERROR(IF(OR(NOT(ISNUMBER('Price History'!H33)),NOT(ISNUMBER('Price History'!H32)),'Price History'!H32=0),"",'Price History'!H33/'Price History'!H32-1),"")</f>
        <v>-0.00855745721271395</v>
      </c>
      <c r="I32" s="154" t="n">
        <f aca="false">IFERROR(IF(OR(NOT(ISNUMBER('Price History'!I33)),NOT(ISNUMBER('Price History'!I32)),'Price History'!I32=0),"",'Price History'!I33/'Price History'!I32-1),"")</f>
        <v>0.00205104831358249</v>
      </c>
      <c r="J32" s="154" t="n">
        <f aca="false">IFERROR(IF(OR(NOT(ISNUMBER('Price History'!J33)),NOT(ISNUMBER('Price History'!J32)),'Price History'!J32=0),"",'Price History'!J33/'Price History'!J32-1),"")</f>
        <v>-0.0459850200313533</v>
      </c>
      <c r="K32" s="154" t="n">
        <f aca="false">IFERROR(IF(OR(NOT(ISNUMBER('Price History'!K33)),NOT(ISNUMBER('Price History'!K32)),'Price History'!K32=0),"",'Price History'!K33/'Price History'!K32-1),"")</f>
        <v>-0.0126306620209059</v>
      </c>
      <c r="L32" s="154" t="n">
        <f aca="false">IFERROR(IF(OR(NOT(ISNUMBER('Price History'!L33)),NOT(ISNUMBER('Price History'!L32)),'Price History'!L32=0),"",'Price History'!L33/'Price History'!L32-1),"")</f>
        <v>0.00824757316984148</v>
      </c>
      <c r="M32" s="154" t="n">
        <f aca="false">IFERROR(IF(OR(NOT(ISNUMBER('Price History'!M33)),NOT(ISNUMBER('Price History'!M32)),'Price History'!M32=0),"",'Price History'!M33/'Price History'!M32-1),"")</f>
        <v>-0.0170407803502175</v>
      </c>
      <c r="N32" s="154" t="n">
        <f aca="false">IFERROR(IF(OR(NOT(ISNUMBER('Price History'!N33)),NOT(ISNUMBER('Price History'!N32)),'Price History'!N32=0),"",'Price History'!N33/'Price History'!N32-1),"")</f>
        <v>-0.0248850419258858</v>
      </c>
      <c r="O32" s="154" t="n">
        <f aca="false">IFERROR(IF(OR(NOT(ISNUMBER('Price History'!O33)),NOT(ISNUMBER('Price History'!O32)),'Price History'!O32=0),"",'Price History'!O33/'Price History'!O32-1),"")</f>
        <v>-0.0308599954617653</v>
      </c>
      <c r="P32" s="154" t="n">
        <f aca="false">IFERROR(IF(OR(NOT(ISNUMBER('Price History'!P33)),NOT(ISNUMBER('Price History'!P32)),'Price History'!P32=0),"",'Price History'!P33/'Price History'!P32-1),"")</f>
        <v>-0.0285765961294989</v>
      </c>
      <c r="Q32" s="154" t="n">
        <f aca="false">IFERROR(IF(OR(NOT(ISNUMBER('Price History'!Q33)),NOT(ISNUMBER('Price History'!Q32)),'Price History'!Q32=0),"",'Price History'!Q33/'Price History'!Q32-1),"")</f>
        <v>-0.00637871332239826</v>
      </c>
      <c r="R32" s="154" t="n">
        <f aca="false">IFERROR(IF(OR(NOT(ISNUMBER('Price History'!R33)),NOT(ISNUMBER('Price History'!R32)),'Price History'!R32=0),"",'Price History'!R33/'Price History'!R32-1),"")</f>
        <v>-0.00345337937839174</v>
      </c>
      <c r="S32" s="154" t="n">
        <f aca="false">IFERROR(IF(OR(NOT(ISNUMBER('Price History'!S33)),NOT(ISNUMBER('Price History'!S32)),'Price History'!S32=0),"",'Price History'!S33/'Price History'!S32-1),"")</f>
        <v>-0.0140399696433089</v>
      </c>
      <c r="T32" s="154" t="n">
        <f aca="false">IFERROR(IF(OR(NOT(ISNUMBER('Price History'!T33)),NOT(ISNUMBER('Price History'!T32)),'Price History'!T32=0),"",'Price History'!T33/'Price History'!T32-1),"")</f>
        <v>-0.0255754475703325</v>
      </c>
      <c r="U32" s="154" t="n">
        <f aca="false">IFERROR(IF(OR(NOT(ISNUMBER('Price History'!U33)),NOT(ISNUMBER('Price History'!U32)),'Price History'!U32=0),"",'Price History'!U33/'Price History'!U32-1),"")</f>
        <v>-0.0278818143986684</v>
      </c>
      <c r="V32" s="155" t="n">
        <f aca="false">IFERROR(IF(OR(NOT(ISNUMBER('Price History'!V33)),NOT(ISNUMBER('Price History'!V32)),'Price History'!V32=0),"",'Price History'!V33/'Price History'!V32-1),"")</f>
        <v>-0.00422840754494991</v>
      </c>
      <c r="W32" s="156" t="n">
        <f aca="false">IFERROR('Price History'!B3+(INDEX('Price History'!B:B,MATCH(9.99E+307,'Returns (Calc)'!$A:$A)+1)-'Price History'!B3)*(ROW()-3)/(MATCH(9.99E+307,'Returns (Calc)'!$A:$A)-3),"")</f>
        <v>475.441898734177</v>
      </c>
      <c r="X32" s="156" t="n">
        <f aca="false">IFERROR('Price History'!C3+(INDEX('Price History'!C:C,MATCH(9.99E+307,'Returns (Calc)'!$A:$A)+1)-'Price History'!C3)*(ROW()-3)/(MATCH(9.99E+307,'Returns (Calc)'!$A:$A)-3),"")</f>
        <v>75.761835443038</v>
      </c>
      <c r="Y32" s="156" t="n">
        <f aca="false">IFERROR('Price History'!D3+(INDEX('Price History'!D:D,MATCH(9.99E+307,'Returns (Calc)'!$A:$A)+1)-'Price History'!D3)*(ROW()-3)/(MATCH(9.99E+307,'Returns (Calc)'!$A:$A)-3),"")</f>
        <v>817.919493670886</v>
      </c>
      <c r="Z32" s="156" t="n">
        <f aca="false">IFERROR('Price History'!E3+(INDEX('Price History'!E:E,MATCH(9.99E+307,'Returns (Calc)'!$A:$A)+1)-'Price History'!E3)*(ROW()-3)/(MATCH(9.99E+307,'Returns (Calc)'!$A:$A)-3),"")</f>
        <v>132.133291139241</v>
      </c>
      <c r="AA32" s="156" t="n">
        <f aca="false">IFERROR('Price History'!F3+(INDEX('Price History'!F:F,MATCH(9.99E+307,'Returns (Calc)'!$A:$A)+1)-'Price History'!F3)*(ROW()-3)/(MATCH(9.99E+307,'Returns (Calc)'!$A:$A)-3),"")</f>
        <v>83.3329113924051</v>
      </c>
      <c r="AB32" s="156" t="n">
        <f aca="false">IFERROR('Price History'!G3+(INDEX('Price History'!G:G,MATCH(9.99E+307,'Returns (Calc)'!$A:$A)+1)-'Price History'!G3)*(ROW()-3)/(MATCH(9.99E+307,'Returns (Calc)'!$A:$A)-3),"")</f>
        <v>74.1832911392405</v>
      </c>
      <c r="AC32" s="156" t="n">
        <f aca="false">IFERROR('Price History'!H3+(INDEX('Price History'!H:H,MATCH(9.99E+307,'Returns (Calc)'!$A:$A)+1)-'Price History'!H3)*(ROW()-3)/(MATCH(9.99E+307,'Returns (Calc)'!$A:$A)-3),"")</f>
        <v>253.715189873418</v>
      </c>
      <c r="AD32" s="156" t="n">
        <f aca="false">IFERROR('Price History'!I3+(INDEX('Price History'!I:I,MATCH(9.99E+307,'Returns (Calc)'!$A:$A)+1)-'Price History'!I3)*(ROW()-3)/(MATCH(9.99E+307,'Returns (Calc)'!$A:$A)-3),"")</f>
        <v>78.6764556962025</v>
      </c>
      <c r="AE32" s="156" t="n">
        <f aca="false">IFERROR('Price History'!J3+(INDEX('Price History'!J:J,MATCH(9.99E+307,'Returns (Calc)'!$A:$A)+1)-'Price History'!J3)*(ROW()-3)/(MATCH(9.99E+307,'Returns (Calc)'!$A:$A)-3),"")</f>
        <v>114.973101265823</v>
      </c>
      <c r="AF32" s="156" t="n">
        <f aca="false">IFERROR('Price History'!K3+(INDEX('Price History'!K:K,MATCH(9.99E+307,'Returns (Calc)'!$A:$A)+1)-'Price History'!K3)*(ROW()-3)/(MATCH(9.99E+307,'Returns (Calc)'!$A:$A)-3),"")</f>
        <v>47.160253164557</v>
      </c>
      <c r="AG32" s="156" t="n">
        <f aca="false">IFERROR('Price History'!L3+(INDEX('Price History'!L:L,MATCH(9.99E+307,'Returns (Calc)'!$A:$A)+1)-'Price History'!L3)*(ROW()-3)/(MATCH(9.99E+307,'Returns (Calc)'!$A:$A)-3),"")</f>
        <v>156.787151898734</v>
      </c>
      <c r="AH32" s="156" t="n">
        <f aca="false">IFERROR('Price History'!M3+(INDEX('Price History'!M:M,MATCH(9.99E+307,'Returns (Calc)'!$A:$A)+1)-'Price History'!M3)*(ROW()-3)/(MATCH(9.99E+307,'Returns (Calc)'!$A:$A)-3),"")</f>
        <v>77.3278481012658</v>
      </c>
      <c r="AI32" s="156" t="n">
        <f aca="false">IFERROR('Price History'!N3+(INDEX('Price History'!N:N,MATCH(9.99E+307,'Returns (Calc)'!$A:$A)+1)-'Price History'!N3)*(ROW()-3)/(MATCH(9.99E+307,'Returns (Calc)'!$A:$A)-3),"")</f>
        <v>377.50170886076</v>
      </c>
      <c r="AJ32" s="156" t="n">
        <f aca="false">IFERROR('Price History'!O3+(INDEX('Price History'!O:O,MATCH(9.99E+307,'Returns (Calc)'!$A:$A)+1)-'Price History'!O3)*(ROW()-3)/(MATCH(9.99E+307,'Returns (Calc)'!$A:$A)-3),"")</f>
        <v>83.5181012658228</v>
      </c>
      <c r="AK32" s="156" t="n">
        <f aca="false">IFERROR('Price History'!Q3+(INDEX('Price History'!Q:Q,MATCH(9.99E+307,'Returns (Calc)'!$A:$A)+1)-'Price History'!Q3)*(ROW()-3)/(MATCH(9.99E+307,'Returns (Calc)'!$A:$A)-3),"")</f>
        <v>12.7416455696203</v>
      </c>
      <c r="AL32" s="156" t="n">
        <f aca="false">IFERROR('Price History'!R3+(INDEX('Price History'!R:R,MATCH(9.99E+307,'Returns (Calc)'!$A:$A)+1)-'Price History'!R3)*(ROW()-3)/(MATCH(9.99E+307,'Returns (Calc)'!$A:$A)-3),"")</f>
        <v>39.3549367088608</v>
      </c>
      <c r="AM32" s="156" t="n">
        <f aca="false">IFERROR('Price History'!S3+(INDEX('Price History'!S:S,MATCH(9.99E+307,'Returns (Calc)'!$A:$A)+1)-'Price History'!S3)*(ROW()-3)/(MATCH(9.99E+307,'Returns (Calc)'!$A:$A)-3),"")</f>
        <v>75.176835443038</v>
      </c>
      <c r="AN32" s="156" t="n">
        <f aca="false">IFERROR('Price History'!T3+(INDEX('Price History'!T:T,MATCH(9.99E+307,'Returns (Calc)'!$A:$A)+1)-'Price History'!T3)*(ROW()-3)/(MATCH(9.99E+307,'Returns (Calc)'!$A:$A)-3),"")</f>
        <v>30.1186075949367</v>
      </c>
      <c r="AO32" s="157" t="n">
        <f aca="false">IFERROR('Price History'!V3+(INDEX('Price History'!V:V,MATCH(9.99E+307,'Returns (Calc)'!$A:$A)+1)-'Price History'!V3)*(ROW()-3)/(MATCH(9.99E+307,'Returns (Calc)'!$A:$A)-3),"")</f>
        <v>258.578544303797</v>
      </c>
      <c r="AP32" s="155" t="n">
        <f aca="false">IFERROR(IF(OR(NOT(ISNUMBER('Price History'!W33)),NOT(ISNUMBER('Price History'!W32)),'Price History'!W32=0),"",'Price History'!W33/'Price History'!W32-1),"")</f>
        <v>-0.0265185450636087</v>
      </c>
      <c r="AQ32" s="155" t="str">
        <f aca="false">IFERROR(IF(OR(NOT(ISNUMBER('Price History'!X33)),NOT(ISNUMBER('Price History'!X32)),'Price History'!X32=0),"",'Price History'!X33/'Price History'!X32-1),"")</f>
        <v/>
      </c>
      <c r="AR32" s="155" t="n">
        <f aca="false">IFERROR(IF(OR(NOT(ISNUMBER('Price History'!Y33)),NOT(ISNUMBER('Price History'!Y32)),'Price History'!Y32=0),"",'Price History'!Y33/'Price History'!Y32-1),"")</f>
        <v>-0.0153944836433613</v>
      </c>
      <c r="AS32" s="155" t="n">
        <f aca="false">IFERROR(IF(OR(NOT(ISNUMBER('Price History'!Z33)),NOT(ISNUMBER('Price History'!Z32)),'Price History'!Z32=0),"",'Price History'!Z33/'Price History'!Z32-1),"")</f>
        <v>-0.00896220288349137</v>
      </c>
      <c r="AT32" s="155" t="n">
        <f aca="false">IFERROR(IF(OR(NOT(ISNUMBER('Price History'!AA33)),NOT(ISNUMBER('Price History'!AA32)),'Price History'!AA32=0),"",'Price History'!AA33/'Price History'!AA32-1),"")</f>
        <v>-0.0210625589437283</v>
      </c>
      <c r="AU32" s="155" t="n">
        <f aca="false">IFERROR(IF(OR(NOT(ISNUMBER('Price History'!AB33)),NOT(ISNUMBER('Price History'!AB32)),'Price History'!AB32=0),"",'Price History'!AB33/'Price History'!AB32-1),"")</f>
        <v>-0.0372095189307502</v>
      </c>
    </row>
    <row r="33" customFormat="false" ht="15" hidden="false" customHeight="true" outlineLevel="0" collapsed="false">
      <c r="A33" s="153" t="n">
        <f aca="false">IF('Price History'!A34="","",'Price History'!A34)</f>
        <v>45401</v>
      </c>
      <c r="B33" s="154" t="n">
        <f aca="false">IFERROR(IF(OR(NOT(ISNUMBER('Price History'!B34)),NOT(ISNUMBER('Price History'!B33)),'Price History'!B33=0),"",'Price History'!B34/'Price History'!B33-1),"")</f>
        <v>-0.0191313885549157</v>
      </c>
      <c r="C33" s="154" t="n">
        <f aca="false">IFERROR(IF(OR(NOT(ISNUMBER('Price History'!C34)),NOT(ISNUMBER('Price History'!C33)),'Price History'!C33=0),"",'Price History'!C34/'Price History'!C33-1),"")</f>
        <v>-0.0927591800619377</v>
      </c>
      <c r="D33" s="154" t="n">
        <f aca="false">IFERROR(IF(OR(NOT(ISNUMBER('Price History'!D34)),NOT(ISNUMBER('Price History'!D33)),'Price History'!D33=0),"",'Price History'!D34/'Price History'!D33-1),"")</f>
        <v>-0.106359044020886</v>
      </c>
      <c r="E33" s="154" t="n">
        <f aca="false">IFERROR(IF(OR(NOT(ISNUMBER('Price History'!E34)),NOT(ISNUMBER('Price History'!E33)),'Price History'!E33=0),"",'Price History'!E34/'Price History'!E33-1),"")</f>
        <v>-0.103679439323532</v>
      </c>
      <c r="F33" s="154" t="n">
        <f aca="false">IFERROR(IF(OR(NOT(ISNUMBER('Price History'!F34)),NOT(ISNUMBER('Price History'!F33)),'Price History'!F33=0),"",'Price History'!F34/'Price History'!F33-1),"")</f>
        <v>-0.0854258348433861</v>
      </c>
      <c r="G33" s="154" t="n">
        <f aca="false">IFERROR(IF(OR(NOT(ISNUMBER('Price History'!G34)),NOT(ISNUMBER('Price History'!G33)),'Price History'!G33=0),"",'Price History'!G34/'Price History'!G33-1),"")</f>
        <v>-0.0773836252058076</v>
      </c>
      <c r="H33" s="154" t="n">
        <f aca="false">IFERROR(IF(OR(NOT(ISNUMBER('Price History'!H34)),NOT(ISNUMBER('Price History'!H33)),'Price History'!H33=0),"",'Price History'!H34/'Price History'!H33-1),"")</f>
        <v>-0.128565556925606</v>
      </c>
      <c r="I33" s="154" t="n">
        <f aca="false">IFERROR(IF(OR(NOT(ISNUMBER('Price History'!I34)),NOT(ISNUMBER('Price History'!I33)),'Price History'!I33=0),"",'Price History'!I34/'Price History'!I33-1),"")</f>
        <v>-0.136001819422333</v>
      </c>
      <c r="J33" s="154" t="n">
        <f aca="false">IFERROR(IF(OR(NOT(ISNUMBER('Price History'!J34)),NOT(ISNUMBER('Price History'!J33)),'Price History'!J33=0),"",'Price History'!J34/'Price History'!J33-1),"")</f>
        <v>-0.130363337593573</v>
      </c>
      <c r="K33" s="154" t="n">
        <f aca="false">IFERROR(IF(OR(NOT(ISNUMBER('Price History'!K34)),NOT(ISNUMBER('Price History'!K33)),'Price History'!K33=0),"",'Price History'!K34/'Price History'!K33-1),"")</f>
        <v>-0.0970445522717248</v>
      </c>
      <c r="L33" s="154" t="n">
        <f aca="false">IFERROR(IF(OR(NOT(ISNUMBER('Price History'!L34)),NOT(ISNUMBER('Price History'!L33)),'Price History'!L33=0),"",'Price History'!L34/'Price History'!L33-1),"")</f>
        <v>-0.104024902273056</v>
      </c>
      <c r="M33" s="154" t="n">
        <f aca="false">IFERROR(IF(OR(NOT(ISNUMBER('Price History'!M34)),NOT(ISNUMBER('Price History'!M33)),'Price History'!M33=0),"",'Price History'!M34/'Price History'!M33-1),"")</f>
        <v>-0.105810616929699</v>
      </c>
      <c r="N33" s="154" t="n">
        <f aca="false">IFERROR(IF(OR(NOT(ISNUMBER('Price History'!N34)),NOT(ISNUMBER('Price History'!N33)),'Price History'!N33=0),"",'Price History'!N34/'Price History'!N33-1),"")</f>
        <v>-0.00572437271466408</v>
      </c>
      <c r="O33" s="154" t="n">
        <f aca="false">IFERROR(IF(OR(NOT(ISNUMBER('Price History'!O34)),NOT(ISNUMBER('Price History'!O33)),'Price History'!O33=0),"",'Price History'!O34/'Price History'!O33-1),"")</f>
        <v>-0.00901428236946844</v>
      </c>
      <c r="P33" s="154" t="n">
        <f aca="false">IFERROR(IF(OR(NOT(ISNUMBER('Price History'!P34)),NOT(ISNUMBER('Price History'!P33)),'Price History'!P33=0),"",'Price History'!P34/'Price History'!P33-1),"")</f>
        <v>0.00986780860175007</v>
      </c>
      <c r="Q33" s="154" t="n">
        <f aca="false">IFERROR(IF(OR(NOT(ISNUMBER('Price History'!Q34)),NOT(ISNUMBER('Price History'!Q33)),'Price History'!Q33=0),"",'Price History'!Q34/'Price History'!Q33-1),"")</f>
        <v>-0.0194424064563463</v>
      </c>
      <c r="R33" s="154" t="n">
        <f aca="false">IFERROR(IF(OR(NOT(ISNUMBER('Price History'!R34)),NOT(ISNUMBER('Price History'!R33)),'Price History'!R33=0),"",'Price History'!R34/'Price History'!R33-1),"")</f>
        <v>-0.048019801980198</v>
      </c>
      <c r="S33" s="154" t="n">
        <f aca="false">IFERROR(IF(OR(NOT(ISNUMBER('Price History'!S34)),NOT(ISNUMBER('Price History'!S33)),'Price History'!S33=0),"",'Price History'!S34/'Price History'!S33-1),"")</f>
        <v>-0.0568313021167416</v>
      </c>
      <c r="T33" s="154" t="n">
        <f aca="false">IFERROR(IF(OR(NOT(ISNUMBER('Price History'!T34)),NOT(ISNUMBER('Price History'!T33)),'Price History'!T33=0),"",'Price History'!T34/'Price History'!T33-1),"")</f>
        <v>-0.0177165354330708</v>
      </c>
      <c r="U33" s="154" t="n">
        <f aca="false">IFERROR(IF(OR(NOT(ISNUMBER('Price History'!U34)),NOT(ISNUMBER('Price History'!U33)),'Price History'!U33=0),"",'Price History'!U34/'Price History'!U33-1),"")</f>
        <v>-0.00171232876712324</v>
      </c>
      <c r="V33" s="155" t="n">
        <f aca="false">IFERROR(IF(OR(NOT(ISNUMBER('Price History'!V34)),NOT(ISNUMBER('Price History'!V33)),'Price History'!V33=0),"",'Price History'!V34/'Price History'!V33-1),"")</f>
        <v>-0.0224134111217783</v>
      </c>
      <c r="W33" s="156" t="n">
        <f aca="false">IFERROR('Price History'!B3+(INDEX('Price History'!B:B,MATCH(9.99E+307,'Returns (Calc)'!$A:$A)+1)-'Price History'!B3)*(ROW()-3)/(MATCH(9.99E+307,'Returns (Calc)'!$A:$A)-3),"")</f>
        <v>473.598860759494</v>
      </c>
      <c r="X33" s="156" t="n">
        <f aca="false">IFERROR('Price History'!C3+(INDEX('Price History'!C:C,MATCH(9.99E+307,'Returns (Calc)'!$A:$A)+1)-'Price History'!C3)*(ROW()-3)/(MATCH(9.99E+307,'Returns (Calc)'!$A:$A)-3),"")</f>
        <v>76.7818987341772</v>
      </c>
      <c r="Y33" s="156" t="n">
        <f aca="false">IFERROR('Price History'!D3+(INDEX('Price History'!D:D,MATCH(9.99E+307,'Returns (Calc)'!$A:$A)+1)-'Price History'!D3)*(ROW()-3)/(MATCH(9.99E+307,'Returns (Calc)'!$A:$A)-3),"")</f>
        <v>826.054303797468</v>
      </c>
      <c r="Z33" s="156" t="n">
        <f aca="false">IFERROR('Price History'!E3+(INDEX('Price History'!E:E,MATCH(9.99E+307,'Returns (Calc)'!$A:$A)+1)-'Price History'!E3)*(ROW()-3)/(MATCH(9.99E+307,'Returns (Calc)'!$A:$A)-3),"")</f>
        <v>133.862025316456</v>
      </c>
      <c r="AA33" s="156" t="n">
        <f aca="false">IFERROR('Price History'!F3+(INDEX('Price History'!F:F,MATCH(9.99E+307,'Returns (Calc)'!$A:$A)+1)-'Price History'!F3)*(ROW()-3)/(MATCH(9.99E+307,'Returns (Calc)'!$A:$A)-3),"")</f>
        <v>84.780253164557</v>
      </c>
      <c r="AB33" s="156" t="n">
        <f aca="false">IFERROR('Price History'!G3+(INDEX('Price History'!G:G,MATCH(9.99E+307,'Returns (Calc)'!$A:$A)+1)-'Price History'!G3)*(ROW()-3)/(MATCH(9.99E+307,'Returns (Calc)'!$A:$A)-3),"")</f>
        <v>75.2120253164557</v>
      </c>
      <c r="AC33" s="156" t="n">
        <f aca="false">IFERROR('Price History'!H3+(INDEX('Price History'!H:H,MATCH(9.99E+307,'Returns (Calc)'!$A:$A)+1)-'Price History'!H3)*(ROW()-3)/(MATCH(9.99E+307,'Returns (Calc)'!$A:$A)-3),"")</f>
        <v>260.080886075949</v>
      </c>
      <c r="AD33" s="156" t="n">
        <f aca="false">IFERROR('Price History'!I3+(INDEX('Price History'!I:I,MATCH(9.99E+307,'Returns (Calc)'!$A:$A)+1)-'Price History'!I3)*(ROW()-3)/(MATCH(9.99E+307,'Returns (Calc)'!$A:$A)-3),"")</f>
        <v>79.8801265822785</v>
      </c>
      <c r="AE33" s="156" t="n">
        <f aca="false">IFERROR('Price History'!J3+(INDEX('Price History'!J:J,MATCH(9.99E+307,'Returns (Calc)'!$A:$A)+1)-'Price History'!J3)*(ROW()-3)/(MATCH(9.99E+307,'Returns (Calc)'!$A:$A)-3),"")</f>
        <v>115.081139240506</v>
      </c>
      <c r="AF33" s="156" t="n">
        <f aca="false">IFERROR('Price History'!K3+(INDEX('Price History'!K:K,MATCH(9.99E+307,'Returns (Calc)'!$A:$A)+1)-'Price History'!K3)*(ROW()-3)/(MATCH(9.99E+307,'Returns (Calc)'!$A:$A)-3),"")</f>
        <v>48.2578481012658</v>
      </c>
      <c r="AG33" s="156" t="n">
        <f aca="false">IFERROR('Price History'!L3+(INDEX('Price History'!L:L,MATCH(9.99E+307,'Returns (Calc)'!$A:$A)+1)-'Price History'!L3)*(ROW()-3)/(MATCH(9.99E+307,'Returns (Calc)'!$A:$A)-3),"")</f>
        <v>159.23670886076</v>
      </c>
      <c r="AH33" s="156" t="n">
        <f aca="false">IFERROR('Price History'!M3+(INDEX('Price History'!M:M,MATCH(9.99E+307,'Returns (Calc)'!$A:$A)+1)-'Price History'!M3)*(ROW()-3)/(MATCH(9.99E+307,'Returns (Calc)'!$A:$A)-3),"")</f>
        <v>78.6832911392405</v>
      </c>
      <c r="AI33" s="156" t="n">
        <f aca="false">IFERROR('Price History'!N3+(INDEX('Price History'!N:N,MATCH(9.99E+307,'Returns (Calc)'!$A:$A)+1)-'Price History'!N3)*(ROW()-3)/(MATCH(9.99E+307,'Returns (Calc)'!$A:$A)-3),"")</f>
        <v>378.487974683544</v>
      </c>
      <c r="AJ33" s="156" t="n">
        <f aca="false">IFERROR('Price History'!O3+(INDEX('Price History'!O:O,MATCH(9.99E+307,'Returns (Calc)'!$A:$A)+1)-'Price History'!O3)*(ROW()-3)/(MATCH(9.99E+307,'Returns (Calc)'!$A:$A)-3),"")</f>
        <v>83.8011392405063</v>
      </c>
      <c r="AK33" s="156" t="n">
        <f aca="false">IFERROR('Price History'!Q3+(INDEX('Price History'!Q:Q,MATCH(9.99E+307,'Returns (Calc)'!$A:$A)+1)-'Price History'!Q3)*(ROW()-3)/(MATCH(9.99E+307,'Returns (Calc)'!$A:$A)-3),"")</f>
        <v>13.1810126582278</v>
      </c>
      <c r="AL33" s="156" t="n">
        <f aca="false">IFERROR('Price History'!R3+(INDEX('Price History'!R:R,MATCH(9.99E+307,'Returns (Calc)'!$A:$A)+1)-'Price History'!R3)*(ROW()-3)/(MATCH(9.99E+307,'Returns (Calc)'!$A:$A)-3),"")</f>
        <v>39.5230379746835</v>
      </c>
      <c r="AM33" s="156" t="n">
        <f aca="false">IFERROR('Price History'!S3+(INDEX('Price History'!S:S,MATCH(9.99E+307,'Returns (Calc)'!$A:$A)+1)-'Price History'!S3)*(ROW()-3)/(MATCH(9.99E+307,'Returns (Calc)'!$A:$A)-3),"")</f>
        <v>75.7818987341772</v>
      </c>
      <c r="AN33" s="156" t="n">
        <f aca="false">IFERROR('Price History'!T3+(INDEX('Price History'!T:T,MATCH(9.99E+307,'Returns (Calc)'!$A:$A)+1)-'Price History'!T3)*(ROW()-3)/(MATCH(9.99E+307,'Returns (Calc)'!$A:$A)-3),"")</f>
        <v>30.286835443038</v>
      </c>
      <c r="AO33" s="157" t="n">
        <f aca="false">IFERROR('Price History'!V3+(INDEX('Price History'!V:V,MATCH(9.99E+307,'Returns (Calc)'!$A:$A)+1)-'Price History'!V3)*(ROW()-3)/(MATCH(9.99E+307,'Returns (Calc)'!$A:$A)-3),"")</f>
        <v>259.369873417722</v>
      </c>
      <c r="AP33" s="155" t="n">
        <f aca="false">IFERROR(IF(OR(NOT(ISNUMBER('Price History'!W34)),NOT(ISNUMBER('Price History'!W33)),'Price History'!W33=0),"",'Price History'!W34/'Price History'!W33-1),"")</f>
        <v>-0.00138045278851451</v>
      </c>
      <c r="AQ33" s="155" t="str">
        <f aca="false">IFERROR(IF(OR(NOT(ISNUMBER('Price History'!X34)),NOT(ISNUMBER('Price History'!X33)),'Price History'!X33=0),"",'Price History'!X34/'Price History'!X33-1),"")</f>
        <v/>
      </c>
      <c r="AR33" s="155" t="n">
        <f aca="false">IFERROR(IF(OR(NOT(ISNUMBER('Price History'!Y34)),NOT(ISNUMBER('Price History'!Y33)),'Price History'!Y33=0),"",'Price History'!Y34/'Price History'!Y33-1),"")</f>
        <v>-0.0132464712269272</v>
      </c>
      <c r="AS33" s="155" t="n">
        <f aca="false">IFERROR(IF(OR(NOT(ISNUMBER('Price History'!Z34)),NOT(ISNUMBER('Price History'!Z33)),'Price History'!Z33=0),"",'Price History'!Z34/'Price History'!Z33-1),"")</f>
        <v>-0.0424639580602882</v>
      </c>
      <c r="AT33" s="155" t="n">
        <f aca="false">IFERROR(IF(OR(NOT(ISNUMBER('Price History'!AA34)),NOT(ISNUMBER('Price History'!AA33)),'Price History'!AA33=0),"",'Price History'!AA34/'Price History'!AA33-1),"")</f>
        <v>-0.108863198458574</v>
      </c>
      <c r="AU33" s="155" t="n">
        <f aca="false">IFERROR(IF(OR(NOT(ISNUMBER('Price History'!AB34)),NOT(ISNUMBER('Price History'!AB33)),'Price History'!AB33=0),"",'Price History'!AB34/'Price History'!AB33-1),"")</f>
        <v>-0.0404372641965755</v>
      </c>
    </row>
    <row r="34" customFormat="false" ht="15" hidden="false" customHeight="true" outlineLevel="0" collapsed="false">
      <c r="A34" s="153" t="n">
        <f aca="false">IF('Price History'!A35="","",'Price History'!A35)</f>
        <v>45408</v>
      </c>
      <c r="B34" s="154" t="n">
        <f aca="false">IFERROR(IF(OR(NOT(ISNUMBER('Price History'!B35)),NOT(ISNUMBER('Price History'!B34)),'Price History'!B34=0),"",'Price History'!B35/'Price History'!B34-1),"")</f>
        <v>0.0269665820824911</v>
      </c>
      <c r="C34" s="154" t="n">
        <f aca="false">IFERROR(IF(OR(NOT(ISNUMBER('Price History'!C35)),NOT(ISNUMBER('Price History'!C34)),'Price History'!C34=0),"",'Price History'!C35/'Price History'!C34-1),"")</f>
        <v>0.0757477243172953</v>
      </c>
      <c r="D34" s="154" t="n">
        <f aca="false">IFERROR(IF(OR(NOT(ISNUMBER('Price History'!D35)),NOT(ISNUMBER('Price History'!D34)),'Price History'!D34=0),"",'Price History'!D35/'Price History'!D34-1),"")</f>
        <v>0.0713607106381968</v>
      </c>
      <c r="E34" s="154" t="n">
        <f aca="false">IFERROR(IF(OR(NOT(ISNUMBER('Price History'!E35)),NOT(ISNUMBER('Price History'!E34)),'Price History'!E34=0),"",'Price History'!E35/'Price History'!E34-1),"")</f>
        <v>0.115672276049635</v>
      </c>
      <c r="F34" s="154" t="n">
        <f aca="false">IFERROR(IF(OR(NOT(ISNUMBER('Price History'!F35)),NOT(ISNUMBER('Price History'!F34)),'Price History'!F34=0),"",'Price History'!F35/'Price History'!F34-1),"")</f>
        <v>0.0758562128502689</v>
      </c>
      <c r="G34" s="154" t="n">
        <f aca="false">IFERROR(IF(OR(NOT(ISNUMBER('Price History'!G35)),NOT(ISNUMBER('Price History'!G34)),'Price History'!G34=0),"",'Price History'!G35/'Price History'!G34-1),"")</f>
        <v>0.124432186891629</v>
      </c>
      <c r="H34" s="154" t="n">
        <f aca="false">IFERROR(IF(OR(NOT(ISNUMBER('Price History'!H35)),NOT(ISNUMBER('Price History'!H34)),'Price History'!H34=0),"",'Price History'!H35/'Price History'!H34-1),"")</f>
        <v>0.0755589095368361</v>
      </c>
      <c r="I34" s="154" t="n">
        <f aca="false">IFERROR(IF(OR(NOT(ISNUMBER('Price History'!I35)),NOT(ISNUMBER('Price History'!I34)),'Price History'!I34=0),"",'Price History'!I35/'Price History'!I34-1),"")</f>
        <v>0.151487233482495</v>
      </c>
      <c r="J34" s="154" t="n">
        <f aca="false">IFERROR(IF(OR(NOT(ISNUMBER('Price History'!J35)),NOT(ISNUMBER('Price History'!J34)),'Price History'!J34=0),"",'Price History'!J35/'Price History'!J34-1),"")</f>
        <v>0.00556372034432084</v>
      </c>
      <c r="K34" s="154" t="n">
        <f aca="false">IFERROR(IF(OR(NOT(ISNUMBER('Price History'!K35)),NOT(ISNUMBER('Price History'!K34)),'Price History'!K34=0),"",'Price History'!K35/'Price History'!K34-1),"")</f>
        <v>0.100146555935515</v>
      </c>
      <c r="L34" s="154" t="n">
        <f aca="false">IFERROR(IF(OR(NOT(ISNUMBER('Price History'!L35)),NOT(ISNUMBER('Price History'!L34)),'Price History'!L34=0),"",'Price History'!L35/'Price History'!L34-1),"")</f>
        <v>0.0830572836713259</v>
      </c>
      <c r="M34" s="154" t="n">
        <f aca="false">IFERROR(IF(OR(NOT(ISNUMBER('Price History'!M35)),NOT(ISNUMBER('Price History'!M34)),'Price History'!M34=0),"",'Price History'!M35/'Price History'!M34-1),"")</f>
        <v>0.246289610910549</v>
      </c>
      <c r="N34" s="154" t="n">
        <f aca="false">IFERROR(IF(OR(NOT(ISNUMBER('Price History'!N35)),NOT(ISNUMBER('Price History'!N34)),'Price History'!N34=0),"",'Price History'!N35/'Price History'!N34-1),"")</f>
        <v>0.00811605965303852</v>
      </c>
      <c r="O34" s="154" t="n">
        <f aca="false">IFERROR(IF(OR(NOT(ISNUMBER('Price History'!O35)),NOT(ISNUMBER('Price History'!O34)),'Price History'!O34=0),"",'Price History'!O35/'Price History'!O34-1),"")</f>
        <v>0.0248080330773774</v>
      </c>
      <c r="P34" s="154" t="n">
        <f aca="false">IFERROR(IF(OR(NOT(ISNUMBER('Price History'!P35)),NOT(ISNUMBER('Price History'!P34)),'Price History'!P34=0),"",'Price History'!P35/'Price History'!P34-1),"")</f>
        <v>0.00912610619469012</v>
      </c>
      <c r="Q34" s="154" t="n">
        <f aca="false">IFERROR(IF(OR(NOT(ISNUMBER('Price History'!Q35)),NOT(ISNUMBER('Price History'!Q34)),'Price History'!Q34=0),"",'Price History'!Q35/'Price History'!Q34-1),"")</f>
        <v>0.0205761316872428</v>
      </c>
      <c r="R34" s="154" t="n">
        <f aca="false">IFERROR(IF(OR(NOT(ISNUMBER('Price History'!R35)),NOT(ISNUMBER('Price History'!R34)),'Price History'!R34=0),"",'Price History'!R35/'Price History'!R34-1),"")</f>
        <v>0.0358814352574104</v>
      </c>
      <c r="S34" s="154" t="n">
        <f aca="false">IFERROR(IF(OR(NOT(ISNUMBER('Price History'!S35)),NOT(ISNUMBER('Price History'!S34)),'Price History'!S34=0),"",'Price History'!S35/'Price History'!S34-1),"")</f>
        <v>0.0300598476605007</v>
      </c>
      <c r="T34" s="154" t="n">
        <f aca="false">IFERROR(IF(OR(NOT(ISNUMBER('Price History'!T35)),NOT(ISNUMBER('Price History'!T34)),'Price History'!T34=0),"",'Price History'!T35/'Price History'!T34-1),"")</f>
        <v>0.0123580494321975</v>
      </c>
      <c r="U34" s="154" t="n">
        <f aca="false">IFERROR(IF(OR(NOT(ISNUMBER('Price History'!U35)),NOT(ISNUMBER('Price History'!U34)),'Price History'!U34=0),"",'Price History'!U35/'Price History'!U34-1),"")</f>
        <v>0.010720411663808</v>
      </c>
      <c r="V34" s="155" t="n">
        <f aca="false">IFERROR(IF(OR(NOT(ISNUMBER('Price History'!V35)),NOT(ISNUMBER('Price History'!V34)),'Price History'!V34=0),"",'Price History'!V35/'Price History'!V34-1),"")</f>
        <v>0.0175637393767705</v>
      </c>
      <c r="W34" s="156" t="n">
        <f aca="false">IFERROR('Price History'!B3+(INDEX('Price History'!B:B,MATCH(9.99E+307,'Returns (Calc)'!$A:$A)+1)-'Price History'!B3)*(ROW()-3)/(MATCH(9.99E+307,'Returns (Calc)'!$A:$A)-3),"")</f>
        <v>471.75582278481</v>
      </c>
      <c r="X34" s="156" t="n">
        <f aca="false">IFERROR('Price History'!C3+(INDEX('Price History'!C:C,MATCH(9.99E+307,'Returns (Calc)'!$A:$A)+1)-'Price History'!C3)*(ROW()-3)/(MATCH(9.99E+307,'Returns (Calc)'!$A:$A)-3),"")</f>
        <v>77.8019620253165</v>
      </c>
      <c r="Y34" s="156" t="n">
        <f aca="false">IFERROR('Price History'!D3+(INDEX('Price History'!D:D,MATCH(9.99E+307,'Returns (Calc)'!$A:$A)+1)-'Price History'!D3)*(ROW()-3)/(MATCH(9.99E+307,'Returns (Calc)'!$A:$A)-3),"")</f>
        <v>834.189113924051</v>
      </c>
      <c r="Z34" s="156" t="n">
        <f aca="false">IFERROR('Price History'!E3+(INDEX('Price History'!E:E,MATCH(9.99E+307,'Returns (Calc)'!$A:$A)+1)-'Price History'!E3)*(ROW()-3)/(MATCH(9.99E+307,'Returns (Calc)'!$A:$A)-3),"")</f>
        <v>135.590759493671</v>
      </c>
      <c r="AA34" s="156" t="n">
        <f aca="false">IFERROR('Price History'!F3+(INDEX('Price History'!F:F,MATCH(9.99E+307,'Returns (Calc)'!$A:$A)+1)-'Price History'!F3)*(ROW()-3)/(MATCH(9.99E+307,'Returns (Calc)'!$A:$A)-3),"")</f>
        <v>86.2275949367089</v>
      </c>
      <c r="AB34" s="156" t="n">
        <f aca="false">IFERROR('Price History'!G3+(INDEX('Price History'!G:G,MATCH(9.99E+307,'Returns (Calc)'!$A:$A)+1)-'Price History'!G3)*(ROW()-3)/(MATCH(9.99E+307,'Returns (Calc)'!$A:$A)-3),"")</f>
        <v>76.2407594936709</v>
      </c>
      <c r="AC34" s="156" t="n">
        <f aca="false">IFERROR('Price History'!H3+(INDEX('Price History'!H:H,MATCH(9.99E+307,'Returns (Calc)'!$A:$A)+1)-'Price History'!H3)*(ROW()-3)/(MATCH(9.99E+307,'Returns (Calc)'!$A:$A)-3),"")</f>
        <v>266.446582278481</v>
      </c>
      <c r="AD34" s="156" t="n">
        <f aca="false">IFERROR('Price History'!I3+(INDEX('Price History'!I:I,MATCH(9.99E+307,'Returns (Calc)'!$A:$A)+1)-'Price History'!I3)*(ROW()-3)/(MATCH(9.99E+307,'Returns (Calc)'!$A:$A)-3),"")</f>
        <v>81.0837974683544</v>
      </c>
      <c r="AE34" s="156" t="n">
        <f aca="false">IFERROR('Price History'!J3+(INDEX('Price History'!J:J,MATCH(9.99E+307,'Returns (Calc)'!$A:$A)+1)-'Price History'!J3)*(ROW()-3)/(MATCH(9.99E+307,'Returns (Calc)'!$A:$A)-3),"")</f>
        <v>115.18917721519</v>
      </c>
      <c r="AF34" s="156" t="n">
        <f aca="false">IFERROR('Price History'!K3+(INDEX('Price History'!K:K,MATCH(9.99E+307,'Returns (Calc)'!$A:$A)+1)-'Price History'!K3)*(ROW()-3)/(MATCH(9.99E+307,'Returns (Calc)'!$A:$A)-3),"")</f>
        <v>49.3554430379747</v>
      </c>
      <c r="AG34" s="156" t="n">
        <f aca="false">IFERROR('Price History'!L3+(INDEX('Price History'!L:L,MATCH(9.99E+307,'Returns (Calc)'!$A:$A)+1)-'Price History'!L3)*(ROW()-3)/(MATCH(9.99E+307,'Returns (Calc)'!$A:$A)-3),"")</f>
        <v>161.686265822785</v>
      </c>
      <c r="AH34" s="156" t="n">
        <f aca="false">IFERROR('Price History'!M3+(INDEX('Price History'!M:M,MATCH(9.99E+307,'Returns (Calc)'!$A:$A)+1)-'Price History'!M3)*(ROW()-3)/(MATCH(9.99E+307,'Returns (Calc)'!$A:$A)-3),"")</f>
        <v>80.0387341772152</v>
      </c>
      <c r="AI34" s="156" t="n">
        <f aca="false">IFERROR('Price History'!N3+(INDEX('Price History'!N:N,MATCH(9.99E+307,'Returns (Calc)'!$A:$A)+1)-'Price History'!N3)*(ROW()-3)/(MATCH(9.99E+307,'Returns (Calc)'!$A:$A)-3),"")</f>
        <v>379.474240506329</v>
      </c>
      <c r="AJ34" s="156" t="n">
        <f aca="false">IFERROR('Price History'!O3+(INDEX('Price History'!O:O,MATCH(9.99E+307,'Returns (Calc)'!$A:$A)+1)-'Price History'!O3)*(ROW()-3)/(MATCH(9.99E+307,'Returns (Calc)'!$A:$A)-3),"")</f>
        <v>84.0841772151899</v>
      </c>
      <c r="AK34" s="156" t="n">
        <f aca="false">IFERROR('Price History'!Q3+(INDEX('Price History'!Q:Q,MATCH(9.99E+307,'Returns (Calc)'!$A:$A)+1)-'Price History'!Q3)*(ROW()-3)/(MATCH(9.99E+307,'Returns (Calc)'!$A:$A)-3),"")</f>
        <v>13.6203797468354</v>
      </c>
      <c r="AL34" s="156" t="n">
        <f aca="false">IFERROR('Price History'!R3+(INDEX('Price History'!R:R,MATCH(9.99E+307,'Returns (Calc)'!$A:$A)+1)-'Price History'!R3)*(ROW()-3)/(MATCH(9.99E+307,'Returns (Calc)'!$A:$A)-3),"")</f>
        <v>39.6911392405063</v>
      </c>
      <c r="AM34" s="156" t="n">
        <f aca="false">IFERROR('Price History'!S3+(INDEX('Price History'!S:S,MATCH(9.99E+307,'Returns (Calc)'!$A:$A)+1)-'Price History'!S3)*(ROW()-3)/(MATCH(9.99E+307,'Returns (Calc)'!$A:$A)-3),"")</f>
        <v>76.3869620253165</v>
      </c>
      <c r="AN34" s="156" t="n">
        <f aca="false">IFERROR('Price History'!T3+(INDEX('Price History'!T:T,MATCH(9.99E+307,'Returns (Calc)'!$A:$A)+1)-'Price History'!T3)*(ROW()-3)/(MATCH(9.99E+307,'Returns (Calc)'!$A:$A)-3),"")</f>
        <v>30.4550632911392</v>
      </c>
      <c r="AO34" s="157" t="n">
        <f aca="false">IFERROR('Price History'!V3+(INDEX('Price History'!V:V,MATCH(9.99E+307,'Returns (Calc)'!$A:$A)+1)-'Price History'!V3)*(ROW()-3)/(MATCH(9.99E+307,'Returns (Calc)'!$A:$A)-3),"")</f>
        <v>260.161202531646</v>
      </c>
      <c r="AP34" s="155" t="n">
        <f aca="false">IFERROR(IF(OR(NOT(ISNUMBER('Price History'!W35)),NOT(ISNUMBER('Price History'!W34)),'Price History'!W34=0),"",'Price History'!W35/'Price History'!W34-1),"")</f>
        <v>0.0123490922495622</v>
      </c>
      <c r="AQ34" s="155" t="str">
        <f aca="false">IFERROR(IF(OR(NOT(ISNUMBER('Price History'!X35)),NOT(ISNUMBER('Price History'!X34)),'Price History'!X34=0),"",'Price History'!X35/'Price History'!X34-1),"")</f>
        <v/>
      </c>
      <c r="AR34" s="155" t="n">
        <f aca="false">IFERROR(IF(OR(NOT(ISNUMBER('Price History'!Y35)),NOT(ISNUMBER('Price History'!Y34)),'Price History'!Y34=0),"",'Price History'!Y35/'Price History'!Y34-1),"")</f>
        <v>0.0149647887323943</v>
      </c>
      <c r="AS34" s="155" t="n">
        <f aca="false">IFERROR(IF(OR(NOT(ISNUMBER('Price History'!Z35)),NOT(ISNUMBER('Price History'!Z34)),'Price History'!Z34=0),"",'Price History'!Z35/'Price History'!Z34-1),"")</f>
        <v>0.0964960306597318</v>
      </c>
      <c r="AT34" s="155" t="n">
        <f aca="false">IFERROR(IF(OR(NOT(ISNUMBER('Price History'!AA35)),NOT(ISNUMBER('Price History'!AA34)),'Price History'!AA34=0),"",'Price History'!AA35/'Price History'!AA34-1),"")</f>
        <v>0.0111711711711711</v>
      </c>
      <c r="AU34" s="155" t="n">
        <f aca="false">IFERROR(IF(OR(NOT(ISNUMBER('Price History'!AB35)),NOT(ISNUMBER('Price History'!AB34)),'Price History'!AB34=0),"",'Price History'!AB35/'Price History'!AB34-1),"")</f>
        <v>0.0127533017441275</v>
      </c>
    </row>
    <row r="35" customFormat="false" ht="15" hidden="false" customHeight="true" outlineLevel="0" collapsed="false">
      <c r="A35" s="153" t="n">
        <f aca="false">IF('Price History'!A36="","",'Price History'!A36)</f>
        <v>45415</v>
      </c>
      <c r="B35" s="154" t="n">
        <f aca="false">IFERROR(IF(OR(NOT(ISNUMBER('Price History'!B36)),NOT(ISNUMBER('Price History'!B35)),'Price History'!B35=0),"",'Price History'!B36/'Price History'!B35-1),"")</f>
        <v>0.0180500879470642</v>
      </c>
      <c r="C35" s="154" t="n">
        <f aca="false">IFERROR(IF(OR(NOT(ISNUMBER('Price History'!C36)),NOT(ISNUMBER('Price History'!C35)),'Price History'!C35=0),"",'Price History'!C36/'Price History'!C35-1),"")</f>
        <v>0.0365669386521605</v>
      </c>
      <c r="D35" s="154" t="n">
        <f aca="false">IFERROR(IF(OR(NOT(ISNUMBER('Price History'!D36)),NOT(ISNUMBER('Price History'!D35)),'Price History'!D35=0),"",'Price History'!D36/'Price History'!D35-1),"")</f>
        <v>-0.0188660422324447</v>
      </c>
      <c r="E35" s="154" t="n">
        <f aca="false">IFERROR(IF(OR(NOT(ISNUMBER('Price History'!E36)),NOT(ISNUMBER('Price History'!E35)),'Price History'!E35=0),"",'Price History'!E36/'Price History'!E35-1),"")</f>
        <v>-0.0490591909804221</v>
      </c>
      <c r="F35" s="154" t="n">
        <f aca="false">IFERROR(IF(OR(NOT(ISNUMBER('Price History'!F36)),NOT(ISNUMBER('Price History'!F35)),'Price History'!F35=0),"",'Price History'!F36/'Price History'!F35-1),"")</f>
        <v>0.0201262825572217</v>
      </c>
      <c r="G35" s="154" t="n">
        <f aca="false">IFERROR(IF(OR(NOT(ISNUMBER('Price History'!G36)),NOT(ISNUMBER('Price History'!G35)),'Price History'!G35=0),"",'Price History'!G36/'Price History'!G35-1),"")</f>
        <v>-0.0137065358534122</v>
      </c>
      <c r="H35" s="154" t="n">
        <f aca="false">IFERROR(IF(OR(NOT(ISNUMBER('Price History'!H36)),NOT(ISNUMBER('Price History'!H35)),'Price History'!H35=0),"",'Price History'!H36/'Price History'!H35-1),"")</f>
        <v>-0.00122785476232246</v>
      </c>
      <c r="I35" s="154" t="n">
        <f aca="false">IFERROR(IF(OR(NOT(ISNUMBER('Price History'!I36)),NOT(ISNUMBER('Price History'!I35)),'Price History'!I35=0),"",'Price History'!I36/'Price History'!I35-1),"")</f>
        <v>0.0120013715853242</v>
      </c>
      <c r="J35" s="154" t="n">
        <f aca="false">IFERROR(IF(OR(NOT(ISNUMBER('Price History'!J36)),NOT(ISNUMBER('Price History'!J35)),'Price History'!J35=0),"",'Price History'!J36/'Price History'!J35-1),"")</f>
        <v>0.0175383651738177</v>
      </c>
      <c r="K35" s="154" t="n">
        <f aca="false">IFERROR(IF(OR(NOT(ISNUMBER('Price History'!K36)),NOT(ISNUMBER('Price History'!K35)),'Price History'!K35=0),"",'Price History'!K36/'Price History'!K35-1),"")</f>
        <v>0.0359680284191828</v>
      </c>
      <c r="L35" s="154" t="n">
        <f aca="false">IFERROR(IF(OR(NOT(ISNUMBER('Price History'!L36)),NOT(ISNUMBER('Price History'!L35)),'Price History'!L35=0),"",'Price History'!L36/'Price History'!L35-1),"")</f>
        <v>0.023573293547184</v>
      </c>
      <c r="M35" s="154" t="n">
        <f aca="false">IFERROR(IF(OR(NOT(ISNUMBER('Price History'!M36)),NOT(ISNUMBER('Price History'!M35)),'Price History'!M35=0),"",'Price History'!M36/'Price History'!M35-1),"")</f>
        <v>-0.0051496620534276</v>
      </c>
      <c r="N35" s="154" t="n">
        <f aca="false">IFERROR(IF(OR(NOT(ISNUMBER('Price History'!N36)),NOT(ISNUMBER('Price History'!N35)),'Price History'!N35=0),"",'Price History'!N36/'Price History'!N35-1),"")</f>
        <v>0.00905705947469038</v>
      </c>
      <c r="O35" s="154" t="n">
        <f aca="false">IFERROR(IF(OR(NOT(ISNUMBER('Price History'!O36)),NOT(ISNUMBER('Price History'!O35)),'Price History'!O35=0),"",'Price History'!O36/'Price History'!O35-1),"")</f>
        <v>0.00680115273775228</v>
      </c>
      <c r="P35" s="154" t="n">
        <f aca="false">IFERROR(IF(OR(NOT(ISNUMBER('Price History'!P36)),NOT(ISNUMBER('Price History'!P35)),'Price History'!P35=0),"",'Price History'!P36/'Price History'!P35-1),"")</f>
        <v>0.0122407965652691</v>
      </c>
      <c r="Q35" s="154" t="n">
        <f aca="false">IFERROR(IF(OR(NOT(ISNUMBER('Price History'!Q36)),NOT(ISNUMBER('Price History'!Q35)),'Price History'!Q35=0),"",'Price History'!Q36/'Price History'!Q35-1),"")</f>
        <v>0.00421554252199408</v>
      </c>
      <c r="R35" s="154" t="n">
        <f aca="false">IFERROR(IF(OR(NOT(ISNUMBER('Price History'!R36)),NOT(ISNUMBER('Price History'!R35)),'Price History'!R35=0),"",'Price History'!R36/'Price History'!R35-1),"")</f>
        <v>0.0100401606425702</v>
      </c>
      <c r="S35" s="154" t="n">
        <f aca="false">IFERROR(IF(OR(NOT(ISNUMBER('Price History'!S36)),NOT(ISNUMBER('Price History'!S35)),'Price History'!S35=0),"",'Price History'!S36/'Price History'!S35-1),"")</f>
        <v>0.00977155684669206</v>
      </c>
      <c r="T35" s="154" t="n">
        <f aca="false">IFERROR(IF(OR(NOT(ISNUMBER('Price History'!T36)),NOT(ISNUMBER('Price History'!T35)),'Price History'!T35=0),"",'Price History'!T36/'Price History'!T35-1),"")</f>
        <v>-0.0155064335202902</v>
      </c>
      <c r="U35" s="154" t="n">
        <f aca="false">IFERROR(IF(OR(NOT(ISNUMBER('Price History'!U36)),NOT(ISNUMBER('Price History'!U35)),'Price History'!U35=0),"",'Price History'!U36/'Price History'!U35-1),"")</f>
        <v>0.0063640220619432</v>
      </c>
      <c r="V35" s="155" t="n">
        <f aca="false">IFERROR(IF(OR(NOT(ISNUMBER('Price History'!V36)),NOT(ISNUMBER('Price History'!V35)),'Price History'!V35=0),"",'Price History'!V36/'Price History'!V35-1),"")</f>
        <v>-0.0219376391982181</v>
      </c>
      <c r="W35" s="156" t="n">
        <f aca="false">IFERROR('Price History'!B3+(INDEX('Price History'!B:B,MATCH(9.99E+307,'Returns (Calc)'!$A:$A)+1)-'Price History'!B3)*(ROW()-3)/(MATCH(9.99E+307,'Returns (Calc)'!$A:$A)-3),"")</f>
        <v>469.912784810127</v>
      </c>
      <c r="X35" s="156" t="n">
        <f aca="false">IFERROR('Price History'!C3+(INDEX('Price History'!C:C,MATCH(9.99E+307,'Returns (Calc)'!$A:$A)+1)-'Price History'!C3)*(ROW()-3)/(MATCH(9.99E+307,'Returns (Calc)'!$A:$A)-3),"")</f>
        <v>78.8220253164557</v>
      </c>
      <c r="Y35" s="156" t="n">
        <f aca="false">IFERROR('Price History'!D3+(INDEX('Price History'!D:D,MATCH(9.99E+307,'Returns (Calc)'!$A:$A)+1)-'Price History'!D3)*(ROW()-3)/(MATCH(9.99E+307,'Returns (Calc)'!$A:$A)-3),"")</f>
        <v>842.323924050633</v>
      </c>
      <c r="Z35" s="156" t="n">
        <f aca="false">IFERROR('Price History'!E3+(INDEX('Price History'!E:E,MATCH(9.99E+307,'Returns (Calc)'!$A:$A)+1)-'Price History'!E3)*(ROW()-3)/(MATCH(9.99E+307,'Returns (Calc)'!$A:$A)-3),"")</f>
        <v>137.319493670886</v>
      </c>
      <c r="AA35" s="156" t="n">
        <f aca="false">IFERROR('Price History'!F3+(INDEX('Price History'!F:F,MATCH(9.99E+307,'Returns (Calc)'!$A:$A)+1)-'Price History'!F3)*(ROW()-3)/(MATCH(9.99E+307,'Returns (Calc)'!$A:$A)-3),"")</f>
        <v>87.6749367088608</v>
      </c>
      <c r="AB35" s="156" t="n">
        <f aca="false">IFERROR('Price History'!G3+(INDEX('Price History'!G:G,MATCH(9.99E+307,'Returns (Calc)'!$A:$A)+1)-'Price History'!G3)*(ROW()-3)/(MATCH(9.99E+307,'Returns (Calc)'!$A:$A)-3),"")</f>
        <v>77.2694936708861</v>
      </c>
      <c r="AC35" s="156" t="n">
        <f aca="false">IFERROR('Price History'!H3+(INDEX('Price History'!H:H,MATCH(9.99E+307,'Returns (Calc)'!$A:$A)+1)-'Price History'!H3)*(ROW()-3)/(MATCH(9.99E+307,'Returns (Calc)'!$A:$A)-3),"")</f>
        <v>272.812278481013</v>
      </c>
      <c r="AD35" s="156" t="n">
        <f aca="false">IFERROR('Price History'!I3+(INDEX('Price History'!I:I,MATCH(9.99E+307,'Returns (Calc)'!$A:$A)+1)-'Price History'!I3)*(ROW()-3)/(MATCH(9.99E+307,'Returns (Calc)'!$A:$A)-3),"")</f>
        <v>82.2874683544304</v>
      </c>
      <c r="AE35" s="156" t="n">
        <f aca="false">IFERROR('Price History'!J3+(INDEX('Price History'!J:J,MATCH(9.99E+307,'Returns (Calc)'!$A:$A)+1)-'Price History'!J3)*(ROW()-3)/(MATCH(9.99E+307,'Returns (Calc)'!$A:$A)-3),"")</f>
        <v>115.297215189873</v>
      </c>
      <c r="AF35" s="156" t="n">
        <f aca="false">IFERROR('Price History'!K3+(INDEX('Price History'!K:K,MATCH(9.99E+307,'Returns (Calc)'!$A:$A)+1)-'Price History'!K3)*(ROW()-3)/(MATCH(9.99E+307,'Returns (Calc)'!$A:$A)-3),"")</f>
        <v>50.4530379746835</v>
      </c>
      <c r="AG35" s="156" t="n">
        <f aca="false">IFERROR('Price History'!L3+(INDEX('Price History'!L:L,MATCH(9.99E+307,'Returns (Calc)'!$A:$A)+1)-'Price History'!L3)*(ROW()-3)/(MATCH(9.99E+307,'Returns (Calc)'!$A:$A)-3),"")</f>
        <v>164.13582278481</v>
      </c>
      <c r="AH35" s="156" t="n">
        <f aca="false">IFERROR('Price History'!M3+(INDEX('Price History'!M:M,MATCH(9.99E+307,'Returns (Calc)'!$A:$A)+1)-'Price History'!M3)*(ROW()-3)/(MATCH(9.99E+307,'Returns (Calc)'!$A:$A)-3),"")</f>
        <v>81.3941772151899</v>
      </c>
      <c r="AI35" s="156" t="n">
        <f aca="false">IFERROR('Price History'!N3+(INDEX('Price History'!N:N,MATCH(9.99E+307,'Returns (Calc)'!$A:$A)+1)-'Price History'!N3)*(ROW()-3)/(MATCH(9.99E+307,'Returns (Calc)'!$A:$A)-3),"")</f>
        <v>380.460506329114</v>
      </c>
      <c r="AJ35" s="156" t="n">
        <f aca="false">IFERROR('Price History'!O3+(INDEX('Price History'!O:O,MATCH(9.99E+307,'Returns (Calc)'!$A:$A)+1)-'Price History'!O3)*(ROW()-3)/(MATCH(9.99E+307,'Returns (Calc)'!$A:$A)-3),"")</f>
        <v>84.3672151898734</v>
      </c>
      <c r="AK35" s="156" t="n">
        <f aca="false">IFERROR('Price History'!Q3+(INDEX('Price History'!Q:Q,MATCH(9.99E+307,'Returns (Calc)'!$A:$A)+1)-'Price History'!Q3)*(ROW()-3)/(MATCH(9.99E+307,'Returns (Calc)'!$A:$A)-3),"")</f>
        <v>14.059746835443</v>
      </c>
      <c r="AL35" s="156" t="n">
        <f aca="false">IFERROR('Price History'!R3+(INDEX('Price History'!R:R,MATCH(9.99E+307,'Returns (Calc)'!$A:$A)+1)-'Price History'!R3)*(ROW()-3)/(MATCH(9.99E+307,'Returns (Calc)'!$A:$A)-3),"")</f>
        <v>39.8592405063291</v>
      </c>
      <c r="AM35" s="156" t="n">
        <f aca="false">IFERROR('Price History'!S3+(INDEX('Price History'!S:S,MATCH(9.99E+307,'Returns (Calc)'!$A:$A)+1)-'Price History'!S3)*(ROW()-3)/(MATCH(9.99E+307,'Returns (Calc)'!$A:$A)-3),"")</f>
        <v>76.9920253164557</v>
      </c>
      <c r="AN35" s="156" t="n">
        <f aca="false">IFERROR('Price History'!T3+(INDEX('Price History'!T:T,MATCH(9.99E+307,'Returns (Calc)'!$A:$A)+1)-'Price History'!T3)*(ROW()-3)/(MATCH(9.99E+307,'Returns (Calc)'!$A:$A)-3),"")</f>
        <v>30.6232911392405</v>
      </c>
      <c r="AO35" s="157" t="n">
        <f aca="false">IFERROR('Price History'!V3+(INDEX('Price History'!V:V,MATCH(9.99E+307,'Returns (Calc)'!$A:$A)+1)-'Price History'!V3)*(ROW()-3)/(MATCH(9.99E+307,'Returns (Calc)'!$A:$A)-3),"")</f>
        <v>260.95253164557</v>
      </c>
      <c r="AP35" s="155" t="n">
        <f aca="false">IFERROR(IF(OR(NOT(ISNUMBER('Price History'!W36)),NOT(ISNUMBER('Price History'!W35)),'Price History'!W35=0),"",'Price History'!W36/'Price History'!W35-1),"")</f>
        <v>-0.0020937642239417</v>
      </c>
      <c r="AQ35" s="155" t="str">
        <f aca="false">IFERROR(IF(OR(NOT(ISNUMBER('Price History'!X36)),NOT(ISNUMBER('Price History'!X35)),'Price History'!X35=0),"",'Price History'!X36/'Price History'!X35-1),"")</f>
        <v/>
      </c>
      <c r="AR35" s="155" t="n">
        <f aca="false">IFERROR(IF(OR(NOT(ISNUMBER('Price History'!Y36)),NOT(ISNUMBER('Price History'!Y35)),'Price History'!Y35=0),"",'Price History'!Y36/'Price History'!Y35-1),"")</f>
        <v>0.0019514310494364</v>
      </c>
      <c r="AS35" s="155" t="n">
        <f aca="false">IFERROR(IF(OR(NOT(ISNUMBER('Price History'!Z36)),NOT(ISNUMBER('Price History'!Z35)),'Price History'!Z35=0),"",'Price History'!Z36/'Price History'!Z35-1),"")</f>
        <v>0.0108600674073149</v>
      </c>
      <c r="AT35" s="155" t="n">
        <f aca="false">IFERROR(IF(OR(NOT(ISNUMBER('Price History'!AA36)),NOT(ISNUMBER('Price History'!AA35)),'Price History'!AA35=0),"",'Price History'!AA36/'Price History'!AA35-1),"")</f>
        <v>0.0322523164647186</v>
      </c>
      <c r="AU35" s="155" t="n">
        <f aca="false">IFERROR(IF(OR(NOT(ISNUMBER('Price History'!AB36)),NOT(ISNUMBER('Price History'!AB35)),'Price History'!AB35=0),"",'Price History'!AB36/'Price History'!AB35-1),"")</f>
        <v>0.0126424767308744</v>
      </c>
    </row>
    <row r="36" customFormat="false" ht="15" hidden="false" customHeight="true" outlineLevel="0" collapsed="false">
      <c r="A36" s="153" t="n">
        <f aca="false">IF('Price History'!A37="","",'Price History'!A37)</f>
        <v>45422</v>
      </c>
      <c r="B36" s="154" t="n">
        <f aca="false">IFERROR(IF(OR(NOT(ISNUMBER('Price History'!B37)),NOT(ISNUMBER('Price History'!B36)),'Price History'!B36=0),"",'Price History'!B37/'Price History'!B36-1),"")</f>
        <v>-0.00800115183676819</v>
      </c>
      <c r="C36" s="154" t="n">
        <f aca="false">IFERROR(IF(OR(NOT(ISNUMBER('Price History'!C37)),NOT(ISNUMBER('Price History'!C36)),'Price History'!C36=0),"",'Price History'!C37/'Price History'!C36-1),"")</f>
        <v>0.144460641399417</v>
      </c>
      <c r="D36" s="154" t="n">
        <f aca="false">IFERROR(IF(OR(NOT(ISNUMBER('Price History'!D37)),NOT(ISNUMBER('Price History'!D36)),'Price History'!D36=0),"",'Price History'!D37/'Price History'!D36-1),"")</f>
        <v>0.031780642391513</v>
      </c>
      <c r="E36" s="154" t="n">
        <f aca="false">IFERROR(IF(OR(NOT(ISNUMBER('Price History'!E37)),NOT(ISNUMBER('Price History'!E36)),'Price History'!E36=0),"",'Price History'!E37/'Price History'!E36-1),"")</f>
        <v>0.0427781783225185</v>
      </c>
      <c r="F36" s="154" t="n">
        <f aca="false">IFERROR(IF(OR(NOT(ISNUMBER('Price History'!F37)),NOT(ISNUMBER('Price History'!F36)),'Price History'!F36=0),"",'Price History'!F37/'Price History'!F36-1),"")</f>
        <v>0.0340425531914894</v>
      </c>
      <c r="G36" s="154" t="n">
        <f aca="false">IFERROR(IF(OR(NOT(ISNUMBER('Price History'!G37)),NOT(ISNUMBER('Price History'!G36)),'Price History'!G36=0),"",'Price History'!G37/'Price History'!G36-1),"")</f>
        <v>0.031158572264482</v>
      </c>
      <c r="H36" s="154" t="n">
        <f aca="false">IFERROR(IF(OR(NOT(ISNUMBER('Price History'!H37)),NOT(ISNUMBER('Price History'!H36)),'Price History'!H36=0),"",'Price History'!H37/'Price History'!H36-1),"")</f>
        <v>0.0570776255707763</v>
      </c>
      <c r="I36" s="154" t="n">
        <f aca="false">IFERROR(IF(OR(NOT(ISNUMBER('Price History'!I37)),NOT(ISNUMBER('Price History'!I36)),'Price History'!I36=0),"",'Price History'!I37/'Price History'!I36-1),"")</f>
        <v>0.0121978766659137</v>
      </c>
      <c r="J36" s="154" t="n">
        <f aca="false">IFERROR(IF(OR(NOT(ISNUMBER('Price History'!J37)),NOT(ISNUMBER('Price History'!J36)),'Price History'!J36=0),"",'Price History'!J37/'Price History'!J36-1),"")</f>
        <v>0.0151841592284807</v>
      </c>
      <c r="K36" s="154" t="n">
        <f aca="false">IFERROR(IF(OR(NOT(ISNUMBER('Price History'!K37)),NOT(ISNUMBER('Price History'!K36)),'Price History'!K36=0),"",'Price History'!K37/'Price History'!K36-1),"")</f>
        <v>-0.11701671667381</v>
      </c>
      <c r="L36" s="154" t="n">
        <f aca="false">IFERROR(IF(OR(NOT(ISNUMBER('Price History'!L37)),NOT(ISNUMBER('Price History'!L36)),'Price History'!L36=0),"",'Price History'!L37/'Price History'!L36-1),"")</f>
        <v>0.0543692150717876</v>
      </c>
      <c r="M36" s="154" t="n">
        <f aca="false">IFERROR(IF(OR(NOT(ISNUMBER('Price History'!M37)),NOT(ISNUMBER('Price History'!M36)),'Price History'!M36=0),"",'Price History'!M37/'Price History'!M36-1),"")</f>
        <v>0.0257737517523995</v>
      </c>
      <c r="N36" s="154" t="n">
        <f aca="false">IFERROR(IF(OR(NOT(ISNUMBER('Price History'!N37)),NOT(ISNUMBER('Price History'!N36)),'Price History'!N36=0),"",'Price History'!N37/'Price History'!N36-1),"")</f>
        <v>0.0541039194175725</v>
      </c>
      <c r="O36" s="154" t="n">
        <f aca="false">IFERROR(IF(OR(NOT(ISNUMBER('Price History'!O37)),NOT(ISNUMBER('Price History'!O36)),'Price History'!O36=0),"",'Price History'!O37/'Price History'!O36-1),"")</f>
        <v>0.0172887565834667</v>
      </c>
      <c r="P36" s="154" t="n">
        <f aca="false">IFERROR(IF(OR(NOT(ISNUMBER('Price History'!P37)),NOT(ISNUMBER('Price History'!P36)),'Price History'!P36=0),"",'Price History'!P37/'Price History'!P36-1),"")</f>
        <v>0.0247270101976356</v>
      </c>
      <c r="Q36" s="154" t="n">
        <f aca="false">IFERROR(IF(OR(NOT(ISNUMBER('Price History'!Q37)),NOT(ISNUMBER('Price History'!Q36)),'Price History'!Q36=0),"",'Price History'!Q37/'Price History'!Q36-1),"")</f>
        <v>0.0155137798868408</v>
      </c>
      <c r="R36" s="154" t="n">
        <f aca="false">IFERROR(IF(OR(NOT(ISNUMBER('Price History'!R37)),NOT(ISNUMBER('Price History'!R36)),'Price History'!R36=0),"",'Price History'!R37/'Price History'!R36-1),"")</f>
        <v>0.0139165009940356</v>
      </c>
      <c r="S36" s="154" t="n">
        <f aca="false">IFERROR(IF(OR(NOT(ISNUMBER('Price History'!S37)),NOT(ISNUMBER('Price History'!S36)),'Price History'!S36=0),"",'Price History'!S37/'Price History'!S36-1),"")</f>
        <v>0.0222309402380019</v>
      </c>
      <c r="T36" s="154" t="n">
        <f aca="false">IFERROR(IF(OR(NOT(ISNUMBER('Price History'!T37)),NOT(ISNUMBER('Price History'!T36)),'Price History'!T36=0),"",'Price History'!T37/'Price History'!T36-1),"")</f>
        <v>0.0224530831099197</v>
      </c>
      <c r="U36" s="154" t="n">
        <f aca="false">IFERROR(IF(OR(NOT(ISNUMBER('Price History'!U37)),NOT(ISNUMBER('Price History'!U36)),'Price History'!U36=0),"",'Price History'!U37/'Price History'!U36-1),"")</f>
        <v>0.0168634064080946</v>
      </c>
      <c r="V36" s="155" t="n">
        <f aca="false">IFERROR(IF(OR(NOT(ISNUMBER('Price History'!V37)),NOT(ISNUMBER('Price History'!V36)),'Price History'!V36=0),"",'Price History'!V37/'Price History'!V36-1),"")</f>
        <v>0.045618429541918</v>
      </c>
      <c r="W36" s="156" t="n">
        <f aca="false">IFERROR('Price History'!B3+(INDEX('Price History'!B:B,MATCH(9.99E+307,'Returns (Calc)'!$A:$A)+1)-'Price History'!B3)*(ROW()-3)/(MATCH(9.99E+307,'Returns (Calc)'!$A:$A)-3),"")</f>
        <v>468.069746835443</v>
      </c>
      <c r="X36" s="156" t="n">
        <f aca="false">IFERROR('Price History'!C3+(INDEX('Price History'!C:C,MATCH(9.99E+307,'Returns (Calc)'!$A:$A)+1)-'Price History'!C3)*(ROW()-3)/(MATCH(9.99E+307,'Returns (Calc)'!$A:$A)-3),"")</f>
        <v>79.8420886075949</v>
      </c>
      <c r="Y36" s="156" t="n">
        <f aca="false">IFERROR('Price History'!D3+(INDEX('Price History'!D:D,MATCH(9.99E+307,'Returns (Calc)'!$A:$A)+1)-'Price History'!D3)*(ROW()-3)/(MATCH(9.99E+307,'Returns (Calc)'!$A:$A)-3),"")</f>
        <v>850.458734177215</v>
      </c>
      <c r="Z36" s="156" t="n">
        <f aca="false">IFERROR('Price History'!E3+(INDEX('Price History'!E:E,MATCH(9.99E+307,'Returns (Calc)'!$A:$A)+1)-'Price History'!E3)*(ROW()-3)/(MATCH(9.99E+307,'Returns (Calc)'!$A:$A)-3),"")</f>
        <v>139.048227848101</v>
      </c>
      <c r="AA36" s="156" t="n">
        <f aca="false">IFERROR('Price History'!F3+(INDEX('Price History'!F:F,MATCH(9.99E+307,'Returns (Calc)'!$A:$A)+1)-'Price History'!F3)*(ROW()-3)/(MATCH(9.99E+307,'Returns (Calc)'!$A:$A)-3),"")</f>
        <v>89.1222784810127</v>
      </c>
      <c r="AB36" s="156" t="n">
        <f aca="false">IFERROR('Price History'!G3+(INDEX('Price History'!G:G,MATCH(9.99E+307,'Returns (Calc)'!$A:$A)+1)-'Price History'!G3)*(ROW()-3)/(MATCH(9.99E+307,'Returns (Calc)'!$A:$A)-3),"")</f>
        <v>78.2982278481013</v>
      </c>
      <c r="AC36" s="156" t="n">
        <f aca="false">IFERROR('Price History'!H3+(INDEX('Price History'!H:H,MATCH(9.99E+307,'Returns (Calc)'!$A:$A)+1)-'Price History'!H3)*(ROW()-3)/(MATCH(9.99E+307,'Returns (Calc)'!$A:$A)-3),"")</f>
        <v>279.177974683544</v>
      </c>
      <c r="AD36" s="156" t="n">
        <f aca="false">IFERROR('Price History'!I3+(INDEX('Price History'!I:I,MATCH(9.99E+307,'Returns (Calc)'!$A:$A)+1)-'Price History'!I3)*(ROW()-3)/(MATCH(9.99E+307,'Returns (Calc)'!$A:$A)-3),"")</f>
        <v>83.4911392405063</v>
      </c>
      <c r="AE36" s="156" t="n">
        <f aca="false">IFERROR('Price History'!J3+(INDEX('Price History'!J:J,MATCH(9.99E+307,'Returns (Calc)'!$A:$A)+1)-'Price History'!J3)*(ROW()-3)/(MATCH(9.99E+307,'Returns (Calc)'!$A:$A)-3),"")</f>
        <v>115.405253164557</v>
      </c>
      <c r="AF36" s="156" t="n">
        <f aca="false">IFERROR('Price History'!K3+(INDEX('Price History'!K:K,MATCH(9.99E+307,'Returns (Calc)'!$A:$A)+1)-'Price History'!K3)*(ROW()-3)/(MATCH(9.99E+307,'Returns (Calc)'!$A:$A)-3),"")</f>
        <v>51.5506329113924</v>
      </c>
      <c r="AG36" s="156" t="n">
        <f aca="false">IFERROR('Price History'!L3+(INDEX('Price History'!L:L,MATCH(9.99E+307,'Returns (Calc)'!$A:$A)+1)-'Price History'!L3)*(ROW()-3)/(MATCH(9.99E+307,'Returns (Calc)'!$A:$A)-3),"")</f>
        <v>166.585379746835</v>
      </c>
      <c r="AH36" s="156" t="n">
        <f aca="false">IFERROR('Price History'!M3+(INDEX('Price History'!M:M,MATCH(9.99E+307,'Returns (Calc)'!$A:$A)+1)-'Price History'!M3)*(ROW()-3)/(MATCH(9.99E+307,'Returns (Calc)'!$A:$A)-3),"")</f>
        <v>82.7496202531646</v>
      </c>
      <c r="AI36" s="156" t="n">
        <f aca="false">IFERROR('Price History'!N3+(INDEX('Price History'!N:N,MATCH(9.99E+307,'Returns (Calc)'!$A:$A)+1)-'Price History'!N3)*(ROW()-3)/(MATCH(9.99E+307,'Returns (Calc)'!$A:$A)-3),"")</f>
        <v>381.446772151899</v>
      </c>
      <c r="AJ36" s="156" t="n">
        <f aca="false">IFERROR('Price History'!O3+(INDEX('Price History'!O:O,MATCH(9.99E+307,'Returns (Calc)'!$A:$A)+1)-'Price History'!O3)*(ROW()-3)/(MATCH(9.99E+307,'Returns (Calc)'!$A:$A)-3),"")</f>
        <v>84.650253164557</v>
      </c>
      <c r="AK36" s="156" t="n">
        <f aca="false">IFERROR('Price History'!Q3+(INDEX('Price History'!Q:Q,MATCH(9.99E+307,'Returns (Calc)'!$A:$A)+1)-'Price History'!Q3)*(ROW()-3)/(MATCH(9.99E+307,'Returns (Calc)'!$A:$A)-3),"")</f>
        <v>14.4991139240506</v>
      </c>
      <c r="AL36" s="156" t="n">
        <f aca="false">IFERROR('Price History'!R3+(INDEX('Price History'!R:R,MATCH(9.99E+307,'Returns (Calc)'!$A:$A)+1)-'Price History'!R3)*(ROW()-3)/(MATCH(9.99E+307,'Returns (Calc)'!$A:$A)-3),"")</f>
        <v>40.0273417721519</v>
      </c>
      <c r="AM36" s="156" t="n">
        <f aca="false">IFERROR('Price History'!S3+(INDEX('Price History'!S:S,MATCH(9.99E+307,'Returns (Calc)'!$A:$A)+1)-'Price History'!S3)*(ROW()-3)/(MATCH(9.99E+307,'Returns (Calc)'!$A:$A)-3),"")</f>
        <v>77.5970886075949</v>
      </c>
      <c r="AN36" s="156" t="n">
        <f aca="false">IFERROR('Price History'!T3+(INDEX('Price History'!T:T,MATCH(9.99E+307,'Returns (Calc)'!$A:$A)+1)-'Price History'!T3)*(ROW()-3)/(MATCH(9.99E+307,'Returns (Calc)'!$A:$A)-3),"")</f>
        <v>30.7915189873418</v>
      </c>
      <c r="AO36" s="157" t="n">
        <f aca="false">IFERROR('Price History'!V3+(INDEX('Price History'!V:V,MATCH(9.99E+307,'Returns (Calc)'!$A:$A)+1)-'Price History'!V3)*(ROW()-3)/(MATCH(9.99E+307,'Returns (Calc)'!$A:$A)-3),"")</f>
        <v>261.743860759494</v>
      </c>
      <c r="AP36" s="155" t="n">
        <f aca="false">IFERROR(IF(OR(NOT(ISNUMBER('Price History'!W37)),NOT(ISNUMBER('Price History'!W36)),'Price History'!W36=0),"",'Price History'!W37/'Price History'!W36-1),"")</f>
        <v>0.0234446268929027</v>
      </c>
      <c r="AQ36" s="155" t="str">
        <f aca="false">IFERROR(IF(OR(NOT(ISNUMBER('Price History'!X37)),NOT(ISNUMBER('Price History'!X36)),'Price History'!X36=0),"",'Price History'!X37/'Price History'!X36-1),"")</f>
        <v/>
      </c>
      <c r="AR36" s="155" t="n">
        <f aca="false">IFERROR(IF(OR(NOT(ISNUMBER('Price History'!Y37)),NOT(ISNUMBER('Price History'!Y36)),'Price History'!Y36=0),"",'Price History'!Y37/'Price History'!Y36-1),"")</f>
        <v>0.0186106903267691</v>
      </c>
      <c r="AS36" s="155" t="n">
        <f aca="false">IFERROR(IF(OR(NOT(ISNUMBER('Price History'!Z37)),NOT(ISNUMBER('Price History'!Z36)),'Price History'!Z36=0),"",'Price History'!Z37/'Price History'!Z36-1),"")</f>
        <v>-0.0044455421091627</v>
      </c>
      <c r="AT36" s="155" t="n">
        <f aca="false">IFERROR(IF(OR(NOT(ISNUMBER('Price History'!AA37)),NOT(ISNUMBER('Price History'!AA36)),'Price History'!AA36=0),"",'Price History'!AA37/'Price History'!AA36-1),"")</f>
        <v>0.0545485931296392</v>
      </c>
      <c r="AU36" s="155" t="n">
        <f aca="false">IFERROR(IF(OR(NOT(ISNUMBER('Price History'!AB37)),NOT(ISNUMBER('Price History'!AB36)),'Price History'!AB36=0),"",'Price History'!AB37/'Price History'!AB36-1),"")</f>
        <v>0.00162202015237156</v>
      </c>
    </row>
    <row r="37" customFormat="false" ht="15" hidden="false" customHeight="true" outlineLevel="0" collapsed="false">
      <c r="A37" s="153" t="n">
        <f aca="false">IF('Price History'!A38="","",'Price History'!A38)</f>
        <v>45429</v>
      </c>
      <c r="B37" s="154" t="n">
        <f aca="false">IFERROR(IF(OR(NOT(ISNUMBER('Price History'!B38)),NOT(ISNUMBER('Price History'!B37)),'Price History'!B37=0),"",'Price History'!B38/'Price History'!B37-1),"")</f>
        <v>0.00236372307118127</v>
      </c>
      <c r="C37" s="154" t="n">
        <f aca="false">IFERROR(IF(OR(NOT(ISNUMBER('Price History'!C38)),NOT(ISNUMBER('Price History'!C37)),'Price History'!C37=0),"",'Price History'!C38/'Price History'!C37-1),"")</f>
        <v>0.0185963571519552</v>
      </c>
      <c r="D37" s="154" t="n">
        <f aca="false">IFERROR(IF(OR(NOT(ISNUMBER('Price History'!D38)),NOT(ISNUMBER('Price History'!D37)),'Price History'!D37=0),"",'Price History'!D38/'Price History'!D37-1),"")</f>
        <v>-0.00571578739898826</v>
      </c>
      <c r="E37" s="154" t="n">
        <f aca="false">IFERROR(IF(OR(NOT(ISNUMBER('Price History'!E38)),NOT(ISNUMBER('Price History'!E37)),'Price History'!E37=0),"",'Price History'!E38/'Price History'!E37-1),"")</f>
        <v>0.0468617961127757</v>
      </c>
      <c r="F37" s="154" t="n">
        <f aca="false">IFERROR(IF(OR(NOT(ISNUMBER('Price History'!F38)),NOT(ISNUMBER('Price History'!F37)),'Price History'!F37=0),"",'Price History'!F38/'Price History'!F37-1),"")</f>
        <v>0.0784387080683378</v>
      </c>
      <c r="G37" s="154" t="n">
        <f aca="false">IFERROR(IF(OR(NOT(ISNUMBER('Price History'!G38)),NOT(ISNUMBER('Price History'!G37)),'Price History'!G37=0),"",'Price History'!G38/'Price History'!G37-1),"")</f>
        <v>0.0429848205419208</v>
      </c>
      <c r="H37" s="154" t="n">
        <f aca="false">IFERROR(IF(OR(NOT(ISNUMBER('Price History'!H38)),NOT(ISNUMBER('Price History'!H37)),'Price History'!H37=0),"",'Price History'!H38/'Price History'!H37-1),"")</f>
        <v>0.0333942515368002</v>
      </c>
      <c r="I37" s="154" t="n">
        <f aca="false">IFERROR(IF(OR(NOT(ISNUMBER('Price History'!I38)),NOT(ISNUMBER('Price History'!I37)),'Price History'!I37=0),"",'Price History'!I38/'Price History'!I37-1),"")</f>
        <v>0.029011381388083</v>
      </c>
      <c r="J37" s="154" t="n">
        <f aca="false">IFERROR(IF(OR(NOT(ISNUMBER('Price History'!J38)),NOT(ISNUMBER('Price History'!J37)),'Price History'!J37=0),"",'Price History'!J38/'Price History'!J37-1),"")</f>
        <v>0.0372915613946438</v>
      </c>
      <c r="K37" s="154" t="n">
        <f aca="false">IFERROR(IF(OR(NOT(ISNUMBER('Price History'!K38)),NOT(ISNUMBER('Price History'!K37)),'Price History'!K37=0),"",'Price History'!K38/'Price History'!K37-1),"")</f>
        <v>0.0563106796116506</v>
      </c>
      <c r="L37" s="154" t="n">
        <f aca="false">IFERROR(IF(OR(NOT(ISNUMBER('Price History'!L38)),NOT(ISNUMBER('Price History'!L37)),'Price History'!L37=0),"",'Price History'!L38/'Price History'!L37-1),"")</f>
        <v>0.0162438653487249</v>
      </c>
      <c r="M37" s="154" t="n">
        <f aca="false">IFERROR(IF(OR(NOT(ISNUMBER('Price History'!M38)),NOT(ISNUMBER('Price History'!M37)),'Price History'!M37=0),"",'Price History'!M38/'Price History'!M37-1),"")</f>
        <v>0.0147182506307821</v>
      </c>
      <c r="N37" s="154" t="n">
        <f aca="false">IFERROR(IF(OR(NOT(ISNUMBER('Price History'!N38)),NOT(ISNUMBER('Price History'!N37)),'Price History'!N37=0),"",'Price History'!N38/'Price History'!N37-1),"")</f>
        <v>0.0530535976157813</v>
      </c>
      <c r="O37" s="154" t="n">
        <f aca="false">IFERROR(IF(OR(NOT(ISNUMBER('Price History'!O38)),NOT(ISNUMBER('Price History'!O37)),'Price History'!O37=0),"",'Price History'!O38/'Price History'!O37-1),"")</f>
        <v>0.0110298255486776</v>
      </c>
      <c r="P37" s="154" t="n">
        <f aca="false">IFERROR(IF(OR(NOT(ISNUMBER('Price History'!P38)),NOT(ISNUMBER('Price History'!P37)),'Price History'!P37=0),"",'Price History'!P38/'Price History'!P37-1),"")</f>
        <v>0.0121532364597094</v>
      </c>
      <c r="Q37" s="154" t="n">
        <f aca="false">IFERROR(IF(OR(NOT(ISNUMBER('Price History'!Q38)),NOT(ISNUMBER('Price History'!Q37)),'Price History'!Q37=0),"",'Price History'!Q38/'Price History'!Q37-1),"")</f>
        <v>0.01078360891445</v>
      </c>
      <c r="R37" s="154" t="n">
        <f aca="false">IFERROR(IF(OR(NOT(ISNUMBER('Price History'!R38)),NOT(ISNUMBER('Price History'!R37)),'Price History'!R37=0),"",'Price History'!R38/'Price History'!R37-1),"")</f>
        <v>0.0120098039215686</v>
      </c>
      <c r="S37" s="154" t="n">
        <f aca="false">IFERROR(IF(OR(NOT(ISNUMBER('Price History'!S38)),NOT(ISNUMBER('Price History'!S37)),'Price History'!S37=0),"",'Price History'!S38/'Price History'!S37-1),"")</f>
        <v>0.0150953051042599</v>
      </c>
      <c r="T37" s="154" t="n">
        <f aca="false">IFERROR(IF(OR(NOT(ISNUMBER('Price History'!T38)),NOT(ISNUMBER('Price History'!T37)),'Price History'!T37=0),"",'Price History'!T38/'Price History'!T37-1),"")</f>
        <v>0.0095050803015404</v>
      </c>
      <c r="U37" s="154" t="n">
        <f aca="false">IFERROR(IF(OR(NOT(ISNUMBER('Price History'!U38)),NOT(ISNUMBER('Price History'!U37)),'Price History'!U37=0),"",'Price History'!U38/'Price History'!U37-1),"")</f>
        <v>0.00995024875621886</v>
      </c>
      <c r="V37" s="155" t="n">
        <f aca="false">IFERROR(IF(OR(NOT(ISNUMBER('Price History'!V38)),NOT(ISNUMBER('Price History'!V37)),'Price History'!V37=0),"",'Price History'!V38/'Price History'!V37-1),"")</f>
        <v>-0.000435555878189553</v>
      </c>
      <c r="W37" s="156" t="n">
        <f aca="false">IFERROR('Price History'!B3+(INDEX('Price History'!B:B,MATCH(9.99E+307,'Returns (Calc)'!$A:$A)+1)-'Price History'!B3)*(ROW()-3)/(MATCH(9.99E+307,'Returns (Calc)'!$A:$A)-3),"")</f>
        <v>466.226708860759</v>
      </c>
      <c r="X37" s="156" t="n">
        <f aca="false">IFERROR('Price History'!C3+(INDEX('Price History'!C:C,MATCH(9.99E+307,'Returns (Calc)'!$A:$A)+1)-'Price History'!C3)*(ROW()-3)/(MATCH(9.99E+307,'Returns (Calc)'!$A:$A)-3),"")</f>
        <v>80.8621518987342</v>
      </c>
      <c r="Y37" s="156" t="n">
        <f aca="false">IFERROR('Price History'!D3+(INDEX('Price History'!D:D,MATCH(9.99E+307,'Returns (Calc)'!$A:$A)+1)-'Price History'!D3)*(ROW()-3)/(MATCH(9.99E+307,'Returns (Calc)'!$A:$A)-3),"")</f>
        <v>858.593544303797</v>
      </c>
      <c r="Z37" s="156" t="n">
        <f aca="false">IFERROR('Price History'!E3+(INDEX('Price History'!E:E,MATCH(9.99E+307,'Returns (Calc)'!$A:$A)+1)-'Price History'!E3)*(ROW()-3)/(MATCH(9.99E+307,'Returns (Calc)'!$A:$A)-3),"")</f>
        <v>140.776962025316</v>
      </c>
      <c r="AA37" s="156" t="n">
        <f aca="false">IFERROR('Price History'!F3+(INDEX('Price History'!F:F,MATCH(9.99E+307,'Returns (Calc)'!$A:$A)+1)-'Price History'!F3)*(ROW()-3)/(MATCH(9.99E+307,'Returns (Calc)'!$A:$A)-3),"")</f>
        <v>90.5696202531646</v>
      </c>
      <c r="AB37" s="156" t="n">
        <f aca="false">IFERROR('Price History'!G3+(INDEX('Price History'!G:G,MATCH(9.99E+307,'Returns (Calc)'!$A:$A)+1)-'Price History'!G3)*(ROW()-3)/(MATCH(9.99E+307,'Returns (Calc)'!$A:$A)-3),"")</f>
        <v>79.3269620253165</v>
      </c>
      <c r="AC37" s="156" t="n">
        <f aca="false">IFERROR('Price History'!H3+(INDEX('Price History'!H:H,MATCH(9.99E+307,'Returns (Calc)'!$A:$A)+1)-'Price History'!H3)*(ROW()-3)/(MATCH(9.99E+307,'Returns (Calc)'!$A:$A)-3),"")</f>
        <v>285.543670886076</v>
      </c>
      <c r="AD37" s="156" t="n">
        <f aca="false">IFERROR('Price History'!I3+(INDEX('Price History'!I:I,MATCH(9.99E+307,'Returns (Calc)'!$A:$A)+1)-'Price History'!I3)*(ROW()-3)/(MATCH(9.99E+307,'Returns (Calc)'!$A:$A)-3),"")</f>
        <v>84.6948101265823</v>
      </c>
      <c r="AE37" s="156" t="n">
        <f aca="false">IFERROR('Price History'!J3+(INDEX('Price History'!J:J,MATCH(9.99E+307,'Returns (Calc)'!$A:$A)+1)-'Price History'!J3)*(ROW()-3)/(MATCH(9.99E+307,'Returns (Calc)'!$A:$A)-3),"")</f>
        <v>115.513291139241</v>
      </c>
      <c r="AF37" s="156" t="n">
        <f aca="false">IFERROR('Price History'!K3+(INDEX('Price History'!K:K,MATCH(9.99E+307,'Returns (Calc)'!$A:$A)+1)-'Price History'!K3)*(ROW()-3)/(MATCH(9.99E+307,'Returns (Calc)'!$A:$A)-3),"")</f>
        <v>52.6482278481013</v>
      </c>
      <c r="AG37" s="156" t="n">
        <f aca="false">IFERROR('Price History'!L3+(INDEX('Price History'!L:L,MATCH(9.99E+307,'Returns (Calc)'!$A:$A)+1)-'Price History'!L3)*(ROW()-3)/(MATCH(9.99E+307,'Returns (Calc)'!$A:$A)-3),"")</f>
        <v>169.034936708861</v>
      </c>
      <c r="AH37" s="156" t="n">
        <f aca="false">IFERROR('Price History'!M3+(INDEX('Price History'!M:M,MATCH(9.99E+307,'Returns (Calc)'!$A:$A)+1)-'Price History'!M3)*(ROW()-3)/(MATCH(9.99E+307,'Returns (Calc)'!$A:$A)-3),"")</f>
        <v>84.1050632911392</v>
      </c>
      <c r="AI37" s="156" t="n">
        <f aca="false">IFERROR('Price History'!N3+(INDEX('Price History'!N:N,MATCH(9.99E+307,'Returns (Calc)'!$A:$A)+1)-'Price History'!N3)*(ROW()-3)/(MATCH(9.99E+307,'Returns (Calc)'!$A:$A)-3),"")</f>
        <v>382.433037974684</v>
      </c>
      <c r="AJ37" s="156" t="n">
        <f aca="false">IFERROR('Price History'!O3+(INDEX('Price History'!O:O,MATCH(9.99E+307,'Returns (Calc)'!$A:$A)+1)-'Price History'!O3)*(ROW()-3)/(MATCH(9.99E+307,'Returns (Calc)'!$A:$A)-3),"")</f>
        <v>84.9332911392405</v>
      </c>
      <c r="AK37" s="156" t="n">
        <f aca="false">IFERROR('Price History'!Q3+(INDEX('Price History'!Q:Q,MATCH(9.99E+307,'Returns (Calc)'!$A:$A)+1)-'Price History'!Q3)*(ROW()-3)/(MATCH(9.99E+307,'Returns (Calc)'!$A:$A)-3),"")</f>
        <v>14.9384810126582</v>
      </c>
      <c r="AL37" s="156" t="n">
        <f aca="false">IFERROR('Price History'!R3+(INDEX('Price History'!R:R,MATCH(9.99E+307,'Returns (Calc)'!$A:$A)+1)-'Price History'!R3)*(ROW()-3)/(MATCH(9.99E+307,'Returns (Calc)'!$A:$A)-3),"")</f>
        <v>40.1954430379747</v>
      </c>
      <c r="AM37" s="156" t="n">
        <f aca="false">IFERROR('Price History'!S3+(INDEX('Price History'!S:S,MATCH(9.99E+307,'Returns (Calc)'!$A:$A)+1)-'Price History'!S3)*(ROW()-3)/(MATCH(9.99E+307,'Returns (Calc)'!$A:$A)-3),"")</f>
        <v>78.2021518987342</v>
      </c>
      <c r="AN37" s="156" t="n">
        <f aca="false">IFERROR('Price History'!T3+(INDEX('Price History'!T:T,MATCH(9.99E+307,'Returns (Calc)'!$A:$A)+1)-'Price History'!T3)*(ROW()-3)/(MATCH(9.99E+307,'Returns (Calc)'!$A:$A)-3),"")</f>
        <v>30.959746835443</v>
      </c>
      <c r="AO37" s="157" t="n">
        <f aca="false">IFERROR('Price History'!V3+(INDEX('Price History'!V:V,MATCH(9.99E+307,'Returns (Calc)'!$A:$A)+1)-'Price History'!V3)*(ROW()-3)/(MATCH(9.99E+307,'Returns (Calc)'!$A:$A)-3),"")</f>
        <v>262.535189873418</v>
      </c>
      <c r="AP37" s="155" t="n">
        <f aca="false">IFERROR(IF(OR(NOT(ISNUMBER('Price History'!W38)),NOT(ISNUMBER('Price History'!W37)),'Price History'!W37=0),"",'Price History'!W38/'Price History'!W37-1),"")</f>
        <v>0.0136375791068724</v>
      </c>
      <c r="AQ37" s="155" t="str">
        <f aca="false">IFERROR(IF(OR(NOT(ISNUMBER('Price History'!X38)),NOT(ISNUMBER('Price History'!X37)),'Price History'!X37=0),"",'Price History'!X38/'Price History'!X37-1),"")</f>
        <v/>
      </c>
      <c r="AR37" s="155" t="n">
        <f aca="false">IFERROR(IF(OR(NOT(ISNUMBER('Price History'!Y38)),NOT(ISNUMBER('Price History'!Y37)),'Price History'!Y37=0),"",'Price History'!Y38/'Price History'!Y37-1),"")</f>
        <v>0.00488633949437012</v>
      </c>
      <c r="AS37" s="155" t="n">
        <f aca="false">IFERROR(IF(OR(NOT(ISNUMBER('Price History'!Z38)),NOT(ISNUMBER('Price History'!Z37)),'Price History'!Z37=0),"",'Price History'!Z38/'Price History'!Z37-1),"")</f>
        <v>-0.0213346564128007</v>
      </c>
      <c r="AT37" s="155" t="n">
        <f aca="false">IFERROR(IF(OR(NOT(ISNUMBER('Price History'!AA38)),NOT(ISNUMBER('Price History'!AA37)),'Price History'!AA37=0),"",'Price History'!AA38/'Price History'!AA37-1),"")</f>
        <v>0.0166966770338843</v>
      </c>
      <c r="AU37" s="155" t="n">
        <f aca="false">IFERROR(IF(OR(NOT(ISNUMBER('Price History'!AB38)),NOT(ISNUMBER('Price History'!AB37)),'Price History'!AB37=0),"",'Price History'!AB38/'Price History'!AB37-1),"")</f>
        <v>0.0318480714496026</v>
      </c>
    </row>
    <row r="38" customFormat="false" ht="15" hidden="false" customHeight="true" outlineLevel="0" collapsed="false">
      <c r="A38" s="153" t="n">
        <f aca="false">IF('Price History'!A39="","",'Price History'!A39)</f>
        <v>45436</v>
      </c>
      <c r="B38" s="154" t="n">
        <f aca="false">IFERROR(IF(OR(NOT(ISNUMBER('Price History'!B39)),NOT(ISNUMBER('Price History'!B38)),'Price History'!B38=0),"",'Price History'!B39/'Price History'!B38-1),"")</f>
        <v>-0.0165484144550401</v>
      </c>
      <c r="C38" s="154" t="n">
        <f aca="false">IFERROR(IF(OR(NOT(ISNUMBER('Price History'!C39)),NOT(ISNUMBER('Price History'!C38)),'Price History'!C38=0),"",'Price History'!C39/'Price History'!C38-1),"")</f>
        <v>-0.0416406152307115</v>
      </c>
      <c r="D38" s="154" t="n">
        <f aca="false">IFERROR(IF(OR(NOT(ISNUMBER('Price History'!D39)),NOT(ISNUMBER('Price History'!D38)),'Price History'!D38=0),"",'Price History'!D39/'Price History'!D38-1),"")</f>
        <v>0.0337870578388617</v>
      </c>
      <c r="E38" s="154" t="n">
        <f aca="false">IFERROR(IF(OR(NOT(ISNUMBER('Price History'!E39)),NOT(ISNUMBER('Price History'!E38)),'Price History'!E38=0),"",'Price History'!E39/'Price History'!E38-1),"")</f>
        <v>0.00902619798928583</v>
      </c>
      <c r="F38" s="154" t="n">
        <f aca="false">IFERROR(IF(OR(NOT(ISNUMBER('Price History'!F39)),NOT(ISNUMBER('Price History'!F38)),'Price History'!F38=0),"",'Price History'!F39/'Price History'!F38-1),"")</f>
        <v>0.0160730804810361</v>
      </c>
      <c r="G38" s="154" t="n">
        <f aca="false">IFERROR(IF(OR(NOT(ISNUMBER('Price History'!G39)),NOT(ISNUMBER('Price History'!G38)),'Price History'!G38=0),"",'Price History'!G39/'Price History'!G38-1),"")</f>
        <v>0.0420293797606095</v>
      </c>
      <c r="H38" s="154" t="n">
        <f aca="false">IFERROR(IF(OR(NOT(ISNUMBER('Price History'!H39)),NOT(ISNUMBER('Price History'!H38)),'Price History'!H38=0),"",'Price History'!H39/'Price History'!H38-1),"")</f>
        <v>0.0335209003215433</v>
      </c>
      <c r="I38" s="154" t="n">
        <f aca="false">IFERROR(IF(OR(NOT(ISNUMBER('Price History'!I39)),NOT(ISNUMBER('Price History'!I38)),'Price History'!I38=0),"",'Price History'!I39/'Price History'!I38-1),"")</f>
        <v>0.151268705270007</v>
      </c>
      <c r="J38" s="154" t="n">
        <f aca="false">IFERROR(IF(OR(NOT(ISNUMBER('Price History'!J39)),NOT(ISNUMBER('Price History'!J38)),'Price History'!J38=0),"",'Price History'!J39/'Price History'!J38-1),"")</f>
        <v>-0.0606001558846454</v>
      </c>
      <c r="K38" s="154" t="n">
        <f aca="false">IFERROR(IF(OR(NOT(ISNUMBER('Price History'!K39)),NOT(ISNUMBER('Price History'!K38)),'Price History'!K38=0),"",'Price History'!K39/'Price History'!K38-1),"")</f>
        <v>-0.0344669117647058</v>
      </c>
      <c r="L38" s="154" t="n">
        <f aca="false">IFERROR(IF(OR(NOT(ISNUMBER('Price History'!L39)),NOT(ISNUMBER('Price History'!L38)),'Price History'!L38=0),"",'Price History'!L39/'Price History'!L38-1),"")</f>
        <v>0.054822473132907</v>
      </c>
      <c r="M38" s="154" t="n">
        <f aca="false">IFERROR(IF(OR(NOT(ISNUMBER('Price History'!M39)),NOT(ISNUMBER('Price History'!M38)),'Price History'!M38=0),"",'Price History'!M39/'Price History'!M38-1),"")</f>
        <v>0.0966639038541235</v>
      </c>
      <c r="N38" s="154" t="n">
        <f aca="false">IFERROR(IF(OR(NOT(ISNUMBER('Price History'!N39)),NOT(ISNUMBER('Price History'!N38)),'Price History'!N38=0),"",'Price History'!N39/'Price History'!N38-1),"")</f>
        <v>0.0263695784012039</v>
      </c>
      <c r="O38" s="154" t="n">
        <f aca="false">IFERROR(IF(OR(NOT(ISNUMBER('Price History'!O39)),NOT(ISNUMBER('Price History'!O38)),'Price History'!O38=0),"",'Price History'!O39/'Price History'!O38-1),"")</f>
        <v>-0.0148057441834576</v>
      </c>
      <c r="P38" s="154" t="n">
        <f aca="false">IFERROR(IF(OR(NOT(ISNUMBER('Price History'!P39)),NOT(ISNUMBER('Price History'!P38)),'Price History'!P38=0),"",'Price History'!P39/'Price History'!P38-1),"")</f>
        <v>-0.0204472287479336</v>
      </c>
      <c r="Q38" s="154" t="n">
        <f aca="false">IFERROR(IF(OR(NOT(ISNUMBER('Price History'!Q39)),NOT(ISNUMBER('Price History'!Q38)),'Price History'!Q38=0),"",'Price History'!Q39/'Price History'!Q38-1),"")</f>
        <v>0.00106685633001424</v>
      </c>
      <c r="R38" s="154" t="n">
        <f aca="false">IFERROR(IF(OR(NOT(ISNUMBER('Price History'!R39)),NOT(ISNUMBER('Price History'!R38)),'Price History'!R38=0),"",'Price History'!R39/'Price History'!R38-1),"")</f>
        <v>0.00460159844998787</v>
      </c>
      <c r="S38" s="154" t="n">
        <f aca="false">IFERROR(IF(OR(NOT(ISNUMBER('Price History'!S39)),NOT(ISNUMBER('Price History'!S38)),'Price History'!S38=0),"",'Price History'!S39/'Price History'!S38-1),"")</f>
        <v>0.019533711405167</v>
      </c>
      <c r="T38" s="154" t="n">
        <f aca="false">IFERROR(IF(OR(NOT(ISNUMBER('Price History'!T39)),NOT(ISNUMBER('Price History'!T38)),'Price History'!T38=0),"",'Price History'!T39/'Price History'!T38-1),"")</f>
        <v>-0.0172077922077922</v>
      </c>
      <c r="U38" s="154" t="n">
        <f aca="false">IFERROR(IF(OR(NOT(ISNUMBER('Price History'!U39)),NOT(ISNUMBER('Price History'!U38)),'Price History'!U38=0),"",'Price History'!U39/'Price History'!U38-1),"")</f>
        <v>-0.024630541871921</v>
      </c>
      <c r="V38" s="155" t="n">
        <f aca="false">IFERROR(IF(OR(NOT(ISNUMBER('Price History'!V39)),NOT(ISNUMBER('Price History'!V38)),'Price History'!V38=0),"",'Price History'!V39/'Price History'!V38-1),"")</f>
        <v>-0.0200443008097606</v>
      </c>
      <c r="W38" s="156" t="n">
        <f aca="false">IFERROR('Price History'!B3+(INDEX('Price History'!B:B,MATCH(9.99E+307,'Returns (Calc)'!$A:$A)+1)-'Price History'!B3)*(ROW()-3)/(MATCH(9.99E+307,'Returns (Calc)'!$A:$A)-3),"")</f>
        <v>464.383670886076</v>
      </c>
      <c r="X38" s="156" t="n">
        <f aca="false">IFERROR('Price History'!C3+(INDEX('Price History'!C:C,MATCH(9.99E+307,'Returns (Calc)'!$A:$A)+1)-'Price History'!C3)*(ROW()-3)/(MATCH(9.99E+307,'Returns (Calc)'!$A:$A)-3),"")</f>
        <v>81.8822151898734</v>
      </c>
      <c r="Y38" s="156" t="n">
        <f aca="false">IFERROR('Price History'!D3+(INDEX('Price History'!D:D,MATCH(9.99E+307,'Returns (Calc)'!$A:$A)+1)-'Price History'!D3)*(ROW()-3)/(MATCH(9.99E+307,'Returns (Calc)'!$A:$A)-3),"")</f>
        <v>866.72835443038</v>
      </c>
      <c r="Z38" s="156" t="n">
        <f aca="false">IFERROR('Price History'!E3+(INDEX('Price History'!E:E,MATCH(9.99E+307,'Returns (Calc)'!$A:$A)+1)-'Price History'!E3)*(ROW()-3)/(MATCH(9.99E+307,'Returns (Calc)'!$A:$A)-3),"")</f>
        <v>142.505696202532</v>
      </c>
      <c r="AA38" s="156" t="n">
        <f aca="false">IFERROR('Price History'!F3+(INDEX('Price History'!F:F,MATCH(9.99E+307,'Returns (Calc)'!$A:$A)+1)-'Price History'!F3)*(ROW()-3)/(MATCH(9.99E+307,'Returns (Calc)'!$A:$A)-3),"")</f>
        <v>92.0169620253165</v>
      </c>
      <c r="AB38" s="156" t="n">
        <f aca="false">IFERROR('Price History'!G3+(INDEX('Price History'!G:G,MATCH(9.99E+307,'Returns (Calc)'!$A:$A)+1)-'Price History'!G3)*(ROW()-3)/(MATCH(9.99E+307,'Returns (Calc)'!$A:$A)-3),"")</f>
        <v>80.3556962025317</v>
      </c>
      <c r="AC38" s="156" t="n">
        <f aca="false">IFERROR('Price History'!H3+(INDEX('Price History'!H:H,MATCH(9.99E+307,'Returns (Calc)'!$A:$A)+1)-'Price History'!H3)*(ROW()-3)/(MATCH(9.99E+307,'Returns (Calc)'!$A:$A)-3),"")</f>
        <v>291.909367088608</v>
      </c>
      <c r="AD38" s="156" t="n">
        <f aca="false">IFERROR('Price History'!I3+(INDEX('Price History'!I:I,MATCH(9.99E+307,'Returns (Calc)'!$A:$A)+1)-'Price History'!I3)*(ROW()-3)/(MATCH(9.99E+307,'Returns (Calc)'!$A:$A)-3),"")</f>
        <v>85.8984810126582</v>
      </c>
      <c r="AE38" s="156" t="n">
        <f aca="false">IFERROR('Price History'!J3+(INDEX('Price History'!J:J,MATCH(9.99E+307,'Returns (Calc)'!$A:$A)+1)-'Price History'!J3)*(ROW()-3)/(MATCH(9.99E+307,'Returns (Calc)'!$A:$A)-3),"")</f>
        <v>115.621329113924</v>
      </c>
      <c r="AF38" s="156" t="n">
        <f aca="false">IFERROR('Price History'!K3+(INDEX('Price History'!K:K,MATCH(9.99E+307,'Returns (Calc)'!$A:$A)+1)-'Price History'!K3)*(ROW()-3)/(MATCH(9.99E+307,'Returns (Calc)'!$A:$A)-3),"")</f>
        <v>53.7458227848101</v>
      </c>
      <c r="AG38" s="156" t="n">
        <f aca="false">IFERROR('Price History'!L3+(INDEX('Price History'!L:L,MATCH(9.99E+307,'Returns (Calc)'!$A:$A)+1)-'Price History'!L3)*(ROW()-3)/(MATCH(9.99E+307,'Returns (Calc)'!$A:$A)-3),"")</f>
        <v>171.484493670886</v>
      </c>
      <c r="AH38" s="156" t="n">
        <f aca="false">IFERROR('Price History'!M3+(INDEX('Price History'!M:M,MATCH(9.99E+307,'Returns (Calc)'!$A:$A)+1)-'Price History'!M3)*(ROW()-3)/(MATCH(9.99E+307,'Returns (Calc)'!$A:$A)-3),"")</f>
        <v>85.4605063291139</v>
      </c>
      <c r="AI38" s="156" t="n">
        <f aca="false">IFERROR('Price History'!N3+(INDEX('Price History'!N:N,MATCH(9.99E+307,'Returns (Calc)'!$A:$A)+1)-'Price History'!N3)*(ROW()-3)/(MATCH(9.99E+307,'Returns (Calc)'!$A:$A)-3),"")</f>
        <v>383.419303797468</v>
      </c>
      <c r="AJ38" s="156" t="n">
        <f aca="false">IFERROR('Price History'!O3+(INDEX('Price History'!O:O,MATCH(9.99E+307,'Returns (Calc)'!$A:$A)+1)-'Price History'!O3)*(ROW()-3)/(MATCH(9.99E+307,'Returns (Calc)'!$A:$A)-3),"")</f>
        <v>85.2163291139241</v>
      </c>
      <c r="AK38" s="156" t="n">
        <f aca="false">IFERROR('Price History'!Q3+(INDEX('Price History'!Q:Q,MATCH(9.99E+307,'Returns (Calc)'!$A:$A)+1)-'Price History'!Q3)*(ROW()-3)/(MATCH(9.99E+307,'Returns (Calc)'!$A:$A)-3),"")</f>
        <v>15.3778481012658</v>
      </c>
      <c r="AL38" s="156" t="n">
        <f aca="false">IFERROR('Price History'!R3+(INDEX('Price History'!R:R,MATCH(9.99E+307,'Returns (Calc)'!$A:$A)+1)-'Price History'!R3)*(ROW()-3)/(MATCH(9.99E+307,'Returns (Calc)'!$A:$A)-3),"")</f>
        <v>40.3635443037975</v>
      </c>
      <c r="AM38" s="156" t="n">
        <f aca="false">IFERROR('Price History'!S3+(INDEX('Price History'!S:S,MATCH(9.99E+307,'Returns (Calc)'!$A:$A)+1)-'Price History'!S3)*(ROW()-3)/(MATCH(9.99E+307,'Returns (Calc)'!$A:$A)-3),"")</f>
        <v>78.8072151898734</v>
      </c>
      <c r="AN38" s="156" t="n">
        <f aca="false">IFERROR('Price History'!T3+(INDEX('Price History'!T:T,MATCH(9.99E+307,'Returns (Calc)'!$A:$A)+1)-'Price History'!T3)*(ROW()-3)/(MATCH(9.99E+307,'Returns (Calc)'!$A:$A)-3),"")</f>
        <v>31.1279746835443</v>
      </c>
      <c r="AO38" s="157" t="n">
        <f aca="false">IFERROR('Price History'!V3+(INDEX('Price History'!V:V,MATCH(9.99E+307,'Returns (Calc)'!$A:$A)+1)-'Price History'!V3)*(ROW()-3)/(MATCH(9.99E+307,'Returns (Calc)'!$A:$A)-3),"")</f>
        <v>263.326518987342</v>
      </c>
      <c r="AP38" s="155" t="n">
        <f aca="false">IFERROR(IF(OR(NOT(ISNUMBER('Price History'!W39)),NOT(ISNUMBER('Price History'!W38)),'Price History'!W38=0),"",'Price History'!W39/'Price History'!W38-1),"")</f>
        <v>-0.0174991206472036</v>
      </c>
      <c r="AQ38" s="155" t="str">
        <f aca="false">IFERROR(IF(OR(NOT(ISNUMBER('Price History'!X39)),NOT(ISNUMBER('Price History'!X38)),'Price History'!X38=0),"",'Price History'!X39/'Price History'!X38-1),"")</f>
        <v/>
      </c>
      <c r="AR38" s="155" t="n">
        <f aca="false">IFERROR(IF(OR(NOT(ISNUMBER('Price History'!Y39)),NOT(ISNUMBER('Price History'!Y38)),'Price History'!Y38=0),"",'Price History'!Y39/'Price History'!Y38-1),"")</f>
        <v>-0.00803382663847774</v>
      </c>
      <c r="AS38" s="155" t="n">
        <f aca="false">IFERROR(IF(OR(NOT(ISNUMBER('Price History'!Z39)),NOT(ISNUMBER('Price History'!Z38)),'Price History'!Z38=0),"",'Price History'!Z39/'Price History'!Z38-1),"")</f>
        <v>0.0465145754119136</v>
      </c>
      <c r="AT38" s="155" t="n">
        <f aca="false">IFERROR(IF(OR(NOT(ISNUMBER('Price History'!AA39)),NOT(ISNUMBER('Price History'!AA38)),'Price History'!AA38=0),"",'Price History'!AA39/'Price History'!AA38-1),"")</f>
        <v>0.0413781999677991</v>
      </c>
      <c r="AU38" s="155" t="n">
        <f aca="false">IFERROR(IF(OR(NOT(ISNUMBER('Price History'!AB39)),NOT(ISNUMBER('Price History'!AB38)),'Price History'!AB38=0),"",'Price History'!AB39/'Price History'!AB38-1),"")</f>
        <v>-0.0303419413135494</v>
      </c>
    </row>
    <row r="39" customFormat="false" ht="15" hidden="false" customHeight="true" outlineLevel="0" collapsed="false">
      <c r="A39" s="153" t="n">
        <f aca="false">IF('Price History'!A40="","",'Price History'!A40)</f>
        <v>45443</v>
      </c>
      <c r="B39" s="154" t="n">
        <f aca="false">IFERROR(IF(OR(NOT(ISNUMBER('Price History'!B40)),NOT(ISNUMBER('Price History'!B39)),'Price History'!B39=0),"",'Price History'!B40/'Price History'!B39-1),"")</f>
        <v>-0.0645100225059421</v>
      </c>
      <c r="C39" s="154" t="n">
        <f aca="false">IFERROR(IF(OR(NOT(ISNUMBER('Price History'!C40)),NOT(ISNUMBER('Price History'!C39)),'Price History'!C39=0),"",'Price History'!C40/'Price History'!C39-1),"")</f>
        <v>-0.0290970772442589</v>
      </c>
      <c r="D39" s="154" t="n">
        <f aca="false">IFERROR(IF(OR(NOT(ISNUMBER('Price History'!D40)),NOT(ISNUMBER('Price History'!D39)),'Price History'!D39=0),"",'Price History'!D40/'Price History'!D39-1),"")</f>
        <v>0.00431438554627572</v>
      </c>
      <c r="E39" s="154" t="n">
        <f aca="false">IFERROR(IF(OR(NOT(ISNUMBER('Price History'!E40)),NOT(ISNUMBER('Price History'!E39)),'Price History'!E39=0),"",'Price History'!E40/'Price History'!E39-1),"")</f>
        <v>-0.0563636363636364</v>
      </c>
      <c r="F39" s="154" t="n">
        <f aca="false">IFERROR(IF(OR(NOT(ISNUMBER('Price History'!F40)),NOT(ISNUMBER('Price History'!F39)),'Price History'!F39=0),"",'Price History'!F40/'Price History'!F39-1),"")</f>
        <v>-0.107545237282349</v>
      </c>
      <c r="G39" s="154" t="n">
        <f aca="false">IFERROR(IF(OR(NOT(ISNUMBER('Price History'!G40)),NOT(ISNUMBER('Price History'!G39)),'Price History'!G39=0),"",'Price History'!G40/'Price History'!G39-1),"")</f>
        <v>-0.0250620023495628</v>
      </c>
      <c r="H39" s="154" t="n">
        <f aca="false">IFERROR(IF(OR(NOT(ISNUMBER('Price History'!H40)),NOT(ISNUMBER('Price History'!H39)),'Price History'!H39=0),"",'Price History'!H40/'Price History'!H39-1),"")</f>
        <v>-0.0346892743252703</v>
      </c>
      <c r="I39" s="154" t="n">
        <f aca="false">IFERROR(IF(OR(NOT(ISNUMBER('Price History'!I40)),NOT(ISNUMBER('Price History'!I39)),'Price History'!I39=0),"",'Price History'!I40/'Price History'!I39-1),"")</f>
        <v>0.0296693981350664</v>
      </c>
      <c r="J39" s="154" t="n">
        <f aca="false">IFERROR(IF(OR(NOT(ISNUMBER('Price History'!J40)),NOT(ISNUMBER('Price History'!J39)),'Price History'!J39=0),"",'Price History'!J40/'Price History'!J39-1),"")</f>
        <v>0.0548641360713544</v>
      </c>
      <c r="K39" s="154" t="n">
        <f aca="false">IFERROR(IF(OR(NOT(ISNUMBER('Price History'!K40)),NOT(ISNUMBER('Price History'!K39)),'Price History'!K39=0),"",'Price History'!K40/'Price History'!K39-1),"")</f>
        <v>0.031889576392194</v>
      </c>
      <c r="L39" s="154" t="n">
        <f aca="false">IFERROR(IF(OR(NOT(ISNUMBER('Price History'!L40)),NOT(ISNUMBER('Price History'!L39)),'Price History'!L39=0),"",'Price History'!L40/'Price History'!L39-1),"")</f>
        <v>-0.055971111684292</v>
      </c>
      <c r="M39" s="154" t="n">
        <f aca="false">IFERROR(IF(OR(NOT(ISNUMBER('Price History'!M40)),NOT(ISNUMBER('Price History'!M39)),'Price History'!M39=0),"",'Price History'!M40/'Price History'!M39-1),"")</f>
        <v>-0.0762399622106754</v>
      </c>
      <c r="N39" s="154" t="n">
        <f aca="false">IFERROR(IF(OR(NOT(ISNUMBER('Price History'!N40)),NOT(ISNUMBER('Price History'!N39)),'Price History'!N39=0),"",'Price History'!N40/'Price History'!N39-1),"")</f>
        <v>-0.00352336141809828</v>
      </c>
      <c r="O39" s="154" t="n">
        <f aca="false">IFERROR(IF(OR(NOT(ISNUMBER('Price History'!O40)),NOT(ISNUMBER('Price History'!O39)),'Price History'!O39=0),"",'Price History'!O40/'Price History'!O39-1),"")</f>
        <v>0.0107344632768362</v>
      </c>
      <c r="P39" s="154" t="n">
        <f aca="false">IFERROR(IF(OR(NOT(ISNUMBER('Price History'!P40)),NOT(ISNUMBER('Price History'!P39)),'Price History'!P39=0),"",'Price History'!P40/'Price History'!P39-1),"")</f>
        <v>0.0104814354236988</v>
      </c>
      <c r="Q39" s="154" t="n">
        <f aca="false">IFERROR(IF(OR(NOT(ISNUMBER('Price History'!Q40)),NOT(ISNUMBER('Price History'!Q39)),'Price History'!Q39=0),"",'Price History'!Q40/'Price History'!Q39-1),"")</f>
        <v>-0.00266429840142091</v>
      </c>
      <c r="R39" s="154" t="n">
        <f aca="false">IFERROR(IF(OR(NOT(ISNUMBER('Price History'!R40)),NOT(ISNUMBER('Price History'!R39)),'Price History'!R39=0),"",'Price History'!R40/'Price History'!R39-1),"")</f>
        <v>-0.00337512054001909</v>
      </c>
      <c r="S39" s="154" t="n">
        <f aca="false">IFERROR(IF(OR(NOT(ISNUMBER('Price History'!S40)),NOT(ISNUMBER('Price History'!S39)),'Price History'!S39=0),"",'Price History'!S40/'Price History'!S39-1),"")</f>
        <v>-0.0110012360939431</v>
      </c>
      <c r="T39" s="154" t="n">
        <f aca="false">IFERROR(IF(OR(NOT(ISNUMBER('Price History'!T40)),NOT(ISNUMBER('Price History'!T39)),'Price History'!T39=0),"",'Price History'!T40/'Price History'!T39-1),"")</f>
        <v>0.0115626032375289</v>
      </c>
      <c r="U39" s="154" t="n">
        <f aca="false">IFERROR(IF(OR(NOT(ISNUMBER('Price History'!U40)),NOT(ISNUMBER('Price History'!U39)),'Price History'!U39=0),"",'Price History'!U40/'Price History'!U39-1),"")</f>
        <v>0.00589225589225584</v>
      </c>
      <c r="V39" s="155" t="n">
        <f aca="false">IFERROR(IF(OR(NOT(ISNUMBER('Price History'!V40)),NOT(ISNUMBER('Price History'!V39)),'Price History'!V39=0),"",'Price History'!V40/'Price History'!V39-1),"")</f>
        <v>-0.00737392077667032</v>
      </c>
      <c r="W39" s="156" t="n">
        <f aca="false">IFERROR('Price History'!B3+(INDEX('Price History'!B:B,MATCH(9.99E+307,'Returns (Calc)'!$A:$A)+1)-'Price History'!B3)*(ROW()-3)/(MATCH(9.99E+307,'Returns (Calc)'!$A:$A)-3),"")</f>
        <v>462.540632911392</v>
      </c>
      <c r="X39" s="156" t="n">
        <f aca="false">IFERROR('Price History'!C3+(INDEX('Price History'!C:C,MATCH(9.99E+307,'Returns (Calc)'!$A:$A)+1)-'Price History'!C3)*(ROW()-3)/(MATCH(9.99E+307,'Returns (Calc)'!$A:$A)-3),"")</f>
        <v>82.9022784810127</v>
      </c>
      <c r="Y39" s="156" t="n">
        <f aca="false">IFERROR('Price History'!D3+(INDEX('Price History'!D:D,MATCH(9.99E+307,'Returns (Calc)'!$A:$A)+1)-'Price History'!D3)*(ROW()-3)/(MATCH(9.99E+307,'Returns (Calc)'!$A:$A)-3),"")</f>
        <v>874.863164556962</v>
      </c>
      <c r="Z39" s="156" t="n">
        <f aca="false">IFERROR('Price History'!E3+(INDEX('Price History'!E:E,MATCH(9.99E+307,'Returns (Calc)'!$A:$A)+1)-'Price History'!E3)*(ROW()-3)/(MATCH(9.99E+307,'Returns (Calc)'!$A:$A)-3),"")</f>
        <v>144.234430379747</v>
      </c>
      <c r="AA39" s="156" t="n">
        <f aca="false">IFERROR('Price History'!F3+(INDEX('Price History'!F:F,MATCH(9.99E+307,'Returns (Calc)'!$A:$A)+1)-'Price History'!F3)*(ROW()-3)/(MATCH(9.99E+307,'Returns (Calc)'!$A:$A)-3),"")</f>
        <v>93.4643037974684</v>
      </c>
      <c r="AB39" s="156" t="n">
        <f aca="false">IFERROR('Price History'!G3+(INDEX('Price History'!G:G,MATCH(9.99E+307,'Returns (Calc)'!$A:$A)+1)-'Price History'!G3)*(ROW()-3)/(MATCH(9.99E+307,'Returns (Calc)'!$A:$A)-3),"")</f>
        <v>81.3844303797468</v>
      </c>
      <c r="AC39" s="156" t="n">
        <f aca="false">IFERROR('Price History'!H3+(INDEX('Price History'!H:H,MATCH(9.99E+307,'Returns (Calc)'!$A:$A)+1)-'Price History'!H3)*(ROW()-3)/(MATCH(9.99E+307,'Returns (Calc)'!$A:$A)-3),"")</f>
        <v>298.275063291139</v>
      </c>
      <c r="AD39" s="156" t="n">
        <f aca="false">IFERROR('Price History'!I3+(INDEX('Price History'!I:I,MATCH(9.99E+307,'Returns (Calc)'!$A:$A)+1)-'Price History'!I3)*(ROW()-3)/(MATCH(9.99E+307,'Returns (Calc)'!$A:$A)-3),"")</f>
        <v>87.1021518987342</v>
      </c>
      <c r="AE39" s="156" t="n">
        <f aca="false">IFERROR('Price History'!J3+(INDEX('Price History'!J:J,MATCH(9.99E+307,'Returns (Calc)'!$A:$A)+1)-'Price History'!J3)*(ROW()-3)/(MATCH(9.99E+307,'Returns (Calc)'!$A:$A)-3),"")</f>
        <v>115.729367088608</v>
      </c>
      <c r="AF39" s="156" t="n">
        <f aca="false">IFERROR('Price History'!K3+(INDEX('Price History'!K:K,MATCH(9.99E+307,'Returns (Calc)'!$A:$A)+1)-'Price History'!K3)*(ROW()-3)/(MATCH(9.99E+307,'Returns (Calc)'!$A:$A)-3),"")</f>
        <v>54.843417721519</v>
      </c>
      <c r="AG39" s="156" t="n">
        <f aca="false">IFERROR('Price History'!L3+(INDEX('Price History'!L:L,MATCH(9.99E+307,'Returns (Calc)'!$A:$A)+1)-'Price History'!L3)*(ROW()-3)/(MATCH(9.99E+307,'Returns (Calc)'!$A:$A)-3),"")</f>
        <v>173.934050632911</v>
      </c>
      <c r="AH39" s="156" t="n">
        <f aca="false">IFERROR('Price History'!M3+(INDEX('Price History'!M:M,MATCH(9.99E+307,'Returns (Calc)'!$A:$A)+1)-'Price History'!M3)*(ROW()-3)/(MATCH(9.99E+307,'Returns (Calc)'!$A:$A)-3),"")</f>
        <v>86.8159493670886</v>
      </c>
      <c r="AI39" s="156" t="n">
        <f aca="false">IFERROR('Price History'!N3+(INDEX('Price History'!N:N,MATCH(9.99E+307,'Returns (Calc)'!$A:$A)+1)-'Price History'!N3)*(ROW()-3)/(MATCH(9.99E+307,'Returns (Calc)'!$A:$A)-3),"")</f>
        <v>384.405569620253</v>
      </c>
      <c r="AJ39" s="156" t="n">
        <f aca="false">IFERROR('Price History'!O3+(INDEX('Price History'!O:O,MATCH(9.99E+307,'Returns (Calc)'!$A:$A)+1)-'Price History'!O3)*(ROW()-3)/(MATCH(9.99E+307,'Returns (Calc)'!$A:$A)-3),"")</f>
        <v>85.4993670886076</v>
      </c>
      <c r="AK39" s="156" t="n">
        <f aca="false">IFERROR('Price History'!Q3+(INDEX('Price History'!Q:Q,MATCH(9.99E+307,'Returns (Calc)'!$A:$A)+1)-'Price History'!Q3)*(ROW()-3)/(MATCH(9.99E+307,'Returns (Calc)'!$A:$A)-3),"")</f>
        <v>15.8172151898734</v>
      </c>
      <c r="AL39" s="156" t="n">
        <f aca="false">IFERROR('Price History'!R3+(INDEX('Price History'!R:R,MATCH(9.99E+307,'Returns (Calc)'!$A:$A)+1)-'Price History'!R3)*(ROW()-3)/(MATCH(9.99E+307,'Returns (Calc)'!$A:$A)-3),"")</f>
        <v>40.5316455696203</v>
      </c>
      <c r="AM39" s="156" t="n">
        <f aca="false">IFERROR('Price History'!S3+(INDEX('Price History'!S:S,MATCH(9.99E+307,'Returns (Calc)'!$A:$A)+1)-'Price History'!S3)*(ROW()-3)/(MATCH(9.99E+307,'Returns (Calc)'!$A:$A)-3),"")</f>
        <v>79.4122784810127</v>
      </c>
      <c r="AN39" s="156" t="n">
        <f aca="false">IFERROR('Price History'!T3+(INDEX('Price History'!T:T,MATCH(9.99E+307,'Returns (Calc)'!$A:$A)+1)-'Price History'!T3)*(ROW()-3)/(MATCH(9.99E+307,'Returns (Calc)'!$A:$A)-3),"")</f>
        <v>31.2962025316456</v>
      </c>
      <c r="AO39" s="157" t="n">
        <f aca="false">IFERROR('Price History'!V3+(INDEX('Price History'!V:V,MATCH(9.99E+307,'Returns (Calc)'!$A:$A)+1)-'Price History'!V3)*(ROW()-3)/(MATCH(9.99E+307,'Returns (Calc)'!$A:$A)-3),"")</f>
        <v>264.117848101266</v>
      </c>
      <c r="AP39" s="155" t="n">
        <f aca="false">IFERROR(IF(OR(NOT(ISNUMBER('Price History'!W40)),NOT(ISNUMBER('Price History'!W39)),'Price History'!W39=0),"",'Price History'!W40/'Price History'!W39-1),"")</f>
        <v>0.00519108565291315</v>
      </c>
      <c r="AQ39" s="155" t="str">
        <f aca="false">IFERROR(IF(OR(NOT(ISNUMBER('Price History'!X40)),NOT(ISNUMBER('Price History'!X39)),'Price History'!X39=0),"",'Price History'!X40/'Price History'!X39-1),"")</f>
        <v/>
      </c>
      <c r="AR39" s="155" t="n">
        <f aca="false">IFERROR(IF(OR(NOT(ISNUMBER('Price History'!Y40)),NOT(ISNUMBER('Price History'!Y39)),'Price History'!Y39=0),"",'Price History'!Y40/'Price History'!Y39-1),"")</f>
        <v>-0.00170502983802212</v>
      </c>
      <c r="AS39" s="155" t="n">
        <f aca="false">IFERROR(IF(OR(NOT(ISNUMBER('Price History'!Z40)),NOT(ISNUMBER('Price History'!Z39)),'Price History'!Z39=0),"",'Price History'!Z40/'Price History'!Z39-1),"")</f>
        <v>-0.0130798110693956</v>
      </c>
      <c r="AT39" s="155" t="n">
        <f aca="false">IFERROR(IF(OR(NOT(ISNUMBER('Price History'!AA40)),NOT(ISNUMBER('Price History'!AA39)),'Price History'!AA39=0),"",'Price History'!AA40/'Price History'!AA39-1),"")</f>
        <v>-0.00803957946815104</v>
      </c>
      <c r="AU39" s="155" t="n">
        <f aca="false">IFERROR(IF(OR(NOT(ISNUMBER('Price History'!AB40)),NOT(ISNUMBER('Price History'!AB39)),'Price History'!AB39=0),"",'Price History'!AB40/'Price History'!AB39-1),"")</f>
        <v>-0.14537250478199</v>
      </c>
    </row>
    <row r="40" customFormat="false" ht="15" hidden="false" customHeight="true" outlineLevel="0" collapsed="false">
      <c r="A40" s="153" t="n">
        <f aca="false">IF('Price History'!A41="","",'Price History'!A41)</f>
        <v>45450</v>
      </c>
      <c r="B40" s="154" t="n">
        <f aca="false">IFERROR(IF(OR(NOT(ISNUMBER('Price History'!B41)),NOT(ISNUMBER('Price History'!B40)),'Price History'!B40=0),"",'Price History'!B41/'Price History'!B40-1),"")</f>
        <v>0.0464745031027971</v>
      </c>
      <c r="C40" s="154" t="n">
        <f aca="false">IFERROR(IF(OR(NOT(ISNUMBER('Price History'!C41)),NOT(ISNUMBER('Price History'!C40)),'Price History'!C40=0),"",'Price History'!C41/'Price History'!C40-1),"")</f>
        <v>-0.00282220131702715</v>
      </c>
      <c r="D40" s="154" t="n">
        <f aca="false">IFERROR(IF(OR(NOT(ISNUMBER('Price History'!D41)),NOT(ISNUMBER('Price History'!D40)),'Price History'!D40=0),"",'Price History'!D41/'Price History'!D40-1),"")</f>
        <v>0.0708868546941461</v>
      </c>
      <c r="E40" s="154" t="n">
        <f aca="false">IFERROR(IF(OR(NOT(ISNUMBER('Price History'!E41)),NOT(ISNUMBER('Price History'!E40)),'Price History'!E40=0),"",'Price History'!E41/'Price History'!E40-1),"")</f>
        <v>0.058805394990366</v>
      </c>
      <c r="F40" s="154" t="n">
        <f aca="false">IFERROR(IF(OR(NOT(ISNUMBER('Price History'!F41)),NOT(ISNUMBER('Price History'!F40)),'Price History'!F40=0),"",'Price History'!F41/'Price History'!F40-1),"")</f>
        <v>0.112981382300434</v>
      </c>
      <c r="G40" s="154" t="n">
        <f aca="false">IFERROR(IF(OR(NOT(ISNUMBER('Price History'!G41)),NOT(ISNUMBER('Price History'!G40)),'Price History'!G40=0),"",'Price History'!G41/'Price History'!G40-1),"")</f>
        <v>0.0123175793278887</v>
      </c>
      <c r="H40" s="154" t="n">
        <f aca="false">IFERROR(IF(OR(NOT(ISNUMBER('Price History'!H41)),NOT(ISNUMBER('Price History'!H40)),'Price History'!H40=0),"",'Price History'!H41/'Price History'!H40-1),"")</f>
        <v>0.0475384739344129</v>
      </c>
      <c r="I40" s="154" t="n">
        <f aca="false">IFERROR(IF(OR(NOT(ISNUMBER('Price History'!I41)),NOT(ISNUMBER('Price History'!I40)),'Price History'!I40=0),"",'Price History'!I41/'Price History'!I40-1),"")</f>
        <v>0.102634467618002</v>
      </c>
      <c r="J40" s="154" t="n">
        <f aca="false">IFERROR(IF(OR(NOT(ISNUMBER('Price History'!J41)),NOT(ISNUMBER('Price History'!J40)),'Price History'!J40=0),"",'Price History'!J41/'Price History'!J40-1),"")</f>
        <v>-0.00265460623340863</v>
      </c>
      <c r="K40" s="154" t="n">
        <f aca="false">IFERROR(IF(OR(NOT(ISNUMBER('Price History'!K41)),NOT(ISNUMBER('Price History'!K40)),'Price History'!K40=0),"",'Price History'!K41/'Price History'!K40-1),"")</f>
        <v>0.0751845018450184</v>
      </c>
      <c r="L40" s="154" t="n">
        <f aca="false">IFERROR(IF(OR(NOT(ISNUMBER('Price History'!L41)),NOT(ISNUMBER('Price History'!L40)),'Price History'!L40=0),"",'Price History'!L41/'Price History'!L40-1),"")</f>
        <v>0.0883879781420764</v>
      </c>
      <c r="M40" s="154" t="n">
        <f aca="false">IFERROR(IF(OR(NOT(ISNUMBER('Price History'!M41)),NOT(ISNUMBER('Price History'!M40)),'Price History'!M40=0),"",'Price History'!M41/'Price History'!M40-1),"")</f>
        <v>-0.105952137451422</v>
      </c>
      <c r="N40" s="154" t="n">
        <f aca="false">IFERROR(IF(OR(NOT(ISNUMBER('Price History'!N41)),NOT(ISNUMBER('Price History'!N40)),'Price History'!N40=0),"",'Price History'!N41/'Price History'!N40-1),"")</f>
        <v>0.0608336627574999</v>
      </c>
      <c r="O40" s="154" t="n">
        <f aca="false">IFERROR(IF(OR(NOT(ISNUMBER('Price History'!O41)),NOT(ISNUMBER('Price History'!O40)),'Price History'!O40=0),"",'Price History'!O41/'Price History'!O40-1),"")</f>
        <v>-0.0340972610396869</v>
      </c>
      <c r="P40" s="154" t="n">
        <f aca="false">IFERROR(IF(OR(NOT(ISNUMBER('Price History'!P41)),NOT(ISNUMBER('Price History'!P40)),'Price History'!P40=0),"",'Price History'!P41/'Price History'!P40-1),"")</f>
        <v>-0.0202180028129396</v>
      </c>
      <c r="Q40" s="154" t="n">
        <f aca="false">IFERROR(IF(OR(NOT(ISNUMBER('Price History'!Q41)),NOT(ISNUMBER('Price History'!Q40)),'Price History'!Q40=0),"",'Price History'!Q41/'Price History'!Q40-1),"")</f>
        <v>0.0110418521816564</v>
      </c>
      <c r="R40" s="154" t="n">
        <f aca="false">IFERROR(IF(OR(NOT(ISNUMBER('Price History'!R41)),NOT(ISNUMBER('Price History'!R40)),'Price History'!R40=0),"",'Price History'!R41/'Price History'!R40-1),"")</f>
        <v>0.0140299951620706</v>
      </c>
      <c r="S40" s="154" t="n">
        <f aca="false">IFERROR(IF(OR(NOT(ISNUMBER('Price History'!S41)),NOT(ISNUMBER('Price History'!S40)),'Price History'!S40=0),"",'Price History'!S41/'Price History'!S40-1),"")</f>
        <v>0.03037120359955</v>
      </c>
      <c r="T40" s="154" t="n">
        <f aca="false">IFERROR(IF(OR(NOT(ISNUMBER('Price History'!T41)),NOT(ISNUMBER('Price History'!T40)),'Price History'!T40=0),"",'Price History'!T41/'Price History'!T40-1),"")</f>
        <v>-0.0212279555845853</v>
      </c>
      <c r="U40" s="154" t="n">
        <f aca="false">IFERROR(IF(OR(NOT(ISNUMBER('Price History'!U41)),NOT(ISNUMBER('Price History'!U40)),'Price History'!U40=0),"",'Price History'!U41/'Price History'!U40-1),"")</f>
        <v>-0.00878661087866095</v>
      </c>
      <c r="V40" s="155" t="n">
        <f aca="false">IFERROR(IF(OR(NOT(ISNUMBER('Price History'!V41)),NOT(ISNUMBER('Price History'!V40)),'Price History'!V40=0),"",'Price History'!V41/'Price History'!V40-1),"")</f>
        <v>0.0227713901747051</v>
      </c>
      <c r="W40" s="156" t="n">
        <f aca="false">IFERROR('Price History'!B3+(INDEX('Price History'!B:B,MATCH(9.99E+307,'Returns (Calc)'!$A:$A)+1)-'Price History'!B3)*(ROW()-3)/(MATCH(9.99E+307,'Returns (Calc)'!$A:$A)-3),"")</f>
        <v>460.697594936709</v>
      </c>
      <c r="X40" s="156" t="n">
        <f aca="false">IFERROR('Price History'!C3+(INDEX('Price History'!C:C,MATCH(9.99E+307,'Returns (Calc)'!$A:$A)+1)-'Price History'!C3)*(ROW()-3)/(MATCH(9.99E+307,'Returns (Calc)'!$A:$A)-3),"")</f>
        <v>83.9223417721519</v>
      </c>
      <c r="Y40" s="156" t="n">
        <f aca="false">IFERROR('Price History'!D3+(INDEX('Price History'!D:D,MATCH(9.99E+307,'Returns (Calc)'!$A:$A)+1)-'Price History'!D3)*(ROW()-3)/(MATCH(9.99E+307,'Returns (Calc)'!$A:$A)-3),"")</f>
        <v>882.997974683544</v>
      </c>
      <c r="Z40" s="156" t="n">
        <f aca="false">IFERROR('Price History'!E3+(INDEX('Price History'!E:E,MATCH(9.99E+307,'Returns (Calc)'!$A:$A)+1)-'Price History'!E3)*(ROW()-3)/(MATCH(9.99E+307,'Returns (Calc)'!$A:$A)-3),"")</f>
        <v>145.963164556962</v>
      </c>
      <c r="AA40" s="156" t="n">
        <f aca="false">IFERROR('Price History'!F3+(INDEX('Price History'!F:F,MATCH(9.99E+307,'Returns (Calc)'!$A:$A)+1)-'Price History'!F3)*(ROW()-3)/(MATCH(9.99E+307,'Returns (Calc)'!$A:$A)-3),"")</f>
        <v>94.9116455696203</v>
      </c>
      <c r="AB40" s="156" t="n">
        <f aca="false">IFERROR('Price History'!G3+(INDEX('Price History'!G:G,MATCH(9.99E+307,'Returns (Calc)'!$A:$A)+1)-'Price History'!G3)*(ROW()-3)/(MATCH(9.99E+307,'Returns (Calc)'!$A:$A)-3),"")</f>
        <v>82.413164556962</v>
      </c>
      <c r="AC40" s="156" t="n">
        <f aca="false">IFERROR('Price History'!H3+(INDEX('Price History'!H:H,MATCH(9.99E+307,'Returns (Calc)'!$A:$A)+1)-'Price History'!H3)*(ROW()-3)/(MATCH(9.99E+307,'Returns (Calc)'!$A:$A)-3),"")</f>
        <v>304.640759493671</v>
      </c>
      <c r="AD40" s="156" t="n">
        <f aca="false">IFERROR('Price History'!I3+(INDEX('Price History'!I:I,MATCH(9.99E+307,'Returns (Calc)'!$A:$A)+1)-'Price History'!I3)*(ROW()-3)/(MATCH(9.99E+307,'Returns (Calc)'!$A:$A)-3),"")</f>
        <v>88.3058227848101</v>
      </c>
      <c r="AE40" s="156" t="n">
        <f aca="false">IFERROR('Price History'!J3+(INDEX('Price History'!J:J,MATCH(9.99E+307,'Returns (Calc)'!$A:$A)+1)-'Price History'!J3)*(ROW()-3)/(MATCH(9.99E+307,'Returns (Calc)'!$A:$A)-3),"")</f>
        <v>115.837405063291</v>
      </c>
      <c r="AF40" s="156" t="n">
        <f aca="false">IFERROR('Price History'!K3+(INDEX('Price History'!K:K,MATCH(9.99E+307,'Returns (Calc)'!$A:$A)+1)-'Price History'!K3)*(ROW()-3)/(MATCH(9.99E+307,'Returns (Calc)'!$A:$A)-3),"")</f>
        <v>55.9410126582279</v>
      </c>
      <c r="AG40" s="156" t="n">
        <f aca="false">IFERROR('Price History'!L3+(INDEX('Price History'!L:L,MATCH(9.99E+307,'Returns (Calc)'!$A:$A)+1)-'Price History'!L3)*(ROW()-3)/(MATCH(9.99E+307,'Returns (Calc)'!$A:$A)-3),"")</f>
        <v>176.383607594937</v>
      </c>
      <c r="AH40" s="156" t="n">
        <f aca="false">IFERROR('Price History'!M3+(INDEX('Price History'!M:M,MATCH(9.99E+307,'Returns (Calc)'!$A:$A)+1)-'Price History'!M3)*(ROW()-3)/(MATCH(9.99E+307,'Returns (Calc)'!$A:$A)-3),"")</f>
        <v>88.1713924050633</v>
      </c>
      <c r="AI40" s="156" t="n">
        <f aca="false">IFERROR('Price History'!N3+(INDEX('Price History'!N:N,MATCH(9.99E+307,'Returns (Calc)'!$A:$A)+1)-'Price History'!N3)*(ROW()-3)/(MATCH(9.99E+307,'Returns (Calc)'!$A:$A)-3),"")</f>
        <v>385.391835443038</v>
      </c>
      <c r="AJ40" s="156" t="n">
        <f aca="false">IFERROR('Price History'!O3+(INDEX('Price History'!O:O,MATCH(9.99E+307,'Returns (Calc)'!$A:$A)+1)-'Price History'!O3)*(ROW()-3)/(MATCH(9.99E+307,'Returns (Calc)'!$A:$A)-3),"")</f>
        <v>85.7824050632911</v>
      </c>
      <c r="AK40" s="156" t="n">
        <f aca="false">IFERROR('Price History'!Q3+(INDEX('Price History'!Q:Q,MATCH(9.99E+307,'Returns (Calc)'!$A:$A)+1)-'Price History'!Q3)*(ROW()-3)/(MATCH(9.99E+307,'Returns (Calc)'!$A:$A)-3),"")</f>
        <v>16.256582278481</v>
      </c>
      <c r="AL40" s="156" t="n">
        <f aca="false">IFERROR('Price History'!R3+(INDEX('Price History'!R:R,MATCH(9.99E+307,'Returns (Calc)'!$A:$A)+1)-'Price History'!R3)*(ROW()-3)/(MATCH(9.99E+307,'Returns (Calc)'!$A:$A)-3),"")</f>
        <v>40.699746835443</v>
      </c>
      <c r="AM40" s="156" t="n">
        <f aca="false">IFERROR('Price History'!S3+(INDEX('Price History'!S:S,MATCH(9.99E+307,'Returns (Calc)'!$A:$A)+1)-'Price History'!S3)*(ROW()-3)/(MATCH(9.99E+307,'Returns (Calc)'!$A:$A)-3),"")</f>
        <v>80.0173417721519</v>
      </c>
      <c r="AN40" s="156" t="n">
        <f aca="false">IFERROR('Price History'!T3+(INDEX('Price History'!T:T,MATCH(9.99E+307,'Returns (Calc)'!$A:$A)+1)-'Price History'!T3)*(ROW()-3)/(MATCH(9.99E+307,'Returns (Calc)'!$A:$A)-3),"")</f>
        <v>31.4644303797468</v>
      </c>
      <c r="AO40" s="157" t="n">
        <f aca="false">IFERROR('Price History'!V3+(INDEX('Price History'!V:V,MATCH(9.99E+307,'Returns (Calc)'!$A:$A)+1)-'Price History'!V3)*(ROW()-3)/(MATCH(9.99E+307,'Returns (Calc)'!$A:$A)-3),"")</f>
        <v>264.90917721519</v>
      </c>
      <c r="AP40" s="155" t="n">
        <f aca="false">IFERROR(IF(OR(NOT(ISNUMBER('Price History'!W41)),NOT(ISNUMBER('Price History'!W40)),'Price History'!W40=0),"",'Price History'!W41/'Price History'!W40-1),"")</f>
        <v>-0.00899296589796106</v>
      </c>
      <c r="AQ40" s="155" t="str">
        <f aca="false">IFERROR(IF(OR(NOT(ISNUMBER('Price History'!X41)),NOT(ISNUMBER('Price History'!X40)),'Price History'!X40=0),"",'Price History'!X41/'Price History'!X40-1),"")</f>
        <v/>
      </c>
      <c r="AR40" s="155" t="n">
        <f aca="false">IFERROR(IF(OR(NOT(ISNUMBER('Price History'!Y41)),NOT(ISNUMBER('Price History'!Y40)),'Price History'!Y40=0),"",'Price History'!Y41/'Price History'!Y40-1),"")</f>
        <v>0.000853970964987072</v>
      </c>
      <c r="AS40" s="155" t="n">
        <f aca="false">IFERROR(IF(OR(NOT(ISNUMBER('Price History'!Z41)),NOT(ISNUMBER('Price History'!Z40)),'Price History'!Z40=0),"",'Price History'!Z41/'Price History'!Z40-1),"")</f>
        <v>-0.0195115965149096</v>
      </c>
      <c r="AT40" s="155" t="n">
        <f aca="false">IFERROR(IF(OR(NOT(ISNUMBER('Price History'!AA41)),NOT(ISNUMBER('Price History'!AA40)),'Price History'!AA40=0),"",'Price History'!AA41/'Price History'!AA40-1),"")</f>
        <v>-0.000155860349127068</v>
      </c>
      <c r="AU40" s="155" t="n">
        <f aca="false">IFERROR(IF(OR(NOT(ISNUMBER('Price History'!AB41)),NOT(ISNUMBER('Price History'!AB40)),'Price History'!AB40=0),"",'Price History'!AB41/'Price History'!AB40-1),"")</f>
        <v>0.0510186513629842</v>
      </c>
    </row>
    <row r="41" customFormat="false" ht="15" hidden="false" customHeight="true" outlineLevel="0" collapsed="false">
      <c r="A41" s="153" t="n">
        <f aca="false">IF('Price History'!A42="","",'Price History'!A42)</f>
        <v>45457</v>
      </c>
      <c r="B41" s="154" t="n">
        <f aca="false">IFERROR(IF(OR(NOT(ISNUMBER('Price History'!B42)),NOT(ISNUMBER('Price History'!B41)),'Price History'!B41=0),"",'Price History'!B42/'Price History'!B41-1),"")</f>
        <v>0.128655222052725</v>
      </c>
      <c r="C41" s="154" t="n">
        <f aca="false">IFERROR(IF(OR(NOT(ISNUMBER('Price History'!C42)),NOT(ISNUMBER('Price History'!C41)),'Price History'!C41=0),"",'Price History'!C42/'Price History'!C41-1),"")</f>
        <v>0.106738544474394</v>
      </c>
      <c r="D41" s="154" t="n">
        <f aca="false">IFERROR(IF(OR(NOT(ISNUMBER('Price History'!D42)),NOT(ISNUMBER('Price History'!D41)),'Price History'!D41=0),"",'Price History'!D42/'Price History'!D41-1),"")</f>
        <v>-0.000505150554675149</v>
      </c>
      <c r="E41" s="154" t="n">
        <f aca="false">IFERROR(IF(OR(NOT(ISNUMBER('Price History'!E42)),NOT(ISNUMBER('Price History'!E41)),'Price History'!E41=0),"",'Price History'!E42/'Price History'!E41-1),"")</f>
        <v>0.233440093172223</v>
      </c>
      <c r="F41" s="154" t="n">
        <f aca="false">IFERROR(IF(OR(NOT(ISNUMBER('Price History'!F42)),NOT(ISNUMBER('Price History'!F41)),'Price History'!F41=0),"",'Price History'!F42/'Price History'!F41-1),"")</f>
        <v>0.104032997250229</v>
      </c>
      <c r="G41" s="154" t="n">
        <f aca="false">IFERROR(IF(OR(NOT(ISNUMBER('Price History'!G42)),NOT(ISNUMBER('Price History'!G41)),'Price History'!G41=0),"",'Price History'!G42/'Price History'!G41-1),"")</f>
        <v>0.0727417008332232</v>
      </c>
      <c r="H41" s="154" t="n">
        <f aca="false">IFERROR(IF(OR(NOT(ISNUMBER('Price History'!H42)),NOT(ISNUMBER('Price History'!H41)),'Price History'!H41=0),"",'Price History'!H42/'Price History'!H41-1),"")</f>
        <v>0.0795323436658719</v>
      </c>
      <c r="I41" s="154" t="n">
        <f aca="false">IFERROR(IF(OR(NOT(ISNUMBER('Price History'!I42)),NOT(ISNUMBER('Price History'!I41)),'Price History'!I41=0),"",'Price History'!I42/'Price History'!I41-1),"")</f>
        <v>0.0910900945744151</v>
      </c>
      <c r="J41" s="154" t="n">
        <f aca="false">IFERROR(IF(OR(NOT(ISNUMBER('Price History'!J42)),NOT(ISNUMBER('Price History'!J41)),'Price History'!J41=0),"",'Price History'!J42/'Price History'!J41-1),"")</f>
        <v>0.0189274447949528</v>
      </c>
      <c r="K41" s="154" t="n">
        <f aca="false">IFERROR(IF(OR(NOT(ISNUMBER('Price History'!K42)),NOT(ISNUMBER('Price History'!K41)),'Price History'!K41=0),"",'Price History'!K42/'Price History'!K41-1),"")</f>
        <v>0.0111540111540112</v>
      </c>
      <c r="L41" s="154" t="n">
        <f aca="false">IFERROR(IF(OR(NOT(ISNUMBER('Price History'!L42)),NOT(ISNUMBER('Price History'!L41)),'Price History'!L41=0),"",'Price History'!L42/'Price History'!L41-1),"")</f>
        <v>0.0526547006401406</v>
      </c>
      <c r="M41" s="154" t="n">
        <f aca="false">IFERROR(IF(OR(NOT(ISNUMBER('Price History'!M42)),NOT(ISNUMBER('Price History'!M41)),'Price History'!M41=0),"",'Price History'!M42/'Price History'!M41-1),"")</f>
        <v>0.0433539235872797</v>
      </c>
      <c r="N41" s="154" t="n">
        <f aca="false">IFERROR(IF(OR(NOT(ISNUMBER('Price History'!N42)),NOT(ISNUMBER('Price History'!N41)),'Price History'!N41=0),"",'Price History'!N42/'Price History'!N41-1),"")</f>
        <v>-0.00478221265319645</v>
      </c>
      <c r="O41" s="154" t="n">
        <f aca="false">IFERROR(IF(OR(NOT(ISNUMBER('Price History'!O42)),NOT(ISNUMBER('Price History'!O41)),'Price History'!O41=0),"",'Price History'!O42/'Price History'!O41-1),"")</f>
        <v>-0.0238425925925926</v>
      </c>
      <c r="P41" s="154" t="n">
        <f aca="false">IFERROR(IF(OR(NOT(ISNUMBER('Price History'!P42)),NOT(ISNUMBER('Price History'!P41)),'Price History'!P41=0),"",'Price History'!P42/'Price History'!P41-1),"")</f>
        <v>-0.0168670375022429</v>
      </c>
      <c r="Q41" s="154" t="n">
        <f aca="false">IFERROR(IF(OR(NOT(ISNUMBER('Price History'!Q42)),NOT(ISNUMBER('Price History'!Q41)),'Price History'!Q41=0),"",'Price History'!Q42/'Price History'!Q41-1),"")</f>
        <v>0.00915976748282543</v>
      </c>
      <c r="R41" s="154" t="n">
        <f aca="false">IFERROR(IF(OR(NOT(ISNUMBER('Price History'!R42)),NOT(ISNUMBER('Price History'!R41)),'Price History'!R41=0),"",'Price History'!R42/'Price History'!R41-1),"")</f>
        <v>0.0126431297709924</v>
      </c>
      <c r="S41" s="154" t="n">
        <f aca="false">IFERROR(IF(OR(NOT(ISNUMBER('Price History'!S42)),NOT(ISNUMBER('Price History'!S41)),'Price History'!S41=0),"",'Price History'!S42/'Price History'!S41-1),"")</f>
        <v>0.042212518195051</v>
      </c>
      <c r="T41" s="154" t="n">
        <f aca="false">IFERROR(IF(OR(NOT(ISNUMBER('Price History'!T42)),NOT(ISNUMBER('Price History'!T41)),'Price History'!T41=0),"",'Price History'!T42/'Price History'!T41-1),"")</f>
        <v>-0.00200200200200196</v>
      </c>
      <c r="U41" s="154" t="n">
        <f aca="false">IFERROR(IF(OR(NOT(ISNUMBER('Price History'!U42)),NOT(ISNUMBER('Price History'!U41)),'Price History'!U41=0),"",'Price History'!U42/'Price History'!U41-1),"")</f>
        <v>-0.0139299282397637</v>
      </c>
      <c r="V41" s="155" t="n">
        <f aca="false">IFERROR(IF(OR(NOT(ISNUMBER('Price History'!V42)),NOT(ISNUMBER('Price History'!V41)),'Price History'!V41=0),"",'Price History'!V42/'Price History'!V41-1),"")</f>
        <v>-0.0287247244324403</v>
      </c>
      <c r="W41" s="156" t="n">
        <f aca="false">IFERROR('Price History'!B3+(INDEX('Price History'!B:B,MATCH(9.99E+307,'Returns (Calc)'!$A:$A)+1)-'Price History'!B3)*(ROW()-3)/(MATCH(9.99E+307,'Returns (Calc)'!$A:$A)-3),"")</f>
        <v>458.854556962025</v>
      </c>
      <c r="X41" s="156" t="n">
        <f aca="false">IFERROR('Price History'!C3+(INDEX('Price History'!C:C,MATCH(9.99E+307,'Returns (Calc)'!$A:$A)+1)-'Price History'!C3)*(ROW()-3)/(MATCH(9.99E+307,'Returns (Calc)'!$A:$A)-3),"")</f>
        <v>84.9424050632911</v>
      </c>
      <c r="Y41" s="156" t="n">
        <f aca="false">IFERROR('Price History'!D3+(INDEX('Price History'!D:D,MATCH(9.99E+307,'Returns (Calc)'!$A:$A)+1)-'Price History'!D3)*(ROW()-3)/(MATCH(9.99E+307,'Returns (Calc)'!$A:$A)-3),"")</f>
        <v>891.132784810127</v>
      </c>
      <c r="Z41" s="156" t="n">
        <f aca="false">IFERROR('Price History'!E3+(INDEX('Price History'!E:E,MATCH(9.99E+307,'Returns (Calc)'!$A:$A)+1)-'Price History'!E3)*(ROW()-3)/(MATCH(9.99E+307,'Returns (Calc)'!$A:$A)-3),"")</f>
        <v>147.691898734177</v>
      </c>
      <c r="AA41" s="156" t="n">
        <f aca="false">IFERROR('Price History'!F3+(INDEX('Price History'!F:F,MATCH(9.99E+307,'Returns (Calc)'!$A:$A)+1)-'Price History'!F3)*(ROW()-3)/(MATCH(9.99E+307,'Returns (Calc)'!$A:$A)-3),"")</f>
        <v>96.3589873417722</v>
      </c>
      <c r="AB41" s="156" t="n">
        <f aca="false">IFERROR('Price History'!G3+(INDEX('Price History'!G:G,MATCH(9.99E+307,'Returns (Calc)'!$A:$A)+1)-'Price History'!G3)*(ROW()-3)/(MATCH(9.99E+307,'Returns (Calc)'!$A:$A)-3),"")</f>
        <v>83.4418987341772</v>
      </c>
      <c r="AC41" s="156" t="n">
        <f aca="false">IFERROR('Price History'!H3+(INDEX('Price History'!H:H,MATCH(9.99E+307,'Returns (Calc)'!$A:$A)+1)-'Price History'!H3)*(ROW()-3)/(MATCH(9.99E+307,'Returns (Calc)'!$A:$A)-3),"")</f>
        <v>311.006455696203</v>
      </c>
      <c r="AD41" s="156" t="n">
        <f aca="false">IFERROR('Price History'!I3+(INDEX('Price History'!I:I,MATCH(9.99E+307,'Returns (Calc)'!$A:$A)+1)-'Price History'!I3)*(ROW()-3)/(MATCH(9.99E+307,'Returns (Calc)'!$A:$A)-3),"")</f>
        <v>89.5094936708861</v>
      </c>
      <c r="AE41" s="156" t="n">
        <f aca="false">IFERROR('Price History'!J3+(INDEX('Price History'!J:J,MATCH(9.99E+307,'Returns (Calc)'!$A:$A)+1)-'Price History'!J3)*(ROW()-3)/(MATCH(9.99E+307,'Returns (Calc)'!$A:$A)-3),"")</f>
        <v>115.945443037975</v>
      </c>
      <c r="AF41" s="156" t="n">
        <f aca="false">IFERROR('Price History'!K3+(INDEX('Price History'!K:K,MATCH(9.99E+307,'Returns (Calc)'!$A:$A)+1)-'Price History'!K3)*(ROW()-3)/(MATCH(9.99E+307,'Returns (Calc)'!$A:$A)-3),"")</f>
        <v>57.0386075949367</v>
      </c>
      <c r="AG41" s="156" t="n">
        <f aca="false">IFERROR('Price History'!L3+(INDEX('Price History'!L:L,MATCH(9.99E+307,'Returns (Calc)'!$A:$A)+1)-'Price History'!L3)*(ROW()-3)/(MATCH(9.99E+307,'Returns (Calc)'!$A:$A)-3),"")</f>
        <v>178.833164556962</v>
      </c>
      <c r="AH41" s="156" t="n">
        <f aca="false">IFERROR('Price History'!M3+(INDEX('Price History'!M:M,MATCH(9.99E+307,'Returns (Calc)'!$A:$A)+1)-'Price History'!M3)*(ROW()-3)/(MATCH(9.99E+307,'Returns (Calc)'!$A:$A)-3),"")</f>
        <v>89.526835443038</v>
      </c>
      <c r="AI41" s="156" t="n">
        <f aca="false">IFERROR('Price History'!N3+(INDEX('Price History'!N:N,MATCH(9.99E+307,'Returns (Calc)'!$A:$A)+1)-'Price History'!N3)*(ROW()-3)/(MATCH(9.99E+307,'Returns (Calc)'!$A:$A)-3),"")</f>
        <v>386.378101265823</v>
      </c>
      <c r="AJ41" s="156" t="n">
        <f aca="false">IFERROR('Price History'!O3+(INDEX('Price History'!O:O,MATCH(9.99E+307,'Returns (Calc)'!$A:$A)+1)-'Price History'!O3)*(ROW()-3)/(MATCH(9.99E+307,'Returns (Calc)'!$A:$A)-3),"")</f>
        <v>86.0654430379747</v>
      </c>
      <c r="AK41" s="156" t="n">
        <f aca="false">IFERROR('Price History'!Q3+(INDEX('Price History'!Q:Q,MATCH(9.99E+307,'Returns (Calc)'!$A:$A)+1)-'Price History'!Q3)*(ROW()-3)/(MATCH(9.99E+307,'Returns (Calc)'!$A:$A)-3),"")</f>
        <v>16.6959493670886</v>
      </c>
      <c r="AL41" s="156" t="n">
        <f aca="false">IFERROR('Price History'!R3+(INDEX('Price History'!R:R,MATCH(9.99E+307,'Returns (Calc)'!$A:$A)+1)-'Price History'!R3)*(ROW()-3)/(MATCH(9.99E+307,'Returns (Calc)'!$A:$A)-3),"")</f>
        <v>40.8678481012658</v>
      </c>
      <c r="AM41" s="156" t="n">
        <f aca="false">IFERROR('Price History'!S3+(INDEX('Price History'!S:S,MATCH(9.99E+307,'Returns (Calc)'!$A:$A)+1)-'Price History'!S3)*(ROW()-3)/(MATCH(9.99E+307,'Returns (Calc)'!$A:$A)-3),"")</f>
        <v>80.6224050632911</v>
      </c>
      <c r="AN41" s="156" t="n">
        <f aca="false">IFERROR('Price History'!T3+(INDEX('Price History'!T:T,MATCH(9.99E+307,'Returns (Calc)'!$A:$A)+1)-'Price History'!T3)*(ROW()-3)/(MATCH(9.99E+307,'Returns (Calc)'!$A:$A)-3),"")</f>
        <v>31.6326582278481</v>
      </c>
      <c r="AO41" s="157" t="n">
        <f aca="false">IFERROR('Price History'!V3+(INDEX('Price History'!V:V,MATCH(9.99E+307,'Returns (Calc)'!$A:$A)+1)-'Price History'!V3)*(ROW()-3)/(MATCH(9.99E+307,'Returns (Calc)'!$A:$A)-3),"")</f>
        <v>265.700506329114</v>
      </c>
      <c r="AP41" s="155" t="n">
        <f aca="false">IFERROR(IF(OR(NOT(ISNUMBER('Price History'!W42)),NOT(ISNUMBER('Price History'!W41)),'Price History'!W41=0),"",'Price History'!W42/'Price History'!W41-1),"")</f>
        <v>-0.00422282120395323</v>
      </c>
      <c r="AQ41" s="155" t="str">
        <f aca="false">IFERROR(IF(OR(NOT(ISNUMBER('Price History'!X42)),NOT(ISNUMBER('Price History'!X41)),'Price History'!X41=0),"",'Price History'!X42/'Price History'!X41-1),"")</f>
        <v/>
      </c>
      <c r="AR41" s="155" t="n">
        <f aca="false">IFERROR(IF(OR(NOT(ISNUMBER('Price History'!Y42)),NOT(ISNUMBER('Price History'!Y41)),'Price History'!Y41=0),"",'Price History'!Y42/'Price History'!Y41-1),"")</f>
        <v>-0.00554607508532434</v>
      </c>
      <c r="AS41" s="155" t="n">
        <f aca="false">IFERROR(IF(OR(NOT(ISNUMBER('Price History'!Z42)),NOT(ISNUMBER('Price History'!Z41)),'Price History'!Z41=0),"",'Price History'!Z42/'Price History'!Z41-1),"")</f>
        <v>-0.03729662077597</v>
      </c>
      <c r="AT41" s="155" t="n">
        <f aca="false">IFERROR(IF(OR(NOT(ISNUMBER('Price History'!AA42)),NOT(ISNUMBER('Price History'!AA41)),'Price History'!AA41=0),"",'Price History'!AA42/'Price History'!AA41-1),"")</f>
        <v>0.0434918160561184</v>
      </c>
      <c r="AU41" s="155" t="n">
        <f aca="false">IFERROR(IF(OR(NOT(ISNUMBER('Price History'!AB42)),NOT(ISNUMBER('Price History'!AB41)),'Price History'!AB41=0),"",'Price History'!AB42/'Price History'!AB41-1),"")</f>
        <v>0.00851807360489243</v>
      </c>
    </row>
    <row r="42" customFormat="false" ht="15" hidden="false" customHeight="true" outlineLevel="0" collapsed="false">
      <c r="A42" s="153" t="n">
        <f aca="false">IF('Price History'!A43="","",'Price History'!A43)</f>
        <v>45464</v>
      </c>
      <c r="B42" s="154" t="n">
        <f aca="false">IFERROR(IF(OR(NOT(ISNUMBER('Price History'!B43)),NOT(ISNUMBER('Price History'!B42)),'Price History'!B42=0),"",'Price History'!B43/'Price History'!B42-1),"")</f>
        <v>0.0154765757362321</v>
      </c>
      <c r="C42" s="154" t="n">
        <f aca="false">IFERROR(IF(OR(NOT(ISNUMBER('Price History'!C43)),NOT(ISNUMBER('Price History'!C42)),'Price History'!C42=0),"",'Price History'!C43/'Price History'!C42-1),"")</f>
        <v>0.0270336093521675</v>
      </c>
      <c r="D42" s="154" t="n">
        <f aca="false">IFERROR(IF(OR(NOT(ISNUMBER('Price History'!D43)),NOT(ISNUMBER('Price History'!D42)),'Price History'!D42=0),"",'Price History'!D43/'Price History'!D42-1),"")</f>
        <v>0.00846307068745111</v>
      </c>
      <c r="E42" s="154" t="n">
        <f aca="false">IFERROR(IF(OR(NOT(ISNUMBER('Price History'!E43)),NOT(ISNUMBER('Price History'!E42)),'Price History'!E42=0),"",'Price History'!E43/'Price History'!E42-1),"")</f>
        <v>-0.0440247860725876</v>
      </c>
      <c r="F42" s="154" t="n">
        <f aca="false">IFERROR(IF(OR(NOT(ISNUMBER('Price History'!F43)),NOT(ISNUMBER('Price History'!F42)),'Price History'!F42=0),"",'Price History'!F43/'Price History'!F42-1),"")</f>
        <v>-0.0124533001245331</v>
      </c>
      <c r="G42" s="154" t="n">
        <f aca="false">IFERROR(IF(OR(NOT(ISNUMBER('Price History'!G43)),NOT(ISNUMBER('Price History'!G42)),'Price History'!G42=0),"",'Price History'!G43/'Price History'!G42-1),"")</f>
        <v>-0.010109727530514</v>
      </c>
      <c r="H42" s="154" t="n">
        <f aca="false">IFERROR(IF(OR(NOT(ISNUMBER('Price History'!H43)),NOT(ISNUMBER('Price History'!H42)),'Price History'!H42=0),"",'Price History'!H43/'Price History'!H42-1),"")</f>
        <v>-0.0128250801567509</v>
      </c>
      <c r="I42" s="154" t="n">
        <f aca="false">IFERROR(IF(OR(NOT(ISNUMBER('Price History'!I43)),NOT(ISNUMBER('Price History'!I42)),'Price History'!I42=0),"",'Price History'!I43/'Price History'!I42-1),"")</f>
        <v>-0.0402980535279807</v>
      </c>
      <c r="J42" s="154" t="n">
        <f aca="false">IFERROR(IF(OR(NOT(ISNUMBER('Price History'!J43)),NOT(ISNUMBER('Price History'!J42)),'Price History'!J42=0),"",'Price History'!J43/'Price History'!J42-1),"")</f>
        <v>-0.0173181114551084</v>
      </c>
      <c r="K42" s="154" t="n">
        <f aca="false">IFERROR(IF(OR(NOT(ISNUMBER('Price History'!K43)),NOT(ISNUMBER('Price History'!K42)),'Price History'!K42=0),"",'Price History'!K43/'Price History'!K42-1),"")</f>
        <v>0.0114552397114978</v>
      </c>
      <c r="L42" s="154" t="n">
        <f aca="false">IFERROR(IF(OR(NOT(ISNUMBER('Price History'!L43)),NOT(ISNUMBER('Price History'!L42)),'Price History'!L42=0),"",'Price History'!L43/'Price History'!L42-1),"")</f>
        <v>0.00840636737614031</v>
      </c>
      <c r="M42" s="154" t="n">
        <f aca="false">IFERROR(IF(OR(NOT(ISNUMBER('Price History'!M43)),NOT(ISNUMBER('Price History'!M42)),'Price History'!M42=0),"",'Price History'!M43/'Price History'!M42-1),"")</f>
        <v>-0.00909987939918866</v>
      </c>
      <c r="N42" s="154" t="n">
        <f aca="false">IFERROR(IF(OR(NOT(ISNUMBER('Price History'!N43)),NOT(ISNUMBER('Price History'!N42)),'Price History'!N42=0),"",'Price History'!N43/'Price History'!N42-1),"")</f>
        <v>-0.0250036402970483</v>
      </c>
      <c r="O42" s="154" t="n">
        <f aca="false">IFERROR(IF(OR(NOT(ISNUMBER('Price History'!O43)),NOT(ISNUMBER('Price History'!O42)),'Price History'!O42=0),"",'Price History'!O43/'Price History'!O42-1),"")</f>
        <v>0.0107896608963718</v>
      </c>
      <c r="P42" s="154" t="n">
        <f aca="false">IFERROR(IF(OR(NOT(ISNUMBER('Price History'!P43)),NOT(ISNUMBER('Price History'!P42)),'Price History'!P42=0),"",'Price History'!P43/'Price History'!P42-1),"")</f>
        <v>0.0137798868406644</v>
      </c>
      <c r="Q42" s="154" t="n">
        <f aca="false">IFERROR(IF(OR(NOT(ISNUMBER('Price History'!Q43)),NOT(ISNUMBER('Price History'!Q42)),'Price History'!Q42=0),"",'Price History'!Q43/'Price History'!Q42-1),"")</f>
        <v>0.00314190958282423</v>
      </c>
      <c r="R42" s="154" t="n">
        <f aca="false">IFERROR(IF(OR(NOT(ISNUMBER('Price History'!R43)),NOT(ISNUMBER('Price History'!R42)),'Price History'!R42=0),"",'Price History'!R43/'Price History'!R42-1),"")</f>
        <v>0.000942285041224844</v>
      </c>
      <c r="S42" s="154" t="n">
        <f aca="false">IFERROR(IF(OR(NOT(ISNUMBER('Price History'!S43)),NOT(ISNUMBER('Price History'!S42)),'Price History'!S42=0),"",'Price History'!S43/'Price History'!S42-1),"")</f>
        <v>-0.000814711359404141</v>
      </c>
      <c r="T42" s="154" t="n">
        <f aca="false">IFERROR(IF(OR(NOT(ISNUMBER('Price History'!T43)),NOT(ISNUMBER('Price History'!T42)),'Price History'!T42=0),"",'Price History'!T43/'Price History'!T42-1),"")</f>
        <v>0.0096957539284519</v>
      </c>
      <c r="U42" s="154" t="n">
        <f aca="false">IFERROR(IF(OR(NOT(ISNUMBER('Price History'!U43)),NOT(ISNUMBER('Price History'!U42)),'Price History'!U42=0),"",'Price History'!U43/'Price History'!U42-1),"")</f>
        <v>0.0171232876712331</v>
      </c>
      <c r="V42" s="155" t="n">
        <f aca="false">IFERROR(IF(OR(NOT(ISNUMBER('Price History'!V43)),NOT(ISNUMBER('Price History'!V42)),'Price History'!V42=0),"",'Price History'!V43/'Price History'!V42-1),"")</f>
        <v>0.0168351433617675</v>
      </c>
      <c r="W42" s="156" t="n">
        <f aca="false">IFERROR('Price History'!B3+(INDEX('Price History'!B:B,MATCH(9.99E+307,'Returns (Calc)'!$A:$A)+1)-'Price History'!B3)*(ROW()-3)/(MATCH(9.99E+307,'Returns (Calc)'!$A:$A)-3),"")</f>
        <v>457.011518987342</v>
      </c>
      <c r="X42" s="156" t="n">
        <f aca="false">IFERROR('Price History'!C3+(INDEX('Price History'!C:C,MATCH(9.99E+307,'Returns (Calc)'!$A:$A)+1)-'Price History'!C3)*(ROW()-3)/(MATCH(9.99E+307,'Returns (Calc)'!$A:$A)-3),"")</f>
        <v>85.9624683544304</v>
      </c>
      <c r="Y42" s="156" t="n">
        <f aca="false">IFERROR('Price History'!D3+(INDEX('Price History'!D:D,MATCH(9.99E+307,'Returns (Calc)'!$A:$A)+1)-'Price History'!D3)*(ROW()-3)/(MATCH(9.99E+307,'Returns (Calc)'!$A:$A)-3),"")</f>
        <v>899.267594936709</v>
      </c>
      <c r="Z42" s="156" t="n">
        <f aca="false">IFERROR('Price History'!E3+(INDEX('Price History'!E:E,MATCH(9.99E+307,'Returns (Calc)'!$A:$A)+1)-'Price History'!E3)*(ROW()-3)/(MATCH(9.99E+307,'Returns (Calc)'!$A:$A)-3),"")</f>
        <v>149.420632911392</v>
      </c>
      <c r="AA42" s="156" t="n">
        <f aca="false">IFERROR('Price History'!F3+(INDEX('Price History'!F:F,MATCH(9.99E+307,'Returns (Calc)'!$A:$A)+1)-'Price History'!F3)*(ROW()-3)/(MATCH(9.99E+307,'Returns (Calc)'!$A:$A)-3),"")</f>
        <v>97.8063291139241</v>
      </c>
      <c r="AB42" s="156" t="n">
        <f aca="false">IFERROR('Price History'!G3+(INDEX('Price History'!G:G,MATCH(9.99E+307,'Returns (Calc)'!$A:$A)+1)-'Price History'!G3)*(ROW()-3)/(MATCH(9.99E+307,'Returns (Calc)'!$A:$A)-3),"")</f>
        <v>84.4706329113924</v>
      </c>
      <c r="AC42" s="156" t="n">
        <f aca="false">IFERROR('Price History'!H3+(INDEX('Price History'!H:H,MATCH(9.99E+307,'Returns (Calc)'!$A:$A)+1)-'Price History'!H3)*(ROW()-3)/(MATCH(9.99E+307,'Returns (Calc)'!$A:$A)-3),"")</f>
        <v>317.372151898734</v>
      </c>
      <c r="AD42" s="156" t="n">
        <f aca="false">IFERROR('Price History'!I3+(INDEX('Price History'!I:I,MATCH(9.99E+307,'Returns (Calc)'!$A:$A)+1)-'Price History'!I3)*(ROW()-3)/(MATCH(9.99E+307,'Returns (Calc)'!$A:$A)-3),"")</f>
        <v>90.713164556962</v>
      </c>
      <c r="AE42" s="156" t="n">
        <f aca="false">IFERROR('Price History'!J3+(INDEX('Price History'!J:J,MATCH(9.99E+307,'Returns (Calc)'!$A:$A)+1)-'Price History'!J3)*(ROW()-3)/(MATCH(9.99E+307,'Returns (Calc)'!$A:$A)-3),"")</f>
        <v>116.053481012658</v>
      </c>
      <c r="AF42" s="156" t="n">
        <f aca="false">IFERROR('Price History'!K3+(INDEX('Price History'!K:K,MATCH(9.99E+307,'Returns (Calc)'!$A:$A)+1)-'Price History'!K3)*(ROW()-3)/(MATCH(9.99E+307,'Returns (Calc)'!$A:$A)-3),"")</f>
        <v>58.1362025316456</v>
      </c>
      <c r="AG42" s="156" t="n">
        <f aca="false">IFERROR('Price History'!L3+(INDEX('Price History'!L:L,MATCH(9.99E+307,'Returns (Calc)'!$A:$A)+1)-'Price History'!L3)*(ROW()-3)/(MATCH(9.99E+307,'Returns (Calc)'!$A:$A)-3),"")</f>
        <v>181.282721518987</v>
      </c>
      <c r="AH42" s="156" t="n">
        <f aca="false">IFERROR('Price History'!M3+(INDEX('Price History'!M:M,MATCH(9.99E+307,'Returns (Calc)'!$A:$A)+1)-'Price History'!M3)*(ROW()-3)/(MATCH(9.99E+307,'Returns (Calc)'!$A:$A)-3),"")</f>
        <v>90.8822784810127</v>
      </c>
      <c r="AI42" s="156" t="n">
        <f aca="false">IFERROR('Price History'!N3+(INDEX('Price History'!N:N,MATCH(9.99E+307,'Returns (Calc)'!$A:$A)+1)-'Price History'!N3)*(ROW()-3)/(MATCH(9.99E+307,'Returns (Calc)'!$A:$A)-3),"")</f>
        <v>387.364367088608</v>
      </c>
      <c r="AJ42" s="156" t="n">
        <f aca="false">IFERROR('Price History'!O3+(INDEX('Price History'!O:O,MATCH(9.99E+307,'Returns (Calc)'!$A:$A)+1)-'Price History'!O3)*(ROW()-3)/(MATCH(9.99E+307,'Returns (Calc)'!$A:$A)-3),"")</f>
        <v>86.3484810126582</v>
      </c>
      <c r="AK42" s="156" t="n">
        <f aca="false">IFERROR('Price History'!Q3+(INDEX('Price History'!Q:Q,MATCH(9.99E+307,'Returns (Calc)'!$A:$A)+1)-'Price History'!Q3)*(ROW()-3)/(MATCH(9.99E+307,'Returns (Calc)'!$A:$A)-3),"")</f>
        <v>17.1353164556962</v>
      </c>
      <c r="AL42" s="156" t="n">
        <f aca="false">IFERROR('Price History'!R3+(INDEX('Price History'!R:R,MATCH(9.99E+307,'Returns (Calc)'!$A:$A)+1)-'Price History'!R3)*(ROW()-3)/(MATCH(9.99E+307,'Returns (Calc)'!$A:$A)-3),"")</f>
        <v>41.0359493670886</v>
      </c>
      <c r="AM42" s="156" t="n">
        <f aca="false">IFERROR('Price History'!S3+(INDEX('Price History'!S:S,MATCH(9.99E+307,'Returns (Calc)'!$A:$A)+1)-'Price History'!S3)*(ROW()-3)/(MATCH(9.99E+307,'Returns (Calc)'!$A:$A)-3),"")</f>
        <v>81.2274683544304</v>
      </c>
      <c r="AN42" s="156" t="n">
        <f aca="false">IFERROR('Price History'!T3+(INDEX('Price History'!T:T,MATCH(9.99E+307,'Returns (Calc)'!$A:$A)+1)-'Price History'!T3)*(ROW()-3)/(MATCH(9.99E+307,'Returns (Calc)'!$A:$A)-3),"")</f>
        <v>31.8008860759494</v>
      </c>
      <c r="AO42" s="157" t="n">
        <f aca="false">IFERROR('Price History'!V3+(INDEX('Price History'!V:V,MATCH(9.99E+307,'Returns (Calc)'!$A:$A)+1)-'Price History'!V3)*(ROW()-3)/(MATCH(9.99E+307,'Returns (Calc)'!$A:$A)-3),"")</f>
        <v>266.491835443038</v>
      </c>
      <c r="AP42" s="155" t="n">
        <f aca="false">IFERROR(IF(OR(NOT(ISNUMBER('Price History'!W43)),NOT(ISNUMBER('Price History'!W42)),'Price History'!W42=0),"",'Price History'!W43/'Price History'!W42-1),"")</f>
        <v>0.0125417305783633</v>
      </c>
      <c r="AQ42" s="155" t="str">
        <f aca="false">IFERROR(IF(OR(NOT(ISNUMBER('Price History'!X43)),NOT(ISNUMBER('Price History'!X42)),'Price History'!X42=0),"",'Price History'!X43/'Price History'!X42-1),"")</f>
        <v/>
      </c>
      <c r="AR42" s="155" t="n">
        <f aca="false">IFERROR(IF(OR(NOT(ISNUMBER('Price History'!Y43)),NOT(ISNUMBER('Price History'!Y42)),'Price History'!Y42=0),"",'Price History'!Y43/'Price History'!Y42-1),"")</f>
        <v>0.00879450879450894</v>
      </c>
      <c r="AS42" s="155" t="n">
        <f aca="false">IFERROR(IF(OR(NOT(ISNUMBER('Price History'!Z43)),NOT(ISNUMBER('Price History'!Z42)),'Price History'!Z42=0),"",'Price History'!Z43/'Price History'!Z42-1),"")</f>
        <v>0.0536271450858035</v>
      </c>
      <c r="AT42" s="155" t="n">
        <f aca="false">IFERROR(IF(OR(NOT(ISNUMBER('Price History'!AA43)),NOT(ISNUMBER('Price History'!AA42)),'Price History'!AA42=0),"",'Price History'!AA43/'Price History'!AA42-1),"")</f>
        <v>0.0249477143710786</v>
      </c>
      <c r="AU42" s="155" t="n">
        <f aca="false">IFERROR(IF(OR(NOT(ISNUMBER('Price History'!AB43)),NOT(ISNUMBER('Price History'!AB42)),'Price History'!AB42=0),"",'Price History'!AB43/'Price History'!AB42-1),"")</f>
        <v>0.000974553329723848</v>
      </c>
    </row>
    <row r="43" customFormat="false" ht="15" hidden="false" customHeight="true" outlineLevel="0" collapsed="false">
      <c r="A43" s="153" t="n">
        <f aca="false">IF('Price History'!A44="","",'Price History'!A44)</f>
        <v>45471</v>
      </c>
      <c r="B43" s="154" t="n">
        <f aca="false">IFERROR(IF(OR(NOT(ISNUMBER('Price History'!B44)),NOT(ISNUMBER('Price History'!B43)),'Price History'!B43=0),"",'Price History'!B44/'Price History'!B43-1),"")</f>
        <v>0.0414292141571684</v>
      </c>
      <c r="C43" s="154" t="n">
        <f aca="false">IFERROR(IF(OR(NOT(ISNUMBER('Price History'!C44)),NOT(ISNUMBER('Price History'!C43)),'Price History'!C43=0),"",'Price History'!C44/'Price History'!C43-1),"")</f>
        <v>0.0388902063078018</v>
      </c>
      <c r="D43" s="154" t="n">
        <f aca="false">IFERROR(IF(OR(NOT(ISNUMBER('Price History'!D44)),NOT(ISNUMBER('Price History'!D43)),'Price History'!D43=0),"",'Price History'!D44/'Price History'!D43-1),"")</f>
        <v>-0.0133840393856314</v>
      </c>
      <c r="E43" s="154" t="n">
        <f aca="false">IFERROR(IF(OR(NOT(ISNUMBER('Price History'!E44)),NOT(ISNUMBER('Price History'!E43)),'Price History'!E43=0),"",'Price History'!E44/'Price History'!E43-1),"")</f>
        <v>-0.0289524044694117</v>
      </c>
      <c r="F43" s="154" t="n">
        <f aca="false">IFERROR(IF(OR(NOT(ISNUMBER('Price History'!F44)),NOT(ISNUMBER('Price History'!F43)),'Price History'!F43=0),"",'Price History'!F44/'Price History'!F43-1),"")</f>
        <v>0.00672551492223628</v>
      </c>
      <c r="G43" s="154" t="n">
        <f aca="false">IFERROR(IF(OR(NOT(ISNUMBER('Price History'!G44)),NOT(ISNUMBER('Price History'!G43)),'Price History'!G43=0),"",'Price History'!G44/'Price History'!G43-1),"")</f>
        <v>0.00983933241997748</v>
      </c>
      <c r="H43" s="154" t="n">
        <f aca="false">IFERROR(IF(OR(NOT(ISNUMBER('Price History'!H44)),NOT(ISNUMBER('Price History'!H43)),'Price History'!H43=0),"",'Price History'!H44/'Price History'!H43-1),"")</f>
        <v>-0.0574521833273187</v>
      </c>
      <c r="I43" s="154" t="n">
        <f aca="false">IFERROR(IF(OR(NOT(ISNUMBER('Price History'!I44)),NOT(ISNUMBER('Price History'!I43)),'Price History'!I43=0),"",'Price History'!I44/'Price History'!I43-1),"")</f>
        <v>-0.0239264775788306</v>
      </c>
      <c r="J43" s="154" t="n">
        <f aca="false">IFERROR(IF(OR(NOT(ISNUMBER('Price History'!J44)),NOT(ISNUMBER('Price History'!J43)),'Price History'!J43=0),"",'Price History'!J44/'Price History'!J43-1),"")</f>
        <v>0.0265826523579797</v>
      </c>
      <c r="K43" s="154" t="n">
        <f aca="false">IFERROR(IF(OR(NOT(ISNUMBER('Price History'!K44)),NOT(ISNUMBER('Price History'!K43)),'Price History'!K43=0),"",'Price History'!K44/'Price History'!K43-1),"")</f>
        <v>0.0625</v>
      </c>
      <c r="L43" s="154" t="n">
        <f aca="false">IFERROR(IF(OR(NOT(ISNUMBER('Price History'!L44)),NOT(ISNUMBER('Price History'!L43)),'Price History'!L43=0),"",'Price History'!L44/'Price History'!L43-1),"")</f>
        <v>-0.000827716684403401</v>
      </c>
      <c r="M43" s="154" t="n">
        <f aca="false">IFERROR(IF(OR(NOT(ISNUMBER('Price History'!M44)),NOT(ISNUMBER('Price History'!M43)),'Price History'!M43=0),"",'Price History'!M44/'Price History'!M43-1),"")</f>
        <v>-0.0447001549015268</v>
      </c>
      <c r="N43" s="154" t="n">
        <f aca="false">IFERROR(IF(OR(NOT(ISNUMBER('Price History'!N44)),NOT(ISNUMBER('Price History'!N43)),'Price History'!N43=0),"",'Price History'!N44/'Price History'!N43-1),"")</f>
        <v>2.13351539333218E-005</v>
      </c>
      <c r="O43" s="154" t="n">
        <f aca="false">IFERROR(IF(OR(NOT(ISNUMBER('Price History'!O44)),NOT(ISNUMBER('Price History'!O43)),'Price History'!O43=0),"",'Price History'!O44/'Price History'!O43-1),"")</f>
        <v>0.0166568914956011</v>
      </c>
      <c r="P43" s="154" t="n">
        <f aca="false">IFERROR(IF(OR(NOT(ISNUMBER('Price History'!P44)),NOT(ISNUMBER('Price History'!P43)),'Price History'!P43=0),"",'Price History'!P44/'Price History'!P43-1),"")</f>
        <v>0.00297056440723731</v>
      </c>
      <c r="Q43" s="154" t="n">
        <f aca="false">IFERROR(IF(OR(NOT(ISNUMBER('Price History'!Q44)),NOT(ISNUMBER('Price History'!Q43)),'Price History'!Q43=0),"",'Price History'!Q44/'Price History'!Q43-1),"")</f>
        <v>0.00417609187402124</v>
      </c>
      <c r="R43" s="154" t="n">
        <f aca="false">IFERROR(IF(OR(NOT(ISNUMBER('Price History'!R44)),NOT(ISNUMBER('Price History'!R43)),'Price History'!R43=0),"",'Price History'!R44/'Price History'!R43-1),"")</f>
        <v>0.00470698987997165</v>
      </c>
      <c r="S43" s="154" t="n">
        <f aca="false">IFERROR(IF(OR(NOT(ISNUMBER('Price History'!S44)),NOT(ISNUMBER('Price History'!S43)),'Price History'!S43=0),"",'Price History'!S44/'Price History'!S43-1),"")</f>
        <v>0.00186371578334321</v>
      </c>
      <c r="T43" s="154" t="n">
        <f aca="false">IFERROR(IF(OR(NOT(ISNUMBER('Price History'!T44)),NOT(ISNUMBER('Price History'!T43)),'Price History'!T43=0),"",'Price History'!T44/'Price History'!T43-1),"")</f>
        <v>-0.00662251655629131</v>
      </c>
      <c r="U43" s="154" t="n">
        <f aca="false">IFERROR(IF(OR(NOT(ISNUMBER('Price History'!U44)),NOT(ISNUMBER('Price History'!U43)),'Price History'!U43=0),"",'Price History'!U44/'Price History'!U43-1),"")</f>
        <v>0.00589225589225584</v>
      </c>
      <c r="V43" s="155" t="n">
        <f aca="false">IFERROR(IF(OR(NOT(ISNUMBER('Price History'!V44)),NOT(ISNUMBER('Price History'!V43)),'Price History'!V43=0),"",'Price History'!V44/'Price History'!V43-1),"")</f>
        <v>-0.0463431760227649</v>
      </c>
      <c r="W43" s="156" t="n">
        <f aca="false">IFERROR('Price History'!B3+(INDEX('Price History'!B:B,MATCH(9.99E+307,'Returns (Calc)'!$A:$A)+1)-'Price History'!B3)*(ROW()-3)/(MATCH(9.99E+307,'Returns (Calc)'!$A:$A)-3),"")</f>
        <v>455.168481012658</v>
      </c>
      <c r="X43" s="156" t="n">
        <f aca="false">IFERROR('Price History'!C3+(INDEX('Price History'!C:C,MATCH(9.99E+307,'Returns (Calc)'!$A:$A)+1)-'Price History'!C3)*(ROW()-3)/(MATCH(9.99E+307,'Returns (Calc)'!$A:$A)-3),"")</f>
        <v>86.9825316455696</v>
      </c>
      <c r="Y43" s="156" t="n">
        <f aca="false">IFERROR('Price History'!D3+(INDEX('Price History'!D:D,MATCH(9.99E+307,'Returns (Calc)'!$A:$A)+1)-'Price History'!D3)*(ROW()-3)/(MATCH(9.99E+307,'Returns (Calc)'!$A:$A)-3),"")</f>
        <v>907.402405063291</v>
      </c>
      <c r="Z43" s="156" t="n">
        <f aca="false">IFERROR('Price History'!E3+(INDEX('Price History'!E:E,MATCH(9.99E+307,'Returns (Calc)'!$A:$A)+1)-'Price History'!E3)*(ROW()-3)/(MATCH(9.99E+307,'Returns (Calc)'!$A:$A)-3),"")</f>
        <v>151.149367088608</v>
      </c>
      <c r="AA43" s="156" t="n">
        <f aca="false">IFERROR('Price History'!F3+(INDEX('Price History'!F:F,MATCH(9.99E+307,'Returns (Calc)'!$A:$A)+1)-'Price History'!F3)*(ROW()-3)/(MATCH(9.99E+307,'Returns (Calc)'!$A:$A)-3),"")</f>
        <v>99.253670886076</v>
      </c>
      <c r="AB43" s="156" t="n">
        <f aca="false">IFERROR('Price History'!G3+(INDEX('Price History'!G:G,MATCH(9.99E+307,'Returns (Calc)'!$A:$A)+1)-'Price History'!G3)*(ROW()-3)/(MATCH(9.99E+307,'Returns (Calc)'!$A:$A)-3),"")</f>
        <v>85.4993670886076</v>
      </c>
      <c r="AC43" s="156" t="n">
        <f aca="false">IFERROR('Price History'!H3+(INDEX('Price History'!H:H,MATCH(9.99E+307,'Returns (Calc)'!$A:$A)+1)-'Price History'!H3)*(ROW()-3)/(MATCH(9.99E+307,'Returns (Calc)'!$A:$A)-3),"")</f>
        <v>323.737848101266</v>
      </c>
      <c r="AD43" s="156" t="n">
        <f aca="false">IFERROR('Price History'!I3+(INDEX('Price History'!I:I,MATCH(9.99E+307,'Returns (Calc)'!$A:$A)+1)-'Price History'!I3)*(ROW()-3)/(MATCH(9.99E+307,'Returns (Calc)'!$A:$A)-3),"")</f>
        <v>91.916835443038</v>
      </c>
      <c r="AE43" s="156" t="n">
        <f aca="false">IFERROR('Price History'!J3+(INDEX('Price History'!J:J,MATCH(9.99E+307,'Returns (Calc)'!$A:$A)+1)-'Price History'!J3)*(ROW()-3)/(MATCH(9.99E+307,'Returns (Calc)'!$A:$A)-3),"")</f>
        <v>116.161518987342</v>
      </c>
      <c r="AF43" s="156" t="n">
        <f aca="false">IFERROR('Price History'!K3+(INDEX('Price History'!K:K,MATCH(9.99E+307,'Returns (Calc)'!$A:$A)+1)-'Price History'!K3)*(ROW()-3)/(MATCH(9.99E+307,'Returns (Calc)'!$A:$A)-3),"")</f>
        <v>59.2337974683544</v>
      </c>
      <c r="AG43" s="156" t="n">
        <f aca="false">IFERROR('Price History'!L3+(INDEX('Price History'!L:L,MATCH(9.99E+307,'Returns (Calc)'!$A:$A)+1)-'Price History'!L3)*(ROW()-3)/(MATCH(9.99E+307,'Returns (Calc)'!$A:$A)-3),"")</f>
        <v>183.732278481013</v>
      </c>
      <c r="AH43" s="156" t="n">
        <f aca="false">IFERROR('Price History'!M3+(INDEX('Price History'!M:M,MATCH(9.99E+307,'Returns (Calc)'!$A:$A)+1)-'Price History'!M3)*(ROW()-3)/(MATCH(9.99E+307,'Returns (Calc)'!$A:$A)-3),"")</f>
        <v>92.2377215189873</v>
      </c>
      <c r="AI43" s="156" t="n">
        <f aca="false">IFERROR('Price History'!N3+(INDEX('Price History'!N:N,MATCH(9.99E+307,'Returns (Calc)'!$A:$A)+1)-'Price History'!N3)*(ROW()-3)/(MATCH(9.99E+307,'Returns (Calc)'!$A:$A)-3),"")</f>
        <v>388.350632911392</v>
      </c>
      <c r="AJ43" s="156" t="n">
        <f aca="false">IFERROR('Price History'!O3+(INDEX('Price History'!O:O,MATCH(9.99E+307,'Returns (Calc)'!$A:$A)+1)-'Price History'!O3)*(ROW()-3)/(MATCH(9.99E+307,'Returns (Calc)'!$A:$A)-3),"")</f>
        <v>86.6315189873418</v>
      </c>
      <c r="AK43" s="156" t="n">
        <f aca="false">IFERROR('Price History'!Q3+(INDEX('Price History'!Q:Q,MATCH(9.99E+307,'Returns (Calc)'!$A:$A)+1)-'Price History'!Q3)*(ROW()-3)/(MATCH(9.99E+307,'Returns (Calc)'!$A:$A)-3),"")</f>
        <v>17.5746835443038</v>
      </c>
      <c r="AL43" s="156" t="n">
        <f aca="false">IFERROR('Price History'!R3+(INDEX('Price History'!R:R,MATCH(9.99E+307,'Returns (Calc)'!$A:$A)+1)-'Price History'!R3)*(ROW()-3)/(MATCH(9.99E+307,'Returns (Calc)'!$A:$A)-3),"")</f>
        <v>41.2040506329114</v>
      </c>
      <c r="AM43" s="156" t="n">
        <f aca="false">IFERROR('Price History'!S3+(INDEX('Price History'!S:S,MATCH(9.99E+307,'Returns (Calc)'!$A:$A)+1)-'Price History'!S3)*(ROW()-3)/(MATCH(9.99E+307,'Returns (Calc)'!$A:$A)-3),"")</f>
        <v>81.8325316455696</v>
      </c>
      <c r="AN43" s="156" t="n">
        <f aca="false">IFERROR('Price History'!T3+(INDEX('Price History'!T:T,MATCH(9.99E+307,'Returns (Calc)'!$A:$A)+1)-'Price History'!T3)*(ROW()-3)/(MATCH(9.99E+307,'Returns (Calc)'!$A:$A)-3),"")</f>
        <v>31.9691139240506</v>
      </c>
      <c r="AO43" s="157" t="n">
        <f aca="false">IFERROR('Price History'!V3+(INDEX('Price History'!V:V,MATCH(9.99E+307,'Returns (Calc)'!$A:$A)+1)-'Price History'!V3)*(ROW()-3)/(MATCH(9.99E+307,'Returns (Calc)'!$A:$A)-3),"")</f>
        <v>267.283164556962</v>
      </c>
      <c r="AP43" s="155" t="n">
        <f aca="false">IFERROR(IF(OR(NOT(ISNUMBER('Price History'!W44)),NOT(ISNUMBER('Price History'!W43)),'Price History'!W43=0),"",'Price History'!W44/'Price History'!W43-1),"")</f>
        <v>-0.0024059882373908</v>
      </c>
      <c r="AQ43" s="155" t="str">
        <f aca="false">IFERROR(IF(OR(NOT(ISNUMBER('Price History'!X44)),NOT(ISNUMBER('Price History'!X43)),'Price History'!X43=0),"",'Price History'!X44/'Price History'!X43-1),"")</f>
        <v/>
      </c>
      <c r="AR43" s="155" t="n">
        <f aca="false">IFERROR(IF(OR(NOT(ISNUMBER('Price History'!Y44)),NOT(ISNUMBER('Price History'!Y43)),'Price History'!Y43=0),"",'Price History'!Y44/'Price History'!Y43-1),"")</f>
        <v>-0.000212630236019473</v>
      </c>
      <c r="AS43" s="155" t="n">
        <f aca="false">IFERROR(IF(OR(NOT(ISNUMBER('Price History'!Z44)),NOT(ISNUMBER('Price History'!Z43)),'Price History'!Z43=0),"",'Price History'!Z44/'Price History'!Z43-1),"")</f>
        <v>-0.0320809426861621</v>
      </c>
      <c r="AT43" s="155" t="n">
        <f aca="false">IFERROR(IF(OR(NOT(ISNUMBER('Price History'!AA44)),NOT(ISNUMBER('Price History'!AA43)),'Price History'!AA43=0),"",'Price History'!AA44/'Price History'!AA43-1),"")</f>
        <v>-0.0163241509983968</v>
      </c>
      <c r="AU43" s="155" t="n">
        <f aca="false">IFERROR(IF(OR(NOT(ISNUMBER('Price History'!AB44)),NOT(ISNUMBER('Price History'!AB43)),'Price History'!AB43=0),"",'Price History'!AB44/'Price History'!AB43-1),"")</f>
        <v>-0.01011466897447</v>
      </c>
    </row>
    <row r="44" customFormat="false" ht="15" hidden="false" customHeight="true" outlineLevel="0" collapsed="false">
      <c r="A44" s="153" t="n">
        <f aca="false">IF('Price History'!A45="","",'Price History'!A45)</f>
        <v>45478</v>
      </c>
      <c r="B44" s="154" t="n">
        <f aca="false">IFERROR(IF(OR(NOT(ISNUMBER('Price History'!B45)),NOT(ISNUMBER('Price History'!B44)),'Price History'!B44=0),"",'Price History'!B45/'Price History'!B44-1),"")</f>
        <v>0.0410411491521765</v>
      </c>
      <c r="C44" s="154" t="n">
        <f aca="false">IFERROR(IF(OR(NOT(ISNUMBER('Price History'!C45)),NOT(ISNUMBER('Price History'!C44)),'Price History'!C44=0),"",'Price History'!C45/'Price History'!C44-1),"")</f>
        <v>0.0447386441451723</v>
      </c>
      <c r="D44" s="154" t="n">
        <f aca="false">IFERROR(IF(OR(NOT(ISNUMBER('Price History'!D45)),NOT(ISNUMBER('Price History'!D44)),'Price History'!D44=0),"",'Price History'!D45/'Price History'!D44-1),"")</f>
        <v>0.0505971056065178</v>
      </c>
      <c r="E44" s="154" t="n">
        <f aca="false">IFERROR(IF(OR(NOT(ISNUMBER('Price History'!E45)),NOT(ISNUMBER('Price History'!E44)),'Price History'!E44=0),"",'Price History'!E45/'Price History'!E44-1),"")</f>
        <v>0.0609027336300063</v>
      </c>
      <c r="F44" s="154" t="n">
        <f aca="false">IFERROR(IF(OR(NOT(ISNUMBER('Price History'!F45)),NOT(ISNUMBER('Price History'!F44)),'Price History'!F44=0),"",'Price History'!F45/'Price History'!F44-1),"")</f>
        <v>0.016910229645094</v>
      </c>
      <c r="G44" s="154" t="n">
        <f aca="false">IFERROR(IF(OR(NOT(ISNUMBER('Price History'!G45)),NOT(ISNUMBER('Price History'!G44)),'Price History'!G44=0),"",'Price History'!G45/'Price History'!G44-1),"")</f>
        <v>0.0372471632955105</v>
      </c>
      <c r="H44" s="154" t="n">
        <f aca="false">IFERROR(IF(OR(NOT(ISNUMBER('Price History'!H45)),NOT(ISNUMBER('Price History'!H44)),'Price History'!H44=0),"",'Price History'!H45/'Price History'!H44-1),"")</f>
        <v>0.000536028792403664</v>
      </c>
      <c r="I44" s="154" t="n">
        <f aca="false">IFERROR(IF(OR(NOT(ISNUMBER('Price History'!I45)),NOT(ISNUMBER('Price History'!I44)),'Price History'!I44=0),"",'Price History'!I45/'Price History'!I44-1),"")</f>
        <v>0.0185064935064936</v>
      </c>
      <c r="J44" s="154" t="n">
        <f aca="false">IFERROR(IF(OR(NOT(ISNUMBER('Price History'!J45)),NOT(ISNUMBER('Price History'!J44)),'Price History'!J44=0),"",'Price History'!J45/'Price History'!J44-1),"")</f>
        <v>0.0191809724753045</v>
      </c>
      <c r="K44" s="154" t="n">
        <f aca="false">IFERROR(IF(OR(NOT(ISNUMBER('Price History'!K45)),NOT(ISNUMBER('Price History'!K44)),'Price History'!K44=0),"",'Price History'!K45/'Price History'!K44-1),"")</f>
        <v>0.0750098697197001</v>
      </c>
      <c r="L44" s="154" t="n">
        <f aca="false">IFERROR(IF(OR(NOT(ISNUMBER('Price History'!L45)),NOT(ISNUMBER('Price History'!L44)),'Price History'!L44=0),"",'Price History'!L45/'Price History'!L44-1),"")</f>
        <v>0.0585798816568048</v>
      </c>
      <c r="M44" s="154" t="n">
        <f aca="false">IFERROR(IF(OR(NOT(ISNUMBER('Price History'!M45)),NOT(ISNUMBER('Price History'!M44)),'Price History'!M44=0),"",'Price History'!M45/'Price History'!M44-1),"")</f>
        <v>0.0601111883252259</v>
      </c>
      <c r="N44" s="154" t="n">
        <f aca="false">IFERROR(IF(OR(NOT(ISNUMBER('Price History'!N45)),NOT(ISNUMBER('Price History'!N44)),'Price History'!N44=0),"",'Price History'!N45/'Price History'!N44-1),"")</f>
        <v>0.0124807987711213</v>
      </c>
      <c r="O44" s="154" t="n">
        <f aca="false">IFERROR(IF(OR(NOT(ISNUMBER('Price History'!O45)),NOT(ISNUMBER('Price History'!O44)),'Price History'!O44=0),"",'Price History'!O45/'Price History'!O44-1),"")</f>
        <v>-0.0164993654090229</v>
      </c>
      <c r="P44" s="154" t="n">
        <f aca="false">IFERROR(IF(OR(NOT(ISNUMBER('Price History'!P45)),NOT(ISNUMBER('Price History'!P44)),'Price History'!P44=0),"",'Price History'!P45/'Price History'!P44-1),"")</f>
        <v>-0.00816729492012203</v>
      </c>
      <c r="Q44" s="154" t="n">
        <f aca="false">IFERROR(IF(OR(NOT(ISNUMBER('Price History'!Q45)),NOT(ISNUMBER('Price History'!Q44)),'Price History'!Q44=0),"",'Price History'!Q45/'Price History'!Q44-1),"")</f>
        <v>0.00710448795702656</v>
      </c>
      <c r="R44" s="154" t="n">
        <f aca="false">IFERROR(IF(OR(NOT(ISNUMBER('Price History'!R45)),NOT(ISNUMBER('Price History'!R44)),'Price History'!R44=0),"",'Price History'!R45/'Price History'!R44-1),"")</f>
        <v>0.0145233075661748</v>
      </c>
      <c r="S44" s="154" t="n">
        <f aca="false">IFERROR(IF(OR(NOT(ISNUMBER('Price History'!S45)),NOT(ISNUMBER('Price History'!S44)),'Price History'!S44=0),"",'Price History'!S45/'Price History'!S44-1),"")</f>
        <v>0.0310429019881409</v>
      </c>
      <c r="T44" s="154" t="n">
        <f aca="false">IFERROR(IF(OR(NOT(ISNUMBER('Price History'!T45)),NOT(ISNUMBER('Price History'!T44)),'Price History'!T44=0),"",'Price History'!T45/'Price History'!T44-1),"")</f>
        <v>-0.0196666666666666</v>
      </c>
      <c r="U44" s="154" t="n">
        <f aca="false">IFERROR(IF(OR(NOT(ISNUMBER('Price History'!U45)),NOT(ISNUMBER('Price History'!U44)),'Price History'!U44=0),"",'Price History'!U45/'Price History'!U44-1),"")</f>
        <v>-0.00920502092050202</v>
      </c>
      <c r="V44" s="155" t="n">
        <f aca="false">IFERROR(IF(OR(NOT(ISNUMBER('Price History'!V45)),NOT(ISNUMBER('Price History'!V44)),'Price History'!V44=0),"",'Price History'!V45/'Price History'!V44-1),"")</f>
        <v>0.0300716915326487</v>
      </c>
      <c r="W44" s="156" t="n">
        <f aca="false">IFERROR('Price History'!B3+(INDEX('Price History'!B:B,MATCH(9.99E+307,'Returns (Calc)'!$A:$A)+1)-'Price History'!B3)*(ROW()-3)/(MATCH(9.99E+307,'Returns (Calc)'!$A:$A)-3),"")</f>
        <v>453.325443037975</v>
      </c>
      <c r="X44" s="156" t="n">
        <f aca="false">IFERROR('Price History'!C3+(INDEX('Price History'!C:C,MATCH(9.99E+307,'Returns (Calc)'!$A:$A)+1)-'Price History'!C3)*(ROW()-3)/(MATCH(9.99E+307,'Returns (Calc)'!$A:$A)-3),"")</f>
        <v>88.0025949367089</v>
      </c>
      <c r="Y44" s="156" t="n">
        <f aca="false">IFERROR('Price History'!D3+(INDEX('Price History'!D:D,MATCH(9.99E+307,'Returns (Calc)'!$A:$A)+1)-'Price History'!D3)*(ROW()-3)/(MATCH(9.99E+307,'Returns (Calc)'!$A:$A)-3),"")</f>
        <v>915.537215189874</v>
      </c>
      <c r="Z44" s="156" t="n">
        <f aca="false">IFERROR('Price History'!E3+(INDEX('Price History'!E:E,MATCH(9.99E+307,'Returns (Calc)'!$A:$A)+1)-'Price History'!E3)*(ROW()-3)/(MATCH(9.99E+307,'Returns (Calc)'!$A:$A)-3),"")</f>
        <v>152.878101265823</v>
      </c>
      <c r="AA44" s="156" t="n">
        <f aca="false">IFERROR('Price History'!F3+(INDEX('Price History'!F:F,MATCH(9.99E+307,'Returns (Calc)'!$A:$A)+1)-'Price History'!F3)*(ROW()-3)/(MATCH(9.99E+307,'Returns (Calc)'!$A:$A)-3),"")</f>
        <v>100.701012658228</v>
      </c>
      <c r="AB44" s="156" t="n">
        <f aca="false">IFERROR('Price History'!G3+(INDEX('Price History'!G:G,MATCH(9.99E+307,'Returns (Calc)'!$A:$A)+1)-'Price History'!G3)*(ROW()-3)/(MATCH(9.99E+307,'Returns (Calc)'!$A:$A)-3),"")</f>
        <v>86.5281012658228</v>
      </c>
      <c r="AC44" s="156" t="n">
        <f aca="false">IFERROR('Price History'!H3+(INDEX('Price History'!H:H,MATCH(9.99E+307,'Returns (Calc)'!$A:$A)+1)-'Price History'!H3)*(ROW()-3)/(MATCH(9.99E+307,'Returns (Calc)'!$A:$A)-3),"")</f>
        <v>330.103544303798</v>
      </c>
      <c r="AD44" s="156" t="n">
        <f aca="false">IFERROR('Price History'!I3+(INDEX('Price History'!I:I,MATCH(9.99E+307,'Returns (Calc)'!$A:$A)+1)-'Price History'!I3)*(ROW()-3)/(MATCH(9.99E+307,'Returns (Calc)'!$A:$A)-3),"")</f>
        <v>93.1205063291139</v>
      </c>
      <c r="AE44" s="156" t="n">
        <f aca="false">IFERROR('Price History'!J3+(INDEX('Price History'!J:J,MATCH(9.99E+307,'Returns (Calc)'!$A:$A)+1)-'Price History'!J3)*(ROW()-3)/(MATCH(9.99E+307,'Returns (Calc)'!$A:$A)-3),"")</f>
        <v>116.269556962025</v>
      </c>
      <c r="AF44" s="156" t="n">
        <f aca="false">IFERROR('Price History'!K3+(INDEX('Price History'!K:K,MATCH(9.99E+307,'Returns (Calc)'!$A:$A)+1)-'Price History'!K3)*(ROW()-3)/(MATCH(9.99E+307,'Returns (Calc)'!$A:$A)-3),"")</f>
        <v>60.3313924050633</v>
      </c>
      <c r="AG44" s="156" t="n">
        <f aca="false">IFERROR('Price History'!L3+(INDEX('Price History'!L:L,MATCH(9.99E+307,'Returns (Calc)'!$A:$A)+1)-'Price History'!L3)*(ROW()-3)/(MATCH(9.99E+307,'Returns (Calc)'!$A:$A)-3),"")</f>
        <v>186.181835443038</v>
      </c>
      <c r="AH44" s="156" t="n">
        <f aca="false">IFERROR('Price History'!M3+(INDEX('Price History'!M:M,MATCH(9.99E+307,'Returns (Calc)'!$A:$A)+1)-'Price History'!M3)*(ROW()-3)/(MATCH(9.99E+307,'Returns (Calc)'!$A:$A)-3),"")</f>
        <v>93.593164556962</v>
      </c>
      <c r="AI44" s="156" t="n">
        <f aca="false">IFERROR('Price History'!N3+(INDEX('Price History'!N:N,MATCH(9.99E+307,'Returns (Calc)'!$A:$A)+1)-'Price History'!N3)*(ROW()-3)/(MATCH(9.99E+307,'Returns (Calc)'!$A:$A)-3),"")</f>
        <v>389.336898734177</v>
      </c>
      <c r="AJ44" s="156" t="n">
        <f aca="false">IFERROR('Price History'!O3+(INDEX('Price History'!O:O,MATCH(9.99E+307,'Returns (Calc)'!$A:$A)+1)-'Price History'!O3)*(ROW()-3)/(MATCH(9.99E+307,'Returns (Calc)'!$A:$A)-3),"")</f>
        <v>86.9145569620253</v>
      </c>
      <c r="AK44" s="156" t="n">
        <f aca="false">IFERROR('Price History'!Q3+(INDEX('Price History'!Q:Q,MATCH(9.99E+307,'Returns (Calc)'!$A:$A)+1)-'Price History'!Q3)*(ROW()-3)/(MATCH(9.99E+307,'Returns (Calc)'!$A:$A)-3),"")</f>
        <v>18.0140506329114</v>
      </c>
      <c r="AL44" s="156" t="n">
        <f aca="false">IFERROR('Price History'!R3+(INDEX('Price History'!R:R,MATCH(9.99E+307,'Returns (Calc)'!$A:$A)+1)-'Price History'!R3)*(ROW()-3)/(MATCH(9.99E+307,'Returns (Calc)'!$A:$A)-3),"")</f>
        <v>41.3721518987342</v>
      </c>
      <c r="AM44" s="156" t="n">
        <f aca="false">IFERROR('Price History'!S3+(INDEX('Price History'!S:S,MATCH(9.99E+307,'Returns (Calc)'!$A:$A)+1)-'Price History'!S3)*(ROW()-3)/(MATCH(9.99E+307,'Returns (Calc)'!$A:$A)-3),"")</f>
        <v>82.4375949367089</v>
      </c>
      <c r="AN44" s="156" t="n">
        <f aca="false">IFERROR('Price History'!T3+(INDEX('Price History'!T:T,MATCH(9.99E+307,'Returns (Calc)'!$A:$A)+1)-'Price History'!T3)*(ROW()-3)/(MATCH(9.99E+307,'Returns (Calc)'!$A:$A)-3),"")</f>
        <v>32.1373417721519</v>
      </c>
      <c r="AO44" s="157" t="n">
        <f aca="false">IFERROR('Price History'!V3+(INDEX('Price History'!V:V,MATCH(9.99E+307,'Returns (Calc)'!$A:$A)+1)-'Price History'!V3)*(ROW()-3)/(MATCH(9.99E+307,'Returns (Calc)'!$A:$A)-3),"")</f>
        <v>268.074493670886</v>
      </c>
      <c r="AP44" s="155" t="n">
        <f aca="false">IFERROR(IF(OR(NOT(ISNUMBER('Price History'!W45)),NOT(ISNUMBER('Price History'!W44)),'Price History'!W44=0),"",'Price History'!W45/'Price History'!W44-1),"")</f>
        <v>-0.000178651183564083</v>
      </c>
      <c r="AQ44" s="155" t="str">
        <f aca="false">IFERROR(IF(OR(NOT(ISNUMBER('Price History'!X45)),NOT(ISNUMBER('Price History'!X44)),'Price History'!X44=0),"",'Price History'!X45/'Price History'!X44-1),"")</f>
        <v/>
      </c>
      <c r="AR44" s="155" t="n">
        <f aca="false">IFERROR(IF(OR(NOT(ISNUMBER('Price History'!Y45)),NOT(ISNUMBER('Price History'!Y44)),'Price History'!Y44=0),"",'Price History'!Y45/'Price History'!Y44-1),"")</f>
        <v>0.000425350914504463</v>
      </c>
      <c r="AS44" s="155" t="n">
        <f aca="false">IFERROR(IF(OR(NOT(ISNUMBER('Price History'!Z45)),NOT(ISNUMBER('Price History'!Z44)),'Price History'!Z44=0),"",'Price History'!Z45/'Price History'!Z44-1),"")</f>
        <v>0.00962457772961955</v>
      </c>
      <c r="AT44" s="155" t="n">
        <f aca="false">IFERROR(IF(OR(NOT(ISNUMBER('Price History'!AA45)),NOT(ISNUMBER('Price History'!AA44)),'Price History'!AA44=0),"",'Price History'!AA45/'Price History'!AA44-1),"")</f>
        <v>0.0234108756852867</v>
      </c>
      <c r="AU44" s="155" t="n">
        <f aca="false">IFERROR(IF(OR(NOT(ISNUMBER('Price History'!AB45)),NOT(ISNUMBER('Price History'!AB44)),'Price History'!AB44=0),"",'Price History'!AB45/'Price History'!AB44-1),"")</f>
        <v>0.00245888202830447</v>
      </c>
    </row>
    <row r="45" customFormat="false" ht="15" hidden="false" customHeight="true" outlineLevel="0" collapsed="false">
      <c r="A45" s="153" t="n">
        <f aca="false">IF('Price History'!A46="","",'Price History'!A46)</f>
        <v>45485</v>
      </c>
      <c r="B45" s="154" t="n">
        <f aca="false">IFERROR(IF(OR(NOT(ISNUMBER('Price History'!B46)),NOT(ISNUMBER('Price History'!B45)),'Price History'!B45=0),"",'Price History'!B46/'Price History'!B45-1),"")</f>
        <v>-0.0333540823736903</v>
      </c>
      <c r="C45" s="154" t="n">
        <f aca="false">IFERROR(IF(OR(NOT(ISNUMBER('Price History'!C46)),NOT(ISNUMBER('Price History'!C45)),'Price History'!C45=0),"",'Price History'!C46/'Price History'!C45-1),"")</f>
        <v>-0.0116888791785013</v>
      </c>
      <c r="D45" s="154" t="n">
        <f aca="false">IFERROR(IF(OR(NOT(ISNUMBER('Price History'!D46)),NOT(ISNUMBER('Price History'!D45)),'Price History'!D45=0),"",'Price History'!D46/'Price History'!D45-1),"")</f>
        <v>0.0100397227936786</v>
      </c>
      <c r="E45" s="154" t="n">
        <f aca="false">IFERROR(IF(OR(NOT(ISNUMBER('Price History'!E46)),NOT(ISNUMBER('Price History'!E45)),'Price History'!E45=0),"",'Price History'!E46/'Price History'!E45-1),"")</f>
        <v>-0.00155800575263654</v>
      </c>
      <c r="F45" s="154" t="n">
        <f aca="false">IFERROR(IF(OR(NOT(ISNUMBER('Price History'!F46)),NOT(ISNUMBER('Price History'!F45)),'Price History'!F45=0),"",'Price History'!F46/'Price History'!F45-1),"")</f>
        <v>-0.0471155820160132</v>
      </c>
      <c r="G45" s="154" t="n">
        <f aca="false">IFERROR(IF(OR(NOT(ISNUMBER('Price History'!G46)),NOT(ISNUMBER('Price History'!G45)),'Price History'!G45=0),"",'Price History'!G46/'Price History'!G45-1),"")</f>
        <v>0.00285374554102269</v>
      </c>
      <c r="H45" s="154" t="n">
        <f aca="false">IFERROR(IF(OR(NOT(ISNUMBER('Price History'!H46)),NOT(ISNUMBER('Price History'!H45)),'Price History'!H45=0),"",'Price History'!H46/'Price History'!H45-1),"")</f>
        <v>0.0157661105158426</v>
      </c>
      <c r="I45" s="154" t="n">
        <f aca="false">IFERROR(IF(OR(NOT(ISNUMBER('Price History'!I46)),NOT(ISNUMBER('Price History'!I45)),'Price History'!I45=0),"",'Price History'!I46/'Price History'!I45-1),"")</f>
        <v>0.0270959515460631</v>
      </c>
      <c r="J45" s="154" t="n">
        <f aca="false">IFERROR(IF(OR(NOT(ISNUMBER('Price History'!J46)),NOT(ISNUMBER('Price History'!J45)),'Price History'!J45=0),"",'Price History'!J46/'Price History'!J45-1),"")</f>
        <v>0.0496847652206645</v>
      </c>
      <c r="K45" s="154" t="n">
        <f aca="false">IFERROR(IF(OR(NOT(ISNUMBER('Price History'!K46)),NOT(ISNUMBER('Price History'!K45)),'Price History'!K45=0),"",'Price History'!K46/'Price History'!K45-1),"")</f>
        <v>0.0308483290488433</v>
      </c>
      <c r="L45" s="154" t="n">
        <f aca="false">IFERROR(IF(OR(NOT(ISNUMBER('Price History'!L46)),NOT(ISNUMBER('Price History'!L45)),'Price History'!L45=0),"",'Price History'!L46/'Price History'!L45-1),"")</f>
        <v>0.0182224706539966</v>
      </c>
      <c r="M45" s="154" t="n">
        <f aca="false">IFERROR(IF(OR(NOT(ISNUMBER('Price History'!M46)),NOT(ISNUMBER('Price History'!M45)),'Price History'!M45=0),"",'Price History'!M46/'Price History'!M45-1),"")</f>
        <v>-0.0229432972795804</v>
      </c>
      <c r="N45" s="154" t="n">
        <f aca="false">IFERROR(IF(OR(NOT(ISNUMBER('Price History'!N46)),NOT(ISNUMBER('Price History'!N45)),'Price History'!N45=0),"",'Price History'!N46/'Price History'!N45-1),"")</f>
        <v>0.0298586088459027</v>
      </c>
      <c r="O45" s="154" t="n">
        <f aca="false">IFERROR(IF(OR(NOT(ISNUMBER('Price History'!O46)),NOT(ISNUMBER('Price History'!O45)),'Price History'!O45=0),"",'Price History'!O46/'Price History'!O45-1),"")</f>
        <v>0.0557250117315815</v>
      </c>
      <c r="P45" s="154" t="n">
        <f aca="false">IFERROR(IF(OR(NOT(ISNUMBER('Price History'!P46)),NOT(ISNUMBER('Price History'!P45)),'Price History'!P45=0),"",'Price History'!P46/'Price History'!P45-1),"")</f>
        <v>0.0420776400325762</v>
      </c>
      <c r="Q45" s="154" t="n">
        <f aca="false">IFERROR(IF(OR(NOT(ISNUMBER('Price History'!Q46)),NOT(ISNUMBER('Price History'!Q45)),'Price History'!Q45=0),"",'Price History'!Q46/'Price History'!Q45-1),"")</f>
        <v>0.00344115622849284</v>
      </c>
      <c r="R45" s="154" t="n">
        <f aca="false">IFERROR(IF(OR(NOT(ISNUMBER('Price History'!R46)),NOT(ISNUMBER('Price History'!R45)),'Price History'!R45=0),"",'Price History'!R46/'Price History'!R45-1),"")</f>
        <v>-0.000692680674209245</v>
      </c>
      <c r="S45" s="154" t="n">
        <f aca="false">IFERROR(IF(OR(NOT(ISNUMBER('Price History'!S46)),NOT(ISNUMBER('Price History'!S45)),'Price History'!S45=0),"",'Price History'!S46/'Price History'!S45-1),"")</f>
        <v>-0.00202976995940463</v>
      </c>
      <c r="T45" s="154" t="n">
        <f aca="false">IFERROR(IF(OR(NOT(ISNUMBER('Price History'!T46)),NOT(ISNUMBER('Price History'!T45)),'Price History'!T45=0),"",'Price History'!T46/'Price History'!T45-1),"")</f>
        <v>0.0384223053383204</v>
      </c>
      <c r="U45" s="154" t="n">
        <f aca="false">IFERROR(IF(OR(NOT(ISNUMBER('Price History'!U46)),NOT(ISNUMBER('Price History'!U45)),'Price History'!U45=0),"",'Price History'!U46/'Price History'!U45-1),"")</f>
        <v>0.0337837837837838</v>
      </c>
      <c r="V45" s="155" t="n">
        <f aca="false">IFERROR(IF(OR(NOT(ISNUMBER('Price History'!V46)),NOT(ISNUMBER('Price History'!V45)),'Price History'!V45=0),"",'Price History'!V46/'Price History'!V45-1),"")</f>
        <v>-0.0170798690794177</v>
      </c>
      <c r="W45" s="156" t="n">
        <f aca="false">IFERROR('Price History'!B3+(INDEX('Price History'!B:B,MATCH(9.99E+307,'Returns (Calc)'!$A:$A)+1)-'Price History'!B3)*(ROW()-3)/(MATCH(9.99E+307,'Returns (Calc)'!$A:$A)-3),"")</f>
        <v>451.482405063291</v>
      </c>
      <c r="X45" s="156" t="n">
        <f aca="false">IFERROR('Price History'!C3+(INDEX('Price History'!C:C,MATCH(9.99E+307,'Returns (Calc)'!$A:$A)+1)-'Price History'!C3)*(ROW()-3)/(MATCH(9.99E+307,'Returns (Calc)'!$A:$A)-3),"")</f>
        <v>89.0226582278481</v>
      </c>
      <c r="Y45" s="156" t="n">
        <f aca="false">IFERROR('Price History'!D3+(INDEX('Price History'!D:D,MATCH(9.99E+307,'Returns (Calc)'!$A:$A)+1)-'Price History'!D3)*(ROW()-3)/(MATCH(9.99E+307,'Returns (Calc)'!$A:$A)-3),"")</f>
        <v>923.672025316456</v>
      </c>
      <c r="Z45" s="156" t="n">
        <f aca="false">IFERROR('Price History'!E3+(INDEX('Price History'!E:E,MATCH(9.99E+307,'Returns (Calc)'!$A:$A)+1)-'Price History'!E3)*(ROW()-3)/(MATCH(9.99E+307,'Returns (Calc)'!$A:$A)-3),"")</f>
        <v>154.606835443038</v>
      </c>
      <c r="AA45" s="156" t="n">
        <f aca="false">IFERROR('Price History'!F3+(INDEX('Price History'!F:F,MATCH(9.99E+307,'Returns (Calc)'!$A:$A)+1)-'Price History'!F3)*(ROW()-3)/(MATCH(9.99E+307,'Returns (Calc)'!$A:$A)-3),"")</f>
        <v>102.14835443038</v>
      </c>
      <c r="AB45" s="156" t="n">
        <f aca="false">IFERROR('Price History'!G3+(INDEX('Price History'!G:G,MATCH(9.99E+307,'Returns (Calc)'!$A:$A)+1)-'Price History'!G3)*(ROW()-3)/(MATCH(9.99E+307,'Returns (Calc)'!$A:$A)-3),"")</f>
        <v>87.556835443038</v>
      </c>
      <c r="AC45" s="156" t="n">
        <f aca="false">IFERROR('Price History'!H3+(INDEX('Price History'!H:H,MATCH(9.99E+307,'Returns (Calc)'!$A:$A)+1)-'Price History'!H3)*(ROW()-3)/(MATCH(9.99E+307,'Returns (Calc)'!$A:$A)-3),"")</f>
        <v>336.469240506329</v>
      </c>
      <c r="AD45" s="156" t="n">
        <f aca="false">IFERROR('Price History'!I3+(INDEX('Price History'!I:I,MATCH(9.99E+307,'Returns (Calc)'!$A:$A)+1)-'Price History'!I3)*(ROW()-3)/(MATCH(9.99E+307,'Returns (Calc)'!$A:$A)-3),"")</f>
        <v>94.3241772151899</v>
      </c>
      <c r="AE45" s="156" t="n">
        <f aca="false">IFERROR('Price History'!J3+(INDEX('Price History'!J:J,MATCH(9.99E+307,'Returns (Calc)'!$A:$A)+1)-'Price History'!J3)*(ROW()-3)/(MATCH(9.99E+307,'Returns (Calc)'!$A:$A)-3),"")</f>
        <v>116.377594936709</v>
      </c>
      <c r="AF45" s="156" t="n">
        <f aca="false">IFERROR('Price History'!K3+(INDEX('Price History'!K:K,MATCH(9.99E+307,'Returns (Calc)'!$A:$A)+1)-'Price History'!K3)*(ROW()-3)/(MATCH(9.99E+307,'Returns (Calc)'!$A:$A)-3),"")</f>
        <v>61.4289873417722</v>
      </c>
      <c r="AG45" s="156" t="n">
        <f aca="false">IFERROR('Price History'!L3+(INDEX('Price History'!L:L,MATCH(9.99E+307,'Returns (Calc)'!$A:$A)+1)-'Price History'!L3)*(ROW()-3)/(MATCH(9.99E+307,'Returns (Calc)'!$A:$A)-3),"")</f>
        <v>188.631392405063</v>
      </c>
      <c r="AH45" s="156" t="n">
        <f aca="false">IFERROR('Price History'!M3+(INDEX('Price History'!M:M,MATCH(9.99E+307,'Returns (Calc)'!$A:$A)+1)-'Price History'!M3)*(ROW()-3)/(MATCH(9.99E+307,'Returns (Calc)'!$A:$A)-3),"")</f>
        <v>94.9486075949367</v>
      </c>
      <c r="AI45" s="156" t="n">
        <f aca="false">IFERROR('Price History'!N3+(INDEX('Price History'!N:N,MATCH(9.99E+307,'Returns (Calc)'!$A:$A)+1)-'Price History'!N3)*(ROW()-3)/(MATCH(9.99E+307,'Returns (Calc)'!$A:$A)-3),"")</f>
        <v>390.323164556962</v>
      </c>
      <c r="AJ45" s="156" t="n">
        <f aca="false">IFERROR('Price History'!O3+(INDEX('Price History'!O:O,MATCH(9.99E+307,'Returns (Calc)'!$A:$A)+1)-'Price History'!O3)*(ROW()-3)/(MATCH(9.99E+307,'Returns (Calc)'!$A:$A)-3),"")</f>
        <v>87.1975949367089</v>
      </c>
      <c r="AK45" s="156" t="n">
        <f aca="false">IFERROR('Price History'!Q3+(INDEX('Price History'!Q:Q,MATCH(9.99E+307,'Returns (Calc)'!$A:$A)+1)-'Price History'!Q3)*(ROW()-3)/(MATCH(9.99E+307,'Returns (Calc)'!$A:$A)-3),"")</f>
        <v>18.453417721519</v>
      </c>
      <c r="AL45" s="156" t="n">
        <f aca="false">IFERROR('Price History'!R3+(INDEX('Price History'!R:R,MATCH(9.99E+307,'Returns (Calc)'!$A:$A)+1)-'Price History'!R3)*(ROW()-3)/(MATCH(9.99E+307,'Returns (Calc)'!$A:$A)-3),"")</f>
        <v>41.540253164557</v>
      </c>
      <c r="AM45" s="156" t="n">
        <f aca="false">IFERROR('Price History'!S3+(INDEX('Price History'!S:S,MATCH(9.99E+307,'Returns (Calc)'!$A:$A)+1)-'Price History'!S3)*(ROW()-3)/(MATCH(9.99E+307,'Returns (Calc)'!$A:$A)-3),"")</f>
        <v>83.0426582278481</v>
      </c>
      <c r="AN45" s="156" t="n">
        <f aca="false">IFERROR('Price History'!T3+(INDEX('Price History'!T:T,MATCH(9.99E+307,'Returns (Calc)'!$A:$A)+1)-'Price History'!T3)*(ROW()-3)/(MATCH(9.99E+307,'Returns (Calc)'!$A:$A)-3),"")</f>
        <v>32.3055696202532</v>
      </c>
      <c r="AO45" s="157" t="n">
        <f aca="false">IFERROR('Price History'!V3+(INDEX('Price History'!V:V,MATCH(9.99E+307,'Returns (Calc)'!$A:$A)+1)-'Price History'!V3)*(ROW()-3)/(MATCH(9.99E+307,'Returns (Calc)'!$A:$A)-3),"")</f>
        <v>268.86582278481</v>
      </c>
      <c r="AP45" s="155" t="n">
        <f aca="false">IFERROR(IF(OR(NOT(ISNUMBER('Price History'!W46)),NOT(ISNUMBER('Price History'!W45)),'Price History'!W45=0),"",'Price History'!W46/'Price History'!W45-1),"")</f>
        <v>0.0244795854551951</v>
      </c>
      <c r="AQ45" s="155" t="str">
        <f aca="false">IFERROR(IF(OR(NOT(ISNUMBER('Price History'!X46)),NOT(ISNUMBER('Price History'!X45)),'Price History'!X45=0),"",'Price History'!X46/'Price History'!X45-1),"")</f>
        <v/>
      </c>
      <c r="AR45" s="155" t="n">
        <f aca="false">IFERROR(IF(OR(NOT(ISNUMBER('Price History'!Y46)),NOT(ISNUMBER('Price History'!Y45)),'Price History'!Y45=0),"",'Price History'!Y46/'Price History'!Y45-1),"")</f>
        <v>0.00935374149659851</v>
      </c>
      <c r="AS45" s="155" t="n">
        <f aca="false">IFERROR(IF(OR(NOT(ISNUMBER('Price History'!Z46)),NOT(ISNUMBER('Price History'!Z45)),'Price History'!Z45=0),"",'Price History'!Z46/'Price History'!Z45-1),"")</f>
        <v>-0.00763888888888897</v>
      </c>
      <c r="AT45" s="155" t="n">
        <f aca="false">IFERROR(IF(OR(NOT(ISNUMBER('Price History'!AA46)),NOT(ISNUMBER('Price History'!AA45)),'Price History'!AA45=0),"",'Price History'!AA46/'Price History'!AA45-1),"")</f>
        <v>-0.0624004632981032</v>
      </c>
      <c r="AU45" s="155" t="n">
        <f aca="false">IFERROR(IF(OR(NOT(ISNUMBER('Price History'!AB46)),NOT(ISNUMBER('Price History'!AB45)),'Price History'!AB45=0),"",'Price History'!AB46/'Price History'!AB45-1),"")</f>
        <v>0.0243104763981248</v>
      </c>
    </row>
    <row r="46" customFormat="false" ht="15" hidden="false" customHeight="true" outlineLevel="0" collapsed="false">
      <c r="A46" s="153" t="n">
        <f aca="false">IF('Price History'!A47="","",'Price History'!A47)</f>
        <v>45492</v>
      </c>
      <c r="B46" s="154" t="n">
        <f aca="false">IFERROR(IF(OR(NOT(ISNUMBER('Price History'!B47)),NOT(ISNUMBER('Price History'!B46)),'Price History'!B46=0),"",'Price History'!B47/'Price History'!B46-1),"")</f>
        <v>-0.0143994276003935</v>
      </c>
      <c r="C46" s="154" t="n">
        <f aca="false">IFERROR(IF(OR(NOT(ISNUMBER('Price History'!C47)),NOT(ISNUMBER('Price History'!C46)),'Price History'!C46=0),"",'Price History'!C47/'Price History'!C46-1),"")</f>
        <v>-0.0865480269702664</v>
      </c>
      <c r="D46" s="154" t="n">
        <f aca="false">IFERROR(IF(OR(NOT(ISNUMBER('Price History'!D47)),NOT(ISNUMBER('Price History'!D46)),'Price History'!D46=0),"",'Price History'!D47/'Price History'!D46-1),"")</f>
        <v>-0.174976534634879</v>
      </c>
      <c r="E46" s="154" t="n">
        <f aca="false">IFERROR(IF(OR(NOT(ISNUMBER('Price History'!E47)),NOT(ISNUMBER('Price History'!E46)),'Price History'!E46=0),"",'Price History'!E47/'Price History'!E46-1),"")</f>
        <v>-0.0747809386628257</v>
      </c>
      <c r="F46" s="154" t="n">
        <f aca="false">IFERROR(IF(OR(NOT(ISNUMBER('Price History'!F47)),NOT(ISNUMBER('Price History'!F46)),'Price History'!F46=0),"",'Price History'!F47/'Price History'!F46-1),"")</f>
        <v>-0.178713777873532</v>
      </c>
      <c r="G46" s="154" t="n">
        <f aca="false">IFERROR(IF(OR(NOT(ISNUMBER('Price History'!G47)),NOT(ISNUMBER('Price History'!G46)),'Price History'!G46=0),"",'Price History'!G47/'Price History'!G46-1),"")</f>
        <v>-0.110979369219825</v>
      </c>
      <c r="H46" s="154" t="n">
        <f aca="false">IFERROR(IF(OR(NOT(ISNUMBER('Price History'!H47)),NOT(ISNUMBER('Price History'!H46)),'Price History'!H46=0),"",'Price History'!H47/'Price History'!H46-1),"")</f>
        <v>-0.144439421338156</v>
      </c>
      <c r="I46" s="154" t="n">
        <f aca="false">IFERROR(IF(OR(NOT(ISNUMBER('Price History'!I47)),NOT(ISNUMBER('Price History'!I46)),'Price History'!I46=0),"",'Price History'!I47/'Price History'!I46-1),"")</f>
        <v>-0.0875232774674115</v>
      </c>
      <c r="J46" s="154" t="n">
        <f aca="false">IFERROR(IF(OR(NOT(ISNUMBER('Price History'!J47)),NOT(ISNUMBER('Price History'!J46)),'Price History'!J46=0),"",'Price History'!J47/'Price History'!J46-1),"")</f>
        <v>0.0300313760645452</v>
      </c>
      <c r="K46" s="154" t="n">
        <f aca="false">IFERROR(IF(OR(NOT(ISNUMBER('Price History'!K47)),NOT(ISNUMBER('Price History'!K46)),'Price History'!K46=0),"",'Price History'!K47/'Price History'!K46-1),"")</f>
        <v>0.0181688635553972</v>
      </c>
      <c r="L46" s="154" t="n">
        <f aca="false">IFERROR(IF(OR(NOT(ISNUMBER('Price History'!L47)),NOT(ISNUMBER('Price History'!L46)),'Price History'!L46=0),"",'Price History'!L47/'Price History'!L46-1),"")</f>
        <v>-0.115173473869126</v>
      </c>
      <c r="M46" s="154" t="n">
        <f aca="false">IFERROR(IF(OR(NOT(ISNUMBER('Price History'!M47)),NOT(ISNUMBER('Price History'!M46)),'Price History'!M46=0),"",'Price History'!M47/'Price History'!M46-1),"")</f>
        <v>-0.0486413955048642</v>
      </c>
      <c r="N46" s="154" t="n">
        <f aca="false">IFERROR(IF(OR(NOT(ISNUMBER('Price History'!N47)),NOT(ISNUMBER('Price History'!N46)),'Price History'!N46=0),"",'Price History'!N47/'Price History'!N46-1),"")</f>
        <v>0.00579039980357643</v>
      </c>
      <c r="O46" s="154" t="n">
        <f aca="false">IFERROR(IF(OR(NOT(ISNUMBER('Price History'!O47)),NOT(ISNUMBER('Price History'!O46)),'Price History'!O46=0),"",'Price History'!O47/'Price History'!O46-1),"")</f>
        <v>0.0264473830425604</v>
      </c>
      <c r="P46" s="154" t="n">
        <f aca="false">IFERROR(IF(OR(NOT(ISNUMBER('Price History'!P47)),NOT(ISNUMBER('Price History'!P46)),'Price History'!P46=0),"",'Price History'!P47/'Price History'!P46-1),"")</f>
        <v>0.0141542202153526</v>
      </c>
      <c r="Q46" s="154" t="n">
        <f aca="false">IFERROR(IF(OR(NOT(ISNUMBER('Price History'!Q47)),NOT(ISNUMBER('Price History'!Q46)),'Price History'!Q46=0),"",'Price History'!Q47/'Price History'!Q46-1),"")</f>
        <v>-0.00668724279835387</v>
      </c>
      <c r="R46" s="154" t="n">
        <f aca="false">IFERROR(IF(OR(NOT(ISNUMBER('Price History'!R47)),NOT(ISNUMBER('Price History'!R46)),'Price History'!R46=0),"",'Price History'!R47/'Price History'!R46-1),"")</f>
        <v>-0.0295748613678374</v>
      </c>
      <c r="S46" s="154" t="n">
        <f aca="false">IFERROR(IF(OR(NOT(ISNUMBER('Price History'!S47)),NOT(ISNUMBER('Price History'!S46)),'Price History'!S46=0),"",'Price History'!S47/'Price History'!S46-1),"")</f>
        <v>-0.0404519774011299</v>
      </c>
      <c r="T46" s="154" t="n">
        <f aca="false">IFERROR(IF(OR(NOT(ISNUMBER('Price History'!T47)),NOT(ISNUMBER('Price History'!T46)),'Price History'!T46=0),"",'Price History'!T47/'Price History'!T46-1),"")</f>
        <v>0.0150622134905043</v>
      </c>
      <c r="U46" s="154" t="n">
        <f aca="false">IFERROR(IF(OR(NOT(ISNUMBER('Price History'!U47)),NOT(ISNUMBER('Price History'!U46)),'Price History'!U46=0),"",'Price History'!U47/'Price History'!U46-1),"")</f>
        <v>0.0183823529411764</v>
      </c>
      <c r="V46" s="155" t="n">
        <f aca="false">IFERROR(IF(OR(NOT(ISNUMBER('Price History'!V47)),NOT(ISNUMBER('Price History'!V46)),'Price History'!V46=0),"",'Price History'!V47/'Price History'!V46-1),"")</f>
        <v>-0.00107168829180526</v>
      </c>
      <c r="W46" s="156" t="n">
        <f aca="false">IFERROR('Price History'!B3+(INDEX('Price History'!B:B,MATCH(9.99E+307,'Returns (Calc)'!$A:$A)+1)-'Price History'!B3)*(ROW()-3)/(MATCH(9.99E+307,'Returns (Calc)'!$A:$A)-3),"")</f>
        <v>449.639367088608</v>
      </c>
      <c r="X46" s="156" t="n">
        <f aca="false">IFERROR('Price History'!C3+(INDEX('Price History'!C:C,MATCH(9.99E+307,'Returns (Calc)'!$A:$A)+1)-'Price History'!C3)*(ROW()-3)/(MATCH(9.99E+307,'Returns (Calc)'!$A:$A)-3),"")</f>
        <v>90.0427215189873</v>
      </c>
      <c r="Y46" s="156" t="n">
        <f aca="false">IFERROR('Price History'!D3+(INDEX('Price History'!D:D,MATCH(9.99E+307,'Returns (Calc)'!$A:$A)+1)-'Price History'!D3)*(ROW()-3)/(MATCH(9.99E+307,'Returns (Calc)'!$A:$A)-3),"")</f>
        <v>931.806835443038</v>
      </c>
      <c r="Z46" s="156" t="n">
        <f aca="false">IFERROR('Price History'!E3+(INDEX('Price History'!E:E,MATCH(9.99E+307,'Returns (Calc)'!$A:$A)+1)-'Price History'!E3)*(ROW()-3)/(MATCH(9.99E+307,'Returns (Calc)'!$A:$A)-3),"")</f>
        <v>156.335569620253</v>
      </c>
      <c r="AA46" s="156" t="n">
        <f aca="false">IFERROR('Price History'!F3+(INDEX('Price History'!F:F,MATCH(9.99E+307,'Returns (Calc)'!$A:$A)+1)-'Price History'!F3)*(ROW()-3)/(MATCH(9.99E+307,'Returns (Calc)'!$A:$A)-3),"")</f>
        <v>103.595696202532</v>
      </c>
      <c r="AB46" s="156" t="n">
        <f aca="false">IFERROR('Price History'!G3+(INDEX('Price History'!G:G,MATCH(9.99E+307,'Returns (Calc)'!$A:$A)+1)-'Price History'!G3)*(ROW()-3)/(MATCH(9.99E+307,'Returns (Calc)'!$A:$A)-3),"")</f>
        <v>88.5855696202532</v>
      </c>
      <c r="AC46" s="156" t="n">
        <f aca="false">IFERROR('Price History'!H3+(INDEX('Price History'!H:H,MATCH(9.99E+307,'Returns (Calc)'!$A:$A)+1)-'Price History'!H3)*(ROW()-3)/(MATCH(9.99E+307,'Returns (Calc)'!$A:$A)-3),"")</f>
        <v>342.834936708861</v>
      </c>
      <c r="AD46" s="156" t="n">
        <f aca="false">IFERROR('Price History'!I3+(INDEX('Price History'!I:I,MATCH(9.99E+307,'Returns (Calc)'!$A:$A)+1)-'Price History'!I3)*(ROW()-3)/(MATCH(9.99E+307,'Returns (Calc)'!$A:$A)-3),"")</f>
        <v>95.5278481012658</v>
      </c>
      <c r="AE46" s="156" t="n">
        <f aca="false">IFERROR('Price History'!J3+(INDEX('Price History'!J:J,MATCH(9.99E+307,'Returns (Calc)'!$A:$A)+1)-'Price History'!J3)*(ROW()-3)/(MATCH(9.99E+307,'Returns (Calc)'!$A:$A)-3),"")</f>
        <v>116.485632911392</v>
      </c>
      <c r="AF46" s="156" t="n">
        <f aca="false">IFERROR('Price History'!K3+(INDEX('Price History'!K:K,MATCH(9.99E+307,'Returns (Calc)'!$A:$A)+1)-'Price History'!K3)*(ROW()-3)/(MATCH(9.99E+307,'Returns (Calc)'!$A:$A)-3),"")</f>
        <v>62.526582278481</v>
      </c>
      <c r="AG46" s="156" t="n">
        <f aca="false">IFERROR('Price History'!L3+(INDEX('Price History'!L:L,MATCH(9.99E+307,'Returns (Calc)'!$A:$A)+1)-'Price History'!L3)*(ROW()-3)/(MATCH(9.99E+307,'Returns (Calc)'!$A:$A)-3),"")</f>
        <v>191.080949367089</v>
      </c>
      <c r="AH46" s="156" t="n">
        <f aca="false">IFERROR('Price History'!M3+(INDEX('Price History'!M:M,MATCH(9.99E+307,'Returns (Calc)'!$A:$A)+1)-'Price History'!M3)*(ROW()-3)/(MATCH(9.99E+307,'Returns (Calc)'!$A:$A)-3),"")</f>
        <v>96.3040506329114</v>
      </c>
      <c r="AI46" s="156" t="n">
        <f aca="false">IFERROR('Price History'!N3+(INDEX('Price History'!N:N,MATCH(9.99E+307,'Returns (Calc)'!$A:$A)+1)-'Price History'!N3)*(ROW()-3)/(MATCH(9.99E+307,'Returns (Calc)'!$A:$A)-3),"")</f>
        <v>391.309430379747</v>
      </c>
      <c r="AJ46" s="156" t="n">
        <f aca="false">IFERROR('Price History'!O3+(INDEX('Price History'!O:O,MATCH(9.99E+307,'Returns (Calc)'!$A:$A)+1)-'Price History'!O3)*(ROW()-3)/(MATCH(9.99E+307,'Returns (Calc)'!$A:$A)-3),"")</f>
        <v>87.4806329113924</v>
      </c>
      <c r="AK46" s="156" t="n">
        <f aca="false">IFERROR('Price History'!Q3+(INDEX('Price History'!Q:Q,MATCH(9.99E+307,'Returns (Calc)'!$A:$A)+1)-'Price History'!Q3)*(ROW()-3)/(MATCH(9.99E+307,'Returns (Calc)'!$A:$A)-3),"")</f>
        <v>18.8927848101266</v>
      </c>
      <c r="AL46" s="156" t="n">
        <f aca="false">IFERROR('Price History'!R3+(INDEX('Price History'!R:R,MATCH(9.99E+307,'Returns (Calc)'!$A:$A)+1)-'Price History'!R3)*(ROW()-3)/(MATCH(9.99E+307,'Returns (Calc)'!$A:$A)-3),"")</f>
        <v>41.7083544303797</v>
      </c>
      <c r="AM46" s="156" t="n">
        <f aca="false">IFERROR('Price History'!S3+(INDEX('Price History'!S:S,MATCH(9.99E+307,'Returns (Calc)'!$A:$A)+1)-'Price History'!S3)*(ROW()-3)/(MATCH(9.99E+307,'Returns (Calc)'!$A:$A)-3),"")</f>
        <v>83.6477215189873</v>
      </c>
      <c r="AN46" s="156" t="n">
        <f aca="false">IFERROR('Price History'!T3+(INDEX('Price History'!T:T,MATCH(9.99E+307,'Returns (Calc)'!$A:$A)+1)-'Price History'!T3)*(ROW()-3)/(MATCH(9.99E+307,'Returns (Calc)'!$A:$A)-3),"")</f>
        <v>32.4737974683544</v>
      </c>
      <c r="AO46" s="157" t="n">
        <f aca="false">IFERROR('Price History'!V3+(INDEX('Price History'!V:V,MATCH(9.99E+307,'Returns (Calc)'!$A:$A)+1)-'Price History'!V3)*(ROW()-3)/(MATCH(9.99E+307,'Returns (Calc)'!$A:$A)-3),"")</f>
        <v>269.657151898734</v>
      </c>
      <c r="AP46" s="155" t="n">
        <f aca="false">IFERROR(IF(OR(NOT(ISNUMBER('Price History'!W47)),NOT(ISNUMBER('Price History'!W46)),'Price History'!W46=0),"",'Price History'!W47/'Price History'!W46-1),"")</f>
        <v>0.00784860905206242</v>
      </c>
      <c r="AQ46" s="155" t="str">
        <f aca="false">IFERROR(IF(OR(NOT(ISNUMBER('Price History'!X47)),NOT(ISNUMBER('Price History'!X46)),'Price History'!X46=0),"",'Price History'!X47/'Price History'!X46-1),"")</f>
        <v/>
      </c>
      <c r="AR46" s="155" t="n">
        <f aca="false">IFERROR(IF(OR(NOT(ISNUMBER('Price History'!Y47)),NOT(ISNUMBER('Price History'!Y46)),'Price History'!Y46=0),"",'Price History'!Y47/'Price History'!Y46-1),"")</f>
        <v>-0.00231676495366473</v>
      </c>
      <c r="AS46" s="155" t="n">
        <f aca="false">IFERROR(IF(OR(NOT(ISNUMBER('Price History'!Z47)),NOT(ISNUMBER('Price History'!Z46)),'Price History'!Z46=0),"",'Price History'!Z47/'Price History'!Z46-1),"")</f>
        <v>0.000763407341433986</v>
      </c>
      <c r="AT46" s="155" t="n">
        <f aca="false">IFERROR(IF(OR(NOT(ISNUMBER('Price History'!AA47)),NOT(ISNUMBER('Price History'!AA46)),'Price History'!AA46=0),"",'Price History'!AA47/'Price History'!AA46-1),"")</f>
        <v>-0.0220815318097592</v>
      </c>
      <c r="AU46" s="155" t="n">
        <f aca="false">IFERROR(IF(OR(NOT(ISNUMBER('Price History'!AB47)),NOT(ISNUMBER('Price History'!AB46)),'Price History'!AB46=0),"",'Price History'!AB47/'Price History'!AB46-1),"")</f>
        <v>-0.024851000425713</v>
      </c>
    </row>
    <row r="47" customFormat="false" ht="15" hidden="false" customHeight="true" outlineLevel="0" collapsed="false">
      <c r="A47" s="153" t="n">
        <f aca="false">IF('Price History'!A48="","",'Price History'!A48)</f>
        <v>45499</v>
      </c>
      <c r="B47" s="154" t="n">
        <f aca="false">IFERROR(IF(OR(NOT(ISNUMBER('Price History'!B48)),NOT(ISNUMBER('Price History'!B47)),'Price History'!B47=0),"",'Price History'!B48/'Price History'!B47-1),"")</f>
        <v>-0.0155353901996369</v>
      </c>
      <c r="C47" s="154" t="n">
        <f aca="false">IFERROR(IF(OR(NOT(ISNUMBER('Price History'!C48)),NOT(ISNUMBER('Price History'!C47)),'Price History'!C47=0),"",'Price History'!C48/'Price History'!C47-1),"")</f>
        <v>-0.0343659244917716</v>
      </c>
      <c r="D47" s="154" t="n">
        <f aca="false">IFERROR(IF(OR(NOT(ISNUMBER('Price History'!D48)),NOT(ISNUMBER('Price History'!D47)),'Price History'!D47=0),"",'Price History'!D48/'Price History'!D47-1),"")</f>
        <v>-0.00779312384809672</v>
      </c>
      <c r="E47" s="154" t="n">
        <f aca="false">IFERROR(IF(OR(NOT(ISNUMBER('Price History'!E48)),NOT(ISNUMBER('Price History'!E47)),'Price History'!E47=0),"",'Price History'!E48/'Price History'!E47-1),"")</f>
        <v>-0.0363258951738453</v>
      </c>
      <c r="F47" s="154" t="n">
        <f aca="false">IFERROR(IF(OR(NOT(ISNUMBER('Price History'!F48)),NOT(ISNUMBER('Price History'!F47)),'Price History'!F47=0),"",'Price History'!F48/'Price History'!F47-1),"")</f>
        <v>-0.160020986358867</v>
      </c>
      <c r="G47" s="154" t="n">
        <f aca="false">IFERROR(IF(OR(NOT(ISNUMBER('Price History'!G48)),NOT(ISNUMBER('Price History'!G47)),'Price History'!G47=0),"",'Price History'!G48/'Price History'!G47-1),"")</f>
        <v>0.0326753801013604</v>
      </c>
      <c r="H47" s="154" t="n">
        <f aca="false">IFERROR(IF(OR(NOT(ISNUMBER('Price History'!H48)),NOT(ISNUMBER('Price History'!H47)),'Price History'!H47=0),"",'Price History'!H48/'Price History'!H47-1),"")</f>
        <v>-0.0424482606781154</v>
      </c>
      <c r="I47" s="154" t="n">
        <f aca="false">IFERROR(IF(OR(NOT(ISNUMBER('Price History'!I48)),NOT(ISNUMBER('Price History'!I47)),'Price History'!I47=0),"",'Price History'!I48/'Price History'!I47-1),"")</f>
        <v>-0.0412414965986394</v>
      </c>
      <c r="J47" s="154" t="n">
        <f aca="false">IFERROR(IF(OR(NOT(ISNUMBER('Price History'!J48)),NOT(ISNUMBER('Price History'!J47)),'Price History'!J47=0),"",'Price History'!J48/'Price History'!J47-1),"")</f>
        <v>-0.00870322019147085</v>
      </c>
      <c r="K47" s="154" t="n">
        <f aca="false">IFERROR(IF(OR(NOT(ISNUMBER('Price History'!K48)),NOT(ISNUMBER('Price History'!K47)),'Price History'!K47=0),"",'Price History'!K48/'Price History'!K47-1),"")</f>
        <v>-0.0489853044086773</v>
      </c>
      <c r="L47" s="154" t="n">
        <f aca="false">IFERROR(IF(OR(NOT(ISNUMBER('Price History'!L48)),NOT(ISNUMBER('Price History'!L47)),'Price History'!L47=0),"",'Price History'!L48/'Price History'!L47-1),"")</f>
        <v>-0.0230797865740167</v>
      </c>
      <c r="M47" s="154" t="n">
        <f aca="false">IFERROR(IF(OR(NOT(ISNUMBER('Price History'!M48)),NOT(ISNUMBER('Price History'!M47)),'Price History'!M47=0),"",'Price History'!M48/'Price History'!M47-1),"")</f>
        <v>-0.0960272684532205</v>
      </c>
      <c r="N47" s="154" t="n">
        <f aca="false">IFERROR(IF(OR(NOT(ISNUMBER('Price History'!N48)),NOT(ISNUMBER('Price History'!N47)),'Price History'!N47=0),"",'Price History'!N48/'Price History'!N47-1),"")</f>
        <v>0.0075065606119169</v>
      </c>
      <c r="O47" s="154" t="n">
        <f aca="false">IFERROR(IF(OR(NOT(ISNUMBER('Price History'!O48)),NOT(ISNUMBER('Price History'!O47)),'Price History'!O47=0),"",'Price History'!O48/'Price History'!O47-1),"")</f>
        <v>0.0362671863159034</v>
      </c>
      <c r="P47" s="154" t="n">
        <f aca="false">IFERROR(IF(OR(NOT(ISNUMBER('Price History'!P48)),NOT(ISNUMBER('Price History'!P47)),'Price History'!P47=0),"",'Price History'!P48/'Price History'!P47-1),"")</f>
        <v>0.0211490709821047</v>
      </c>
      <c r="Q47" s="154" t="n">
        <f aca="false">IFERROR(IF(OR(NOT(ISNUMBER('Price History'!Q48)),NOT(ISNUMBER('Price History'!Q47)),'Price History'!Q47=0),"",'Price History'!Q48/'Price History'!Q47-1),"")</f>
        <v>-0.00414293112377007</v>
      </c>
      <c r="R47" s="154" t="n">
        <f aca="false">IFERROR(IF(OR(NOT(ISNUMBER('Price History'!R48)),NOT(ISNUMBER('Price History'!R47)),'Price History'!R47=0),"",'Price History'!R48/'Price History'!R47-1),"")</f>
        <v>-0.0226190476190477</v>
      </c>
      <c r="S47" s="154" t="n">
        <f aca="false">IFERROR(IF(OR(NOT(ISNUMBER('Price History'!S48)),NOT(ISNUMBER('Price History'!S47)),'Price History'!S47=0),"",'Price History'!S48/'Price History'!S47-1),"")</f>
        <v>-0.0188412623645785</v>
      </c>
      <c r="T47" s="154" t="n">
        <f aca="false">IFERROR(IF(OR(NOT(ISNUMBER('Price History'!T48)),NOT(ISNUMBER('Price History'!T47)),'Price History'!T47=0),"",'Price History'!T48/'Price History'!T47-1),"")</f>
        <v>0.0180645161290323</v>
      </c>
      <c r="U47" s="154" t="n">
        <f aca="false">IFERROR(IF(OR(NOT(ISNUMBER('Price History'!U48)),NOT(ISNUMBER('Price History'!U47)),'Price History'!U47=0),"",'Price History'!U48/'Price History'!U47-1),"")</f>
        <v>0.0168471720818293</v>
      </c>
      <c r="V47" s="155" t="n">
        <f aca="false">IFERROR(IF(OR(NOT(ISNUMBER('Price History'!V48)),NOT(ISNUMBER('Price History'!V47)),'Price History'!V47=0),"",'Price History'!V48/'Price History'!V47-1),"")</f>
        <v>-0.0226062301237595</v>
      </c>
      <c r="W47" s="156" t="n">
        <f aca="false">IFERROR('Price History'!B3+(INDEX('Price History'!B:B,MATCH(9.99E+307,'Returns (Calc)'!$A:$A)+1)-'Price History'!B3)*(ROW()-3)/(MATCH(9.99E+307,'Returns (Calc)'!$A:$A)-3),"")</f>
        <v>447.796329113924</v>
      </c>
      <c r="X47" s="156" t="n">
        <f aca="false">IFERROR('Price History'!C3+(INDEX('Price History'!C:C,MATCH(9.99E+307,'Returns (Calc)'!$A:$A)+1)-'Price History'!C3)*(ROW()-3)/(MATCH(9.99E+307,'Returns (Calc)'!$A:$A)-3),"")</f>
        <v>91.0627848101266</v>
      </c>
      <c r="Y47" s="156" t="n">
        <f aca="false">IFERROR('Price History'!D3+(INDEX('Price History'!D:D,MATCH(9.99E+307,'Returns (Calc)'!$A:$A)+1)-'Price History'!D3)*(ROW()-3)/(MATCH(9.99E+307,'Returns (Calc)'!$A:$A)-3),"")</f>
        <v>939.94164556962</v>
      </c>
      <c r="Z47" s="156" t="n">
        <f aca="false">IFERROR('Price History'!E3+(INDEX('Price History'!E:E,MATCH(9.99E+307,'Returns (Calc)'!$A:$A)+1)-'Price History'!E3)*(ROW()-3)/(MATCH(9.99E+307,'Returns (Calc)'!$A:$A)-3),"")</f>
        <v>158.064303797468</v>
      </c>
      <c r="AA47" s="156" t="n">
        <f aca="false">IFERROR('Price History'!F3+(INDEX('Price History'!F:F,MATCH(9.99E+307,'Returns (Calc)'!$A:$A)+1)-'Price History'!F3)*(ROW()-3)/(MATCH(9.99E+307,'Returns (Calc)'!$A:$A)-3),"")</f>
        <v>105.043037974684</v>
      </c>
      <c r="AB47" s="156" t="n">
        <f aca="false">IFERROR('Price History'!G3+(INDEX('Price History'!G:G,MATCH(9.99E+307,'Returns (Calc)'!$A:$A)+1)-'Price History'!G3)*(ROW()-3)/(MATCH(9.99E+307,'Returns (Calc)'!$A:$A)-3),"")</f>
        <v>89.6143037974684</v>
      </c>
      <c r="AC47" s="156" t="n">
        <f aca="false">IFERROR('Price History'!H3+(INDEX('Price History'!H:H,MATCH(9.99E+307,'Returns (Calc)'!$A:$A)+1)-'Price History'!H3)*(ROW()-3)/(MATCH(9.99E+307,'Returns (Calc)'!$A:$A)-3),"")</f>
        <v>349.200632911392</v>
      </c>
      <c r="AD47" s="156" t="n">
        <f aca="false">IFERROR('Price History'!I3+(INDEX('Price History'!I:I,MATCH(9.99E+307,'Returns (Calc)'!$A:$A)+1)-'Price History'!I3)*(ROW()-3)/(MATCH(9.99E+307,'Returns (Calc)'!$A:$A)-3),"")</f>
        <v>96.7315189873418</v>
      </c>
      <c r="AE47" s="156" t="n">
        <f aca="false">IFERROR('Price History'!J3+(INDEX('Price History'!J:J,MATCH(9.99E+307,'Returns (Calc)'!$A:$A)+1)-'Price History'!J3)*(ROW()-3)/(MATCH(9.99E+307,'Returns (Calc)'!$A:$A)-3),"")</f>
        <v>116.593670886076</v>
      </c>
      <c r="AF47" s="156" t="n">
        <f aca="false">IFERROR('Price History'!K3+(INDEX('Price History'!K:K,MATCH(9.99E+307,'Returns (Calc)'!$A:$A)+1)-'Price History'!K3)*(ROW()-3)/(MATCH(9.99E+307,'Returns (Calc)'!$A:$A)-3),"")</f>
        <v>63.6241772151899</v>
      </c>
      <c r="AG47" s="156" t="n">
        <f aca="false">IFERROR('Price History'!L3+(INDEX('Price History'!L:L,MATCH(9.99E+307,'Returns (Calc)'!$A:$A)+1)-'Price History'!L3)*(ROW()-3)/(MATCH(9.99E+307,'Returns (Calc)'!$A:$A)-3),"")</f>
        <v>193.530506329114</v>
      </c>
      <c r="AH47" s="156" t="n">
        <f aca="false">IFERROR('Price History'!M3+(INDEX('Price History'!M:M,MATCH(9.99E+307,'Returns (Calc)'!$A:$A)+1)-'Price History'!M3)*(ROW()-3)/(MATCH(9.99E+307,'Returns (Calc)'!$A:$A)-3),"")</f>
        <v>97.6594936708861</v>
      </c>
      <c r="AI47" s="156" t="n">
        <f aca="false">IFERROR('Price History'!N3+(INDEX('Price History'!N:N,MATCH(9.99E+307,'Returns (Calc)'!$A:$A)+1)-'Price History'!N3)*(ROW()-3)/(MATCH(9.99E+307,'Returns (Calc)'!$A:$A)-3),"")</f>
        <v>392.295696202532</v>
      </c>
      <c r="AJ47" s="156" t="n">
        <f aca="false">IFERROR('Price History'!O3+(INDEX('Price History'!O:O,MATCH(9.99E+307,'Returns (Calc)'!$A:$A)+1)-'Price History'!O3)*(ROW()-3)/(MATCH(9.99E+307,'Returns (Calc)'!$A:$A)-3),"")</f>
        <v>87.7636708860759</v>
      </c>
      <c r="AK47" s="156" t="n">
        <f aca="false">IFERROR('Price History'!Q3+(INDEX('Price History'!Q:Q,MATCH(9.99E+307,'Returns (Calc)'!$A:$A)+1)-'Price History'!Q3)*(ROW()-3)/(MATCH(9.99E+307,'Returns (Calc)'!$A:$A)-3),"")</f>
        <v>19.3321518987342</v>
      </c>
      <c r="AL47" s="156" t="n">
        <f aca="false">IFERROR('Price History'!R3+(INDEX('Price History'!R:R,MATCH(9.99E+307,'Returns (Calc)'!$A:$A)+1)-'Price History'!R3)*(ROW()-3)/(MATCH(9.99E+307,'Returns (Calc)'!$A:$A)-3),"")</f>
        <v>41.8764556962025</v>
      </c>
      <c r="AM47" s="156" t="n">
        <f aca="false">IFERROR('Price History'!S3+(INDEX('Price History'!S:S,MATCH(9.99E+307,'Returns (Calc)'!$A:$A)+1)-'Price History'!S3)*(ROW()-3)/(MATCH(9.99E+307,'Returns (Calc)'!$A:$A)-3),"")</f>
        <v>84.2527848101266</v>
      </c>
      <c r="AN47" s="156" t="n">
        <f aca="false">IFERROR('Price History'!T3+(INDEX('Price History'!T:T,MATCH(9.99E+307,'Returns (Calc)'!$A:$A)+1)-'Price History'!T3)*(ROW()-3)/(MATCH(9.99E+307,'Returns (Calc)'!$A:$A)-3),"")</f>
        <v>32.6420253164557</v>
      </c>
      <c r="AO47" s="157" t="n">
        <f aca="false">IFERROR('Price History'!V3+(INDEX('Price History'!V:V,MATCH(9.99E+307,'Returns (Calc)'!$A:$A)+1)-'Price History'!V3)*(ROW()-3)/(MATCH(9.99E+307,'Returns (Calc)'!$A:$A)-3),"")</f>
        <v>270.448481012658</v>
      </c>
      <c r="AP47" s="155" t="n">
        <f aca="false">IFERROR(IF(OR(NOT(ISNUMBER('Price History'!W48)),NOT(ISNUMBER('Price History'!W47)),'Price History'!W47=0),"",'Price History'!W48/'Price History'!W47-1),"")</f>
        <v>0.00891234749502456</v>
      </c>
      <c r="AQ47" s="155" t="str">
        <f aca="false">IFERROR(IF(OR(NOT(ISNUMBER('Price History'!X48)),NOT(ISNUMBER('Price History'!X47)),'Price History'!X47=0),"",'Price History'!X48/'Price History'!X47-1),"")</f>
        <v/>
      </c>
      <c r="AR47" s="155" t="n">
        <f aca="false">IFERROR(IF(OR(NOT(ISNUMBER('Price History'!Y48)),NOT(ISNUMBER('Price History'!Y47)),'Price History'!Y47=0),"",'Price History'!Y48/'Price History'!Y47-1),"")</f>
        <v>0.00337766518893812</v>
      </c>
      <c r="AS47" s="155" t="n">
        <f aca="false">IFERROR(IF(OR(NOT(ISNUMBER('Price History'!Z48)),NOT(ISNUMBER('Price History'!Z47)),'Price History'!Z47=0),"",'Price History'!Z48/'Price History'!Z47-1),"")</f>
        <v>0.0671285995804463</v>
      </c>
      <c r="AT47" s="155" t="n">
        <f aca="false">IFERROR(IF(OR(NOT(ISNUMBER('Price History'!AA48)),NOT(ISNUMBER('Price History'!AA47)),'Price History'!AA47=0),"",'Price History'!AA48/'Price History'!AA47-1),"")</f>
        <v>-0.00300015790304753</v>
      </c>
      <c r="AU47" s="155" t="n">
        <f aca="false">IFERROR(IF(OR(NOT(ISNUMBER('Price History'!AB48)),NOT(ISNUMBER('Price History'!AB47)),'Price History'!AB47=0),"",'Price History'!AB48/'Price History'!AB47-1),"")</f>
        <v>0.0500954979536152</v>
      </c>
    </row>
    <row r="48" customFormat="false" ht="15" hidden="false" customHeight="true" outlineLevel="0" collapsed="false">
      <c r="A48" s="153" t="n">
        <f aca="false">IF('Price History'!A49="","",'Price History'!A49)</f>
        <v>45506</v>
      </c>
      <c r="B48" s="154" t="n">
        <f aca="false">IFERROR(IF(OR(NOT(ISNUMBER('Price History'!B49)),NOT(ISNUMBER('Price History'!B48)),'Price History'!B48=0),"",'Price History'!B49/'Price History'!B48-1),"")</f>
        <v>-0.0299941007300348</v>
      </c>
      <c r="C48" s="154" t="n">
        <f aca="false">IFERROR(IF(OR(NOT(ISNUMBER('Price History'!C49)),NOT(ISNUMBER('Price History'!C48)),'Price History'!C48=0),"",'Price History'!C49/'Price History'!C48-1),"")</f>
        <v>0.000375939849624141</v>
      </c>
      <c r="D48" s="154" t="n">
        <f aca="false">IFERROR(IF(OR(NOT(ISNUMBER('Price History'!D49)),NOT(ISNUMBER('Price History'!D48)),'Price History'!D48=0),"",'Price History'!D49/'Price History'!D48-1),"")</f>
        <v>-0.0872805659706695</v>
      </c>
      <c r="E48" s="154" t="n">
        <f aca="false">IFERROR(IF(OR(NOT(ISNUMBER('Price History'!E49)),NOT(ISNUMBER('Price History'!E48)),'Price History'!E48=0),"",'Price History'!E49/'Price History'!E48-1),"")</f>
        <v>-0.0514943457189015</v>
      </c>
      <c r="F48" s="154" t="n">
        <f aca="false">IFERROR(IF(OR(NOT(ISNUMBER('Price History'!F49)),NOT(ISNUMBER('Price History'!F48)),'Price History'!F48=0),"",'Price History'!F49/'Price History'!F48-1),"")</f>
        <v>-0.149437851342911</v>
      </c>
      <c r="G48" s="154" t="n">
        <f aca="false">IFERROR(IF(OR(NOT(ISNUMBER('Price History'!G49)),NOT(ISNUMBER('Price History'!G48)),'Price History'!G48=0),"",'Price History'!G49/'Price History'!G48-1),"")</f>
        <v>-0.115846571096474</v>
      </c>
      <c r="H48" s="154" t="n">
        <f aca="false">IFERROR(IF(OR(NOT(ISNUMBER('Price History'!H49)),NOT(ISNUMBER('Price History'!H48)),'Price History'!H48=0),"",'Price History'!H49/'Price History'!H48-1),"")</f>
        <v>-0.152763726662375</v>
      </c>
      <c r="I48" s="154" t="n">
        <f aca="false">IFERROR(IF(OR(NOT(ISNUMBER('Price History'!I49)),NOT(ISNUMBER('Price History'!I48)),'Price History'!I48=0),"",'Price History'!I49/'Price History'!I48-1),"")</f>
        <v>-0.0512638580931264</v>
      </c>
      <c r="J48" s="154" t="n">
        <f aca="false">IFERROR(IF(OR(NOT(ISNUMBER('Price History'!J49)),NOT(ISNUMBER('Price History'!J48)),'Price History'!J48=0),"",'Price History'!J49/'Price History'!J48-1),"")</f>
        <v>0.0106233538191396</v>
      </c>
      <c r="K48" s="154" t="n">
        <f aca="false">IFERROR(IF(OR(NOT(ISNUMBER('Price History'!K49)),NOT(ISNUMBER('Price History'!K48)),'Price History'!K48=0),"",'Price History'!K49/'Price History'!K48-1),"")</f>
        <v>-0.0897718910963945</v>
      </c>
      <c r="L48" s="154" t="n">
        <f aca="false">IFERROR(IF(OR(NOT(ISNUMBER('Price History'!L49)),NOT(ISNUMBER('Price History'!L48)),'Price History'!L48=0),"",'Price History'!L49/'Price History'!L48-1),"")</f>
        <v>-0.0746221262542868</v>
      </c>
      <c r="M48" s="154" t="n">
        <f aca="false">IFERROR(IF(OR(NOT(ISNUMBER('Price History'!M49)),NOT(ISNUMBER('Price History'!M48)),'Price History'!M48=0),"",'Price History'!M49/'Price History'!M48-1),"")</f>
        <v>-0.099336887270836</v>
      </c>
      <c r="N48" s="154" t="n">
        <f aca="false">IFERROR(IF(OR(NOT(ISNUMBER('Price History'!N49)),NOT(ISNUMBER('Price History'!N48)),'Price History'!N48=0),"",'Price History'!N49/'Price History'!N48-1),"")</f>
        <v>-0.00161531316884067</v>
      </c>
      <c r="O48" s="154" t="n">
        <f aca="false">IFERROR(IF(OR(NOT(ISNUMBER('Price History'!O49)),NOT(ISNUMBER('Price History'!O48)),'Price History'!O48=0),"",'Price History'!O49/'Price History'!O48-1),"")</f>
        <v>-0.0714584203928124</v>
      </c>
      <c r="P48" s="154" t="n">
        <f aca="false">IFERROR(IF(OR(NOT(ISNUMBER('Price History'!P49)),NOT(ISNUMBER('Price History'!P48)),'Price History'!P48=0),"",'Price History'!P49/'Price History'!P48-1),"")</f>
        <v>-0.0144222706691263</v>
      </c>
      <c r="Q48" s="154" t="n">
        <f aca="false">IFERROR(IF(OR(NOT(ISNUMBER('Price History'!Q49)),NOT(ISNUMBER('Price History'!Q48)),'Price History'!Q48=0),"",'Price History'!Q49/'Price History'!Q48-1),"")</f>
        <v>-0.0107470965505286</v>
      </c>
      <c r="R48" s="154" t="n">
        <f aca="false">IFERROR(IF(OR(NOT(ISNUMBER('Price History'!R49)),NOT(ISNUMBER('Price History'!R48)),'Price History'!R48=0),"",'Price History'!R49/'Price History'!R48-1),"")</f>
        <v>-0.0265529841656516</v>
      </c>
      <c r="S48" s="154" t="n">
        <f aca="false">IFERROR(IF(OR(NOT(ISNUMBER('Price History'!S49)),NOT(ISNUMBER('Price History'!S48)),'Price History'!S48=0),"",'Price History'!S49/'Price History'!S48-1),"")</f>
        <v>-0.0297647623619778</v>
      </c>
      <c r="T48" s="154" t="n">
        <f aca="false">IFERROR(IF(OR(NOT(ISNUMBER('Price History'!T49)),NOT(ISNUMBER('Price History'!T48)),'Price History'!T48=0),"",'Price History'!T49/'Price History'!T48-1),"")</f>
        <v>-0.0288339670468948</v>
      </c>
      <c r="U48" s="154" t="n">
        <f aca="false">IFERROR(IF(OR(NOT(ISNUMBER('Price History'!U49)),NOT(ISNUMBER('Price History'!U48)),'Price History'!U48=0),"",'Price History'!U49/'Price History'!U48-1),"")</f>
        <v>-0.0201183431952663</v>
      </c>
      <c r="V48" s="155" t="n">
        <f aca="false">IFERROR(IF(OR(NOT(ISNUMBER('Price History'!V49)),NOT(ISNUMBER('Price History'!V48)),'Price History'!V48=0),"",'Price History'!V49/'Price History'!V48-1),"")</f>
        <v>0.0274804970794622</v>
      </c>
      <c r="W48" s="156" t="n">
        <f aca="false">IFERROR('Price History'!B3+(INDEX('Price History'!B:B,MATCH(9.99E+307,'Returns (Calc)'!$A:$A)+1)-'Price History'!B3)*(ROW()-3)/(MATCH(9.99E+307,'Returns (Calc)'!$A:$A)-3),"")</f>
        <v>445.953291139241</v>
      </c>
      <c r="X48" s="156" t="n">
        <f aca="false">IFERROR('Price History'!C3+(INDEX('Price History'!C:C,MATCH(9.99E+307,'Returns (Calc)'!$A:$A)+1)-'Price History'!C3)*(ROW()-3)/(MATCH(9.99E+307,'Returns (Calc)'!$A:$A)-3),"")</f>
        <v>92.0828481012658</v>
      </c>
      <c r="Y48" s="156" t="n">
        <f aca="false">IFERROR('Price History'!D3+(INDEX('Price History'!D:D,MATCH(9.99E+307,'Returns (Calc)'!$A:$A)+1)-'Price History'!D3)*(ROW()-3)/(MATCH(9.99E+307,'Returns (Calc)'!$A:$A)-3),"")</f>
        <v>948.076455696203</v>
      </c>
      <c r="Z48" s="156" t="n">
        <f aca="false">IFERROR('Price History'!E3+(INDEX('Price History'!E:E,MATCH(9.99E+307,'Returns (Calc)'!$A:$A)+1)-'Price History'!E3)*(ROW()-3)/(MATCH(9.99E+307,'Returns (Calc)'!$A:$A)-3),"")</f>
        <v>159.793037974684</v>
      </c>
      <c r="AA48" s="156" t="n">
        <f aca="false">IFERROR('Price History'!F3+(INDEX('Price History'!F:F,MATCH(9.99E+307,'Returns (Calc)'!$A:$A)+1)-'Price History'!F3)*(ROW()-3)/(MATCH(9.99E+307,'Returns (Calc)'!$A:$A)-3),"")</f>
        <v>106.490379746835</v>
      </c>
      <c r="AB48" s="156" t="n">
        <f aca="false">IFERROR('Price History'!G3+(INDEX('Price History'!G:G,MATCH(9.99E+307,'Returns (Calc)'!$A:$A)+1)-'Price History'!G3)*(ROW()-3)/(MATCH(9.99E+307,'Returns (Calc)'!$A:$A)-3),"")</f>
        <v>90.6430379746836</v>
      </c>
      <c r="AC48" s="156" t="n">
        <f aca="false">IFERROR('Price History'!H3+(INDEX('Price History'!H:H,MATCH(9.99E+307,'Returns (Calc)'!$A:$A)+1)-'Price History'!H3)*(ROW()-3)/(MATCH(9.99E+307,'Returns (Calc)'!$A:$A)-3),"")</f>
        <v>355.566329113924</v>
      </c>
      <c r="AD48" s="156" t="n">
        <f aca="false">IFERROR('Price History'!I3+(INDEX('Price History'!I:I,MATCH(9.99E+307,'Returns (Calc)'!$A:$A)+1)-'Price History'!I3)*(ROW()-3)/(MATCH(9.99E+307,'Returns (Calc)'!$A:$A)-3),"")</f>
        <v>97.9351898734177</v>
      </c>
      <c r="AE48" s="156" t="n">
        <f aca="false">IFERROR('Price History'!J3+(INDEX('Price History'!J:J,MATCH(9.99E+307,'Returns (Calc)'!$A:$A)+1)-'Price History'!J3)*(ROW()-3)/(MATCH(9.99E+307,'Returns (Calc)'!$A:$A)-3),"")</f>
        <v>116.70170886076</v>
      </c>
      <c r="AF48" s="156" t="n">
        <f aca="false">IFERROR('Price History'!K3+(INDEX('Price History'!K:K,MATCH(9.99E+307,'Returns (Calc)'!$A:$A)+1)-'Price History'!K3)*(ROW()-3)/(MATCH(9.99E+307,'Returns (Calc)'!$A:$A)-3),"")</f>
        <v>64.7217721518987</v>
      </c>
      <c r="AG48" s="156" t="n">
        <f aca="false">IFERROR('Price History'!L3+(INDEX('Price History'!L:L,MATCH(9.99E+307,'Returns (Calc)'!$A:$A)+1)-'Price History'!L3)*(ROW()-3)/(MATCH(9.99E+307,'Returns (Calc)'!$A:$A)-3),"")</f>
        <v>195.980063291139</v>
      </c>
      <c r="AH48" s="156" t="n">
        <f aca="false">IFERROR('Price History'!M3+(INDEX('Price History'!M:M,MATCH(9.99E+307,'Returns (Calc)'!$A:$A)+1)-'Price History'!M3)*(ROW()-3)/(MATCH(9.99E+307,'Returns (Calc)'!$A:$A)-3),"")</f>
        <v>99.0149367088608</v>
      </c>
      <c r="AI48" s="156" t="n">
        <f aca="false">IFERROR('Price History'!N3+(INDEX('Price History'!N:N,MATCH(9.99E+307,'Returns (Calc)'!$A:$A)+1)-'Price History'!N3)*(ROW()-3)/(MATCH(9.99E+307,'Returns (Calc)'!$A:$A)-3),"")</f>
        <v>393.281962025316</v>
      </c>
      <c r="AJ48" s="156" t="n">
        <f aca="false">IFERROR('Price History'!O3+(INDEX('Price History'!O:O,MATCH(9.99E+307,'Returns (Calc)'!$A:$A)+1)-'Price History'!O3)*(ROW()-3)/(MATCH(9.99E+307,'Returns (Calc)'!$A:$A)-3),"")</f>
        <v>88.0467088607595</v>
      </c>
      <c r="AK48" s="156" t="n">
        <f aca="false">IFERROR('Price History'!Q3+(INDEX('Price History'!Q:Q,MATCH(9.99E+307,'Returns (Calc)'!$A:$A)+1)-'Price History'!Q3)*(ROW()-3)/(MATCH(9.99E+307,'Returns (Calc)'!$A:$A)-3),"")</f>
        <v>19.7715189873418</v>
      </c>
      <c r="AL48" s="156" t="n">
        <f aca="false">IFERROR('Price History'!R3+(INDEX('Price History'!R:R,MATCH(9.99E+307,'Returns (Calc)'!$A:$A)+1)-'Price History'!R3)*(ROW()-3)/(MATCH(9.99E+307,'Returns (Calc)'!$A:$A)-3),"")</f>
        <v>42.0445569620253</v>
      </c>
      <c r="AM48" s="156" t="n">
        <f aca="false">IFERROR('Price History'!S3+(INDEX('Price History'!S:S,MATCH(9.99E+307,'Returns (Calc)'!$A:$A)+1)-'Price History'!S3)*(ROW()-3)/(MATCH(9.99E+307,'Returns (Calc)'!$A:$A)-3),"")</f>
        <v>84.8578481012658</v>
      </c>
      <c r="AN48" s="156" t="n">
        <f aca="false">IFERROR('Price History'!T3+(INDEX('Price History'!T:T,MATCH(9.99E+307,'Returns (Calc)'!$A:$A)+1)-'Price History'!T3)*(ROW()-3)/(MATCH(9.99E+307,'Returns (Calc)'!$A:$A)-3),"")</f>
        <v>32.810253164557</v>
      </c>
      <c r="AO48" s="157" t="n">
        <f aca="false">IFERROR('Price History'!V3+(INDEX('Price History'!V:V,MATCH(9.99E+307,'Returns (Calc)'!$A:$A)+1)-'Price History'!V3)*(ROW()-3)/(MATCH(9.99E+307,'Returns (Calc)'!$A:$A)-3),"")</f>
        <v>271.239810126582</v>
      </c>
      <c r="AP48" s="155" t="n">
        <f aca="false">IFERROR(IF(OR(NOT(ISNUMBER('Price History'!W49)),NOT(ISNUMBER('Price History'!W48)),'Price History'!W48=0),"",'Price History'!W49/'Price History'!W48-1),"")</f>
        <v>-0.0235849056603774</v>
      </c>
      <c r="AQ48" s="155" t="str">
        <f aca="false">IFERROR(IF(OR(NOT(ISNUMBER('Price History'!X49)),NOT(ISNUMBER('Price History'!X48)),'Price History'!X48=0),"",'Price History'!X49/'Price History'!X48-1),"")</f>
        <v/>
      </c>
      <c r="AR48" s="155" t="n">
        <f aca="false">IFERROR(IF(OR(NOT(ISNUMBER('Price History'!Y49)),NOT(ISNUMBER('Price History'!Y48)),'Price History'!Y48=0),"",'Price History'!Y49/'Price History'!Y48-1),"")</f>
        <v>-0.00547022932884489</v>
      </c>
      <c r="AS48" s="155" t="n">
        <f aca="false">IFERROR(IF(OR(NOT(ISNUMBER('Price History'!Z49)),NOT(ISNUMBER('Price History'!Z48)),'Price History'!Z48=0),"",'Price History'!Z49/'Price History'!Z48-1),"")</f>
        <v>-0.0561148507773873</v>
      </c>
      <c r="AT48" s="155" t="n">
        <f aca="false">IFERROR(IF(OR(NOT(ISNUMBER('Price History'!AA49)),NOT(ISNUMBER('Price History'!AA48)),'Price History'!AA48=0),"",'Price History'!AA49/'Price History'!AA48-1),"")</f>
        <v>-0.0281913208742477</v>
      </c>
      <c r="AU48" s="155" t="n">
        <f aca="false">IFERROR(IF(OR(NOT(ISNUMBER('Price History'!AB49)),NOT(ISNUMBER('Price History'!AB48)),'Price History'!AB48=0),"",'Price History'!AB49/'Price History'!AB48-1),"")</f>
        <v>-0.0378839058358885</v>
      </c>
    </row>
    <row r="49" customFormat="false" ht="15" hidden="false" customHeight="true" outlineLevel="0" collapsed="false">
      <c r="A49" s="153" t="n">
        <f aca="false">IF('Price History'!A50="","",'Price History'!A50)</f>
        <v>45513</v>
      </c>
      <c r="B49" s="154" t="n">
        <f aca="false">IFERROR(IF(OR(NOT(ISNUMBER('Price History'!B50)),NOT(ISNUMBER('Price History'!B49)),'Price History'!B49=0),"",'Price History'!B50/'Price History'!B49-1),"")</f>
        <v>0.0192523328962122</v>
      </c>
      <c r="C49" s="154" t="n">
        <f aca="false">IFERROR(IF(OR(NOT(ISNUMBER('Price History'!C50)),NOT(ISNUMBER('Price History'!C49)),'Price History'!C49=0),"",'Price History'!C50/'Price History'!C49-1),"")</f>
        <v>0.0516096705499187</v>
      </c>
      <c r="D49" s="154" t="n">
        <f aca="false">IFERROR(IF(OR(NOT(ISNUMBER('Price History'!D50)),NOT(ISNUMBER('Price History'!D49)),'Price History'!D49=0),"",'Price History'!D50/'Price History'!D49-1),"")</f>
        <v>0.0632529742088668</v>
      </c>
      <c r="E49" s="154" t="n">
        <f aca="false">IFERROR(IF(OR(NOT(ISNUMBER('Price History'!E50)),NOT(ISNUMBER('Price History'!E49)),'Price History'!E49=0),"",'Price History'!E50/'Price History'!E49-1),"")</f>
        <v>0.0308707685756866</v>
      </c>
      <c r="F49" s="154" t="n">
        <f aca="false">IFERROR(IF(OR(NOT(ISNUMBER('Price History'!F50)),NOT(ISNUMBER('Price History'!F49)),'Price History'!F49=0),"",'Price History'!F50/'Price History'!F49-1),"")</f>
        <v>0.105562695061502</v>
      </c>
      <c r="G49" s="154" t="n">
        <f aca="false">IFERROR(IF(OR(NOT(ISNUMBER('Price History'!G50)),NOT(ISNUMBER('Price History'!G49)),'Price History'!G49=0),"",'Price History'!G50/'Price History'!G49-1),"")</f>
        <v>0.072597137014315</v>
      </c>
      <c r="H49" s="154" t="n">
        <f aca="false">IFERROR(IF(OR(NOT(ISNUMBER('Price History'!H50)),NOT(ISNUMBER('Price History'!H49)),'Price History'!H49=0),"",'Price History'!H50/'Price History'!H49-1),"")</f>
        <v>0.00412505427702992</v>
      </c>
      <c r="I49" s="154" t="n">
        <f aca="false">IFERROR(IF(OR(NOT(ISNUMBER('Price History'!I50)),NOT(ISNUMBER('Price History'!I49)),'Price History'!I49=0),"",'Price History'!I50/'Price History'!I49-1),"")</f>
        <v>-0.0234645227633916</v>
      </c>
      <c r="J49" s="154" t="n">
        <f aca="false">IFERROR(IF(OR(NOT(ISNUMBER('Price History'!J50)),NOT(ISNUMBER('Price History'!J49)),'Price History'!J49=0),"",'Price History'!J50/'Price History'!J49-1),"")</f>
        <v>-0.0167665711058986</v>
      </c>
      <c r="K49" s="154" t="n">
        <f aca="false">IFERROR(IF(OR(NOT(ISNUMBER('Price History'!K50)),NOT(ISNUMBER('Price History'!K49)),'Price History'!K49=0),"",'Price History'!K50/'Price History'!K49-1),"")</f>
        <v>0.21301535974131</v>
      </c>
      <c r="L49" s="154" t="n">
        <f aca="false">IFERROR(IF(OR(NOT(ISNUMBER('Price History'!L50)),NOT(ISNUMBER('Price History'!L49)),'Price History'!L49=0),"",'Price History'!L50/'Price History'!L49-1),"")</f>
        <v>0.115160249811269</v>
      </c>
      <c r="M49" s="154" t="n">
        <f aca="false">IFERROR(IF(OR(NOT(ISNUMBER('Price History'!M50)),NOT(ISNUMBER('Price History'!M49)),'Price History'!M49=0),"",'Price History'!M50/'Price History'!M49-1),"")</f>
        <v>0.0288725277898081</v>
      </c>
      <c r="N49" s="154" t="n">
        <f aca="false">IFERROR(IF(OR(NOT(ISNUMBER('Price History'!N50)),NOT(ISNUMBER('Price History'!N49)),'Price History'!N49=0),"",'Price History'!N50/'Price History'!N49-1),"")</f>
        <v>-0.0526028394612305</v>
      </c>
      <c r="O49" s="154" t="n">
        <f aca="false">IFERROR(IF(OR(NOT(ISNUMBER('Price History'!O50)),NOT(ISNUMBER('Price History'!O49)),'Price History'!O49=0),"",'Price History'!O50/'Price History'!O49-1),"")</f>
        <v>-0.0176642664266425</v>
      </c>
      <c r="P49" s="154" t="n">
        <f aca="false">IFERROR(IF(OR(NOT(ISNUMBER('Price History'!P50)),NOT(ISNUMBER('Price History'!P49)),'Price History'!P49=0),"",'Price History'!P50/'Price History'!P49-1),"")</f>
        <v>-0.0101242130338609</v>
      </c>
      <c r="Q49" s="154" t="n">
        <f aca="false">IFERROR(IF(OR(NOT(ISNUMBER('Price History'!Q50)),NOT(ISNUMBER('Price History'!Q49)),'Price History'!Q49=0),"",'Price History'!Q50/'Price History'!Q49-1),"")</f>
        <v>0.000700893639390188</v>
      </c>
      <c r="R49" s="154" t="n">
        <f aca="false">IFERROR(IF(OR(NOT(ISNUMBER('Price History'!R50)),NOT(ISNUMBER('Price History'!R49)),'Price History'!R49=0),"",'Price History'!R50/'Price History'!R49-1),"")</f>
        <v>0.00275275275275266</v>
      </c>
      <c r="S49" s="154" t="n">
        <f aca="false">IFERROR(IF(OR(NOT(ISNUMBER('Price History'!S50)),NOT(ISNUMBER('Price History'!S49)),'Price History'!S49=0),"",'Price History'!S50/'Price History'!S49-1),"")</f>
        <v>0.0173181593270657</v>
      </c>
      <c r="T49" s="154" t="n">
        <f aca="false">IFERROR(IF(OR(NOT(ISNUMBER('Price History'!T50)),NOT(ISNUMBER('Price History'!T49)),'Price History'!T49=0),"",'Price History'!T50/'Price History'!T49-1),"")</f>
        <v>-0.000978792822185937</v>
      </c>
      <c r="U49" s="154" t="n">
        <f aca="false">IFERROR(IF(OR(NOT(ISNUMBER('Price History'!U50)),NOT(ISNUMBER('Price History'!U49)),'Price History'!U49=0),"",'Price History'!U50/'Price History'!U49-1),"")</f>
        <v>-0.00805152979066015</v>
      </c>
      <c r="V49" s="155" t="n">
        <f aca="false">IFERROR(IF(OR(NOT(ISNUMBER('Price History'!V50)),NOT(ISNUMBER('Price History'!V49)),'Price History'!V49=0),"",'Price History'!V50/'Price History'!V49-1),"")</f>
        <v>-0.0236550934757727</v>
      </c>
      <c r="W49" s="156" t="n">
        <f aca="false">IFERROR('Price History'!B3+(INDEX('Price History'!B:B,MATCH(9.99E+307,'Returns (Calc)'!$A:$A)+1)-'Price History'!B3)*(ROW()-3)/(MATCH(9.99E+307,'Returns (Calc)'!$A:$A)-3),"")</f>
        <v>444.110253164557</v>
      </c>
      <c r="X49" s="156" t="n">
        <f aca="false">IFERROR('Price History'!C3+(INDEX('Price History'!C:C,MATCH(9.99E+307,'Returns (Calc)'!$A:$A)+1)-'Price History'!C3)*(ROW()-3)/(MATCH(9.99E+307,'Returns (Calc)'!$A:$A)-3),"")</f>
        <v>93.1029113924051</v>
      </c>
      <c r="Y49" s="156" t="n">
        <f aca="false">IFERROR('Price History'!D3+(INDEX('Price History'!D:D,MATCH(9.99E+307,'Returns (Calc)'!$A:$A)+1)-'Price History'!D3)*(ROW()-3)/(MATCH(9.99E+307,'Returns (Calc)'!$A:$A)-3),"")</f>
        <v>956.211265822785</v>
      </c>
      <c r="Z49" s="156" t="n">
        <f aca="false">IFERROR('Price History'!E3+(INDEX('Price History'!E:E,MATCH(9.99E+307,'Returns (Calc)'!$A:$A)+1)-'Price History'!E3)*(ROW()-3)/(MATCH(9.99E+307,'Returns (Calc)'!$A:$A)-3),"")</f>
        <v>161.521772151899</v>
      </c>
      <c r="AA49" s="156" t="n">
        <f aca="false">IFERROR('Price History'!F3+(INDEX('Price History'!F:F,MATCH(9.99E+307,'Returns (Calc)'!$A:$A)+1)-'Price History'!F3)*(ROW()-3)/(MATCH(9.99E+307,'Returns (Calc)'!$A:$A)-3),"")</f>
        <v>107.937721518987</v>
      </c>
      <c r="AB49" s="156" t="n">
        <f aca="false">IFERROR('Price History'!G3+(INDEX('Price History'!G:G,MATCH(9.99E+307,'Returns (Calc)'!$A:$A)+1)-'Price History'!G3)*(ROW()-3)/(MATCH(9.99E+307,'Returns (Calc)'!$A:$A)-3),"")</f>
        <v>91.6717721518987</v>
      </c>
      <c r="AC49" s="156" t="n">
        <f aca="false">IFERROR('Price History'!H3+(INDEX('Price History'!H:H,MATCH(9.99E+307,'Returns (Calc)'!$A:$A)+1)-'Price History'!H3)*(ROW()-3)/(MATCH(9.99E+307,'Returns (Calc)'!$A:$A)-3),"")</f>
        <v>361.932025316456</v>
      </c>
      <c r="AD49" s="156" t="n">
        <f aca="false">IFERROR('Price History'!I3+(INDEX('Price History'!I:I,MATCH(9.99E+307,'Returns (Calc)'!$A:$A)+1)-'Price History'!I3)*(ROW()-3)/(MATCH(9.99E+307,'Returns (Calc)'!$A:$A)-3),"")</f>
        <v>99.1388607594937</v>
      </c>
      <c r="AE49" s="156" t="n">
        <f aca="false">IFERROR('Price History'!J3+(INDEX('Price History'!J:J,MATCH(9.99E+307,'Returns (Calc)'!$A:$A)+1)-'Price History'!J3)*(ROW()-3)/(MATCH(9.99E+307,'Returns (Calc)'!$A:$A)-3),"")</f>
        <v>116.809746835443</v>
      </c>
      <c r="AF49" s="156" t="n">
        <f aca="false">IFERROR('Price History'!K3+(INDEX('Price History'!K:K,MATCH(9.99E+307,'Returns (Calc)'!$A:$A)+1)-'Price History'!K3)*(ROW()-3)/(MATCH(9.99E+307,'Returns (Calc)'!$A:$A)-3),"")</f>
        <v>65.8193670886076</v>
      </c>
      <c r="AG49" s="156" t="n">
        <f aca="false">IFERROR('Price History'!L3+(INDEX('Price History'!L:L,MATCH(9.99E+307,'Returns (Calc)'!$A:$A)+1)-'Price History'!L3)*(ROW()-3)/(MATCH(9.99E+307,'Returns (Calc)'!$A:$A)-3),"")</f>
        <v>198.429620253165</v>
      </c>
      <c r="AH49" s="156" t="n">
        <f aca="false">IFERROR('Price History'!M3+(INDEX('Price History'!M:M,MATCH(9.99E+307,'Returns (Calc)'!$A:$A)+1)-'Price History'!M3)*(ROW()-3)/(MATCH(9.99E+307,'Returns (Calc)'!$A:$A)-3),"")</f>
        <v>100.370379746835</v>
      </c>
      <c r="AI49" s="156" t="n">
        <f aca="false">IFERROR('Price History'!N3+(INDEX('Price History'!N:N,MATCH(9.99E+307,'Returns (Calc)'!$A:$A)+1)-'Price History'!N3)*(ROW()-3)/(MATCH(9.99E+307,'Returns (Calc)'!$A:$A)-3),"")</f>
        <v>394.268227848101</v>
      </c>
      <c r="AJ49" s="156" t="n">
        <f aca="false">IFERROR('Price History'!O3+(INDEX('Price History'!O:O,MATCH(9.99E+307,'Returns (Calc)'!$A:$A)+1)-'Price History'!O3)*(ROW()-3)/(MATCH(9.99E+307,'Returns (Calc)'!$A:$A)-3),"")</f>
        <v>88.3297468354431</v>
      </c>
      <c r="AK49" s="156" t="n">
        <f aca="false">IFERROR('Price History'!Q3+(INDEX('Price History'!Q:Q,MATCH(9.99E+307,'Returns (Calc)'!$A:$A)+1)-'Price History'!Q3)*(ROW()-3)/(MATCH(9.99E+307,'Returns (Calc)'!$A:$A)-3),"")</f>
        <v>20.2108860759494</v>
      </c>
      <c r="AL49" s="156" t="n">
        <f aca="false">IFERROR('Price History'!R3+(INDEX('Price History'!R:R,MATCH(9.99E+307,'Returns (Calc)'!$A:$A)+1)-'Price History'!R3)*(ROW()-3)/(MATCH(9.99E+307,'Returns (Calc)'!$A:$A)-3),"")</f>
        <v>42.2126582278481</v>
      </c>
      <c r="AM49" s="156" t="n">
        <f aca="false">IFERROR('Price History'!S3+(INDEX('Price History'!S:S,MATCH(9.99E+307,'Returns (Calc)'!$A:$A)+1)-'Price History'!S3)*(ROW()-3)/(MATCH(9.99E+307,'Returns (Calc)'!$A:$A)-3),"")</f>
        <v>85.4629113924051</v>
      </c>
      <c r="AN49" s="156" t="n">
        <f aca="false">IFERROR('Price History'!T3+(INDEX('Price History'!T:T,MATCH(9.99E+307,'Returns (Calc)'!$A:$A)+1)-'Price History'!T3)*(ROW()-3)/(MATCH(9.99E+307,'Returns (Calc)'!$A:$A)-3),"")</f>
        <v>32.9784810126582</v>
      </c>
      <c r="AO49" s="157" t="n">
        <f aca="false">IFERROR('Price History'!V3+(INDEX('Price History'!V:V,MATCH(9.99E+307,'Returns (Calc)'!$A:$A)+1)-'Price History'!V3)*(ROW()-3)/(MATCH(9.99E+307,'Returns (Calc)'!$A:$A)-3),"")</f>
        <v>272.031139240506</v>
      </c>
      <c r="AP49" s="155" t="n">
        <f aca="false">IFERROR(IF(OR(NOT(ISNUMBER('Price History'!W50)),NOT(ISNUMBER('Price History'!W49)),'Price History'!W49=0),"",'Price History'!W50/'Price History'!W49-1),"")</f>
        <v>-0.00210803689064554</v>
      </c>
      <c r="AQ49" s="155" t="str">
        <f aca="false">IFERROR(IF(OR(NOT(ISNUMBER('Price History'!X50)),NOT(ISNUMBER('Price History'!X49)),'Price History'!X49=0),"",'Price History'!X50/'Price History'!X49-1),"")</f>
        <v/>
      </c>
      <c r="AR49" s="155" t="n">
        <f aca="false">IFERROR(IF(OR(NOT(ISNUMBER('Price History'!Y50)),NOT(ISNUMBER('Price History'!Y49)),'Price History'!Y49=0),"",'Price History'!Y50/'Price History'!Y49-1),"")</f>
        <v>0.000634651999153579</v>
      </c>
      <c r="AS49" s="155" t="n">
        <f aca="false">IFERROR(IF(OR(NOT(ISNUMBER('Price History'!Z50)),NOT(ISNUMBER('Price History'!Z49)),'Price History'!Z49=0),"",'Price History'!Z50/'Price History'!Z49-1),"")</f>
        <v>0.0427264121173872</v>
      </c>
      <c r="AT49" s="155" t="n">
        <f aca="false">IFERROR(IF(OR(NOT(ISNUMBER('Price History'!AA50)),NOT(ISNUMBER('Price History'!AA49)),'Price History'!AA49=0),"",'Price History'!AA50/'Price History'!AA49-1),"")</f>
        <v>0.0330834419817472</v>
      </c>
      <c r="AU49" s="155" t="n">
        <f aca="false">IFERROR(IF(OR(NOT(ISNUMBER('Price History'!AB50)),NOT(ISNUMBER('Price History'!AB49)),'Price History'!AB49=0),"",'Price History'!AB50/'Price History'!AB49-1),"")</f>
        <v>0.00923625364588965</v>
      </c>
    </row>
    <row r="50" customFormat="false" ht="15" hidden="false" customHeight="true" outlineLevel="0" collapsed="false">
      <c r="A50" s="153" t="n">
        <f aca="false">IF('Price History'!A51="","",'Price History'!A51)</f>
        <v>45520</v>
      </c>
      <c r="B50" s="154" t="n">
        <f aca="false">IFERROR(IF(OR(NOT(ISNUMBER('Price History'!B51)),NOT(ISNUMBER('Price History'!B50)),'Price History'!B50=0),"",'Price History'!B51/'Price History'!B50-1),"")</f>
        <v>0.0319970165951895</v>
      </c>
      <c r="C50" s="154" t="n">
        <f aca="false">IFERROR(IF(OR(NOT(ISNUMBER('Price History'!C51)),NOT(ISNUMBER('Price History'!C50)),'Price History'!C50=0),"",'Price History'!C51/'Price History'!C50-1),"")</f>
        <v>0.0538415723645027</v>
      </c>
      <c r="D50" s="154" t="n">
        <f aca="false">IFERROR(IF(OR(NOT(ISNUMBER('Price History'!D51)),NOT(ISNUMBER('Price History'!D50)),'Price History'!D50=0),"",'Price History'!D51/'Price History'!D50-1),"")</f>
        <v>0.0675362729807647</v>
      </c>
      <c r="E50" s="154" t="n">
        <f aca="false">IFERROR(IF(OR(NOT(ISNUMBER('Price History'!E51)),NOT(ISNUMBER('Price History'!E50)),'Price History'!E50=0),"",'Price History'!E51/'Price History'!E50-1),"")</f>
        <v>0.117788792509982</v>
      </c>
      <c r="F50" s="154" t="n">
        <f aca="false">IFERROR(IF(OR(NOT(ISNUMBER('Price History'!F51)),NOT(ISNUMBER('Price History'!F50)),'Price History'!F50=0),"",'Price History'!F51/'Price History'!F50-1),"")</f>
        <v>0.0900033211557623</v>
      </c>
      <c r="G50" s="154" t="n">
        <f aca="false">IFERROR(IF(OR(NOT(ISNUMBER('Price History'!G51)),NOT(ISNUMBER('Price History'!G50)),'Price History'!G50=0),"",'Price History'!G51/'Price History'!G50-1),"")</f>
        <v>0.0995505924009259</v>
      </c>
      <c r="H50" s="154" t="n">
        <f aca="false">IFERROR(IF(OR(NOT(ISNUMBER('Price History'!H51)),NOT(ISNUMBER('Price History'!H50)),'Price History'!H50=0),"",'Price History'!H51/'Price History'!H50-1),"")</f>
        <v>0.160216216216216</v>
      </c>
      <c r="I50" s="154" t="n">
        <f aca="false">IFERROR(IF(OR(NOT(ISNUMBER('Price History'!I51)),NOT(ISNUMBER('Price History'!I50)),'Price History'!I50=0),"",'Price History'!I51/'Price History'!I50-1),"")</f>
        <v>0.189354776948114</v>
      </c>
      <c r="J50" s="154" t="n">
        <f aca="false">IFERROR(IF(OR(NOT(ISNUMBER('Price History'!J51)),NOT(ISNUMBER('Price History'!J50)),'Price History'!J50=0),"",'Price History'!J51/'Price History'!J50-1),"")</f>
        <v>0.00777522530482422</v>
      </c>
      <c r="K50" s="154" t="n">
        <f aca="false">IFERROR(IF(OR(NOT(ISNUMBER('Price History'!K51)),NOT(ISNUMBER('Price History'!K50)),'Price History'!K50=0),"",'Price History'!K51/'Price History'!K50-1),"")</f>
        <v>0.0689770076641119</v>
      </c>
      <c r="L50" s="154" t="n">
        <f aca="false">IFERROR(IF(OR(NOT(ISNUMBER('Price History'!L51)),NOT(ISNUMBER('Price History'!L50)),'Price History'!L50=0),"",'Price History'!L51/'Price History'!L50-1),"")</f>
        <v>0.0444335036002215</v>
      </c>
      <c r="M50" s="154" t="n">
        <f aca="false">IFERROR(IF(OR(NOT(ISNUMBER('Price History'!M51)),NOT(ISNUMBER('Price History'!M50)),'Price History'!M50=0),"",'Price History'!M51/'Price History'!M50-1),"")</f>
        <v>0.111407324259857</v>
      </c>
      <c r="N50" s="154" t="n">
        <f aca="false">IFERROR(IF(OR(NOT(ISNUMBER('Price History'!N51)),NOT(ISNUMBER('Price History'!N50)),'Price History'!N50=0),"",'Price History'!N51/'Price History'!N50-1),"")</f>
        <v>0.0190415199060732</v>
      </c>
      <c r="O50" s="154" t="n">
        <f aca="false">IFERROR(IF(OR(NOT(ISNUMBER('Price History'!O51)),NOT(ISNUMBER('Price History'!O50)),'Price History'!O50=0),"",'Price History'!O51/'Price History'!O50-1),"")</f>
        <v>0.0286336043981217</v>
      </c>
      <c r="P50" s="154" t="n">
        <f aca="false">IFERROR(IF(OR(NOT(ISNUMBER('Price History'!P51)),NOT(ISNUMBER('Price History'!P50)),'Price History'!P50=0),"",'Price History'!P51/'Price History'!P50-1),"")</f>
        <v>0.0256123764503653</v>
      </c>
      <c r="Q50" s="154" t="n">
        <f aca="false">IFERROR(IF(OR(NOT(ISNUMBER('Price History'!Q51)),NOT(ISNUMBER('Price History'!Q50)),'Price History'!Q50=0),"",'Price History'!Q51/'Price History'!Q50-1),"")</f>
        <v>0.0260900017510068</v>
      </c>
      <c r="R50" s="154" t="n">
        <f aca="false">IFERROR(IF(OR(NOT(ISNUMBER('Price History'!R51)),NOT(ISNUMBER('Price History'!R50)),'Price History'!R50=0),"",'Price History'!R51/'Price History'!R50-1),"")</f>
        <v>0.0421761916645869</v>
      </c>
      <c r="S50" s="154" t="n">
        <f aca="false">IFERROR(IF(OR(NOT(ISNUMBER('Price History'!S51)),NOT(ISNUMBER('Price History'!S50)),'Price History'!S50=0),"",'Price History'!S51/'Price History'!S50-1),"")</f>
        <v>0.0570282101167317</v>
      </c>
      <c r="T50" s="154" t="n">
        <f aca="false">IFERROR(IF(OR(NOT(ISNUMBER('Price History'!T51)),NOT(ISNUMBER('Price History'!T50)),'Price History'!T50=0),"",'Price History'!T51/'Price History'!T50-1),"")</f>
        <v>0.0163291966035271</v>
      </c>
      <c r="U50" s="154" t="n">
        <f aca="false">IFERROR(IF(OR(NOT(ISNUMBER('Price History'!U51)),NOT(ISNUMBER('Price History'!U50)),'Price History'!U50=0),"",'Price History'!U51/'Price History'!U50-1),"")</f>
        <v>0.0227272727272727</v>
      </c>
      <c r="V50" s="155" t="n">
        <f aca="false">IFERROR(IF(OR(NOT(ISNUMBER('Price History'!V51)),NOT(ISNUMBER('Price History'!V50)),'Price History'!V50=0),"",'Price History'!V51/'Price History'!V50-1),"")</f>
        <v>0.0293474013286441</v>
      </c>
      <c r="W50" s="156" t="n">
        <f aca="false">IFERROR('Price History'!B3+(INDEX('Price History'!B:B,MATCH(9.99E+307,'Returns (Calc)'!$A:$A)+1)-'Price History'!B3)*(ROW()-3)/(MATCH(9.99E+307,'Returns (Calc)'!$A:$A)-3),"")</f>
        <v>442.267215189873</v>
      </c>
      <c r="X50" s="156" t="n">
        <f aca="false">IFERROR('Price History'!C3+(INDEX('Price History'!C:C,MATCH(9.99E+307,'Returns (Calc)'!$A:$A)+1)-'Price History'!C3)*(ROW()-3)/(MATCH(9.99E+307,'Returns (Calc)'!$A:$A)-3),"")</f>
        <v>94.1229746835443</v>
      </c>
      <c r="Y50" s="156" t="n">
        <f aca="false">IFERROR('Price History'!D3+(INDEX('Price History'!D:D,MATCH(9.99E+307,'Returns (Calc)'!$A:$A)+1)-'Price History'!D3)*(ROW()-3)/(MATCH(9.99E+307,'Returns (Calc)'!$A:$A)-3),"")</f>
        <v>964.346075949367</v>
      </c>
      <c r="Z50" s="156" t="n">
        <f aca="false">IFERROR('Price History'!E3+(INDEX('Price History'!E:E,MATCH(9.99E+307,'Returns (Calc)'!$A:$A)+1)-'Price History'!E3)*(ROW()-3)/(MATCH(9.99E+307,'Returns (Calc)'!$A:$A)-3),"")</f>
        <v>163.250506329114</v>
      </c>
      <c r="AA50" s="156" t="n">
        <f aca="false">IFERROR('Price History'!F3+(INDEX('Price History'!F:F,MATCH(9.99E+307,'Returns (Calc)'!$A:$A)+1)-'Price History'!F3)*(ROW()-3)/(MATCH(9.99E+307,'Returns (Calc)'!$A:$A)-3),"")</f>
        <v>109.385063291139</v>
      </c>
      <c r="AB50" s="156" t="n">
        <f aca="false">IFERROR('Price History'!G3+(INDEX('Price History'!G:G,MATCH(9.99E+307,'Returns (Calc)'!$A:$A)+1)-'Price History'!G3)*(ROW()-3)/(MATCH(9.99E+307,'Returns (Calc)'!$A:$A)-3),"")</f>
        <v>92.7005063291139</v>
      </c>
      <c r="AC50" s="156" t="n">
        <f aca="false">IFERROR('Price History'!H3+(INDEX('Price History'!H:H,MATCH(9.99E+307,'Returns (Calc)'!$A:$A)+1)-'Price History'!H3)*(ROW()-3)/(MATCH(9.99E+307,'Returns (Calc)'!$A:$A)-3),"")</f>
        <v>368.297721518987</v>
      </c>
      <c r="AD50" s="156" t="n">
        <f aca="false">IFERROR('Price History'!I3+(INDEX('Price History'!I:I,MATCH(9.99E+307,'Returns (Calc)'!$A:$A)+1)-'Price History'!I3)*(ROW()-3)/(MATCH(9.99E+307,'Returns (Calc)'!$A:$A)-3),"")</f>
        <v>100.34253164557</v>
      </c>
      <c r="AE50" s="156" t="n">
        <f aca="false">IFERROR('Price History'!J3+(INDEX('Price History'!J:J,MATCH(9.99E+307,'Returns (Calc)'!$A:$A)+1)-'Price History'!J3)*(ROW()-3)/(MATCH(9.99E+307,'Returns (Calc)'!$A:$A)-3),"")</f>
        <v>116.917784810127</v>
      </c>
      <c r="AF50" s="156" t="n">
        <f aca="false">IFERROR('Price History'!K3+(INDEX('Price History'!K:K,MATCH(9.99E+307,'Returns (Calc)'!$A:$A)+1)-'Price History'!K3)*(ROW()-3)/(MATCH(9.99E+307,'Returns (Calc)'!$A:$A)-3),"")</f>
        <v>66.9169620253165</v>
      </c>
      <c r="AG50" s="156" t="n">
        <f aca="false">IFERROR('Price History'!L3+(INDEX('Price History'!L:L,MATCH(9.99E+307,'Returns (Calc)'!$A:$A)+1)-'Price History'!L3)*(ROW()-3)/(MATCH(9.99E+307,'Returns (Calc)'!$A:$A)-3),"")</f>
        <v>200.87917721519</v>
      </c>
      <c r="AH50" s="156" t="n">
        <f aca="false">IFERROR('Price History'!M3+(INDEX('Price History'!M:M,MATCH(9.99E+307,'Returns (Calc)'!$A:$A)+1)-'Price History'!M3)*(ROW()-3)/(MATCH(9.99E+307,'Returns (Calc)'!$A:$A)-3),"")</f>
        <v>101.72582278481</v>
      </c>
      <c r="AI50" s="156" t="n">
        <f aca="false">IFERROR('Price History'!N3+(INDEX('Price History'!N:N,MATCH(9.99E+307,'Returns (Calc)'!$A:$A)+1)-'Price History'!N3)*(ROW()-3)/(MATCH(9.99E+307,'Returns (Calc)'!$A:$A)-3),"")</f>
        <v>395.254493670886</v>
      </c>
      <c r="AJ50" s="156" t="n">
        <f aca="false">IFERROR('Price History'!O3+(INDEX('Price History'!O:O,MATCH(9.99E+307,'Returns (Calc)'!$A:$A)+1)-'Price History'!O3)*(ROW()-3)/(MATCH(9.99E+307,'Returns (Calc)'!$A:$A)-3),"")</f>
        <v>88.6127848101266</v>
      </c>
      <c r="AK50" s="156" t="n">
        <f aca="false">IFERROR('Price History'!Q3+(INDEX('Price History'!Q:Q,MATCH(9.99E+307,'Returns (Calc)'!$A:$A)+1)-'Price History'!Q3)*(ROW()-3)/(MATCH(9.99E+307,'Returns (Calc)'!$A:$A)-3),"")</f>
        <v>20.650253164557</v>
      </c>
      <c r="AL50" s="156" t="n">
        <f aca="false">IFERROR('Price History'!R3+(INDEX('Price History'!R:R,MATCH(9.99E+307,'Returns (Calc)'!$A:$A)+1)-'Price History'!R3)*(ROW()-3)/(MATCH(9.99E+307,'Returns (Calc)'!$A:$A)-3),"")</f>
        <v>42.3807594936709</v>
      </c>
      <c r="AM50" s="156" t="n">
        <f aca="false">IFERROR('Price History'!S3+(INDEX('Price History'!S:S,MATCH(9.99E+307,'Returns (Calc)'!$A:$A)+1)-'Price History'!S3)*(ROW()-3)/(MATCH(9.99E+307,'Returns (Calc)'!$A:$A)-3),"")</f>
        <v>86.0679746835443</v>
      </c>
      <c r="AN50" s="156" t="n">
        <f aca="false">IFERROR('Price History'!T3+(INDEX('Price History'!T:T,MATCH(9.99E+307,'Returns (Calc)'!$A:$A)+1)-'Price History'!T3)*(ROW()-3)/(MATCH(9.99E+307,'Returns (Calc)'!$A:$A)-3),"")</f>
        <v>33.1467088607595</v>
      </c>
      <c r="AO50" s="157" t="n">
        <f aca="false">IFERROR('Price History'!V3+(INDEX('Price History'!V:V,MATCH(9.99E+307,'Returns (Calc)'!$A:$A)+1)-'Price History'!V3)*(ROW()-3)/(MATCH(9.99E+307,'Returns (Calc)'!$A:$A)-3),"")</f>
        <v>272.82246835443</v>
      </c>
      <c r="AP50" s="155" t="n">
        <f aca="false">IFERROR(IF(OR(NOT(ISNUMBER('Price History'!W51)),NOT(ISNUMBER('Price History'!W50)),'Price History'!W50=0),"",'Price History'!W51/'Price History'!W50-1),"")</f>
        <v>0.0279904937945603</v>
      </c>
      <c r="AQ50" s="155" t="str">
        <f aca="false">IFERROR(IF(OR(NOT(ISNUMBER('Price History'!X51)),NOT(ISNUMBER('Price History'!X50)),'Price History'!X50=0),"",'Price History'!X51/'Price History'!X50-1),"")</f>
        <v/>
      </c>
      <c r="AR50" s="155" t="n">
        <f aca="false">IFERROR(IF(OR(NOT(ISNUMBER('Price History'!Y51)),NOT(ISNUMBER('Price History'!Y50)),'Price History'!Y50=0),"",'Price History'!Y51/'Price History'!Y50-1),"")</f>
        <v>0.0213530655391121</v>
      </c>
      <c r="AS50" s="155" t="n">
        <f aca="false">IFERROR(IF(OR(NOT(ISNUMBER('Price History'!Z51)),NOT(ISNUMBER('Price History'!Z50)),'Price History'!Z50=0),"",'Price History'!Z51/'Price History'!Z50-1),"")</f>
        <v>0.0136787313884517</v>
      </c>
      <c r="AT50" s="155" t="n">
        <f aca="false">IFERROR(IF(OR(NOT(ISNUMBER('Price History'!AA51)),NOT(ISNUMBER('Price History'!AA50)),'Price History'!AA50=0),"",'Price History'!AA51/'Price History'!AA50-1),"")</f>
        <v>0.0634169427354472</v>
      </c>
      <c r="AU50" s="155" t="n">
        <f aca="false">IFERROR(IF(OR(NOT(ISNUMBER('Price History'!AB51)),NOT(ISNUMBER('Price History'!AB50)),'Price History'!AB50=0),"",'Price History'!AB51/'Price History'!AB50-1),"")</f>
        <v>0.0302381589510303</v>
      </c>
    </row>
    <row r="51" customFormat="false" ht="15" hidden="false" customHeight="true" outlineLevel="0" collapsed="false">
      <c r="A51" s="153" t="n">
        <f aca="false">IF('Price History'!A52="","",'Price History'!A52)</f>
        <v>45527</v>
      </c>
      <c r="B51" s="154" t="n">
        <f aca="false">IFERROR(IF(OR(NOT(ISNUMBER('Price History'!B52)),NOT(ISNUMBER('Price History'!B51)),'Price History'!B51=0),"",'Price History'!B52/'Price History'!B51-1),"")</f>
        <v>0.00874498608752194</v>
      </c>
      <c r="C51" s="154" t="n">
        <f aca="false">IFERROR(IF(OR(NOT(ISNUMBER('Price History'!C52)),NOT(ISNUMBER('Price History'!C51)),'Price History'!C51=0),"",'Price History'!C52/'Price History'!C51-1),"")</f>
        <v>0.00350401265965861</v>
      </c>
      <c r="D51" s="154" t="n">
        <f aca="false">IFERROR(IF(OR(NOT(ISNUMBER('Price History'!D52)),NOT(ISNUMBER('Price History'!D51)),'Price History'!D51=0),"",'Price History'!D52/'Price History'!D51-1),"")</f>
        <v>-0.0124180981051887</v>
      </c>
      <c r="E51" s="154" t="n">
        <f aca="false">IFERROR(IF(OR(NOT(ISNUMBER('Price History'!E52)),NOT(ISNUMBER('Price History'!E51)),'Price History'!E51=0),"",'Price History'!E52/'Price History'!E51-1),"")</f>
        <v>0.00381843936687809</v>
      </c>
      <c r="F51" s="154" t="n">
        <f aca="false">IFERROR(IF(OR(NOT(ISNUMBER('Price History'!F52)),NOT(ISNUMBER('Price History'!F51)),'Price History'!F51=0),"",'Price History'!F52/'Price History'!F51-1),"")</f>
        <v>0.0342778793418648</v>
      </c>
      <c r="G51" s="154" t="n">
        <f aca="false">IFERROR(IF(OR(NOT(ISNUMBER('Price History'!G52)),NOT(ISNUMBER('Price History'!G51)),'Price History'!G51=0),"",'Price History'!G52/'Price History'!G51-1),"")</f>
        <v>-0.00210552390388907</v>
      </c>
      <c r="H51" s="154" t="n">
        <f aca="false">IFERROR(IF(OR(NOT(ISNUMBER('Price History'!H52)),NOT(ISNUMBER('Price History'!H51)),'Price History'!H51=0),"",'Price History'!H52/'Price History'!H51-1),"")</f>
        <v>-0.0476146105106224</v>
      </c>
      <c r="I51" s="154" t="n">
        <f aca="false">IFERROR(IF(OR(NOT(ISNUMBER('Price History'!I52)),NOT(ISNUMBER('Price History'!I51)),'Price History'!I51=0),"",'Price History'!I52/'Price History'!I51-1),"")</f>
        <v>0.0383934320669672</v>
      </c>
      <c r="J51" s="154" t="n">
        <f aca="false">IFERROR(IF(OR(NOT(ISNUMBER('Price History'!J52)),NOT(ISNUMBER('Price History'!J51)),'Price History'!J51=0),"",'Price History'!J52/'Price History'!J51-1),"")</f>
        <v>0.0489216201998948</v>
      </c>
      <c r="K51" s="154" t="n">
        <f aca="false">IFERROR(IF(OR(NOT(ISNUMBER('Price History'!K52)),NOT(ISNUMBER('Price History'!K51)),'Price History'!K51=0),"",'Price History'!K52/'Price History'!K51-1),"")</f>
        <v>-0.00935162094763087</v>
      </c>
      <c r="L51" s="154" t="n">
        <f aca="false">IFERROR(IF(OR(NOT(ISNUMBER('Price History'!L52)),NOT(ISNUMBER('Price History'!L51)),'Price History'!L51=0),"",'Price History'!L52/'Price History'!L51-1),"")</f>
        <v>-0.0186789228684227</v>
      </c>
      <c r="M51" s="154" t="n">
        <f aca="false">IFERROR(IF(OR(NOT(ISNUMBER('Price History'!M52)),NOT(ISNUMBER('Price History'!M51)),'Price History'!M51=0),"",'Price History'!M52/'Price History'!M51-1),"")</f>
        <v>-0.0109834616841307</v>
      </c>
      <c r="N51" s="154" t="n">
        <f aca="false">IFERROR(IF(OR(NOT(ISNUMBER('Price History'!N52)),NOT(ISNUMBER('Price History'!N51)),'Price History'!N51=0),"",'Price History'!N52/'Price History'!N51-1),"")</f>
        <v>0.00810691916123751</v>
      </c>
      <c r="O51" s="154" t="n">
        <f aca="false">IFERROR(IF(OR(NOT(ISNUMBER('Price History'!O52)),NOT(ISNUMBER('Price History'!O51)),'Price History'!O51=0),"",'Price History'!O52/'Price History'!O51-1),"")</f>
        <v>0.0310655828972275</v>
      </c>
      <c r="P51" s="154" t="n">
        <f aca="false">IFERROR(IF(OR(NOT(ISNUMBER('Price History'!P52)),NOT(ISNUMBER('Price History'!P51)),'Price History'!P51=0),"",'Price History'!P52/'Price History'!P51-1),"")</f>
        <v>0.0207827034274701</v>
      </c>
      <c r="Q51" s="154" t="n">
        <f aca="false">IFERROR(IF(OR(NOT(ISNUMBER('Price History'!Q52)),NOT(ISNUMBER('Price History'!Q51)),'Price History'!Q51=0),"",'Price History'!Q52/'Price History'!Q51-1),"")</f>
        <v>0.00887372013651877</v>
      </c>
      <c r="R51" s="154" t="n">
        <f aca="false">IFERROR(IF(OR(NOT(ISNUMBER('Price History'!R52)),NOT(ISNUMBER('Price History'!R51)),'Price History'!R51=0),"",'Price History'!R52/'Price History'!R51-1),"")</f>
        <v>0.00838122605363978</v>
      </c>
      <c r="S51" s="154" t="n">
        <f aca="false">IFERROR(IF(OR(NOT(ISNUMBER('Price History'!S52)),NOT(ISNUMBER('Price History'!S51)),'Price History'!S51=0),"",'Price History'!S52/'Price History'!S51-1),"")</f>
        <v>0.0138042102841365</v>
      </c>
      <c r="T51" s="154" t="n">
        <f aca="false">IFERROR(IF(OR(NOT(ISNUMBER('Price History'!T52)),NOT(ISNUMBER('Price History'!T51)),'Price History'!T51=0),"",'Price History'!T52/'Price History'!T51-1),"")</f>
        <v>0.0327763496143958</v>
      </c>
      <c r="U51" s="154" t="n">
        <f aca="false">IFERROR(IF(OR(NOT(ISNUMBER('Price History'!U52)),NOT(ISNUMBER('Price History'!U51)),'Price History'!U51=0),"",'Price History'!U52/'Price History'!U51-1),"")</f>
        <v>0.0186507936507938</v>
      </c>
      <c r="V51" s="155" t="n">
        <f aca="false">IFERROR(IF(OR(NOT(ISNUMBER('Price History'!V52)),NOT(ISNUMBER('Price History'!V51)),'Price History'!V51=0),"",'Price History'!V52/'Price History'!V51-1),"")</f>
        <v>0.000227781785050007</v>
      </c>
      <c r="W51" s="156" t="n">
        <f aca="false">IFERROR('Price History'!B3+(INDEX('Price History'!B:B,MATCH(9.99E+307,'Returns (Calc)'!$A:$A)+1)-'Price History'!B3)*(ROW()-3)/(MATCH(9.99E+307,'Returns (Calc)'!$A:$A)-3),"")</f>
        <v>440.42417721519</v>
      </c>
      <c r="X51" s="156" t="n">
        <f aca="false">IFERROR('Price History'!C3+(INDEX('Price History'!C:C,MATCH(9.99E+307,'Returns (Calc)'!$A:$A)+1)-'Price History'!C3)*(ROW()-3)/(MATCH(9.99E+307,'Returns (Calc)'!$A:$A)-3),"")</f>
        <v>95.1430379746836</v>
      </c>
      <c r="Y51" s="156" t="n">
        <f aca="false">IFERROR('Price History'!D3+(INDEX('Price History'!D:D,MATCH(9.99E+307,'Returns (Calc)'!$A:$A)+1)-'Price History'!D3)*(ROW()-3)/(MATCH(9.99E+307,'Returns (Calc)'!$A:$A)-3),"")</f>
        <v>972.480886075949</v>
      </c>
      <c r="Z51" s="156" t="n">
        <f aca="false">IFERROR('Price History'!E3+(INDEX('Price History'!E:E,MATCH(9.99E+307,'Returns (Calc)'!$A:$A)+1)-'Price History'!E3)*(ROW()-3)/(MATCH(9.99E+307,'Returns (Calc)'!$A:$A)-3),"")</f>
        <v>164.979240506329</v>
      </c>
      <c r="AA51" s="156" t="n">
        <f aca="false">IFERROR('Price History'!F3+(INDEX('Price History'!F:F,MATCH(9.99E+307,'Returns (Calc)'!$A:$A)+1)-'Price History'!F3)*(ROW()-3)/(MATCH(9.99E+307,'Returns (Calc)'!$A:$A)-3),"")</f>
        <v>110.832405063291</v>
      </c>
      <c r="AB51" s="156" t="n">
        <f aca="false">IFERROR('Price History'!G3+(INDEX('Price History'!G:G,MATCH(9.99E+307,'Returns (Calc)'!$A:$A)+1)-'Price History'!G3)*(ROW()-3)/(MATCH(9.99E+307,'Returns (Calc)'!$A:$A)-3),"")</f>
        <v>93.7292405063291</v>
      </c>
      <c r="AC51" s="156" t="n">
        <f aca="false">IFERROR('Price History'!H3+(INDEX('Price History'!H:H,MATCH(9.99E+307,'Returns (Calc)'!$A:$A)+1)-'Price History'!H3)*(ROW()-3)/(MATCH(9.99E+307,'Returns (Calc)'!$A:$A)-3),"")</f>
        <v>374.663417721519</v>
      </c>
      <c r="AD51" s="156" t="n">
        <f aca="false">IFERROR('Price History'!I3+(INDEX('Price History'!I:I,MATCH(9.99E+307,'Returns (Calc)'!$A:$A)+1)-'Price History'!I3)*(ROW()-3)/(MATCH(9.99E+307,'Returns (Calc)'!$A:$A)-3),"")</f>
        <v>101.546202531646</v>
      </c>
      <c r="AE51" s="156" t="n">
        <f aca="false">IFERROR('Price History'!J3+(INDEX('Price History'!J:J,MATCH(9.99E+307,'Returns (Calc)'!$A:$A)+1)-'Price History'!J3)*(ROW()-3)/(MATCH(9.99E+307,'Returns (Calc)'!$A:$A)-3),"")</f>
        <v>117.02582278481</v>
      </c>
      <c r="AF51" s="156" t="n">
        <f aca="false">IFERROR('Price History'!K3+(INDEX('Price History'!K:K,MATCH(9.99E+307,'Returns (Calc)'!$A:$A)+1)-'Price History'!K3)*(ROW()-3)/(MATCH(9.99E+307,'Returns (Calc)'!$A:$A)-3),"")</f>
        <v>68.0145569620253</v>
      </c>
      <c r="AG51" s="156" t="n">
        <f aca="false">IFERROR('Price History'!L3+(INDEX('Price History'!L:L,MATCH(9.99E+307,'Returns (Calc)'!$A:$A)+1)-'Price History'!L3)*(ROW()-3)/(MATCH(9.99E+307,'Returns (Calc)'!$A:$A)-3),"")</f>
        <v>203.328734177215</v>
      </c>
      <c r="AH51" s="156" t="n">
        <f aca="false">IFERROR('Price History'!M3+(INDEX('Price History'!M:M,MATCH(9.99E+307,'Returns (Calc)'!$A:$A)+1)-'Price History'!M3)*(ROW()-3)/(MATCH(9.99E+307,'Returns (Calc)'!$A:$A)-3),"")</f>
        <v>103.081265822785</v>
      </c>
      <c r="AI51" s="156" t="n">
        <f aca="false">IFERROR('Price History'!N3+(INDEX('Price History'!N:N,MATCH(9.99E+307,'Returns (Calc)'!$A:$A)+1)-'Price History'!N3)*(ROW()-3)/(MATCH(9.99E+307,'Returns (Calc)'!$A:$A)-3),"")</f>
        <v>396.240759493671</v>
      </c>
      <c r="AJ51" s="156" t="n">
        <f aca="false">IFERROR('Price History'!O3+(INDEX('Price History'!O:O,MATCH(9.99E+307,'Returns (Calc)'!$A:$A)+1)-'Price History'!O3)*(ROW()-3)/(MATCH(9.99E+307,'Returns (Calc)'!$A:$A)-3),"")</f>
        <v>88.8958227848101</v>
      </c>
      <c r="AK51" s="156" t="n">
        <f aca="false">IFERROR('Price History'!Q3+(INDEX('Price History'!Q:Q,MATCH(9.99E+307,'Returns (Calc)'!$A:$A)+1)-'Price History'!Q3)*(ROW()-3)/(MATCH(9.99E+307,'Returns (Calc)'!$A:$A)-3),"")</f>
        <v>21.0896202531646</v>
      </c>
      <c r="AL51" s="156" t="n">
        <f aca="false">IFERROR('Price History'!R3+(INDEX('Price History'!R:R,MATCH(9.99E+307,'Returns (Calc)'!$A:$A)+1)-'Price History'!R3)*(ROW()-3)/(MATCH(9.99E+307,'Returns (Calc)'!$A:$A)-3),"")</f>
        <v>42.5488607594937</v>
      </c>
      <c r="AM51" s="156" t="n">
        <f aca="false">IFERROR('Price History'!S3+(INDEX('Price History'!S:S,MATCH(9.99E+307,'Returns (Calc)'!$A:$A)+1)-'Price History'!S3)*(ROW()-3)/(MATCH(9.99E+307,'Returns (Calc)'!$A:$A)-3),"")</f>
        <v>86.6730379746835</v>
      </c>
      <c r="AN51" s="156" t="n">
        <f aca="false">IFERROR('Price History'!T3+(INDEX('Price History'!T:T,MATCH(9.99E+307,'Returns (Calc)'!$A:$A)+1)-'Price History'!T3)*(ROW()-3)/(MATCH(9.99E+307,'Returns (Calc)'!$A:$A)-3),"")</f>
        <v>33.3149367088608</v>
      </c>
      <c r="AO51" s="157" t="n">
        <f aca="false">IFERROR('Price History'!V3+(INDEX('Price History'!V:V,MATCH(9.99E+307,'Returns (Calc)'!$A:$A)+1)-'Price History'!V3)*(ROW()-3)/(MATCH(9.99E+307,'Returns (Calc)'!$A:$A)-3),"")</f>
        <v>273.613797468354</v>
      </c>
      <c r="AP51" s="155" t="n">
        <f aca="false">IFERROR(IF(OR(NOT(ISNUMBER('Price History'!W52)),NOT(ISNUMBER('Price History'!W51)),'Price History'!W51=0),"",'Price History'!W52/'Price History'!W51-1),"")</f>
        <v>0.0165253874475553</v>
      </c>
      <c r="AQ51" s="155" t="str">
        <f aca="false">IFERROR(IF(OR(NOT(ISNUMBER('Price History'!X52)),NOT(ISNUMBER('Price History'!X51)),'Price History'!X51=0),"",'Price History'!X52/'Price History'!X51-1),"")</f>
        <v/>
      </c>
      <c r="AR51" s="155" t="n">
        <f aca="false">IFERROR(IF(OR(NOT(ISNUMBER('Price History'!Y52)),NOT(ISNUMBER('Price History'!Y51)),'Price History'!Y51=0),"",'Price History'!Y52/'Price History'!Y51-1),"")</f>
        <v>0.00869385220451235</v>
      </c>
      <c r="AS51" s="155" t="n">
        <f aca="false">IFERROR(IF(OR(NOT(ISNUMBER('Price History'!Z52)),NOT(ISNUMBER('Price History'!Z51)),'Price History'!Z51=0),"",'Price History'!Z52/'Price History'!Z51-1),"")</f>
        <v>0.0106281347026511</v>
      </c>
      <c r="AT51" s="155" t="n">
        <f aca="false">IFERROR(IF(OR(NOT(ISNUMBER('Price History'!AA52)),NOT(ISNUMBER('Price History'!AA51)),'Price History'!AA51=0),"",'Price History'!AA52/'Price History'!AA51-1),"")</f>
        <v>0.0186915887850467</v>
      </c>
      <c r="AU51" s="155" t="n">
        <f aca="false">IFERROR(IF(OR(NOT(ISNUMBER('Price History'!AB52)),NOT(ISNUMBER('Price History'!AB51)),'Price History'!AB51=0),"",'Price History'!AB52/'Price History'!AB51-1),"")</f>
        <v>0.035064935064935</v>
      </c>
    </row>
    <row r="52" customFormat="false" ht="15" hidden="false" customHeight="true" outlineLevel="0" collapsed="false">
      <c r="A52" s="153" t="n">
        <f aca="false">IF('Price History'!A53="","",'Price History'!A53)</f>
        <v>45534</v>
      </c>
      <c r="B52" s="154" t="n">
        <f aca="false">IFERROR(IF(OR(NOT(ISNUMBER('Price History'!B53)),NOT(ISNUMBER('Price History'!B52)),'Price History'!B52=0),"",'Price History'!B53/'Price History'!B52-1),"")</f>
        <v>0.0288554540569586</v>
      </c>
      <c r="C52" s="154" t="n">
        <f aca="false">IFERROR(IF(OR(NOT(ISNUMBER('Price History'!C53)),NOT(ISNUMBER('Price History'!C52)),'Price History'!C52=0),"",'Price History'!C53/'Price History'!C52-1),"")</f>
        <v>-0.00484343320567704</v>
      </c>
      <c r="D52" s="154" t="n">
        <f aca="false">IFERROR(IF(OR(NOT(ISNUMBER('Price History'!D53)),NOT(ISNUMBER('Price History'!D52)),'Price History'!D52=0),"",'Price History'!D53/'Price History'!D52-1),"")</f>
        <v>-0.00373192872352335</v>
      </c>
      <c r="E52" s="154" t="n">
        <f aca="false">IFERROR(IF(OR(NOT(ISNUMBER('Price History'!E53)),NOT(ISNUMBER('Price History'!E52)),'Price History'!E52=0),"",'Price History'!E53/'Price History'!E52-1),"")</f>
        <v>-0.0212896496717589</v>
      </c>
      <c r="F52" s="154" t="n">
        <f aca="false">IFERROR(IF(OR(NOT(ISNUMBER('Price History'!F53)),NOT(ISNUMBER('Price History'!F52)),'Price History'!F52=0),"",'Price History'!F53/'Price History'!F52-1),"")</f>
        <v>0.0210634850493445</v>
      </c>
      <c r="G52" s="154" t="n">
        <f aca="false">IFERROR(IF(OR(NOT(ISNUMBER('Price History'!G53)),NOT(ISNUMBER('Price History'!G52)),'Price History'!G52=0),"",'Price History'!G53/'Price History'!G52-1),"")</f>
        <v>0.00186173513714794</v>
      </c>
      <c r="H52" s="154" t="n">
        <f aca="false">IFERROR(IF(OR(NOT(ISNUMBER('Price History'!H53)),NOT(ISNUMBER('Price History'!H52)),'Price History'!H52=0),"",'Price History'!H53/'Price History'!H52-1),"")</f>
        <v>-0.0642794247138244</v>
      </c>
      <c r="I52" s="154" t="n">
        <f aca="false">IFERROR(IF(OR(NOT(ISNUMBER('Price History'!I53)),NOT(ISNUMBER('Price History'!I52)),'Price History'!I52=0),"",'Price History'!I53/'Price History'!I52-1),"")</f>
        <v>-0.0772808309433376</v>
      </c>
      <c r="J52" s="154" t="n">
        <f aca="false">IFERROR(IF(OR(NOT(ISNUMBER('Price History'!J53)),NOT(ISNUMBER('Price History'!J52)),'Price History'!J52=0),"",'Price History'!J53/'Price History'!J52-1),"")</f>
        <v>-0.00810765630224009</v>
      </c>
      <c r="K52" s="154" t="n">
        <f aca="false">IFERROR(IF(OR(NOT(ISNUMBER('Price History'!K53)),NOT(ISNUMBER('Price History'!K52)),'Price History'!K52=0),"",'Price History'!K53/'Price History'!K52-1),"")</f>
        <v>-0.0094398993077407</v>
      </c>
      <c r="L52" s="154" t="n">
        <f aca="false">IFERROR(IF(OR(NOT(ISNUMBER('Price History'!L53)),NOT(ISNUMBER('Price History'!L52)),'Price History'!L52=0),"",'Price History'!L53/'Price History'!L52-1),"")</f>
        <v>0.00246187102197659</v>
      </c>
      <c r="M52" s="154" t="n">
        <f aca="false">IFERROR(IF(OR(NOT(ISNUMBER('Price History'!M53)),NOT(ISNUMBER('Price History'!M52)),'Price History'!M52=0),"",'Price History'!M53/'Price History'!M52-1),"")</f>
        <v>0.0570589737043656</v>
      </c>
      <c r="N52" s="154" t="n">
        <f aca="false">IFERROR(IF(OR(NOT(ISNUMBER('Price History'!N53)),NOT(ISNUMBER('Price History'!N52)),'Price History'!N52=0),"",'Price History'!N53/'Price History'!N52-1),"")</f>
        <v>0.0304421910065664</v>
      </c>
      <c r="O52" s="154" t="n">
        <f aca="false">IFERROR(IF(OR(NOT(ISNUMBER('Price History'!O53)),NOT(ISNUMBER('Price History'!O52)),'Price History'!O52=0),"",'Price History'!O53/'Price History'!O52-1),"")</f>
        <v>0.000539956803455866</v>
      </c>
      <c r="P52" s="154" t="n">
        <f aca="false">IFERROR(IF(OR(NOT(ISNUMBER('Price History'!P53)),NOT(ISNUMBER('Price History'!P52)),'Price History'!P52=0),"",'Price History'!P53/'Price History'!P52-1),"")</f>
        <v>0.0137098760364502</v>
      </c>
      <c r="Q52" s="154" t="n">
        <f aca="false">IFERROR(IF(OR(NOT(ISNUMBER('Price History'!Q53)),NOT(ISNUMBER('Price History'!Q52)),'Price History'!Q52=0),"",'Price History'!Q53/'Price History'!Q52-1),"")</f>
        <v>0.00355209742895801</v>
      </c>
      <c r="R52" s="154" t="n">
        <f aca="false">IFERROR(IF(OR(NOT(ISNUMBER('Price History'!R53)),NOT(ISNUMBER('Price History'!R52)),'Price History'!R52=0),"",'Price History'!R53/'Price History'!R52-1),"")</f>
        <v>0.00332462597957739</v>
      </c>
      <c r="S52" s="154" t="n">
        <f aca="false">IFERROR(IF(OR(NOT(ISNUMBER('Price History'!S53)),NOT(ISNUMBER('Price History'!S52)),'Price History'!S52=0),"",'Price History'!S53/'Price History'!S52-1),"")</f>
        <v>-0.00397140587768063</v>
      </c>
      <c r="T52" s="154" t="n">
        <f aca="false">IFERROR(IF(OR(NOT(ISNUMBER('Price History'!T53)),NOT(ISNUMBER('Price History'!T52)),'Price History'!T52=0),"",'Price History'!T53/'Price History'!T52-1),"")</f>
        <v>0.00311138767890484</v>
      </c>
      <c r="U52" s="154" t="n">
        <f aca="false">IFERROR(IF(OR(NOT(ISNUMBER('Price History'!U53)),NOT(ISNUMBER('Price History'!U52)),'Price History'!U52=0),"",'Price History'!U53/'Price History'!U52-1),"")</f>
        <v>0.0124659135177247</v>
      </c>
      <c r="V52" s="155" t="n">
        <f aca="false">IFERROR(IF(OR(NOT(ISNUMBER('Price History'!V53)),NOT(ISNUMBER('Price History'!V52)),'Price History'!V52=0),"",'Price History'!V53/'Price History'!V52-1),"")</f>
        <v>0.0334003871408508</v>
      </c>
      <c r="W52" s="156" t="n">
        <f aca="false">IFERROR('Price History'!B3+(INDEX('Price History'!B:B,MATCH(9.99E+307,'Returns (Calc)'!$A:$A)+1)-'Price History'!B3)*(ROW()-3)/(MATCH(9.99E+307,'Returns (Calc)'!$A:$A)-3),"")</f>
        <v>438.581139240506</v>
      </c>
      <c r="X52" s="156" t="n">
        <f aca="false">IFERROR('Price History'!C3+(INDEX('Price History'!C:C,MATCH(9.99E+307,'Returns (Calc)'!$A:$A)+1)-'Price History'!C3)*(ROW()-3)/(MATCH(9.99E+307,'Returns (Calc)'!$A:$A)-3),"")</f>
        <v>96.1631012658228</v>
      </c>
      <c r="Y52" s="156" t="n">
        <f aca="false">IFERROR('Price History'!D3+(INDEX('Price History'!D:D,MATCH(9.99E+307,'Returns (Calc)'!$A:$A)+1)-'Price History'!D3)*(ROW()-3)/(MATCH(9.99E+307,'Returns (Calc)'!$A:$A)-3),"")</f>
        <v>980.615696202532</v>
      </c>
      <c r="Z52" s="156" t="n">
        <f aca="false">IFERROR('Price History'!E3+(INDEX('Price History'!E:E,MATCH(9.99E+307,'Returns (Calc)'!$A:$A)+1)-'Price History'!E3)*(ROW()-3)/(MATCH(9.99E+307,'Returns (Calc)'!$A:$A)-3),"")</f>
        <v>166.707974683544</v>
      </c>
      <c r="AA52" s="156" t="n">
        <f aca="false">IFERROR('Price History'!F3+(INDEX('Price History'!F:F,MATCH(9.99E+307,'Returns (Calc)'!$A:$A)+1)-'Price History'!F3)*(ROW()-3)/(MATCH(9.99E+307,'Returns (Calc)'!$A:$A)-3),"")</f>
        <v>112.279746835443</v>
      </c>
      <c r="AB52" s="156" t="n">
        <f aca="false">IFERROR('Price History'!G3+(INDEX('Price History'!G:G,MATCH(9.99E+307,'Returns (Calc)'!$A:$A)+1)-'Price History'!G3)*(ROW()-3)/(MATCH(9.99E+307,'Returns (Calc)'!$A:$A)-3),"")</f>
        <v>94.7579746835443</v>
      </c>
      <c r="AC52" s="156" t="n">
        <f aca="false">IFERROR('Price History'!H3+(INDEX('Price History'!H:H,MATCH(9.99E+307,'Returns (Calc)'!$A:$A)+1)-'Price History'!H3)*(ROW()-3)/(MATCH(9.99E+307,'Returns (Calc)'!$A:$A)-3),"")</f>
        <v>381.029113924051</v>
      </c>
      <c r="AD52" s="156" t="n">
        <f aca="false">IFERROR('Price History'!I3+(INDEX('Price History'!I:I,MATCH(9.99E+307,'Returns (Calc)'!$A:$A)+1)-'Price History'!I3)*(ROW()-3)/(MATCH(9.99E+307,'Returns (Calc)'!$A:$A)-3),"")</f>
        <v>102.749873417722</v>
      </c>
      <c r="AE52" s="156" t="n">
        <f aca="false">IFERROR('Price History'!J3+(INDEX('Price History'!J:J,MATCH(9.99E+307,'Returns (Calc)'!$A:$A)+1)-'Price History'!J3)*(ROW()-3)/(MATCH(9.99E+307,'Returns (Calc)'!$A:$A)-3),"")</f>
        <v>117.133860759494</v>
      </c>
      <c r="AF52" s="156" t="n">
        <f aca="false">IFERROR('Price History'!K3+(INDEX('Price History'!K:K,MATCH(9.99E+307,'Returns (Calc)'!$A:$A)+1)-'Price History'!K3)*(ROW()-3)/(MATCH(9.99E+307,'Returns (Calc)'!$A:$A)-3),"")</f>
        <v>69.1121518987342</v>
      </c>
      <c r="AG52" s="156" t="n">
        <f aca="false">IFERROR('Price History'!L3+(INDEX('Price History'!L:L,MATCH(9.99E+307,'Returns (Calc)'!$A:$A)+1)-'Price History'!L3)*(ROW()-3)/(MATCH(9.99E+307,'Returns (Calc)'!$A:$A)-3),"")</f>
        <v>205.77829113924</v>
      </c>
      <c r="AH52" s="156" t="n">
        <f aca="false">IFERROR('Price History'!M3+(INDEX('Price History'!M:M,MATCH(9.99E+307,'Returns (Calc)'!$A:$A)+1)-'Price History'!M3)*(ROW()-3)/(MATCH(9.99E+307,'Returns (Calc)'!$A:$A)-3),"")</f>
        <v>104.43670886076</v>
      </c>
      <c r="AI52" s="156" t="n">
        <f aca="false">IFERROR('Price History'!N3+(INDEX('Price History'!N:N,MATCH(9.99E+307,'Returns (Calc)'!$A:$A)+1)-'Price History'!N3)*(ROW()-3)/(MATCH(9.99E+307,'Returns (Calc)'!$A:$A)-3),"")</f>
        <v>397.227025316456</v>
      </c>
      <c r="AJ52" s="156" t="n">
        <f aca="false">IFERROR('Price History'!O3+(INDEX('Price History'!O:O,MATCH(9.99E+307,'Returns (Calc)'!$A:$A)+1)-'Price History'!O3)*(ROW()-3)/(MATCH(9.99E+307,'Returns (Calc)'!$A:$A)-3),"")</f>
        <v>89.1788607594937</v>
      </c>
      <c r="AK52" s="156" t="n">
        <f aca="false">IFERROR('Price History'!Q3+(INDEX('Price History'!Q:Q,MATCH(9.99E+307,'Returns (Calc)'!$A:$A)+1)-'Price History'!Q3)*(ROW()-3)/(MATCH(9.99E+307,'Returns (Calc)'!$A:$A)-3),"")</f>
        <v>21.5289873417722</v>
      </c>
      <c r="AL52" s="156" t="n">
        <f aca="false">IFERROR('Price History'!R3+(INDEX('Price History'!R:R,MATCH(9.99E+307,'Returns (Calc)'!$A:$A)+1)-'Price History'!R3)*(ROW()-3)/(MATCH(9.99E+307,'Returns (Calc)'!$A:$A)-3),"")</f>
        <v>42.7169620253165</v>
      </c>
      <c r="AM52" s="156" t="n">
        <f aca="false">IFERROR('Price History'!S3+(INDEX('Price History'!S:S,MATCH(9.99E+307,'Returns (Calc)'!$A:$A)+1)-'Price History'!S3)*(ROW()-3)/(MATCH(9.99E+307,'Returns (Calc)'!$A:$A)-3),"")</f>
        <v>87.2781012658228</v>
      </c>
      <c r="AN52" s="156" t="n">
        <f aca="false">IFERROR('Price History'!T3+(INDEX('Price History'!T:T,MATCH(9.99E+307,'Returns (Calc)'!$A:$A)+1)-'Price History'!T3)*(ROW()-3)/(MATCH(9.99E+307,'Returns (Calc)'!$A:$A)-3),"")</f>
        <v>33.483164556962</v>
      </c>
      <c r="AO52" s="157" t="n">
        <f aca="false">IFERROR('Price History'!V3+(INDEX('Price History'!V:V,MATCH(9.99E+307,'Returns (Calc)'!$A:$A)+1)-'Price History'!V3)*(ROW()-3)/(MATCH(9.99E+307,'Returns (Calc)'!$A:$A)-3),"")</f>
        <v>274.405126582279</v>
      </c>
      <c r="AP52" s="155" t="n">
        <f aca="false">IFERROR(IF(OR(NOT(ISNUMBER('Price History'!W53)),NOT(ISNUMBER('Price History'!W52)),'Price History'!W52=0),"",'Price History'!W53/'Price History'!W52-1),"")</f>
        <v>0.0126347708894878</v>
      </c>
      <c r="AQ52" s="155" t="str">
        <f aca="false">IFERROR(IF(OR(NOT(ISNUMBER('Price History'!X53)),NOT(ISNUMBER('Price History'!X52)),'Price History'!X52=0),"",'Price History'!X53/'Price History'!X52-1),"")</f>
        <v/>
      </c>
      <c r="AR52" s="155" t="n">
        <f aca="false">IFERROR(IF(OR(NOT(ISNUMBER('Price History'!Y53)),NOT(ISNUMBER('Price History'!Y52)),'Price History'!Y52=0),"",'Price History'!Y53/'Price History'!Y52-1),"")</f>
        <v>0.0123127436897188</v>
      </c>
      <c r="AS52" s="155" t="n">
        <f aca="false">IFERROR(IF(OR(NOT(ISNUMBER('Price History'!Z53)),NOT(ISNUMBER('Price History'!Z52)),'Price History'!Z52=0),"",'Price History'!Z53/'Price History'!Z52-1),"")</f>
        <v>0.0198511166253104</v>
      </c>
      <c r="AT52" s="155" t="n">
        <f aca="false">IFERROR(IF(OR(NOT(ISNUMBER('Price History'!AA53)),NOT(ISNUMBER('Price History'!AA52)),'Price History'!AA52=0),"",'Price History'!AA53/'Price History'!AA52-1),"")</f>
        <v>0.0214067278287462</v>
      </c>
      <c r="AU52" s="155" t="n">
        <f aca="false">IFERROR(IF(OR(NOT(ISNUMBER('Price History'!AB53)),NOT(ISNUMBER('Price History'!AB52)),'Price History'!AB52=0),"",'Price History'!AB53/'Price History'!AB52-1),"")</f>
        <v>0.0862735257214555</v>
      </c>
    </row>
    <row r="53" customFormat="false" ht="15" hidden="false" customHeight="true" outlineLevel="0" collapsed="false">
      <c r="A53" s="153" t="n">
        <f aca="false">IF('Price History'!A54="","",'Price History'!A54)</f>
        <v>45541</v>
      </c>
      <c r="B53" s="154" t="n">
        <f aca="false">IFERROR(IF(OR(NOT(ISNUMBER('Price History'!B54)),NOT(ISNUMBER('Price History'!B53)),'Price History'!B53=0),"",'Price History'!B54/'Price History'!B53-1),"")</f>
        <v>-0.0191500844344632</v>
      </c>
      <c r="C53" s="154" t="n">
        <f aca="false">IFERROR(IF(OR(NOT(ISNUMBER('Price History'!C54)),NOT(ISNUMBER('Price History'!C53)),'Price History'!C53=0),"",'Price History'!C54/'Price History'!C53-1),"")</f>
        <v>-0.110582908885116</v>
      </c>
      <c r="D53" s="154" t="n">
        <f aca="false">IFERROR(IF(OR(NOT(ISNUMBER('Price History'!D54)),NOT(ISNUMBER('Price History'!D53)),'Price History'!D53=0),"",'Price History'!D54/'Price History'!D53-1),"")</f>
        <v>-0.167148497699585</v>
      </c>
      <c r="E53" s="154" t="n">
        <f aca="false">IFERROR(IF(OR(NOT(ISNUMBER('Price History'!E54)),NOT(ISNUMBER('Price History'!E53)),'Price History'!E53=0),"",'Price History'!E54/'Price History'!E53-1),"")</f>
        <v>-0.158538114343029</v>
      </c>
      <c r="F53" s="154" t="n">
        <f aca="false">IFERROR(IF(OR(NOT(ISNUMBER('Price History'!F54)),NOT(ISNUMBER('Price History'!F53)),'Price History'!F53=0),"",'Price History'!F54/'Price History'!F53-1),"")</f>
        <v>-0.11136757068667</v>
      </c>
      <c r="G53" s="154" t="n">
        <f aca="false">IFERROR(IF(OR(NOT(ISNUMBER('Price History'!G54)),NOT(ISNUMBER('Price History'!G53)),'Price History'!G53=0),"",'Price History'!G54/'Price History'!G53-1),"")</f>
        <v>-0.142343904856293</v>
      </c>
      <c r="H53" s="154" t="n">
        <f aca="false">IFERROR(IF(OR(NOT(ISNUMBER('Price History'!H54)),NOT(ISNUMBER('Price History'!H53)),'Price History'!H53=0),"",'Price History'!H54/'Price History'!H53-1),"")</f>
        <v>-0.102467586783772</v>
      </c>
      <c r="I53" s="154" t="n">
        <f aca="false">IFERROR(IF(OR(NOT(ISNUMBER('Price History'!I54)),NOT(ISNUMBER('Price History'!I53)),'Price History'!I53=0),"",'Price History'!I54/'Price History'!I53-1),"")</f>
        <v>-0.138524865591398</v>
      </c>
      <c r="J53" s="154" t="n">
        <f aca="false">IFERROR(IF(OR(NOT(ISNUMBER('Price History'!J54)),NOT(ISNUMBER('Price History'!J53)),'Price History'!J53=0),"",'Price History'!J54/'Price History'!J53-1),"")</f>
        <v>-0.00455043397657373</v>
      </c>
      <c r="K53" s="154" t="n">
        <f aca="false">IFERROR(IF(OR(NOT(ISNUMBER('Price History'!K54)),NOT(ISNUMBER('Price History'!K53)),'Price History'!K53=0),"",'Price History'!K54/'Price History'!K53-1),"")</f>
        <v>-0.0365311308767472</v>
      </c>
      <c r="L53" s="154" t="n">
        <f aca="false">IFERROR(IF(OR(NOT(ISNUMBER('Price History'!L54)),NOT(ISNUMBER('Price History'!L53)),'Price History'!L53=0),"",'Price History'!L54/'Price History'!L53-1),"")</f>
        <v>-0.0866726564839773</v>
      </c>
      <c r="M53" s="154" t="n">
        <f aca="false">IFERROR(IF(OR(NOT(ISNUMBER('Price History'!M54)),NOT(ISNUMBER('Price History'!M53)),'Price History'!M53=0),"",'Price History'!M54/'Price History'!M53-1),"")</f>
        <v>-0.135611641106147</v>
      </c>
      <c r="N53" s="154" t="n">
        <f aca="false">IFERROR(IF(OR(NOT(ISNUMBER('Price History'!N54)),NOT(ISNUMBER('Price History'!N53)),'Price History'!N53=0),"",'Price History'!N54/'Price History'!N53-1),"")</f>
        <v>-0.0562423118030208</v>
      </c>
      <c r="O53" s="154" t="n">
        <f aca="false">IFERROR(IF(OR(NOT(ISNUMBER('Price History'!O54)),NOT(ISNUMBER('Price History'!O53)),'Price History'!O53=0),"",'Price History'!O54/'Price History'!O53-1),"")</f>
        <v>-0.0566648677819752</v>
      </c>
      <c r="P53" s="154" t="n">
        <f aca="false">IFERROR(IF(OR(NOT(ISNUMBER('Price History'!P54)),NOT(ISNUMBER('Price History'!P53)),'Price History'!P53=0),"",'Price History'!P54/'Price History'!P53-1),"")</f>
        <v>-0.0213799805636541</v>
      </c>
      <c r="Q53" s="154" t="n">
        <f aca="false">IFERROR(IF(OR(NOT(ISNUMBER('Price History'!Q54)),NOT(ISNUMBER('Price History'!Q53)),'Price History'!Q53=0),"",'Price History'!Q54/'Price History'!Q53-1),"")</f>
        <v>-0.0269678071801787</v>
      </c>
      <c r="R53" s="154" t="n">
        <f aca="false">IFERROR(IF(OR(NOT(ISNUMBER('Price History'!R54)),NOT(ISNUMBER('Price History'!R53)),'Price History'!R53=0),"",'Price History'!R54/'Price History'!R53-1),"")</f>
        <v>-0.0402366863905326</v>
      </c>
      <c r="S53" s="154" t="n">
        <f aca="false">IFERROR(IF(OR(NOT(ISNUMBER('Price History'!S54)),NOT(ISNUMBER('Price History'!S53)),'Price History'!S53=0),"",'Price History'!S54/'Price History'!S53-1),"")</f>
        <v>-0.0598086124401914</v>
      </c>
      <c r="T53" s="154" t="n">
        <f aca="false">IFERROR(IF(OR(NOT(ISNUMBER('Price History'!T54)),NOT(ISNUMBER('Price History'!T53)),'Price History'!T53=0),"",'Price History'!T54/'Price History'!T53-1),"")</f>
        <v>-0.0412531017369727</v>
      </c>
      <c r="U53" s="154" t="n">
        <f aca="false">IFERROR(IF(OR(NOT(ISNUMBER('Price History'!U54)),NOT(ISNUMBER('Price History'!U53)),'Price History'!U53=0),"",'Price History'!U54/'Price History'!U53-1),"")</f>
        <v>-0.0300115429011157</v>
      </c>
      <c r="V53" s="155" t="n">
        <f aca="false">IFERROR(IF(OR(NOT(ISNUMBER('Price History'!V54)),NOT(ISNUMBER('Price History'!V53)),'Price History'!V53=0),"",'Price History'!V54/'Price History'!V53-1),"")</f>
        <v>0.0108348330701145</v>
      </c>
      <c r="W53" s="156" t="n">
        <f aca="false">IFERROR('Price History'!B3+(INDEX('Price History'!B:B,MATCH(9.99E+307,'Returns (Calc)'!$A:$A)+1)-'Price History'!B3)*(ROW()-3)/(MATCH(9.99E+307,'Returns (Calc)'!$A:$A)-3),"")</f>
        <v>436.738101265823</v>
      </c>
      <c r="X53" s="156" t="n">
        <f aca="false">IFERROR('Price History'!C3+(INDEX('Price History'!C:C,MATCH(9.99E+307,'Returns (Calc)'!$A:$A)+1)-'Price History'!C3)*(ROW()-3)/(MATCH(9.99E+307,'Returns (Calc)'!$A:$A)-3),"")</f>
        <v>97.183164556962</v>
      </c>
      <c r="Y53" s="156" t="n">
        <f aca="false">IFERROR('Price History'!D3+(INDEX('Price History'!D:D,MATCH(9.99E+307,'Returns (Calc)'!$A:$A)+1)-'Price History'!D3)*(ROW()-3)/(MATCH(9.99E+307,'Returns (Calc)'!$A:$A)-3),"")</f>
        <v>988.750506329114</v>
      </c>
      <c r="Z53" s="156" t="n">
        <f aca="false">IFERROR('Price History'!E3+(INDEX('Price History'!E:E,MATCH(9.99E+307,'Returns (Calc)'!$A:$A)+1)-'Price History'!E3)*(ROW()-3)/(MATCH(9.99E+307,'Returns (Calc)'!$A:$A)-3),"")</f>
        <v>168.43670886076</v>
      </c>
      <c r="AA53" s="156" t="n">
        <f aca="false">IFERROR('Price History'!F3+(INDEX('Price History'!F:F,MATCH(9.99E+307,'Returns (Calc)'!$A:$A)+1)-'Price History'!F3)*(ROW()-3)/(MATCH(9.99E+307,'Returns (Calc)'!$A:$A)-3),"")</f>
        <v>113.727088607595</v>
      </c>
      <c r="AB53" s="156" t="n">
        <f aca="false">IFERROR('Price History'!G3+(INDEX('Price History'!G:G,MATCH(9.99E+307,'Returns (Calc)'!$A:$A)+1)-'Price History'!G3)*(ROW()-3)/(MATCH(9.99E+307,'Returns (Calc)'!$A:$A)-3),"")</f>
        <v>95.7867088607595</v>
      </c>
      <c r="AC53" s="156" t="n">
        <f aca="false">IFERROR('Price History'!H3+(INDEX('Price History'!H:H,MATCH(9.99E+307,'Returns (Calc)'!$A:$A)+1)-'Price History'!H3)*(ROW()-3)/(MATCH(9.99E+307,'Returns (Calc)'!$A:$A)-3),"")</f>
        <v>387.394810126582</v>
      </c>
      <c r="AD53" s="156" t="n">
        <f aca="false">IFERROR('Price History'!I3+(INDEX('Price History'!I:I,MATCH(9.99E+307,'Returns (Calc)'!$A:$A)+1)-'Price History'!I3)*(ROW()-3)/(MATCH(9.99E+307,'Returns (Calc)'!$A:$A)-3),"")</f>
        <v>103.953544303797</v>
      </c>
      <c r="AE53" s="156" t="n">
        <f aca="false">IFERROR('Price History'!J3+(INDEX('Price History'!J:J,MATCH(9.99E+307,'Returns (Calc)'!$A:$A)+1)-'Price History'!J3)*(ROW()-3)/(MATCH(9.99E+307,'Returns (Calc)'!$A:$A)-3),"")</f>
        <v>117.241898734177</v>
      </c>
      <c r="AF53" s="156" t="n">
        <f aca="false">IFERROR('Price History'!K3+(INDEX('Price History'!K:K,MATCH(9.99E+307,'Returns (Calc)'!$A:$A)+1)-'Price History'!K3)*(ROW()-3)/(MATCH(9.99E+307,'Returns (Calc)'!$A:$A)-3),"")</f>
        <v>70.209746835443</v>
      </c>
      <c r="AG53" s="156" t="n">
        <f aca="false">IFERROR('Price History'!L3+(INDEX('Price History'!L:L,MATCH(9.99E+307,'Returns (Calc)'!$A:$A)+1)-'Price History'!L3)*(ROW()-3)/(MATCH(9.99E+307,'Returns (Calc)'!$A:$A)-3),"")</f>
        <v>208.227848101266</v>
      </c>
      <c r="AH53" s="156" t="n">
        <f aca="false">IFERROR('Price History'!M3+(INDEX('Price History'!M:M,MATCH(9.99E+307,'Returns (Calc)'!$A:$A)+1)-'Price History'!M3)*(ROW()-3)/(MATCH(9.99E+307,'Returns (Calc)'!$A:$A)-3),"")</f>
        <v>105.792151898734</v>
      </c>
      <c r="AI53" s="156" t="n">
        <f aca="false">IFERROR('Price History'!N3+(INDEX('Price History'!N:N,MATCH(9.99E+307,'Returns (Calc)'!$A:$A)+1)-'Price History'!N3)*(ROW()-3)/(MATCH(9.99E+307,'Returns (Calc)'!$A:$A)-3),"")</f>
        <v>398.213291139241</v>
      </c>
      <c r="AJ53" s="156" t="n">
        <f aca="false">IFERROR('Price History'!O3+(INDEX('Price History'!O:O,MATCH(9.99E+307,'Returns (Calc)'!$A:$A)+1)-'Price History'!O3)*(ROW()-3)/(MATCH(9.99E+307,'Returns (Calc)'!$A:$A)-3),"")</f>
        <v>89.4618987341772</v>
      </c>
      <c r="AK53" s="156" t="n">
        <f aca="false">IFERROR('Price History'!Q3+(INDEX('Price History'!Q:Q,MATCH(9.99E+307,'Returns (Calc)'!$A:$A)+1)-'Price History'!Q3)*(ROW()-3)/(MATCH(9.99E+307,'Returns (Calc)'!$A:$A)-3),"")</f>
        <v>21.9683544303797</v>
      </c>
      <c r="AL53" s="156" t="n">
        <f aca="false">IFERROR('Price History'!R3+(INDEX('Price History'!R:R,MATCH(9.99E+307,'Returns (Calc)'!$A:$A)+1)-'Price History'!R3)*(ROW()-3)/(MATCH(9.99E+307,'Returns (Calc)'!$A:$A)-3),"")</f>
        <v>42.8850632911392</v>
      </c>
      <c r="AM53" s="156" t="n">
        <f aca="false">IFERROR('Price History'!S3+(INDEX('Price History'!S:S,MATCH(9.99E+307,'Returns (Calc)'!$A:$A)+1)-'Price History'!S3)*(ROW()-3)/(MATCH(9.99E+307,'Returns (Calc)'!$A:$A)-3),"")</f>
        <v>87.883164556962</v>
      </c>
      <c r="AN53" s="156" t="n">
        <f aca="false">IFERROR('Price History'!T3+(INDEX('Price History'!T:T,MATCH(9.99E+307,'Returns (Calc)'!$A:$A)+1)-'Price History'!T3)*(ROW()-3)/(MATCH(9.99E+307,'Returns (Calc)'!$A:$A)-3),"")</f>
        <v>33.6513924050633</v>
      </c>
      <c r="AO53" s="157" t="n">
        <f aca="false">IFERROR('Price History'!V3+(INDEX('Price History'!V:V,MATCH(9.99E+307,'Returns (Calc)'!$A:$A)+1)-'Price History'!V3)*(ROW()-3)/(MATCH(9.99E+307,'Returns (Calc)'!$A:$A)-3),"")</f>
        <v>275.196455696203</v>
      </c>
      <c r="AP53" s="155" t="n">
        <f aca="false">IFERROR(IF(OR(NOT(ISNUMBER('Price History'!W54)),NOT(ISNUMBER('Price History'!W53)),'Price History'!W53=0),"",'Price History'!W54/'Price History'!W53-1),"")</f>
        <v>-0.0336050573947762</v>
      </c>
      <c r="AQ53" s="155" t="str">
        <f aca="false">IFERROR(IF(OR(NOT(ISNUMBER('Price History'!X54)),NOT(ISNUMBER('Price History'!X53)),'Price History'!X53=0),"",'Price History'!X54/'Price History'!X53-1),"")</f>
        <v/>
      </c>
      <c r="AR53" s="155" t="n">
        <f aca="false">IFERROR(IF(OR(NOT(ISNUMBER('Price History'!Y54)),NOT(ISNUMBER('Price History'!Y53)),'Price History'!Y53=0),"",'Price History'!Y54/'Price History'!Y53-1),"")</f>
        <v>-0.0154064463815122</v>
      </c>
      <c r="AS53" s="155" t="n">
        <f aca="false">IFERROR(IF(OR(NOT(ISNUMBER('Price History'!Z54)),NOT(ISNUMBER('Price History'!Z53)),'Price History'!Z53=0),"",'Price History'!Z54/'Price History'!Z53-1),"")</f>
        <v>-0.0766423357664234</v>
      </c>
      <c r="AT53" s="155" t="n">
        <f aca="false">IFERROR(IF(OR(NOT(ISNUMBER('Price History'!AA54)),NOT(ISNUMBER('Price History'!AA53)),'Price History'!AA53=0),"",'Price History'!AA54/'Price History'!AA53-1),"")</f>
        <v>-0.050755631593955</v>
      </c>
      <c r="AU53" s="155" t="n">
        <f aca="false">IFERROR(IF(OR(NOT(ISNUMBER('Price History'!AB54)),NOT(ISNUMBER('Price History'!AB53)),'Price History'!AB53=0),"",'Price History'!AB54/'Price History'!AB53-1),"")</f>
        <v>-0.00254111994086126</v>
      </c>
    </row>
    <row r="54" customFormat="false" ht="15" hidden="false" customHeight="true" outlineLevel="0" collapsed="false">
      <c r="A54" s="153" t="n">
        <f aca="false">IF('Price History'!A55="","",'Price History'!A55)</f>
        <v>45548</v>
      </c>
      <c r="B54" s="154" t="n">
        <f aca="false">IFERROR(IF(OR(NOT(ISNUMBER('Price History'!B55)),NOT(ISNUMBER('Price History'!B54)),'Price History'!B54=0),"",'Price History'!B55/'Price History'!B54-1),"")</f>
        <v>-0.0471060151577004</v>
      </c>
      <c r="C54" s="154" t="n">
        <f aca="false">IFERROR(IF(OR(NOT(ISNUMBER('Price History'!C55)),NOT(ISNUMBER('Price History'!C54)),'Price History'!C54=0),"",'Price History'!C55/'Price History'!C54-1),"")</f>
        <v>0.14456604734029</v>
      </c>
      <c r="D54" s="154" t="n">
        <f aca="false">IFERROR(IF(OR(NOT(ISNUMBER('Price History'!D55)),NOT(ISNUMBER('Price History'!D54)),'Price History'!D54=0),"",'Price History'!D55/'Price History'!D54-1),"")</f>
        <v>0.0844431238012913</v>
      </c>
      <c r="E54" s="154" t="n">
        <f aca="false">IFERROR(IF(OR(NOT(ISNUMBER('Price History'!E55)),NOT(ISNUMBER('Price History'!E54)),'Price History'!E54=0),"",'Price History'!E55/'Price History'!E54-1),"")</f>
        <v>0.224018475750578</v>
      </c>
      <c r="F54" s="154" t="n">
        <f aca="false">IFERROR(IF(OR(NOT(ISNUMBER('Price History'!F55)),NOT(ISNUMBER('Price History'!F54)),'Price History'!F54=0),"",'Price History'!F55/'Price History'!F54-1),"")</f>
        <v>0.0516233766233767</v>
      </c>
      <c r="G54" s="154" t="n">
        <f aca="false">IFERROR(IF(OR(NOT(ISNUMBER('Price History'!G55)),NOT(ISNUMBER('Price History'!G54)),'Price History'!G54=0),"",'Price History'!G55/'Price History'!G54-1),"")</f>
        <v>0.0693341037122635</v>
      </c>
      <c r="H54" s="154" t="n">
        <f aca="false">IFERROR(IF(OR(NOT(ISNUMBER('Price History'!H55)),NOT(ISNUMBER('Price History'!H54)),'Price History'!H54=0),"",'Price History'!H55/'Price History'!H54-1),"")</f>
        <v>0.0560344827586208</v>
      </c>
      <c r="I54" s="154" t="n">
        <f aca="false">IFERROR(IF(OR(NOT(ISNUMBER('Price History'!I55)),NOT(ISNUMBER('Price History'!I54)),'Price History'!I54=0),"",'Price History'!I55/'Price History'!I54-1),"")</f>
        <v>0.158264261335934</v>
      </c>
      <c r="J54" s="154" t="n">
        <f aca="false">IFERROR(IF(OR(NOT(ISNUMBER('Price History'!J55)),NOT(ISNUMBER('Price History'!J54)),'Price History'!J54=0),"",'Price History'!J55/'Price History'!J54-1),"")</f>
        <v>0.0215863878777618</v>
      </c>
      <c r="K54" s="154" t="n">
        <f aca="false">IFERROR(IF(OR(NOT(ISNUMBER('Price History'!K55)),NOT(ISNUMBER('Price History'!K54)),'Price History'!K54=0),"",'Price History'!K55/'Price History'!K54-1),"")</f>
        <v>0.173425651170458</v>
      </c>
      <c r="L54" s="154" t="n">
        <f aca="false">IFERROR(IF(OR(NOT(ISNUMBER('Price History'!L55)),NOT(ISNUMBER('Price History'!L54)),'Price History'!L54=0),"",'Price History'!L55/'Price History'!L54-1),"")</f>
        <v>0.104013641133264</v>
      </c>
      <c r="M54" s="154" t="n">
        <f aca="false">IFERROR(IF(OR(NOT(ISNUMBER('Price History'!M55)),NOT(ISNUMBER('Price History'!M54)),'Price History'!M54=0),"",'Price History'!M55/'Price History'!M54-1),"")</f>
        <v>0.194886839899413</v>
      </c>
      <c r="N54" s="154" t="n">
        <f aca="false">IFERROR(IF(OR(NOT(ISNUMBER('Price History'!N55)),NOT(ISNUMBER('Price History'!N54)),'Price History'!N54=0),"",'Price History'!N55/'Price History'!N54-1),"")</f>
        <v>0.0371153846153847</v>
      </c>
      <c r="O54" s="154" t="n">
        <f aca="false">IFERROR(IF(OR(NOT(ISNUMBER('Price History'!O55)),NOT(ISNUMBER('Price History'!O54)),'Price History'!O54=0),"",'Price History'!O55/'Price History'!O54-1),"")</f>
        <v>0.0288329519450801</v>
      </c>
      <c r="P54" s="154" t="n">
        <f aca="false">IFERROR(IF(OR(NOT(ISNUMBER('Price History'!P55)),NOT(ISNUMBER('Price History'!P54)),'Price History'!P54=0),"",'Price History'!P55/'Price History'!P54-1),"")</f>
        <v>0.0185369083085072</v>
      </c>
      <c r="Q54" s="154" t="n">
        <f aca="false">IFERROR(IF(OR(NOT(ISNUMBER('Price History'!Q55)),NOT(ISNUMBER('Price History'!Q54)),'Price History'!Q54=0),"",'Price History'!Q55/'Price History'!Q54-1),"")</f>
        <v>0.0259830244240429</v>
      </c>
      <c r="R54" s="154" t="n">
        <f aca="false">IFERROR(IF(OR(NOT(ISNUMBER('Price History'!R55)),NOT(ISNUMBER('Price History'!R54)),'Price History'!R54=0),"",'Price History'!R55/'Price History'!R54-1),"")</f>
        <v>0.0463625154130705</v>
      </c>
      <c r="S54" s="154" t="n">
        <f aca="false">IFERROR(IF(OR(NOT(ISNUMBER('Price History'!S55)),NOT(ISNUMBER('Price History'!S54)),'Price History'!S54=0),"",'Price History'!S55/'Price History'!S54-1),"")</f>
        <v>0.0615533745304737</v>
      </c>
      <c r="T54" s="154" t="n">
        <f aca="false">IFERROR(IF(OR(NOT(ISNUMBER('Price History'!T55)),NOT(ISNUMBER('Price History'!T54)),'Price History'!T54=0),"",'Price History'!T55/'Price History'!T54-1),"")</f>
        <v>0.025558071821417</v>
      </c>
      <c r="U54" s="154" t="n">
        <f aca="false">IFERROR(IF(OR(NOT(ISNUMBER('Price History'!U55)),NOT(ISNUMBER('Price History'!U54)),'Price History'!U54=0),"",'Price History'!U55/'Price History'!U54-1),"")</f>
        <v>0.0166600555335183</v>
      </c>
      <c r="V54" s="155" t="n">
        <f aca="false">IFERROR(IF(OR(NOT(ISNUMBER('Price History'!V55)),NOT(ISNUMBER('Price History'!V54)),'Price History'!V54=0),"",'Price History'!V55/'Price History'!V54-1),"")</f>
        <v>0.028558971005014</v>
      </c>
      <c r="W54" s="156" t="n">
        <f aca="false">IFERROR('Price History'!B3+(INDEX('Price History'!B:B,MATCH(9.99E+307,'Returns (Calc)'!$A:$A)+1)-'Price History'!B3)*(ROW()-3)/(MATCH(9.99E+307,'Returns (Calc)'!$A:$A)-3),"")</f>
        <v>434.895063291139</v>
      </c>
      <c r="X54" s="156" t="n">
        <f aca="false">IFERROR('Price History'!C3+(INDEX('Price History'!C:C,MATCH(9.99E+307,'Returns (Calc)'!$A:$A)+1)-'Price History'!C3)*(ROW()-3)/(MATCH(9.99E+307,'Returns (Calc)'!$A:$A)-3),"")</f>
        <v>98.2032278481013</v>
      </c>
      <c r="Y54" s="156" t="n">
        <f aca="false">IFERROR('Price History'!D3+(INDEX('Price History'!D:D,MATCH(9.99E+307,'Returns (Calc)'!$A:$A)+1)-'Price History'!D3)*(ROW()-3)/(MATCH(9.99E+307,'Returns (Calc)'!$A:$A)-3),"")</f>
        <v>996.885316455696</v>
      </c>
      <c r="Z54" s="156" t="n">
        <f aca="false">IFERROR('Price History'!E3+(INDEX('Price History'!E:E,MATCH(9.99E+307,'Returns (Calc)'!$A:$A)+1)-'Price History'!E3)*(ROW()-3)/(MATCH(9.99E+307,'Returns (Calc)'!$A:$A)-3),"")</f>
        <v>170.165443037975</v>
      </c>
      <c r="AA54" s="156" t="n">
        <f aca="false">IFERROR('Price History'!F3+(INDEX('Price History'!F:F,MATCH(9.99E+307,'Returns (Calc)'!$A:$A)+1)-'Price History'!F3)*(ROW()-3)/(MATCH(9.99E+307,'Returns (Calc)'!$A:$A)-3),"")</f>
        <v>115.174430379747</v>
      </c>
      <c r="AB54" s="156" t="n">
        <f aca="false">IFERROR('Price History'!G3+(INDEX('Price History'!G:G,MATCH(9.99E+307,'Returns (Calc)'!$A:$A)+1)-'Price History'!G3)*(ROW()-3)/(MATCH(9.99E+307,'Returns (Calc)'!$A:$A)-3),"")</f>
        <v>96.8154430379747</v>
      </c>
      <c r="AC54" s="156" t="n">
        <f aca="false">IFERROR('Price History'!H3+(INDEX('Price History'!H:H,MATCH(9.99E+307,'Returns (Calc)'!$A:$A)+1)-'Price History'!H3)*(ROW()-3)/(MATCH(9.99E+307,'Returns (Calc)'!$A:$A)-3),"")</f>
        <v>393.760506329114</v>
      </c>
      <c r="AD54" s="156" t="n">
        <f aca="false">IFERROR('Price History'!I3+(INDEX('Price History'!I:I,MATCH(9.99E+307,'Returns (Calc)'!$A:$A)+1)-'Price History'!I3)*(ROW()-3)/(MATCH(9.99E+307,'Returns (Calc)'!$A:$A)-3),"")</f>
        <v>105.157215189873</v>
      </c>
      <c r="AE54" s="156" t="n">
        <f aca="false">IFERROR('Price History'!J3+(INDEX('Price History'!J:J,MATCH(9.99E+307,'Returns (Calc)'!$A:$A)+1)-'Price History'!J3)*(ROW()-3)/(MATCH(9.99E+307,'Returns (Calc)'!$A:$A)-3),"")</f>
        <v>117.349936708861</v>
      </c>
      <c r="AF54" s="156" t="n">
        <f aca="false">IFERROR('Price History'!K3+(INDEX('Price History'!K:K,MATCH(9.99E+307,'Returns (Calc)'!$A:$A)+1)-'Price History'!K3)*(ROW()-3)/(MATCH(9.99E+307,'Returns (Calc)'!$A:$A)-3),"")</f>
        <v>71.3073417721519</v>
      </c>
      <c r="AG54" s="156" t="n">
        <f aca="false">IFERROR('Price History'!L3+(INDEX('Price History'!L:L,MATCH(9.99E+307,'Returns (Calc)'!$A:$A)+1)-'Price History'!L3)*(ROW()-3)/(MATCH(9.99E+307,'Returns (Calc)'!$A:$A)-3),"")</f>
        <v>210.677405063291</v>
      </c>
      <c r="AH54" s="156" t="n">
        <f aca="false">IFERROR('Price History'!M3+(INDEX('Price History'!M:M,MATCH(9.99E+307,'Returns (Calc)'!$A:$A)+1)-'Price History'!M3)*(ROW()-3)/(MATCH(9.99E+307,'Returns (Calc)'!$A:$A)-3),"")</f>
        <v>107.147594936709</v>
      </c>
      <c r="AI54" s="156" t="n">
        <f aca="false">IFERROR('Price History'!N3+(INDEX('Price History'!N:N,MATCH(9.99E+307,'Returns (Calc)'!$A:$A)+1)-'Price History'!N3)*(ROW()-3)/(MATCH(9.99E+307,'Returns (Calc)'!$A:$A)-3),"")</f>
        <v>399.199556962025</v>
      </c>
      <c r="AJ54" s="156" t="n">
        <f aca="false">IFERROR('Price History'!O3+(INDEX('Price History'!O:O,MATCH(9.99E+307,'Returns (Calc)'!$A:$A)+1)-'Price History'!O3)*(ROW()-3)/(MATCH(9.99E+307,'Returns (Calc)'!$A:$A)-3),"")</f>
        <v>89.7449367088608</v>
      </c>
      <c r="AK54" s="156" t="n">
        <f aca="false">IFERROR('Price History'!Q3+(INDEX('Price History'!Q:Q,MATCH(9.99E+307,'Returns (Calc)'!$A:$A)+1)-'Price History'!Q3)*(ROW()-3)/(MATCH(9.99E+307,'Returns (Calc)'!$A:$A)-3),"")</f>
        <v>22.4077215189873</v>
      </c>
      <c r="AL54" s="156" t="n">
        <f aca="false">IFERROR('Price History'!R3+(INDEX('Price History'!R:R,MATCH(9.99E+307,'Returns (Calc)'!$A:$A)+1)-'Price History'!R3)*(ROW()-3)/(MATCH(9.99E+307,'Returns (Calc)'!$A:$A)-3),"")</f>
        <v>43.053164556962</v>
      </c>
      <c r="AM54" s="156" t="n">
        <f aca="false">IFERROR('Price History'!S3+(INDEX('Price History'!S:S,MATCH(9.99E+307,'Returns (Calc)'!$A:$A)+1)-'Price History'!S3)*(ROW()-3)/(MATCH(9.99E+307,'Returns (Calc)'!$A:$A)-3),"")</f>
        <v>88.4882278481013</v>
      </c>
      <c r="AN54" s="156" t="n">
        <f aca="false">IFERROR('Price History'!T3+(INDEX('Price History'!T:T,MATCH(9.99E+307,'Returns (Calc)'!$A:$A)+1)-'Price History'!T3)*(ROW()-3)/(MATCH(9.99E+307,'Returns (Calc)'!$A:$A)-3),"")</f>
        <v>33.8196202531646</v>
      </c>
      <c r="AO54" s="157" t="n">
        <f aca="false">IFERROR('Price History'!V3+(INDEX('Price History'!V:V,MATCH(9.99E+307,'Returns (Calc)'!$A:$A)+1)-'Price History'!V3)*(ROW()-3)/(MATCH(9.99E+307,'Returns (Calc)'!$A:$A)-3),"")</f>
        <v>275.987784810127</v>
      </c>
      <c r="AP54" s="155" t="n">
        <f aca="false">IFERROR(IF(OR(NOT(ISNUMBER('Price History'!W55)),NOT(ISNUMBER('Price History'!W54)),'Price History'!W54=0),"",'Price History'!W55/'Price History'!W54-1),"")</f>
        <v>0.0239283869857116</v>
      </c>
      <c r="AQ54" s="155" t="str">
        <f aca="false">IFERROR(IF(OR(NOT(ISNUMBER('Price History'!X55)),NOT(ISNUMBER('Price History'!X54)),'Price History'!X54=0),"",'Price History'!X55/'Price History'!X54-1),"")</f>
        <v/>
      </c>
      <c r="AR54" s="155" t="n">
        <f aca="false">IFERROR(IF(OR(NOT(ISNUMBER('Price History'!Y55)),NOT(ISNUMBER('Price History'!Y54)),'Price History'!Y54=0),"",'Price History'!Y55/'Price History'!Y54-1),"")</f>
        <v>0.0226477249330863</v>
      </c>
      <c r="AS54" s="155" t="n">
        <f aca="false">IFERROR(IF(OR(NOT(ISNUMBER('Price History'!Z55)),NOT(ISNUMBER('Price History'!Z54)),'Price History'!Z54=0),"",'Price History'!Z55/'Price History'!Z54-1),"")</f>
        <v>0.105715540498149</v>
      </c>
      <c r="AT54" s="155" t="n">
        <f aca="false">IFERROR(IF(OR(NOT(ISNUMBER('Price History'!AA55)),NOT(ISNUMBER('Price History'!AA54)),'Price History'!AA54=0),"",'Price History'!AA55/'Price History'!AA54-1),"")</f>
        <v>0.0470111144487833</v>
      </c>
      <c r="AU54" s="155" t="n">
        <f aca="false">IFERROR(IF(OR(NOT(ISNUMBER('Price History'!AB55)),NOT(ISNUMBER('Price History'!AB54)),'Price History'!AB54=0),"",'Price History'!AB55/'Price History'!AB54-1),"")</f>
        <v>0.00954189633609714</v>
      </c>
    </row>
    <row r="55" customFormat="false" ht="15" hidden="false" customHeight="true" outlineLevel="0" collapsed="false">
      <c r="A55" s="153" t="n">
        <f aca="false">IF('Price History'!A56="","",'Price History'!A56)</f>
        <v>45555</v>
      </c>
      <c r="B55" s="154" t="n">
        <f aca="false">IFERROR(IF(OR(NOT(ISNUMBER('Price History'!B56)),NOT(ISNUMBER('Price History'!B55)),'Price History'!B55=0),"",'Price History'!B56/'Price History'!B55-1),"")</f>
        <v>-0.0271387859258294</v>
      </c>
      <c r="C55" s="154" t="n">
        <f aca="false">IFERROR(IF(OR(NOT(ISNUMBER('Price History'!C56)),NOT(ISNUMBER('Price History'!C55)),'Price History'!C55=0),"",'Price History'!C56/'Price History'!C55-1),"")</f>
        <v>0.0686012897487214</v>
      </c>
      <c r="D55" s="154" t="n">
        <f aca="false">IFERROR(IF(OR(NOT(ISNUMBER('Price History'!D56)),NOT(ISNUMBER('Price History'!D55)),'Price History'!D55=0),"",'Price History'!D56/'Price History'!D55-1),"")</f>
        <v>-0.0258189064640678</v>
      </c>
      <c r="E55" s="154" t="n">
        <f aca="false">IFERROR(IF(OR(NOT(ISNUMBER('Price History'!E56)),NOT(ISNUMBER('Price History'!E55)),'Price History'!E55=0),"",'Price History'!E56/'Price History'!E55-1),"")</f>
        <v>0.0236762020693853</v>
      </c>
      <c r="F55" s="154" t="n">
        <f aca="false">IFERROR(IF(OR(NOT(ISNUMBER('Price History'!F56)),NOT(ISNUMBER('Price History'!F55)),'Price History'!F55=0),"",'Price History'!F56/'Price History'!F55-1),"")</f>
        <v>0.157147267675208</v>
      </c>
      <c r="G55" s="154" t="n">
        <f aca="false">IFERROR(IF(OR(NOT(ISNUMBER('Price History'!G56)),NOT(ISNUMBER('Price History'!G55)),'Price History'!G55=0),"",'Price History'!G56/'Price History'!G55-1),"")</f>
        <v>0.00986086721599366</v>
      </c>
      <c r="H55" s="154" t="n">
        <f aca="false">IFERROR(IF(OR(NOT(ISNUMBER('Price History'!H56)),NOT(ISNUMBER('Price History'!H55)),'Price History'!H55=0),"",'Price History'!H56/'Price History'!H55-1),"")</f>
        <v>-0.00353006067291795</v>
      </c>
      <c r="I55" s="154" t="n">
        <f aca="false">IFERROR(IF(OR(NOT(ISNUMBER('Price History'!I56)),NOT(ISNUMBER('Price History'!I55)),'Price History'!I55=0),"",'Price History'!I56/'Price History'!I55-1),"")</f>
        <v>-0.0260144805522815</v>
      </c>
      <c r="J55" s="154" t="n">
        <f aca="false">IFERROR(IF(OR(NOT(ISNUMBER('Price History'!J56)),NOT(ISNUMBER('Price History'!J55)),'Price History'!J55=0),"",'Price History'!J56/'Price History'!J55-1),"")</f>
        <v>-0.0275107722903547</v>
      </c>
      <c r="K55" s="154" t="n">
        <f aca="false">IFERROR(IF(OR(NOT(ISNUMBER('Price History'!K56)),NOT(ISNUMBER('Price History'!K55)),'Price History'!K55=0),"",'Price History'!K56/'Price History'!K55-1),"")</f>
        <v>0.0452374262433268</v>
      </c>
      <c r="L55" s="154" t="n">
        <f aca="false">IFERROR(IF(OR(NOT(ISNUMBER('Price History'!L56)),NOT(ISNUMBER('Price History'!L55)),'Price History'!L55=0),"",'Price History'!L56/'Price History'!L55-1),"")</f>
        <v>0.00920755613639046</v>
      </c>
      <c r="M55" s="154" t="n">
        <f aca="false">IFERROR(IF(OR(NOT(ISNUMBER('Price History'!M56)),NOT(ISNUMBER('Price History'!M55)),'Price History'!M55=0),"",'Price History'!M56/'Price History'!M55-1),"")</f>
        <v>0.102654039518298</v>
      </c>
      <c r="N55" s="154" t="n">
        <f aca="false">IFERROR(IF(OR(NOT(ISNUMBER('Price History'!N56)),NOT(ISNUMBER('Price History'!N55)),'Price History'!N55=0),"",'Price History'!N56/'Price History'!N55-1),"")</f>
        <v>-0.0421328059006531</v>
      </c>
      <c r="O55" s="154" t="n">
        <f aca="false">IFERROR(IF(OR(NOT(ISNUMBER('Price History'!O56)),NOT(ISNUMBER('Price History'!O55)),'Price History'!O55=0),"",'Price History'!O56/'Price History'!O55-1),"")</f>
        <v>0.0302491103202847</v>
      </c>
      <c r="P55" s="154" t="n">
        <f aca="false">IFERROR(IF(OR(NOT(ISNUMBER('Price History'!P56)),NOT(ISNUMBER('Price History'!P55)),'Price History'!P55=0),"",'Price History'!P56/'Price History'!P55-1),"")</f>
        <v>0.0121059473513161</v>
      </c>
      <c r="Q55" s="154" t="n">
        <f aca="false">IFERROR(IF(OR(NOT(ISNUMBER('Price History'!Q56)),NOT(ISNUMBER('Price History'!Q55)),'Price History'!Q55=0),"",'Price History'!Q56/'Price History'!Q55-1),"")</f>
        <v>0.00827283471213924</v>
      </c>
      <c r="R55" s="154" t="n">
        <f aca="false">IFERROR(IF(OR(NOT(ISNUMBER('Price History'!R56)),NOT(ISNUMBER('Price History'!R55)),'Price History'!R55=0),"",'Price History'!R56/'Price History'!R55-1),"")</f>
        <v>0.0124911619137402</v>
      </c>
      <c r="S55" s="154" t="n">
        <f aca="false">IFERROR(IF(OR(NOT(ISNUMBER('Price History'!S56)),NOT(ISNUMBER('Price History'!S55)),'Price History'!S55=0),"",'Price History'!S56/'Price History'!S55-1),"")</f>
        <v>0.0162081954114828</v>
      </c>
      <c r="T55" s="154" t="n">
        <f aca="false">IFERROR(IF(OR(NOT(ISNUMBER('Price History'!T56)),NOT(ISNUMBER('Price History'!T55)),'Price History'!T55=0),"",'Price History'!T56/'Price History'!T55-1),"")</f>
        <v>0.0173501577287067</v>
      </c>
      <c r="U55" s="154" t="n">
        <f aca="false">IFERROR(IF(OR(NOT(ISNUMBER('Price History'!U56)),NOT(ISNUMBER('Price History'!U55)),'Price History'!U55=0),"",'Price History'!U56/'Price History'!U55-1),"")</f>
        <v>0.0132657042528288</v>
      </c>
      <c r="V55" s="155" t="n">
        <f aca="false">IFERROR(IF(OR(NOT(ISNUMBER('Price History'!V56)),NOT(ISNUMBER('Price History'!V55)),'Price History'!V55=0),"",'Price History'!V56/'Price History'!V55-1),"")</f>
        <v>-0.00897272855729814</v>
      </c>
      <c r="W55" s="156" t="n">
        <f aca="false">IFERROR('Price History'!B3+(INDEX('Price History'!B:B,MATCH(9.99E+307,'Returns (Calc)'!$A:$A)+1)-'Price History'!B3)*(ROW()-3)/(MATCH(9.99E+307,'Returns (Calc)'!$A:$A)-3),"")</f>
        <v>433.052025316456</v>
      </c>
      <c r="X55" s="156" t="n">
        <f aca="false">IFERROR('Price History'!C3+(INDEX('Price History'!C:C,MATCH(9.99E+307,'Returns (Calc)'!$A:$A)+1)-'Price History'!C3)*(ROW()-3)/(MATCH(9.99E+307,'Returns (Calc)'!$A:$A)-3),"")</f>
        <v>99.2232911392405</v>
      </c>
      <c r="Y55" s="156" t="n">
        <f aca="false">IFERROR('Price History'!D3+(INDEX('Price History'!D:D,MATCH(9.99E+307,'Returns (Calc)'!$A:$A)+1)-'Price History'!D3)*(ROW()-3)/(MATCH(9.99E+307,'Returns (Calc)'!$A:$A)-3),"")</f>
        <v>1005.02012658228</v>
      </c>
      <c r="Z55" s="156" t="n">
        <f aca="false">IFERROR('Price History'!E3+(INDEX('Price History'!E:E,MATCH(9.99E+307,'Returns (Calc)'!$A:$A)+1)-'Price History'!E3)*(ROW()-3)/(MATCH(9.99E+307,'Returns (Calc)'!$A:$A)-3),"")</f>
        <v>171.89417721519</v>
      </c>
      <c r="AA55" s="156" t="n">
        <f aca="false">IFERROR('Price History'!F3+(INDEX('Price History'!F:F,MATCH(9.99E+307,'Returns (Calc)'!$A:$A)+1)-'Price History'!F3)*(ROW()-3)/(MATCH(9.99E+307,'Returns (Calc)'!$A:$A)-3),"")</f>
        <v>116.621772151899</v>
      </c>
      <c r="AB55" s="156" t="n">
        <f aca="false">IFERROR('Price History'!G3+(INDEX('Price History'!G:G,MATCH(9.99E+307,'Returns (Calc)'!$A:$A)+1)-'Price History'!G3)*(ROW()-3)/(MATCH(9.99E+307,'Returns (Calc)'!$A:$A)-3),"")</f>
        <v>97.8441772151899</v>
      </c>
      <c r="AC55" s="156" t="n">
        <f aca="false">IFERROR('Price History'!H3+(INDEX('Price History'!H:H,MATCH(9.99E+307,'Returns (Calc)'!$A:$A)+1)-'Price History'!H3)*(ROW()-3)/(MATCH(9.99E+307,'Returns (Calc)'!$A:$A)-3),"")</f>
        <v>400.126202531646</v>
      </c>
      <c r="AD55" s="156" t="n">
        <f aca="false">IFERROR('Price History'!I3+(INDEX('Price History'!I:I,MATCH(9.99E+307,'Returns (Calc)'!$A:$A)+1)-'Price History'!I3)*(ROW()-3)/(MATCH(9.99E+307,'Returns (Calc)'!$A:$A)-3),"")</f>
        <v>106.360886075949</v>
      </c>
      <c r="AE55" s="156" t="n">
        <f aca="false">IFERROR('Price History'!J3+(INDEX('Price History'!J:J,MATCH(9.99E+307,'Returns (Calc)'!$A:$A)+1)-'Price History'!J3)*(ROW()-3)/(MATCH(9.99E+307,'Returns (Calc)'!$A:$A)-3),"")</f>
        <v>117.457974683544</v>
      </c>
      <c r="AF55" s="156" t="n">
        <f aca="false">IFERROR('Price History'!K3+(INDEX('Price History'!K:K,MATCH(9.99E+307,'Returns (Calc)'!$A:$A)+1)-'Price History'!K3)*(ROW()-3)/(MATCH(9.99E+307,'Returns (Calc)'!$A:$A)-3),"")</f>
        <v>72.4049367088608</v>
      </c>
      <c r="AG55" s="156" t="n">
        <f aca="false">IFERROR('Price History'!L3+(INDEX('Price History'!L:L,MATCH(9.99E+307,'Returns (Calc)'!$A:$A)+1)-'Price History'!L3)*(ROW()-3)/(MATCH(9.99E+307,'Returns (Calc)'!$A:$A)-3),"")</f>
        <v>213.126962025316</v>
      </c>
      <c r="AH55" s="156" t="n">
        <f aca="false">IFERROR('Price History'!M3+(INDEX('Price History'!M:M,MATCH(9.99E+307,'Returns (Calc)'!$A:$A)+1)-'Price History'!M3)*(ROW()-3)/(MATCH(9.99E+307,'Returns (Calc)'!$A:$A)-3),"")</f>
        <v>108.503037974684</v>
      </c>
      <c r="AI55" s="156" t="n">
        <f aca="false">IFERROR('Price History'!N3+(INDEX('Price History'!N:N,MATCH(9.99E+307,'Returns (Calc)'!$A:$A)+1)-'Price History'!N3)*(ROW()-3)/(MATCH(9.99E+307,'Returns (Calc)'!$A:$A)-3),"")</f>
        <v>400.18582278481</v>
      </c>
      <c r="AJ55" s="156" t="n">
        <f aca="false">IFERROR('Price History'!O3+(INDEX('Price History'!O:O,MATCH(9.99E+307,'Returns (Calc)'!$A:$A)+1)-'Price History'!O3)*(ROW()-3)/(MATCH(9.99E+307,'Returns (Calc)'!$A:$A)-3),"")</f>
        <v>90.0279746835443</v>
      </c>
      <c r="AK55" s="156" t="n">
        <f aca="false">IFERROR('Price History'!Q3+(INDEX('Price History'!Q:Q,MATCH(9.99E+307,'Returns (Calc)'!$A:$A)+1)-'Price History'!Q3)*(ROW()-3)/(MATCH(9.99E+307,'Returns (Calc)'!$A:$A)-3),"")</f>
        <v>22.8470886075949</v>
      </c>
      <c r="AL55" s="156" t="n">
        <f aca="false">IFERROR('Price History'!R3+(INDEX('Price History'!R:R,MATCH(9.99E+307,'Returns (Calc)'!$A:$A)+1)-'Price History'!R3)*(ROW()-3)/(MATCH(9.99E+307,'Returns (Calc)'!$A:$A)-3),"")</f>
        <v>43.2212658227848</v>
      </c>
      <c r="AM55" s="156" t="n">
        <f aca="false">IFERROR('Price History'!S3+(INDEX('Price History'!S:S,MATCH(9.99E+307,'Returns (Calc)'!$A:$A)+1)-'Price History'!S3)*(ROW()-3)/(MATCH(9.99E+307,'Returns (Calc)'!$A:$A)-3),"")</f>
        <v>89.0932911392405</v>
      </c>
      <c r="AN55" s="156" t="n">
        <f aca="false">IFERROR('Price History'!T3+(INDEX('Price History'!T:T,MATCH(9.99E+307,'Returns (Calc)'!$A:$A)+1)-'Price History'!T3)*(ROW()-3)/(MATCH(9.99E+307,'Returns (Calc)'!$A:$A)-3),"")</f>
        <v>33.9878481012658</v>
      </c>
      <c r="AO55" s="157" t="n">
        <f aca="false">IFERROR('Price History'!V3+(INDEX('Price History'!V:V,MATCH(9.99E+307,'Returns (Calc)'!$A:$A)+1)-'Price History'!V3)*(ROW()-3)/(MATCH(9.99E+307,'Returns (Calc)'!$A:$A)-3),"")</f>
        <v>276.779113924051</v>
      </c>
      <c r="AP55" s="155" t="n">
        <f aca="false">IFERROR(IF(OR(NOT(ISNUMBER('Price History'!W56)),NOT(ISNUMBER('Price History'!W55)),'Price History'!W55=0),"",'Price History'!W56/'Price History'!W55-1),"")</f>
        <v>0.0145427034297243</v>
      </c>
      <c r="AQ55" s="155" t="str">
        <f aca="false">IFERROR(IF(OR(NOT(ISNUMBER('Price History'!X56)),NOT(ISNUMBER('Price History'!X55)),'Price History'!X55=0),"",'Price History'!X56/'Price History'!X55-1),"")</f>
        <v/>
      </c>
      <c r="AR55" s="155" t="n">
        <f aca="false">IFERROR(IF(OR(NOT(ISNUMBER('Price History'!Y56)),NOT(ISNUMBER('Price History'!Y55)),'Price History'!Y55=0),"",'Price History'!Y56/'Price History'!Y55-1),"")</f>
        <v>0.0054358767867928</v>
      </c>
      <c r="AS55" s="155" t="n">
        <f aca="false">IFERROR(IF(OR(NOT(ISNUMBER('Price History'!Z56)),NOT(ISNUMBER('Price History'!Z55)),'Price History'!Z55=0),"",'Price History'!Z56/'Price History'!Z55-1),"")</f>
        <v>0.0513504312301407</v>
      </c>
      <c r="AT55" s="155" t="n">
        <f aca="false">IFERROR(IF(OR(NOT(ISNUMBER('Price History'!AA56)),NOT(ISNUMBER('Price History'!AA55)),'Price History'!AA55=0),"",'Price History'!AA56/'Price History'!AA55-1),"")</f>
        <v>0.00559460622579255</v>
      </c>
      <c r="AU55" s="155" t="n">
        <f aca="false">IFERROR(IF(OR(NOT(ISNUMBER('Price History'!AB56)),NOT(ISNUMBER('Price History'!AB55)),'Price History'!AB55=0),"",'Price History'!AB56/'Price History'!AB55-1),"")</f>
        <v>-0.0140857994952971</v>
      </c>
    </row>
    <row r="56" customFormat="false" ht="15" hidden="false" customHeight="true" outlineLevel="0" collapsed="false">
      <c r="A56" s="153" t="n">
        <f aca="false">IF('Price History'!A57="","",'Price History'!A57)</f>
        <v>45562</v>
      </c>
      <c r="B56" s="154" t="n">
        <f aca="false">IFERROR(IF(OR(NOT(ISNUMBER('Price History'!B57)),NOT(ISNUMBER('Price History'!B56)),'Price History'!B56=0),"",'Price History'!B57/'Price History'!B56-1),"")</f>
        <v>-0.0130576297147232</v>
      </c>
      <c r="C56" s="154" t="n">
        <f aca="false">IFERROR(IF(OR(NOT(ISNUMBER('Price History'!C57)),NOT(ISNUMBER('Price History'!C56)),'Price History'!C56=0),"",'Price History'!C57/'Price History'!C56-1),"")</f>
        <v>-0.0108209343460619</v>
      </c>
      <c r="D56" s="154" t="n">
        <f aca="false">IFERROR(IF(OR(NOT(ISNUMBER('Price History'!D57)),NOT(ISNUMBER('Price History'!D56)),'Price History'!D56=0),"",'Price History'!D57/'Price History'!D56-1),"")</f>
        <v>0.0581714972448444</v>
      </c>
      <c r="E56" s="154" t="n">
        <f aca="false">IFERROR(IF(OR(NOT(ISNUMBER('Price History'!E57)),NOT(ISNUMBER('Price History'!E56)),'Price History'!E56=0),"",'Price History'!E57/'Price History'!E56-1),"")</f>
        <v>0.00927522444854034</v>
      </c>
      <c r="F56" s="154" t="n">
        <f aca="false">IFERROR(IF(OR(NOT(ISNUMBER('Price History'!F57)),NOT(ISNUMBER('Price History'!F56)),'Price History'!F56=0),"",'Price History'!F57/'Price History'!F56-1),"")</f>
        <v>-0.0466915688367129</v>
      </c>
      <c r="G56" s="154" t="n">
        <f aca="false">IFERROR(IF(OR(NOT(ISNUMBER('Price History'!G57)),NOT(ISNUMBER('Price History'!G56)),'Price History'!G56=0),"",'Price History'!G57/'Price History'!G56-1),"")</f>
        <v>0.0310326377742107</v>
      </c>
      <c r="H56" s="154" t="n">
        <f aca="false">IFERROR(IF(OR(NOT(ISNUMBER('Price History'!H57)),NOT(ISNUMBER('Price History'!H56)),'Price History'!H56=0),"",'Price History'!H57/'Price History'!H56-1),"")</f>
        <v>0.182663566921289</v>
      </c>
      <c r="I56" s="154" t="n">
        <f aca="false">IFERROR(IF(OR(NOT(ISNUMBER('Price History'!I57)),NOT(ISNUMBER('Price History'!I56)),'Price History'!I56=0),"",'Price History'!I57/'Price History'!I56-1),"")</f>
        <v>0.0465900250669893</v>
      </c>
      <c r="J56" s="154" t="n">
        <f aca="false">IFERROR(IF(OR(NOT(ISNUMBER('Price History'!J57)),NOT(ISNUMBER('Price History'!J56)),'Price History'!J56=0),"",'Price History'!J57/'Price History'!J56-1),"")</f>
        <v>0.000937286980231766</v>
      </c>
      <c r="K56" s="154" t="n">
        <f aca="false">IFERROR(IF(OR(NOT(ISNUMBER('Price History'!K57)),NOT(ISNUMBER('Price History'!K56)),'Price History'!K56=0),"",'Price History'!K57/'Price History'!K56-1),"")</f>
        <v>-0.00967741935483868</v>
      </c>
      <c r="L56" s="154" t="n">
        <f aca="false">IFERROR(IF(OR(NOT(ISNUMBER('Price History'!L57)),NOT(ISNUMBER('Price History'!L56)),'Price History'!L56=0),"",'Price History'!L57/'Price History'!L56-1),"")</f>
        <v>0.0223085525928544</v>
      </c>
      <c r="M56" s="154" t="n">
        <f aca="false">IFERROR(IF(OR(NOT(ISNUMBER('Price History'!M57)),NOT(ISNUMBER('Price History'!M56)),'Price History'!M56=0),"",'Price History'!M57/'Price History'!M56-1),"")</f>
        <v>0.0409288516594211</v>
      </c>
      <c r="N56" s="154" t="n">
        <f aca="false">IFERROR(IF(OR(NOT(ISNUMBER('Price History'!N57)),NOT(ISNUMBER('Price History'!N56)),'Price History'!N56=0),"",'Price History'!N57/'Price History'!N56-1),"")</f>
        <v>-0.00438785167340627</v>
      </c>
      <c r="O56" s="154" t="n">
        <f aca="false">IFERROR(IF(OR(NOT(ISNUMBER('Price History'!O57)),NOT(ISNUMBER('Price History'!O56)),'Price History'!O56=0),"",'Price History'!O57/'Price History'!O56-1),"")</f>
        <v>0.000431778929188331</v>
      </c>
      <c r="P56" s="154" t="n">
        <f aca="false">IFERROR(IF(OR(NOT(ISNUMBER('Price History'!P57)),NOT(ISNUMBER('Price History'!P56)),'Price History'!P56=0),"",'Price History'!P57/'Price History'!P56-1),"")</f>
        <v>0.00770651039576142</v>
      </c>
      <c r="Q56" s="154" t="n">
        <f aca="false">IFERROR(IF(OR(NOT(ISNUMBER('Price History'!Q57)),NOT(ISNUMBER('Price History'!Q56)),'Price History'!Q56=0),"",'Price History'!Q57/'Price History'!Q56-1),"")</f>
        <v>0.0068653717347622</v>
      </c>
      <c r="R56" s="154" t="n">
        <f aca="false">IFERROR(IF(OR(NOT(ISNUMBER('Price History'!R57)),NOT(ISNUMBER('Price History'!R56)),'Price History'!R56=0),"",'Price History'!R57/'Price History'!R56-1),"")</f>
        <v>0.00698324022346353</v>
      </c>
      <c r="S56" s="154" t="n">
        <f aca="false">IFERROR(IF(OR(NOT(ISNUMBER('Price History'!S57)),NOT(ISNUMBER('Price History'!S56)),'Price History'!S56=0),"",'Price History'!S57/'Price History'!S56-1),"")</f>
        <v>-0.00134786027181855</v>
      </c>
      <c r="T56" s="154" t="n">
        <f aca="false">IFERROR(IF(OR(NOT(ISNUMBER('Price History'!T57)),NOT(ISNUMBER('Price History'!T56)),'Price History'!T56=0),"",'Price History'!T57/'Price History'!T56-1),"")</f>
        <v>0.00217054263565886</v>
      </c>
      <c r="U56" s="154" t="n">
        <f aca="false">IFERROR(IF(OR(NOT(ISNUMBER('Price History'!U57)),NOT(ISNUMBER('Price History'!U56)),'Price History'!U56=0),"",'Price History'!U57/'Price History'!U56-1),"")</f>
        <v>0.00616095494801705</v>
      </c>
      <c r="V56" s="155" t="n">
        <f aca="false">IFERROR(IF(OR(NOT(ISNUMBER('Price History'!V57)),NOT(ISNUMBER('Price History'!V56)),'Price History'!V56=0),"",'Price History'!V57/'Price History'!V56-1),"")</f>
        <v>-0.0337206815427391</v>
      </c>
      <c r="W56" s="156" t="n">
        <f aca="false">IFERROR('Price History'!B3+(INDEX('Price History'!B:B,MATCH(9.99E+307,'Returns (Calc)'!$A:$A)+1)-'Price History'!B3)*(ROW()-3)/(MATCH(9.99E+307,'Returns (Calc)'!$A:$A)-3),"")</f>
        <v>431.208987341772</v>
      </c>
      <c r="X56" s="156" t="n">
        <f aca="false">IFERROR('Price History'!C3+(INDEX('Price History'!C:C,MATCH(9.99E+307,'Returns (Calc)'!$A:$A)+1)-'Price History'!C3)*(ROW()-3)/(MATCH(9.99E+307,'Returns (Calc)'!$A:$A)-3),"")</f>
        <v>100.24335443038</v>
      </c>
      <c r="Y56" s="156" t="n">
        <f aca="false">IFERROR('Price History'!D3+(INDEX('Price History'!D:D,MATCH(9.99E+307,'Returns (Calc)'!$A:$A)+1)-'Price History'!D3)*(ROW()-3)/(MATCH(9.99E+307,'Returns (Calc)'!$A:$A)-3),"")</f>
        <v>1013.15493670886</v>
      </c>
      <c r="Z56" s="156" t="n">
        <f aca="false">IFERROR('Price History'!E3+(INDEX('Price History'!E:E,MATCH(9.99E+307,'Returns (Calc)'!$A:$A)+1)-'Price History'!E3)*(ROW()-3)/(MATCH(9.99E+307,'Returns (Calc)'!$A:$A)-3),"")</f>
        <v>173.622911392405</v>
      </c>
      <c r="AA56" s="156" t="n">
        <f aca="false">IFERROR('Price History'!F3+(INDEX('Price History'!F:F,MATCH(9.99E+307,'Returns (Calc)'!$A:$A)+1)-'Price History'!F3)*(ROW()-3)/(MATCH(9.99E+307,'Returns (Calc)'!$A:$A)-3),"")</f>
        <v>118.069113924051</v>
      </c>
      <c r="AB56" s="156" t="n">
        <f aca="false">IFERROR('Price History'!G3+(INDEX('Price History'!G:G,MATCH(9.99E+307,'Returns (Calc)'!$A:$A)+1)-'Price History'!G3)*(ROW()-3)/(MATCH(9.99E+307,'Returns (Calc)'!$A:$A)-3),"")</f>
        <v>98.8729113924051</v>
      </c>
      <c r="AC56" s="156" t="n">
        <f aca="false">IFERROR('Price History'!H3+(INDEX('Price History'!H:H,MATCH(9.99E+307,'Returns (Calc)'!$A:$A)+1)-'Price History'!H3)*(ROW()-3)/(MATCH(9.99E+307,'Returns (Calc)'!$A:$A)-3),"")</f>
        <v>406.491898734177</v>
      </c>
      <c r="AD56" s="156" t="n">
        <f aca="false">IFERROR('Price History'!I3+(INDEX('Price History'!I:I,MATCH(9.99E+307,'Returns (Calc)'!$A:$A)+1)-'Price History'!I3)*(ROW()-3)/(MATCH(9.99E+307,'Returns (Calc)'!$A:$A)-3),"")</f>
        <v>107.564556962025</v>
      </c>
      <c r="AE56" s="156" t="n">
        <f aca="false">IFERROR('Price History'!J3+(INDEX('Price History'!J:J,MATCH(9.99E+307,'Returns (Calc)'!$A:$A)+1)-'Price History'!J3)*(ROW()-3)/(MATCH(9.99E+307,'Returns (Calc)'!$A:$A)-3),"")</f>
        <v>117.566012658228</v>
      </c>
      <c r="AF56" s="156" t="n">
        <f aca="false">IFERROR('Price History'!K3+(INDEX('Price History'!K:K,MATCH(9.99E+307,'Returns (Calc)'!$A:$A)+1)-'Price History'!K3)*(ROW()-3)/(MATCH(9.99E+307,'Returns (Calc)'!$A:$A)-3),"")</f>
        <v>73.5025316455696</v>
      </c>
      <c r="AG56" s="156" t="n">
        <f aca="false">IFERROR('Price History'!L3+(INDEX('Price History'!L:L,MATCH(9.99E+307,'Returns (Calc)'!$A:$A)+1)-'Price History'!L3)*(ROW()-3)/(MATCH(9.99E+307,'Returns (Calc)'!$A:$A)-3),"")</f>
        <v>215.576518987342</v>
      </c>
      <c r="AH56" s="156" t="n">
        <f aca="false">IFERROR('Price History'!M3+(INDEX('Price History'!M:M,MATCH(9.99E+307,'Returns (Calc)'!$A:$A)+1)-'Price History'!M3)*(ROW()-3)/(MATCH(9.99E+307,'Returns (Calc)'!$A:$A)-3),"")</f>
        <v>109.858481012658</v>
      </c>
      <c r="AI56" s="156" t="n">
        <f aca="false">IFERROR('Price History'!N3+(INDEX('Price History'!N:N,MATCH(9.99E+307,'Returns (Calc)'!$A:$A)+1)-'Price History'!N3)*(ROW()-3)/(MATCH(9.99E+307,'Returns (Calc)'!$A:$A)-3),"")</f>
        <v>401.172088607595</v>
      </c>
      <c r="AJ56" s="156" t="n">
        <f aca="false">IFERROR('Price History'!O3+(INDEX('Price History'!O:O,MATCH(9.99E+307,'Returns (Calc)'!$A:$A)+1)-'Price History'!O3)*(ROW()-3)/(MATCH(9.99E+307,'Returns (Calc)'!$A:$A)-3),"")</f>
        <v>90.3110126582279</v>
      </c>
      <c r="AK56" s="156" t="n">
        <f aca="false">IFERROR('Price History'!Q3+(INDEX('Price History'!Q:Q,MATCH(9.99E+307,'Returns (Calc)'!$A:$A)+1)-'Price History'!Q3)*(ROW()-3)/(MATCH(9.99E+307,'Returns (Calc)'!$A:$A)-3),"")</f>
        <v>23.2864556962025</v>
      </c>
      <c r="AL56" s="156" t="n">
        <f aca="false">IFERROR('Price History'!R3+(INDEX('Price History'!R:R,MATCH(9.99E+307,'Returns (Calc)'!$A:$A)+1)-'Price History'!R3)*(ROW()-3)/(MATCH(9.99E+307,'Returns (Calc)'!$A:$A)-3),"")</f>
        <v>43.3893670886076</v>
      </c>
      <c r="AM56" s="156" t="n">
        <f aca="false">IFERROR('Price History'!S3+(INDEX('Price History'!S:S,MATCH(9.99E+307,'Returns (Calc)'!$A:$A)+1)-'Price History'!S3)*(ROW()-3)/(MATCH(9.99E+307,'Returns (Calc)'!$A:$A)-3),"")</f>
        <v>89.6983544303797</v>
      </c>
      <c r="AN56" s="156" t="n">
        <f aca="false">IFERROR('Price History'!T3+(INDEX('Price History'!T:T,MATCH(9.99E+307,'Returns (Calc)'!$A:$A)+1)-'Price History'!T3)*(ROW()-3)/(MATCH(9.99E+307,'Returns (Calc)'!$A:$A)-3),"")</f>
        <v>34.1560759493671</v>
      </c>
      <c r="AO56" s="157" t="n">
        <f aca="false">IFERROR('Price History'!V3+(INDEX('Price History'!V:V,MATCH(9.99E+307,'Returns (Calc)'!$A:$A)+1)-'Price History'!V3)*(ROW()-3)/(MATCH(9.99E+307,'Returns (Calc)'!$A:$A)-3),"")</f>
        <v>277.570443037975</v>
      </c>
      <c r="AP56" s="155" t="n">
        <f aca="false">IFERROR(IF(OR(NOT(ISNUMBER('Price History'!W57)),NOT(ISNUMBER('Price History'!W56)),'Price History'!W56=0),"",'Price History'!W57/'Price History'!W56-1),"")</f>
        <v>0.00596569724086504</v>
      </c>
      <c r="AQ56" s="155" t="str">
        <f aca="false">IFERROR(IF(OR(NOT(ISNUMBER('Price History'!X57)),NOT(ISNUMBER('Price History'!X56)),'Price History'!X56=0),"",'Price History'!X57/'Price History'!X56-1),"")</f>
        <v/>
      </c>
      <c r="AR56" s="155" t="n">
        <f aca="false">IFERROR(IF(OR(NOT(ISNUMBER('Price History'!Y57)),NOT(ISNUMBER('Price History'!Y56)),'Price History'!Y56=0),"",'Price History'!Y57/'Price History'!Y56-1),"")</f>
        <v>0.00440528634361237</v>
      </c>
      <c r="AS56" s="155" t="n">
        <f aca="false">IFERROR(IF(OR(NOT(ISNUMBER('Price History'!Z57)),NOT(ISNUMBER('Price History'!Z56)),'Price History'!Z56=0),"",'Price History'!Z57/'Price History'!Z56-1),"")</f>
        <v>-0.00949862377894106</v>
      </c>
      <c r="AT56" s="155" t="n">
        <f aca="false">IFERROR(IF(OR(NOT(ISNUMBER('Price History'!AA57)),NOT(ISNUMBER('Price History'!AA56)),'Price History'!AA56=0),"",'Price History'!AA57/'Price History'!AA56-1),"")</f>
        <v>0.00912981455064199</v>
      </c>
      <c r="AU56" s="155" t="n">
        <f aca="false">IFERROR(IF(OR(NOT(ISNUMBER('Price History'!AB57)),NOT(ISNUMBER('Price History'!AB56)),'Price History'!AB56=0),"",'Price History'!AB57/'Price History'!AB56-1),"")</f>
        <v>-0.0187546537602383</v>
      </c>
    </row>
    <row r="57" customFormat="false" ht="15" hidden="false" customHeight="true" outlineLevel="0" collapsed="false">
      <c r="A57" s="153" t="n">
        <f aca="false">IF('Price History'!A58="","",'Price History'!A58)</f>
        <v>45569</v>
      </c>
      <c r="B57" s="154" t="n">
        <f aca="false">IFERROR(IF(OR(NOT(ISNUMBER('Price History'!B58)),NOT(ISNUMBER('Price History'!B57)),'Price History'!B57=0),"",'Price History'!B58/'Price History'!B57-1),"")</f>
        <v>-0.0160239000543183</v>
      </c>
      <c r="C57" s="154" t="n">
        <f aca="false">IFERROR(IF(OR(NOT(ISNUMBER('Price History'!C58)),NOT(ISNUMBER('Price History'!C57)),'Price History'!C57=0),"",'Price History'!C58/'Price History'!C57-1),"")</f>
        <v>0.0412327758493742</v>
      </c>
      <c r="D57" s="154" t="n">
        <f aca="false">IFERROR(IF(OR(NOT(ISNUMBER('Price History'!D58)),NOT(ISNUMBER('Price History'!D57)),'Price History'!D57=0),"",'Price History'!D58/'Price History'!D57-1),"")</f>
        <v>-0.0101489724165428</v>
      </c>
      <c r="E57" s="154" t="n">
        <f aca="false">IFERROR(IF(OR(NOT(ISNUMBER('Price History'!E58)),NOT(ISNUMBER('Price History'!E57)),'Price History'!E57=0),"",'Price History'!E58/'Price History'!E57-1),"")</f>
        <v>0.0228571428571429</v>
      </c>
      <c r="F57" s="154" t="n">
        <f aca="false">IFERROR(IF(OR(NOT(ISNUMBER('Price History'!F58)),NOT(ISNUMBER('Price History'!F57)),'Price History'!F57=0),"",'Price History'!F58/'Price History'!F57-1),"")</f>
        <v>0.0223901483347329</v>
      </c>
      <c r="G57" s="154" t="n">
        <f aca="false">IFERROR(IF(OR(NOT(ISNUMBER('Price History'!G58)),NOT(ISNUMBER('Price History'!G57)),'Price History'!G57=0),"",'Price History'!G58/'Price History'!G57-1),"")</f>
        <v>0.0063570316554229</v>
      </c>
      <c r="H57" s="154" t="n">
        <f aca="false">IFERROR(IF(OR(NOT(ISNUMBER('Price History'!H58)),NOT(ISNUMBER('Price History'!H57)),'Price History'!H57=0),"",'Price History'!H58/'Price History'!H57-1),"")</f>
        <v>-0.0488626790227464</v>
      </c>
      <c r="I57" s="154" t="n">
        <f aca="false">IFERROR(IF(OR(NOT(ISNUMBER('Price History'!I58)),NOT(ISNUMBER('Price History'!I57)),'Price History'!I57=0),"",'Price History'!I58/'Price History'!I57-1),"")</f>
        <v>0.0289890981169476</v>
      </c>
      <c r="J57" s="154" t="n">
        <f aca="false">IFERROR(IF(OR(NOT(ISNUMBER('Price History'!J58)),NOT(ISNUMBER('Price History'!J57)),'Price History'!J57=0),"",'Price History'!J58/'Price History'!J57-1),"")</f>
        <v>-0.0251979228739252</v>
      </c>
      <c r="K57" s="154" t="n">
        <f aca="false">IFERROR(IF(OR(NOT(ISNUMBER('Price History'!K58)),NOT(ISNUMBER('Price History'!K57)),'Price History'!K57=0),"",'Price History'!K58/'Price History'!K57-1),"")</f>
        <v>0.0860477741585233</v>
      </c>
      <c r="L57" s="154" t="n">
        <f aca="false">IFERROR(IF(OR(NOT(ISNUMBER('Price History'!L58)),NOT(ISNUMBER('Price History'!L57)),'Price History'!L57=0),"",'Price History'!L58/'Price History'!L57-1),"")</f>
        <v>0.0179640718562875</v>
      </c>
      <c r="M57" s="154" t="n">
        <f aca="false">IFERROR(IF(OR(NOT(ISNUMBER('Price History'!M58)),NOT(ISNUMBER('Price History'!M57)),'Price History'!M57=0),"",'Price History'!M58/'Price History'!M57-1),"")</f>
        <v>0.0690638687990222</v>
      </c>
      <c r="N57" s="154" t="n">
        <f aca="false">IFERROR(IF(OR(NOT(ISNUMBER('Price History'!N58)),NOT(ISNUMBER('Price History'!N57)),'Price History'!N57=0),"",'Price History'!N58/'Price History'!N57-1),"")</f>
        <v>-0.0163541306602143</v>
      </c>
      <c r="O57" s="154" t="n">
        <f aca="false">IFERROR(IF(OR(NOT(ISNUMBER('Price History'!O58)),NOT(ISNUMBER('Price History'!O57)),'Price History'!O57=0),"",'Price History'!O58/'Price History'!O57-1),"")</f>
        <v>0.00280535174794982</v>
      </c>
      <c r="P57" s="154" t="n">
        <f aca="false">IFERROR(IF(OR(NOT(ISNUMBER('Price History'!P58)),NOT(ISNUMBER('Price History'!P57)),'Price History'!P57=0),"",'Price History'!P58/'Price History'!P57-1),"")</f>
        <v>-0.00398311160678722</v>
      </c>
      <c r="Q57" s="154" t="n">
        <f aca="false">IFERROR(IF(OR(NOT(ISNUMBER('Price History'!Q58)),NOT(ISNUMBER('Price History'!Q57)),'Price History'!Q57=0),"",'Price History'!Q58/'Price History'!Q57-1),"")</f>
        <v>0.00133045069017124</v>
      </c>
      <c r="R57" s="154" t="n">
        <f aca="false">IFERROR(IF(OR(NOT(ISNUMBER('Price History'!R58)),NOT(ISNUMBER('Price History'!R57)),'Price History'!R57=0),"",'Price History'!R58/'Price History'!R57-1),"")</f>
        <v>0.00231160425335175</v>
      </c>
      <c r="S57" s="154" t="n">
        <f aca="false">IFERROR(IF(OR(NOT(ISNUMBER('Price History'!S58)),NOT(ISNUMBER('Price History'!S57)),'Price History'!S57=0),"",'Price History'!S58/'Price History'!S57-1),"")</f>
        <v>0.014958947250028</v>
      </c>
      <c r="T57" s="154" t="n">
        <f aca="false">IFERROR(IF(OR(NOT(ISNUMBER('Price History'!T58)),NOT(ISNUMBER('Price History'!T57)),'Price History'!T57=0),"",'Price History'!T58/'Price History'!T57-1),"")</f>
        <v>0.0185643564356437</v>
      </c>
      <c r="U57" s="154" t="n">
        <f aca="false">IFERROR(IF(OR(NOT(ISNUMBER('Price History'!U58)),NOT(ISNUMBER('Price History'!U57)),'Price History'!U57=0),"",'Price History'!U58/'Price History'!U57-1),"")</f>
        <v>0.00497512437810954</v>
      </c>
      <c r="V57" s="155" t="n">
        <f aca="false">IFERROR(IF(OR(NOT(ISNUMBER('Price History'!V58)),NOT(ISNUMBER('Price History'!V57)),'Price History'!V57=0),"",'Price History'!V58/'Price History'!V57-1),"")</f>
        <v>0.010033938320791</v>
      </c>
      <c r="W57" s="156" t="n">
        <f aca="false">IFERROR('Price History'!B3+(INDEX('Price History'!B:B,MATCH(9.99E+307,'Returns (Calc)'!$A:$A)+1)-'Price History'!B3)*(ROW()-3)/(MATCH(9.99E+307,'Returns (Calc)'!$A:$A)-3),"")</f>
        <v>429.365949367089</v>
      </c>
      <c r="X57" s="156" t="n">
        <f aca="false">IFERROR('Price History'!C3+(INDEX('Price History'!C:C,MATCH(9.99E+307,'Returns (Calc)'!$A:$A)+1)-'Price History'!C3)*(ROW()-3)/(MATCH(9.99E+307,'Returns (Calc)'!$A:$A)-3),"")</f>
        <v>101.263417721519</v>
      </c>
      <c r="Y57" s="156" t="n">
        <f aca="false">IFERROR('Price History'!D3+(INDEX('Price History'!D:D,MATCH(9.99E+307,'Returns (Calc)'!$A:$A)+1)-'Price History'!D3)*(ROW()-3)/(MATCH(9.99E+307,'Returns (Calc)'!$A:$A)-3),"")</f>
        <v>1021.28974683544</v>
      </c>
      <c r="Z57" s="156" t="n">
        <f aca="false">IFERROR('Price History'!E3+(INDEX('Price History'!E:E,MATCH(9.99E+307,'Returns (Calc)'!$A:$A)+1)-'Price History'!E3)*(ROW()-3)/(MATCH(9.99E+307,'Returns (Calc)'!$A:$A)-3),"")</f>
        <v>175.35164556962</v>
      </c>
      <c r="AA57" s="156" t="n">
        <f aca="false">IFERROR('Price History'!F3+(INDEX('Price History'!F:F,MATCH(9.99E+307,'Returns (Calc)'!$A:$A)+1)-'Price History'!F3)*(ROW()-3)/(MATCH(9.99E+307,'Returns (Calc)'!$A:$A)-3),"")</f>
        <v>119.516455696203</v>
      </c>
      <c r="AB57" s="156" t="n">
        <f aca="false">IFERROR('Price History'!G3+(INDEX('Price History'!G:G,MATCH(9.99E+307,'Returns (Calc)'!$A:$A)+1)-'Price History'!G3)*(ROW()-3)/(MATCH(9.99E+307,'Returns (Calc)'!$A:$A)-3),"")</f>
        <v>99.9016455696203</v>
      </c>
      <c r="AC57" s="156" t="n">
        <f aca="false">IFERROR('Price History'!H3+(INDEX('Price History'!H:H,MATCH(9.99E+307,'Returns (Calc)'!$A:$A)+1)-'Price History'!H3)*(ROW()-3)/(MATCH(9.99E+307,'Returns (Calc)'!$A:$A)-3),"")</f>
        <v>412.857594936709</v>
      </c>
      <c r="AD57" s="156" t="n">
        <f aca="false">IFERROR('Price History'!I3+(INDEX('Price History'!I:I,MATCH(9.99E+307,'Returns (Calc)'!$A:$A)+1)-'Price History'!I3)*(ROW()-3)/(MATCH(9.99E+307,'Returns (Calc)'!$A:$A)-3),"")</f>
        <v>108.768227848101</v>
      </c>
      <c r="AE57" s="156" t="n">
        <f aca="false">IFERROR('Price History'!J3+(INDEX('Price History'!J:J,MATCH(9.99E+307,'Returns (Calc)'!$A:$A)+1)-'Price History'!J3)*(ROW()-3)/(MATCH(9.99E+307,'Returns (Calc)'!$A:$A)-3),"")</f>
        <v>117.674050632911</v>
      </c>
      <c r="AF57" s="156" t="n">
        <f aca="false">IFERROR('Price History'!K3+(INDEX('Price History'!K:K,MATCH(9.99E+307,'Returns (Calc)'!$A:$A)+1)-'Price History'!K3)*(ROW()-3)/(MATCH(9.99E+307,'Returns (Calc)'!$A:$A)-3),"")</f>
        <v>74.6001265822785</v>
      </c>
      <c r="AG57" s="156" t="n">
        <f aca="false">IFERROR('Price History'!L3+(INDEX('Price History'!L:L,MATCH(9.99E+307,'Returns (Calc)'!$A:$A)+1)-'Price History'!L3)*(ROW()-3)/(MATCH(9.99E+307,'Returns (Calc)'!$A:$A)-3),"")</f>
        <v>218.026075949367</v>
      </c>
      <c r="AH57" s="156" t="n">
        <f aca="false">IFERROR('Price History'!M3+(INDEX('Price History'!M:M,MATCH(9.99E+307,'Returns (Calc)'!$A:$A)+1)-'Price History'!M3)*(ROW()-3)/(MATCH(9.99E+307,'Returns (Calc)'!$A:$A)-3),"")</f>
        <v>111.213924050633</v>
      </c>
      <c r="AI57" s="156" t="n">
        <f aca="false">IFERROR('Price History'!N3+(INDEX('Price History'!N:N,MATCH(9.99E+307,'Returns (Calc)'!$A:$A)+1)-'Price History'!N3)*(ROW()-3)/(MATCH(9.99E+307,'Returns (Calc)'!$A:$A)-3),"")</f>
        <v>402.15835443038</v>
      </c>
      <c r="AJ57" s="156" t="n">
        <f aca="false">IFERROR('Price History'!O3+(INDEX('Price History'!O:O,MATCH(9.99E+307,'Returns (Calc)'!$A:$A)+1)-'Price History'!O3)*(ROW()-3)/(MATCH(9.99E+307,'Returns (Calc)'!$A:$A)-3),"")</f>
        <v>90.5940506329114</v>
      </c>
      <c r="AK57" s="156" t="n">
        <f aca="false">IFERROR('Price History'!Q3+(INDEX('Price History'!Q:Q,MATCH(9.99E+307,'Returns (Calc)'!$A:$A)+1)-'Price History'!Q3)*(ROW()-3)/(MATCH(9.99E+307,'Returns (Calc)'!$A:$A)-3),"")</f>
        <v>23.7258227848101</v>
      </c>
      <c r="AL57" s="156" t="n">
        <f aca="false">IFERROR('Price History'!R3+(INDEX('Price History'!R:R,MATCH(9.99E+307,'Returns (Calc)'!$A:$A)+1)-'Price History'!R3)*(ROW()-3)/(MATCH(9.99E+307,'Returns (Calc)'!$A:$A)-3),"")</f>
        <v>43.5574683544304</v>
      </c>
      <c r="AM57" s="156" t="n">
        <f aca="false">IFERROR('Price History'!S3+(INDEX('Price History'!S:S,MATCH(9.99E+307,'Returns (Calc)'!$A:$A)+1)-'Price History'!S3)*(ROW()-3)/(MATCH(9.99E+307,'Returns (Calc)'!$A:$A)-3),"")</f>
        <v>90.303417721519</v>
      </c>
      <c r="AN57" s="156" t="n">
        <f aca="false">IFERROR('Price History'!T3+(INDEX('Price History'!T:T,MATCH(9.99E+307,'Returns (Calc)'!$A:$A)+1)-'Price History'!T3)*(ROW()-3)/(MATCH(9.99E+307,'Returns (Calc)'!$A:$A)-3),"")</f>
        <v>34.3243037974684</v>
      </c>
      <c r="AO57" s="157" t="n">
        <f aca="false">IFERROR('Price History'!V3+(INDEX('Price History'!V:V,MATCH(9.99E+307,'Returns (Calc)'!$A:$A)+1)-'Price History'!V3)*(ROW()-3)/(MATCH(9.99E+307,'Returns (Calc)'!$A:$A)-3),"")</f>
        <v>278.361772151899</v>
      </c>
      <c r="AP57" s="155" t="n">
        <f aca="false">IFERROR(IF(OR(NOT(ISNUMBER('Price History'!W58)),NOT(ISNUMBER('Price History'!W57)),'Price History'!W57=0),"",'Price History'!W58/'Price History'!W57-1),"")</f>
        <v>0.00716580182851501</v>
      </c>
      <c r="AQ57" s="155" t="str">
        <f aca="false">IFERROR(IF(OR(NOT(ISNUMBER('Price History'!X58)),NOT(ISNUMBER('Price History'!X57)),'Price History'!X57=0),"",'Price History'!X58/'Price History'!X57-1),"")</f>
        <v/>
      </c>
      <c r="AR57" s="155" t="n">
        <f aca="false">IFERROR(IF(OR(NOT(ISNUMBER('Price History'!Y58)),NOT(ISNUMBER('Price History'!Y57)),'Price History'!Y57=0),"",'Price History'!Y58/'Price History'!Y57-1),"")</f>
        <v>0.00219298245614041</v>
      </c>
      <c r="AS57" s="155" t="n">
        <f aca="false">IFERROR(IF(OR(NOT(ISNUMBER('Price History'!Z58)),NOT(ISNUMBER('Price History'!Z57)),'Price History'!Z57=0),"",'Price History'!Z58/'Price History'!Z57-1),"")</f>
        <v>0.00920830381953897</v>
      </c>
      <c r="AT57" s="155" t="n">
        <f aca="false">IFERROR(IF(OR(NOT(ISNUMBER('Price History'!AA58)),NOT(ISNUMBER('Price History'!AA57)),'Price History'!AA57=0),"",'Price History'!AA58/'Price History'!AA57-1),"")</f>
        <v>0.0173876166242579</v>
      </c>
      <c r="AU57" s="155" t="n">
        <f aca="false">IFERROR(IF(OR(NOT(ISNUMBER('Price History'!AB58)),NOT(ISNUMBER('Price History'!AB57)),'Price History'!AB57=0),"",'Price History'!AB58/'Price History'!AB57-1),"")</f>
        <v>-0.0293099359734409</v>
      </c>
    </row>
    <row r="58" customFormat="false" ht="15" hidden="false" customHeight="true" outlineLevel="0" collapsed="false">
      <c r="A58" s="153" t="n">
        <f aca="false">IF('Price History'!A59="","",'Price History'!A59)</f>
        <v>45576</v>
      </c>
      <c r="B58" s="154" t="n">
        <f aca="false">IFERROR(IF(OR(NOT(ISNUMBER('Price History'!B59)),NOT(ISNUMBER('Price History'!B58)),'Price History'!B58=0),"",'Price History'!B59/'Price History'!B58-1),"")</f>
        <v>-0.0232640668743346</v>
      </c>
      <c r="C58" s="154" t="n">
        <f aca="false">IFERROR(IF(OR(NOT(ISNUMBER('Price History'!C59)),NOT(ISNUMBER('Price History'!C58)),'Price History'!C58=0),"",'Price History'!C59/'Price History'!C58-1),"")</f>
        <v>0.0529346398626125</v>
      </c>
      <c r="D58" s="154" t="n">
        <f aca="false">IFERROR(IF(OR(NOT(ISNUMBER('Price History'!D59)),NOT(ISNUMBER('Price History'!D58)),'Price History'!D58=0),"",'Price History'!D59/'Price History'!D58-1),"")</f>
        <v>0.00922772712292663</v>
      </c>
      <c r="E58" s="154" t="n">
        <f aca="false">IFERROR(IF(OR(NOT(ISNUMBER('Price History'!E59)),NOT(ISNUMBER('Price History'!E58)),'Price History'!E58=0),"",'Price History'!E59/'Price History'!E58-1),"")</f>
        <v>0.0274146172896388</v>
      </c>
      <c r="F58" s="154" t="n">
        <f aca="false">IFERROR(IF(OR(NOT(ISNUMBER('Price History'!F59)),NOT(ISNUMBER('Price History'!F58)),'Price History'!F58=0),"",'Price History'!F59/'Price History'!F58-1),"")</f>
        <v>0.0956747878456064</v>
      </c>
      <c r="G58" s="154" t="n">
        <f aca="false">IFERROR(IF(OR(NOT(ISNUMBER('Price History'!G59)),NOT(ISNUMBER('Price History'!G58)),'Price History'!G58=0),"",'Price History'!G59/'Price History'!G58-1),"")</f>
        <v>0.0207554466933095</v>
      </c>
      <c r="H58" s="154" t="n">
        <f aca="false">IFERROR(IF(OR(NOT(ISNUMBER('Price History'!H59)),NOT(ISNUMBER('Price History'!H58)),'Price History'!H58=0),"",'Price History'!H59/'Price History'!H58-1),"")</f>
        <v>0.0468457828953843</v>
      </c>
      <c r="I58" s="154" t="n">
        <f aca="false">IFERROR(IF(OR(NOT(ISNUMBER('Price History'!I59)),NOT(ISNUMBER('Price History'!I58)),'Price History'!I58=0),"",'Price History'!I59/'Price History'!I58-1),"")</f>
        <v>0.0790593145517295</v>
      </c>
      <c r="J58" s="154" t="n">
        <f aca="false">IFERROR(IF(OR(NOT(ISNUMBER('Price History'!J59)),NOT(ISNUMBER('Price History'!J58)),'Price History'!J58=0),"",'Price History'!J59/'Price History'!J58-1),"")</f>
        <v>-0.0178150379879487</v>
      </c>
      <c r="K58" s="154" t="n">
        <f aca="false">IFERROR(IF(OR(NOT(ISNUMBER('Price History'!K59)),NOT(ISNUMBER('Price History'!K58)),'Price History'!K58=0),"",'Price History'!K59/'Price History'!K58-1),"")</f>
        <v>0.0874781304673831</v>
      </c>
      <c r="L58" s="154" t="n">
        <f aca="false">IFERROR(IF(OR(NOT(ISNUMBER('Price History'!L59)),NOT(ISNUMBER('Price History'!L58)),'Price History'!L58=0),"",'Price History'!L59/'Price History'!L58-1),"")</f>
        <v>0.0532239819004525</v>
      </c>
      <c r="M58" s="154" t="n">
        <f aca="false">IFERROR(IF(OR(NOT(ISNUMBER('Price History'!M59)),NOT(ISNUMBER('Price History'!M58)),'Price History'!M58=0),"",'Price History'!M59/'Price History'!M58-1),"")</f>
        <v>0.0630776560266793</v>
      </c>
      <c r="N58" s="154" t="n">
        <f aca="false">IFERROR(IF(OR(NOT(ISNUMBER('Price History'!N59)),NOT(ISNUMBER('Price History'!N58)),'Price History'!N58=0),"",'Price History'!N59/'Price History'!N58-1),"")</f>
        <v>0.0579824734796073</v>
      </c>
      <c r="O58" s="154" t="n">
        <f aca="false">IFERROR(IF(OR(NOT(ISNUMBER('Price History'!O59)),NOT(ISNUMBER('Price History'!O58)),'Price History'!O58=0),"",'Price History'!O59/'Price History'!O58-1),"")</f>
        <v>0.0119431891542932</v>
      </c>
      <c r="P58" s="154" t="n">
        <f aca="false">IFERROR(IF(OR(NOT(ISNUMBER('Price History'!P59)),NOT(ISNUMBER('Price History'!P58)),'Price History'!P58=0),"",'Price History'!P59/'Price History'!P58-1),"")</f>
        <v>0.000559865632248302</v>
      </c>
      <c r="Q58" s="154" t="n">
        <f aca="false">IFERROR(IF(OR(NOT(ISNUMBER('Price History'!Q59)),NOT(ISNUMBER('Price History'!Q58)),'Price History'!Q58=0),"",'Price History'!Q59/'Price History'!Q58-1),"")</f>
        <v>0.00813818302607539</v>
      </c>
      <c r="R58" s="154" t="n">
        <f aca="false">IFERROR(IF(OR(NOT(ISNUMBER('Price History'!R59)),NOT(ISNUMBER('Price History'!R58)),'Price History'!R58=0),"",'Price History'!R59/'Price History'!R58-1),"")</f>
        <v>0.00899446494464939</v>
      </c>
      <c r="S58" s="154" t="n">
        <f aca="false">IFERROR(IF(OR(NOT(ISNUMBER('Price History'!S59)),NOT(ISNUMBER('Price History'!S58)),'Price History'!S58=0),"",'Price History'!S59/'Price History'!S58-1),"")</f>
        <v>0.0216090425531916</v>
      </c>
      <c r="T58" s="154" t="n">
        <f aca="false">IFERROR(IF(OR(NOT(ISNUMBER('Price History'!T59)),NOT(ISNUMBER('Price History'!T58)),'Price History'!T58=0),"",'Price History'!T59/'Price History'!T58-1),"")</f>
        <v>0.00425273390036463</v>
      </c>
      <c r="U58" s="154" t="n">
        <f aca="false">IFERROR(IF(OR(NOT(ISNUMBER('Price History'!U59)),NOT(ISNUMBER('Price History'!U58)),'Price History'!U58=0),"",'Price History'!U59/'Price History'!U58-1),"")</f>
        <v>0.0114242193450114</v>
      </c>
      <c r="V58" s="155" t="n">
        <f aca="false">IFERROR(IF(OR(NOT(ISNUMBER('Price History'!V59)),NOT(ISNUMBER('Price History'!V58)),'Price History'!V58=0),"",'Price History'!V59/'Price History'!V58-1),"")</f>
        <v>-0.000328707085463953</v>
      </c>
      <c r="W58" s="156" t="n">
        <f aca="false">IFERROR('Price History'!B3+(INDEX('Price History'!B:B,MATCH(9.99E+307,'Returns (Calc)'!$A:$A)+1)-'Price History'!B3)*(ROW()-3)/(MATCH(9.99E+307,'Returns (Calc)'!$A:$A)-3),"")</f>
        <v>427.522911392405</v>
      </c>
      <c r="X58" s="156" t="n">
        <f aca="false">IFERROR('Price History'!C3+(INDEX('Price History'!C:C,MATCH(9.99E+307,'Returns (Calc)'!$A:$A)+1)-'Price History'!C3)*(ROW()-3)/(MATCH(9.99E+307,'Returns (Calc)'!$A:$A)-3),"")</f>
        <v>102.283481012658</v>
      </c>
      <c r="Y58" s="156" t="n">
        <f aca="false">IFERROR('Price History'!D3+(INDEX('Price History'!D:D,MATCH(9.99E+307,'Returns (Calc)'!$A:$A)+1)-'Price History'!D3)*(ROW()-3)/(MATCH(9.99E+307,'Returns (Calc)'!$A:$A)-3),"")</f>
        <v>1029.42455696203</v>
      </c>
      <c r="Z58" s="156" t="n">
        <f aca="false">IFERROR('Price History'!E3+(INDEX('Price History'!E:E,MATCH(9.99E+307,'Returns (Calc)'!$A:$A)+1)-'Price History'!E3)*(ROW()-3)/(MATCH(9.99E+307,'Returns (Calc)'!$A:$A)-3),"")</f>
        <v>177.080379746835</v>
      </c>
      <c r="AA58" s="156" t="n">
        <f aca="false">IFERROR('Price History'!F3+(INDEX('Price History'!F:F,MATCH(9.99E+307,'Returns (Calc)'!$A:$A)+1)-'Price History'!F3)*(ROW()-3)/(MATCH(9.99E+307,'Returns (Calc)'!$A:$A)-3),"")</f>
        <v>120.963797468354</v>
      </c>
      <c r="AB58" s="156" t="n">
        <f aca="false">IFERROR('Price History'!G3+(INDEX('Price History'!G:G,MATCH(9.99E+307,'Returns (Calc)'!$A:$A)+1)-'Price History'!G3)*(ROW()-3)/(MATCH(9.99E+307,'Returns (Calc)'!$A:$A)-3),"")</f>
        <v>100.930379746835</v>
      </c>
      <c r="AC58" s="156" t="n">
        <f aca="false">IFERROR('Price History'!H3+(INDEX('Price History'!H:H,MATCH(9.99E+307,'Returns (Calc)'!$A:$A)+1)-'Price History'!H3)*(ROW()-3)/(MATCH(9.99E+307,'Returns (Calc)'!$A:$A)-3),"")</f>
        <v>419.223291139241</v>
      </c>
      <c r="AD58" s="156" t="n">
        <f aca="false">IFERROR('Price History'!I3+(INDEX('Price History'!I:I,MATCH(9.99E+307,'Returns (Calc)'!$A:$A)+1)-'Price History'!I3)*(ROW()-3)/(MATCH(9.99E+307,'Returns (Calc)'!$A:$A)-3),"")</f>
        <v>109.971898734177</v>
      </c>
      <c r="AE58" s="156" t="n">
        <f aca="false">IFERROR('Price History'!J3+(INDEX('Price History'!J:J,MATCH(9.99E+307,'Returns (Calc)'!$A:$A)+1)-'Price History'!J3)*(ROW()-3)/(MATCH(9.99E+307,'Returns (Calc)'!$A:$A)-3),"")</f>
        <v>117.782088607595</v>
      </c>
      <c r="AF58" s="156" t="n">
        <f aca="false">IFERROR('Price History'!K3+(INDEX('Price History'!K:K,MATCH(9.99E+307,'Returns (Calc)'!$A:$A)+1)-'Price History'!K3)*(ROW()-3)/(MATCH(9.99E+307,'Returns (Calc)'!$A:$A)-3),"")</f>
        <v>75.6977215189873</v>
      </c>
      <c r="AG58" s="156" t="n">
        <f aca="false">IFERROR('Price History'!L3+(INDEX('Price History'!L:L,MATCH(9.99E+307,'Returns (Calc)'!$A:$A)+1)-'Price History'!L3)*(ROW()-3)/(MATCH(9.99E+307,'Returns (Calc)'!$A:$A)-3),"")</f>
        <v>220.475632911392</v>
      </c>
      <c r="AH58" s="156" t="n">
        <f aca="false">IFERROR('Price History'!M3+(INDEX('Price History'!M:M,MATCH(9.99E+307,'Returns (Calc)'!$A:$A)+1)-'Price History'!M3)*(ROW()-3)/(MATCH(9.99E+307,'Returns (Calc)'!$A:$A)-3),"")</f>
        <v>112.569367088608</v>
      </c>
      <c r="AI58" s="156" t="n">
        <f aca="false">IFERROR('Price History'!N3+(INDEX('Price History'!N:N,MATCH(9.99E+307,'Returns (Calc)'!$A:$A)+1)-'Price History'!N3)*(ROW()-3)/(MATCH(9.99E+307,'Returns (Calc)'!$A:$A)-3),"")</f>
        <v>403.144620253165</v>
      </c>
      <c r="AJ58" s="156" t="n">
        <f aca="false">IFERROR('Price History'!O3+(INDEX('Price History'!O:O,MATCH(9.99E+307,'Returns (Calc)'!$A:$A)+1)-'Price History'!O3)*(ROW()-3)/(MATCH(9.99E+307,'Returns (Calc)'!$A:$A)-3),"")</f>
        <v>90.8770886075949</v>
      </c>
      <c r="AK58" s="156" t="n">
        <f aca="false">IFERROR('Price History'!Q3+(INDEX('Price History'!Q:Q,MATCH(9.99E+307,'Returns (Calc)'!$A:$A)+1)-'Price History'!Q3)*(ROW()-3)/(MATCH(9.99E+307,'Returns (Calc)'!$A:$A)-3),"")</f>
        <v>24.1651898734177</v>
      </c>
      <c r="AL58" s="156" t="n">
        <f aca="false">IFERROR('Price History'!R3+(INDEX('Price History'!R:R,MATCH(9.99E+307,'Returns (Calc)'!$A:$A)+1)-'Price History'!R3)*(ROW()-3)/(MATCH(9.99E+307,'Returns (Calc)'!$A:$A)-3),"")</f>
        <v>43.7255696202532</v>
      </c>
      <c r="AM58" s="156" t="n">
        <f aca="false">IFERROR('Price History'!S3+(INDEX('Price History'!S:S,MATCH(9.99E+307,'Returns (Calc)'!$A:$A)+1)-'Price History'!S3)*(ROW()-3)/(MATCH(9.99E+307,'Returns (Calc)'!$A:$A)-3),"")</f>
        <v>90.9084810126582</v>
      </c>
      <c r="AN58" s="156" t="n">
        <f aca="false">IFERROR('Price History'!T3+(INDEX('Price History'!T:T,MATCH(9.99E+307,'Returns (Calc)'!$A:$A)+1)-'Price History'!T3)*(ROW()-3)/(MATCH(9.99E+307,'Returns (Calc)'!$A:$A)-3),"")</f>
        <v>34.4925316455696</v>
      </c>
      <c r="AO58" s="157" t="n">
        <f aca="false">IFERROR('Price History'!V3+(INDEX('Price History'!V:V,MATCH(9.99E+307,'Returns (Calc)'!$A:$A)+1)-'Price History'!V3)*(ROW()-3)/(MATCH(9.99E+307,'Returns (Calc)'!$A:$A)-3),"")</f>
        <v>279.153101265823</v>
      </c>
      <c r="AP58" s="155" t="n">
        <f aca="false">IFERROR(IF(OR(NOT(ISNUMBER('Price History'!W59)),NOT(ISNUMBER('Price History'!W58)),'Price History'!W58=0),"",'Price History'!W59/'Price History'!W58-1),"")</f>
        <v>0.011122015047432</v>
      </c>
      <c r="AQ58" s="155" t="str">
        <f aca="false">IFERROR(IF(OR(NOT(ISNUMBER('Price History'!X59)),NOT(ISNUMBER('Price History'!X58)),'Price History'!X58=0),"",'Price History'!X59/'Price History'!X58-1),"")</f>
        <v/>
      </c>
      <c r="AR58" s="155" t="n">
        <f aca="false">IFERROR(IF(OR(NOT(ISNUMBER('Price History'!Y59)),NOT(ISNUMBER('Price History'!Y58)),'Price History'!Y58=0),"",'Price History'!Y59/'Price History'!Y58-1),"")</f>
        <v>0.00537099661826135</v>
      </c>
      <c r="AS58" s="155" t="n">
        <f aca="false">IFERROR(IF(OR(NOT(ISNUMBER('Price History'!Z59)),NOT(ISNUMBER('Price History'!Z58)),'Price History'!Z58=0),"",'Price History'!Z59/'Price History'!Z58-1),"")</f>
        <v>0.0218118993629197</v>
      </c>
      <c r="AT58" s="155" t="n">
        <f aca="false">IFERROR(IF(OR(NOT(ISNUMBER('Price History'!AA59)),NOT(ISNUMBER('Price History'!AA58)),'Price History'!AA58=0),"",'Price History'!AA59/'Price History'!AA58-1),"")</f>
        <v>0.00430735028484097</v>
      </c>
      <c r="AU58" s="155" t="n">
        <f aca="false">IFERROR(IF(OR(NOT(ISNUMBER('Price History'!AB59)),NOT(ISNUMBER('Price History'!AB58)),'Price History'!AB58=0),"",'Price History'!AB59/'Price History'!AB58-1),"")</f>
        <v>0.0324913275028094</v>
      </c>
    </row>
    <row r="59" customFormat="false" ht="15" hidden="false" customHeight="true" outlineLevel="0" collapsed="false">
      <c r="A59" s="153" t="n">
        <f aca="false">IF('Price History'!A60="","",'Price History'!A60)</f>
        <v>45583</v>
      </c>
      <c r="B59" s="154" t="n">
        <f aca="false">IFERROR(IF(OR(NOT(ISNUMBER('Price History'!B60)),NOT(ISNUMBER('Price History'!B59)),'Price History'!B59=0),"",'Price History'!B60/'Price History'!B59-1),"")</f>
        <v>-0.0010496144685318</v>
      </c>
      <c r="C59" s="154" t="n">
        <f aca="false">IFERROR(IF(OR(NOT(ISNUMBER('Price History'!C60)),NOT(ISNUMBER('Price History'!C59)),'Price History'!C59=0),"",'Price History'!C60/'Price History'!C59-1),"")</f>
        <v>-0.0357862419648853</v>
      </c>
      <c r="D59" s="154" t="n">
        <f aca="false">IFERROR(IF(OR(NOT(ISNUMBER('Price History'!D60)),NOT(ISNUMBER('Price History'!D59)),'Price History'!D59=0),"",'Price History'!D60/'Price History'!D59-1),"")</f>
        <v>-0.139678047482554</v>
      </c>
      <c r="E59" s="154" t="n">
        <f aca="false">IFERROR(IF(OR(NOT(ISNUMBER('Price History'!E60)),NOT(ISNUMBER('Price History'!E59)),'Price History'!E59=0),"",'Price History'!E60/'Price History'!E59-1),"")</f>
        <v>-0.00874488480295965</v>
      </c>
      <c r="F59" s="154" t="n">
        <f aca="false">IFERROR(IF(OR(NOT(ISNUMBER('Price History'!F60)),NOT(ISNUMBER('Price History'!F59)),'Price History'!F59=0),"",'Price History'!F60/'Price History'!F59-1),"")</f>
        <v>-0.0313554028732042</v>
      </c>
      <c r="G59" s="154" t="n">
        <f aca="false">IFERROR(IF(OR(NOT(ISNUMBER('Price History'!G60)),NOT(ISNUMBER('Price History'!G59)),'Price History'!G59=0),"",'Price History'!G60/'Price History'!G59-1),"")</f>
        <v>-0.155847436221268</v>
      </c>
      <c r="H59" s="154" t="n">
        <f aca="false">IFERROR(IF(OR(NOT(ISNUMBER('Price History'!H60)),NOT(ISNUMBER('Price History'!H59)),'Price History'!H59=0),"",'Price History'!H60/'Price History'!H59-1),"")</f>
        <v>0.0395788286170913</v>
      </c>
      <c r="I59" s="154" t="n">
        <f aca="false">IFERROR(IF(OR(NOT(ISNUMBER('Price History'!I60)),NOT(ISNUMBER('Price History'!I59)),'Price History'!I59=0),"",'Price History'!I60/'Price History'!I59-1),"")</f>
        <v>0.0237280571258554</v>
      </c>
      <c r="J59" s="154" t="n">
        <f aca="false">IFERROR(IF(OR(NOT(ISNUMBER('Price History'!J60)),NOT(ISNUMBER('Price History'!J59)),'Price History'!J59=0),"",'Price History'!J60/'Price History'!J59-1),"")</f>
        <v>0.0187605583711212</v>
      </c>
      <c r="K59" s="154" t="n">
        <f aca="false">IFERROR(IF(OR(NOT(ISNUMBER('Price History'!K60)),NOT(ISNUMBER('Price History'!K59)),'Price History'!K59=0),"",'Price History'!K60/'Price History'!K59-1),"")</f>
        <v>-0.01241094001379</v>
      </c>
      <c r="L59" s="154" t="n">
        <f aca="false">IFERROR(IF(OR(NOT(ISNUMBER('Price History'!L60)),NOT(ISNUMBER('Price History'!L59)),'Price History'!L59=0),"",'Price History'!L60/'Price History'!L59-1),"")</f>
        <v>0.0522528328231566</v>
      </c>
      <c r="M59" s="154" t="n">
        <f aca="false">IFERROR(IF(OR(NOT(ISNUMBER('Price History'!M60)),NOT(ISNUMBER('Price History'!M59)),'Price History'!M59=0),"",'Price History'!M60/'Price History'!M59-1),"")</f>
        <v>0.00367482298108812</v>
      </c>
      <c r="N59" s="154" t="n">
        <f aca="false">IFERROR(IF(OR(NOT(ISNUMBER('Price History'!N60)),NOT(ISNUMBER('Price History'!N59)),'Price History'!N59=0),"",'Price History'!N60/'Price History'!N59-1),"")</f>
        <v>0.0026779597683253</v>
      </c>
      <c r="O59" s="154" t="n">
        <f aca="false">IFERROR(IF(OR(NOT(ISNUMBER('Price History'!O60)),NOT(ISNUMBER('Price History'!O59)),'Price History'!O59=0),"",'Price History'!O60/'Price History'!O59-1),"")</f>
        <v>0.0125465178096758</v>
      </c>
      <c r="P59" s="154" t="n">
        <f aca="false">IFERROR(IF(OR(NOT(ISNUMBER('Price History'!P60)),NOT(ISNUMBER('Price History'!P59)),'Price History'!P59=0),"",'Price History'!P60/'Price History'!P59-1),"")</f>
        <v>0.0193445243804957</v>
      </c>
      <c r="Q59" s="154" t="n">
        <f aca="false">IFERROR(IF(OR(NOT(ISNUMBER('Price History'!Q60)),NOT(ISNUMBER('Price History'!Q59)),'Price History'!Q59=0),"",'Price History'!Q60/'Price History'!Q59-1),"")</f>
        <v>0.00823723228995066</v>
      </c>
      <c r="R59" s="154" t="n">
        <f aca="false">IFERROR(IF(OR(NOT(ISNUMBER('Price History'!R60)),NOT(ISNUMBER('Price History'!R59)),'Price History'!R59=0),"",'Price History'!R60/'Price History'!R59-1),"")</f>
        <v>0.00754285714285707</v>
      </c>
      <c r="S59" s="154" t="n">
        <f aca="false">IFERROR(IF(OR(NOT(ISNUMBER('Price History'!S60)),NOT(ISNUMBER('Price History'!S59)),'Price History'!S59=0),"",'Price History'!S60/'Price History'!S59-1),"")</f>
        <v>0.00433886538670136</v>
      </c>
      <c r="T59" s="154" t="n">
        <f aca="false">IFERROR(IF(OR(NOT(ISNUMBER('Price History'!T60)),NOT(ISNUMBER('Price History'!T59)),'Price History'!T59=0),"",'Price History'!T60/'Price History'!T59-1),"")</f>
        <v>-0.00483968542044777</v>
      </c>
      <c r="U59" s="154" t="n">
        <f aca="false">IFERROR(IF(OR(NOT(ISNUMBER('Price History'!U60)),NOT(ISNUMBER('Price History'!U59)),'Price History'!U59=0),"",'Price History'!U60/'Price History'!U59-1),"")</f>
        <v>0.0094126506024097</v>
      </c>
      <c r="V59" s="155" t="n">
        <f aca="false">IFERROR(IF(OR(NOT(ISNUMBER('Price History'!V60)),NOT(ISNUMBER('Price History'!V59)),'Price History'!V59=0),"",'Price History'!V60/'Price History'!V59-1),"")</f>
        <v>0.0459975886887583</v>
      </c>
      <c r="W59" s="156" t="n">
        <f aca="false">IFERROR('Price History'!B3+(INDEX('Price History'!B:B,MATCH(9.99E+307,'Returns (Calc)'!$A:$A)+1)-'Price History'!B3)*(ROW()-3)/(MATCH(9.99E+307,'Returns (Calc)'!$A:$A)-3),"")</f>
        <v>425.679873417722</v>
      </c>
      <c r="X59" s="156" t="n">
        <f aca="false">IFERROR('Price History'!C3+(INDEX('Price History'!C:C,MATCH(9.99E+307,'Returns (Calc)'!$A:$A)+1)-'Price History'!C3)*(ROW()-3)/(MATCH(9.99E+307,'Returns (Calc)'!$A:$A)-3),"")</f>
        <v>103.303544303797</v>
      </c>
      <c r="Y59" s="156" t="n">
        <f aca="false">IFERROR('Price History'!D3+(INDEX('Price History'!D:D,MATCH(9.99E+307,'Returns (Calc)'!$A:$A)+1)-'Price History'!D3)*(ROW()-3)/(MATCH(9.99E+307,'Returns (Calc)'!$A:$A)-3),"")</f>
        <v>1037.55936708861</v>
      </c>
      <c r="Z59" s="156" t="n">
        <f aca="false">IFERROR('Price History'!E3+(INDEX('Price History'!E:E,MATCH(9.99E+307,'Returns (Calc)'!$A:$A)+1)-'Price History'!E3)*(ROW()-3)/(MATCH(9.99E+307,'Returns (Calc)'!$A:$A)-3),"")</f>
        <v>178.809113924051</v>
      </c>
      <c r="AA59" s="156" t="n">
        <f aca="false">IFERROR('Price History'!F3+(INDEX('Price History'!F:F,MATCH(9.99E+307,'Returns (Calc)'!$A:$A)+1)-'Price History'!F3)*(ROW()-3)/(MATCH(9.99E+307,'Returns (Calc)'!$A:$A)-3),"")</f>
        <v>122.411139240506</v>
      </c>
      <c r="AB59" s="156" t="n">
        <f aca="false">IFERROR('Price History'!G3+(INDEX('Price History'!G:G,MATCH(9.99E+307,'Returns (Calc)'!$A:$A)+1)-'Price History'!G3)*(ROW()-3)/(MATCH(9.99E+307,'Returns (Calc)'!$A:$A)-3),"")</f>
        <v>101.959113924051</v>
      </c>
      <c r="AC59" s="156" t="n">
        <f aca="false">IFERROR('Price History'!H3+(INDEX('Price History'!H:H,MATCH(9.99E+307,'Returns (Calc)'!$A:$A)+1)-'Price History'!H3)*(ROW()-3)/(MATCH(9.99E+307,'Returns (Calc)'!$A:$A)-3),"")</f>
        <v>425.588987341772</v>
      </c>
      <c r="AD59" s="156" t="n">
        <f aca="false">IFERROR('Price History'!I3+(INDEX('Price History'!I:I,MATCH(9.99E+307,'Returns (Calc)'!$A:$A)+1)-'Price History'!I3)*(ROW()-3)/(MATCH(9.99E+307,'Returns (Calc)'!$A:$A)-3),"")</f>
        <v>111.175569620253</v>
      </c>
      <c r="AE59" s="156" t="n">
        <f aca="false">IFERROR('Price History'!J3+(INDEX('Price History'!J:J,MATCH(9.99E+307,'Returns (Calc)'!$A:$A)+1)-'Price History'!J3)*(ROW()-3)/(MATCH(9.99E+307,'Returns (Calc)'!$A:$A)-3),"")</f>
        <v>117.890126582278</v>
      </c>
      <c r="AF59" s="156" t="n">
        <f aca="false">IFERROR('Price History'!K3+(INDEX('Price History'!K:K,MATCH(9.99E+307,'Returns (Calc)'!$A:$A)+1)-'Price History'!K3)*(ROW()-3)/(MATCH(9.99E+307,'Returns (Calc)'!$A:$A)-3),"")</f>
        <v>76.7953164556962</v>
      </c>
      <c r="AG59" s="156" t="n">
        <f aca="false">IFERROR('Price History'!L3+(INDEX('Price History'!L:L,MATCH(9.99E+307,'Returns (Calc)'!$A:$A)+1)-'Price History'!L3)*(ROW()-3)/(MATCH(9.99E+307,'Returns (Calc)'!$A:$A)-3),"")</f>
        <v>222.925189873418</v>
      </c>
      <c r="AH59" s="156" t="n">
        <f aca="false">IFERROR('Price History'!M3+(INDEX('Price History'!M:M,MATCH(9.99E+307,'Returns (Calc)'!$A:$A)+1)-'Price History'!M3)*(ROW()-3)/(MATCH(9.99E+307,'Returns (Calc)'!$A:$A)-3),"")</f>
        <v>113.924810126582</v>
      </c>
      <c r="AI59" s="156" t="n">
        <f aca="false">IFERROR('Price History'!N3+(INDEX('Price History'!N:N,MATCH(9.99E+307,'Returns (Calc)'!$A:$A)+1)-'Price History'!N3)*(ROW()-3)/(MATCH(9.99E+307,'Returns (Calc)'!$A:$A)-3),"")</f>
        <v>404.130886075949</v>
      </c>
      <c r="AJ59" s="156" t="n">
        <f aca="false">IFERROR('Price History'!O3+(INDEX('Price History'!O:O,MATCH(9.99E+307,'Returns (Calc)'!$A:$A)+1)-'Price History'!O3)*(ROW()-3)/(MATCH(9.99E+307,'Returns (Calc)'!$A:$A)-3),"")</f>
        <v>91.1601265822785</v>
      </c>
      <c r="AK59" s="156" t="n">
        <f aca="false">IFERROR('Price History'!Q3+(INDEX('Price History'!Q:Q,MATCH(9.99E+307,'Returns (Calc)'!$A:$A)+1)-'Price History'!Q3)*(ROW()-3)/(MATCH(9.99E+307,'Returns (Calc)'!$A:$A)-3),"")</f>
        <v>24.6045569620253</v>
      </c>
      <c r="AL59" s="156" t="n">
        <f aca="false">IFERROR('Price History'!R3+(INDEX('Price History'!R:R,MATCH(9.99E+307,'Returns (Calc)'!$A:$A)+1)-'Price History'!R3)*(ROW()-3)/(MATCH(9.99E+307,'Returns (Calc)'!$A:$A)-3),"")</f>
        <v>43.8936708860759</v>
      </c>
      <c r="AM59" s="156" t="n">
        <f aca="false">IFERROR('Price History'!S3+(INDEX('Price History'!S:S,MATCH(9.99E+307,'Returns (Calc)'!$A:$A)+1)-'Price History'!S3)*(ROW()-3)/(MATCH(9.99E+307,'Returns (Calc)'!$A:$A)-3),"")</f>
        <v>91.5135443037975</v>
      </c>
      <c r="AN59" s="156" t="n">
        <f aca="false">IFERROR('Price History'!T3+(INDEX('Price History'!T:T,MATCH(9.99E+307,'Returns (Calc)'!$A:$A)+1)-'Price History'!T3)*(ROW()-3)/(MATCH(9.99E+307,'Returns (Calc)'!$A:$A)-3),"")</f>
        <v>34.6607594936709</v>
      </c>
      <c r="AO59" s="157" t="n">
        <f aca="false">IFERROR('Price History'!V3+(INDEX('Price History'!V:V,MATCH(9.99E+307,'Returns (Calc)'!$A:$A)+1)-'Price History'!V3)*(ROW()-3)/(MATCH(9.99E+307,'Returns (Calc)'!$A:$A)-3),"")</f>
        <v>279.944430379747</v>
      </c>
      <c r="AP59" s="155" t="n">
        <f aca="false">IFERROR(IF(OR(NOT(ISNUMBER('Price History'!W60)),NOT(ISNUMBER('Price History'!W59)),'Price History'!W59=0),"",'Price History'!W60/'Price History'!W59-1),"")</f>
        <v>0.0101099967648011</v>
      </c>
      <c r="AQ59" s="155" t="str">
        <f aca="false">IFERROR(IF(OR(NOT(ISNUMBER('Price History'!X60)),NOT(ISNUMBER('Price History'!X59)),'Price History'!X59=0),"",'Price History'!X60/'Price History'!X59-1),"")</f>
        <v/>
      </c>
      <c r="AR59" s="155" t="n">
        <f aca="false">IFERROR(IF(OR(NOT(ISNUMBER('Price History'!Y60)),NOT(ISNUMBER('Price History'!Y59)),'Price History'!Y59=0),"",'Price History'!Y60/'Price History'!Y59-1),"")</f>
        <v>0.00732093391373168</v>
      </c>
      <c r="AS59" s="155" t="n">
        <f aca="false">IFERROR(IF(OR(NOT(ISNUMBER('Price History'!Z60)),NOT(ISNUMBER('Price History'!Z59)),'Price History'!Z59=0),"",'Price History'!Z60/'Price History'!Z59-1),"")</f>
        <v>0.00755574342174792</v>
      </c>
      <c r="AT59" s="155" t="n">
        <f aca="false">IFERROR(IF(OR(NOT(ISNUMBER('Price History'!AA60)),NOT(ISNUMBER('Price History'!AA59)),'Price History'!AA59=0),"",'Price History'!AA60/'Price History'!AA59-1),"")</f>
        <v>0.0568622025456558</v>
      </c>
      <c r="AU59" s="155" t="n">
        <f aca="false">IFERROR(IF(OR(NOT(ISNUMBER('Price History'!AB60)),NOT(ISNUMBER('Price History'!AB59)),'Price History'!AB59=0),"",'Price History'!AB60/'Price History'!AB59-1),"")</f>
        <v>0.0473215975771342</v>
      </c>
    </row>
    <row r="60" customFormat="false" ht="15" hidden="false" customHeight="true" outlineLevel="0" collapsed="false">
      <c r="A60" s="153" t="n">
        <f aca="false">IF('Price History'!A61="","",'Price History'!A61)</f>
        <v>45590</v>
      </c>
      <c r="B60" s="154" t="n">
        <f aca="false">IFERROR(IF(OR(NOT(ISNUMBER('Price History'!B61)),NOT(ISNUMBER('Price History'!B60)),'Price History'!B60=0),"",'Price History'!B61/'Price History'!B60-1),"")</f>
        <v>-0.0225904223075368</v>
      </c>
      <c r="C60" s="154" t="n">
        <f aca="false">IFERROR(IF(OR(NOT(ISNUMBER('Price History'!C61)),NOT(ISNUMBER('Price History'!C60)),'Price History'!C60=0),"",'Price History'!C61/'Price History'!C60-1),"")</f>
        <v>-0.0197014925373135</v>
      </c>
      <c r="D60" s="154" t="n">
        <f aca="false">IFERROR(IF(OR(NOT(ISNUMBER('Price History'!D61)),NOT(ISNUMBER('Price History'!D60)),'Price History'!D60=0),"",'Price History'!D61/'Price History'!D60-1),"")</f>
        <v>-0.0159839176764979</v>
      </c>
      <c r="E60" s="154" t="n">
        <f aca="false">IFERROR(IF(OR(NOT(ISNUMBER('Price History'!E61)),NOT(ISNUMBER('Price History'!E60)),'Price History'!E60=0),"",'Price History'!E61/'Price History'!E60-1),"")</f>
        <v>-0.0382853588192049</v>
      </c>
      <c r="F60" s="154" t="n">
        <f aca="false">IFERROR(IF(OR(NOT(ISNUMBER('Price History'!F61)),NOT(ISNUMBER('Price History'!F60)),'Price History'!F60=0),"",'Price History'!F61/'Price History'!F60-1),"")</f>
        <v>-0.0308228011348981</v>
      </c>
      <c r="G60" s="154" t="n">
        <f aca="false">IFERROR(IF(OR(NOT(ISNUMBER('Price History'!G61)),NOT(ISNUMBER('Price History'!G60)),'Price History'!G60=0),"",'Price History'!G61/'Price History'!G60-1),"")</f>
        <v>-0.00792938360263318</v>
      </c>
      <c r="H60" s="154" t="n">
        <f aca="false">IFERROR(IF(OR(NOT(ISNUMBER('Price History'!H61)),NOT(ISNUMBER('Price History'!H60)),'Price History'!H60=0),"",'Price History'!H61/'Price History'!H60-1),"")</f>
        <v>-0.0291191897268945</v>
      </c>
      <c r="I60" s="154" t="n">
        <f aca="false">IFERROR(IF(OR(NOT(ISNUMBER('Price History'!I61)),NOT(ISNUMBER('Price History'!I60)),'Price History'!I60=0),"",'Price History'!I61/'Price History'!I60-1),"")</f>
        <v>0.0256484778028045</v>
      </c>
      <c r="J60" s="154" t="n">
        <f aca="false">IFERROR(IF(OR(NOT(ISNUMBER('Price History'!J61)),NOT(ISNUMBER('Price History'!J60)),'Price History'!J60=0),"",'Price History'!J61/'Price History'!J60-1),"")</f>
        <v>-0.0404957235119567</v>
      </c>
      <c r="K60" s="154" t="n">
        <f aca="false">IFERROR(IF(OR(NOT(ISNUMBER('Price History'!K61)),NOT(ISNUMBER('Price History'!K60)),'Price History'!K60=0),"",'Price History'!K61/'Price History'!K60-1),"")</f>
        <v>0.0439841750058181</v>
      </c>
      <c r="L60" s="154" t="n">
        <f aca="false">IFERROR(IF(OR(NOT(ISNUMBER('Price History'!L61)),NOT(ISNUMBER('Price History'!L60)),'Price History'!L60=0),"",'Price History'!L61/'Price History'!L60-1),"")</f>
        <v>0.0132693681739309</v>
      </c>
      <c r="M60" s="154" t="n">
        <f aca="false">IFERROR(IF(OR(NOT(ISNUMBER('Price History'!M61)),NOT(ISNUMBER('Price History'!M60)),'Price History'!M60=0),"",'Price History'!M61/'Price History'!M60-1),"")</f>
        <v>-0.00071441328808719</v>
      </c>
      <c r="N60" s="154" t="n">
        <f aca="false">IFERROR(IF(OR(NOT(ISNUMBER('Price History'!N61)),NOT(ISNUMBER('Price History'!N60)),'Price History'!N60=0),"",'Price History'!N61/'Price History'!N60-1),"")</f>
        <v>-0.0109730848861284</v>
      </c>
      <c r="O60" s="154" t="n">
        <f aca="false">IFERROR(IF(OR(NOT(ISNUMBER('Price History'!O61)),NOT(ISNUMBER('Price History'!O60)),'Price History'!O60=0),"",'Price History'!O61/'Price History'!O60-1),"")</f>
        <v>-0.0332878294655046</v>
      </c>
      <c r="P60" s="154" t="n">
        <f aca="false">IFERROR(IF(OR(NOT(ISNUMBER('Price History'!P61)),NOT(ISNUMBER('Price History'!P60)),'Price History'!P60=0),"",'Price History'!P61/'Price History'!P60-1),"")</f>
        <v>-0.0236041405269761</v>
      </c>
      <c r="Q60" s="154" t="n">
        <f aca="false">IFERROR(IF(OR(NOT(ISNUMBER('Price History'!Q61)),NOT(ISNUMBER('Price History'!Q60)),'Price History'!Q60=0),"",'Price History'!Q61/'Price History'!Q60-1),"")</f>
        <v>-0.00277777777777777</v>
      </c>
      <c r="R60" s="154" t="n">
        <f aca="false">IFERROR(IF(OR(NOT(ISNUMBER('Price History'!R61)),NOT(ISNUMBER('Price History'!R60)),'Price History'!R60=0),"",'Price History'!R61/'Price History'!R60-1),"")</f>
        <v>0.00226860254083494</v>
      </c>
      <c r="S60" s="154" t="n">
        <f aca="false">IFERROR(IF(OR(NOT(ISNUMBER('Price History'!S61)),NOT(ISNUMBER('Price History'!S60)),'Price History'!S60=0),"",'Price History'!S61/'Price History'!S60-1),"")</f>
        <v>-0.0146884112755157</v>
      </c>
      <c r="T60" s="154" t="n">
        <f aca="false">IFERROR(IF(OR(NOT(ISNUMBER('Price History'!T61)),NOT(ISNUMBER('Price History'!T60)),'Price History'!T60=0),"",'Price History'!T61/'Price History'!T60-1),"")</f>
        <v>-0.0191489361702126</v>
      </c>
      <c r="U60" s="154" t="n">
        <f aca="false">IFERROR(IF(OR(NOT(ISNUMBER('Price History'!U61)),NOT(ISNUMBER('Price History'!U60)),'Price History'!U60=0),"",'Price History'!U61/'Price History'!U60-1),"")</f>
        <v>-0.0231256993659081</v>
      </c>
      <c r="V60" s="155" t="n">
        <f aca="false">IFERROR(IF(OR(NOT(ISNUMBER('Price History'!V61)),NOT(ISNUMBER('Price History'!V60)),'Price History'!V60=0),"",'Price History'!V61/'Price History'!V60-1),"")</f>
        <v>-0.030562347188264</v>
      </c>
      <c r="W60" s="156" t="n">
        <f aca="false">IFERROR('Price History'!B3+(INDEX('Price History'!B:B,MATCH(9.99E+307,'Returns (Calc)'!$A:$A)+1)-'Price History'!B3)*(ROW()-3)/(MATCH(9.99E+307,'Returns (Calc)'!$A:$A)-3),"")</f>
        <v>423.836835443038</v>
      </c>
      <c r="X60" s="156" t="n">
        <f aca="false">IFERROR('Price History'!C3+(INDEX('Price History'!C:C,MATCH(9.99E+307,'Returns (Calc)'!$A:$A)+1)-'Price History'!C3)*(ROW()-3)/(MATCH(9.99E+307,'Returns (Calc)'!$A:$A)-3),"")</f>
        <v>104.323607594937</v>
      </c>
      <c r="Y60" s="156" t="n">
        <f aca="false">IFERROR('Price History'!D3+(INDEX('Price History'!D:D,MATCH(9.99E+307,'Returns (Calc)'!$A:$A)+1)-'Price History'!D3)*(ROW()-3)/(MATCH(9.99E+307,'Returns (Calc)'!$A:$A)-3),"")</f>
        <v>1045.69417721519</v>
      </c>
      <c r="Z60" s="156" t="n">
        <f aca="false">IFERROR('Price History'!E3+(INDEX('Price History'!E:E,MATCH(9.99E+307,'Returns (Calc)'!$A:$A)+1)-'Price History'!E3)*(ROW()-3)/(MATCH(9.99E+307,'Returns (Calc)'!$A:$A)-3),"")</f>
        <v>180.537848101266</v>
      </c>
      <c r="AA60" s="156" t="n">
        <f aca="false">IFERROR('Price History'!F3+(INDEX('Price History'!F:F,MATCH(9.99E+307,'Returns (Calc)'!$A:$A)+1)-'Price History'!F3)*(ROW()-3)/(MATCH(9.99E+307,'Returns (Calc)'!$A:$A)-3),"")</f>
        <v>123.858481012658</v>
      </c>
      <c r="AB60" s="156" t="n">
        <f aca="false">IFERROR('Price History'!G3+(INDEX('Price History'!G:G,MATCH(9.99E+307,'Returns (Calc)'!$A:$A)+1)-'Price History'!G3)*(ROW()-3)/(MATCH(9.99E+307,'Returns (Calc)'!$A:$A)-3),"")</f>
        <v>102.987848101266</v>
      </c>
      <c r="AC60" s="156" t="n">
        <f aca="false">IFERROR('Price History'!H3+(INDEX('Price History'!H:H,MATCH(9.99E+307,'Returns (Calc)'!$A:$A)+1)-'Price History'!H3)*(ROW()-3)/(MATCH(9.99E+307,'Returns (Calc)'!$A:$A)-3),"")</f>
        <v>431.954683544304</v>
      </c>
      <c r="AD60" s="156" t="n">
        <f aca="false">IFERROR('Price History'!I3+(INDEX('Price History'!I:I,MATCH(9.99E+307,'Returns (Calc)'!$A:$A)+1)-'Price History'!I3)*(ROW()-3)/(MATCH(9.99E+307,'Returns (Calc)'!$A:$A)-3),"")</f>
        <v>112.379240506329</v>
      </c>
      <c r="AE60" s="156" t="n">
        <f aca="false">IFERROR('Price History'!J3+(INDEX('Price History'!J:J,MATCH(9.99E+307,'Returns (Calc)'!$A:$A)+1)-'Price History'!J3)*(ROW()-3)/(MATCH(9.99E+307,'Returns (Calc)'!$A:$A)-3),"")</f>
        <v>117.998164556962</v>
      </c>
      <c r="AF60" s="156" t="n">
        <f aca="false">IFERROR('Price History'!K3+(INDEX('Price History'!K:K,MATCH(9.99E+307,'Returns (Calc)'!$A:$A)+1)-'Price History'!K3)*(ROW()-3)/(MATCH(9.99E+307,'Returns (Calc)'!$A:$A)-3),"")</f>
        <v>77.8929113924051</v>
      </c>
      <c r="AG60" s="156" t="n">
        <f aca="false">IFERROR('Price History'!L3+(INDEX('Price History'!L:L,MATCH(9.99E+307,'Returns (Calc)'!$A:$A)+1)-'Price History'!L3)*(ROW()-3)/(MATCH(9.99E+307,'Returns (Calc)'!$A:$A)-3),"")</f>
        <v>225.374746835443</v>
      </c>
      <c r="AH60" s="156" t="n">
        <f aca="false">IFERROR('Price History'!M3+(INDEX('Price History'!M:M,MATCH(9.99E+307,'Returns (Calc)'!$A:$A)+1)-'Price History'!M3)*(ROW()-3)/(MATCH(9.99E+307,'Returns (Calc)'!$A:$A)-3),"")</f>
        <v>115.280253164557</v>
      </c>
      <c r="AI60" s="156" t="n">
        <f aca="false">IFERROR('Price History'!N3+(INDEX('Price History'!N:N,MATCH(9.99E+307,'Returns (Calc)'!$A:$A)+1)-'Price History'!N3)*(ROW()-3)/(MATCH(9.99E+307,'Returns (Calc)'!$A:$A)-3),"")</f>
        <v>405.117151898734</v>
      </c>
      <c r="AJ60" s="156" t="n">
        <f aca="false">IFERROR('Price History'!O3+(INDEX('Price History'!O:O,MATCH(9.99E+307,'Returns (Calc)'!$A:$A)+1)-'Price History'!O3)*(ROW()-3)/(MATCH(9.99E+307,'Returns (Calc)'!$A:$A)-3),"")</f>
        <v>91.443164556962</v>
      </c>
      <c r="AK60" s="156" t="n">
        <f aca="false">IFERROR('Price History'!Q3+(INDEX('Price History'!Q:Q,MATCH(9.99E+307,'Returns (Calc)'!$A:$A)+1)-'Price History'!Q3)*(ROW()-3)/(MATCH(9.99E+307,'Returns (Calc)'!$A:$A)-3),"")</f>
        <v>25.0439240506329</v>
      </c>
      <c r="AL60" s="156" t="n">
        <f aca="false">IFERROR('Price History'!R3+(INDEX('Price History'!R:R,MATCH(9.99E+307,'Returns (Calc)'!$A:$A)+1)-'Price History'!R3)*(ROW()-3)/(MATCH(9.99E+307,'Returns (Calc)'!$A:$A)-3),"")</f>
        <v>44.0617721518987</v>
      </c>
      <c r="AM60" s="156" t="n">
        <f aca="false">IFERROR('Price History'!S3+(INDEX('Price History'!S:S,MATCH(9.99E+307,'Returns (Calc)'!$A:$A)+1)-'Price History'!S3)*(ROW()-3)/(MATCH(9.99E+307,'Returns (Calc)'!$A:$A)-3),"")</f>
        <v>92.1186075949367</v>
      </c>
      <c r="AN60" s="156" t="n">
        <f aca="false">IFERROR('Price History'!T3+(INDEX('Price History'!T:T,MATCH(9.99E+307,'Returns (Calc)'!$A:$A)+1)-'Price History'!T3)*(ROW()-3)/(MATCH(9.99E+307,'Returns (Calc)'!$A:$A)-3),"")</f>
        <v>34.8289873417722</v>
      </c>
      <c r="AO60" s="157" t="n">
        <f aca="false">IFERROR('Price History'!V3+(INDEX('Price History'!V:V,MATCH(9.99E+307,'Returns (Calc)'!$A:$A)+1)-'Price History'!V3)*(ROW()-3)/(MATCH(9.99E+307,'Returns (Calc)'!$A:$A)-3),"")</f>
        <v>280.735759493671</v>
      </c>
      <c r="AP60" s="155" t="n">
        <f aca="false">IFERROR(IF(OR(NOT(ISNUMBER('Price History'!W61)),NOT(ISNUMBER('Price History'!W60)),'Price History'!W60=0),"",'Price History'!W61/'Price History'!W60-1),"")</f>
        <v>-0.0228200816718712</v>
      </c>
      <c r="AQ60" s="155" t="str">
        <f aca="false">IFERROR(IF(OR(NOT(ISNUMBER('Price History'!X61)),NOT(ISNUMBER('Price History'!X60)),'Price History'!X60=0),"",'Price History'!X61/'Price History'!X60-1),"")</f>
        <v/>
      </c>
      <c r="AR60" s="155" t="n">
        <f aca="false">IFERROR(IF(OR(NOT(ISNUMBER('Price History'!Y61)),NOT(ISNUMBER('Price History'!Y60)),'Price History'!Y60=0),"",'Price History'!Y61/'Price History'!Y60-1),"")</f>
        <v>-0.0111962286387741</v>
      </c>
      <c r="AS60" s="155" t="n">
        <f aca="false">IFERROR(IF(OR(NOT(ISNUMBER('Price History'!Z61)),NOT(ISNUMBER('Price History'!Z60)),'Price History'!Z60=0),"",'Price History'!Z61/'Price History'!Z60-1),"")</f>
        <v>-0.0701137972625728</v>
      </c>
      <c r="AT60" s="155" t="n">
        <f aca="false">IFERROR(IF(OR(NOT(ISNUMBER('Price History'!AA61)),NOT(ISNUMBER('Price History'!AA60)),'Price History'!AA60=0),"",'Price History'!AA61/'Price History'!AA60-1),"")</f>
        <v>-0.0120434611860192</v>
      </c>
      <c r="AU60" s="155" t="n">
        <f aca="false">IFERROR(IF(OR(NOT(ISNUMBER('Price History'!AB61)),NOT(ISNUMBER('Price History'!AB60)),'Price History'!AB60=0),"",'Price History'!AB61/'Price History'!AB60-1),"")</f>
        <v>-0.0410717513103199</v>
      </c>
    </row>
    <row r="61" customFormat="false" ht="15" hidden="false" customHeight="true" outlineLevel="0" collapsed="false">
      <c r="A61" s="153" t="n">
        <f aca="false">IF('Price History'!A62="","",'Price History'!A62)</f>
        <v>45597</v>
      </c>
      <c r="B61" s="154" t="n">
        <f aca="false">IFERROR(IF(OR(NOT(ISNUMBER('Price History'!B62)),NOT(ISNUMBER('Price History'!B61)),'Price History'!B61=0),"",'Price History'!B62/'Price History'!B61-1),"")</f>
        <v>-0.00190192673447454</v>
      </c>
      <c r="C61" s="154" t="n">
        <f aca="false">IFERROR(IF(OR(NOT(ISNUMBER('Price History'!C62)),NOT(ISNUMBER('Price History'!C61)),'Price History'!C61=0),"",'Price History'!C62/'Price History'!C61-1),"")</f>
        <v>0.000203004466098333</v>
      </c>
      <c r="D61" s="154" t="n">
        <f aca="false">IFERROR(IF(OR(NOT(ISNUMBER('Price History'!D62)),NOT(ISNUMBER('Price History'!D61)),'Price History'!D61=0),"",'Price History'!D62/'Price History'!D61-1),"")</f>
        <v>-0.0497449890709603</v>
      </c>
      <c r="E61" s="154" t="n">
        <f aca="false">IFERROR(IF(OR(NOT(ISNUMBER('Price History'!E62)),NOT(ISNUMBER('Price History'!E61)),'Price History'!E61=0),"",'Price History'!E62/'Price History'!E61-1),"")</f>
        <v>-0.0236387157473833</v>
      </c>
      <c r="F61" s="154" t="n">
        <f aca="false">IFERROR(IF(OR(NOT(ISNUMBER('Price History'!F62)),NOT(ISNUMBER('Price History'!F61)),'Price History'!F61=0),"",'Price History'!F62/'Price History'!F61-1),"")</f>
        <v>0.00838323353293413</v>
      </c>
      <c r="G61" s="154" t="n">
        <f aca="false">IFERROR(IF(OR(NOT(ISNUMBER('Price History'!G62)),NOT(ISNUMBER('Price History'!G61)),'Price History'!G61=0),"",'Price History'!G62/'Price History'!G61-1),"")</f>
        <v>-0.00557985220931989</v>
      </c>
      <c r="H61" s="154" t="n">
        <f aca="false">IFERROR(IF(OR(NOT(ISNUMBER('Price History'!H62)),NOT(ISNUMBER('Price History'!H61)),'Price History'!H61=0),"",'Price History'!H62/'Price History'!H61-1),"")</f>
        <v>-0.0758196721311476</v>
      </c>
      <c r="I61" s="154" t="n">
        <f aca="false">IFERROR(IF(OR(NOT(ISNUMBER('Price History'!I62)),NOT(ISNUMBER('Price History'!I61)),'Price History'!I61=0),"",'Price History'!I62/'Price History'!I61-1),"")</f>
        <v>-0.0433550580901105</v>
      </c>
      <c r="J61" s="154" t="n">
        <f aca="false">IFERROR(IF(OR(NOT(ISNUMBER('Price History'!J62)),NOT(ISNUMBER('Price History'!J61)),'Price History'!J61=0),"",'Price History'!J62/'Price History'!J61-1),"")</f>
        <v>-0.0352010187374933</v>
      </c>
      <c r="K61" s="154" t="n">
        <f aca="false">IFERROR(IF(OR(NOT(ISNUMBER('Price History'!K62)),NOT(ISNUMBER('Price History'!K61)),'Price History'!K61=0),"",'Price History'!K62/'Price History'!K61-1),"")</f>
        <v>-0.0655372269282211</v>
      </c>
      <c r="L61" s="154" t="n">
        <f aca="false">IFERROR(IF(OR(NOT(ISNUMBER('Price History'!L62)),NOT(ISNUMBER('Price History'!L61)),'Price History'!L61=0),"",'Price History'!L62/'Price History'!L61-1),"")</f>
        <v>-0.0515765085121385</v>
      </c>
      <c r="M61" s="154" t="n">
        <f aca="false">IFERROR(IF(OR(NOT(ISNUMBER('Price History'!M62)),NOT(ISNUMBER('Price History'!M61)),'Price History'!M61=0),"",'Price History'!M62/'Price History'!M61-1),"")</f>
        <v>-0.0470062555853441</v>
      </c>
      <c r="N61" s="154" t="n">
        <f aca="false">IFERROR(IF(OR(NOT(ISNUMBER('Price History'!N62)),NOT(ISNUMBER('Price History'!N61)),'Price History'!N61=0),"",'Price History'!N62/'Price History'!N61-1),"")</f>
        <v>-0.0137743353569185</v>
      </c>
      <c r="O61" s="154" t="n">
        <f aca="false">IFERROR(IF(OR(NOT(ISNUMBER('Price History'!O62)),NOT(ISNUMBER('Price History'!O61)),'Price History'!O61=0),"",'Price History'!O62/'Price History'!O61-1),"")</f>
        <v>-0.00238974581794482</v>
      </c>
      <c r="P61" s="154" t="n">
        <f aca="false">IFERROR(IF(OR(NOT(ISNUMBER('Price History'!P62)),NOT(ISNUMBER('Price History'!P61)),'Price History'!P61=0),"",'Price History'!P62/'Price History'!P61-1),"")</f>
        <v>-0.000963778009798411</v>
      </c>
      <c r="Q61" s="154" t="n">
        <f aca="false">IFERROR(IF(OR(NOT(ISNUMBER('Price History'!Q62)),NOT(ISNUMBER('Price History'!Q61)),'Price History'!Q61=0),"",'Price History'!Q62/'Price History'!Q61-1),"")</f>
        <v>-0.00884810748812059</v>
      </c>
      <c r="R61" s="154" t="n">
        <f aca="false">IFERROR(IF(OR(NOT(ISNUMBER('Price History'!R62)),NOT(ISNUMBER('Price History'!R61)),'Price History'!R61=0),"",'Price History'!R62/'Price History'!R61-1),"")</f>
        <v>-0.00837483023992747</v>
      </c>
      <c r="S61" s="154" t="n">
        <f aca="false">IFERROR(IF(OR(NOT(ISNUMBER('Price History'!S62)),NOT(ISNUMBER('Price History'!S61)),'Price History'!S61=0),"",'Price History'!S62/'Price History'!S61-1),"")</f>
        <v>-0.0137016332346815</v>
      </c>
      <c r="T61" s="154" t="n">
        <f aca="false">IFERROR(IF(OR(NOT(ISNUMBER('Price History'!T62)),NOT(ISNUMBER('Price History'!T61)),'Price History'!T61=0),"",'Price History'!T62/'Price History'!T61-1),"")</f>
        <v>0.000619770684846532</v>
      </c>
      <c r="U61" s="154" t="n">
        <f aca="false">IFERROR(IF(OR(NOT(ISNUMBER('Price History'!U62)),NOT(ISNUMBER('Price History'!U61)),'Price History'!U61=0),"",'Price History'!U62/'Price History'!U61-1),"")</f>
        <v>-0.00152730049637273</v>
      </c>
      <c r="V61" s="155" t="n">
        <f aca="false">IFERROR(IF(OR(NOT(ISNUMBER('Price History'!V62)),NOT(ISNUMBER('Price History'!V61)),'Price History'!V61=0),"",'Price History'!V62/'Price History'!V61-1),"")</f>
        <v>0.0319582057286976</v>
      </c>
      <c r="W61" s="156" t="n">
        <f aca="false">IFERROR('Price History'!B3+(INDEX('Price History'!B:B,MATCH(9.99E+307,'Returns (Calc)'!$A:$A)+1)-'Price History'!B3)*(ROW()-3)/(MATCH(9.99E+307,'Returns (Calc)'!$A:$A)-3),"")</f>
        <v>421.993797468354</v>
      </c>
      <c r="X61" s="156" t="n">
        <f aca="false">IFERROR('Price History'!C3+(INDEX('Price History'!C:C,MATCH(9.99E+307,'Returns (Calc)'!$A:$A)+1)-'Price History'!C3)*(ROW()-3)/(MATCH(9.99E+307,'Returns (Calc)'!$A:$A)-3),"")</f>
        <v>105.343670886076</v>
      </c>
      <c r="Y61" s="156" t="n">
        <f aca="false">IFERROR('Price History'!D3+(INDEX('Price History'!D:D,MATCH(9.99E+307,'Returns (Calc)'!$A:$A)+1)-'Price History'!D3)*(ROW()-3)/(MATCH(9.99E+307,'Returns (Calc)'!$A:$A)-3),"")</f>
        <v>1053.82898734177</v>
      </c>
      <c r="Z61" s="156" t="n">
        <f aca="false">IFERROR('Price History'!E3+(INDEX('Price History'!E:E,MATCH(9.99E+307,'Returns (Calc)'!$A:$A)+1)-'Price History'!E3)*(ROW()-3)/(MATCH(9.99E+307,'Returns (Calc)'!$A:$A)-3),"")</f>
        <v>182.266582278481</v>
      </c>
      <c r="AA61" s="156" t="n">
        <f aca="false">IFERROR('Price History'!F3+(INDEX('Price History'!F:F,MATCH(9.99E+307,'Returns (Calc)'!$A:$A)+1)-'Price History'!F3)*(ROW()-3)/(MATCH(9.99E+307,'Returns (Calc)'!$A:$A)-3),"")</f>
        <v>125.30582278481</v>
      </c>
      <c r="AB61" s="156" t="n">
        <f aca="false">IFERROR('Price History'!G3+(INDEX('Price History'!G:G,MATCH(9.99E+307,'Returns (Calc)'!$A:$A)+1)-'Price History'!G3)*(ROW()-3)/(MATCH(9.99E+307,'Returns (Calc)'!$A:$A)-3),"")</f>
        <v>104.016582278481</v>
      </c>
      <c r="AC61" s="156" t="n">
        <f aca="false">IFERROR('Price History'!H3+(INDEX('Price History'!H:H,MATCH(9.99E+307,'Returns (Calc)'!$A:$A)+1)-'Price History'!H3)*(ROW()-3)/(MATCH(9.99E+307,'Returns (Calc)'!$A:$A)-3),"")</f>
        <v>438.320379746836</v>
      </c>
      <c r="AD61" s="156" t="n">
        <f aca="false">IFERROR('Price History'!I3+(INDEX('Price History'!I:I,MATCH(9.99E+307,'Returns (Calc)'!$A:$A)+1)-'Price History'!I3)*(ROW()-3)/(MATCH(9.99E+307,'Returns (Calc)'!$A:$A)-3),"")</f>
        <v>113.582911392405</v>
      </c>
      <c r="AE61" s="156" t="n">
        <f aca="false">IFERROR('Price History'!J3+(INDEX('Price History'!J:J,MATCH(9.99E+307,'Returns (Calc)'!$A:$A)+1)-'Price History'!J3)*(ROW()-3)/(MATCH(9.99E+307,'Returns (Calc)'!$A:$A)-3),"")</f>
        <v>118.106202531646</v>
      </c>
      <c r="AF61" s="156" t="n">
        <f aca="false">IFERROR('Price History'!K3+(INDEX('Price History'!K:K,MATCH(9.99E+307,'Returns (Calc)'!$A:$A)+1)-'Price History'!K3)*(ROW()-3)/(MATCH(9.99E+307,'Returns (Calc)'!$A:$A)-3),"")</f>
        <v>78.9905063291139</v>
      </c>
      <c r="AG61" s="156" t="n">
        <f aca="false">IFERROR('Price History'!L3+(INDEX('Price History'!L:L,MATCH(9.99E+307,'Returns (Calc)'!$A:$A)+1)-'Price History'!L3)*(ROW()-3)/(MATCH(9.99E+307,'Returns (Calc)'!$A:$A)-3),"")</f>
        <v>227.824303797468</v>
      </c>
      <c r="AH61" s="156" t="n">
        <f aca="false">IFERROR('Price History'!M3+(INDEX('Price History'!M:M,MATCH(9.99E+307,'Returns (Calc)'!$A:$A)+1)-'Price History'!M3)*(ROW()-3)/(MATCH(9.99E+307,'Returns (Calc)'!$A:$A)-3),"")</f>
        <v>116.635696202532</v>
      </c>
      <c r="AI61" s="156" t="n">
        <f aca="false">IFERROR('Price History'!N3+(INDEX('Price History'!N:N,MATCH(9.99E+307,'Returns (Calc)'!$A:$A)+1)-'Price History'!N3)*(ROW()-3)/(MATCH(9.99E+307,'Returns (Calc)'!$A:$A)-3),"")</f>
        <v>406.103417721519</v>
      </c>
      <c r="AJ61" s="156" t="n">
        <f aca="false">IFERROR('Price History'!O3+(INDEX('Price History'!O:O,MATCH(9.99E+307,'Returns (Calc)'!$A:$A)+1)-'Price History'!O3)*(ROW()-3)/(MATCH(9.99E+307,'Returns (Calc)'!$A:$A)-3),"")</f>
        <v>91.7262025316456</v>
      </c>
      <c r="AK61" s="156" t="n">
        <f aca="false">IFERROR('Price History'!Q3+(INDEX('Price History'!Q:Q,MATCH(9.99E+307,'Returns (Calc)'!$A:$A)+1)-'Price History'!Q3)*(ROW()-3)/(MATCH(9.99E+307,'Returns (Calc)'!$A:$A)-3),"")</f>
        <v>25.4832911392405</v>
      </c>
      <c r="AL61" s="156" t="n">
        <f aca="false">IFERROR('Price History'!R3+(INDEX('Price History'!R:R,MATCH(9.99E+307,'Returns (Calc)'!$A:$A)+1)-'Price History'!R3)*(ROW()-3)/(MATCH(9.99E+307,'Returns (Calc)'!$A:$A)-3),"")</f>
        <v>44.2298734177215</v>
      </c>
      <c r="AM61" s="156" t="n">
        <f aca="false">IFERROR('Price History'!S3+(INDEX('Price History'!S:S,MATCH(9.99E+307,'Returns (Calc)'!$A:$A)+1)-'Price History'!S3)*(ROW()-3)/(MATCH(9.99E+307,'Returns (Calc)'!$A:$A)-3),"")</f>
        <v>92.723670886076</v>
      </c>
      <c r="AN61" s="156" t="n">
        <f aca="false">IFERROR('Price History'!T3+(INDEX('Price History'!T:T,MATCH(9.99E+307,'Returns (Calc)'!$A:$A)+1)-'Price History'!T3)*(ROW()-3)/(MATCH(9.99E+307,'Returns (Calc)'!$A:$A)-3),"")</f>
        <v>34.9972151898734</v>
      </c>
      <c r="AO61" s="157" t="n">
        <f aca="false">IFERROR('Price History'!V3+(INDEX('Price History'!V:V,MATCH(9.99E+307,'Returns (Calc)'!$A:$A)+1)-'Price History'!V3)*(ROW()-3)/(MATCH(9.99E+307,'Returns (Calc)'!$A:$A)-3),"")</f>
        <v>281.527088607595</v>
      </c>
      <c r="AP61" s="155" t="n">
        <f aca="false">IFERROR(IF(OR(NOT(ISNUMBER('Price History'!W62)),NOT(ISNUMBER('Price History'!W61)),'Price History'!W61=0),"",'Price History'!W62/'Price History'!W61-1),"")</f>
        <v>-0.00696492953130123</v>
      </c>
      <c r="AQ61" s="155" t="str">
        <f aca="false">IFERROR(IF(OR(NOT(ISNUMBER('Price History'!X62)),NOT(ISNUMBER('Price History'!X61)),'Price History'!X61=0),"",'Price History'!X62/'Price History'!X61-1),"")</f>
        <v/>
      </c>
      <c r="AR61" s="155" t="n">
        <f aca="false">IFERROR(IF(OR(NOT(ISNUMBER('Price History'!Y62)),NOT(ISNUMBER('Price History'!Y61)),'Price History'!Y61=0),"",'Price History'!Y62/'Price History'!Y61-1),"")</f>
        <v>-0.00655542312276536</v>
      </c>
      <c r="AS61" s="155" t="n">
        <f aca="false">IFERROR(IF(OR(NOT(ISNUMBER('Price History'!Z62)),NOT(ISNUMBER('Price History'!Z61)),'Price History'!Z61=0),"",'Price History'!Z62/'Price History'!Z61-1),"")</f>
        <v>-0.0413376945635009</v>
      </c>
      <c r="AT61" s="155" t="n">
        <f aca="false">IFERROR(IF(OR(NOT(ISNUMBER('Price History'!AA62)),NOT(ISNUMBER('Price History'!AA61)),'Price History'!AA61=0),"",'Price History'!AA62/'Price History'!AA61-1),"")</f>
        <v>0.00185504173843909</v>
      </c>
      <c r="AU61" s="155" t="n">
        <f aca="false">IFERROR(IF(OR(NOT(ISNUMBER('Price History'!AB62)),NOT(ISNUMBER('Price History'!AB61)),'Price History'!AB61=0),"",'Price History'!AB62/'Price History'!AB61-1),"")</f>
        <v>0.00259152805918106</v>
      </c>
    </row>
    <row r="62" customFormat="false" ht="15" hidden="false" customHeight="true" outlineLevel="0" collapsed="false">
      <c r="A62" s="153" t="n">
        <f aca="false">IF('Price History'!A63="","",'Price History'!A63)</f>
        <v>45604</v>
      </c>
      <c r="B62" s="154" t="n">
        <f aca="false">IFERROR(IF(OR(NOT(ISNUMBER('Price History'!B63)),NOT(ISNUMBER('Price History'!B62)),'Price History'!B62=0),"",'Price History'!B63/'Price History'!B62-1),"")</f>
        <v>0.0246064623032312</v>
      </c>
      <c r="C62" s="154" t="n">
        <f aca="false">IFERROR(IF(OR(NOT(ISNUMBER('Price History'!C63)),NOT(ISNUMBER('Price History'!C62)),'Price History'!C62=0),"",'Price History'!C63/'Price History'!C62-1),"")</f>
        <v>0.0159326161964684</v>
      </c>
      <c r="D62" s="154" t="n">
        <f aca="false">IFERROR(IF(OR(NOT(ISNUMBER('Price History'!D63)),NOT(ISNUMBER('Price History'!D62)),'Price History'!D62=0),"",'Price History'!D63/'Price History'!D62-1),"")</f>
        <v>-0.00780275125911445</v>
      </c>
      <c r="E62" s="154" t="n">
        <f aca="false">IFERROR(IF(OR(NOT(ISNUMBER('Price History'!E63)),NOT(ISNUMBER('Price History'!E62)),'Price History'!E62=0),"",'Price History'!E63/'Price History'!E62-1),"")</f>
        <v>0.0871476752589737</v>
      </c>
      <c r="F62" s="154" t="n">
        <f aca="false">IFERROR(IF(OR(NOT(ISNUMBER('Price History'!F63)),NOT(ISNUMBER('Price History'!F62)),'Price History'!F62=0),"",'Price History'!F63/'Price History'!F62-1),"")</f>
        <v>0.0888097123251519</v>
      </c>
      <c r="G62" s="154" t="n">
        <f aca="false">IFERROR(IF(OR(NOT(ISNUMBER('Price History'!G63)),NOT(ISNUMBER('Price History'!G62)),'Price History'!G62=0),"",'Price History'!G63/'Price History'!G62-1),"")</f>
        <v>0.02699423718532</v>
      </c>
      <c r="H62" s="154" t="n">
        <f aca="false">IFERROR(IF(OR(NOT(ISNUMBER('Price History'!H63)),NOT(ISNUMBER('Price History'!H62)),'Price History'!H62=0),"",'Price History'!H63/'Price History'!H62-1),"")</f>
        <v>0.122052005644023</v>
      </c>
      <c r="I62" s="154" t="n">
        <f aca="false">IFERROR(IF(OR(NOT(ISNUMBER('Price History'!I63)),NOT(ISNUMBER('Price History'!I62)),'Price History'!I62=0),"",'Price History'!I63/'Price History'!I62-1),"")</f>
        <v>0.0902695497630333</v>
      </c>
      <c r="J62" s="154" t="n">
        <f aca="false">IFERROR(IF(OR(NOT(ISNUMBER('Price History'!J63)),NOT(ISNUMBER('Price History'!J62)),'Price History'!J62=0),"",'Price History'!J63/'Price History'!J62-1),"")</f>
        <v>0.0214009616291129</v>
      </c>
      <c r="K62" s="154" t="n">
        <f aca="false">IFERROR(IF(OR(NOT(ISNUMBER('Price History'!K63)),NOT(ISNUMBER('Price History'!K62)),'Price History'!K62=0),"",'Price History'!K63/'Price History'!K62-1),"")</f>
        <v>0.392891221374046</v>
      </c>
      <c r="L62" s="154" t="n">
        <f aca="false">IFERROR(IF(OR(NOT(ISNUMBER('Price History'!L63)),NOT(ISNUMBER('Price History'!L62)),'Price History'!L62=0),"",'Price History'!L63/'Price History'!L62-1),"")</f>
        <v>0.0427509293680297</v>
      </c>
      <c r="M62" s="154" t="n">
        <f aca="false">IFERROR(IF(OR(NOT(ISNUMBER('Price History'!M63)),NOT(ISNUMBER('Price History'!M62)),'Price History'!M62=0),"",'Price History'!M63/'Price History'!M62-1),"")</f>
        <v>0.17638784696174</v>
      </c>
      <c r="N62" s="154" t="n">
        <f aca="false">IFERROR(IF(OR(NOT(ISNUMBER('Price History'!N63)),NOT(ISNUMBER('Price History'!N62)),'Price History'!N62=0),"",'Price History'!N63/'Price History'!N62-1),"")</f>
        <v>0.0968330786211582</v>
      </c>
      <c r="O62" s="154" t="n">
        <f aca="false">IFERROR(IF(OR(NOT(ISNUMBER('Price History'!O63)),NOT(ISNUMBER('Price History'!O62)),'Price History'!O62=0),"",'Price History'!O63/'Price History'!O62-1),"")</f>
        <v>0.0886324041811846</v>
      </c>
      <c r="P62" s="154" t="n">
        <f aca="false">IFERROR(IF(OR(NOT(ISNUMBER('Price History'!P63)),NOT(ISNUMBER('Price History'!P62)),'Price History'!P62=0),"",'Price History'!P63/'Price History'!P62-1),"")</f>
        <v>0.0347294798617253</v>
      </c>
      <c r="Q62" s="154" t="n">
        <f aca="false">IFERROR(IF(OR(NOT(ISNUMBER('Price History'!Q63)),NOT(ISNUMBER('Price History'!Q62)),'Price History'!Q62=0),"",'Price History'!Q63/'Price History'!Q62-1),"")</f>
        <v>0.0243015374442057</v>
      </c>
      <c r="R62" s="154" t="n">
        <f aca="false">IFERROR(IF(OR(NOT(ISNUMBER('Price History'!R63)),NOT(ISNUMBER('Price History'!R62)),'Price History'!R62=0),"",'Price History'!R63/'Price History'!R62-1),"")</f>
        <v>0.0385756676557862</v>
      </c>
      <c r="S62" s="154" t="n">
        <f aca="false">IFERROR(IF(OR(NOT(ISNUMBER('Price History'!S63)),NOT(ISNUMBER('Price History'!S62)),'Price History'!S62=0),"",'Price History'!S63/'Price History'!S62-1),"")</f>
        <v>0.0597910646810402</v>
      </c>
      <c r="T62" s="154" t="n">
        <f aca="false">IFERROR(IF(OR(NOT(ISNUMBER('Price History'!T63)),NOT(ISNUMBER('Price History'!T62)),'Price History'!T62=0),"",'Price History'!T63/'Price History'!T62-1),"")</f>
        <v>0.0774233508826263</v>
      </c>
      <c r="U62" s="154" t="n">
        <f aca="false">IFERROR(IF(OR(NOT(ISNUMBER('Price History'!U63)),NOT(ISNUMBER('Price History'!U62)),'Price History'!U62=0),"",'Price History'!U63/'Price History'!U62-1),"")</f>
        <v>0.0347992351816444</v>
      </c>
      <c r="V62" s="155" t="n">
        <f aca="false">IFERROR(IF(OR(NOT(ISNUMBER('Price History'!V63)),NOT(ISNUMBER('Price History'!V62)),'Price History'!V62=0),"",'Price History'!V63/'Price History'!V62-1),"")</f>
        <v>0.0589344319530758</v>
      </c>
      <c r="W62" s="156" t="n">
        <f aca="false">IFERROR('Price History'!B3+(INDEX('Price History'!B:B,MATCH(9.99E+307,'Returns (Calc)'!$A:$A)+1)-'Price History'!B3)*(ROW()-3)/(MATCH(9.99E+307,'Returns (Calc)'!$A:$A)-3),"")</f>
        <v>420.150759493671</v>
      </c>
      <c r="X62" s="156" t="n">
        <f aca="false">IFERROR('Price History'!C3+(INDEX('Price History'!C:C,MATCH(9.99E+307,'Returns (Calc)'!$A:$A)+1)-'Price History'!C3)*(ROW()-3)/(MATCH(9.99E+307,'Returns (Calc)'!$A:$A)-3),"")</f>
        <v>106.363734177215</v>
      </c>
      <c r="Y62" s="156" t="n">
        <f aca="false">IFERROR('Price History'!D3+(INDEX('Price History'!D:D,MATCH(9.99E+307,'Returns (Calc)'!$A:$A)+1)-'Price History'!D3)*(ROW()-3)/(MATCH(9.99E+307,'Returns (Calc)'!$A:$A)-3),"")</f>
        <v>1061.96379746835</v>
      </c>
      <c r="Z62" s="156" t="n">
        <f aca="false">IFERROR('Price History'!E3+(INDEX('Price History'!E:E,MATCH(9.99E+307,'Returns (Calc)'!$A:$A)+1)-'Price History'!E3)*(ROW()-3)/(MATCH(9.99E+307,'Returns (Calc)'!$A:$A)-3),"")</f>
        <v>183.995316455696</v>
      </c>
      <c r="AA62" s="156" t="n">
        <f aca="false">IFERROR('Price History'!F3+(INDEX('Price History'!F:F,MATCH(9.99E+307,'Returns (Calc)'!$A:$A)+1)-'Price History'!F3)*(ROW()-3)/(MATCH(9.99E+307,'Returns (Calc)'!$A:$A)-3),"")</f>
        <v>126.753164556962</v>
      </c>
      <c r="AB62" s="156" t="n">
        <f aca="false">IFERROR('Price History'!G3+(INDEX('Price History'!G:G,MATCH(9.99E+307,'Returns (Calc)'!$A:$A)+1)-'Price History'!G3)*(ROW()-3)/(MATCH(9.99E+307,'Returns (Calc)'!$A:$A)-3),"")</f>
        <v>105.045316455696</v>
      </c>
      <c r="AC62" s="156" t="n">
        <f aca="false">IFERROR('Price History'!H3+(INDEX('Price History'!H:H,MATCH(9.99E+307,'Returns (Calc)'!$A:$A)+1)-'Price History'!H3)*(ROW()-3)/(MATCH(9.99E+307,'Returns (Calc)'!$A:$A)-3),"")</f>
        <v>444.686075949367</v>
      </c>
      <c r="AD62" s="156" t="n">
        <f aca="false">IFERROR('Price History'!I3+(INDEX('Price History'!I:I,MATCH(9.99E+307,'Returns (Calc)'!$A:$A)+1)-'Price History'!I3)*(ROW()-3)/(MATCH(9.99E+307,'Returns (Calc)'!$A:$A)-3),"")</f>
        <v>114.786582278481</v>
      </c>
      <c r="AE62" s="156" t="n">
        <f aca="false">IFERROR('Price History'!J3+(INDEX('Price History'!J:J,MATCH(9.99E+307,'Returns (Calc)'!$A:$A)+1)-'Price History'!J3)*(ROW()-3)/(MATCH(9.99E+307,'Returns (Calc)'!$A:$A)-3),"")</f>
        <v>118.214240506329</v>
      </c>
      <c r="AF62" s="156" t="n">
        <f aca="false">IFERROR('Price History'!K3+(INDEX('Price History'!K:K,MATCH(9.99E+307,'Returns (Calc)'!$A:$A)+1)-'Price History'!K3)*(ROW()-3)/(MATCH(9.99E+307,'Returns (Calc)'!$A:$A)-3),"")</f>
        <v>80.0881012658228</v>
      </c>
      <c r="AG62" s="156" t="n">
        <f aca="false">IFERROR('Price History'!L3+(INDEX('Price History'!L:L,MATCH(9.99E+307,'Returns (Calc)'!$A:$A)+1)-'Price History'!L3)*(ROW()-3)/(MATCH(9.99E+307,'Returns (Calc)'!$A:$A)-3),"")</f>
        <v>230.273860759494</v>
      </c>
      <c r="AH62" s="156" t="n">
        <f aca="false">IFERROR('Price History'!M3+(INDEX('Price History'!M:M,MATCH(9.99E+307,'Returns (Calc)'!$A:$A)+1)-'Price History'!M3)*(ROW()-3)/(MATCH(9.99E+307,'Returns (Calc)'!$A:$A)-3),"")</f>
        <v>117.991139240506</v>
      </c>
      <c r="AI62" s="156" t="n">
        <f aca="false">IFERROR('Price History'!N3+(INDEX('Price History'!N:N,MATCH(9.99E+307,'Returns (Calc)'!$A:$A)+1)-'Price History'!N3)*(ROW()-3)/(MATCH(9.99E+307,'Returns (Calc)'!$A:$A)-3),"")</f>
        <v>407.089683544304</v>
      </c>
      <c r="AJ62" s="156" t="n">
        <f aca="false">IFERROR('Price History'!O3+(INDEX('Price History'!O:O,MATCH(9.99E+307,'Returns (Calc)'!$A:$A)+1)-'Price History'!O3)*(ROW()-3)/(MATCH(9.99E+307,'Returns (Calc)'!$A:$A)-3),"")</f>
        <v>92.0092405063291</v>
      </c>
      <c r="AK62" s="156" t="n">
        <f aca="false">IFERROR('Price History'!Q3+(INDEX('Price History'!Q:Q,MATCH(9.99E+307,'Returns (Calc)'!$A:$A)+1)-'Price History'!Q3)*(ROW()-3)/(MATCH(9.99E+307,'Returns (Calc)'!$A:$A)-3),"")</f>
        <v>25.9226582278481</v>
      </c>
      <c r="AL62" s="156" t="n">
        <f aca="false">IFERROR('Price History'!R3+(INDEX('Price History'!R:R,MATCH(9.99E+307,'Returns (Calc)'!$A:$A)+1)-'Price History'!R3)*(ROW()-3)/(MATCH(9.99E+307,'Returns (Calc)'!$A:$A)-3),"")</f>
        <v>44.3979746835443</v>
      </c>
      <c r="AM62" s="156" t="n">
        <f aca="false">IFERROR('Price History'!S3+(INDEX('Price History'!S:S,MATCH(9.99E+307,'Returns (Calc)'!$A:$A)+1)-'Price History'!S3)*(ROW()-3)/(MATCH(9.99E+307,'Returns (Calc)'!$A:$A)-3),"")</f>
        <v>93.3287341772152</v>
      </c>
      <c r="AN62" s="156" t="n">
        <f aca="false">IFERROR('Price History'!T3+(INDEX('Price History'!T:T,MATCH(9.99E+307,'Returns (Calc)'!$A:$A)+1)-'Price History'!T3)*(ROW()-3)/(MATCH(9.99E+307,'Returns (Calc)'!$A:$A)-3),"")</f>
        <v>35.1654430379747</v>
      </c>
      <c r="AO62" s="157" t="n">
        <f aca="false">IFERROR('Price History'!V3+(INDEX('Price History'!V:V,MATCH(9.99E+307,'Returns (Calc)'!$A:$A)+1)-'Price History'!V3)*(ROW()-3)/(MATCH(9.99E+307,'Returns (Calc)'!$A:$A)-3),"")</f>
        <v>282.318417721519</v>
      </c>
      <c r="AP62" s="155" t="n">
        <f aca="false">IFERROR(IF(OR(NOT(ISNUMBER('Price History'!W63)),NOT(ISNUMBER('Price History'!W62)),'Price History'!W62=0),"",'Price History'!W63/'Price History'!W62-1),"")</f>
        <v>0.0389471078471821</v>
      </c>
      <c r="AQ62" s="155" t="str">
        <f aca="false">IFERROR(IF(OR(NOT(ISNUMBER('Price History'!X63)),NOT(ISNUMBER('Price History'!X62)),'Price History'!X62=0),"",'Price History'!X63/'Price History'!X62-1),"")</f>
        <v/>
      </c>
      <c r="AR62" s="155" t="n">
        <f aca="false">IFERROR(IF(OR(NOT(ISNUMBER('Price History'!Y63)),NOT(ISNUMBER('Price History'!Y62)),'Price History'!Y62=0),"",'Price History'!Y63/'Price History'!Y62-1),"")</f>
        <v>0.0267946410717856</v>
      </c>
      <c r="AS62" s="155" t="n">
        <f aca="false">IFERROR(IF(OR(NOT(ISNUMBER('Price History'!Z63)),NOT(ISNUMBER('Price History'!Z62)),'Price History'!Z62=0),"",'Price History'!Z63/'Price History'!Z62-1),"")</f>
        <v>0.0763574327901642</v>
      </c>
      <c r="AT62" s="155" t="n">
        <f aca="false">IFERROR(IF(OR(NOT(ISNUMBER('Price History'!AA63)),NOT(ISNUMBER('Price History'!AA62)),'Price History'!AA62=0),"",'Price History'!AA63/'Price History'!AA62-1),"")</f>
        <v>0.0514482211347704</v>
      </c>
      <c r="AU62" s="155" t="n">
        <f aca="false">IFERROR(IF(OR(NOT(ISNUMBER('Price History'!AB63)),NOT(ISNUMBER('Price History'!AB62)),'Price History'!AB62=0),"",'Price History'!AB63/'Price History'!AB62-1),"")</f>
        <v>0.104427107810884</v>
      </c>
    </row>
    <row r="63" customFormat="false" ht="15" hidden="false" customHeight="true" outlineLevel="0" collapsed="false">
      <c r="A63" s="153" t="n">
        <f aca="false">IF('Price History'!A64="","",'Price History'!A64)</f>
        <v>45611</v>
      </c>
      <c r="B63" s="154" t="n">
        <f aca="false">IFERROR(IF(OR(NOT(ISNUMBER('Price History'!B64)),NOT(ISNUMBER('Price History'!B63)),'Price History'!B63=0),"",'Price History'!B64/'Price History'!B63-1),"")</f>
        <v>0.0175669119430744</v>
      </c>
      <c r="C63" s="154" t="n">
        <f aca="false">IFERROR(IF(OR(NOT(ISNUMBER('Price History'!C64)),NOT(ISNUMBER('Price History'!C63)),'Price History'!C63=0),"",'Price History'!C64/'Price History'!C63-1),"")</f>
        <v>-0.0650284686844471</v>
      </c>
      <c r="D63" s="154" t="n">
        <f aca="false">IFERROR(IF(OR(NOT(ISNUMBER('Price History'!D64)),NOT(ISNUMBER('Price History'!D63)),'Price History'!D63=0),"",'Price History'!D64/'Price History'!D63-1),"")</f>
        <v>-0.0161827989575126</v>
      </c>
      <c r="E63" s="154" t="n">
        <f aca="false">IFERROR(IF(OR(NOT(ISNUMBER('Price History'!E64)),NOT(ISNUMBER('Price History'!E63)),'Price History'!E63=0),"",'Price History'!E64/'Price History'!E63-1),"")</f>
        <v>-0.102376599634369</v>
      </c>
      <c r="F63" s="154" t="n">
        <f aca="false">IFERROR(IF(OR(NOT(ISNUMBER('Price History'!F64)),NOT(ISNUMBER('Price History'!F63)),'Price History'!F63=0),"",'Price History'!F64/'Price History'!F63-1),"")</f>
        <v>0.020361168343231</v>
      </c>
      <c r="G63" s="154" t="n">
        <f aca="false">IFERROR(IF(OR(NOT(ISNUMBER('Price History'!G64)),NOT(ISNUMBER('Price History'!G63)),'Price History'!G63=0),"",'Price History'!G64/'Price History'!G63-1),"")</f>
        <v>-0.106172474896633</v>
      </c>
      <c r="H63" s="154" t="n">
        <f aca="false">IFERROR(IF(OR(NOT(ISNUMBER('Price History'!H64)),NOT(ISNUMBER('Price History'!H63)),'Price History'!H63=0),"",'Price History'!H64/'Price History'!H63-1),"")</f>
        <v>-0.139046079223929</v>
      </c>
      <c r="I63" s="154" t="n">
        <f aca="false">IFERROR(IF(OR(NOT(ISNUMBER('Price History'!I64)),NOT(ISNUMBER('Price History'!I63)),'Price History'!I63=0),"",'Price History'!I64/'Price History'!I63-1),"")</f>
        <v>-0.038239489234531</v>
      </c>
      <c r="J63" s="154" t="n">
        <f aca="false">IFERROR(IF(OR(NOT(ISNUMBER('Price History'!J64)),NOT(ISNUMBER('Price History'!J63)),'Price History'!J63=0),"",'Price History'!J64/'Price History'!J63-1),"")</f>
        <v>-0.0207679527413698</v>
      </c>
      <c r="K63" s="154" t="n">
        <f aca="false">IFERROR(IF(OR(NOT(ISNUMBER('Price History'!K64)),NOT(ISNUMBER('Price History'!K63)),'Price History'!K63=0),"",'Price History'!K64/'Price History'!K63-1),"")</f>
        <v>0.126391505394759</v>
      </c>
      <c r="L63" s="154" t="n">
        <f aca="false">IFERROR(IF(OR(NOT(ISNUMBER('Price History'!L64)),NOT(ISNUMBER('Price History'!L63)),'Price History'!L63=0),"",'Price History'!L64/'Price History'!L63-1),"")</f>
        <v>-0.0754774637127578</v>
      </c>
      <c r="M63" s="154" t="n">
        <f aca="false">IFERROR(IF(OR(NOT(ISNUMBER('Price History'!M64)),NOT(ISNUMBER('Price History'!M63)),'Price History'!M63=0),"",'Price History'!M64/'Price History'!M63-1),"")</f>
        <v>-0.0388202471104026</v>
      </c>
      <c r="N63" s="154" t="n">
        <f aca="false">IFERROR(IF(OR(NOT(ISNUMBER('Price History'!N64)),NOT(ISNUMBER('Price History'!N63)),'Price History'!N63=0),"",'Price History'!N64/'Price History'!N63-1),"")</f>
        <v>-0.0987730773696637</v>
      </c>
      <c r="O63" s="154" t="n">
        <f aca="false">IFERROR(IF(OR(NOT(ISNUMBER('Price History'!O64)),NOT(ISNUMBER('Price History'!O63)),'Price History'!O63=0),"",'Price History'!O64/'Price History'!O63-1),"")</f>
        <v>-0.0194038807761552</v>
      </c>
      <c r="P63" s="154" t="n">
        <f aca="false">IFERROR(IF(OR(NOT(ISNUMBER('Price History'!P64)),NOT(ISNUMBER('Price History'!P63)),'Price History'!P63=0),"",'Price History'!P64/'Price History'!P63-1),"")</f>
        <v>0.00124310465387301</v>
      </c>
      <c r="Q63" s="154" t="n">
        <f aca="false">IFERROR(IF(OR(NOT(ISNUMBER('Price History'!Q64)),NOT(ISNUMBER('Price History'!Q63)),'Price History'!Q63=0),"",'Price History'!Q64/'Price History'!Q63-1),"")</f>
        <v>-0.00952227243382831</v>
      </c>
      <c r="R63" s="154" t="n">
        <f aca="false">IFERROR(IF(OR(NOT(ISNUMBER('Price History'!R64)),NOT(ISNUMBER('Price History'!R63)),'Price History'!R63=0),"",'Price History'!R64/'Price History'!R63-1),"")</f>
        <v>-0.0164835164835165</v>
      </c>
      <c r="S63" s="154" t="n">
        <f aca="false">IFERROR(IF(OR(NOT(ISNUMBER('Price History'!S64)),NOT(ISNUMBER('Price History'!S63)),'Price History'!S63=0),"",'Price History'!S64/'Price History'!S63-1),"")</f>
        <v>-0.0308305369127516</v>
      </c>
      <c r="T63" s="154" t="n">
        <f aca="false">IFERROR(IF(OR(NOT(ISNUMBER('Price History'!T64)),NOT(ISNUMBER('Price History'!T63)),'Price History'!T63=0),"",'Price History'!T64/'Price History'!T63-1),"")</f>
        <v>-0.0152342627191722</v>
      </c>
      <c r="U63" s="154" t="n">
        <f aca="false">IFERROR(IF(OR(NOT(ISNUMBER('Price History'!U64)),NOT(ISNUMBER('Price History'!U63)),'Price History'!U63=0),"",'Price History'!U64/'Price History'!U63-1),"")</f>
        <v>-0.0155210643015521</v>
      </c>
      <c r="V63" s="155" t="n">
        <f aca="false">IFERROR(IF(OR(NOT(ISNUMBER('Price History'!V64)),NOT(ISNUMBER('Price History'!V63)),'Price History'!V63=0),"",'Price History'!V64/'Price History'!V63-1),"")</f>
        <v>0.00764919221892524</v>
      </c>
      <c r="W63" s="156" t="n">
        <f aca="false">IFERROR('Price History'!B3+(INDEX('Price History'!B:B,MATCH(9.99E+307,'Returns (Calc)'!$A:$A)+1)-'Price History'!B3)*(ROW()-3)/(MATCH(9.99E+307,'Returns (Calc)'!$A:$A)-3),"")</f>
        <v>418.307721518987</v>
      </c>
      <c r="X63" s="156" t="n">
        <f aca="false">IFERROR('Price History'!C3+(INDEX('Price History'!C:C,MATCH(9.99E+307,'Returns (Calc)'!$A:$A)+1)-'Price History'!C3)*(ROW()-3)/(MATCH(9.99E+307,'Returns (Calc)'!$A:$A)-3),"")</f>
        <v>107.383797468354</v>
      </c>
      <c r="Y63" s="156" t="n">
        <f aca="false">IFERROR('Price History'!D3+(INDEX('Price History'!D:D,MATCH(9.99E+307,'Returns (Calc)'!$A:$A)+1)-'Price History'!D3)*(ROW()-3)/(MATCH(9.99E+307,'Returns (Calc)'!$A:$A)-3),"")</f>
        <v>1070.09860759494</v>
      </c>
      <c r="Z63" s="156" t="n">
        <f aca="false">IFERROR('Price History'!E3+(INDEX('Price History'!E:E,MATCH(9.99E+307,'Returns (Calc)'!$A:$A)+1)-'Price History'!E3)*(ROW()-3)/(MATCH(9.99E+307,'Returns (Calc)'!$A:$A)-3),"")</f>
        <v>185.724050632911</v>
      </c>
      <c r="AA63" s="156" t="n">
        <f aca="false">IFERROR('Price History'!F3+(INDEX('Price History'!F:F,MATCH(9.99E+307,'Returns (Calc)'!$A:$A)+1)-'Price History'!F3)*(ROW()-3)/(MATCH(9.99E+307,'Returns (Calc)'!$A:$A)-3),"")</f>
        <v>128.200506329114</v>
      </c>
      <c r="AB63" s="156" t="n">
        <f aca="false">IFERROR('Price History'!G3+(INDEX('Price History'!G:G,MATCH(9.99E+307,'Returns (Calc)'!$A:$A)+1)-'Price History'!G3)*(ROW()-3)/(MATCH(9.99E+307,'Returns (Calc)'!$A:$A)-3),"")</f>
        <v>106.074050632911</v>
      </c>
      <c r="AC63" s="156" t="n">
        <f aca="false">IFERROR('Price History'!H3+(INDEX('Price History'!H:H,MATCH(9.99E+307,'Returns (Calc)'!$A:$A)+1)-'Price History'!H3)*(ROW()-3)/(MATCH(9.99E+307,'Returns (Calc)'!$A:$A)-3),"")</f>
        <v>451.051772151899</v>
      </c>
      <c r="AD63" s="156" t="n">
        <f aca="false">IFERROR('Price History'!I3+(INDEX('Price History'!I:I,MATCH(9.99E+307,'Returns (Calc)'!$A:$A)+1)-'Price History'!I3)*(ROW()-3)/(MATCH(9.99E+307,'Returns (Calc)'!$A:$A)-3),"")</f>
        <v>115.990253164557</v>
      </c>
      <c r="AE63" s="156" t="n">
        <f aca="false">IFERROR('Price History'!J3+(INDEX('Price History'!J:J,MATCH(9.99E+307,'Returns (Calc)'!$A:$A)+1)-'Price History'!J3)*(ROW()-3)/(MATCH(9.99E+307,'Returns (Calc)'!$A:$A)-3),"")</f>
        <v>118.322278481013</v>
      </c>
      <c r="AF63" s="156" t="n">
        <f aca="false">IFERROR('Price History'!K3+(INDEX('Price History'!K:K,MATCH(9.99E+307,'Returns (Calc)'!$A:$A)+1)-'Price History'!K3)*(ROW()-3)/(MATCH(9.99E+307,'Returns (Calc)'!$A:$A)-3),"")</f>
        <v>81.1856962025316</v>
      </c>
      <c r="AG63" s="156" t="n">
        <f aca="false">IFERROR('Price History'!L3+(INDEX('Price History'!L:L,MATCH(9.99E+307,'Returns (Calc)'!$A:$A)+1)-'Price History'!L3)*(ROW()-3)/(MATCH(9.99E+307,'Returns (Calc)'!$A:$A)-3),"")</f>
        <v>232.723417721519</v>
      </c>
      <c r="AH63" s="156" t="n">
        <f aca="false">IFERROR('Price History'!M3+(INDEX('Price History'!M:M,MATCH(9.99E+307,'Returns (Calc)'!$A:$A)+1)-'Price History'!M3)*(ROW()-3)/(MATCH(9.99E+307,'Returns (Calc)'!$A:$A)-3),"")</f>
        <v>119.346582278481</v>
      </c>
      <c r="AI63" s="156" t="n">
        <f aca="false">IFERROR('Price History'!N3+(INDEX('Price History'!N:N,MATCH(9.99E+307,'Returns (Calc)'!$A:$A)+1)-'Price History'!N3)*(ROW()-3)/(MATCH(9.99E+307,'Returns (Calc)'!$A:$A)-3),"")</f>
        <v>408.075949367089</v>
      </c>
      <c r="AJ63" s="156" t="n">
        <f aca="false">IFERROR('Price History'!O3+(INDEX('Price History'!O:O,MATCH(9.99E+307,'Returns (Calc)'!$A:$A)+1)-'Price History'!O3)*(ROW()-3)/(MATCH(9.99E+307,'Returns (Calc)'!$A:$A)-3),"")</f>
        <v>92.2922784810127</v>
      </c>
      <c r="AK63" s="156" t="n">
        <f aca="false">IFERROR('Price History'!Q3+(INDEX('Price History'!Q:Q,MATCH(9.99E+307,'Returns (Calc)'!$A:$A)+1)-'Price History'!Q3)*(ROW()-3)/(MATCH(9.99E+307,'Returns (Calc)'!$A:$A)-3),"")</f>
        <v>26.3620253164557</v>
      </c>
      <c r="AL63" s="156" t="n">
        <f aca="false">IFERROR('Price History'!R3+(INDEX('Price History'!R:R,MATCH(9.99E+307,'Returns (Calc)'!$A:$A)+1)-'Price History'!R3)*(ROW()-3)/(MATCH(9.99E+307,'Returns (Calc)'!$A:$A)-3),"")</f>
        <v>44.5660759493671</v>
      </c>
      <c r="AM63" s="156" t="n">
        <f aca="false">IFERROR('Price History'!S3+(INDEX('Price History'!S:S,MATCH(9.99E+307,'Returns (Calc)'!$A:$A)+1)-'Price History'!S3)*(ROW()-3)/(MATCH(9.99E+307,'Returns (Calc)'!$A:$A)-3),"")</f>
        <v>93.9337974683544</v>
      </c>
      <c r="AN63" s="156" t="n">
        <f aca="false">IFERROR('Price History'!T3+(INDEX('Price History'!T:T,MATCH(9.99E+307,'Returns (Calc)'!$A:$A)+1)-'Price History'!T3)*(ROW()-3)/(MATCH(9.99E+307,'Returns (Calc)'!$A:$A)-3),"")</f>
        <v>35.333670886076</v>
      </c>
      <c r="AO63" s="157" t="n">
        <f aca="false">IFERROR('Price History'!V3+(INDEX('Price History'!V:V,MATCH(9.99E+307,'Returns (Calc)'!$A:$A)+1)-'Price History'!V3)*(ROW()-3)/(MATCH(9.99E+307,'Returns (Calc)'!$A:$A)-3),"")</f>
        <v>283.109746835443</v>
      </c>
      <c r="AP63" s="155" t="n">
        <f aca="false">IFERROR(IF(OR(NOT(ISNUMBER('Price History'!W64)),NOT(ISNUMBER('Price History'!W63)),'Price History'!W63=0),"",'Price History'!W64/'Price History'!W63-1),"")</f>
        <v>-0.0135811293781272</v>
      </c>
      <c r="AQ63" s="155" t="str">
        <f aca="false">IFERROR(IF(OR(NOT(ISNUMBER('Price History'!X64)),NOT(ISNUMBER('Price History'!X63)),'Price History'!X63=0),"",'Price History'!X64/'Price History'!X63-1),"")</f>
        <v/>
      </c>
      <c r="AR63" s="155" t="n">
        <f aca="false">IFERROR(IF(OR(NOT(ISNUMBER('Price History'!Y64)),NOT(ISNUMBER('Price History'!Y63)),'Price History'!Y63=0),"",'Price History'!Y64/'Price History'!Y63-1),"")</f>
        <v>-0.0126582278481012</v>
      </c>
      <c r="AS63" s="155" t="n">
        <f aca="false">IFERROR(IF(OR(NOT(ISNUMBER('Price History'!Z64)),NOT(ISNUMBER('Price History'!Z63)),'Price History'!Z63=0),"",'Price History'!Z64/'Price History'!Z63-1),"")</f>
        <v>-0.0426299393343171</v>
      </c>
      <c r="AT63" s="155" t="n">
        <f aca="false">IFERROR(IF(OR(NOT(ISNUMBER('Price History'!AA64)),NOT(ISNUMBER('Price History'!AA63)),'Price History'!AA63=0),"",'Price History'!AA64/'Price History'!AA63-1),"")</f>
        <v>0.0364779874213836</v>
      </c>
      <c r="AU63" s="155" t="n">
        <f aca="false">IFERROR(IF(OR(NOT(ISNUMBER('Price History'!AB64)),NOT(ISNUMBER('Price History'!AB63)),'Price History'!AB63=0),"",'Price History'!AB64/'Price History'!AB63-1),"")</f>
        <v>-0.0920851063829786</v>
      </c>
    </row>
    <row r="64" customFormat="false" ht="15" hidden="false" customHeight="true" outlineLevel="0" collapsed="false">
      <c r="A64" s="153" t="n">
        <f aca="false">IF('Price History'!A65="","",'Price History'!A65)</f>
        <v>45618</v>
      </c>
      <c r="B64" s="154" t="n">
        <f aca="false">IFERROR(IF(OR(NOT(ISNUMBER('Price History'!B65)),NOT(ISNUMBER('Price History'!B64)),'Price History'!B64=0),"",'Price History'!B65/'Price History'!B64-1),"")</f>
        <v>0.0174424379680951</v>
      </c>
      <c r="C64" s="154" t="n">
        <f aca="false">IFERROR(IF(OR(NOT(ISNUMBER('Price History'!C65)),NOT(ISNUMBER('Price History'!C64)),'Price History'!C64=0),"",'Price History'!C65/'Price History'!C64-1),"")</f>
        <v>0.0856837606837608</v>
      </c>
      <c r="D64" s="154" t="n">
        <f aca="false">IFERROR(IF(OR(NOT(ISNUMBER('Price History'!D65)),NOT(ISNUMBER('Price History'!D64)),'Price History'!D64=0),"",'Price History'!D65/'Price History'!D64-1),"")</f>
        <v>0.0216239526860524</v>
      </c>
      <c r="E64" s="154" t="n">
        <f aca="false">IFERROR(IF(OR(NOT(ISNUMBER('Price History'!E65)),NOT(ISNUMBER('Price History'!E64)),'Price History'!E64=0),"",'Price History'!E65/'Price History'!E64-1),"")</f>
        <v>-0.00370301795963712</v>
      </c>
      <c r="F64" s="154" t="n">
        <f aca="false">IFERROR(IF(OR(NOT(ISNUMBER('Price History'!F65)),NOT(ISNUMBER('Price History'!F64)),'Price History'!F64=0),"",'Price History'!F65/'Price History'!F64-1),"")</f>
        <v>0.10547570970424</v>
      </c>
      <c r="G64" s="154" t="n">
        <f aca="false">IFERROR(IF(OR(NOT(ISNUMBER('Price History'!G65)),NOT(ISNUMBER('Price History'!G64)),'Price History'!G64=0),"",'Price History'!G65/'Price History'!G64-1),"")</f>
        <v>0.0437799438295059</v>
      </c>
      <c r="H64" s="154" t="n">
        <f aca="false">IFERROR(IF(OR(NOT(ISNUMBER('Price History'!H65)),NOT(ISNUMBER('Price History'!H64)),'Price History'!H64=0),"",'Price History'!H65/'Price History'!H64-1),"")</f>
        <v>0.0653103808033386</v>
      </c>
      <c r="I64" s="154" t="n">
        <f aca="false">IFERROR(IF(OR(NOT(ISNUMBER('Price History'!I65)),NOT(ISNUMBER('Price History'!I64)),'Price History'!I64=0),"",'Price History'!I65/'Price History'!I64-1),"")</f>
        <v>-0.000211864406779672</v>
      </c>
      <c r="J64" s="154" t="n">
        <f aca="false">IFERROR(IF(OR(NOT(ISNUMBER('Price History'!J65)),NOT(ISNUMBER('Price History'!J64)),'Price History'!J64=0),"",'Price History'!J65/'Price History'!J64-1),"")</f>
        <v>0.0209256291827693</v>
      </c>
      <c r="K64" s="154" t="n">
        <f aca="false">IFERROR(IF(OR(NOT(ISNUMBER('Price History'!K65)),NOT(ISNUMBER('Price History'!K64)),'Price History'!K64=0),"",'Price History'!K65/'Price History'!K64-1),"")</f>
        <v>-0.0215903907556637</v>
      </c>
      <c r="L64" s="154" t="n">
        <f aca="false">IFERROR(IF(OR(NOT(ISNUMBER('Price History'!L65)),NOT(ISNUMBER('Price History'!L64)),'Price History'!L64=0),"",'Price History'!L65/'Price History'!L64-1),"")</f>
        <v>0.0218696634165152</v>
      </c>
      <c r="M64" s="154" t="n">
        <f aca="false">IFERROR(IF(OR(NOT(ISNUMBER('Price History'!M65)),NOT(ISNUMBER('Price History'!M64)),'Price History'!M64=0),"",'Price History'!M65/'Price History'!M64-1),"")</f>
        <v>0.159479183944269</v>
      </c>
      <c r="N64" s="154" t="n">
        <f aca="false">IFERROR(IF(OR(NOT(ISNUMBER('Price History'!N65)),NOT(ISNUMBER('Price History'!N64)),'Price History'!N64=0),"",'Price History'!N65/'Price History'!N64-1),"")</f>
        <v>-0.0316298045952329</v>
      </c>
      <c r="O64" s="154" t="n">
        <f aca="false">IFERROR(IF(OR(NOT(ISNUMBER('Price History'!O65)),NOT(ISNUMBER('Price History'!O64)),'Price History'!O64=0),"",'Price History'!O65/'Price History'!O64-1),"")</f>
        <v>0.036515707874337</v>
      </c>
      <c r="P64" s="154" t="n">
        <f aca="false">IFERROR(IF(OR(NOT(ISNUMBER('Price History'!P65)),NOT(ISNUMBER('Price History'!P64)),'Price History'!P64=0),"",'Price History'!P65/'Price History'!P64-1),"")</f>
        <v>0.0271591526344379</v>
      </c>
      <c r="Q64" s="154" t="n">
        <f aca="false">IFERROR(IF(OR(NOT(ISNUMBER('Price History'!Q65)),NOT(ISNUMBER('Price History'!Q64)),'Price History'!Q64=0),"",'Price History'!Q65/'Price History'!Q64-1),"")</f>
        <v>0.00749551898321665</v>
      </c>
      <c r="R64" s="154" t="n">
        <f aca="false">IFERROR(IF(OR(NOT(ISNUMBER('Price History'!R65)),NOT(ISNUMBER('Price History'!R64)),'Price History'!R64=0),"",'Price History'!R65/'Price History'!R64-1),"")</f>
        <v>0.0172067039106145</v>
      </c>
      <c r="S64" s="154" t="n">
        <f aca="false">IFERROR(IF(OR(NOT(ISNUMBER('Price History'!S65)),NOT(ISNUMBER('Price History'!S64)),'Price History'!S64=0),"",'Price History'!S65/'Price History'!S64-1),"")</f>
        <v>0.0178532785111447</v>
      </c>
      <c r="T64" s="154" t="n">
        <f aca="false">IFERROR(IF(OR(NOT(ISNUMBER('Price History'!T65)),NOT(ISNUMBER('Price History'!T64)),'Price History'!T64=0),"",'Price History'!T65/'Price History'!T64-1),"")</f>
        <v>0.0385288966725044</v>
      </c>
      <c r="U64" s="154" t="n">
        <f aca="false">IFERROR(IF(OR(NOT(ISNUMBER('Price History'!U65)),NOT(ISNUMBER('Price History'!U64)),'Price History'!U64=0),"",'Price History'!U65/'Price History'!U64-1),"")</f>
        <v>0.0251501501501501</v>
      </c>
      <c r="V64" s="155" t="n">
        <f aca="false">IFERROR(IF(OR(NOT(ISNUMBER('Price History'!V65)),NOT(ISNUMBER('Price History'!V64)),'Price History'!V64=0),"",'Price History'!V65/'Price History'!V64-1),"")</f>
        <v>0.000916170407695649</v>
      </c>
      <c r="W64" s="156" t="n">
        <f aca="false">IFERROR('Price History'!B3+(INDEX('Price History'!B:B,MATCH(9.99E+307,'Returns (Calc)'!$A:$A)+1)-'Price History'!B3)*(ROW()-3)/(MATCH(9.99E+307,'Returns (Calc)'!$A:$A)-3),"")</f>
        <v>416.464683544304</v>
      </c>
      <c r="X64" s="156" t="n">
        <f aca="false">IFERROR('Price History'!C3+(INDEX('Price History'!C:C,MATCH(9.99E+307,'Returns (Calc)'!$A:$A)+1)-'Price History'!C3)*(ROW()-3)/(MATCH(9.99E+307,'Returns (Calc)'!$A:$A)-3),"")</f>
        <v>108.403860759494</v>
      </c>
      <c r="Y64" s="156" t="n">
        <f aca="false">IFERROR('Price History'!D3+(INDEX('Price History'!D:D,MATCH(9.99E+307,'Returns (Calc)'!$A:$A)+1)-'Price History'!D3)*(ROW()-3)/(MATCH(9.99E+307,'Returns (Calc)'!$A:$A)-3),"")</f>
        <v>1078.23341772152</v>
      </c>
      <c r="Z64" s="156" t="n">
        <f aca="false">IFERROR('Price History'!E3+(INDEX('Price History'!E:E,MATCH(9.99E+307,'Returns (Calc)'!$A:$A)+1)-'Price History'!E3)*(ROW()-3)/(MATCH(9.99E+307,'Returns (Calc)'!$A:$A)-3),"")</f>
        <v>187.452784810127</v>
      </c>
      <c r="AA64" s="156" t="n">
        <f aca="false">IFERROR('Price History'!F3+(INDEX('Price History'!F:F,MATCH(9.99E+307,'Returns (Calc)'!$A:$A)+1)-'Price History'!F3)*(ROW()-3)/(MATCH(9.99E+307,'Returns (Calc)'!$A:$A)-3),"")</f>
        <v>129.647848101266</v>
      </c>
      <c r="AB64" s="156" t="n">
        <f aca="false">IFERROR('Price History'!G3+(INDEX('Price History'!G:G,MATCH(9.99E+307,'Returns (Calc)'!$A:$A)+1)-'Price History'!G3)*(ROW()-3)/(MATCH(9.99E+307,'Returns (Calc)'!$A:$A)-3),"")</f>
        <v>107.102784810127</v>
      </c>
      <c r="AC64" s="156" t="n">
        <f aca="false">IFERROR('Price History'!H3+(INDEX('Price History'!H:H,MATCH(9.99E+307,'Returns (Calc)'!$A:$A)+1)-'Price History'!H3)*(ROW()-3)/(MATCH(9.99E+307,'Returns (Calc)'!$A:$A)-3),"")</f>
        <v>457.41746835443</v>
      </c>
      <c r="AD64" s="156" t="n">
        <f aca="false">IFERROR('Price History'!I3+(INDEX('Price History'!I:I,MATCH(9.99E+307,'Returns (Calc)'!$A:$A)+1)-'Price History'!I3)*(ROW()-3)/(MATCH(9.99E+307,'Returns (Calc)'!$A:$A)-3),"")</f>
        <v>117.193924050633</v>
      </c>
      <c r="AE64" s="156" t="n">
        <f aca="false">IFERROR('Price History'!J3+(INDEX('Price History'!J:J,MATCH(9.99E+307,'Returns (Calc)'!$A:$A)+1)-'Price History'!J3)*(ROW()-3)/(MATCH(9.99E+307,'Returns (Calc)'!$A:$A)-3),"")</f>
        <v>118.430316455696</v>
      </c>
      <c r="AF64" s="156" t="n">
        <f aca="false">IFERROR('Price History'!K3+(INDEX('Price History'!K:K,MATCH(9.99E+307,'Returns (Calc)'!$A:$A)+1)-'Price History'!K3)*(ROW()-3)/(MATCH(9.99E+307,'Returns (Calc)'!$A:$A)-3),"")</f>
        <v>82.2832911392405</v>
      </c>
      <c r="AG64" s="156" t="n">
        <f aca="false">IFERROR('Price History'!L3+(INDEX('Price History'!L:L,MATCH(9.99E+307,'Returns (Calc)'!$A:$A)+1)-'Price History'!L3)*(ROW()-3)/(MATCH(9.99E+307,'Returns (Calc)'!$A:$A)-3),"")</f>
        <v>235.172974683544</v>
      </c>
      <c r="AH64" s="156" t="n">
        <f aca="false">IFERROR('Price History'!M3+(INDEX('Price History'!M:M,MATCH(9.99E+307,'Returns (Calc)'!$A:$A)+1)-'Price History'!M3)*(ROW()-3)/(MATCH(9.99E+307,'Returns (Calc)'!$A:$A)-3),"")</f>
        <v>120.702025316456</v>
      </c>
      <c r="AI64" s="156" t="n">
        <f aca="false">IFERROR('Price History'!N3+(INDEX('Price History'!N:N,MATCH(9.99E+307,'Returns (Calc)'!$A:$A)+1)-'Price History'!N3)*(ROW()-3)/(MATCH(9.99E+307,'Returns (Calc)'!$A:$A)-3),"")</f>
        <v>409.062215189873</v>
      </c>
      <c r="AJ64" s="156" t="n">
        <f aca="false">IFERROR('Price History'!O3+(INDEX('Price History'!O:O,MATCH(9.99E+307,'Returns (Calc)'!$A:$A)+1)-'Price History'!O3)*(ROW()-3)/(MATCH(9.99E+307,'Returns (Calc)'!$A:$A)-3),"")</f>
        <v>92.5753164556962</v>
      </c>
      <c r="AK64" s="156" t="n">
        <f aca="false">IFERROR('Price History'!Q3+(INDEX('Price History'!Q:Q,MATCH(9.99E+307,'Returns (Calc)'!$A:$A)+1)-'Price History'!Q3)*(ROW()-3)/(MATCH(9.99E+307,'Returns (Calc)'!$A:$A)-3),"")</f>
        <v>26.8013924050633</v>
      </c>
      <c r="AL64" s="156" t="n">
        <f aca="false">IFERROR('Price History'!R3+(INDEX('Price History'!R:R,MATCH(9.99E+307,'Returns (Calc)'!$A:$A)+1)-'Price History'!R3)*(ROW()-3)/(MATCH(9.99E+307,'Returns (Calc)'!$A:$A)-3),"")</f>
        <v>44.7341772151899</v>
      </c>
      <c r="AM64" s="156" t="n">
        <f aca="false">IFERROR('Price History'!S3+(INDEX('Price History'!S:S,MATCH(9.99E+307,'Returns (Calc)'!$A:$A)+1)-'Price History'!S3)*(ROW()-3)/(MATCH(9.99E+307,'Returns (Calc)'!$A:$A)-3),"")</f>
        <v>94.5388607594937</v>
      </c>
      <c r="AN64" s="156" t="n">
        <f aca="false">IFERROR('Price History'!T3+(INDEX('Price History'!T:T,MATCH(9.99E+307,'Returns (Calc)'!$A:$A)+1)-'Price History'!T3)*(ROW()-3)/(MATCH(9.99E+307,'Returns (Calc)'!$A:$A)-3),"")</f>
        <v>35.5018987341772</v>
      </c>
      <c r="AO64" s="157" t="n">
        <f aca="false">IFERROR('Price History'!V3+(INDEX('Price History'!V:V,MATCH(9.99E+307,'Returns (Calc)'!$A:$A)+1)-'Price History'!V3)*(ROW()-3)/(MATCH(9.99E+307,'Returns (Calc)'!$A:$A)-3),"")</f>
        <v>283.901075949367</v>
      </c>
      <c r="AP64" s="155" t="n">
        <f aca="false">IFERROR(IF(OR(NOT(ISNUMBER('Price History'!W65)),NOT(ISNUMBER('Price History'!W64)),'Price History'!W64=0),"",'Price History'!W65/'Price History'!W64-1),"")</f>
        <v>0.0223832528180354</v>
      </c>
      <c r="AQ64" s="155" t="str">
        <f aca="false">IFERROR(IF(OR(NOT(ISNUMBER('Price History'!X65)),NOT(ISNUMBER('Price History'!X64)),'Price History'!X64=0),"",'Price History'!X65/'Price History'!X64-1),"")</f>
        <v/>
      </c>
      <c r="AR64" s="155" t="n">
        <f aca="false">IFERROR(IF(OR(NOT(ISNUMBER('Price History'!Y65)),NOT(ISNUMBER('Price History'!Y64)),'Price History'!Y64=0),"",'Price History'!Y65/'Price History'!Y64-1),"")</f>
        <v>0.0149901380670612</v>
      </c>
      <c r="AS64" s="155" t="n">
        <f aca="false">IFERROR(IF(OR(NOT(ISNUMBER('Price History'!Z65)),NOT(ISNUMBER('Price History'!Z64)),'Price History'!Z64=0),"",'Price History'!Z65/'Price History'!Z64-1),"")</f>
        <v>0.023862533538848</v>
      </c>
      <c r="AT64" s="155" t="n">
        <f aca="false">IFERROR(IF(OR(NOT(ISNUMBER('Price History'!AA65)),NOT(ISNUMBER('Price History'!AA64)),'Price History'!AA64=0),"",'Price History'!AA65/'Price History'!AA64-1),"")</f>
        <v>0.0895631067961165</v>
      </c>
      <c r="AU64" s="155" t="n">
        <f aca="false">IFERROR(IF(OR(NOT(ISNUMBER('Price History'!AB65)),NOT(ISNUMBER('Price History'!AB64)),'Price History'!AB64=0),"",'Price History'!AB65/'Price History'!AB64-1),"")</f>
        <v>0.0150918635170603</v>
      </c>
    </row>
    <row r="65" customFormat="false" ht="15" hidden="false" customHeight="true" outlineLevel="0" collapsed="false">
      <c r="A65" s="153" t="n">
        <f aca="false">IF('Price History'!A66="","",'Price History'!A66)</f>
        <v>45625</v>
      </c>
      <c r="B65" s="154" t="n">
        <f aca="false">IFERROR(IF(OR(NOT(ISNUMBER('Price History'!B66)),NOT(ISNUMBER('Price History'!B65)),'Price History'!B65=0),"",'Price History'!B66/'Price History'!B65-1),"")</f>
        <v>0.00738065020013656</v>
      </c>
      <c r="C65" s="154" t="n">
        <f aca="false">IFERROR(IF(OR(NOT(ISNUMBER('Price History'!C66)),NOT(ISNUMBER('Price History'!C65)),'Price History'!C65=0),"",'Price History'!C66/'Price History'!C65-1),"")</f>
        <v>-0.00157449320999814</v>
      </c>
      <c r="D65" s="154" t="n">
        <f aca="false">IFERROR(IF(OR(NOT(ISNUMBER('Price History'!D66)),NOT(ISNUMBER('Price History'!D65)),'Price History'!D65=0),"",'Price History'!D66/'Price History'!D65-1),"")</f>
        <v>0.020412470602424</v>
      </c>
      <c r="E65" s="154" t="n">
        <f aca="false">IFERROR(IF(OR(NOT(ISNUMBER('Price History'!E66)),NOT(ISNUMBER('Price History'!E65)),'Price History'!E65=0),"",'Price History'!E66/'Price History'!E65-1),"")</f>
        <v>-0.0130706807904356</v>
      </c>
      <c r="F65" s="154" t="n">
        <f aca="false">IFERROR(IF(OR(NOT(ISNUMBER('Price History'!F66)),NOT(ISNUMBER('Price History'!F65)),'Price History'!F65=0),"",'Price History'!F66/'Price History'!F65-1),"")</f>
        <v>-0.070699473514559</v>
      </c>
      <c r="G65" s="154" t="n">
        <f aca="false">IFERROR(IF(OR(NOT(ISNUMBER('Price History'!G66)),NOT(ISNUMBER('Price History'!G65)),'Price History'!G65=0),"",'Price History'!G66/'Price History'!G65-1),"")</f>
        <v>0.0117125672681229</v>
      </c>
      <c r="H65" s="154" t="n">
        <f aca="false">IFERROR(IF(OR(NOT(ISNUMBER('Price History'!H66)),NOT(ISNUMBER('Price History'!H65)),'Price History'!H65=0),"",'Price History'!H66/'Price History'!H65-1),"")</f>
        <v>-0.0456370580746254</v>
      </c>
      <c r="I65" s="154" t="n">
        <f aca="false">IFERROR(IF(OR(NOT(ISNUMBER('Price History'!I66)),NOT(ISNUMBER('Price History'!I65)),'Price History'!I65=0),"",'Price History'!I66/'Price History'!I65-1),"")</f>
        <v>-0.0260648442466624</v>
      </c>
      <c r="J65" s="154" t="n">
        <f aca="false">IFERROR(IF(OR(NOT(ISNUMBER('Price History'!J66)),NOT(ISNUMBER('Price History'!J65)),'Price History'!J65=0),"",'Price History'!J66/'Price History'!J65-1),"")</f>
        <v>0.00849413719878123</v>
      </c>
      <c r="K65" s="154" t="n">
        <f aca="false">IFERROR(IF(OR(NOT(ISNUMBER('Price History'!K66)),NOT(ISNUMBER('Price History'!K65)),'Price History'!K65=0),"",'Price History'!K66/'Price History'!K65-1),"")</f>
        <v>0.0424242424242425</v>
      </c>
      <c r="L65" s="154" t="n">
        <f aca="false">IFERROR(IF(OR(NOT(ISNUMBER('Price History'!L66)),NOT(ISNUMBER('Price History'!L65)),'Price History'!L65=0),"",'Price History'!L66/'Price History'!L65-1),"")</f>
        <v>-0.0285175202156334</v>
      </c>
      <c r="M65" s="154" t="n">
        <f aca="false">IFERROR(IF(OR(NOT(ISNUMBER('Price History'!M66)),NOT(ISNUMBER('Price History'!M65)),'Price History'!M65=0),"",'Price History'!M66/'Price History'!M65-1),"")</f>
        <v>-0.0895501037121808</v>
      </c>
      <c r="N65" s="154" t="n">
        <f aca="false">IFERROR(IF(OR(NOT(ISNUMBER('Price History'!N66)),NOT(ISNUMBER('Price History'!N65)),'Price History'!N65=0),"",'Price History'!N66/'Price History'!N65-1),"")</f>
        <v>0.0380513116171806</v>
      </c>
      <c r="O65" s="154" t="n">
        <f aca="false">IFERROR(IF(OR(NOT(ISNUMBER('Price History'!O66)),NOT(ISNUMBER('Price History'!O65)),'Price History'!O65=0),"",'Price History'!O66/'Price History'!O65-1),"")</f>
        <v>0.00679000196811641</v>
      </c>
      <c r="P65" s="154" t="n">
        <f aca="false">IFERROR(IF(OR(NOT(ISNUMBER('Price History'!P66)),NOT(ISNUMBER('Price History'!P65)),'Price History'!P65=0),"",'Price History'!P66/'Price History'!P65-1),"")</f>
        <v>0.00936768149882905</v>
      </c>
      <c r="Q65" s="154" t="n">
        <f aca="false">IFERROR(IF(OR(NOT(ISNUMBER('Price History'!Q66)),NOT(ISNUMBER('Price History'!Q65)),'Price History'!Q65=0),"",'Price History'!Q66/'Price History'!Q65-1),"")</f>
        <v>0.00614588387514159</v>
      </c>
      <c r="R65" s="154" t="n">
        <f aca="false">IFERROR(IF(OR(NOT(ISNUMBER('Price History'!R66)),NOT(ISNUMBER('Price History'!R65)),'Price History'!R65=0),"",'Price History'!R66/'Price History'!R65-1),"")</f>
        <v>0.00922671353251303</v>
      </c>
      <c r="S65" s="154" t="n">
        <f aca="false">IFERROR(IF(OR(NOT(ISNUMBER('Price History'!S66)),NOT(ISNUMBER('Price History'!S65)),'Price History'!S65=0),"",'Price History'!S66/'Price History'!S65-1),"")</f>
        <v>0.0130753694057617</v>
      </c>
      <c r="T65" s="154" t="n">
        <f aca="false">IFERROR(IF(OR(NOT(ISNUMBER('Price History'!T66)),NOT(ISNUMBER('Price History'!T65)),'Price History'!T65=0),"",'Price History'!T66/'Price History'!T65-1),"")</f>
        <v>0.00196739741427776</v>
      </c>
      <c r="U65" s="154" t="n">
        <f aca="false">IFERROR(IF(OR(NOT(ISNUMBER('Price History'!U66)),NOT(ISNUMBER('Price History'!U65)),'Price History'!U65=0),"",'Price History'!U66/'Price History'!U65-1),"")</f>
        <v>0.00622482607103625</v>
      </c>
      <c r="V65" s="155" t="n">
        <f aca="false">IFERROR(IF(OR(NOT(ISNUMBER('Price History'!V66)),NOT(ISNUMBER('Price History'!V65)),'Price History'!V65=0),"",'Price History'!V66/'Price History'!V65-1),"")</f>
        <v>0.0166394246485782</v>
      </c>
      <c r="W65" s="156" t="n">
        <f aca="false">IFERROR('Price History'!B3+(INDEX('Price History'!B:B,MATCH(9.99E+307,'Returns (Calc)'!$A:$A)+1)-'Price History'!B3)*(ROW()-3)/(MATCH(9.99E+307,'Returns (Calc)'!$A:$A)-3),"")</f>
        <v>414.62164556962</v>
      </c>
      <c r="X65" s="156" t="n">
        <f aca="false">IFERROR('Price History'!C3+(INDEX('Price History'!C:C,MATCH(9.99E+307,'Returns (Calc)'!$A:$A)+1)-'Price History'!C3)*(ROW()-3)/(MATCH(9.99E+307,'Returns (Calc)'!$A:$A)-3),"")</f>
        <v>109.423924050633</v>
      </c>
      <c r="Y65" s="156" t="n">
        <f aca="false">IFERROR('Price History'!D3+(INDEX('Price History'!D:D,MATCH(9.99E+307,'Returns (Calc)'!$A:$A)+1)-'Price History'!D3)*(ROW()-3)/(MATCH(9.99E+307,'Returns (Calc)'!$A:$A)-3),"")</f>
        <v>1086.3682278481</v>
      </c>
      <c r="Z65" s="156" t="n">
        <f aca="false">IFERROR('Price History'!E3+(INDEX('Price History'!E:E,MATCH(9.99E+307,'Returns (Calc)'!$A:$A)+1)-'Price History'!E3)*(ROW()-3)/(MATCH(9.99E+307,'Returns (Calc)'!$A:$A)-3),"")</f>
        <v>189.181518987342</v>
      </c>
      <c r="AA65" s="156" t="n">
        <f aca="false">IFERROR('Price History'!F3+(INDEX('Price History'!F:F,MATCH(9.99E+307,'Returns (Calc)'!$A:$A)+1)-'Price History'!F3)*(ROW()-3)/(MATCH(9.99E+307,'Returns (Calc)'!$A:$A)-3),"")</f>
        <v>131.095189873418</v>
      </c>
      <c r="AB65" s="156" t="n">
        <f aca="false">IFERROR('Price History'!G3+(INDEX('Price History'!G:G,MATCH(9.99E+307,'Returns (Calc)'!$A:$A)+1)-'Price History'!G3)*(ROW()-3)/(MATCH(9.99E+307,'Returns (Calc)'!$A:$A)-3),"")</f>
        <v>108.131518987342</v>
      </c>
      <c r="AC65" s="156" t="n">
        <f aca="false">IFERROR('Price History'!H3+(INDEX('Price History'!H:H,MATCH(9.99E+307,'Returns (Calc)'!$A:$A)+1)-'Price History'!H3)*(ROW()-3)/(MATCH(9.99E+307,'Returns (Calc)'!$A:$A)-3),"")</f>
        <v>463.783164556962</v>
      </c>
      <c r="AD65" s="156" t="n">
        <f aca="false">IFERROR('Price History'!I3+(INDEX('Price History'!I:I,MATCH(9.99E+307,'Returns (Calc)'!$A:$A)+1)-'Price History'!I3)*(ROW()-3)/(MATCH(9.99E+307,'Returns (Calc)'!$A:$A)-3),"")</f>
        <v>118.397594936709</v>
      </c>
      <c r="AE65" s="156" t="n">
        <f aca="false">IFERROR('Price History'!J3+(INDEX('Price History'!J:J,MATCH(9.99E+307,'Returns (Calc)'!$A:$A)+1)-'Price History'!J3)*(ROW()-3)/(MATCH(9.99E+307,'Returns (Calc)'!$A:$A)-3),"")</f>
        <v>118.53835443038</v>
      </c>
      <c r="AF65" s="156" t="n">
        <f aca="false">IFERROR('Price History'!K3+(INDEX('Price History'!K:K,MATCH(9.99E+307,'Returns (Calc)'!$A:$A)+1)-'Price History'!K3)*(ROW()-3)/(MATCH(9.99E+307,'Returns (Calc)'!$A:$A)-3),"")</f>
        <v>83.3808860759494</v>
      </c>
      <c r="AG65" s="156" t="n">
        <f aca="false">IFERROR('Price History'!L3+(INDEX('Price History'!L:L,MATCH(9.99E+307,'Returns (Calc)'!$A:$A)+1)-'Price History'!L3)*(ROW()-3)/(MATCH(9.99E+307,'Returns (Calc)'!$A:$A)-3),"")</f>
        <v>237.62253164557</v>
      </c>
      <c r="AH65" s="156" t="n">
        <f aca="false">IFERROR('Price History'!M3+(INDEX('Price History'!M:M,MATCH(9.99E+307,'Returns (Calc)'!$A:$A)+1)-'Price History'!M3)*(ROW()-3)/(MATCH(9.99E+307,'Returns (Calc)'!$A:$A)-3),"")</f>
        <v>122.05746835443</v>
      </c>
      <c r="AI65" s="156" t="n">
        <f aca="false">IFERROR('Price History'!N3+(INDEX('Price History'!N:N,MATCH(9.99E+307,'Returns (Calc)'!$A:$A)+1)-'Price History'!N3)*(ROW()-3)/(MATCH(9.99E+307,'Returns (Calc)'!$A:$A)-3),"")</f>
        <v>410.048481012658</v>
      </c>
      <c r="AJ65" s="156" t="n">
        <f aca="false">IFERROR('Price History'!O3+(INDEX('Price History'!O:O,MATCH(9.99E+307,'Returns (Calc)'!$A:$A)+1)-'Price History'!O3)*(ROW()-3)/(MATCH(9.99E+307,'Returns (Calc)'!$A:$A)-3),"")</f>
        <v>92.8583544303798</v>
      </c>
      <c r="AK65" s="156" t="n">
        <f aca="false">IFERROR('Price History'!Q3+(INDEX('Price History'!Q:Q,MATCH(9.99E+307,'Returns (Calc)'!$A:$A)+1)-'Price History'!Q3)*(ROW()-3)/(MATCH(9.99E+307,'Returns (Calc)'!$A:$A)-3),"")</f>
        <v>27.2407594936709</v>
      </c>
      <c r="AL65" s="156" t="n">
        <f aca="false">IFERROR('Price History'!R3+(INDEX('Price History'!R:R,MATCH(9.99E+307,'Returns (Calc)'!$A:$A)+1)-'Price History'!R3)*(ROW()-3)/(MATCH(9.99E+307,'Returns (Calc)'!$A:$A)-3),"")</f>
        <v>44.9022784810127</v>
      </c>
      <c r="AM65" s="156" t="n">
        <f aca="false">IFERROR('Price History'!S3+(INDEX('Price History'!S:S,MATCH(9.99E+307,'Returns (Calc)'!$A:$A)+1)-'Price History'!S3)*(ROW()-3)/(MATCH(9.99E+307,'Returns (Calc)'!$A:$A)-3),"")</f>
        <v>95.1439240506329</v>
      </c>
      <c r="AN65" s="156" t="n">
        <f aca="false">IFERROR('Price History'!T3+(INDEX('Price History'!T:T,MATCH(9.99E+307,'Returns (Calc)'!$A:$A)+1)-'Price History'!T3)*(ROW()-3)/(MATCH(9.99E+307,'Returns (Calc)'!$A:$A)-3),"")</f>
        <v>35.6701265822785</v>
      </c>
      <c r="AO65" s="157" t="n">
        <f aca="false">IFERROR('Price History'!V3+(INDEX('Price History'!V:V,MATCH(9.99E+307,'Returns (Calc)'!$A:$A)+1)-'Price History'!V3)*(ROW()-3)/(MATCH(9.99E+307,'Returns (Calc)'!$A:$A)-3),"")</f>
        <v>284.692405063291</v>
      </c>
      <c r="AP65" s="155" t="n">
        <f aca="false">IFERROR(IF(OR(NOT(ISNUMBER('Price History'!W66)),NOT(ISNUMBER('Price History'!W65)),'Price History'!W65=0),"",'Price History'!W66/'Price History'!W65-1),"")</f>
        <v>0.00834777130256725</v>
      </c>
      <c r="AQ65" s="155" t="str">
        <f aca="false">IFERROR(IF(OR(NOT(ISNUMBER('Price History'!X66)),NOT(ISNUMBER('Price History'!X65)),'Price History'!X65=0),"",'Price History'!X66/'Price History'!X65-1),"")</f>
        <v/>
      </c>
      <c r="AR65" s="155" t="n">
        <f aca="false">IFERROR(IF(OR(NOT(ISNUMBER('Price History'!Y66)),NOT(ISNUMBER('Price History'!Y65)),'Price History'!Y65=0),"",'Price History'!Y66/'Price History'!Y65-1),"")</f>
        <v>0.0110765643218034</v>
      </c>
      <c r="AS65" s="155" t="n">
        <f aca="false">IFERROR(IF(OR(NOT(ISNUMBER('Price History'!Z66)),NOT(ISNUMBER('Price History'!Z65)),'Price History'!Z65=0),"",'Price History'!Z66/'Price History'!Z65-1),"")</f>
        <v>0.00557568999163638</v>
      </c>
      <c r="AT65" s="155" t="n">
        <f aca="false">IFERROR(IF(OR(NOT(ISNUMBER('Price History'!AA66)),NOT(ISNUMBER('Price History'!AA65)),'Price History'!AA65=0),"",'Price History'!AA66/'Price History'!AA65-1),"")</f>
        <v>-0.0122521719759411</v>
      </c>
      <c r="AU65" s="155" t="n">
        <f aca="false">IFERROR(IF(OR(NOT(ISNUMBER('Price History'!AB66)),NOT(ISNUMBER('Price History'!AB65)),'Price History'!AB65=0),"",'Price History'!AB66/'Price History'!AB65-1),"")</f>
        <v>0.0520361990950224</v>
      </c>
    </row>
    <row r="66" customFormat="false" ht="15" hidden="false" customHeight="true" outlineLevel="0" collapsed="false">
      <c r="A66" s="153" t="n">
        <f aca="false">IF('Price History'!A67="","",'Price History'!A67)</f>
        <v>45632</v>
      </c>
      <c r="B66" s="154" t="n">
        <f aca="false">IFERROR(IF(OR(NOT(ISNUMBER('Price History'!B67)),NOT(ISNUMBER('Price History'!B66)),'Price History'!B66=0),"",'Price History'!B67/'Price History'!B66-1),"")</f>
        <v>0.0717733025798075</v>
      </c>
      <c r="C66" s="154" t="n">
        <f aca="false">IFERROR(IF(OR(NOT(ISNUMBER('Price History'!C67)),NOT(ISNUMBER('Price History'!C66)),'Price History'!C66=0),"",'Price History'!C67/'Price History'!C66-1),"")</f>
        <v>0.0669229252907551</v>
      </c>
      <c r="D66" s="154" t="n">
        <f aca="false">IFERROR(IF(OR(NOT(ISNUMBER('Price History'!D67)),NOT(ISNUMBER('Price History'!D66)),'Price History'!D66=0),"",'Price History'!D67/'Price History'!D66-1),"")</f>
        <v>0.0325768992110629</v>
      </c>
      <c r="E66" s="154" t="n">
        <f aca="false">IFERROR(IF(OR(NOT(ISNUMBER('Price History'!E67)),NOT(ISNUMBER('Price History'!E66)),'Price History'!E66=0),"",'Price History'!E67/'Price History'!E66-1),"")</f>
        <v>0.107644991212654</v>
      </c>
      <c r="F66" s="154" t="n">
        <f aca="false">IFERROR(IF(OR(NOT(ISNUMBER('Price History'!F67)),NOT(ISNUMBER('Price History'!F66)),'Price History'!F66=0),"",'Price History'!F67/'Price History'!F66-1),"")</f>
        <v>0.0568851890391953</v>
      </c>
      <c r="G66" s="154" t="n">
        <f aca="false">IFERROR(IF(OR(NOT(ISNUMBER('Price History'!G67)),NOT(ISNUMBER('Price History'!G66)),'Price History'!G66=0),"",'Price History'!G67/'Price History'!G66-1),"")</f>
        <v>0.0020337922403002</v>
      </c>
      <c r="H66" s="154" t="n">
        <f aca="false">IFERROR(IF(OR(NOT(ISNUMBER('Price History'!H67)),NOT(ISNUMBER('Price History'!H66)),'Price History'!H66=0),"",'Price History'!H67/'Price History'!H66-1),"")</f>
        <v>0.0328373524884555</v>
      </c>
      <c r="I66" s="154" t="n">
        <f aca="false">IFERROR(IF(OR(NOT(ISNUMBER('Price History'!I67)),NOT(ISNUMBER('Price History'!I66)),'Price History'!I66=0),"",'Price History'!I67/'Price History'!I66-1),"")</f>
        <v>0.0303887438352191</v>
      </c>
      <c r="J66" s="154" t="n">
        <f aca="false">IFERROR(IF(OR(NOT(ISNUMBER('Price History'!J67)),NOT(ISNUMBER('Price History'!J66)),'Price History'!J66=0),"",'Price History'!J67/'Price History'!J66-1),"")</f>
        <v>-0.0409228234001647</v>
      </c>
      <c r="K66" s="154" t="n">
        <f aca="false">IFERROR(IF(OR(NOT(ISNUMBER('Price History'!K67)),NOT(ISNUMBER('Price History'!K66)),'Price History'!K66=0),"",'Price History'!K67/'Price History'!K66-1),"")</f>
        <v>0.13804412641622</v>
      </c>
      <c r="L66" s="154" t="n">
        <f aca="false">IFERROR(IF(OR(NOT(ISNUMBER('Price History'!L67)),NOT(ISNUMBER('Price History'!L66)),'Price History'!L66=0),"",'Price History'!L67/'Price History'!L66-1),"")</f>
        <v>0.0994395427556738</v>
      </c>
      <c r="M66" s="154" t="n">
        <f aca="false">IFERROR(IF(OR(NOT(ISNUMBER('Price History'!M67)),NOT(ISNUMBER('Price History'!M66)),'Price History'!M66=0),"",'Price History'!M67/'Price History'!M66-1),"")</f>
        <v>0.0493361615209365</v>
      </c>
      <c r="N66" s="154" t="n">
        <f aca="false">IFERROR(IF(OR(NOT(ISNUMBER('Price History'!N67)),NOT(ISNUMBER('Price History'!N66)),'Price History'!N66=0),"",'Price History'!N67/'Price History'!N66-1),"")</f>
        <v>-0.0128810373186935</v>
      </c>
      <c r="O66" s="154" t="n">
        <f aca="false">IFERROR(IF(OR(NOT(ISNUMBER('Price History'!O67)),NOT(ISNUMBER('Price History'!O66)),'Price History'!O66=0),"",'Price History'!O67/'Price History'!O66-1),"")</f>
        <v>-0.0208190792688886</v>
      </c>
      <c r="P66" s="154" t="n">
        <f aca="false">IFERROR(IF(OR(NOT(ISNUMBER('Price History'!P67)),NOT(ISNUMBER('Price History'!P66)),'Price History'!P66=0),"",'Price History'!P67/'Price History'!P66-1),"")</f>
        <v>-0.0252975076715817</v>
      </c>
      <c r="Q66" s="154" t="n">
        <f aca="false">IFERROR(IF(OR(NOT(ISNUMBER('Price History'!Q67)),NOT(ISNUMBER('Price History'!Q66)),'Price History'!Q66=0),"",'Price History'!Q67/'Price History'!Q66-1),"")</f>
        <v>0.00369715479826382</v>
      </c>
      <c r="R66" s="154" t="n">
        <f aca="false">IFERROR(IF(OR(NOT(ISNUMBER('Price History'!R67)),NOT(ISNUMBER('Price History'!R66)),'Price History'!R66=0),"",'Price History'!R67/'Price History'!R66-1),"")</f>
        <v>0.0185023944275142</v>
      </c>
      <c r="S66" s="154" t="n">
        <f aca="false">IFERROR(IF(OR(NOT(ISNUMBER('Price History'!S67)),NOT(ISNUMBER('Price History'!S66)),'Price History'!S66=0),"",'Price History'!S67/'Price History'!S66-1),"")</f>
        <v>0.0193074501573978</v>
      </c>
      <c r="T66" s="154" t="n">
        <f aca="false">IFERROR(IF(OR(NOT(ISNUMBER('Price History'!T67)),NOT(ISNUMBER('Price History'!T66)),'Price History'!T66=0),"",'Price History'!T67/'Price History'!T66-1),"")</f>
        <v>-0.000841514726507731</v>
      </c>
      <c r="U66" s="154" t="n">
        <f aca="false">IFERROR(IF(OR(NOT(ISNUMBER('Price History'!U67)),NOT(ISNUMBER('Price History'!U66)),'Price History'!U66=0),"",'Price History'!U67/'Price History'!U66-1),"")</f>
        <v>-0.0240174672489083</v>
      </c>
      <c r="V66" s="155" t="n">
        <f aca="false">IFERROR(IF(OR(NOT(ISNUMBER('Price History'!V67)),NOT(ISNUMBER('Price History'!V66)),'Price History'!V66=0),"",'Price History'!V67/'Price History'!V66-1),"")</f>
        <v>-0.0129264606578989</v>
      </c>
      <c r="W66" s="156" t="n">
        <f aca="false">IFERROR('Price History'!B3+(INDEX('Price History'!B:B,MATCH(9.99E+307,'Returns (Calc)'!$A:$A)+1)-'Price History'!B3)*(ROW()-3)/(MATCH(9.99E+307,'Returns (Calc)'!$A:$A)-3),"")</f>
        <v>412.778607594937</v>
      </c>
      <c r="X66" s="156" t="n">
        <f aca="false">IFERROR('Price History'!C3+(INDEX('Price History'!C:C,MATCH(9.99E+307,'Returns (Calc)'!$A:$A)+1)-'Price History'!C3)*(ROW()-3)/(MATCH(9.99E+307,'Returns (Calc)'!$A:$A)-3),"")</f>
        <v>110.443987341772</v>
      </c>
      <c r="Y66" s="156" t="n">
        <f aca="false">IFERROR('Price History'!D3+(INDEX('Price History'!D:D,MATCH(9.99E+307,'Returns (Calc)'!$A:$A)+1)-'Price History'!D3)*(ROW()-3)/(MATCH(9.99E+307,'Returns (Calc)'!$A:$A)-3),"")</f>
        <v>1094.50303797468</v>
      </c>
      <c r="Z66" s="156" t="n">
        <f aca="false">IFERROR('Price History'!E3+(INDEX('Price History'!E:E,MATCH(9.99E+307,'Returns (Calc)'!$A:$A)+1)-'Price History'!E3)*(ROW()-3)/(MATCH(9.99E+307,'Returns (Calc)'!$A:$A)-3),"")</f>
        <v>190.910253164557</v>
      </c>
      <c r="AA66" s="156" t="n">
        <f aca="false">IFERROR('Price History'!F3+(INDEX('Price History'!F:F,MATCH(9.99E+307,'Returns (Calc)'!$A:$A)+1)-'Price History'!F3)*(ROW()-3)/(MATCH(9.99E+307,'Returns (Calc)'!$A:$A)-3),"")</f>
        <v>132.54253164557</v>
      </c>
      <c r="AB66" s="156" t="n">
        <f aca="false">IFERROR('Price History'!G3+(INDEX('Price History'!G:G,MATCH(9.99E+307,'Returns (Calc)'!$A:$A)+1)-'Price History'!G3)*(ROW()-3)/(MATCH(9.99E+307,'Returns (Calc)'!$A:$A)-3),"")</f>
        <v>109.160253164557</v>
      </c>
      <c r="AC66" s="156" t="n">
        <f aca="false">IFERROR('Price History'!H3+(INDEX('Price History'!H:H,MATCH(9.99E+307,'Returns (Calc)'!$A:$A)+1)-'Price History'!H3)*(ROW()-3)/(MATCH(9.99E+307,'Returns (Calc)'!$A:$A)-3),"")</f>
        <v>470.148860759494</v>
      </c>
      <c r="AD66" s="156" t="n">
        <f aca="false">IFERROR('Price History'!I3+(INDEX('Price History'!I:I,MATCH(9.99E+307,'Returns (Calc)'!$A:$A)+1)-'Price History'!I3)*(ROW()-3)/(MATCH(9.99E+307,'Returns (Calc)'!$A:$A)-3),"")</f>
        <v>119.601265822785</v>
      </c>
      <c r="AE66" s="156" t="n">
        <f aca="false">IFERROR('Price History'!J3+(INDEX('Price History'!J:J,MATCH(9.99E+307,'Returns (Calc)'!$A:$A)+1)-'Price History'!J3)*(ROW()-3)/(MATCH(9.99E+307,'Returns (Calc)'!$A:$A)-3),"")</f>
        <v>118.646392405063</v>
      </c>
      <c r="AF66" s="156" t="n">
        <f aca="false">IFERROR('Price History'!K3+(INDEX('Price History'!K:K,MATCH(9.99E+307,'Returns (Calc)'!$A:$A)+1)-'Price History'!K3)*(ROW()-3)/(MATCH(9.99E+307,'Returns (Calc)'!$A:$A)-3),"")</f>
        <v>84.4784810126582</v>
      </c>
      <c r="AG66" s="156" t="n">
        <f aca="false">IFERROR('Price History'!L3+(INDEX('Price History'!L:L,MATCH(9.99E+307,'Returns (Calc)'!$A:$A)+1)-'Price History'!L3)*(ROW()-3)/(MATCH(9.99E+307,'Returns (Calc)'!$A:$A)-3),"")</f>
        <v>240.072088607595</v>
      </c>
      <c r="AH66" s="156" t="n">
        <f aca="false">IFERROR('Price History'!M3+(INDEX('Price History'!M:M,MATCH(9.99E+307,'Returns (Calc)'!$A:$A)+1)-'Price History'!M3)*(ROW()-3)/(MATCH(9.99E+307,'Returns (Calc)'!$A:$A)-3),"")</f>
        <v>123.412911392405</v>
      </c>
      <c r="AI66" s="156" t="n">
        <f aca="false">IFERROR('Price History'!N3+(INDEX('Price History'!N:N,MATCH(9.99E+307,'Returns (Calc)'!$A:$A)+1)-'Price History'!N3)*(ROW()-3)/(MATCH(9.99E+307,'Returns (Calc)'!$A:$A)-3),"")</f>
        <v>411.034746835443</v>
      </c>
      <c r="AJ66" s="156" t="n">
        <f aca="false">IFERROR('Price History'!O3+(INDEX('Price History'!O:O,MATCH(9.99E+307,'Returns (Calc)'!$A:$A)+1)-'Price History'!O3)*(ROW()-3)/(MATCH(9.99E+307,'Returns (Calc)'!$A:$A)-3),"")</f>
        <v>93.1413924050633</v>
      </c>
      <c r="AK66" s="156" t="n">
        <f aca="false">IFERROR('Price History'!Q3+(INDEX('Price History'!Q:Q,MATCH(9.99E+307,'Returns (Calc)'!$A:$A)+1)-'Price History'!Q3)*(ROW()-3)/(MATCH(9.99E+307,'Returns (Calc)'!$A:$A)-3),"")</f>
        <v>27.6801265822785</v>
      </c>
      <c r="AL66" s="156" t="n">
        <f aca="false">IFERROR('Price History'!R3+(INDEX('Price History'!R:R,MATCH(9.99E+307,'Returns (Calc)'!$A:$A)+1)-'Price History'!R3)*(ROW()-3)/(MATCH(9.99E+307,'Returns (Calc)'!$A:$A)-3),"")</f>
        <v>45.0703797468354</v>
      </c>
      <c r="AM66" s="156" t="n">
        <f aca="false">IFERROR('Price History'!S3+(INDEX('Price History'!S:S,MATCH(9.99E+307,'Returns (Calc)'!$A:$A)+1)-'Price History'!S3)*(ROW()-3)/(MATCH(9.99E+307,'Returns (Calc)'!$A:$A)-3),"")</f>
        <v>95.7489873417722</v>
      </c>
      <c r="AN66" s="156" t="n">
        <f aca="false">IFERROR('Price History'!T3+(INDEX('Price History'!T:T,MATCH(9.99E+307,'Returns (Calc)'!$A:$A)+1)-'Price History'!T3)*(ROW()-3)/(MATCH(9.99E+307,'Returns (Calc)'!$A:$A)-3),"")</f>
        <v>35.8383544303797</v>
      </c>
      <c r="AO66" s="157" t="n">
        <f aca="false">IFERROR('Price History'!V3+(INDEX('Price History'!V:V,MATCH(9.99E+307,'Returns (Calc)'!$A:$A)+1)-'Price History'!V3)*(ROW()-3)/(MATCH(9.99E+307,'Returns (Calc)'!$A:$A)-3),"")</f>
        <v>285.483734177215</v>
      </c>
      <c r="AP66" s="155" t="n">
        <f aca="false">IFERROR(IF(OR(NOT(ISNUMBER('Price History'!W67)),NOT(ISNUMBER('Price History'!W66)),'Price History'!W66=0),"",'Price History'!W67/'Price History'!W66-1),"")</f>
        <v>-0.0143705092158699</v>
      </c>
      <c r="AQ66" s="155" t="str">
        <f aca="false">IFERROR(IF(OR(NOT(ISNUMBER('Price History'!X67)),NOT(ISNUMBER('Price History'!X66)),'Price History'!X66=0),"",'Price History'!X67/'Price History'!X66-1),"")</f>
        <v/>
      </c>
      <c r="AR66" s="155" t="n">
        <f aca="false">IFERROR(IF(OR(NOT(ISNUMBER('Price History'!Y67)),NOT(ISNUMBER('Price History'!Y66)),'Price History'!Y66=0),"",'Price History'!Y67/'Price History'!Y66-1),"")</f>
        <v>-0.0084566596194503</v>
      </c>
      <c r="AS66" s="155" t="n">
        <f aca="false">IFERROR(IF(OR(NOT(ISNUMBER('Price History'!Z67)),NOT(ISNUMBER('Price History'!Z66)),'Price History'!Z66=0),"",'Price History'!Z67/'Price History'!Z66-1),"")</f>
        <v>-0.0361519268089824</v>
      </c>
      <c r="AT66" s="155" t="n">
        <f aca="false">IFERROR(IF(OR(NOT(ISNUMBER('Price History'!AA67)),NOT(ISNUMBER('Price History'!AA66)),'Price History'!AA66=0),"",'Price History'!AA67/'Price History'!AA66-1),"")</f>
        <v>0.0540144339197113</v>
      </c>
      <c r="AU66" s="155" t="n">
        <f aca="false">IFERROR(IF(OR(NOT(ISNUMBER('Price History'!AB67)),NOT(ISNUMBER('Price History'!AB66)),'Price History'!AB66=0),"",'Price History'!AB67/'Price History'!AB66-1),"")</f>
        <v>0.0991880623217027</v>
      </c>
    </row>
    <row r="67" customFormat="false" ht="15" hidden="false" customHeight="true" outlineLevel="0" collapsed="false">
      <c r="A67" s="153" t="n">
        <f aca="false">IF('Price History'!A68="","",'Price History'!A68)</f>
        <v>45639</v>
      </c>
      <c r="B67" s="154" t="n">
        <f aca="false">IFERROR(IF(OR(NOT(ISNUMBER('Price History'!B68)),NOT(ISNUMBER('Price History'!B67)),'Price History'!B67=0),"",'Price History'!B68/'Price History'!B67-1),"")</f>
        <v>-0.157823350694445</v>
      </c>
      <c r="C67" s="154" t="n">
        <f aca="false">IFERROR(IF(OR(NOT(ISNUMBER('Price History'!C68)),NOT(ISNUMBER('Price History'!C67)),'Price History'!C67=0),"",'Price History'!C68/'Price History'!C67-1),"")</f>
        <v>0.0380600461893765</v>
      </c>
      <c r="D67" s="154" t="n">
        <f aca="false">IFERROR(IF(OR(NOT(ISNUMBER('Price History'!D68)),NOT(ISNUMBER('Price History'!D67)),'Price History'!D67=0),"",'Price History'!D68/'Price History'!D67-1),"")</f>
        <v>0.0135496702007412</v>
      </c>
      <c r="E67" s="154" t="n">
        <f aca="false">IFERROR(IF(OR(NOT(ISNUMBER('Price History'!E68)),NOT(ISNUMBER('Price History'!E67)),'Price History'!E67=0),"",'Price History'!E68/'Price History'!E67-1),"")</f>
        <v>0.252167507225024</v>
      </c>
      <c r="F67" s="154" t="n">
        <f aca="false">IFERROR(IF(OR(NOT(ISNUMBER('Price History'!F68)),NOT(ISNUMBER('Price History'!F67)),'Price History'!F67=0),"",'Price History'!F68/'Price History'!F67-1),"")</f>
        <v>0.00645443605732421</v>
      </c>
      <c r="G67" s="154" t="n">
        <f aca="false">IFERROR(IF(OR(NOT(ISNUMBER('Price History'!G68)),NOT(ISNUMBER('Price History'!G67)),'Price History'!G67=0),"",'Price History'!G68/'Price History'!G67-1),"")</f>
        <v>0.00827478532396575</v>
      </c>
      <c r="H67" s="154" t="n">
        <f aca="false">IFERROR(IF(OR(NOT(ISNUMBER('Price History'!H68)),NOT(ISNUMBER('Price History'!H67)),'Price History'!H67=0),"",'Price History'!H68/'Price History'!H67-1),"")</f>
        <v>0.0131147540983605</v>
      </c>
      <c r="I67" s="154" t="n">
        <f aca="false">IFERROR(IF(OR(NOT(ISNUMBER('Price History'!I68)),NOT(ISNUMBER('Price History'!I67)),'Price History'!I67=0),"",'Price History'!I68/'Price History'!I67-1),"")</f>
        <v>-0.0575068628141057</v>
      </c>
      <c r="J67" s="154" t="n">
        <f aca="false">IFERROR(IF(OR(NOT(ISNUMBER('Price History'!J68)),NOT(ISNUMBER('Price History'!J67)),'Price History'!J67=0),"",'Price History'!J68/'Price History'!J67-1),"")</f>
        <v>-0.00773195876288657</v>
      </c>
      <c r="K67" s="154" t="n">
        <f aca="false">IFERROR(IF(OR(NOT(ISNUMBER('Price History'!K68)),NOT(ISNUMBER('Price History'!K67)),'Price History'!K67=0),"",'Price History'!K68/'Price History'!K67-1),"")</f>
        <v>-0.00353680901231346</v>
      </c>
      <c r="L67" s="154" t="n">
        <f aca="false">IFERROR(IF(OR(NOT(ISNUMBER('Price History'!L68)),NOT(ISNUMBER('Price History'!L67)),'Price History'!L67=0),"",'Price History'!L68/'Price History'!L67-1),"")</f>
        <v>-0.00686418008378331</v>
      </c>
      <c r="M67" s="154" t="n">
        <f aca="false">IFERROR(IF(OR(NOT(ISNUMBER('Price History'!M68)),NOT(ISNUMBER('Price History'!M67)),'Price History'!M67=0),"",'Price History'!M68/'Price History'!M67-1),"")</f>
        <v>-0.060342891367822</v>
      </c>
      <c r="N67" s="154" t="n">
        <f aca="false">IFERROR(IF(OR(NOT(ISNUMBER('Price History'!N68)),NOT(ISNUMBER('Price History'!N67)),'Price History'!N67=0),"",'Price History'!N68/'Price History'!N67-1),"")</f>
        <v>0.00352737502705036</v>
      </c>
      <c r="O67" s="154" t="n">
        <f aca="false">IFERROR(IF(OR(NOT(ISNUMBER('Price History'!O68)),NOT(ISNUMBER('Price History'!O67)),'Price History'!O67=0),"",'Price History'!O68/'Price History'!O67-1),"")</f>
        <v>-0.0123777201038132</v>
      </c>
      <c r="P67" s="154" t="n">
        <f aca="false">IFERROR(IF(OR(NOT(ISNUMBER('Price History'!P68)),NOT(ISNUMBER('Price History'!P67)),'Price History'!P67=0),"",'Price History'!P68/'Price History'!P67-1),"")</f>
        <v>-0.0201950395454196</v>
      </c>
      <c r="Q67" s="154" t="n">
        <f aca="false">IFERROR(IF(OR(NOT(ISNUMBER('Price History'!Q68)),NOT(ISNUMBER('Price History'!Q67)),'Price History'!Q67=0),"",'Price History'!Q68/'Price History'!Q67-1),"")</f>
        <v>-0.00176169122357461</v>
      </c>
      <c r="R67" s="154" t="n">
        <f aca="false">IFERROR(IF(OR(NOT(ISNUMBER('Price History'!R68)),NOT(ISNUMBER('Price History'!R67)),'Price History'!R67=0),"",'Price History'!R68/'Price History'!R67-1),"")</f>
        <v>0.00384697584954052</v>
      </c>
      <c r="S67" s="154" t="n">
        <f aca="false">IFERROR(IF(OR(NOT(ISNUMBER('Price History'!S68)),NOT(ISNUMBER('Price History'!S67)),'Price History'!S67=0),"",'Price History'!S68/'Price History'!S67-1),"")</f>
        <v>-0.00936792258595842</v>
      </c>
      <c r="T67" s="154" t="n">
        <f aca="false">IFERROR(IF(OR(NOT(ISNUMBER('Price History'!T68)),NOT(ISNUMBER('Price History'!T67)),'Price History'!T67=0),"",'Price History'!T68/'Price History'!T67-1),"")</f>
        <v>-0.0415496911847276</v>
      </c>
      <c r="U67" s="154" t="n">
        <f aca="false">IFERROR(IF(OR(NOT(ISNUMBER('Price History'!U68)),NOT(ISNUMBER('Price History'!U67)),'Price History'!U67=0),"",'Price History'!U68/'Price History'!U67-1),"")</f>
        <v>-0.0149142431021625</v>
      </c>
      <c r="V67" s="155" t="n">
        <f aca="false">IFERROR(IF(OR(NOT(ISNUMBER('Price History'!V68)),NOT(ISNUMBER('Price History'!V67)),'Price History'!V67=0),"",'Price History'!V68/'Price History'!V67-1),"")</f>
        <v>0.0119881421637291</v>
      </c>
      <c r="W67" s="156" t="n">
        <f aca="false">IFERROR('Price History'!B3+(INDEX('Price History'!B:B,MATCH(9.99E+307,'Returns (Calc)'!$A:$A)+1)-'Price History'!B3)*(ROW()-3)/(MATCH(9.99E+307,'Returns (Calc)'!$A:$A)-3),"")</f>
        <v>410.935569620253</v>
      </c>
      <c r="X67" s="156" t="n">
        <f aca="false">IFERROR('Price History'!C3+(INDEX('Price History'!C:C,MATCH(9.99E+307,'Returns (Calc)'!$A:$A)+1)-'Price History'!C3)*(ROW()-3)/(MATCH(9.99E+307,'Returns (Calc)'!$A:$A)-3),"")</f>
        <v>111.464050632911</v>
      </c>
      <c r="Y67" s="156" t="n">
        <f aca="false">IFERROR('Price History'!D3+(INDEX('Price History'!D:D,MATCH(9.99E+307,'Returns (Calc)'!$A:$A)+1)-'Price History'!D3)*(ROW()-3)/(MATCH(9.99E+307,'Returns (Calc)'!$A:$A)-3),"")</f>
        <v>1102.63784810127</v>
      </c>
      <c r="Z67" s="156" t="n">
        <f aca="false">IFERROR('Price History'!E3+(INDEX('Price History'!E:E,MATCH(9.99E+307,'Returns (Calc)'!$A:$A)+1)-'Price History'!E3)*(ROW()-3)/(MATCH(9.99E+307,'Returns (Calc)'!$A:$A)-3),"")</f>
        <v>192.638987341772</v>
      </c>
      <c r="AA67" s="156" t="n">
        <f aca="false">IFERROR('Price History'!F3+(INDEX('Price History'!F:F,MATCH(9.99E+307,'Returns (Calc)'!$A:$A)+1)-'Price History'!F3)*(ROW()-3)/(MATCH(9.99E+307,'Returns (Calc)'!$A:$A)-3),"")</f>
        <v>133.989873417722</v>
      </c>
      <c r="AB67" s="156" t="n">
        <f aca="false">IFERROR('Price History'!G3+(INDEX('Price History'!G:G,MATCH(9.99E+307,'Returns (Calc)'!$A:$A)+1)-'Price History'!G3)*(ROW()-3)/(MATCH(9.99E+307,'Returns (Calc)'!$A:$A)-3),"")</f>
        <v>110.188987341772</v>
      </c>
      <c r="AC67" s="156" t="n">
        <f aca="false">IFERROR('Price History'!H3+(INDEX('Price History'!H:H,MATCH(9.99E+307,'Returns (Calc)'!$A:$A)+1)-'Price History'!H3)*(ROW()-3)/(MATCH(9.99E+307,'Returns (Calc)'!$A:$A)-3),"")</f>
        <v>476.514556962025</v>
      </c>
      <c r="AD67" s="156" t="n">
        <f aca="false">IFERROR('Price History'!I3+(INDEX('Price History'!I:I,MATCH(9.99E+307,'Returns (Calc)'!$A:$A)+1)-'Price History'!I3)*(ROW()-3)/(MATCH(9.99E+307,'Returns (Calc)'!$A:$A)-3),"")</f>
        <v>120.804936708861</v>
      </c>
      <c r="AE67" s="156" t="n">
        <f aca="false">IFERROR('Price History'!J3+(INDEX('Price History'!J:J,MATCH(9.99E+307,'Returns (Calc)'!$A:$A)+1)-'Price History'!J3)*(ROW()-3)/(MATCH(9.99E+307,'Returns (Calc)'!$A:$A)-3),"")</f>
        <v>118.754430379747</v>
      </c>
      <c r="AF67" s="156" t="n">
        <f aca="false">IFERROR('Price History'!K3+(INDEX('Price History'!K:K,MATCH(9.99E+307,'Returns (Calc)'!$A:$A)+1)-'Price History'!K3)*(ROW()-3)/(MATCH(9.99E+307,'Returns (Calc)'!$A:$A)-3),"")</f>
        <v>85.5760759493671</v>
      </c>
      <c r="AG67" s="156" t="n">
        <f aca="false">IFERROR('Price History'!L3+(INDEX('Price History'!L:L,MATCH(9.99E+307,'Returns (Calc)'!$A:$A)+1)-'Price History'!L3)*(ROW()-3)/(MATCH(9.99E+307,'Returns (Calc)'!$A:$A)-3),"")</f>
        <v>242.52164556962</v>
      </c>
      <c r="AH67" s="156" t="n">
        <f aca="false">IFERROR('Price History'!M3+(INDEX('Price History'!M:M,MATCH(9.99E+307,'Returns (Calc)'!$A:$A)+1)-'Price History'!M3)*(ROW()-3)/(MATCH(9.99E+307,'Returns (Calc)'!$A:$A)-3),"")</f>
        <v>124.76835443038</v>
      </c>
      <c r="AI67" s="156" t="n">
        <f aca="false">IFERROR('Price History'!N3+(INDEX('Price History'!N:N,MATCH(9.99E+307,'Returns (Calc)'!$A:$A)+1)-'Price History'!N3)*(ROW()-3)/(MATCH(9.99E+307,'Returns (Calc)'!$A:$A)-3),"")</f>
        <v>412.021012658228</v>
      </c>
      <c r="AJ67" s="156" t="n">
        <f aca="false">IFERROR('Price History'!O3+(INDEX('Price History'!O:O,MATCH(9.99E+307,'Returns (Calc)'!$A:$A)+1)-'Price History'!O3)*(ROW()-3)/(MATCH(9.99E+307,'Returns (Calc)'!$A:$A)-3),"")</f>
        <v>93.4244303797468</v>
      </c>
      <c r="AK67" s="156" t="n">
        <f aca="false">IFERROR('Price History'!Q3+(INDEX('Price History'!Q:Q,MATCH(9.99E+307,'Returns (Calc)'!$A:$A)+1)-'Price History'!Q3)*(ROW()-3)/(MATCH(9.99E+307,'Returns (Calc)'!$A:$A)-3),"")</f>
        <v>28.1194936708861</v>
      </c>
      <c r="AL67" s="156" t="n">
        <f aca="false">IFERROR('Price History'!R3+(INDEX('Price History'!R:R,MATCH(9.99E+307,'Returns (Calc)'!$A:$A)+1)-'Price History'!R3)*(ROW()-3)/(MATCH(9.99E+307,'Returns (Calc)'!$A:$A)-3),"")</f>
        <v>45.2384810126582</v>
      </c>
      <c r="AM67" s="156" t="n">
        <f aca="false">IFERROR('Price History'!S3+(INDEX('Price History'!S:S,MATCH(9.99E+307,'Returns (Calc)'!$A:$A)+1)-'Price History'!S3)*(ROW()-3)/(MATCH(9.99E+307,'Returns (Calc)'!$A:$A)-3),"")</f>
        <v>96.3540506329114</v>
      </c>
      <c r="AN67" s="156" t="n">
        <f aca="false">IFERROR('Price History'!T3+(INDEX('Price History'!T:T,MATCH(9.99E+307,'Returns (Calc)'!$A:$A)+1)-'Price History'!T3)*(ROW()-3)/(MATCH(9.99E+307,'Returns (Calc)'!$A:$A)-3),"")</f>
        <v>36.006582278481</v>
      </c>
      <c r="AO67" s="157" t="n">
        <f aca="false">IFERROR('Price History'!V3+(INDEX('Price History'!V:V,MATCH(9.99E+307,'Returns (Calc)'!$A:$A)+1)-'Price History'!V3)*(ROW()-3)/(MATCH(9.99E+307,'Returns (Calc)'!$A:$A)-3),"")</f>
        <v>286.275063291139</v>
      </c>
      <c r="AP67" s="155" t="n">
        <f aca="false">IFERROR(IF(OR(NOT(ISNUMBER('Price History'!W68)),NOT(ISNUMBER('Price History'!W67)),'Price History'!W67=0),"",'Price History'!W68/'Price History'!W67-1),"")</f>
        <v>-0.00705229793977813</v>
      </c>
      <c r="AQ67" s="155" t="str">
        <f aca="false">IFERROR(IF(OR(NOT(ISNUMBER('Price History'!X68)),NOT(ISNUMBER('Price History'!X67)),'Price History'!X67=0),"",'Price History'!X68/'Price History'!X67-1),"")</f>
        <v/>
      </c>
      <c r="AR67" s="155" t="n">
        <f aca="false">IFERROR(IF(OR(NOT(ISNUMBER('Price History'!Y68)),NOT(ISNUMBER('Price History'!Y67)),'Price History'!Y67=0),"",'Price History'!Y68/'Price History'!Y67-1),"")</f>
        <v>-0.00814111261872463</v>
      </c>
      <c r="AS67" s="155" t="n">
        <f aca="false">IFERROR(IF(OR(NOT(ISNUMBER('Price History'!Z68)),NOT(ISNUMBER('Price History'!Z67)),'Price History'!Z67=0),"",'Price History'!Z68/'Price History'!Z67-1),"")</f>
        <v>-0.0544785134901915</v>
      </c>
      <c r="AT67" s="155" t="n">
        <f aca="false">IFERROR(IF(OR(NOT(ISNUMBER('Price History'!AA68)),NOT(ISNUMBER('Price History'!AA67)),'Price History'!AA67=0),"",'Price History'!AA68/'Price History'!AA67-1),"")</f>
        <v>-0.0169038194072965</v>
      </c>
      <c r="AU67" s="155" t="n">
        <f aca="false">IFERROR(IF(OR(NOT(ISNUMBER('Price History'!AB68)),NOT(ISNUMBER('Price History'!AB67)),'Price History'!AB67=0),"",'Price History'!AB68/'Price History'!AB67-1),"")</f>
        <v>-0.0865242563385905</v>
      </c>
    </row>
    <row r="68" customFormat="false" ht="15" hidden="false" customHeight="true" outlineLevel="0" collapsed="false">
      <c r="A68" s="153" t="n">
        <f aca="false">IF('Price History'!A69="","",'Price History'!A69)</f>
        <v>45646</v>
      </c>
      <c r="B68" s="154" t="n">
        <f aca="false">IFERROR(IF(OR(NOT(ISNUMBER('Price History'!B69)),NOT(ISNUMBER('Price History'!B68)),'Price History'!B68=0),"",'Price History'!B69/'Price History'!B68-1),"")</f>
        <v>-0.0397689450063347</v>
      </c>
      <c r="C68" s="154" t="n">
        <f aca="false">IFERROR(IF(OR(NOT(ISNUMBER('Price History'!C69)),NOT(ISNUMBER('Price History'!C68)),'Price History'!C68=0),"",'Price History'!C69/'Price History'!C68-1),"")</f>
        <v>0.00391563584586629</v>
      </c>
      <c r="D68" s="154" t="n">
        <f aca="false">IFERROR(IF(OR(NOT(ISNUMBER('Price History'!D69)),NOT(ISNUMBER('Price History'!D68)),'Price History'!D68=0),"",'Price History'!D69/'Price History'!D68-1),"")</f>
        <v>-0.0179564640447218</v>
      </c>
      <c r="E68" s="154" t="n">
        <f aca="false">IFERROR(IF(OR(NOT(ISNUMBER('Price History'!E69)),NOT(ISNUMBER('Price History'!E68)),'Price History'!E68=0),"",'Price History'!E69/'Price History'!E68-1),"")</f>
        <v>-0.0178304747250758</v>
      </c>
      <c r="F68" s="154" t="n">
        <f aca="false">IFERROR(IF(OR(NOT(ISNUMBER('Price History'!F69)),NOT(ISNUMBER('Price History'!F68)),'Price History'!F68=0),"",'Price History'!F69/'Price History'!F68-1),"")</f>
        <v>-0.0155434782608697</v>
      </c>
      <c r="G68" s="154" t="n">
        <f aca="false">IFERROR(IF(OR(NOT(ISNUMBER('Price History'!G69)),NOT(ISNUMBER('Price History'!G68)),'Price History'!G68=0),"",'Price History'!G69/'Price History'!G68-1),"")</f>
        <v>-0.0373180551254257</v>
      </c>
      <c r="H68" s="154" t="n">
        <f aca="false">IFERROR(IF(OR(NOT(ISNUMBER('Price History'!H69)),NOT(ISNUMBER('Price History'!H68)),'Price History'!H68=0),"",'Price History'!H69/'Price History'!H68-1),"")</f>
        <v>-0.120721780915956</v>
      </c>
      <c r="I68" s="154" t="n">
        <f aca="false">IFERROR(IF(OR(NOT(ISNUMBER('Price History'!I69)),NOT(ISNUMBER('Price History'!I68)),'Price History'!I68=0),"",'Price History'!I69/'Price History'!I68-1),"")</f>
        <v>0.00336071695294993</v>
      </c>
      <c r="J68" s="154" t="n">
        <f aca="false">IFERROR(IF(OR(NOT(ISNUMBER('Price History'!J69)),NOT(ISNUMBER('Price History'!J68)),'Price History'!J68=0),"",'Price History'!J69/'Price History'!J68-1),"")</f>
        <v>-0.0622414622414622</v>
      </c>
      <c r="K68" s="154" t="n">
        <f aca="false">IFERROR(IF(OR(NOT(ISNUMBER('Price History'!K69)),NOT(ISNUMBER('Price History'!K68)),'Price History'!K68=0),"",'Price History'!K69/'Price History'!K68-1),"")</f>
        <v>0.0588931247535165</v>
      </c>
      <c r="L68" s="154" t="n">
        <f aca="false">IFERROR(IF(OR(NOT(ISNUMBER('Price History'!L69)),NOT(ISNUMBER('Price History'!L68)),'Price History'!L68=0),"",'Price History'!L69/'Price History'!L68-1),"")</f>
        <v>-0.0188036794226764</v>
      </c>
      <c r="M68" s="154" t="n">
        <f aca="false">IFERROR(IF(OR(NOT(ISNUMBER('Price History'!M69)),NOT(ISNUMBER('Price History'!M68)),'Price History'!M68=0),"",'Price History'!M69/'Price History'!M68-1),"")</f>
        <v>-0.0455740578439965</v>
      </c>
      <c r="N68" s="154" t="n">
        <f aca="false">IFERROR(IF(OR(NOT(ISNUMBER('Price History'!N69)),NOT(ISNUMBER('Price History'!N68)),'Price History'!N68=0),"",'Price History'!N69/'Price History'!N68-1),"")</f>
        <v>-0.14331615379639</v>
      </c>
      <c r="O68" s="154" t="n">
        <f aca="false">IFERROR(IF(OR(NOT(ISNUMBER('Price History'!O69)),NOT(ISNUMBER('Price History'!O68)),'Price History'!O68=0),"",'Price History'!O69/'Price History'!O68-1),"")</f>
        <v>-0.0538710329492622</v>
      </c>
      <c r="P68" s="154" t="n">
        <f aca="false">IFERROR(IF(OR(NOT(ISNUMBER('Price History'!P69)),NOT(ISNUMBER('Price History'!P68)),'Price History'!P68=0),"",'Price History'!P69/'Price History'!P68-1),"")</f>
        <v>-0.0315830721003135</v>
      </c>
      <c r="Q68" s="154" t="n">
        <f aca="false">IFERROR(IF(OR(NOT(ISNUMBER('Price History'!Q69)),NOT(ISNUMBER('Price History'!Q68)),'Price History'!Q68=0),"",'Price History'!Q69/'Price History'!Q68-1),"")</f>
        <v>-0.0121931654099149</v>
      </c>
      <c r="R68" s="154" t="n">
        <f aca="false">IFERROR(IF(OR(NOT(ISNUMBER('Price History'!R69)),NOT(ISNUMBER('Price History'!R68)),'Price History'!R68=0),"",'Price History'!R69/'Price History'!R68-1),"")</f>
        <v>-0.0110708963167979</v>
      </c>
      <c r="S68" s="154" t="n">
        <f aca="false">IFERROR(IF(OR(NOT(ISNUMBER('Price History'!S69)),NOT(ISNUMBER('Price History'!S68)),'Price History'!S68=0),"",'Price History'!S69/'Price History'!S68-1),"")</f>
        <v>-0.0224462225917075</v>
      </c>
      <c r="T68" s="154" t="n">
        <f aca="false">IFERROR(IF(OR(NOT(ISNUMBER('Price History'!T69)),NOT(ISNUMBER('Price History'!T68)),'Price History'!T68=0),"",'Price History'!T69/'Price History'!T68-1),"")</f>
        <v>-0.0304628002343292</v>
      </c>
      <c r="U68" s="154" t="n">
        <f aca="false">IFERROR(IF(OR(NOT(ISNUMBER('Price History'!U69)),NOT(ISNUMBER('Price History'!U68)),'Price History'!U68=0),"",'Price History'!U69/'Price History'!U68-1),"")</f>
        <v>-0.0299015897047692</v>
      </c>
      <c r="V68" s="155" t="n">
        <f aca="false">IFERROR(IF(OR(NOT(ISNUMBER('Price History'!V69)),NOT(ISNUMBER('Price History'!V68)),'Price History'!V68=0),"",'Price History'!V69/'Price History'!V68-1),"")</f>
        <v>0.00946402704007721</v>
      </c>
      <c r="W68" s="156" t="n">
        <f aca="false">IFERROR('Price History'!B3+(INDEX('Price History'!B:B,MATCH(9.99E+307,'Returns (Calc)'!$A:$A)+1)-'Price History'!B3)*(ROW()-3)/(MATCH(9.99E+307,'Returns (Calc)'!$A:$A)-3),"")</f>
        <v>409.09253164557</v>
      </c>
      <c r="X68" s="156" t="n">
        <f aca="false">IFERROR('Price History'!C3+(INDEX('Price History'!C:C,MATCH(9.99E+307,'Returns (Calc)'!$A:$A)+1)-'Price History'!C3)*(ROW()-3)/(MATCH(9.99E+307,'Returns (Calc)'!$A:$A)-3),"")</f>
        <v>112.484113924051</v>
      </c>
      <c r="Y68" s="156" t="n">
        <f aca="false">IFERROR('Price History'!D3+(INDEX('Price History'!D:D,MATCH(9.99E+307,'Returns (Calc)'!$A:$A)+1)-'Price History'!D3)*(ROW()-3)/(MATCH(9.99E+307,'Returns (Calc)'!$A:$A)-3),"")</f>
        <v>1110.77265822785</v>
      </c>
      <c r="Z68" s="156" t="n">
        <f aca="false">IFERROR('Price History'!E3+(INDEX('Price History'!E:E,MATCH(9.99E+307,'Returns (Calc)'!$A:$A)+1)-'Price History'!E3)*(ROW()-3)/(MATCH(9.99E+307,'Returns (Calc)'!$A:$A)-3),"")</f>
        <v>194.367721518987</v>
      </c>
      <c r="AA68" s="156" t="n">
        <f aca="false">IFERROR('Price History'!F3+(INDEX('Price History'!F:F,MATCH(9.99E+307,'Returns (Calc)'!$A:$A)+1)-'Price History'!F3)*(ROW()-3)/(MATCH(9.99E+307,'Returns (Calc)'!$A:$A)-3),"")</f>
        <v>135.437215189873</v>
      </c>
      <c r="AB68" s="156" t="n">
        <f aca="false">IFERROR('Price History'!G3+(INDEX('Price History'!G:G,MATCH(9.99E+307,'Returns (Calc)'!$A:$A)+1)-'Price History'!G3)*(ROW()-3)/(MATCH(9.99E+307,'Returns (Calc)'!$A:$A)-3),"")</f>
        <v>111.217721518987</v>
      </c>
      <c r="AC68" s="156" t="n">
        <f aca="false">IFERROR('Price History'!H3+(INDEX('Price History'!H:H,MATCH(9.99E+307,'Returns (Calc)'!$A:$A)+1)-'Price History'!H3)*(ROW()-3)/(MATCH(9.99E+307,'Returns (Calc)'!$A:$A)-3),"")</f>
        <v>482.880253164557</v>
      </c>
      <c r="AD68" s="156" t="n">
        <f aca="false">IFERROR('Price History'!I3+(INDEX('Price History'!I:I,MATCH(9.99E+307,'Returns (Calc)'!$A:$A)+1)-'Price History'!I3)*(ROW()-3)/(MATCH(9.99E+307,'Returns (Calc)'!$A:$A)-3),"")</f>
        <v>122.008607594937</v>
      </c>
      <c r="AE68" s="156" t="n">
        <f aca="false">IFERROR('Price History'!J3+(INDEX('Price History'!J:J,MATCH(9.99E+307,'Returns (Calc)'!$A:$A)+1)-'Price History'!J3)*(ROW()-3)/(MATCH(9.99E+307,'Returns (Calc)'!$A:$A)-3),"")</f>
        <v>118.86246835443</v>
      </c>
      <c r="AF68" s="156" t="n">
        <f aca="false">IFERROR('Price History'!K3+(INDEX('Price History'!K:K,MATCH(9.99E+307,'Returns (Calc)'!$A:$A)+1)-'Price History'!K3)*(ROW()-3)/(MATCH(9.99E+307,'Returns (Calc)'!$A:$A)-3),"")</f>
        <v>86.6736708860759</v>
      </c>
      <c r="AG68" s="156" t="n">
        <f aca="false">IFERROR('Price History'!L3+(INDEX('Price History'!L:L,MATCH(9.99E+307,'Returns (Calc)'!$A:$A)+1)-'Price History'!L3)*(ROW()-3)/(MATCH(9.99E+307,'Returns (Calc)'!$A:$A)-3),"")</f>
        <v>244.971202531646</v>
      </c>
      <c r="AH68" s="156" t="n">
        <f aca="false">IFERROR('Price History'!M3+(INDEX('Price History'!M:M,MATCH(9.99E+307,'Returns (Calc)'!$A:$A)+1)-'Price History'!M3)*(ROW()-3)/(MATCH(9.99E+307,'Returns (Calc)'!$A:$A)-3),"")</f>
        <v>126.123797468354</v>
      </c>
      <c r="AI68" s="156" t="n">
        <f aca="false">IFERROR('Price History'!N3+(INDEX('Price History'!N:N,MATCH(9.99E+307,'Returns (Calc)'!$A:$A)+1)-'Price History'!N3)*(ROW()-3)/(MATCH(9.99E+307,'Returns (Calc)'!$A:$A)-3),"")</f>
        <v>413.007278481013</v>
      </c>
      <c r="AJ68" s="156" t="n">
        <f aca="false">IFERROR('Price History'!O3+(INDEX('Price History'!O:O,MATCH(9.99E+307,'Returns (Calc)'!$A:$A)+1)-'Price History'!O3)*(ROW()-3)/(MATCH(9.99E+307,'Returns (Calc)'!$A:$A)-3),"")</f>
        <v>93.7074683544304</v>
      </c>
      <c r="AK68" s="156" t="n">
        <f aca="false">IFERROR('Price History'!Q3+(INDEX('Price History'!Q:Q,MATCH(9.99E+307,'Returns (Calc)'!$A:$A)+1)-'Price History'!Q3)*(ROW()-3)/(MATCH(9.99E+307,'Returns (Calc)'!$A:$A)-3),"")</f>
        <v>28.5588607594937</v>
      </c>
      <c r="AL68" s="156" t="n">
        <f aca="false">IFERROR('Price History'!R3+(INDEX('Price History'!R:R,MATCH(9.99E+307,'Returns (Calc)'!$A:$A)+1)-'Price History'!R3)*(ROW()-3)/(MATCH(9.99E+307,'Returns (Calc)'!$A:$A)-3),"")</f>
        <v>45.406582278481</v>
      </c>
      <c r="AM68" s="156" t="n">
        <f aca="false">IFERROR('Price History'!S3+(INDEX('Price History'!S:S,MATCH(9.99E+307,'Returns (Calc)'!$A:$A)+1)-'Price History'!S3)*(ROW()-3)/(MATCH(9.99E+307,'Returns (Calc)'!$A:$A)-3),"")</f>
        <v>96.9591139240506</v>
      </c>
      <c r="AN68" s="156" t="n">
        <f aca="false">IFERROR('Price History'!T3+(INDEX('Price History'!T:T,MATCH(9.99E+307,'Returns (Calc)'!$A:$A)+1)-'Price History'!T3)*(ROW()-3)/(MATCH(9.99E+307,'Returns (Calc)'!$A:$A)-3),"")</f>
        <v>36.1748101265823</v>
      </c>
      <c r="AO68" s="157" t="n">
        <f aca="false">IFERROR('Price History'!V3+(INDEX('Price History'!V:V,MATCH(9.99E+307,'Returns (Calc)'!$A:$A)+1)-'Price History'!V3)*(ROW()-3)/(MATCH(9.99E+307,'Returns (Calc)'!$A:$A)-3),"")</f>
        <v>287.066392405063</v>
      </c>
      <c r="AP68" s="155" t="n">
        <f aca="false">IFERROR(IF(OR(NOT(ISNUMBER('Price History'!W69)),NOT(ISNUMBER('Price History'!W68)),'Price History'!W68=0),"",'Price History'!W69/'Price History'!W68-1),"")</f>
        <v>-0.028569148511691</v>
      </c>
      <c r="AQ68" s="155" t="str">
        <f aca="false">IFERROR(IF(OR(NOT(ISNUMBER('Price History'!X69)),NOT(ISNUMBER('Price History'!X68)),'Price History'!X68=0),"",'Price History'!X69/'Price History'!X68-1),"")</f>
        <v/>
      </c>
      <c r="AR68" s="155" t="n">
        <f aca="false">IFERROR(IF(OR(NOT(ISNUMBER('Price History'!Y69)),NOT(ISNUMBER('Price History'!Y68)),'Price History'!Y68=0),"",'Price History'!Y69/'Price History'!Y68-1),"")</f>
        <v>-0.0205198358413133</v>
      </c>
      <c r="AS68" s="155" t="n">
        <f aca="false">IFERROR(IF(OR(NOT(ISNUMBER('Price History'!Z69)),NOT(ISNUMBER('Price History'!Z68)),'Price History'!Z68=0),"",'Price History'!Z69/'Price History'!Z68-1),"")</f>
        <v>0.0141761985884643</v>
      </c>
      <c r="AT68" s="155" t="n">
        <f aca="false">IFERROR(IF(OR(NOT(ISNUMBER('Price History'!AA69)),NOT(ISNUMBER('Price History'!AA68)),'Price History'!AA68=0),"",'Price History'!AA69/'Price History'!AA68-1),"")</f>
        <v>-0.0107737512242898</v>
      </c>
      <c r="AU68" s="155" t="n">
        <f aca="false">IFERROR(IF(OR(NOT(ISNUMBER('Price History'!AB69)),NOT(ISNUMBER('Price History'!AB68)),'Price History'!AB68=0),"",'Price History'!AB69/'Price History'!AB68-1),"")</f>
        <v>-0.0202377830229915</v>
      </c>
    </row>
    <row r="69" customFormat="false" ht="15" hidden="false" customHeight="true" outlineLevel="0" collapsed="false">
      <c r="A69" s="153" t="n">
        <f aca="false">IF('Price History'!A70="","",'Price History'!A70)</f>
        <v>45653</v>
      </c>
      <c r="B69" s="154" t="n">
        <f aca="false">IFERROR(IF(OR(NOT(ISNUMBER('Price History'!B70)),NOT(ISNUMBER('Price History'!B69)),'Price History'!B69=0),"",'Price History'!B70/'Price History'!B69-1),"")</f>
        <v>-0.00154303732361294</v>
      </c>
      <c r="C69" s="154" t="n">
        <f aca="false">IFERROR(IF(OR(NOT(ISNUMBER('Price History'!C70)),NOT(ISNUMBER('Price History'!C69)),'Price History'!C69=0),"",'Price History'!C70/'Price History'!C69-1),"")</f>
        <v>0.00195018172147865</v>
      </c>
      <c r="D69" s="154" t="n">
        <f aca="false">IFERROR(IF(OR(NOT(ISNUMBER('Price History'!D70)),NOT(ISNUMBER('Price History'!D69)),'Price History'!D69=0),"",'Price History'!D70/'Price History'!D69-1),"")</f>
        <v>0.0112123738607941</v>
      </c>
      <c r="E69" s="154" t="n">
        <f aca="false">IFERROR(IF(OR(NOT(ISNUMBER('Price History'!E70)),NOT(ISNUMBER('Price History'!E69)),'Price History'!E69=0),"",'Price History'!E70/'Price History'!E69-1),"")</f>
        <v>0.097866654379579</v>
      </c>
      <c r="F69" s="154" t="n">
        <f aca="false">IFERROR(IF(OR(NOT(ISNUMBER('Price History'!F70)),NOT(ISNUMBER('Price History'!F69)),'Price History'!F69=0),"",'Price History'!F70/'Price History'!F69-1),"")</f>
        <v>-0.0200949541790879</v>
      </c>
      <c r="G69" s="154" t="n">
        <f aca="false">IFERROR(IF(OR(NOT(ISNUMBER('Price History'!G70)),NOT(ISNUMBER('Price History'!G69)),'Price History'!G69=0),"",'Price History'!G70/'Price History'!G69-1),"")</f>
        <v>0.0246099404857649</v>
      </c>
      <c r="H69" s="154" t="n">
        <f aca="false">IFERROR(IF(OR(NOT(ISNUMBER('Price History'!H70)),NOT(ISNUMBER('Price History'!H69)),'Price History'!H69=0),"",'Price History'!H70/'Price History'!H69-1),"")</f>
        <v>-0.0165068034798125</v>
      </c>
      <c r="I69" s="154" t="n">
        <f aca="false">IFERROR(IF(OR(NOT(ISNUMBER('Price History'!I70)),NOT(ISNUMBER('Price History'!I69)),'Price History'!I69=0),"",'Price History'!I70/'Price History'!I69-1),"")</f>
        <v>0.0171194640863417</v>
      </c>
      <c r="J69" s="154" t="n">
        <f aca="false">IFERROR(IF(OR(NOT(ISNUMBER('Price History'!J70)),NOT(ISNUMBER('Price History'!J69)),'Price History'!J69=0),"",'Price History'!J70/'Price History'!J69-1),"")</f>
        <v>0.0185679113664341</v>
      </c>
      <c r="K69" s="154" t="n">
        <f aca="false">IFERROR(IF(OR(NOT(ISNUMBER('Price History'!K70)),NOT(ISNUMBER('Price History'!K69)),'Price History'!K69=0),"",'Price History'!K70/'Price History'!K69-1),"")</f>
        <v>-0.0182495344506518</v>
      </c>
      <c r="L69" s="154" t="n">
        <f aca="false">IFERROR(IF(OR(NOT(ISNUMBER('Price History'!L70)),NOT(ISNUMBER('Price History'!L69)),'Price History'!L69=0),"",'Price History'!L70/'Price History'!L69-1),"")</f>
        <v>0.0224270989796447</v>
      </c>
      <c r="M69" s="154" t="n">
        <f aca="false">IFERROR(IF(OR(NOT(ISNUMBER('Price History'!M70)),NOT(ISNUMBER('Price History'!M69)),'Price History'!M69=0),"",'Price History'!M70/'Price History'!M69-1),"")</f>
        <v>-0.0410718757826196</v>
      </c>
      <c r="N69" s="154" t="n">
        <f aca="false">IFERROR(IF(OR(NOT(ISNUMBER('Price History'!N70)),NOT(ISNUMBER('Price History'!N69)),'Price History'!N69=0),"",'Price History'!N70/'Price History'!N69-1),"")</f>
        <v>0.0289223953482518</v>
      </c>
      <c r="O69" s="154" t="n">
        <f aca="false">IFERROR(IF(OR(NOT(ISNUMBER('Price History'!O70)),NOT(ISNUMBER('Price History'!O69)),'Price History'!O69=0),"",'Price History'!O70/'Price History'!O69-1),"")</f>
        <v>0.00395256916996045</v>
      </c>
      <c r="P69" s="154" t="n">
        <f aca="false">IFERROR(IF(OR(NOT(ISNUMBER('Price History'!P70)),NOT(ISNUMBER('Price History'!P69)),'Price History'!P69=0),"",'Price History'!P70/'Price History'!P69-1),"")</f>
        <v>0.00453184429877807</v>
      </c>
      <c r="Q69" s="154" t="n">
        <f aca="false">IFERROR(IF(OR(NOT(ISNUMBER('Price History'!Q70)),NOT(ISNUMBER('Price History'!Q69)),'Price History'!Q69=0),"",'Price History'!Q70/'Price History'!Q69-1),"")</f>
        <v>0.00649667045639113</v>
      </c>
      <c r="R69" s="154" t="n">
        <f aca="false">IFERROR(IF(OR(NOT(ISNUMBER('Price History'!R70)),NOT(ISNUMBER('Price History'!R69)),'Price History'!R69=0),"",'Price History'!R70/'Price History'!R69-1),"")</f>
        <v>0.00925726587728737</v>
      </c>
      <c r="S69" s="154" t="n">
        <f aca="false">IFERROR(IF(OR(NOT(ISNUMBER('Price History'!S70)),NOT(ISNUMBER('Price History'!S69)),'Price History'!S69=0),"",'Price History'!S70/'Price History'!S69-1),"")</f>
        <v>0.0126501541405337</v>
      </c>
      <c r="T69" s="154" t="n">
        <f aca="false">IFERROR(IF(OR(NOT(ISNUMBER('Price History'!T70)),NOT(ISNUMBER('Price History'!T69)),'Price History'!T69=0),"",'Price History'!T70/'Price History'!T69-1),"")</f>
        <v>0.00936555891238666</v>
      </c>
      <c r="U69" s="154" t="n">
        <f aca="false">IFERROR(IF(OR(NOT(ISNUMBER('Price History'!U70)),NOT(ISNUMBER('Price History'!U69)),'Price History'!U69=0),"",'Price History'!U70/'Price History'!U69-1),"")</f>
        <v>0.00663285212641451</v>
      </c>
      <c r="V69" s="155" t="n">
        <f aca="false">IFERROR(IF(OR(NOT(ISNUMBER('Price History'!V70)),NOT(ISNUMBER('Price History'!V69)),'Price History'!V69=0),"",'Price History'!V70/'Price History'!V69-1),"")</f>
        <v>0.00296565579259545</v>
      </c>
      <c r="W69" s="156" t="n">
        <f aca="false">IFERROR('Price History'!B3+(INDEX('Price History'!B:B,MATCH(9.99E+307,'Returns (Calc)'!$A:$A)+1)-'Price History'!B3)*(ROW()-3)/(MATCH(9.99E+307,'Returns (Calc)'!$A:$A)-3),"")</f>
        <v>407.249493670886</v>
      </c>
      <c r="X69" s="156" t="n">
        <f aca="false">IFERROR('Price History'!C3+(INDEX('Price History'!C:C,MATCH(9.99E+307,'Returns (Calc)'!$A:$A)+1)-'Price History'!C3)*(ROW()-3)/(MATCH(9.99E+307,'Returns (Calc)'!$A:$A)-3),"")</f>
        <v>113.50417721519</v>
      </c>
      <c r="Y69" s="156" t="n">
        <f aca="false">IFERROR('Price History'!D3+(INDEX('Price History'!D:D,MATCH(9.99E+307,'Returns (Calc)'!$A:$A)+1)-'Price History'!D3)*(ROW()-3)/(MATCH(9.99E+307,'Returns (Calc)'!$A:$A)-3),"")</f>
        <v>1118.90746835443</v>
      </c>
      <c r="Z69" s="156" t="n">
        <f aca="false">IFERROR('Price History'!E3+(INDEX('Price History'!E:E,MATCH(9.99E+307,'Returns (Calc)'!$A:$A)+1)-'Price History'!E3)*(ROW()-3)/(MATCH(9.99E+307,'Returns (Calc)'!$A:$A)-3),"")</f>
        <v>196.096455696203</v>
      </c>
      <c r="AA69" s="156" t="n">
        <f aca="false">IFERROR('Price History'!F3+(INDEX('Price History'!F:F,MATCH(9.99E+307,'Returns (Calc)'!$A:$A)+1)-'Price History'!F3)*(ROW()-3)/(MATCH(9.99E+307,'Returns (Calc)'!$A:$A)-3),"")</f>
        <v>136.884556962025</v>
      </c>
      <c r="AB69" s="156" t="n">
        <f aca="false">IFERROR('Price History'!G3+(INDEX('Price History'!G:G,MATCH(9.99E+307,'Returns (Calc)'!$A:$A)+1)-'Price History'!G3)*(ROW()-3)/(MATCH(9.99E+307,'Returns (Calc)'!$A:$A)-3),"")</f>
        <v>112.246455696203</v>
      </c>
      <c r="AC69" s="156" t="n">
        <f aca="false">IFERROR('Price History'!H3+(INDEX('Price History'!H:H,MATCH(9.99E+307,'Returns (Calc)'!$A:$A)+1)-'Price History'!H3)*(ROW()-3)/(MATCH(9.99E+307,'Returns (Calc)'!$A:$A)-3),"")</f>
        <v>489.245949367089</v>
      </c>
      <c r="AD69" s="156" t="n">
        <f aca="false">IFERROR('Price History'!I3+(INDEX('Price History'!I:I,MATCH(9.99E+307,'Returns (Calc)'!$A:$A)+1)-'Price History'!I3)*(ROW()-3)/(MATCH(9.99E+307,'Returns (Calc)'!$A:$A)-3),"")</f>
        <v>123.212278481013</v>
      </c>
      <c r="AE69" s="156" t="n">
        <f aca="false">IFERROR('Price History'!J3+(INDEX('Price History'!J:J,MATCH(9.99E+307,'Returns (Calc)'!$A:$A)+1)-'Price History'!J3)*(ROW()-3)/(MATCH(9.99E+307,'Returns (Calc)'!$A:$A)-3),"")</f>
        <v>118.970506329114</v>
      </c>
      <c r="AF69" s="156" t="n">
        <f aca="false">IFERROR('Price History'!K3+(INDEX('Price History'!K:K,MATCH(9.99E+307,'Returns (Calc)'!$A:$A)+1)-'Price History'!K3)*(ROW()-3)/(MATCH(9.99E+307,'Returns (Calc)'!$A:$A)-3),"")</f>
        <v>87.7712658227848</v>
      </c>
      <c r="AG69" s="156" t="n">
        <f aca="false">IFERROR('Price History'!L3+(INDEX('Price History'!L:L,MATCH(9.99E+307,'Returns (Calc)'!$A:$A)+1)-'Price History'!L3)*(ROW()-3)/(MATCH(9.99E+307,'Returns (Calc)'!$A:$A)-3),"")</f>
        <v>247.420759493671</v>
      </c>
      <c r="AH69" s="156" t="n">
        <f aca="false">IFERROR('Price History'!M3+(INDEX('Price History'!M:M,MATCH(9.99E+307,'Returns (Calc)'!$A:$A)+1)-'Price History'!M3)*(ROW()-3)/(MATCH(9.99E+307,'Returns (Calc)'!$A:$A)-3),"")</f>
        <v>127.479240506329</v>
      </c>
      <c r="AI69" s="156" t="n">
        <f aca="false">IFERROR('Price History'!N3+(INDEX('Price History'!N:N,MATCH(9.99E+307,'Returns (Calc)'!$A:$A)+1)-'Price History'!N3)*(ROW()-3)/(MATCH(9.99E+307,'Returns (Calc)'!$A:$A)-3),"")</f>
        <v>413.993544303798</v>
      </c>
      <c r="AJ69" s="156" t="n">
        <f aca="false">IFERROR('Price History'!O3+(INDEX('Price History'!O:O,MATCH(9.99E+307,'Returns (Calc)'!$A:$A)+1)-'Price History'!O3)*(ROW()-3)/(MATCH(9.99E+307,'Returns (Calc)'!$A:$A)-3),"")</f>
        <v>93.9905063291139</v>
      </c>
      <c r="AK69" s="156" t="n">
        <f aca="false">IFERROR('Price History'!Q3+(INDEX('Price History'!Q:Q,MATCH(9.99E+307,'Returns (Calc)'!$A:$A)+1)-'Price History'!Q3)*(ROW()-3)/(MATCH(9.99E+307,'Returns (Calc)'!$A:$A)-3),"")</f>
        <v>28.9982278481013</v>
      </c>
      <c r="AL69" s="156" t="n">
        <f aca="false">IFERROR('Price History'!R3+(INDEX('Price History'!R:R,MATCH(9.99E+307,'Returns (Calc)'!$A:$A)+1)-'Price History'!R3)*(ROW()-3)/(MATCH(9.99E+307,'Returns (Calc)'!$A:$A)-3),"")</f>
        <v>45.5746835443038</v>
      </c>
      <c r="AM69" s="156" t="n">
        <f aca="false">IFERROR('Price History'!S3+(INDEX('Price History'!S:S,MATCH(9.99E+307,'Returns (Calc)'!$A:$A)+1)-'Price History'!S3)*(ROW()-3)/(MATCH(9.99E+307,'Returns (Calc)'!$A:$A)-3),"")</f>
        <v>97.5641772151899</v>
      </c>
      <c r="AN69" s="156" t="n">
        <f aca="false">IFERROR('Price History'!T3+(INDEX('Price History'!T:T,MATCH(9.99E+307,'Returns (Calc)'!$A:$A)+1)-'Price History'!T3)*(ROW()-3)/(MATCH(9.99E+307,'Returns (Calc)'!$A:$A)-3),"")</f>
        <v>36.3430379746835</v>
      </c>
      <c r="AO69" s="157" t="n">
        <f aca="false">IFERROR('Price History'!V3+(INDEX('Price History'!V:V,MATCH(9.99E+307,'Returns (Calc)'!$A:$A)+1)-'Price History'!V3)*(ROW()-3)/(MATCH(9.99E+307,'Returns (Calc)'!$A:$A)-3),"")</f>
        <v>287.857721518987</v>
      </c>
      <c r="AP69" s="155" t="n">
        <f aca="false">IFERROR(IF(OR(NOT(ISNUMBER('Price History'!W70)),NOT(ISNUMBER('Price History'!W69)),'Price History'!W69=0),"",'Price History'!W70/'Price History'!W69-1),"")</f>
        <v>0.0119116076562886</v>
      </c>
      <c r="AQ69" s="155" t="str">
        <f aca="false">IFERROR(IF(OR(NOT(ISNUMBER('Price History'!X70)),NOT(ISNUMBER('Price History'!X69)),'Price History'!X69=0),"",'Price History'!X70/'Price History'!X69-1),"")</f>
        <v/>
      </c>
      <c r="AR69" s="155" t="n">
        <f aca="false">IFERROR(IF(OR(NOT(ISNUMBER('Price History'!Y70)),NOT(ISNUMBER('Price History'!Y69)),'Price History'!Y69=0),"",'Price History'!Y70/'Price History'!Y69-1),"")</f>
        <v>0.00438946528332007</v>
      </c>
      <c r="AS69" s="155" t="n">
        <f aca="false">IFERROR(IF(OR(NOT(ISNUMBER('Price History'!Z70)),NOT(ISNUMBER('Price History'!Z69)),'Price History'!Z69=0),"",'Price History'!Z70/'Price History'!Z69-1),"")</f>
        <v>0.0118183454316396</v>
      </c>
      <c r="AT69" s="155" t="n">
        <f aca="false">IFERROR(IF(OR(NOT(ISNUMBER('Price History'!AA70)),NOT(ISNUMBER('Price History'!AA69)),'Price History'!AA69=0),"",'Price History'!AA70/'Price History'!AA69-1),"")</f>
        <v>-0.00165016501650173</v>
      </c>
      <c r="AU69" s="155" t="n">
        <f aca="false">IFERROR(IF(OR(NOT(ISNUMBER('Price History'!AB70)),NOT(ISNUMBER('Price History'!AB69)),'Price History'!AB69=0),"",'Price History'!AB70/'Price History'!AB69-1),"")</f>
        <v>-0.0452375641311622</v>
      </c>
    </row>
    <row r="70" customFormat="false" ht="15" hidden="false" customHeight="true" outlineLevel="0" collapsed="false">
      <c r="A70" s="153" t="n">
        <f aca="false">IF('Price History'!A71="","",'Price History'!A71)</f>
        <v>45660</v>
      </c>
      <c r="B70" s="154" t="n">
        <f aca="false">IFERROR(IF(OR(NOT(ISNUMBER('Price History'!B71)),NOT(ISNUMBER('Price History'!B70)),'Price History'!B70=0),"",'Price History'!B71/'Price History'!B70-1),"")</f>
        <v>-0.0356342949292242</v>
      </c>
      <c r="C70" s="154" t="n">
        <f aca="false">IFERROR(IF(OR(NOT(ISNUMBER('Price History'!C71)),NOT(ISNUMBER('Price History'!C70)),'Price History'!C70=0),"",'Price History'!C71/'Price History'!C70-1),"")</f>
        <v>0.0191984428912679</v>
      </c>
      <c r="D70" s="154" t="n">
        <f aca="false">IFERROR(IF(OR(NOT(ISNUMBER('Price History'!D71)),NOT(ISNUMBER('Price History'!D70)),'Price History'!D70=0),"",'Price History'!D71/'Price History'!D70-1),"")</f>
        <v>0.0010803741506269</v>
      </c>
      <c r="E70" s="154" t="n">
        <f aca="false">IFERROR(IF(OR(NOT(ISNUMBER('Price History'!E71)),NOT(ISNUMBER('Price History'!E70)),'Price History'!E70=0),"",'Price History'!E71/'Price History'!E70-1),"")</f>
        <v>-0.038066059512318</v>
      </c>
      <c r="F70" s="154" t="n">
        <f aca="false">IFERROR(IF(OR(NOT(ISNUMBER('Price History'!F71)),NOT(ISNUMBER('Price History'!F70)),'Price History'!F70=0),"",'Price History'!F71/'Price History'!F70-1),"")</f>
        <v>0.0112676056338028</v>
      </c>
      <c r="G70" s="154" t="n">
        <f aca="false">IFERROR(IF(OR(NOT(ISNUMBER('Price History'!G71)),NOT(ISNUMBER('Price History'!G70)),'Price History'!G70=0),"",'Price History'!G71/'Price History'!G70-1),"")</f>
        <v>0.0188383045525904</v>
      </c>
      <c r="H70" s="154" t="n">
        <f aca="false">IFERROR(IF(OR(NOT(ISNUMBER('Price History'!H71)),NOT(ISNUMBER('Price History'!H70)),'Price History'!H70=0),"",'Price History'!H71/'Price History'!H70-1),"")</f>
        <v>0.0153095940122476</v>
      </c>
      <c r="I70" s="154" t="n">
        <f aca="false">IFERROR(IF(OR(NOT(ISNUMBER('Price History'!I71)),NOT(ISNUMBER('Price History'!I70)),'Price History'!I70=0),"",'Price History'!I71/'Price History'!I70-1),"")</f>
        <v>0.0544456641053788</v>
      </c>
      <c r="J70" s="154" t="n">
        <f aca="false">IFERROR(IF(OR(NOT(ISNUMBER('Price History'!J71)),NOT(ISNUMBER('Price History'!J70)),'Price History'!J70=0),"",'Price History'!J71/'Price History'!J70-1),"")</f>
        <v>0.00372645785074011</v>
      </c>
      <c r="K70" s="154" t="n">
        <f aca="false">IFERROR(IF(OR(NOT(ISNUMBER('Price History'!K71)),NOT(ISNUMBER('Price History'!K70)),'Price History'!K70=0),"",'Price History'!K71/'Price History'!K70-1),"")</f>
        <v>0.0102427921092565</v>
      </c>
      <c r="L70" s="154" t="n">
        <f aca="false">IFERROR(IF(OR(NOT(ISNUMBER('Price History'!L71)),NOT(ISNUMBER('Price History'!L70)),'Price History'!L70=0),"",'Price History'!L71/'Price History'!L70-1),"")</f>
        <v>0.0345997973657548</v>
      </c>
      <c r="M70" s="154" t="n">
        <f aca="false">IFERROR(IF(OR(NOT(ISNUMBER('Price History'!M71)),NOT(ISNUMBER('Price History'!M70)),'Price History'!M70=0),"",'Price History'!M71/'Price History'!M70-1),"")</f>
        <v>0.0916688430399582</v>
      </c>
      <c r="N70" s="154" t="n">
        <f aca="false">IFERROR(IF(OR(NOT(ISNUMBER('Price History'!N71)),NOT(ISNUMBER('Price History'!N70)),'Price History'!N70=0),"",'Price History'!N71/'Price History'!N70-1),"")</f>
        <v>-0.0040365984930032</v>
      </c>
      <c r="O70" s="154" t="n">
        <f aca="false">IFERROR(IF(OR(NOT(ISNUMBER('Price History'!O71)),NOT(ISNUMBER('Price History'!O70)),'Price History'!O70=0),"",'Price History'!O71/'Price History'!O70-1),"")</f>
        <v>0.00787401574803148</v>
      </c>
      <c r="P70" s="154" t="n">
        <f aca="false">IFERROR(IF(OR(NOT(ISNUMBER('Price History'!P71)),NOT(ISNUMBER('Price History'!P70)),'Price History'!P70=0),"",'Price History'!P71/'Price History'!P70-1),"")</f>
        <v>-0.000563924917425185</v>
      </c>
      <c r="Q70" s="154" t="n">
        <f aca="false">IFERROR(IF(OR(NOT(ISNUMBER('Price History'!Q71)),NOT(ISNUMBER('Price History'!Q70)),'Price History'!Q70=0),"",'Price History'!Q71/'Price History'!Q70-1),"")</f>
        <v>-0.00403421010166205</v>
      </c>
      <c r="R70" s="154" t="n">
        <f aca="false">IFERROR(IF(OR(NOT(ISNUMBER('Price History'!R71)),NOT(ISNUMBER('Price History'!R70)),'Price History'!R70=0),"",'Price History'!R71/'Price History'!R70-1),"")</f>
        <v>-0.0034129692832765</v>
      </c>
      <c r="S70" s="154" t="n">
        <f aca="false">IFERROR(IF(OR(NOT(ISNUMBER('Price History'!S71)),NOT(ISNUMBER('Price History'!S70)),'Price History'!S70=0),"",'Price History'!S71/'Price History'!S70-1),"")</f>
        <v>0.00304429981104337</v>
      </c>
      <c r="T70" s="154" t="n">
        <f aca="false">IFERROR(IF(OR(NOT(ISNUMBER('Price History'!T71)),NOT(ISNUMBER('Price History'!T70)),'Price History'!T70=0),"",'Price History'!T71/'Price History'!T70-1),"")</f>
        <v>0.00748278958395687</v>
      </c>
      <c r="U70" s="154" t="n">
        <f aca="false">IFERROR(IF(OR(NOT(ISNUMBER('Price History'!U71)),NOT(ISNUMBER('Price History'!U70)),'Price History'!U70=0),"",'Price History'!U71/'Price History'!U70-1),"")</f>
        <v>-0.00116279069767444</v>
      </c>
      <c r="V70" s="155" t="n">
        <f aca="false">IFERROR(IF(OR(NOT(ISNUMBER('Price History'!V71)),NOT(ISNUMBER('Price History'!V70)),'Price History'!V70=0),"",'Price History'!V71/'Price History'!V70-1),"")</f>
        <v>-0.0117639577769298</v>
      </c>
      <c r="W70" s="156" t="n">
        <f aca="false">IFERROR('Price History'!B3+(INDEX('Price History'!B:B,MATCH(9.99E+307,'Returns (Calc)'!$A:$A)+1)-'Price History'!B3)*(ROW()-3)/(MATCH(9.99E+307,'Returns (Calc)'!$A:$A)-3),"")</f>
        <v>405.406455696203</v>
      </c>
      <c r="X70" s="156" t="n">
        <f aca="false">IFERROR('Price History'!C3+(INDEX('Price History'!C:C,MATCH(9.99E+307,'Returns (Calc)'!$A:$A)+1)-'Price History'!C3)*(ROW()-3)/(MATCH(9.99E+307,'Returns (Calc)'!$A:$A)-3),"")</f>
        <v>114.524240506329</v>
      </c>
      <c r="Y70" s="156" t="n">
        <f aca="false">IFERROR('Price History'!D3+(INDEX('Price History'!D:D,MATCH(9.99E+307,'Returns (Calc)'!$A:$A)+1)-'Price History'!D3)*(ROW()-3)/(MATCH(9.99E+307,'Returns (Calc)'!$A:$A)-3),"")</f>
        <v>1127.04227848101</v>
      </c>
      <c r="Z70" s="156" t="n">
        <f aca="false">IFERROR('Price History'!E3+(INDEX('Price History'!E:E,MATCH(9.99E+307,'Returns (Calc)'!$A:$A)+1)-'Price History'!E3)*(ROW()-3)/(MATCH(9.99E+307,'Returns (Calc)'!$A:$A)-3),"")</f>
        <v>197.825189873418</v>
      </c>
      <c r="AA70" s="156" t="n">
        <f aca="false">IFERROR('Price History'!F3+(INDEX('Price History'!F:F,MATCH(9.99E+307,'Returns (Calc)'!$A:$A)+1)-'Price History'!F3)*(ROW()-3)/(MATCH(9.99E+307,'Returns (Calc)'!$A:$A)-3),"")</f>
        <v>138.331898734177</v>
      </c>
      <c r="AB70" s="156" t="n">
        <f aca="false">IFERROR('Price History'!G3+(INDEX('Price History'!G:G,MATCH(9.99E+307,'Returns (Calc)'!$A:$A)+1)-'Price History'!G3)*(ROW()-3)/(MATCH(9.99E+307,'Returns (Calc)'!$A:$A)-3),"")</f>
        <v>113.275189873418</v>
      </c>
      <c r="AC70" s="156" t="n">
        <f aca="false">IFERROR('Price History'!H3+(INDEX('Price History'!H:H,MATCH(9.99E+307,'Returns (Calc)'!$A:$A)+1)-'Price History'!H3)*(ROW()-3)/(MATCH(9.99E+307,'Returns (Calc)'!$A:$A)-3),"")</f>
        <v>495.61164556962</v>
      </c>
      <c r="AD70" s="156" t="n">
        <f aca="false">IFERROR('Price History'!I3+(INDEX('Price History'!I:I,MATCH(9.99E+307,'Returns (Calc)'!$A:$A)+1)-'Price History'!I3)*(ROW()-3)/(MATCH(9.99E+307,'Returns (Calc)'!$A:$A)-3),"")</f>
        <v>124.415949367089</v>
      </c>
      <c r="AE70" s="156" t="n">
        <f aca="false">IFERROR('Price History'!J3+(INDEX('Price History'!J:J,MATCH(9.99E+307,'Returns (Calc)'!$A:$A)+1)-'Price History'!J3)*(ROW()-3)/(MATCH(9.99E+307,'Returns (Calc)'!$A:$A)-3),"")</f>
        <v>119.078544303797</v>
      </c>
      <c r="AF70" s="156" t="n">
        <f aca="false">IFERROR('Price History'!K3+(INDEX('Price History'!K:K,MATCH(9.99E+307,'Returns (Calc)'!$A:$A)+1)-'Price History'!K3)*(ROW()-3)/(MATCH(9.99E+307,'Returns (Calc)'!$A:$A)-3),"")</f>
        <v>88.8688607594937</v>
      </c>
      <c r="AG70" s="156" t="n">
        <f aca="false">IFERROR('Price History'!L3+(INDEX('Price History'!L:L,MATCH(9.99E+307,'Returns (Calc)'!$A:$A)+1)-'Price History'!L3)*(ROW()-3)/(MATCH(9.99E+307,'Returns (Calc)'!$A:$A)-3),"")</f>
        <v>249.870316455696</v>
      </c>
      <c r="AH70" s="156" t="n">
        <f aca="false">IFERROR('Price History'!M3+(INDEX('Price History'!M:M,MATCH(9.99E+307,'Returns (Calc)'!$A:$A)+1)-'Price History'!M3)*(ROW()-3)/(MATCH(9.99E+307,'Returns (Calc)'!$A:$A)-3),"")</f>
        <v>128.834683544304</v>
      </c>
      <c r="AI70" s="156" t="n">
        <f aca="false">IFERROR('Price History'!N3+(INDEX('Price History'!N:N,MATCH(9.99E+307,'Returns (Calc)'!$A:$A)+1)-'Price History'!N3)*(ROW()-3)/(MATCH(9.99E+307,'Returns (Calc)'!$A:$A)-3),"")</f>
        <v>414.979810126582</v>
      </c>
      <c r="AJ70" s="156" t="n">
        <f aca="false">IFERROR('Price History'!O3+(INDEX('Price History'!O:O,MATCH(9.99E+307,'Returns (Calc)'!$A:$A)+1)-'Price History'!O3)*(ROW()-3)/(MATCH(9.99E+307,'Returns (Calc)'!$A:$A)-3),"")</f>
        <v>94.2735443037975</v>
      </c>
      <c r="AK70" s="156" t="n">
        <f aca="false">IFERROR('Price History'!Q3+(INDEX('Price History'!Q:Q,MATCH(9.99E+307,'Returns (Calc)'!$A:$A)+1)-'Price History'!Q3)*(ROW()-3)/(MATCH(9.99E+307,'Returns (Calc)'!$A:$A)-3),"")</f>
        <v>29.4375949367089</v>
      </c>
      <c r="AL70" s="156" t="n">
        <f aca="false">IFERROR('Price History'!R3+(INDEX('Price History'!R:R,MATCH(9.99E+307,'Returns (Calc)'!$A:$A)+1)-'Price History'!R3)*(ROW()-3)/(MATCH(9.99E+307,'Returns (Calc)'!$A:$A)-3),"")</f>
        <v>45.7427848101266</v>
      </c>
      <c r="AM70" s="156" t="n">
        <f aca="false">IFERROR('Price History'!S3+(INDEX('Price History'!S:S,MATCH(9.99E+307,'Returns (Calc)'!$A:$A)+1)-'Price History'!S3)*(ROW()-3)/(MATCH(9.99E+307,'Returns (Calc)'!$A:$A)-3),"")</f>
        <v>98.1692405063291</v>
      </c>
      <c r="AN70" s="156" t="n">
        <f aca="false">IFERROR('Price History'!T3+(INDEX('Price History'!T:T,MATCH(9.99E+307,'Returns (Calc)'!$A:$A)+1)-'Price History'!T3)*(ROW()-3)/(MATCH(9.99E+307,'Returns (Calc)'!$A:$A)-3),"")</f>
        <v>36.5112658227848</v>
      </c>
      <c r="AO70" s="157" t="n">
        <f aca="false">IFERROR('Price History'!V3+(INDEX('Price History'!V:V,MATCH(9.99E+307,'Returns (Calc)'!$A:$A)+1)-'Price History'!V3)*(ROW()-3)/(MATCH(9.99E+307,'Returns (Calc)'!$A:$A)-3),"")</f>
        <v>288.649050632911</v>
      </c>
      <c r="AP70" s="155" t="n">
        <f aca="false">IFERROR(IF(OR(NOT(ISNUMBER('Price History'!W71)),NOT(ISNUMBER('Price History'!W70)),'Price History'!W70=0),"",'Price History'!W71/'Price History'!W70-1),"")</f>
        <v>-0.00170482221139801</v>
      </c>
      <c r="AQ70" s="155" t="str">
        <f aca="false">IFERROR(IF(OR(NOT(ISNUMBER('Price History'!X71)),NOT(ISNUMBER('Price History'!X70)),'Price History'!X70=0),"",'Price History'!X71/'Price History'!X70-1),"")</f>
        <v/>
      </c>
      <c r="AR70" s="155" t="n">
        <f aca="false">IFERROR(IF(OR(NOT(ISNUMBER('Price History'!Y71)),NOT(ISNUMBER('Price History'!Y70)),'Price History'!Y70=0),"",'Price History'!Y71/'Price History'!Y70-1),"")</f>
        <v>-0.00139054429876839</v>
      </c>
      <c r="AS70" s="155" t="n">
        <f aca="false">IFERROR(IF(OR(NOT(ISNUMBER('Price History'!Z71)),NOT(ISNUMBER('Price History'!Z70)),'Price History'!Z70=0),"",'Price History'!Z71/'Price History'!Z70-1),"")</f>
        <v>0.0110281038776237</v>
      </c>
      <c r="AT70" s="155" t="n">
        <f aca="false">IFERROR(IF(OR(NOT(ISNUMBER('Price History'!AA71)),NOT(ISNUMBER('Price History'!AA70)),'Price History'!AA70=0),"",'Price History'!AA71/'Price History'!AA70-1),"")</f>
        <v>-0.0290909090909091</v>
      </c>
      <c r="AU70" s="155" t="n">
        <f aca="false">IFERROR(IF(OR(NOT(ISNUMBER('Price History'!AB71)),NOT(ISNUMBER('Price History'!AB70)),'Price History'!AB70=0),"",'Price History'!AB71/'Price History'!AB70-1),"")</f>
        <v>-0.00457922526984711</v>
      </c>
    </row>
    <row r="71" customFormat="false" ht="15" hidden="false" customHeight="true" outlineLevel="0" collapsed="false">
      <c r="A71" s="153" t="n">
        <f aca="false">IF('Price History'!A72="","",'Price History'!A72)</f>
        <v>45667</v>
      </c>
      <c r="B71" s="154" t="n">
        <f aca="false">IFERROR(IF(OR(NOT(ISNUMBER('Price History'!B72)),NOT(ISNUMBER('Price History'!B71)),'Price History'!B71=0),"",'Price History'!B72/'Price History'!B71-1),"")</f>
        <v>-0.0572496922683884</v>
      </c>
      <c r="C71" s="154" t="n">
        <f aca="false">IFERROR(IF(OR(NOT(ISNUMBER('Price History'!C72)),NOT(ISNUMBER('Price History'!C71)),'Price History'!C71=0),"",'Price History'!C72/'Price History'!C71-1),"")</f>
        <v>-0.00746527777777772</v>
      </c>
      <c r="D71" s="154" t="n">
        <f aca="false">IFERROR(IF(OR(NOT(ISNUMBER('Price History'!D72)),NOT(ISNUMBER('Price History'!D71)),'Price History'!D71=0),"",'Price History'!D72/'Price History'!D71-1),"")</f>
        <v>0.0345062622475931</v>
      </c>
      <c r="E71" s="154" t="n">
        <f aca="false">IFERROR(IF(OR(NOT(ISNUMBER('Price History'!E72)),NOT(ISNUMBER('Price History'!E71)),'Price History'!E71=0),"",'Price History'!E72/'Price History'!E71-1),"")</f>
        <v>-0.0354275741710296</v>
      </c>
      <c r="F71" s="154" t="n">
        <f aca="false">IFERROR(IF(OR(NOT(ISNUMBER('Price History'!F72)),NOT(ISNUMBER('Price History'!F71)),'Price History'!F71=0),"",'Price History'!F72/'Price History'!F71-1),"")</f>
        <v>-0.0283008356545962</v>
      </c>
      <c r="G71" s="154" t="n">
        <f aca="false">IFERROR(IF(OR(NOT(ISNUMBER('Price History'!G72)),NOT(ISNUMBER('Price History'!G71)),'Price History'!G71=0),"",'Price History'!G72/'Price History'!G71-1),"")</f>
        <v>0.0397534668721109</v>
      </c>
      <c r="H71" s="154" t="n">
        <f aca="false">IFERROR(IF(OR(NOT(ISNUMBER('Price History'!H72)),NOT(ISNUMBER('Price History'!H71)),'Price History'!H71=0),"",'Price History'!H72/'Price History'!H71-1),"")</f>
        <v>0.105327823076064</v>
      </c>
      <c r="I71" s="154" t="n">
        <f aca="false">IFERROR(IF(OR(NOT(ISNUMBER('Price History'!I72)),NOT(ISNUMBER('Price History'!I71)),'Price History'!I71=0),"",'Price History'!I72/'Price History'!I71-1),"")</f>
        <v>-0.0591991116663196</v>
      </c>
      <c r="J71" s="154" t="n">
        <f aca="false">IFERROR(IF(OR(NOT(ISNUMBER('Price History'!J72)),NOT(ISNUMBER('Price History'!J71)),'Price History'!J71=0),"",'Price History'!J72/'Price History'!J71-1),"")</f>
        <v>-0.0192655027092113</v>
      </c>
      <c r="K71" s="154" t="n">
        <f aca="false">IFERROR(IF(OR(NOT(ISNUMBER('Price History'!K72)),NOT(ISNUMBER('Price History'!K71)),'Price History'!K71=0),"",'Price History'!K72/'Price History'!K71-1),"")</f>
        <v>-0.1580923770184</v>
      </c>
      <c r="L71" s="154" t="n">
        <f aca="false">IFERROR(IF(OR(NOT(ISNUMBER('Price History'!L72)),NOT(ISNUMBER('Price History'!L71)),'Price History'!L71=0),"",'Price History'!L72/'Price History'!L71-1),"")</f>
        <v>-0.00112618126621944</v>
      </c>
      <c r="M71" s="154" t="n">
        <f aca="false">IFERROR(IF(OR(NOT(ISNUMBER('Price History'!M72)),NOT(ISNUMBER('Price History'!M71)),'Price History'!M71=0),"",'Price History'!M72/'Price History'!M71-1),"")</f>
        <v>0.0259968102073365</v>
      </c>
      <c r="N71" s="154" t="n">
        <f aca="false">IFERROR(IF(OR(NOT(ISNUMBER('Price History'!N72)),NOT(ISNUMBER('Price History'!N71)),'Price History'!N71=0),"",'Price History'!N72/'Price History'!N71-1),"")</f>
        <v>0.00601802952518971</v>
      </c>
      <c r="O71" s="154" t="n">
        <f aca="false">IFERROR(IF(OR(NOT(ISNUMBER('Price History'!O72)),NOT(ISNUMBER('Price History'!O71)),'Price History'!O71=0),"",'Price History'!O72/'Price History'!O71-1),"")</f>
        <v>-0.0262880067567567</v>
      </c>
      <c r="P71" s="154" t="n">
        <f aca="false">IFERROR(IF(OR(NOT(ISNUMBER('Price History'!P72)),NOT(ISNUMBER('Price History'!P71)),'Price History'!P71=0),"",'Price History'!P72/'Price History'!P71-1),"")</f>
        <v>-0.0249879090762535</v>
      </c>
      <c r="Q71" s="154" t="n">
        <f aca="false">IFERROR(IF(OR(NOT(ISNUMBER('Price History'!Q72)),NOT(ISNUMBER('Price History'!Q71)),'Price History'!Q71=0),"",'Price History'!Q72/'Price History'!Q71-1),"")</f>
        <v>-0.0121516526247569</v>
      </c>
      <c r="R71" s="154" t="n">
        <f aca="false">IFERROR(IF(OR(NOT(ISNUMBER('Price History'!R72)),NOT(ISNUMBER('Price History'!R71)),'Price History'!R71=0),"",'Price History'!R72/'Price History'!R71-1),"")</f>
        <v>-0.019263698630137</v>
      </c>
      <c r="S71" s="154" t="n">
        <f aca="false">IFERROR(IF(OR(NOT(ISNUMBER('Price History'!S72)),NOT(ISNUMBER('Price History'!S71)),'Price History'!S71=0),"",'Price History'!S72/'Price History'!S71-1),"")</f>
        <v>-0.0135007849293562</v>
      </c>
      <c r="T71" s="154" t="n">
        <f aca="false">IFERROR(IF(OR(NOT(ISNUMBER('Price History'!T72)),NOT(ISNUMBER('Price History'!T71)),'Price History'!T71=0),"",'Price History'!T72/'Price History'!T71-1),"")</f>
        <v>0</v>
      </c>
      <c r="U71" s="154" t="n">
        <f aca="false">IFERROR(IF(OR(NOT(ISNUMBER('Price History'!U72)),NOT(ISNUMBER('Price History'!U71)),'Price History'!U71=0),"",'Price History'!U72/'Price History'!U71-1),"")</f>
        <v>-0.0155219247186651</v>
      </c>
      <c r="V71" s="155" t="n">
        <f aca="false">IFERROR(IF(OR(NOT(ISNUMBER('Price History'!V72)),NOT(ISNUMBER('Price History'!V71)),'Price History'!V71=0),"",'Price History'!V72/'Price History'!V71-1),"")</f>
        <v>-0.0228428029084357</v>
      </c>
      <c r="W71" s="156" t="n">
        <f aca="false">IFERROR('Price History'!B3+(INDEX('Price History'!B:B,MATCH(9.99E+307,'Returns (Calc)'!$A:$A)+1)-'Price History'!B3)*(ROW()-3)/(MATCH(9.99E+307,'Returns (Calc)'!$A:$A)-3),"")</f>
        <v>403.563417721519</v>
      </c>
      <c r="X71" s="156" t="n">
        <f aca="false">IFERROR('Price History'!C3+(INDEX('Price History'!C:C,MATCH(9.99E+307,'Returns (Calc)'!$A:$A)+1)-'Price History'!C3)*(ROW()-3)/(MATCH(9.99E+307,'Returns (Calc)'!$A:$A)-3),"")</f>
        <v>115.544303797468</v>
      </c>
      <c r="Y71" s="156" t="n">
        <f aca="false">IFERROR('Price History'!D3+(INDEX('Price History'!D:D,MATCH(9.99E+307,'Returns (Calc)'!$A:$A)+1)-'Price History'!D3)*(ROW()-3)/(MATCH(9.99E+307,'Returns (Calc)'!$A:$A)-3),"")</f>
        <v>1135.1770886076</v>
      </c>
      <c r="Z71" s="156" t="n">
        <f aca="false">IFERROR('Price History'!E3+(INDEX('Price History'!E:E,MATCH(9.99E+307,'Returns (Calc)'!$A:$A)+1)-'Price History'!E3)*(ROW()-3)/(MATCH(9.99E+307,'Returns (Calc)'!$A:$A)-3),"")</f>
        <v>199.553924050633</v>
      </c>
      <c r="AA71" s="156" t="n">
        <f aca="false">IFERROR('Price History'!F3+(INDEX('Price History'!F:F,MATCH(9.99E+307,'Returns (Calc)'!$A:$A)+1)-'Price History'!F3)*(ROW()-3)/(MATCH(9.99E+307,'Returns (Calc)'!$A:$A)-3),"")</f>
        <v>139.779240506329</v>
      </c>
      <c r="AB71" s="156" t="n">
        <f aca="false">IFERROR('Price History'!G3+(INDEX('Price History'!G:G,MATCH(9.99E+307,'Returns (Calc)'!$A:$A)+1)-'Price History'!G3)*(ROW()-3)/(MATCH(9.99E+307,'Returns (Calc)'!$A:$A)-3),"")</f>
        <v>114.303924050633</v>
      </c>
      <c r="AC71" s="156" t="n">
        <f aca="false">IFERROR('Price History'!H3+(INDEX('Price History'!H:H,MATCH(9.99E+307,'Returns (Calc)'!$A:$A)+1)-'Price History'!H3)*(ROW()-3)/(MATCH(9.99E+307,'Returns (Calc)'!$A:$A)-3),"")</f>
        <v>501.977341772152</v>
      </c>
      <c r="AD71" s="156" t="n">
        <f aca="false">IFERROR('Price History'!I3+(INDEX('Price History'!I:I,MATCH(9.99E+307,'Returns (Calc)'!$A:$A)+1)-'Price History'!I3)*(ROW()-3)/(MATCH(9.99E+307,'Returns (Calc)'!$A:$A)-3),"")</f>
        <v>125.619620253165</v>
      </c>
      <c r="AE71" s="156" t="n">
        <f aca="false">IFERROR('Price History'!J3+(INDEX('Price History'!J:J,MATCH(9.99E+307,'Returns (Calc)'!$A:$A)+1)-'Price History'!J3)*(ROW()-3)/(MATCH(9.99E+307,'Returns (Calc)'!$A:$A)-3),"")</f>
        <v>119.186582278481</v>
      </c>
      <c r="AF71" s="156" t="n">
        <f aca="false">IFERROR('Price History'!K3+(INDEX('Price History'!K:K,MATCH(9.99E+307,'Returns (Calc)'!$A:$A)+1)-'Price History'!K3)*(ROW()-3)/(MATCH(9.99E+307,'Returns (Calc)'!$A:$A)-3),"")</f>
        <v>89.9664556962025</v>
      </c>
      <c r="AG71" s="156" t="n">
        <f aca="false">IFERROR('Price History'!L3+(INDEX('Price History'!L:L,MATCH(9.99E+307,'Returns (Calc)'!$A:$A)+1)-'Price History'!L3)*(ROW()-3)/(MATCH(9.99E+307,'Returns (Calc)'!$A:$A)-3),"")</f>
        <v>252.319873417722</v>
      </c>
      <c r="AH71" s="156" t="n">
        <f aca="false">IFERROR('Price History'!M3+(INDEX('Price History'!M:M,MATCH(9.99E+307,'Returns (Calc)'!$A:$A)+1)-'Price History'!M3)*(ROW()-3)/(MATCH(9.99E+307,'Returns (Calc)'!$A:$A)-3),"")</f>
        <v>130.190126582278</v>
      </c>
      <c r="AI71" s="156" t="n">
        <f aca="false">IFERROR('Price History'!N3+(INDEX('Price History'!N:N,MATCH(9.99E+307,'Returns (Calc)'!$A:$A)+1)-'Price History'!N3)*(ROW()-3)/(MATCH(9.99E+307,'Returns (Calc)'!$A:$A)-3),"")</f>
        <v>415.966075949367</v>
      </c>
      <c r="AJ71" s="156" t="n">
        <f aca="false">IFERROR('Price History'!O3+(INDEX('Price History'!O:O,MATCH(9.99E+307,'Returns (Calc)'!$A:$A)+1)-'Price History'!O3)*(ROW()-3)/(MATCH(9.99E+307,'Returns (Calc)'!$A:$A)-3),"")</f>
        <v>94.556582278481</v>
      </c>
      <c r="AK71" s="156" t="n">
        <f aca="false">IFERROR('Price History'!Q3+(INDEX('Price History'!Q:Q,MATCH(9.99E+307,'Returns (Calc)'!$A:$A)+1)-'Price History'!Q3)*(ROW()-3)/(MATCH(9.99E+307,'Returns (Calc)'!$A:$A)-3),"")</f>
        <v>29.8769620253165</v>
      </c>
      <c r="AL71" s="156" t="n">
        <f aca="false">IFERROR('Price History'!R3+(INDEX('Price History'!R:R,MATCH(9.99E+307,'Returns (Calc)'!$A:$A)+1)-'Price History'!R3)*(ROW()-3)/(MATCH(9.99E+307,'Returns (Calc)'!$A:$A)-3),"")</f>
        <v>45.9108860759494</v>
      </c>
      <c r="AM71" s="156" t="n">
        <f aca="false">IFERROR('Price History'!S3+(INDEX('Price History'!S:S,MATCH(9.99E+307,'Returns (Calc)'!$A:$A)+1)-'Price History'!S3)*(ROW()-3)/(MATCH(9.99E+307,'Returns (Calc)'!$A:$A)-3),"")</f>
        <v>98.7743037974684</v>
      </c>
      <c r="AN71" s="156" t="n">
        <f aca="false">IFERROR('Price History'!T3+(INDEX('Price History'!T:T,MATCH(9.99E+307,'Returns (Calc)'!$A:$A)+1)-'Price History'!T3)*(ROW()-3)/(MATCH(9.99E+307,'Returns (Calc)'!$A:$A)-3),"")</f>
        <v>36.6794936708861</v>
      </c>
      <c r="AO71" s="157" t="n">
        <f aca="false">IFERROR('Price History'!V3+(INDEX('Price History'!V:V,MATCH(9.99E+307,'Returns (Calc)'!$A:$A)+1)-'Price History'!V3)*(ROW()-3)/(MATCH(9.99E+307,'Returns (Calc)'!$A:$A)-3),"")</f>
        <v>289.440379746835</v>
      </c>
      <c r="AP71" s="155" t="n">
        <f aca="false">IFERROR(IF(OR(NOT(ISNUMBER('Price History'!W72)),NOT(ISNUMBER('Price History'!W71)),'Price History'!W71=0),"",'Price History'!W72/'Price History'!W71-1),"")</f>
        <v>-0.0179718630560298</v>
      </c>
      <c r="AQ71" s="155" t="str">
        <f aca="false">IFERROR(IF(OR(NOT(ISNUMBER('Price History'!X72)),NOT(ISNUMBER('Price History'!X71)),'Price History'!X71=0),"",'Price History'!X72/'Price History'!X71-1),"")</f>
        <v/>
      </c>
      <c r="AR71" s="155" t="n">
        <f aca="false">IFERROR(IF(OR(NOT(ISNUMBER('Price History'!Y72)),NOT(ISNUMBER('Price History'!Y71)),'Price History'!Y71=0),"",'Price History'!Y72/'Price History'!Y71-1),"")</f>
        <v>-0.0159140640541079</v>
      </c>
      <c r="AS71" s="155" t="n">
        <f aca="false">IFERROR(IF(OR(NOT(ISNUMBER('Price History'!Z72)),NOT(ISNUMBER('Price History'!Z71)),'Price History'!Z71=0),"",'Price History'!Z72/'Price History'!Z71-1),"")</f>
        <v>-0.00152474783016665</v>
      </c>
      <c r="AT71" s="155" t="n">
        <f aca="false">IFERROR(IF(OR(NOT(ISNUMBER('Price History'!AA72)),NOT(ISNUMBER('Price History'!AA71)),'Price History'!AA71=0),"",'Price History'!AA72/'Price History'!AA71-1),"")</f>
        <v>-0.0492566110543639</v>
      </c>
      <c r="AU71" s="155" t="n">
        <f aca="false">IFERROR(IF(OR(NOT(ISNUMBER('Price History'!AB72)),NOT(ISNUMBER('Price History'!AB71)),'Price History'!AB71=0),"",'Price History'!AB72/'Price History'!AB71-1),"")</f>
        <v>0.0221565037788105</v>
      </c>
    </row>
    <row r="72" customFormat="false" ht="15" hidden="false" customHeight="true" outlineLevel="0" collapsed="false">
      <c r="A72" s="153" t="n">
        <f aca="false">IF('Price History'!A73="","",'Price History'!A73)</f>
        <v>45674</v>
      </c>
      <c r="B72" s="154" t="n">
        <f aca="false">IFERROR(IF(OR(NOT(ISNUMBER('Price History'!B73)),NOT(ISNUMBER('Price History'!B72)),'Price History'!B72=0),"",'Price History'!B73/'Price History'!B72-1),"")</f>
        <v>0.0592973985021679</v>
      </c>
      <c r="C72" s="154" t="n">
        <f aca="false">IFERROR(IF(OR(NOT(ISNUMBER('Price History'!C73)),NOT(ISNUMBER('Price History'!C72)),'Price History'!C72=0),"",'Price History'!C73/'Price History'!C72-1),"")</f>
        <v>0.0490641945076089</v>
      </c>
      <c r="D72" s="154" t="n">
        <f aca="false">IFERROR(IF(OR(NOT(ISNUMBER('Price History'!D73)),NOT(ISNUMBER('Price History'!D72)),'Price History'!D72=0),"",'Price History'!D73/'Price History'!D72-1),"")</f>
        <v>0.0234310657222863</v>
      </c>
      <c r="E72" s="154" t="n">
        <f aca="false">IFERROR(IF(OR(NOT(ISNUMBER('Price History'!E73)),NOT(ISNUMBER('Price History'!E72)),'Price History'!E72=0),"",'Price History'!E73/'Price History'!E72-1),"")</f>
        <v>0.0585308485616067</v>
      </c>
      <c r="F72" s="154" t="n">
        <f aca="false">IFERROR(IF(OR(NOT(ISNUMBER('Price History'!F73)),NOT(ISNUMBER('Price History'!F72)),'Price History'!F72=0),"",'Price History'!F73/'Price History'!F72-1),"")</f>
        <v>0.0233918128654971</v>
      </c>
      <c r="G72" s="154" t="n">
        <f aca="false">IFERROR(IF(OR(NOT(ISNUMBER('Price History'!G73)),NOT(ISNUMBER('Price History'!G72)),'Price History'!G72=0),"",'Price History'!G73/'Price History'!G72-1),"")</f>
        <v>0.108921161825726</v>
      </c>
      <c r="H72" s="154" t="n">
        <f aca="false">IFERROR(IF(OR(NOT(ISNUMBER('Price History'!H73)),NOT(ISNUMBER('Price History'!H72)),'Price History'!H72=0),"",'Price History'!H73/'Price History'!H72-1),"")</f>
        <v>0.0644704931285369</v>
      </c>
      <c r="I72" s="154" t="n">
        <f aca="false">IFERROR(IF(OR(NOT(ISNUMBER('Price History'!I73)),NOT(ISNUMBER('Price History'!I72)),'Price History'!I72=0),"",'Price History'!I73/'Price History'!I72-1),"")</f>
        <v>0.0132044850988491</v>
      </c>
      <c r="J72" s="154" t="n">
        <f aca="false">IFERROR(IF(OR(NOT(ISNUMBER('Price History'!J73)),NOT(ISNUMBER('Price History'!J72)),'Price History'!J72=0),"",'Price History'!J73/'Price History'!J72-1),"")</f>
        <v>0.0567833026396563</v>
      </c>
      <c r="K72" s="154" t="n">
        <f aca="false">IFERROR(IF(OR(NOT(ISNUMBER('Price History'!K73)),NOT(ISNUMBER('Price History'!K72)),'Price History'!K72=0),"",'Price History'!K73/'Price History'!K72-1),"")</f>
        <v>0.0670532262860539</v>
      </c>
      <c r="L72" s="154" t="n">
        <f aca="false">IFERROR(IF(OR(NOT(ISNUMBER('Price History'!L73)),NOT(ISNUMBER('Price History'!L72)),'Price History'!L72=0),"",'Price History'!L73/'Price History'!L72-1),"")</f>
        <v>0.0149999999999999</v>
      </c>
      <c r="M72" s="154" t="n">
        <f aca="false">IFERROR(IF(OR(NOT(ISNUMBER('Price History'!M73)),NOT(ISNUMBER('Price History'!M72)),'Price History'!M72=0),"",'Price History'!M73/'Price History'!M72-1),"")</f>
        <v>0.0538628944504898</v>
      </c>
      <c r="N72" s="154" t="n">
        <f aca="false">IFERROR(IF(OR(NOT(ISNUMBER('Price History'!N73)),NOT(ISNUMBER('Price History'!N72)),'Price History'!N72=0),"",'Price History'!N73/'Price History'!N72-1),"")</f>
        <v>0.0303740599667937</v>
      </c>
      <c r="O72" s="154" t="n">
        <f aca="false">IFERROR(IF(OR(NOT(ISNUMBER('Price History'!O73)),NOT(ISNUMBER('Price History'!O72)),'Price History'!O72=0),"",'Price History'!O73/'Price History'!O72-1),"")</f>
        <v>0.0488994904044235</v>
      </c>
      <c r="P72" s="154" t="n">
        <f aca="false">IFERROR(IF(OR(NOT(ISNUMBER('Price History'!P73)),NOT(ISNUMBER('Price History'!P72)),'Price History'!P72=0),"",'Price History'!P73/'Price History'!P72-1),"")</f>
        <v>0.0483630952380953</v>
      </c>
      <c r="Q72" s="154" t="n">
        <f aca="false">IFERROR(IF(OR(NOT(ISNUMBER('Price History'!Q73)),NOT(ISNUMBER('Price History'!Q72)),'Price History'!Q72=0),"",'Price History'!Q73/'Price History'!Q72-1),"")</f>
        <v>0.0172215843857635</v>
      </c>
      <c r="R72" s="154" t="n">
        <f aca="false">IFERROR(IF(OR(NOT(ISNUMBER('Price History'!R73)),NOT(ISNUMBER('Price History'!R72)),'Price History'!R72=0),"",'Price History'!R73/'Price History'!R72-1),"")</f>
        <v>0.0231340026189437</v>
      </c>
      <c r="S72" s="154" t="n">
        <f aca="false">IFERROR(IF(OR(NOT(ISNUMBER('Price History'!S73)),NOT(ISNUMBER('Price History'!S72)),'Price History'!S72=0),"",'Price History'!S73/'Price History'!S72-1),"")</f>
        <v>0.0321451304901337</v>
      </c>
      <c r="T72" s="154" t="n">
        <f aca="false">IFERROR(IF(OR(NOT(ISNUMBER('Price History'!T73)),NOT(ISNUMBER('Price History'!T72)),'Price History'!T72=0),"",'Price History'!T73/'Price History'!T72-1),"")</f>
        <v>0.0386215092097446</v>
      </c>
      <c r="U72" s="154" t="n">
        <f aca="false">IFERROR(IF(OR(NOT(ISNUMBER('Price History'!U73)),NOT(ISNUMBER('Price History'!U72)),'Price History'!U72=0),"",'Price History'!U73/'Price History'!U72-1),"")</f>
        <v>0.0362633031139139</v>
      </c>
      <c r="V72" s="155" t="n">
        <f aca="false">IFERROR(IF(OR(NOT(ISNUMBER('Price History'!V73)),NOT(ISNUMBER('Price History'!V72)),'Price History'!V72=0),"",'Price History'!V73/'Price History'!V72-1),"")</f>
        <v>0.0386869485052022</v>
      </c>
      <c r="W72" s="156" t="n">
        <f aca="false">IFERROR('Price History'!B3+(INDEX('Price History'!B:B,MATCH(9.99E+307,'Returns (Calc)'!$A:$A)+1)-'Price History'!B3)*(ROW()-3)/(MATCH(9.99E+307,'Returns (Calc)'!$A:$A)-3),"")</f>
        <v>401.720379746835</v>
      </c>
      <c r="X72" s="156" t="n">
        <f aca="false">IFERROR('Price History'!C3+(INDEX('Price History'!C:C,MATCH(9.99E+307,'Returns (Calc)'!$A:$A)+1)-'Price History'!C3)*(ROW()-3)/(MATCH(9.99E+307,'Returns (Calc)'!$A:$A)-3),"")</f>
        <v>116.564367088608</v>
      </c>
      <c r="Y72" s="156" t="n">
        <f aca="false">IFERROR('Price History'!D3+(INDEX('Price History'!D:D,MATCH(9.99E+307,'Returns (Calc)'!$A:$A)+1)-'Price History'!D3)*(ROW()-3)/(MATCH(9.99E+307,'Returns (Calc)'!$A:$A)-3),"")</f>
        <v>1143.31189873418</v>
      </c>
      <c r="Z72" s="156" t="n">
        <f aca="false">IFERROR('Price History'!E3+(INDEX('Price History'!E:E,MATCH(9.99E+307,'Returns (Calc)'!$A:$A)+1)-'Price History'!E3)*(ROW()-3)/(MATCH(9.99E+307,'Returns (Calc)'!$A:$A)-3),"")</f>
        <v>201.282658227848</v>
      </c>
      <c r="AA72" s="156" t="n">
        <f aca="false">IFERROR('Price History'!F3+(INDEX('Price History'!F:F,MATCH(9.99E+307,'Returns (Calc)'!$A:$A)+1)-'Price History'!F3)*(ROW()-3)/(MATCH(9.99E+307,'Returns (Calc)'!$A:$A)-3),"")</f>
        <v>141.226582278481</v>
      </c>
      <c r="AB72" s="156" t="n">
        <f aca="false">IFERROR('Price History'!G3+(INDEX('Price History'!G:G,MATCH(9.99E+307,'Returns (Calc)'!$A:$A)+1)-'Price History'!G3)*(ROW()-3)/(MATCH(9.99E+307,'Returns (Calc)'!$A:$A)-3),"")</f>
        <v>115.332658227848</v>
      </c>
      <c r="AC72" s="156" t="n">
        <f aca="false">IFERROR('Price History'!H3+(INDEX('Price History'!H:H,MATCH(9.99E+307,'Returns (Calc)'!$A:$A)+1)-'Price History'!H3)*(ROW()-3)/(MATCH(9.99E+307,'Returns (Calc)'!$A:$A)-3),"")</f>
        <v>508.343037974684</v>
      </c>
      <c r="AD72" s="156" t="n">
        <f aca="false">IFERROR('Price History'!I3+(INDEX('Price History'!I:I,MATCH(9.99E+307,'Returns (Calc)'!$A:$A)+1)-'Price History'!I3)*(ROW()-3)/(MATCH(9.99E+307,'Returns (Calc)'!$A:$A)-3),"")</f>
        <v>126.823291139241</v>
      </c>
      <c r="AE72" s="156" t="n">
        <f aca="false">IFERROR('Price History'!J3+(INDEX('Price History'!J:J,MATCH(9.99E+307,'Returns (Calc)'!$A:$A)+1)-'Price History'!J3)*(ROW()-3)/(MATCH(9.99E+307,'Returns (Calc)'!$A:$A)-3),"")</f>
        <v>119.294620253165</v>
      </c>
      <c r="AF72" s="156" t="n">
        <f aca="false">IFERROR('Price History'!K3+(INDEX('Price History'!K:K,MATCH(9.99E+307,'Returns (Calc)'!$A:$A)+1)-'Price History'!K3)*(ROW()-3)/(MATCH(9.99E+307,'Returns (Calc)'!$A:$A)-3),"")</f>
        <v>91.0640506329114</v>
      </c>
      <c r="AG72" s="156" t="n">
        <f aca="false">IFERROR('Price History'!L3+(INDEX('Price History'!L:L,MATCH(9.99E+307,'Returns (Calc)'!$A:$A)+1)-'Price History'!L3)*(ROW()-3)/(MATCH(9.99E+307,'Returns (Calc)'!$A:$A)-3),"")</f>
        <v>254.769430379747</v>
      </c>
      <c r="AH72" s="156" t="n">
        <f aca="false">IFERROR('Price History'!M3+(INDEX('Price History'!M:M,MATCH(9.99E+307,'Returns (Calc)'!$A:$A)+1)-'Price History'!M3)*(ROW()-3)/(MATCH(9.99E+307,'Returns (Calc)'!$A:$A)-3),"")</f>
        <v>131.545569620253</v>
      </c>
      <c r="AI72" s="156" t="n">
        <f aca="false">IFERROR('Price History'!N3+(INDEX('Price History'!N:N,MATCH(9.99E+307,'Returns (Calc)'!$A:$A)+1)-'Price History'!N3)*(ROW()-3)/(MATCH(9.99E+307,'Returns (Calc)'!$A:$A)-3),"")</f>
        <v>416.952341772152</v>
      </c>
      <c r="AJ72" s="156" t="n">
        <f aca="false">IFERROR('Price History'!O3+(INDEX('Price History'!O:O,MATCH(9.99E+307,'Returns (Calc)'!$A:$A)+1)-'Price History'!O3)*(ROW()-3)/(MATCH(9.99E+307,'Returns (Calc)'!$A:$A)-3),"")</f>
        <v>94.8396202531646</v>
      </c>
      <c r="AK72" s="156" t="n">
        <f aca="false">IFERROR('Price History'!Q3+(INDEX('Price History'!Q:Q,MATCH(9.99E+307,'Returns (Calc)'!$A:$A)+1)-'Price History'!Q3)*(ROW()-3)/(MATCH(9.99E+307,'Returns (Calc)'!$A:$A)-3),"")</f>
        <v>30.3163291139241</v>
      </c>
      <c r="AL72" s="156" t="n">
        <f aca="false">IFERROR('Price History'!R3+(INDEX('Price History'!R:R,MATCH(9.99E+307,'Returns (Calc)'!$A:$A)+1)-'Price History'!R3)*(ROW()-3)/(MATCH(9.99E+307,'Returns (Calc)'!$A:$A)-3),"")</f>
        <v>46.0789873417722</v>
      </c>
      <c r="AM72" s="156" t="n">
        <f aca="false">IFERROR('Price History'!S3+(INDEX('Price History'!S:S,MATCH(9.99E+307,'Returns (Calc)'!$A:$A)+1)-'Price History'!S3)*(ROW()-3)/(MATCH(9.99E+307,'Returns (Calc)'!$A:$A)-3),"")</f>
        <v>99.3793670886076</v>
      </c>
      <c r="AN72" s="156" t="n">
        <f aca="false">IFERROR('Price History'!T3+(INDEX('Price History'!T:T,MATCH(9.99E+307,'Returns (Calc)'!$A:$A)+1)-'Price History'!T3)*(ROW()-3)/(MATCH(9.99E+307,'Returns (Calc)'!$A:$A)-3),"")</f>
        <v>36.8477215189873</v>
      </c>
      <c r="AO72" s="157" t="n">
        <f aca="false">IFERROR('Price History'!V3+(INDEX('Price History'!V:V,MATCH(9.99E+307,'Returns (Calc)'!$A:$A)+1)-'Price History'!V3)*(ROW()-3)/(MATCH(9.99E+307,'Returns (Calc)'!$A:$A)-3),"")</f>
        <v>290.23170886076</v>
      </c>
      <c r="AP72" s="155" t="n">
        <f aca="false">IFERROR(IF(OR(NOT(ISNUMBER('Price History'!W73)),NOT(ISNUMBER('Price History'!W72)),'Price History'!W72=0),"",'Price History'!W73/'Price History'!W72-1),"")</f>
        <v>0.0442199403776085</v>
      </c>
      <c r="AQ72" s="155" t="str">
        <f aca="false">IFERROR(IF(OR(NOT(ISNUMBER('Price History'!X73)),NOT(ISNUMBER('Price History'!X72)),'Price History'!X72=0),"",'Price History'!X73/'Price History'!X72-1),"")</f>
        <v/>
      </c>
      <c r="AR72" s="155" t="n">
        <f aca="false">IFERROR(IF(OR(NOT(ISNUMBER('Price History'!Y73)),NOT(ISNUMBER('Price History'!Y72)),'Price History'!Y72=0),"",'Price History'!Y73/'Price History'!Y72-1),"")</f>
        <v>0.0252678390944006</v>
      </c>
      <c r="AS72" s="155" t="n">
        <f aca="false">IFERROR(IF(OR(NOT(ISNUMBER('Price History'!Z73)),NOT(ISNUMBER('Price History'!Z72)),'Price History'!Z72=0),"",'Price History'!Z73/'Price History'!Z72-1),"")</f>
        <v>0.0649594737460355</v>
      </c>
      <c r="AT72" s="155" t="n">
        <f aca="false">IFERROR(IF(OR(NOT(ISNUMBER('Price History'!AA73)),NOT(ISNUMBER('Price History'!AA72)),'Price History'!AA72=0),"",'Price History'!AA73/'Price History'!AA72-1),"")</f>
        <v>0.0243523934582788</v>
      </c>
      <c r="AU72" s="155" t="n">
        <f aca="false">IFERROR(IF(OR(NOT(ISNUMBER('Price History'!AB73)),NOT(ISNUMBER('Price History'!AB72)),'Price History'!AB72=0),"",'Price History'!AB73/'Price History'!AB72-1),"")</f>
        <v>-0.00532721010332948</v>
      </c>
    </row>
    <row r="73" customFormat="false" ht="15" hidden="false" customHeight="true" outlineLevel="0" collapsed="false">
      <c r="A73" s="153" t="n">
        <f aca="false">IF('Price History'!A74="","",'Price History'!A74)</f>
        <v>45681</v>
      </c>
      <c r="B73" s="154" t="n">
        <f aca="false">IFERROR(IF(OR(NOT(ISNUMBER('Price History'!B74)),NOT(ISNUMBER('Price History'!B73)),'Price History'!B73=0),"",'Price History'!B74/'Price History'!B73-1),"")</f>
        <v>0.0125351752366334</v>
      </c>
      <c r="C73" s="154" t="n">
        <f aca="false">IFERROR(IF(OR(NOT(ISNUMBER('Price History'!C74)),NOT(ISNUMBER('Price History'!C73)),'Price History'!C73=0),"",'Price History'!C74/'Price History'!C73-1),"")</f>
        <v>0.0768653605669027</v>
      </c>
      <c r="D73" s="154" t="n">
        <f aca="false">IFERROR(IF(OR(NOT(ISNUMBER('Price History'!D74)),NOT(ISNUMBER('Price History'!D73)),'Price History'!D73=0),"",'Price History'!D74/'Price History'!D73-1),"")</f>
        <v>-0.0318405558014459</v>
      </c>
      <c r="E73" s="154" t="n">
        <f aca="false">IFERROR(IF(OR(NOT(ISNUMBER('Price History'!E74)),NOT(ISNUMBER('Price History'!E73)),'Price History'!E73=0),"",'Price History'!E74/'Price History'!E73-1),"")</f>
        <v>0.0305956755832835</v>
      </c>
      <c r="F73" s="154" t="n">
        <f aca="false">IFERROR(IF(OR(NOT(ISNUMBER('Price History'!F74)),NOT(ISNUMBER('Price History'!F73)),'Price History'!F73=0),"",'Price History'!F74/'Price History'!F73-1),"")</f>
        <v>0.0501960784313726</v>
      </c>
      <c r="G73" s="154" t="n">
        <f aca="false">IFERROR(IF(OR(NOT(ISNUMBER('Price History'!G74)),NOT(ISNUMBER('Price History'!G73)),'Price History'!G73=0),"",'Price History'!G74/'Price History'!G73-1),"")</f>
        <v>-0.0101563544033142</v>
      </c>
      <c r="H73" s="154" t="n">
        <f aca="false">IFERROR(IF(OR(NOT(ISNUMBER('Price History'!H74)),NOT(ISNUMBER('Price History'!H73)),'Price History'!H73=0),"",'Price History'!H74/'Price History'!H73-1),"")</f>
        <v>-0.0242073286500855</v>
      </c>
      <c r="I73" s="154" t="n">
        <f aca="false">IFERROR(IF(OR(NOT(ISNUMBER('Price History'!I74)),NOT(ISNUMBER('Price History'!I73)),'Price History'!I73=0),"",'Price History'!I74/'Price History'!I73-1),"")</f>
        <v>0.0356752821259556</v>
      </c>
      <c r="J73" s="154" t="n">
        <f aca="false">IFERROR(IF(OR(NOT(ISNUMBER('Price History'!J74)),NOT(ISNUMBER('Price History'!J73)),'Price History'!J73=0),"",'Price History'!J74/'Price History'!J73-1),"")</f>
        <v>0.0863587956239713</v>
      </c>
      <c r="K73" s="154" t="n">
        <f aca="false">IFERROR(IF(OR(NOT(ISNUMBER('Price History'!K74)),NOT(ISNUMBER('Price History'!K73)),'Price History'!K73=0),"",'Price History'!K74/'Price History'!K73-1),"")</f>
        <v>0.100459802145743</v>
      </c>
      <c r="L73" s="154" t="n">
        <f aca="false">IFERROR(IF(OR(NOT(ISNUMBER('Price History'!L74)),NOT(ISNUMBER('Price History'!L73)),'Price History'!L73=0),"",'Price History'!L74/'Price History'!L73-1),"")</f>
        <v>0.0490679030232784</v>
      </c>
      <c r="M73" s="154" t="n">
        <f aca="false">IFERROR(IF(OR(NOT(ISNUMBER('Price History'!M74)),NOT(ISNUMBER('Price History'!M73)),'Price History'!M73=0),"",'Price History'!M74/'Price History'!M73-1),"")</f>
        <v>0.0768493251714728</v>
      </c>
      <c r="N73" s="154" t="n">
        <f aca="false">IFERROR(IF(OR(NOT(ISNUMBER('Price History'!N74)),NOT(ISNUMBER('Price History'!N73)),'Price History'!N73=0),"",'Price History'!N74/'Price History'!N73-1),"")</f>
        <v>0.0417535545023697</v>
      </c>
      <c r="O73" s="154" t="n">
        <f aca="false">IFERROR(IF(OR(NOT(ISNUMBER('Price History'!O74)),NOT(ISNUMBER('Price History'!O73)),'Price History'!O73=0),"",'Price History'!O74/'Price History'!O73-1),"")</f>
        <v>0.0050651230101304</v>
      </c>
      <c r="P73" s="154" t="n">
        <f aca="false">IFERROR(IF(OR(NOT(ISNUMBER('Price History'!P74)),NOT(ISNUMBER('Price History'!P73)),'Price History'!P73=0),"",'Price History'!P74/'Price History'!P73-1),"")</f>
        <v>0.00220802775806317</v>
      </c>
      <c r="Q73" s="154" t="n">
        <f aca="false">IFERROR(IF(OR(NOT(ISNUMBER('Price History'!Q74)),NOT(ISNUMBER('Price History'!Q73)),'Price History'!Q73=0),"",'Price History'!Q74/'Price History'!Q73-1),"")</f>
        <v>0.0103192518542405</v>
      </c>
      <c r="R73" s="154" t="n">
        <f aca="false">IFERROR(IF(OR(NOT(ISNUMBER('Price History'!R74)),NOT(ISNUMBER('Price History'!R73)),'Price History'!R73=0),"",'Price History'!R74/'Price History'!R73-1),"")</f>
        <v>0.0138651877133105</v>
      </c>
      <c r="S73" s="154" t="n">
        <f aca="false">IFERROR(IF(OR(NOT(ISNUMBER('Price History'!S74)),NOT(ISNUMBER('Price History'!S73)),'Price History'!S73=0),"",'Price History'!S74/'Price History'!S73-1),"")</f>
        <v>0.0271353684859699</v>
      </c>
      <c r="T73" s="154" t="n">
        <f aca="false">IFERROR(IF(OR(NOT(ISNUMBER('Price History'!T74)),NOT(ISNUMBER('Price History'!T73)),'Price History'!T73=0),"",'Price History'!T74/'Price History'!T73-1),"")</f>
        <v>0.00257437070938193</v>
      </c>
      <c r="U73" s="154" t="n">
        <f aca="false">IFERROR(IF(OR(NOT(ISNUMBER('Price History'!U74)),NOT(ISNUMBER('Price History'!U73)),'Price History'!U73=0),"",'Price History'!U74/'Price History'!U73-1),"")</f>
        <v>0.00266260935717</v>
      </c>
      <c r="V73" s="155" t="n">
        <f aca="false">IFERROR(IF(OR(NOT(ISNUMBER('Price History'!V74)),NOT(ISNUMBER('Price History'!V73)),'Price History'!V73=0),"",'Price History'!V74/'Price History'!V73-1),"")</f>
        <v>0.0330934795701652</v>
      </c>
      <c r="W73" s="156" t="n">
        <f aca="false">IFERROR('Price History'!B3+(INDEX('Price History'!B:B,MATCH(9.99E+307,'Returns (Calc)'!$A:$A)+1)-'Price History'!B3)*(ROW()-3)/(MATCH(9.99E+307,'Returns (Calc)'!$A:$A)-3),"")</f>
        <v>399.877341772152</v>
      </c>
      <c r="X73" s="156" t="n">
        <f aca="false">IFERROR('Price History'!C3+(INDEX('Price History'!C:C,MATCH(9.99E+307,'Returns (Calc)'!$A:$A)+1)-'Price History'!C3)*(ROW()-3)/(MATCH(9.99E+307,'Returns (Calc)'!$A:$A)-3),"")</f>
        <v>117.584430379747</v>
      </c>
      <c r="Y73" s="156" t="n">
        <f aca="false">IFERROR('Price History'!D3+(INDEX('Price History'!D:D,MATCH(9.99E+307,'Returns (Calc)'!$A:$A)+1)-'Price History'!D3)*(ROW()-3)/(MATCH(9.99E+307,'Returns (Calc)'!$A:$A)-3),"")</f>
        <v>1151.44670886076</v>
      </c>
      <c r="Z73" s="156" t="n">
        <f aca="false">IFERROR('Price History'!E3+(INDEX('Price History'!E:E,MATCH(9.99E+307,'Returns (Calc)'!$A:$A)+1)-'Price History'!E3)*(ROW()-3)/(MATCH(9.99E+307,'Returns (Calc)'!$A:$A)-3),"")</f>
        <v>203.011392405063</v>
      </c>
      <c r="AA73" s="156" t="n">
        <f aca="false">IFERROR('Price History'!F3+(INDEX('Price History'!F:F,MATCH(9.99E+307,'Returns (Calc)'!$A:$A)+1)-'Price History'!F3)*(ROW()-3)/(MATCH(9.99E+307,'Returns (Calc)'!$A:$A)-3),"")</f>
        <v>142.673924050633</v>
      </c>
      <c r="AB73" s="156" t="n">
        <f aca="false">IFERROR('Price History'!G3+(INDEX('Price History'!G:G,MATCH(9.99E+307,'Returns (Calc)'!$A:$A)+1)-'Price History'!G3)*(ROW()-3)/(MATCH(9.99E+307,'Returns (Calc)'!$A:$A)-3),"")</f>
        <v>116.361392405063</v>
      </c>
      <c r="AC73" s="156" t="n">
        <f aca="false">IFERROR('Price History'!H3+(INDEX('Price History'!H:H,MATCH(9.99E+307,'Returns (Calc)'!$A:$A)+1)-'Price History'!H3)*(ROW()-3)/(MATCH(9.99E+307,'Returns (Calc)'!$A:$A)-3),"")</f>
        <v>514.708734177215</v>
      </c>
      <c r="AD73" s="156" t="n">
        <f aca="false">IFERROR('Price History'!I3+(INDEX('Price History'!I:I,MATCH(9.99E+307,'Returns (Calc)'!$A:$A)+1)-'Price History'!I3)*(ROW()-3)/(MATCH(9.99E+307,'Returns (Calc)'!$A:$A)-3),"")</f>
        <v>128.026962025316</v>
      </c>
      <c r="AE73" s="156" t="n">
        <f aca="false">IFERROR('Price History'!J3+(INDEX('Price History'!J:J,MATCH(9.99E+307,'Returns (Calc)'!$A:$A)+1)-'Price History'!J3)*(ROW()-3)/(MATCH(9.99E+307,'Returns (Calc)'!$A:$A)-3),"")</f>
        <v>119.402658227848</v>
      </c>
      <c r="AF73" s="156" t="n">
        <f aca="false">IFERROR('Price History'!K3+(INDEX('Price History'!K:K,MATCH(9.99E+307,'Returns (Calc)'!$A:$A)+1)-'Price History'!K3)*(ROW()-3)/(MATCH(9.99E+307,'Returns (Calc)'!$A:$A)-3),"")</f>
        <v>92.1616455696203</v>
      </c>
      <c r="AG73" s="156" t="n">
        <f aca="false">IFERROR('Price History'!L3+(INDEX('Price History'!L:L,MATCH(9.99E+307,'Returns (Calc)'!$A:$A)+1)-'Price History'!L3)*(ROW()-3)/(MATCH(9.99E+307,'Returns (Calc)'!$A:$A)-3),"")</f>
        <v>257.218987341772</v>
      </c>
      <c r="AH73" s="156" t="n">
        <f aca="false">IFERROR('Price History'!M3+(INDEX('Price History'!M:M,MATCH(9.99E+307,'Returns (Calc)'!$A:$A)+1)-'Price History'!M3)*(ROW()-3)/(MATCH(9.99E+307,'Returns (Calc)'!$A:$A)-3),"")</f>
        <v>132.901012658228</v>
      </c>
      <c r="AI73" s="156" t="n">
        <f aca="false">IFERROR('Price History'!N3+(INDEX('Price History'!N:N,MATCH(9.99E+307,'Returns (Calc)'!$A:$A)+1)-'Price History'!N3)*(ROW()-3)/(MATCH(9.99E+307,'Returns (Calc)'!$A:$A)-3),"")</f>
        <v>417.938607594937</v>
      </c>
      <c r="AJ73" s="156" t="n">
        <f aca="false">IFERROR('Price History'!O3+(INDEX('Price History'!O:O,MATCH(9.99E+307,'Returns (Calc)'!$A:$A)+1)-'Price History'!O3)*(ROW()-3)/(MATCH(9.99E+307,'Returns (Calc)'!$A:$A)-3),"")</f>
        <v>95.1226582278481</v>
      </c>
      <c r="AK73" s="156" t="n">
        <f aca="false">IFERROR('Price History'!Q3+(INDEX('Price History'!Q:Q,MATCH(9.99E+307,'Returns (Calc)'!$A:$A)+1)-'Price History'!Q3)*(ROW()-3)/(MATCH(9.99E+307,'Returns (Calc)'!$A:$A)-3),"")</f>
        <v>30.7556962025317</v>
      </c>
      <c r="AL73" s="156" t="n">
        <f aca="false">IFERROR('Price History'!R3+(INDEX('Price History'!R:R,MATCH(9.99E+307,'Returns (Calc)'!$A:$A)+1)-'Price History'!R3)*(ROW()-3)/(MATCH(9.99E+307,'Returns (Calc)'!$A:$A)-3),"")</f>
        <v>46.2470886075949</v>
      </c>
      <c r="AM73" s="156" t="n">
        <f aca="false">IFERROR('Price History'!S3+(INDEX('Price History'!S:S,MATCH(9.99E+307,'Returns (Calc)'!$A:$A)+1)-'Price History'!S3)*(ROW()-3)/(MATCH(9.99E+307,'Returns (Calc)'!$A:$A)-3),"")</f>
        <v>99.9844303797468</v>
      </c>
      <c r="AN73" s="156" t="n">
        <f aca="false">IFERROR('Price History'!T3+(INDEX('Price History'!T:T,MATCH(9.99E+307,'Returns (Calc)'!$A:$A)+1)-'Price History'!T3)*(ROW()-3)/(MATCH(9.99E+307,'Returns (Calc)'!$A:$A)-3),"")</f>
        <v>37.0159493670886</v>
      </c>
      <c r="AO73" s="157" t="n">
        <f aca="false">IFERROR('Price History'!V3+(INDEX('Price History'!V:V,MATCH(9.99E+307,'Returns (Calc)'!$A:$A)+1)-'Price History'!V3)*(ROW()-3)/(MATCH(9.99E+307,'Returns (Calc)'!$A:$A)-3),"")</f>
        <v>291.023037974684</v>
      </c>
      <c r="AP73" s="155" t="n">
        <f aca="false">IFERROR(IF(OR(NOT(ISNUMBER('Price History'!W74)),NOT(ISNUMBER('Price History'!W73)),'Price History'!W73=0),"",'Price History'!W74/'Price History'!W73-1),"")</f>
        <v>0.0103885804916732</v>
      </c>
      <c r="AQ73" s="155" t="str">
        <f aca="false">IFERROR(IF(OR(NOT(ISNUMBER('Price History'!X74)),NOT(ISNUMBER('Price History'!X73)),'Price History'!X73=0),"",'Price History'!X74/'Price History'!X73-1),"")</f>
        <v/>
      </c>
      <c r="AR73" s="155" t="n">
        <f aca="false">IFERROR(IF(OR(NOT(ISNUMBER('Price History'!Y74)),NOT(ISNUMBER('Price History'!Y73)),'Price History'!Y73=0),"",'Price History'!Y74/'Price History'!Y73-1),"")</f>
        <v>0.0102523659305995</v>
      </c>
      <c r="AS73" s="155" t="n">
        <f aca="false">IFERROR(IF(OR(NOT(ISNUMBER('Price History'!Z74)),NOT(ISNUMBER('Price History'!Z73)),'Price History'!Z73=0),"",'Price History'!Z74/'Price History'!Z73-1),"")</f>
        <v>0.076053386278403</v>
      </c>
      <c r="AT73" s="155" t="n">
        <f aca="false">IFERROR(IF(OR(NOT(ISNUMBER('Price History'!AA74)),NOT(ISNUMBER('Price History'!AA73)),'Price History'!AA73=0),"",'Price History'!AA74/'Price History'!AA73-1),"")</f>
        <v>0.13926115837315</v>
      </c>
      <c r="AU73" s="155" t="n">
        <f aca="false">IFERROR(IF(OR(NOT(ISNUMBER('Price History'!AB74)),NOT(ISNUMBER('Price History'!AB73)),'Price History'!AB73=0),"",'Price History'!AB74/'Price History'!AB73-1),"")</f>
        <v>0.0314418948243225</v>
      </c>
    </row>
    <row r="74" customFormat="false" ht="15" hidden="false" customHeight="true" outlineLevel="0" collapsed="false">
      <c r="A74" s="153" t="n">
        <f aca="false">IF('Price History'!A75="","",'Price History'!A75)</f>
        <v>45688</v>
      </c>
      <c r="B74" s="154" t="n">
        <f aca="false">IFERROR(IF(OR(NOT(ISNUMBER('Price History'!B75)),NOT(ISNUMBER('Price History'!B74)),'Price History'!B74=0),"",'Price History'!B75/'Price History'!B74-1),"")</f>
        <v>0.00475446736184471</v>
      </c>
      <c r="C74" s="154" t="n">
        <f aca="false">IFERROR(IF(OR(NOT(ISNUMBER('Price History'!C75)),NOT(ISNUMBER('Price History'!C74)),'Price History'!C74=0),"",'Price History'!C75/'Price History'!C74-1),"")</f>
        <v>-0.107919795618177</v>
      </c>
      <c r="D74" s="154" t="n">
        <f aca="false">IFERROR(IF(OR(NOT(ISNUMBER('Price History'!D75)),NOT(ISNUMBER('Price History'!D74)),'Price History'!D74=0),"",'Price History'!D75/'Price History'!D74-1),"")</f>
        <v>0.00964189235990842</v>
      </c>
      <c r="E74" s="154" t="n">
        <f aca="false">IFERROR(IF(OR(NOT(ISNUMBER('Price History'!E75)),NOT(ISNUMBER('Price History'!E74)),'Price History'!E74=0),"",'Price History'!E75/'Price History'!E74-1),"")</f>
        <v>-0.0957376233518534</v>
      </c>
      <c r="F74" s="154" t="n">
        <f aca="false">IFERROR(IF(OR(NOT(ISNUMBER('Price History'!F75)),NOT(ISNUMBER('Price History'!F74)),'Price History'!F74=0),"",'Price History'!F75/'Price History'!F74-1),"")</f>
        <v>0.0617731782780326</v>
      </c>
      <c r="G74" s="154" t="n">
        <f aca="false">IFERROR(IF(OR(NOT(ISNUMBER('Price History'!G75)),NOT(ISNUMBER('Price History'!G74)),'Price History'!G74=0),"",'Price History'!G75/'Price History'!G74-1),"")</f>
        <v>-0.0153908464965571</v>
      </c>
      <c r="H74" s="154" t="n">
        <f aca="false">IFERROR(IF(OR(NOT(ISNUMBER('Price History'!H75)),NOT(ISNUMBER('Price History'!H74)),'Price History'!H74=0),"",'Price History'!H75/'Price History'!H74-1),"")</f>
        <v>-0.115770016538574</v>
      </c>
      <c r="I74" s="154" t="n">
        <f aca="false">IFERROR(IF(OR(NOT(ISNUMBER('Price History'!I75)),NOT(ISNUMBER('Price History'!I74)),'Price History'!I74=0),"",'Price History'!I75/'Price History'!I74-1),"")</f>
        <v>-0.158101933216169</v>
      </c>
      <c r="J74" s="154" t="n">
        <f aca="false">IFERROR(IF(OR(NOT(ISNUMBER('Price History'!J75)),NOT(ISNUMBER('Price History'!J74)),'Price History'!J74=0),"",'Price History'!J75/'Price History'!J74-1),"")</f>
        <v>0.00267355850637219</v>
      </c>
      <c r="K74" s="154" t="n">
        <f aca="false">IFERROR(IF(OR(NOT(ISNUMBER('Price History'!K75)),NOT(ISNUMBER('Price History'!K74)),'Price History'!K74=0),"",'Price History'!K75/'Price History'!K74-1),"")</f>
        <v>0.0444416307926057</v>
      </c>
      <c r="L74" s="154" t="n">
        <f aca="false">IFERROR(IF(OR(NOT(ISNUMBER('Price History'!L75)),NOT(ISNUMBER('Price History'!L74)),'Price History'!L74=0),"",'Price History'!L75/'Price History'!L74-1),"")</f>
        <v>-0.0565785839241322</v>
      </c>
      <c r="M74" s="154" t="n">
        <f aca="false">IFERROR(IF(OR(NOT(ISNUMBER('Price History'!M75)),NOT(ISNUMBER('Price History'!M74)),'Price History'!M74=0),"",'Price History'!M75/'Price History'!M74-1),"")</f>
        <v>-0.200260256146839</v>
      </c>
      <c r="N74" s="154" t="n">
        <f aca="false">IFERROR(IF(OR(NOT(ISNUMBER('Price History'!N75)),NOT(ISNUMBER('Price History'!N74)),'Price History'!N74=0),"",'Price History'!N75/'Price History'!N74-1),"")</f>
        <v>0.0501797006505618</v>
      </c>
      <c r="O74" s="154" t="n">
        <f aca="false">IFERROR(IF(OR(NOT(ISNUMBER('Price History'!O75)),NOT(ISNUMBER('Price History'!O74)),'Price History'!O74=0),"",'Price History'!O75/'Price History'!O74-1),"")</f>
        <v>-0.0151187904967602</v>
      </c>
      <c r="P74" s="154" t="n">
        <f aca="false">IFERROR(IF(OR(NOT(ISNUMBER('Price History'!P75)),NOT(ISNUMBER('Price History'!P74)),'Price History'!P74=0),"",'Price History'!P75/'Price History'!P74-1),"")</f>
        <v>-0.0025965850971752</v>
      </c>
      <c r="Q74" s="154" t="n">
        <f aca="false">IFERROR(IF(OR(NOT(ISNUMBER('Price History'!Q75)),NOT(ISNUMBER('Price History'!Q74)),'Price History'!Q74=0),"",'Price History'!Q75/'Price History'!Q74-1),"")</f>
        <v>-0.00861793807851896</v>
      </c>
      <c r="R74" s="154" t="n">
        <f aca="false">IFERROR(IF(OR(NOT(ISNUMBER('Price History'!R75)),NOT(ISNUMBER('Price History'!R74)),'Price History'!R74=0),"",'Price History'!R75/'Price History'!R74-1),"")</f>
        <v>-0.0103092783505155</v>
      </c>
      <c r="S74" s="154" t="n">
        <f aca="false">IFERROR(IF(OR(NOT(ISNUMBER('Price History'!S75)),NOT(ISNUMBER('Price History'!S74)),'Price History'!S74=0),"",'Price History'!S75/'Price History'!S74-1),"")</f>
        <v>-0.0127088962273593</v>
      </c>
      <c r="T74" s="154" t="n">
        <f aca="false">IFERROR(IF(OR(NOT(ISNUMBER('Price History'!T75)),NOT(ISNUMBER('Price History'!T74)),'Price History'!T74=0),"",'Price History'!T75/'Price History'!T74-1),"")</f>
        <v>-0.0102710413694722</v>
      </c>
      <c r="U74" s="154" t="n">
        <f aca="false">IFERROR(IF(OR(NOT(ISNUMBER('Price History'!U75)),NOT(ISNUMBER('Price History'!U74)),'Price History'!U74=0),"",'Price History'!U75/'Price History'!U74-1),"")</f>
        <v>-0.00834597875569043</v>
      </c>
      <c r="V74" s="155" t="n">
        <f aca="false">IFERROR(IF(OR(NOT(ISNUMBER('Price History'!V75)),NOT(ISNUMBER('Price History'!V74)),'Price History'!V74=0),"",'Price History'!V75/'Price History'!V74-1),"")</f>
        <v>0.0351323985149274</v>
      </c>
      <c r="W74" s="156" t="n">
        <f aca="false">IFERROR('Price History'!B3+(INDEX('Price History'!B:B,MATCH(9.99E+307,'Returns (Calc)'!$A:$A)+1)-'Price History'!B3)*(ROW()-3)/(MATCH(9.99E+307,'Returns (Calc)'!$A:$A)-3),"")</f>
        <v>398.034303797468</v>
      </c>
      <c r="X74" s="156" t="n">
        <f aca="false">IFERROR('Price History'!C3+(INDEX('Price History'!C:C,MATCH(9.99E+307,'Returns (Calc)'!$A:$A)+1)-'Price History'!C3)*(ROW()-3)/(MATCH(9.99E+307,'Returns (Calc)'!$A:$A)-3),"")</f>
        <v>118.604493670886</v>
      </c>
      <c r="Y74" s="156" t="n">
        <f aca="false">IFERROR('Price History'!D3+(INDEX('Price History'!D:D,MATCH(9.99E+307,'Returns (Calc)'!$A:$A)+1)-'Price History'!D3)*(ROW()-3)/(MATCH(9.99E+307,'Returns (Calc)'!$A:$A)-3),"")</f>
        <v>1159.58151898734</v>
      </c>
      <c r="Z74" s="156" t="n">
        <f aca="false">IFERROR('Price History'!E3+(INDEX('Price History'!E:E,MATCH(9.99E+307,'Returns (Calc)'!$A:$A)+1)-'Price History'!E3)*(ROW()-3)/(MATCH(9.99E+307,'Returns (Calc)'!$A:$A)-3),"")</f>
        <v>204.740126582279</v>
      </c>
      <c r="AA74" s="156" t="n">
        <f aca="false">IFERROR('Price History'!F3+(INDEX('Price History'!F:F,MATCH(9.99E+307,'Returns (Calc)'!$A:$A)+1)-'Price History'!F3)*(ROW()-3)/(MATCH(9.99E+307,'Returns (Calc)'!$A:$A)-3),"")</f>
        <v>144.121265822785</v>
      </c>
      <c r="AB74" s="156" t="n">
        <f aca="false">IFERROR('Price History'!G3+(INDEX('Price History'!G:G,MATCH(9.99E+307,'Returns (Calc)'!$A:$A)+1)-'Price History'!G3)*(ROW()-3)/(MATCH(9.99E+307,'Returns (Calc)'!$A:$A)-3),"")</f>
        <v>117.390126582278</v>
      </c>
      <c r="AC74" s="156" t="n">
        <f aca="false">IFERROR('Price History'!H3+(INDEX('Price History'!H:H,MATCH(9.99E+307,'Returns (Calc)'!$A:$A)+1)-'Price History'!H3)*(ROW()-3)/(MATCH(9.99E+307,'Returns (Calc)'!$A:$A)-3),"")</f>
        <v>521.074430379747</v>
      </c>
      <c r="AD74" s="156" t="n">
        <f aca="false">IFERROR('Price History'!I3+(INDEX('Price History'!I:I,MATCH(9.99E+307,'Returns (Calc)'!$A:$A)+1)-'Price History'!I3)*(ROW()-3)/(MATCH(9.99E+307,'Returns (Calc)'!$A:$A)-3),"")</f>
        <v>129.230632911392</v>
      </c>
      <c r="AE74" s="156" t="n">
        <f aca="false">IFERROR('Price History'!J3+(INDEX('Price History'!J:J,MATCH(9.99E+307,'Returns (Calc)'!$A:$A)+1)-'Price History'!J3)*(ROW()-3)/(MATCH(9.99E+307,'Returns (Calc)'!$A:$A)-3),"")</f>
        <v>119.510696202532</v>
      </c>
      <c r="AF74" s="156" t="n">
        <f aca="false">IFERROR('Price History'!K3+(INDEX('Price History'!K:K,MATCH(9.99E+307,'Returns (Calc)'!$A:$A)+1)-'Price History'!K3)*(ROW()-3)/(MATCH(9.99E+307,'Returns (Calc)'!$A:$A)-3),"")</f>
        <v>93.2592405063291</v>
      </c>
      <c r="AG74" s="156" t="n">
        <f aca="false">IFERROR('Price History'!L3+(INDEX('Price History'!L:L,MATCH(9.99E+307,'Returns (Calc)'!$A:$A)+1)-'Price History'!L3)*(ROW()-3)/(MATCH(9.99E+307,'Returns (Calc)'!$A:$A)-3),"")</f>
        <v>259.668544303798</v>
      </c>
      <c r="AH74" s="156" t="n">
        <f aca="false">IFERROR('Price History'!M3+(INDEX('Price History'!M:M,MATCH(9.99E+307,'Returns (Calc)'!$A:$A)+1)-'Price History'!M3)*(ROW()-3)/(MATCH(9.99E+307,'Returns (Calc)'!$A:$A)-3),"")</f>
        <v>134.256455696203</v>
      </c>
      <c r="AI74" s="156" t="n">
        <f aca="false">IFERROR('Price History'!N3+(INDEX('Price History'!N:N,MATCH(9.99E+307,'Returns (Calc)'!$A:$A)+1)-'Price History'!N3)*(ROW()-3)/(MATCH(9.99E+307,'Returns (Calc)'!$A:$A)-3),"")</f>
        <v>418.924873417722</v>
      </c>
      <c r="AJ74" s="156" t="n">
        <f aca="false">IFERROR('Price History'!O3+(INDEX('Price History'!O:O,MATCH(9.99E+307,'Returns (Calc)'!$A:$A)+1)-'Price History'!O3)*(ROW()-3)/(MATCH(9.99E+307,'Returns (Calc)'!$A:$A)-3),"")</f>
        <v>95.4056962025316</v>
      </c>
      <c r="AK74" s="156" t="n">
        <f aca="false">IFERROR('Price History'!Q3+(INDEX('Price History'!Q:Q,MATCH(9.99E+307,'Returns (Calc)'!$A:$A)+1)-'Price History'!Q3)*(ROW()-3)/(MATCH(9.99E+307,'Returns (Calc)'!$A:$A)-3),"")</f>
        <v>31.1950632911392</v>
      </c>
      <c r="AL74" s="156" t="n">
        <f aca="false">IFERROR('Price History'!R3+(INDEX('Price History'!R:R,MATCH(9.99E+307,'Returns (Calc)'!$A:$A)+1)-'Price History'!R3)*(ROW()-3)/(MATCH(9.99E+307,'Returns (Calc)'!$A:$A)-3),"")</f>
        <v>46.4151898734177</v>
      </c>
      <c r="AM74" s="156" t="n">
        <f aca="false">IFERROR('Price History'!S3+(INDEX('Price History'!S:S,MATCH(9.99E+307,'Returns (Calc)'!$A:$A)+1)-'Price History'!S3)*(ROW()-3)/(MATCH(9.99E+307,'Returns (Calc)'!$A:$A)-3),"")</f>
        <v>100.589493670886</v>
      </c>
      <c r="AN74" s="156" t="n">
        <f aca="false">IFERROR('Price History'!T3+(INDEX('Price History'!T:T,MATCH(9.99E+307,'Returns (Calc)'!$A:$A)+1)-'Price History'!T3)*(ROW()-3)/(MATCH(9.99E+307,'Returns (Calc)'!$A:$A)-3),"")</f>
        <v>37.1841772151899</v>
      </c>
      <c r="AO74" s="157" t="n">
        <f aca="false">IFERROR('Price History'!V3+(INDEX('Price History'!V:V,MATCH(9.99E+307,'Returns (Calc)'!$A:$A)+1)-'Price History'!V3)*(ROW()-3)/(MATCH(9.99E+307,'Returns (Calc)'!$A:$A)-3),"")</f>
        <v>291.814367088608</v>
      </c>
      <c r="AP74" s="155" t="n">
        <f aca="false">IFERROR(IF(OR(NOT(ISNUMBER('Price History'!W75)),NOT(ISNUMBER('Price History'!W74)),'Price History'!W74=0),"",'Price History'!W75/'Price History'!W74-1),"")</f>
        <v>-0.00525861392355387</v>
      </c>
      <c r="AQ74" s="155" t="str">
        <f aca="false">IFERROR(IF(OR(NOT(ISNUMBER('Price History'!X75)),NOT(ISNUMBER('Price History'!X74)),'Price History'!X74=0),"",'Price History'!X75/'Price History'!X74-1),"")</f>
        <v/>
      </c>
      <c r="AR74" s="155" t="n">
        <f aca="false">IFERROR(IF(OR(NOT(ISNUMBER('Price History'!Y75)),NOT(ISNUMBER('Price History'!Y74)),'Price History'!Y74=0),"",'Price History'!Y75/'Price History'!Y74-1),"")</f>
        <v>-0.0021467603434816</v>
      </c>
      <c r="AS74" s="155" t="n">
        <f aca="false">IFERROR(IF(OR(NOT(ISNUMBER('Price History'!Z75)),NOT(ISNUMBER('Price History'!Z74)),'Price History'!Z74=0),"",'Price History'!Z75/'Price History'!Z74-1),"")</f>
        <v>0.0346471221362308</v>
      </c>
      <c r="AT74" s="155" t="n">
        <f aca="false">IFERROR(IF(OR(NOT(ISNUMBER('Price History'!AA75)),NOT(ISNUMBER('Price History'!AA74)),'Price History'!AA74=0),"",'Price History'!AA75/'Price History'!AA74-1),"")</f>
        <v>-0.000818330605564577</v>
      </c>
      <c r="AU74" s="155" t="n">
        <f aca="false">IFERROR(IF(OR(NOT(ISNUMBER('Price History'!AB75)),NOT(ISNUMBER('Price History'!AB74)),'Price History'!AB74=0),"",'Price History'!AB75/'Price History'!AB74-1),"")</f>
        <v>0.044136078782453</v>
      </c>
    </row>
    <row r="75" customFormat="false" ht="15" hidden="false" customHeight="true" outlineLevel="0" collapsed="false">
      <c r="A75" s="153" t="n">
        <f aca="false">IF('Price History'!A76="","",'Price History'!A76)</f>
        <v>45695</v>
      </c>
      <c r="B75" s="154" t="n">
        <f aca="false">IFERROR(IF(OR(NOT(ISNUMBER('Price History'!B76)),NOT(ISNUMBER('Price History'!B75)),'Price History'!B75=0),"",'Price History'!B76/'Price History'!B75-1),"")</f>
        <v>-0.0100125728654703</v>
      </c>
      <c r="C75" s="154" t="n">
        <f aca="false">IFERROR(IF(OR(NOT(ISNUMBER('Price History'!C76)),NOT(ISNUMBER('Price History'!C75)),'Price History'!C75=0),"",'Price History'!C76/'Price History'!C75-1),"")</f>
        <v>0.028117677688102</v>
      </c>
      <c r="D75" s="154" t="n">
        <f aca="false">IFERROR(IF(OR(NOT(ISNUMBER('Price History'!D76)),NOT(ISNUMBER('Price History'!D75)),'Price History'!D75=0),"",'Price History'!D76/'Price History'!D75-1),"")</f>
        <v>-0.015696820844939</v>
      </c>
      <c r="E75" s="154" t="n">
        <f aca="false">IFERROR(IF(OR(NOT(ISNUMBER('Price History'!E76)),NOT(ISNUMBER('Price History'!E75)),'Price History'!E75=0),"",'Price History'!E76/'Price History'!E75-1),"")</f>
        <v>0.0162318308955018</v>
      </c>
      <c r="F75" s="154" t="n">
        <f aca="false">IFERROR(IF(OR(NOT(ISNUMBER('Price History'!F76)),NOT(ISNUMBER('Price History'!F75)),'Price History'!F75=0),"",'Price History'!F76/'Price History'!F75-1),"")</f>
        <v>0.0590836012861737</v>
      </c>
      <c r="G75" s="154" t="n">
        <f aca="false">IFERROR(IF(OR(NOT(ISNUMBER('Price History'!G76)),NOT(ISNUMBER('Price History'!G75)),'Price History'!G75=0),"",'Price History'!G76/'Price History'!G75-1),"")</f>
        <v>0.0127519539284244</v>
      </c>
      <c r="H75" s="154" t="n">
        <f aca="false">IFERROR(IF(OR(NOT(ISNUMBER('Price History'!H76)),NOT(ISNUMBER('Price History'!H75)),'Price History'!H75=0),"",'Price History'!H76/'Price History'!H75-1),"")</f>
        <v>0.011662449114314</v>
      </c>
      <c r="I75" s="154" t="n">
        <f aca="false">IFERROR(IF(OR(NOT(ISNUMBER('Price History'!I76)),NOT(ISNUMBER('Price History'!I75)),'Price History'!I75=0),"",'Price History'!I76/'Price History'!I75-1),"")</f>
        <v>0.0813293253173013</v>
      </c>
      <c r="J75" s="154" t="n">
        <f aca="false">IFERROR(IF(OR(NOT(ISNUMBER('Price History'!J76)),NOT(ISNUMBER('Price History'!J75)),'Price History'!J75=0),"",'Price History'!J76/'Price History'!J75-1),"")</f>
        <v>-0.0159096969158298</v>
      </c>
      <c r="K75" s="154" t="n">
        <f aca="false">IFERROR(IF(OR(NOT(ISNUMBER('Price History'!K76)),NOT(ISNUMBER('Price History'!K75)),'Price History'!K75=0),"",'Price History'!K76/'Price History'!K75-1),"")</f>
        <v>0.343799248393745</v>
      </c>
      <c r="L75" s="154" t="n">
        <f aca="false">IFERROR(IF(OR(NOT(ISNUMBER('Price History'!L76)),NOT(ISNUMBER('Price History'!L75)),'Price History'!L75=0),"",'Price History'!L76/'Price History'!L75-1),"")</f>
        <v>-0.0153223051773778</v>
      </c>
      <c r="M75" s="154" t="n">
        <f aca="false">IFERROR(IF(OR(NOT(ISNUMBER('Price History'!M76)),NOT(ISNUMBER('Price History'!M75)),'Price History'!M75=0),"",'Price History'!M76/'Price History'!M75-1),"")</f>
        <v>0.0372527190202965</v>
      </c>
      <c r="N75" s="154" t="n">
        <f aca="false">IFERROR(IF(OR(NOT(ISNUMBER('Price History'!N76)),NOT(ISNUMBER('Price History'!N75)),'Price History'!N75=0),"",'Price History'!N76/'Price History'!N75-1),"")</f>
        <v>0.0165482585340495</v>
      </c>
      <c r="O75" s="154" t="n">
        <f aca="false">IFERROR(IF(OR(NOT(ISNUMBER('Price History'!O76)),NOT(ISNUMBER('Price History'!O75)),'Price History'!O75=0),"",'Price History'!O76/'Price History'!O75-1),"")</f>
        <v>-0.0115914786967418</v>
      </c>
      <c r="P75" s="154" t="n">
        <f aca="false">IFERROR(IF(OR(NOT(ISNUMBER('Price History'!P76)),NOT(ISNUMBER('Price History'!P75)),'Price History'!P75=0),"",'Price History'!P76/'Price History'!P75-1),"")</f>
        <v>-0.00481224360997157</v>
      </c>
      <c r="Q75" s="154" t="n">
        <f aca="false">IFERROR(IF(OR(NOT(ISNUMBER('Price History'!Q76)),NOT(ISNUMBER('Price History'!Q75)),'Price History'!Q75=0),"",'Price History'!Q76/'Price History'!Q75-1),"")</f>
        <v>-0.000643915003219586</v>
      </c>
      <c r="R75" s="154" t="n">
        <f aca="false">IFERROR(IF(OR(NOT(ISNUMBER('Price History'!R76)),NOT(ISNUMBER('Price History'!R75)),'Price History'!R75=0),"",'Price History'!R76/'Price History'!R75-1),"")</f>
        <v>0.00255102040816313</v>
      </c>
      <c r="S75" s="154" t="n">
        <f aca="false">IFERROR(IF(OR(NOT(ISNUMBER('Price History'!S76)),NOT(ISNUMBER('Price History'!S75)),'Price History'!S75=0),"",'Price History'!S76/'Price History'!S75-1),"")</f>
        <v>0.0198662071761606</v>
      </c>
      <c r="T75" s="154" t="n">
        <f aca="false">IFERROR(IF(OR(NOT(ISNUMBER('Price History'!T76)),NOT(ISNUMBER('Price History'!T75)),'Price History'!T75=0),"",'Price History'!T76/'Price History'!T75-1),"")</f>
        <v>-0.0074949553185355</v>
      </c>
      <c r="U75" s="154" t="n">
        <f aca="false">IFERROR(IF(OR(NOT(ISNUMBER('Price History'!U76)),NOT(ISNUMBER('Price History'!U75)),'Price History'!U75=0),"",'Price History'!U76/'Price History'!U75-1),"")</f>
        <v>-0.009946442234124</v>
      </c>
      <c r="V75" s="155" t="n">
        <f aca="false">IFERROR(IF(OR(NOT(ISNUMBER('Price History'!V76)),NOT(ISNUMBER('Price History'!V75)),'Price History'!V75=0),"",'Price History'!V76/'Price History'!V75-1),"")</f>
        <v>0.0182001422812426</v>
      </c>
      <c r="W75" s="156" t="n">
        <f aca="false">IFERROR('Price History'!B3+(INDEX('Price History'!B:B,MATCH(9.99E+307,'Returns (Calc)'!$A:$A)+1)-'Price History'!B3)*(ROW()-3)/(MATCH(9.99E+307,'Returns (Calc)'!$A:$A)-3),"")</f>
        <v>396.191265822785</v>
      </c>
      <c r="X75" s="156" t="n">
        <f aca="false">IFERROR('Price History'!C3+(INDEX('Price History'!C:C,MATCH(9.99E+307,'Returns (Calc)'!$A:$A)+1)-'Price History'!C3)*(ROW()-3)/(MATCH(9.99E+307,'Returns (Calc)'!$A:$A)-3),"")</f>
        <v>119.624556962025</v>
      </c>
      <c r="Y75" s="156" t="n">
        <f aca="false">IFERROR('Price History'!D3+(INDEX('Price History'!D:D,MATCH(9.99E+307,'Returns (Calc)'!$A:$A)+1)-'Price History'!D3)*(ROW()-3)/(MATCH(9.99E+307,'Returns (Calc)'!$A:$A)-3),"")</f>
        <v>1167.71632911392</v>
      </c>
      <c r="Z75" s="156" t="n">
        <f aca="false">IFERROR('Price History'!E3+(INDEX('Price History'!E:E,MATCH(9.99E+307,'Returns (Calc)'!$A:$A)+1)-'Price History'!E3)*(ROW()-3)/(MATCH(9.99E+307,'Returns (Calc)'!$A:$A)-3),"")</f>
        <v>206.468860759494</v>
      </c>
      <c r="AA75" s="156" t="n">
        <f aca="false">IFERROR('Price History'!F3+(INDEX('Price History'!F:F,MATCH(9.99E+307,'Returns (Calc)'!$A:$A)+1)-'Price History'!F3)*(ROW()-3)/(MATCH(9.99E+307,'Returns (Calc)'!$A:$A)-3),"")</f>
        <v>145.568607594937</v>
      </c>
      <c r="AB75" s="156" t="n">
        <f aca="false">IFERROR('Price History'!G3+(INDEX('Price History'!G:G,MATCH(9.99E+307,'Returns (Calc)'!$A:$A)+1)-'Price History'!G3)*(ROW()-3)/(MATCH(9.99E+307,'Returns (Calc)'!$A:$A)-3),"")</f>
        <v>118.418860759494</v>
      </c>
      <c r="AC75" s="156" t="n">
        <f aca="false">IFERROR('Price History'!H3+(INDEX('Price History'!H:H,MATCH(9.99E+307,'Returns (Calc)'!$A:$A)+1)-'Price History'!H3)*(ROW()-3)/(MATCH(9.99E+307,'Returns (Calc)'!$A:$A)-3),"")</f>
        <v>527.440126582279</v>
      </c>
      <c r="AD75" s="156" t="n">
        <f aca="false">IFERROR('Price History'!I3+(INDEX('Price History'!I:I,MATCH(9.99E+307,'Returns (Calc)'!$A:$A)+1)-'Price History'!I3)*(ROW()-3)/(MATCH(9.99E+307,'Returns (Calc)'!$A:$A)-3),"")</f>
        <v>130.434303797468</v>
      </c>
      <c r="AE75" s="156" t="n">
        <f aca="false">IFERROR('Price History'!J3+(INDEX('Price History'!J:J,MATCH(9.99E+307,'Returns (Calc)'!$A:$A)+1)-'Price History'!J3)*(ROW()-3)/(MATCH(9.99E+307,'Returns (Calc)'!$A:$A)-3),"")</f>
        <v>119.618734177215</v>
      </c>
      <c r="AF75" s="156" t="n">
        <f aca="false">IFERROR('Price History'!K3+(INDEX('Price History'!K:K,MATCH(9.99E+307,'Returns (Calc)'!$A:$A)+1)-'Price History'!K3)*(ROW()-3)/(MATCH(9.99E+307,'Returns (Calc)'!$A:$A)-3),"")</f>
        <v>94.356835443038</v>
      </c>
      <c r="AG75" s="156" t="n">
        <f aca="false">IFERROR('Price History'!L3+(INDEX('Price History'!L:L,MATCH(9.99E+307,'Returns (Calc)'!$A:$A)+1)-'Price History'!L3)*(ROW()-3)/(MATCH(9.99E+307,'Returns (Calc)'!$A:$A)-3),"")</f>
        <v>262.118101265823</v>
      </c>
      <c r="AH75" s="156" t="n">
        <f aca="false">IFERROR('Price History'!M3+(INDEX('Price History'!M:M,MATCH(9.99E+307,'Returns (Calc)'!$A:$A)+1)-'Price History'!M3)*(ROW()-3)/(MATCH(9.99E+307,'Returns (Calc)'!$A:$A)-3),"")</f>
        <v>135.611898734177</v>
      </c>
      <c r="AI75" s="156" t="n">
        <f aca="false">IFERROR('Price History'!N3+(INDEX('Price History'!N:N,MATCH(9.99E+307,'Returns (Calc)'!$A:$A)+1)-'Price History'!N3)*(ROW()-3)/(MATCH(9.99E+307,'Returns (Calc)'!$A:$A)-3),"")</f>
        <v>419.911139240506</v>
      </c>
      <c r="AJ75" s="156" t="n">
        <f aca="false">IFERROR('Price History'!O3+(INDEX('Price History'!O:O,MATCH(9.99E+307,'Returns (Calc)'!$A:$A)+1)-'Price History'!O3)*(ROW()-3)/(MATCH(9.99E+307,'Returns (Calc)'!$A:$A)-3),"")</f>
        <v>95.6887341772152</v>
      </c>
      <c r="AK75" s="156" t="n">
        <f aca="false">IFERROR('Price History'!Q3+(INDEX('Price History'!Q:Q,MATCH(9.99E+307,'Returns (Calc)'!$A:$A)+1)-'Price History'!Q3)*(ROW()-3)/(MATCH(9.99E+307,'Returns (Calc)'!$A:$A)-3),"")</f>
        <v>31.6344303797468</v>
      </c>
      <c r="AL75" s="156" t="n">
        <f aca="false">IFERROR('Price History'!R3+(INDEX('Price History'!R:R,MATCH(9.99E+307,'Returns (Calc)'!$A:$A)+1)-'Price History'!R3)*(ROW()-3)/(MATCH(9.99E+307,'Returns (Calc)'!$A:$A)-3),"")</f>
        <v>46.5832911392405</v>
      </c>
      <c r="AM75" s="156" t="n">
        <f aca="false">IFERROR('Price History'!S3+(INDEX('Price History'!S:S,MATCH(9.99E+307,'Returns (Calc)'!$A:$A)+1)-'Price History'!S3)*(ROW()-3)/(MATCH(9.99E+307,'Returns (Calc)'!$A:$A)-3),"")</f>
        <v>101.194556962025</v>
      </c>
      <c r="AN75" s="156" t="n">
        <f aca="false">IFERROR('Price History'!T3+(INDEX('Price History'!T:T,MATCH(9.99E+307,'Returns (Calc)'!$A:$A)+1)-'Price History'!T3)*(ROW()-3)/(MATCH(9.99E+307,'Returns (Calc)'!$A:$A)-3),"")</f>
        <v>37.3524050632911</v>
      </c>
      <c r="AO75" s="157" t="n">
        <f aca="false">IFERROR('Price History'!V3+(INDEX('Price History'!V:V,MATCH(9.99E+307,'Returns (Calc)'!$A:$A)+1)-'Price History'!V3)*(ROW()-3)/(MATCH(9.99E+307,'Returns (Calc)'!$A:$A)-3),"")</f>
        <v>292.605696202532</v>
      </c>
      <c r="AP75" s="155" t="n">
        <f aca="false">IFERROR(IF(OR(NOT(ISNUMBER('Price History'!W76)),NOT(ISNUMBER('Price History'!W75)),'Price History'!W75=0),"",'Price History'!W76/'Price History'!W75-1),"")</f>
        <v>-0.000315606753984454</v>
      </c>
      <c r="AQ75" s="155" t="str">
        <f aca="false">IFERROR(IF(OR(NOT(ISNUMBER('Price History'!X76)),NOT(ISNUMBER('Price History'!X75)),'Price History'!X75=0),"",'Price History'!X76/'Price History'!X75-1),"")</f>
        <v/>
      </c>
      <c r="AR75" s="155" t="n">
        <f aca="false">IFERROR(IF(OR(NOT(ISNUMBER('Price History'!Y76)),NOT(ISNUMBER('Price History'!Y75)),'Price History'!Y75=0),"",'Price History'!Y76/'Price History'!Y75-1),"")</f>
        <v>0.00234695873264212</v>
      </c>
      <c r="AS75" s="155" t="n">
        <f aca="false">IFERROR(IF(OR(NOT(ISNUMBER('Price History'!Z76)),NOT(ISNUMBER('Price History'!Z75)),'Price History'!Z75=0),"",'Price History'!Z76/'Price History'!Z75-1),"")</f>
        <v>0.00842126120770792</v>
      </c>
      <c r="AT75" s="155" t="n">
        <f aca="false">IFERROR(IF(OR(NOT(ISNUMBER('Price History'!AA76)),NOT(ISNUMBER('Price History'!AA75)),'Price History'!AA75=0),"",'Price History'!AA76/'Price History'!AA75-1),"")</f>
        <v>0.0379811629811628</v>
      </c>
      <c r="AU75" s="155" t="n">
        <f aca="false">IFERROR(IF(OR(NOT(ISNUMBER('Price History'!AB76)),NOT(ISNUMBER('Price History'!AB75)),'Price History'!AB75=0),"",'Price History'!AB76/'Price History'!AB75-1),"")</f>
        <v>0.0168910228929091</v>
      </c>
    </row>
    <row r="76" customFormat="false" ht="15" hidden="false" customHeight="true" outlineLevel="0" collapsed="false">
      <c r="A76" s="153" t="n">
        <f aca="false">IF('Price History'!A77="","",'Price History'!A77)</f>
        <v>45702</v>
      </c>
      <c r="B76" s="154" t="n">
        <f aca="false">IFERROR(IF(OR(NOT(ISNUMBER('Price History'!B77)),NOT(ISNUMBER('Price History'!B76)),'Price History'!B76=0),"",'Price History'!B77/'Price History'!B76-1),"")</f>
        <v>0.0625533978340684</v>
      </c>
      <c r="C76" s="154" t="n">
        <f aca="false">IFERROR(IF(OR(NOT(ISNUMBER('Price History'!C77)),NOT(ISNUMBER('Price History'!C76)),'Price History'!C76=0),"",'Price History'!C77/'Price History'!C76-1),"")</f>
        <v>-0.0979150839875074</v>
      </c>
      <c r="D76" s="154" t="n">
        <f aca="false">IFERROR(IF(OR(NOT(ISNUMBER('Price History'!D77)),NOT(ISNUMBER('Price History'!D76)),'Price History'!D76=0),"",'Price History'!D77/'Price History'!D76-1),"")</f>
        <v>0.0349470984289837</v>
      </c>
      <c r="E76" s="154" t="n">
        <f aca="false">IFERROR(IF(OR(NOT(ISNUMBER('Price History'!E77)),NOT(ISNUMBER('Price History'!E76)),'Price History'!E76=0),"",'Price History'!E77/'Price History'!E76-1),"")</f>
        <v>0.0363669178360331</v>
      </c>
      <c r="F76" s="154" t="n">
        <f aca="false">IFERROR(IF(OR(NOT(ISNUMBER('Price History'!F77)),NOT(ISNUMBER('Price History'!F76)),'Price History'!F76=0),"",'Price History'!F77/'Price History'!F76-1),"")</f>
        <v>0.0714421252371917</v>
      </c>
      <c r="G76" s="154" t="n">
        <f aca="false">IFERROR(IF(OR(NOT(ISNUMBER('Price History'!G77)),NOT(ISNUMBER('Price History'!G76)),'Price History'!G76=0),"",'Price History'!G77/'Price History'!G76-1),"")</f>
        <v>0.00406173842404556</v>
      </c>
      <c r="H76" s="154" t="n">
        <f aca="false">IFERROR(IF(OR(NOT(ISNUMBER('Price History'!H77)),NOT(ISNUMBER('Price History'!H76)),'Price History'!H76=0),"",'Price History'!H77/'Price History'!H76-1),"")</f>
        <v>0.0781946710168571</v>
      </c>
      <c r="I76" s="154" t="n">
        <f aca="false">IFERROR(IF(OR(NOT(ISNUMBER('Price History'!I77)),NOT(ISNUMBER('Price History'!I76)),'Price History'!I76=0),"",'Price History'!I77/'Price History'!I76-1),"")</f>
        <v>0.0694208494208495</v>
      </c>
      <c r="J76" s="154" t="n">
        <f aca="false">IFERROR(IF(OR(NOT(ISNUMBER('Price History'!J77)),NOT(ISNUMBER('Price History'!J76)),'Price History'!J76=0),"",'Price History'!J77/'Price History'!J76-1),"")</f>
        <v>0.0298049132947977</v>
      </c>
      <c r="K76" s="154" t="n">
        <f aca="false">IFERROR(IF(OR(NOT(ISNUMBER('Price History'!K77)),NOT(ISNUMBER('Price History'!K76)),'Price History'!K76=0),"",'Price History'!K77/'Price History'!K76-1),"")</f>
        <v>0.0749661705006766</v>
      </c>
      <c r="L76" s="154" t="n">
        <f aca="false">IFERROR(IF(OR(NOT(ISNUMBER('Price History'!L77)),NOT(ISNUMBER('Price History'!L76)),'Price History'!L76=0),"",'Price History'!L77/'Price History'!L76-1),"")</f>
        <v>-0.0107537539025719</v>
      </c>
      <c r="M76" s="154" t="n">
        <f aca="false">IFERROR(IF(OR(NOT(ISNUMBER('Price History'!M77)),NOT(ISNUMBER('Price History'!M76)),'Price History'!M76=0),"",'Price History'!M77/'Price History'!M76-1),"")</f>
        <v>-0.109808454425363</v>
      </c>
      <c r="N76" s="154" t="n">
        <f aca="false">IFERROR(IF(OR(NOT(ISNUMBER('Price History'!N77)),NOT(ISNUMBER('Price History'!N76)),'Price History'!N76=0),"",'Price History'!N77/'Price History'!N76-1),"")</f>
        <v>-0.0219892610585528</v>
      </c>
      <c r="O76" s="154" t="n">
        <f aca="false">IFERROR(IF(OR(NOT(ISNUMBER('Price History'!O77)),NOT(ISNUMBER('Price History'!O76)),'Price History'!O76=0),"",'Price History'!O77/'Price History'!O76-1),"")</f>
        <v>0.00306391970417308</v>
      </c>
      <c r="P76" s="154" t="n">
        <f aca="false">IFERROR(IF(OR(NOT(ISNUMBER('Price History'!P77)),NOT(ISNUMBER('Price History'!P76)),'Price History'!P76=0),"",'Price History'!P77/'Price History'!P76-1),"")</f>
        <v>0.0119698771304002</v>
      </c>
      <c r="Q76" s="154" t="n">
        <f aca="false">IFERROR(IF(OR(NOT(ISNUMBER('Price History'!Q77)),NOT(ISNUMBER('Price History'!Q76)),'Price History'!Q76=0),"",'Price History'!Q77/'Price History'!Q76-1),"")</f>
        <v>0.0104703608247423</v>
      </c>
      <c r="R76" s="154" t="n">
        <f aca="false">IFERROR(IF(OR(NOT(ISNUMBER('Price History'!R77)),NOT(ISNUMBER('Price History'!R76)),'Price History'!R76=0),"",'Price History'!R77/'Price History'!R76-1),"")</f>
        <v>0.0192960135708229</v>
      </c>
      <c r="S76" s="154" t="n">
        <f aca="false">IFERROR(IF(OR(NOT(ISNUMBER('Price History'!S77)),NOT(ISNUMBER('Price History'!S76)),'Price History'!S76=0),"",'Price History'!S77/'Price History'!S76-1),"")</f>
        <v>0.0101371496720333</v>
      </c>
      <c r="T76" s="154" t="n">
        <f aca="false">IFERROR(IF(OR(NOT(ISNUMBER('Price History'!T77)),NOT(ISNUMBER('Price History'!T76)),'Price History'!T76=0),"",'Price History'!T77/'Price History'!T76-1),"")</f>
        <v>0.01161777519605</v>
      </c>
      <c r="U76" s="154" t="n">
        <f aca="false">IFERROR(IF(OR(NOT(ISNUMBER('Price History'!U77)),NOT(ISNUMBER('Price History'!U76)),'Price History'!U76=0),"",'Price History'!U77/'Price History'!U76-1),"")</f>
        <v>0.00850077279752703</v>
      </c>
      <c r="V76" s="155" t="n">
        <f aca="false">IFERROR(IF(OR(NOT(ISNUMBER('Price History'!V77)),NOT(ISNUMBER('Price History'!V76)),'Price History'!V76=0),"",'Price History'!V77/'Price History'!V76-1),"")</f>
        <v>0.0183697234352256</v>
      </c>
      <c r="W76" s="156" t="n">
        <f aca="false">IFERROR('Price History'!B3+(INDEX('Price History'!B:B,MATCH(9.99E+307,'Returns (Calc)'!$A:$A)+1)-'Price History'!B3)*(ROW()-3)/(MATCH(9.99E+307,'Returns (Calc)'!$A:$A)-3),"")</f>
        <v>394.348227848101</v>
      </c>
      <c r="X76" s="156" t="n">
        <f aca="false">IFERROR('Price History'!C3+(INDEX('Price History'!C:C,MATCH(9.99E+307,'Returns (Calc)'!$A:$A)+1)-'Price History'!C3)*(ROW()-3)/(MATCH(9.99E+307,'Returns (Calc)'!$A:$A)-3),"")</f>
        <v>120.644620253165</v>
      </c>
      <c r="Y76" s="156" t="n">
        <f aca="false">IFERROR('Price History'!D3+(INDEX('Price History'!D:D,MATCH(9.99E+307,'Returns (Calc)'!$A:$A)+1)-'Price History'!D3)*(ROW()-3)/(MATCH(9.99E+307,'Returns (Calc)'!$A:$A)-3),"")</f>
        <v>1175.85113924051</v>
      </c>
      <c r="Z76" s="156" t="n">
        <f aca="false">IFERROR('Price History'!E3+(INDEX('Price History'!E:E,MATCH(9.99E+307,'Returns (Calc)'!$A:$A)+1)-'Price History'!E3)*(ROW()-3)/(MATCH(9.99E+307,'Returns (Calc)'!$A:$A)-3),"")</f>
        <v>208.197594936709</v>
      </c>
      <c r="AA76" s="156" t="n">
        <f aca="false">IFERROR('Price History'!F3+(INDEX('Price History'!F:F,MATCH(9.99E+307,'Returns (Calc)'!$A:$A)+1)-'Price History'!F3)*(ROW()-3)/(MATCH(9.99E+307,'Returns (Calc)'!$A:$A)-3),"")</f>
        <v>147.015949367089</v>
      </c>
      <c r="AB76" s="156" t="n">
        <f aca="false">IFERROR('Price History'!G3+(INDEX('Price History'!G:G,MATCH(9.99E+307,'Returns (Calc)'!$A:$A)+1)-'Price History'!G3)*(ROW()-3)/(MATCH(9.99E+307,'Returns (Calc)'!$A:$A)-3),"")</f>
        <v>119.447594936709</v>
      </c>
      <c r="AC76" s="156" t="n">
        <f aca="false">IFERROR('Price History'!H3+(INDEX('Price History'!H:H,MATCH(9.99E+307,'Returns (Calc)'!$A:$A)+1)-'Price History'!H3)*(ROW()-3)/(MATCH(9.99E+307,'Returns (Calc)'!$A:$A)-3),"")</f>
        <v>533.80582278481</v>
      </c>
      <c r="AD76" s="156" t="n">
        <f aca="false">IFERROR('Price History'!I3+(INDEX('Price History'!I:I,MATCH(9.99E+307,'Returns (Calc)'!$A:$A)+1)-'Price History'!I3)*(ROW()-3)/(MATCH(9.99E+307,'Returns (Calc)'!$A:$A)-3),"")</f>
        <v>131.637974683544</v>
      </c>
      <c r="AE76" s="156" t="n">
        <f aca="false">IFERROR('Price History'!J3+(INDEX('Price History'!J:J,MATCH(9.99E+307,'Returns (Calc)'!$A:$A)+1)-'Price History'!J3)*(ROW()-3)/(MATCH(9.99E+307,'Returns (Calc)'!$A:$A)-3),"")</f>
        <v>119.726772151899</v>
      </c>
      <c r="AF76" s="156" t="n">
        <f aca="false">IFERROR('Price History'!K3+(INDEX('Price History'!K:K,MATCH(9.99E+307,'Returns (Calc)'!$A:$A)+1)-'Price History'!K3)*(ROW()-3)/(MATCH(9.99E+307,'Returns (Calc)'!$A:$A)-3),"")</f>
        <v>95.4544303797468</v>
      </c>
      <c r="AG76" s="156" t="n">
        <f aca="false">IFERROR('Price History'!L3+(INDEX('Price History'!L:L,MATCH(9.99E+307,'Returns (Calc)'!$A:$A)+1)-'Price History'!L3)*(ROW()-3)/(MATCH(9.99E+307,'Returns (Calc)'!$A:$A)-3),"")</f>
        <v>264.567658227848</v>
      </c>
      <c r="AH76" s="156" t="n">
        <f aca="false">IFERROR('Price History'!M3+(INDEX('Price History'!M:M,MATCH(9.99E+307,'Returns (Calc)'!$A:$A)+1)-'Price History'!M3)*(ROW()-3)/(MATCH(9.99E+307,'Returns (Calc)'!$A:$A)-3),"")</f>
        <v>136.967341772152</v>
      </c>
      <c r="AI76" s="156" t="n">
        <f aca="false">IFERROR('Price History'!N3+(INDEX('Price History'!N:N,MATCH(9.99E+307,'Returns (Calc)'!$A:$A)+1)-'Price History'!N3)*(ROW()-3)/(MATCH(9.99E+307,'Returns (Calc)'!$A:$A)-3),"")</f>
        <v>420.897405063291</v>
      </c>
      <c r="AJ76" s="156" t="n">
        <f aca="false">IFERROR('Price History'!O3+(INDEX('Price History'!O:O,MATCH(9.99E+307,'Returns (Calc)'!$A:$A)+1)-'Price History'!O3)*(ROW()-3)/(MATCH(9.99E+307,'Returns (Calc)'!$A:$A)-3),"")</f>
        <v>95.9717721518987</v>
      </c>
      <c r="AK76" s="156" t="n">
        <f aca="false">IFERROR('Price History'!Q3+(INDEX('Price History'!Q:Q,MATCH(9.99E+307,'Returns (Calc)'!$A:$A)+1)-'Price History'!Q3)*(ROW()-3)/(MATCH(9.99E+307,'Returns (Calc)'!$A:$A)-3),"")</f>
        <v>32.0737974683544</v>
      </c>
      <c r="AL76" s="156" t="n">
        <f aca="false">IFERROR('Price History'!R3+(INDEX('Price History'!R:R,MATCH(9.99E+307,'Returns (Calc)'!$A:$A)+1)-'Price History'!R3)*(ROW()-3)/(MATCH(9.99E+307,'Returns (Calc)'!$A:$A)-3),"")</f>
        <v>46.7513924050633</v>
      </c>
      <c r="AM76" s="156" t="n">
        <f aca="false">IFERROR('Price History'!S3+(INDEX('Price History'!S:S,MATCH(9.99E+307,'Returns (Calc)'!$A:$A)+1)-'Price History'!S3)*(ROW()-3)/(MATCH(9.99E+307,'Returns (Calc)'!$A:$A)-3),"")</f>
        <v>101.799620253165</v>
      </c>
      <c r="AN76" s="156" t="n">
        <f aca="false">IFERROR('Price History'!T3+(INDEX('Price History'!T:T,MATCH(9.99E+307,'Returns (Calc)'!$A:$A)+1)-'Price History'!T3)*(ROW()-3)/(MATCH(9.99E+307,'Returns (Calc)'!$A:$A)-3),"")</f>
        <v>37.5206329113924</v>
      </c>
      <c r="AO76" s="157" t="n">
        <f aca="false">IFERROR('Price History'!V3+(INDEX('Price History'!V:V,MATCH(9.99E+307,'Returns (Calc)'!$A:$A)+1)-'Price History'!V3)*(ROW()-3)/(MATCH(9.99E+307,'Returns (Calc)'!$A:$A)-3),"")</f>
        <v>293.397025316456</v>
      </c>
      <c r="AP76" s="155" t="n">
        <f aca="false">IFERROR(IF(OR(NOT(ISNUMBER('Price History'!W77)),NOT(ISNUMBER('Price History'!W76)),'Price History'!W76=0),"",'Price History'!W77/'Price History'!W76-1),"")</f>
        <v>0.0109707971586426</v>
      </c>
      <c r="AQ76" s="155" t="str">
        <f aca="false">IFERROR(IF(OR(NOT(ISNUMBER('Price History'!X77)),NOT(ISNUMBER('Price History'!X76)),'Price History'!X76=0),"",'Price History'!X77/'Price History'!X76-1),"")</f>
        <v/>
      </c>
      <c r="AR76" s="155" t="n">
        <f aca="false">IFERROR(IF(OR(NOT(ISNUMBER('Price History'!Y77)),NOT(ISNUMBER('Price History'!Y76)),'Price History'!Y76=0),"",'Price History'!Y77/'Price History'!Y76-1),"")</f>
        <v>0.00663414634146342</v>
      </c>
      <c r="AS76" s="155" t="n">
        <f aca="false">IFERROR(IF(OR(NOT(ISNUMBER('Price History'!Z77)),NOT(ISNUMBER('Price History'!Z76)),'Price History'!Z76=0),"",'Price History'!Z77/'Price History'!Z76-1),"")</f>
        <v>0.0145404529154591</v>
      </c>
      <c r="AT76" s="155" t="n">
        <f aca="false">IFERROR(IF(OR(NOT(ISNUMBER('Price History'!AA77)),NOT(ISNUMBER('Price History'!AA76)),'Price History'!AA76=0),"",'Price History'!AA77/'Price History'!AA76-1),"")</f>
        <v>0.04408718808561</v>
      </c>
      <c r="AU76" s="155" t="n">
        <f aca="false">IFERROR(IF(OR(NOT(ISNUMBER('Price History'!AB77)),NOT(ISNUMBER('Price History'!AB76)),'Price History'!AB76=0),"",'Price History'!AB77/'Price History'!AB76-1),"")</f>
        <v>-0.0134907251264755</v>
      </c>
    </row>
    <row r="77" customFormat="false" ht="15" hidden="false" customHeight="true" outlineLevel="0" collapsed="false">
      <c r="A77" s="153" t="n">
        <f aca="false">IF('Price History'!A78="","",'Price History'!A78)</f>
        <v>45709</v>
      </c>
      <c r="B77" s="154" t="n">
        <f aca="false">IFERROR(IF(OR(NOT(ISNUMBER('Price History'!B78)),NOT(ISNUMBER('Price History'!B77)),'Price History'!B77=0),"",'Price History'!B78/'Price History'!B77-1),"")</f>
        <v>-0.03442280945758</v>
      </c>
      <c r="C77" s="154" t="n">
        <f aca="false">IFERROR(IF(OR(NOT(ISNUMBER('Price History'!C78)),NOT(ISNUMBER('Price History'!C77)),'Price History'!C77=0),"",'Price History'!C78/'Price History'!C77-1),"")</f>
        <v>-0.0801908861233275</v>
      </c>
      <c r="D77" s="154" t="n">
        <f aca="false">IFERROR(IF(OR(NOT(ISNUMBER('Price History'!D78)),NOT(ISNUMBER('Price History'!D77)),'Price History'!D77=0),"",'Price History'!D78/'Price History'!D77-1),"")</f>
        <v>-0.019072248262486</v>
      </c>
      <c r="E77" s="154" t="n">
        <f aca="false">IFERROR(IF(OR(NOT(ISNUMBER('Price History'!E78)),NOT(ISNUMBER('Price History'!E77)),'Price History'!E77=0),"",'Price History'!E78/'Price History'!E77-1),"")</f>
        <v>-0.0617353824720276</v>
      </c>
      <c r="F77" s="154" t="n">
        <f aca="false">IFERROR(IF(OR(NOT(ISNUMBER('Price History'!F78)),NOT(ISNUMBER('Price History'!F77)),'Price History'!F77=0),"",'Price History'!F78/'Price History'!F77-1),"")</f>
        <v>-0.0997077835827505</v>
      </c>
      <c r="G77" s="154" t="n">
        <f aca="false">IFERROR(IF(OR(NOT(ISNUMBER('Price History'!G78)),NOT(ISNUMBER('Price History'!G77)),'Price History'!G77=0),"",'Price History'!G78/'Price History'!G77-1),"")</f>
        <v>0.00471952535059339</v>
      </c>
      <c r="H77" s="154" t="n">
        <f aca="false">IFERROR(IF(OR(NOT(ISNUMBER('Price History'!H78)),NOT(ISNUMBER('Price History'!H77)),'Price History'!H77=0),"",'Price History'!H78/'Price History'!H77-1),"")</f>
        <v>-0.00685898729070011</v>
      </c>
      <c r="I77" s="154" t="n">
        <f aca="false">IFERROR(IF(OR(NOT(ISNUMBER('Price History'!I78)),NOT(ISNUMBER('Price History'!I77)),'Price History'!I77=0),"",'Price History'!I78/'Price History'!I77-1),"")</f>
        <v>-0.0318434544010398</v>
      </c>
      <c r="J77" s="154" t="n">
        <f aca="false">IFERROR(IF(OR(NOT(ISNUMBER('Price History'!J78)),NOT(ISNUMBER('Price History'!J77)),'Price History'!J77=0),"",'Price History'!J78/'Price History'!J77-1),"")</f>
        <v>0.00105244693913353</v>
      </c>
      <c r="K77" s="154" t="n">
        <f aca="false">IFERROR(IF(OR(NOT(ISNUMBER('Price History'!K78)),NOT(ISNUMBER('Price History'!K77)),'Price History'!K77=0),"",'Price History'!K78/'Price History'!K77-1),"")</f>
        <v>-0.149462907015777</v>
      </c>
      <c r="L77" s="154" t="n">
        <f aca="false">IFERROR(IF(OR(NOT(ISNUMBER('Price History'!L78)),NOT(ISNUMBER('Price History'!L77)),'Price History'!L77=0),"",'Price History'!L78/'Price History'!L77-1),"")</f>
        <v>-0.0277527301873559</v>
      </c>
      <c r="M77" s="154" t="n">
        <f aca="false">IFERROR(IF(OR(NOT(ISNUMBER('Price History'!M78)),NOT(ISNUMBER('Price History'!M77)),'Price History'!M77=0),"",'Price History'!M78/'Price History'!M77-1),"")</f>
        <v>-0.111574846967167</v>
      </c>
      <c r="N77" s="154" t="n">
        <f aca="false">IFERROR(IF(OR(NOT(ISNUMBER('Price History'!N78)),NOT(ISNUMBER('Price History'!N77)),'Price History'!N77=0),"",'Price History'!N78/'Price History'!N77-1),"")</f>
        <v>0.0549891067538126</v>
      </c>
      <c r="O77" s="154" t="n">
        <f aca="false">IFERROR(IF(OR(NOT(ISNUMBER('Price History'!O78)),NOT(ISNUMBER('Price History'!O77)),'Price History'!O77=0),"",'Price History'!O78/'Price History'!O77-1),"")</f>
        <v>-0.0365493996208132</v>
      </c>
      <c r="P77" s="154" t="n">
        <f aca="false">IFERROR(IF(OR(NOT(ISNUMBER('Price History'!P78)),NOT(ISNUMBER('Price History'!P77)),'Price History'!P77=0),"",'Price History'!P78/'Price History'!P77-1),"")</f>
        <v>0.00728497571674769</v>
      </c>
      <c r="Q77" s="154" t="n">
        <f aca="false">IFERROR(IF(OR(NOT(ISNUMBER('Price History'!Q78)),NOT(ISNUMBER('Price History'!Q77)),'Price History'!Q77=0),"",'Price History'!Q78/'Price History'!Q77-1),"")</f>
        <v>-0.00892714809501027</v>
      </c>
      <c r="R77" s="154" t="n">
        <f aca="false">IFERROR(IF(OR(NOT(ISNUMBER('Price History'!R78)),NOT(ISNUMBER('Price History'!R77)),'Price History'!R77=0),"",'Price History'!R78/'Price History'!R77-1),"")</f>
        <v>-0.0120657374661951</v>
      </c>
      <c r="S77" s="154" t="n">
        <f aca="false">IFERROR(IF(OR(NOT(ISNUMBER('Price History'!S78)),NOT(ISNUMBER('Price History'!S77)),'Price History'!S77=0),"",'Price History'!S78/'Price History'!S77-1),"")</f>
        <v>-0.0305981896890988</v>
      </c>
      <c r="T77" s="154" t="n">
        <f aca="false">IFERROR(IF(OR(NOT(ISNUMBER('Price History'!T78)),NOT(ISNUMBER('Price History'!T77)),'Price History'!T77=0),"",'Price History'!T78/'Price History'!T77-1),"")</f>
        <v>-0.00344530577088709</v>
      </c>
      <c r="U77" s="154" t="n">
        <f aca="false">IFERROR(IF(OR(NOT(ISNUMBER('Price History'!U78)),NOT(ISNUMBER('Price History'!U77)),'Price History'!U77=0),"",'Price History'!U78/'Price History'!U77-1),"")</f>
        <v>0.0149425287356322</v>
      </c>
      <c r="V77" s="155" t="n">
        <f aca="false">IFERROR(IF(OR(NOT(ISNUMBER('Price History'!V78)),NOT(ISNUMBER('Price History'!V77)),'Price History'!V77=0),"",'Price History'!V78/'Price History'!V77-1),"")</f>
        <v>-0.0149223864383523</v>
      </c>
      <c r="W77" s="156" t="n">
        <f aca="false">IFERROR('Price History'!B3+(INDEX('Price History'!B:B,MATCH(9.99E+307,'Returns (Calc)'!$A:$A)+1)-'Price History'!B3)*(ROW()-3)/(MATCH(9.99E+307,'Returns (Calc)'!$A:$A)-3),"")</f>
        <v>392.505189873418</v>
      </c>
      <c r="X77" s="156" t="n">
        <f aca="false">IFERROR('Price History'!C3+(INDEX('Price History'!C:C,MATCH(9.99E+307,'Returns (Calc)'!$A:$A)+1)-'Price History'!C3)*(ROW()-3)/(MATCH(9.99E+307,'Returns (Calc)'!$A:$A)-3),"")</f>
        <v>121.664683544304</v>
      </c>
      <c r="Y77" s="156" t="n">
        <f aca="false">IFERROR('Price History'!D3+(INDEX('Price History'!D:D,MATCH(9.99E+307,'Returns (Calc)'!$A:$A)+1)-'Price History'!D3)*(ROW()-3)/(MATCH(9.99E+307,'Returns (Calc)'!$A:$A)-3),"")</f>
        <v>1183.98594936709</v>
      </c>
      <c r="Z77" s="156" t="n">
        <f aca="false">IFERROR('Price History'!E3+(INDEX('Price History'!E:E,MATCH(9.99E+307,'Returns (Calc)'!$A:$A)+1)-'Price History'!E3)*(ROW()-3)/(MATCH(9.99E+307,'Returns (Calc)'!$A:$A)-3),"")</f>
        <v>209.926329113924</v>
      </c>
      <c r="AA77" s="156" t="n">
        <f aca="false">IFERROR('Price History'!F3+(INDEX('Price History'!F:F,MATCH(9.99E+307,'Returns (Calc)'!$A:$A)+1)-'Price History'!F3)*(ROW()-3)/(MATCH(9.99E+307,'Returns (Calc)'!$A:$A)-3),"")</f>
        <v>148.463291139241</v>
      </c>
      <c r="AB77" s="156" t="n">
        <f aca="false">IFERROR('Price History'!G3+(INDEX('Price History'!G:G,MATCH(9.99E+307,'Returns (Calc)'!$A:$A)+1)-'Price History'!G3)*(ROW()-3)/(MATCH(9.99E+307,'Returns (Calc)'!$A:$A)-3),"")</f>
        <v>120.476329113924</v>
      </c>
      <c r="AC77" s="156" t="n">
        <f aca="false">IFERROR('Price History'!H3+(INDEX('Price History'!H:H,MATCH(9.99E+307,'Returns (Calc)'!$A:$A)+1)-'Price History'!H3)*(ROW()-3)/(MATCH(9.99E+307,'Returns (Calc)'!$A:$A)-3),"")</f>
        <v>540.171518987342</v>
      </c>
      <c r="AD77" s="156" t="n">
        <f aca="false">IFERROR('Price History'!I3+(INDEX('Price History'!I:I,MATCH(9.99E+307,'Returns (Calc)'!$A:$A)+1)-'Price History'!I3)*(ROW()-3)/(MATCH(9.99E+307,'Returns (Calc)'!$A:$A)-3),"")</f>
        <v>132.84164556962</v>
      </c>
      <c r="AE77" s="156" t="n">
        <f aca="false">IFERROR('Price History'!J3+(INDEX('Price History'!J:J,MATCH(9.99E+307,'Returns (Calc)'!$A:$A)+1)-'Price History'!J3)*(ROW()-3)/(MATCH(9.99E+307,'Returns (Calc)'!$A:$A)-3),"")</f>
        <v>119.834810126582</v>
      </c>
      <c r="AF77" s="156" t="n">
        <f aca="false">IFERROR('Price History'!K3+(INDEX('Price History'!K:K,MATCH(9.99E+307,'Returns (Calc)'!$A:$A)+1)-'Price History'!K3)*(ROW()-3)/(MATCH(9.99E+307,'Returns (Calc)'!$A:$A)-3),"")</f>
        <v>96.5520253164557</v>
      </c>
      <c r="AG77" s="156" t="n">
        <f aca="false">IFERROR('Price History'!L3+(INDEX('Price History'!L:L,MATCH(9.99E+307,'Returns (Calc)'!$A:$A)+1)-'Price History'!L3)*(ROW()-3)/(MATCH(9.99E+307,'Returns (Calc)'!$A:$A)-3),"")</f>
        <v>267.017215189873</v>
      </c>
      <c r="AH77" s="156" t="n">
        <f aca="false">IFERROR('Price History'!M3+(INDEX('Price History'!M:M,MATCH(9.99E+307,'Returns (Calc)'!$A:$A)+1)-'Price History'!M3)*(ROW()-3)/(MATCH(9.99E+307,'Returns (Calc)'!$A:$A)-3),"")</f>
        <v>138.322784810127</v>
      </c>
      <c r="AI77" s="156" t="n">
        <f aca="false">IFERROR('Price History'!N3+(INDEX('Price History'!N:N,MATCH(9.99E+307,'Returns (Calc)'!$A:$A)+1)-'Price History'!N3)*(ROW()-3)/(MATCH(9.99E+307,'Returns (Calc)'!$A:$A)-3),"")</f>
        <v>421.883670886076</v>
      </c>
      <c r="AJ77" s="156" t="n">
        <f aca="false">IFERROR('Price History'!O3+(INDEX('Price History'!O:O,MATCH(9.99E+307,'Returns (Calc)'!$A:$A)+1)-'Price History'!O3)*(ROW()-3)/(MATCH(9.99E+307,'Returns (Calc)'!$A:$A)-3),"")</f>
        <v>96.2548101265823</v>
      </c>
      <c r="AK77" s="156" t="n">
        <f aca="false">IFERROR('Price History'!Q3+(INDEX('Price History'!Q:Q,MATCH(9.99E+307,'Returns (Calc)'!$A:$A)+1)-'Price History'!Q3)*(ROW()-3)/(MATCH(9.99E+307,'Returns (Calc)'!$A:$A)-3),"")</f>
        <v>32.513164556962</v>
      </c>
      <c r="AL77" s="156" t="n">
        <f aca="false">IFERROR('Price History'!R3+(INDEX('Price History'!R:R,MATCH(9.99E+307,'Returns (Calc)'!$A:$A)+1)-'Price History'!R3)*(ROW()-3)/(MATCH(9.99E+307,'Returns (Calc)'!$A:$A)-3),"")</f>
        <v>46.9194936708861</v>
      </c>
      <c r="AM77" s="156" t="n">
        <f aca="false">IFERROR('Price History'!S3+(INDEX('Price History'!S:S,MATCH(9.99E+307,'Returns (Calc)'!$A:$A)+1)-'Price History'!S3)*(ROW()-3)/(MATCH(9.99E+307,'Returns (Calc)'!$A:$A)-3),"")</f>
        <v>102.404683544304</v>
      </c>
      <c r="AN77" s="156" t="n">
        <f aca="false">IFERROR('Price History'!T3+(INDEX('Price History'!T:T,MATCH(9.99E+307,'Returns (Calc)'!$A:$A)+1)-'Price History'!T3)*(ROW()-3)/(MATCH(9.99E+307,'Returns (Calc)'!$A:$A)-3),"")</f>
        <v>37.6888607594937</v>
      </c>
      <c r="AO77" s="157" t="n">
        <f aca="false">IFERROR('Price History'!V3+(INDEX('Price History'!V:V,MATCH(9.99E+307,'Returns (Calc)'!$A:$A)+1)-'Price History'!V3)*(ROW()-3)/(MATCH(9.99E+307,'Returns (Calc)'!$A:$A)-3),"")</f>
        <v>294.18835443038</v>
      </c>
      <c r="AP77" s="155" t="n">
        <f aca="false">IFERROR(IF(OR(NOT(ISNUMBER('Price History'!W78)),NOT(ISNUMBER('Price History'!W77)),'Price History'!W77=0),"",'Price History'!W78/'Price History'!W77-1),"")</f>
        <v>-0.00335701459911009</v>
      </c>
      <c r="AQ77" s="155" t="str">
        <f aca="false">IFERROR(IF(OR(NOT(ISNUMBER('Price History'!X78)),NOT(ISNUMBER('Price History'!X77)),'Price History'!X77=0),"",'Price History'!X78/'Price History'!X77-1),"")</f>
        <v/>
      </c>
      <c r="AR77" s="155" t="n">
        <f aca="false">IFERROR(IF(OR(NOT(ISNUMBER('Price History'!Y78)),NOT(ISNUMBER('Price History'!Y77)),'Price History'!Y77=0),"",'Price History'!Y78/'Price History'!Y77-1),"")</f>
        <v>-0.000775344058926319</v>
      </c>
      <c r="AS77" s="155" t="n">
        <f aca="false">IFERROR(IF(OR(NOT(ISNUMBER('Price History'!Z78)),NOT(ISNUMBER('Price History'!Z77)),'Price History'!Z77=0),"",'Price History'!Z78/'Price History'!Z77-1),"")</f>
        <v>-0.0405267999806324</v>
      </c>
      <c r="AT77" s="155" t="n">
        <f aca="false">IFERROR(IF(OR(NOT(ISNUMBER('Price History'!AA78)),NOT(ISNUMBER('Price History'!AA77)),'Price History'!AA77=0),"",'Price History'!AA78/'Price History'!AA77-1),"")</f>
        <v>-0.0523332703570755</v>
      </c>
      <c r="AU77" s="155" t="n">
        <f aca="false">IFERROR(IF(OR(NOT(ISNUMBER('Price History'!AB78)),NOT(ISNUMBER('Price History'!AB77)),'Price History'!AB77=0),"",'Price History'!AB78/'Price History'!AB77-1),"")</f>
        <v>-0.0350854700854701</v>
      </c>
    </row>
    <row r="78" customFormat="false" ht="15" hidden="false" customHeight="true" outlineLevel="0" collapsed="false">
      <c r="A78" s="153" t="n">
        <f aca="false">IF('Price History'!A79="","",'Price History'!A79)</f>
        <v>45716</v>
      </c>
      <c r="B78" s="154" t="n">
        <f aca="false">IFERROR(IF(OR(NOT(ISNUMBER('Price History'!B79)),NOT(ISNUMBER('Price History'!B78)),'Price History'!B78=0),"",'Price History'!B79/'Price History'!B78-1),"")</f>
        <v>-0.0129636298163486</v>
      </c>
      <c r="C78" s="154" t="n">
        <f aca="false">IFERROR(IF(OR(NOT(ISNUMBER('Price History'!C79)),NOT(ISNUMBER('Price History'!C78)),'Price History'!C78=0),"",'Price History'!C79/'Price History'!C78-1),"")</f>
        <v>-0.0534079348931842</v>
      </c>
      <c r="D78" s="154" t="n">
        <f aca="false">IFERROR(IF(OR(NOT(ISNUMBER('Price History'!D79)),NOT(ISNUMBER('Price History'!D78)),'Price History'!D78=0),"",'Price History'!D79/'Price History'!D78-1),"")</f>
        <v>-0.038158400615148</v>
      </c>
      <c r="E78" s="154" t="n">
        <f aca="false">IFERROR(IF(OR(NOT(ISNUMBER('Price History'!E79)),NOT(ISNUMBER('Price History'!E78)),'Price History'!E78=0),"",'Price History'!E79/'Price History'!E78-1),"")</f>
        <v>-0.0879309544800705</v>
      </c>
      <c r="F78" s="154" t="n">
        <f aca="false">IFERROR(IF(OR(NOT(ISNUMBER('Price History'!F79)),NOT(ISNUMBER('Price History'!F78)),'Price History'!F78=0),"",'Price History'!F79/'Price History'!F78-1),"")</f>
        <v>-0.0418019081341595</v>
      </c>
      <c r="G78" s="154" t="n">
        <f aca="false">IFERROR(IF(OR(NOT(ISNUMBER('Price History'!G79)),NOT(ISNUMBER('Price History'!G78)),'Price History'!G78=0),"",'Price History'!G79/'Price History'!G78-1),"")</f>
        <v>-0.0581130049657764</v>
      </c>
      <c r="H78" s="154" t="n">
        <f aca="false">IFERROR(IF(OR(NOT(ISNUMBER('Price History'!H79)),NOT(ISNUMBER('Price History'!H78)),'Price History'!H78=0),"",'Price History'!H79/'Price History'!H78-1),"")</f>
        <v>-0.0527117611212675</v>
      </c>
      <c r="I78" s="154" t="n">
        <f aca="false">IFERROR(IF(OR(NOT(ISNUMBER('Price History'!I79)),NOT(ISNUMBER('Price History'!I78)),'Price History'!I78=0),"",'Price History'!I79/'Price History'!I78-1),"")</f>
        <v>-0.0707786396181385</v>
      </c>
      <c r="J78" s="154" t="n">
        <f aca="false">IFERROR(IF(OR(NOT(ISNUMBER('Price History'!J79)),NOT(ISNUMBER('Price History'!J78)),'Price History'!J78=0),"",'Price History'!J79/'Price History'!J78-1),"")</f>
        <v>0.0243560539688104</v>
      </c>
      <c r="K78" s="154" t="n">
        <f aca="false">IFERROR(IF(OR(NOT(ISNUMBER('Price History'!K79)),NOT(ISNUMBER('Price History'!K78)),'Price History'!K78=0),"",'Price History'!K79/'Price History'!K78-1),"")</f>
        <v>-0.162111494819931</v>
      </c>
      <c r="L78" s="154" t="n">
        <f aca="false">IFERROR(IF(OR(NOT(ISNUMBER('Price History'!L79)),NOT(ISNUMBER('Price History'!L78)),'Price History'!L78=0),"",'Price History'!L79/'Price History'!L78-1),"")</f>
        <v>-0.0893446001648804</v>
      </c>
      <c r="M78" s="154" t="n">
        <f aca="false">IFERROR(IF(OR(NOT(ISNUMBER('Price History'!M79)),NOT(ISNUMBER('Price History'!M78)),'Price History'!M78=0),"",'Price History'!M79/'Price History'!M78-1),"")</f>
        <v>-0.00856039252531582</v>
      </c>
      <c r="N78" s="154" t="n">
        <f aca="false">IFERROR(IF(OR(NOT(ISNUMBER('Price History'!N79)),NOT(ISNUMBER('Price History'!N78)),'Price History'!N78=0),"",'Price History'!N79/'Price History'!N78-1),"")</f>
        <v>-0.00918965802081606</v>
      </c>
      <c r="O78" s="154" t="n">
        <f aca="false">IFERROR(IF(OR(NOT(ISNUMBER('Price History'!O79)),NOT(ISNUMBER('Price History'!O78)),'Price History'!O78=0),"",'Price History'!O79/'Price History'!O78-1),"")</f>
        <v>-0.0112605225757079</v>
      </c>
      <c r="P78" s="154" t="n">
        <f aca="false">IFERROR(IF(OR(NOT(ISNUMBER('Price History'!P79)),NOT(ISNUMBER('Price History'!P78)),'Price History'!P78=0),"",'Price History'!P79/'Price History'!P78-1),"")</f>
        <v>0.0102651839178785</v>
      </c>
      <c r="Q78" s="154" t="n">
        <f aca="false">IFERROR(IF(OR(NOT(ISNUMBER('Price History'!Q79)),NOT(ISNUMBER('Price History'!Q78)),'Price History'!Q78=0),"",'Price History'!Q79/'Price History'!Q78-1),"")</f>
        <v>-0.0064339713688274</v>
      </c>
      <c r="R78" s="154" t="n">
        <f aca="false">IFERROR(IF(OR(NOT(ISNUMBER('Price History'!R79)),NOT(ISNUMBER('Price History'!R78)),'Price History'!R78=0),"",'Price History'!R79/'Price History'!R78-1),"")</f>
        <v>-0.0275847546851969</v>
      </c>
      <c r="S78" s="154" t="n">
        <f aca="false">IFERROR(IF(OR(NOT(ISNUMBER('Price History'!S79)),NOT(ISNUMBER('Price History'!S78)),'Price History'!S78=0),"",'Price History'!S79/'Price History'!S78-1),"")</f>
        <v>-0.00111641124530604</v>
      </c>
      <c r="T78" s="154" t="n">
        <f aca="false">IFERROR(IF(OR(NOT(ISNUMBER('Price History'!T79)),NOT(ISNUMBER('Price History'!T78)),'Price History'!T78=0),"",'Price History'!T79/'Price History'!T78-1),"")</f>
        <v>-0.00460962258715081</v>
      </c>
      <c r="U78" s="154" t="n">
        <f aca="false">IFERROR(IF(OR(NOT(ISNUMBER('Price History'!U79)),NOT(ISNUMBER('Price History'!U78)),'Price History'!U78=0),"",'Price History'!U79/'Price History'!U78-1),"")</f>
        <v>0.0117025292563233</v>
      </c>
      <c r="V78" s="155" t="n">
        <f aca="false">IFERROR(IF(OR(NOT(ISNUMBER('Price History'!V79)),NOT(ISNUMBER('Price History'!V78)),'Price History'!V78=0),"",'Price History'!V79/'Price History'!V78-1),"")</f>
        <v>0.0406570126817378</v>
      </c>
      <c r="W78" s="156" t="n">
        <f aca="false">IFERROR('Price History'!B3+(INDEX('Price History'!B:B,MATCH(9.99E+307,'Returns (Calc)'!$A:$A)+1)-'Price History'!B3)*(ROW()-3)/(MATCH(9.99E+307,'Returns (Calc)'!$A:$A)-3),"")</f>
        <v>390.662151898734</v>
      </c>
      <c r="X78" s="156" t="n">
        <f aca="false">IFERROR('Price History'!C3+(INDEX('Price History'!C:C,MATCH(9.99E+307,'Returns (Calc)'!$A:$A)+1)-'Price History'!C3)*(ROW()-3)/(MATCH(9.99E+307,'Returns (Calc)'!$A:$A)-3),"")</f>
        <v>122.684746835443</v>
      </c>
      <c r="Y78" s="156" t="n">
        <f aca="false">IFERROR('Price History'!D3+(INDEX('Price History'!D:D,MATCH(9.99E+307,'Returns (Calc)'!$A:$A)+1)-'Price History'!D3)*(ROW()-3)/(MATCH(9.99E+307,'Returns (Calc)'!$A:$A)-3),"")</f>
        <v>1192.12075949367</v>
      </c>
      <c r="Z78" s="156" t="n">
        <f aca="false">IFERROR('Price History'!E3+(INDEX('Price History'!E:E,MATCH(9.99E+307,'Returns (Calc)'!$A:$A)+1)-'Price History'!E3)*(ROW()-3)/(MATCH(9.99E+307,'Returns (Calc)'!$A:$A)-3),"")</f>
        <v>211.655063291139</v>
      </c>
      <c r="AA78" s="156" t="n">
        <f aca="false">IFERROR('Price History'!F3+(INDEX('Price History'!F:F,MATCH(9.99E+307,'Returns (Calc)'!$A:$A)+1)-'Price History'!F3)*(ROW()-3)/(MATCH(9.99E+307,'Returns (Calc)'!$A:$A)-3),"")</f>
        <v>149.910632911392</v>
      </c>
      <c r="AB78" s="156" t="n">
        <f aca="false">IFERROR('Price History'!G3+(INDEX('Price History'!G:G,MATCH(9.99E+307,'Returns (Calc)'!$A:$A)+1)-'Price History'!G3)*(ROW()-3)/(MATCH(9.99E+307,'Returns (Calc)'!$A:$A)-3),"")</f>
        <v>121.505063291139</v>
      </c>
      <c r="AC78" s="156" t="n">
        <f aca="false">IFERROR('Price History'!H3+(INDEX('Price History'!H:H,MATCH(9.99E+307,'Returns (Calc)'!$A:$A)+1)-'Price History'!H3)*(ROW()-3)/(MATCH(9.99E+307,'Returns (Calc)'!$A:$A)-3),"")</f>
        <v>546.537215189874</v>
      </c>
      <c r="AD78" s="156" t="n">
        <f aca="false">IFERROR('Price History'!I3+(INDEX('Price History'!I:I,MATCH(9.99E+307,'Returns (Calc)'!$A:$A)+1)-'Price History'!I3)*(ROW()-3)/(MATCH(9.99E+307,'Returns (Calc)'!$A:$A)-3),"")</f>
        <v>134.045316455696</v>
      </c>
      <c r="AE78" s="156" t="n">
        <f aca="false">IFERROR('Price History'!J3+(INDEX('Price History'!J:J,MATCH(9.99E+307,'Returns (Calc)'!$A:$A)+1)-'Price History'!J3)*(ROW()-3)/(MATCH(9.99E+307,'Returns (Calc)'!$A:$A)-3),"")</f>
        <v>119.942848101266</v>
      </c>
      <c r="AF78" s="156" t="n">
        <f aca="false">IFERROR('Price History'!K3+(INDEX('Price History'!K:K,MATCH(9.99E+307,'Returns (Calc)'!$A:$A)+1)-'Price History'!K3)*(ROW()-3)/(MATCH(9.99E+307,'Returns (Calc)'!$A:$A)-3),"")</f>
        <v>97.6496202531645</v>
      </c>
      <c r="AG78" s="156" t="n">
        <f aca="false">IFERROR('Price History'!L3+(INDEX('Price History'!L:L,MATCH(9.99E+307,'Returns (Calc)'!$A:$A)+1)-'Price History'!L3)*(ROW()-3)/(MATCH(9.99E+307,'Returns (Calc)'!$A:$A)-3),"")</f>
        <v>269.466772151899</v>
      </c>
      <c r="AH78" s="156" t="n">
        <f aca="false">IFERROR('Price History'!M3+(INDEX('Price History'!M:M,MATCH(9.99E+307,'Returns (Calc)'!$A:$A)+1)-'Price History'!M3)*(ROW()-3)/(MATCH(9.99E+307,'Returns (Calc)'!$A:$A)-3),"")</f>
        <v>139.678227848101</v>
      </c>
      <c r="AI78" s="156" t="n">
        <f aca="false">IFERROR('Price History'!N3+(INDEX('Price History'!N:N,MATCH(9.99E+307,'Returns (Calc)'!$A:$A)+1)-'Price History'!N3)*(ROW()-3)/(MATCH(9.99E+307,'Returns (Calc)'!$A:$A)-3),"")</f>
        <v>422.869936708861</v>
      </c>
      <c r="AJ78" s="156" t="n">
        <f aca="false">IFERROR('Price History'!O3+(INDEX('Price History'!O:O,MATCH(9.99E+307,'Returns (Calc)'!$A:$A)+1)-'Price History'!O3)*(ROW()-3)/(MATCH(9.99E+307,'Returns (Calc)'!$A:$A)-3),"")</f>
        <v>96.5378481012658</v>
      </c>
      <c r="AK78" s="156" t="n">
        <f aca="false">IFERROR('Price History'!Q3+(INDEX('Price History'!Q:Q,MATCH(9.99E+307,'Returns (Calc)'!$A:$A)+1)-'Price History'!Q3)*(ROW()-3)/(MATCH(9.99E+307,'Returns (Calc)'!$A:$A)-3),"")</f>
        <v>32.9525316455696</v>
      </c>
      <c r="AL78" s="156" t="n">
        <f aca="false">IFERROR('Price History'!R3+(INDEX('Price History'!R:R,MATCH(9.99E+307,'Returns (Calc)'!$A:$A)+1)-'Price History'!R3)*(ROW()-3)/(MATCH(9.99E+307,'Returns (Calc)'!$A:$A)-3),"")</f>
        <v>47.0875949367089</v>
      </c>
      <c r="AM78" s="156" t="n">
        <f aca="false">IFERROR('Price History'!S3+(INDEX('Price History'!S:S,MATCH(9.99E+307,'Returns (Calc)'!$A:$A)+1)-'Price History'!S3)*(ROW()-3)/(MATCH(9.99E+307,'Returns (Calc)'!$A:$A)-3),"")</f>
        <v>103.009746835443</v>
      </c>
      <c r="AN78" s="156" t="n">
        <f aca="false">IFERROR('Price History'!T3+(INDEX('Price History'!T:T,MATCH(9.99E+307,'Returns (Calc)'!$A:$A)+1)-'Price History'!T3)*(ROW()-3)/(MATCH(9.99E+307,'Returns (Calc)'!$A:$A)-3),"")</f>
        <v>37.8570886075949</v>
      </c>
      <c r="AO78" s="157" t="n">
        <f aca="false">IFERROR('Price History'!V3+(INDEX('Price History'!V:V,MATCH(9.99E+307,'Returns (Calc)'!$A:$A)+1)-'Price History'!V3)*(ROW()-3)/(MATCH(9.99E+307,'Returns (Calc)'!$A:$A)-3),"")</f>
        <v>294.979683544304</v>
      </c>
      <c r="AP78" s="155" t="n">
        <f aca="false">IFERROR(IF(OR(NOT(ISNUMBER('Price History'!W79)),NOT(ISNUMBER('Price History'!W78)),'Price History'!W78=0),"",'Price History'!W79/'Price History'!W78-1),"")</f>
        <v>0.00548331505561661</v>
      </c>
      <c r="AQ78" s="155" t="str">
        <f aca="false">IFERROR(IF(OR(NOT(ISNUMBER('Price History'!X79)),NOT(ISNUMBER('Price History'!X78)),'Price History'!X78=0),"",'Price History'!X79/'Price History'!X78-1),"")</f>
        <v/>
      </c>
      <c r="AR78" s="155" t="n">
        <f aca="false">IFERROR(IF(OR(NOT(ISNUMBER('Price History'!Y79)),NOT(ISNUMBER('Price History'!Y78)),'Price History'!Y78=0),"",'Price History'!Y79/'Price History'!Y78-1),"")</f>
        <v>0.00465567410281276</v>
      </c>
      <c r="AS78" s="155" t="n">
        <f aca="false">IFERROR(IF(OR(NOT(ISNUMBER('Price History'!Z79)),NOT(ISNUMBER('Price History'!Z78)),'Price History'!Z78=0),"",'Price History'!Z79/'Price History'!Z78-1),"")</f>
        <v>0.0357791683488091</v>
      </c>
      <c r="AT78" s="155" t="n">
        <f aca="false">IFERROR(IF(OR(NOT(ISNUMBER('Price History'!AA79)),NOT(ISNUMBER('Price History'!AA78)),'Price History'!AA78=0),"",'Price History'!AA79/'Price History'!AA78-1),"")</f>
        <v>-0.0225279106858053</v>
      </c>
      <c r="AU78" s="155" t="n">
        <f aca="false">IFERROR(IF(OR(NOT(ISNUMBER('Price History'!AB79)),NOT(ISNUMBER('Price History'!AB78)),'Price History'!AB78=0),"",'Price History'!AB79/'Price History'!AB78-1),"")</f>
        <v>-0.00730767527348419</v>
      </c>
    </row>
    <row r="79" customFormat="false" ht="15" hidden="false" customHeight="true" outlineLevel="0" collapsed="false">
      <c r="A79" s="153" t="n">
        <f aca="false">IF('Price History'!A80="","",'Price History'!A80)</f>
        <v>45723</v>
      </c>
      <c r="B79" s="154" t="n">
        <f aca="false">IFERROR(IF(OR(NOT(ISNUMBER('Price History'!B80)),NOT(ISNUMBER('Price History'!B79)),'Price History'!B79=0),"",'Price History'!B80/'Price History'!B79-1),"")</f>
        <v>0.0247172564757387</v>
      </c>
      <c r="C79" s="154" t="n">
        <f aca="false">IFERROR(IF(OR(NOT(ISNUMBER('Price History'!C80)),NOT(ISNUMBER('Price History'!C79)),'Price History'!C79=0),"",'Price History'!C80/'Price History'!C79-1),"")</f>
        <v>-0.10413756045137</v>
      </c>
      <c r="D79" s="154" t="n">
        <f aca="false">IFERROR(IF(OR(NOT(ISNUMBER('Price History'!D80)),NOT(ISNUMBER('Price History'!D79)),'Price History'!D79=0),"",'Price History'!D80/'Price History'!D79-1),"")</f>
        <v>0.0326342988479493</v>
      </c>
      <c r="E79" s="154" t="n">
        <f aca="false">IFERROR(IF(OR(NOT(ISNUMBER('Price History'!E80)),NOT(ISNUMBER('Price History'!E79)),'Price History'!E79=0),"",'Price History'!E80/'Price History'!E79-1),"")</f>
        <v>-0.0223850223850224</v>
      </c>
      <c r="F79" s="154" t="n">
        <f aca="false">IFERROR(IF(OR(NOT(ISNUMBER('Price History'!F80)),NOT(ISNUMBER('Price History'!F79)),'Price History'!F79=0),"",'Price History'!F80/'Price History'!F79-1),"")</f>
        <v>-0.144118250872511</v>
      </c>
      <c r="G79" s="154" t="n">
        <f aca="false">IFERROR(IF(OR(NOT(ISNUMBER('Price History'!G80)),NOT(ISNUMBER('Price History'!G79)),'Price History'!G79=0),"",'Price History'!G80/'Price History'!G79-1),"")</f>
        <v>0.00341977771444846</v>
      </c>
      <c r="H79" s="154" t="n">
        <f aca="false">IFERROR(IF(OR(NOT(ISNUMBER('Price History'!H80)),NOT(ISNUMBER('Price History'!H79)),'Price History'!H79=0),"",'Price History'!H80/'Price History'!H79-1),"")</f>
        <v>-0.00718344590972453</v>
      </c>
      <c r="I79" s="154" t="n">
        <f aca="false">IFERROR(IF(OR(NOT(ISNUMBER('Price History'!I80)),NOT(ISNUMBER('Price History'!I79)),'Price History'!I79=0),"",'Price History'!I80/'Price History'!I79-1),"")</f>
        <v>-0.0978409182117345</v>
      </c>
      <c r="J79" s="154" t="n">
        <f aca="false">IFERROR(IF(OR(NOT(ISNUMBER('Price History'!J80)),NOT(ISNUMBER('Price History'!J79)),'Price History'!J79=0),"",'Price History'!J80/'Price History'!J79-1),"")</f>
        <v>-0.032329798152583</v>
      </c>
      <c r="K79" s="154" t="n">
        <f aca="false">IFERROR(IF(OR(NOT(ISNUMBER('Price History'!K80)),NOT(ISNUMBER('Price History'!K79)),'Price History'!K79=0),"",'Price History'!K80/'Price History'!K79-1),"")</f>
        <v>-0.000117757889778636</v>
      </c>
      <c r="L79" s="154" t="n">
        <f aca="false">IFERROR(IF(OR(NOT(ISNUMBER('Price History'!L80)),NOT(ISNUMBER('Price History'!L79)),'Price History'!L79=0),"",'Price History'!L80/'Price History'!L79-1),"")</f>
        <v>-0.0190109765757611</v>
      </c>
      <c r="M79" s="154" t="n">
        <f aca="false">IFERROR(IF(OR(NOT(ISNUMBER('Price History'!M80)),NOT(ISNUMBER('Price History'!M79)),'Price History'!M79=0),"",'Price History'!M80/'Price History'!M79-1),"")</f>
        <v>-0.106454669895757</v>
      </c>
      <c r="N79" s="154" t="n">
        <f aca="false">IFERROR(IF(OR(NOT(ISNUMBER('Price History'!N80)),NOT(ISNUMBER('Price History'!N79)),'Price History'!N79=0),"",'Price History'!N80/'Price History'!N79-1),"")</f>
        <v>0.0177160841201358</v>
      </c>
      <c r="O79" s="154" t="n">
        <f aca="false">IFERROR(IF(OR(NOT(ISNUMBER('Price History'!O80)),NOT(ISNUMBER('Price History'!O79)),'Price History'!O79=0),"",'Price History'!O80/'Price History'!O79-1),"")</f>
        <v>-0.0448916408668731</v>
      </c>
      <c r="P79" s="154" t="n">
        <f aca="false">IFERROR(IF(OR(NOT(ISNUMBER('Price History'!P80)),NOT(ISNUMBER('Price History'!P79)),'Price History'!P79=0),"",'Price History'!P80/'Price History'!P79-1),"")</f>
        <v>-0.0274805634670156</v>
      </c>
      <c r="Q79" s="154" t="n">
        <f aca="false">IFERROR(IF(OR(NOT(ISNUMBER('Price History'!Q80)),NOT(ISNUMBER('Price History'!Q79)),'Price History'!Q79=0),"",'Price History'!Q80/'Price History'!Q79-1),"")</f>
        <v>-0.0174842156386597</v>
      </c>
      <c r="R79" s="154" t="n">
        <f aca="false">IFERROR(IF(OR(NOT(ISNUMBER('Price History'!R80)),NOT(ISNUMBER('Price History'!R79)),'Price History'!R79=0),"",'Price History'!R80/'Price History'!R79-1),"")</f>
        <v>-0.0313988739714163</v>
      </c>
      <c r="S79" s="154" t="n">
        <f aca="false">IFERROR(IF(OR(NOT(ISNUMBER('Price History'!S80)),NOT(ISNUMBER('Price History'!S79)),'Price History'!S79=0),"",'Price History'!S80/'Price History'!S79-1),"")</f>
        <v>-0.0526315789473685</v>
      </c>
      <c r="T79" s="154" t="n">
        <f aca="false">IFERROR(IF(OR(NOT(ISNUMBER('Price History'!T80)),NOT(ISNUMBER('Price History'!T79)),'Price History'!T79=0),"",'Price History'!T80/'Price History'!T79-1),"")</f>
        <v>-0.0144717800289436</v>
      </c>
      <c r="U79" s="154" t="n">
        <f aca="false">IFERROR(IF(OR(NOT(ISNUMBER('Price History'!U80)),NOT(ISNUMBER('Price History'!U79)),'Price History'!U79=0),"",'Price History'!U80/'Price History'!U79-1),"")</f>
        <v>-0.00261194029850742</v>
      </c>
      <c r="V79" s="155" t="n">
        <f aca="false">IFERROR(IF(OR(NOT(ISNUMBER('Price History'!V80)),NOT(ISNUMBER('Price History'!V79)),'Price History'!V79=0),"",'Price History'!V80/'Price History'!V79-1),"")</f>
        <v>-0.047936419408812</v>
      </c>
      <c r="W79" s="156" t="n">
        <f aca="false">IFERROR('Price History'!B3+(INDEX('Price History'!B:B,MATCH(9.99E+307,'Returns (Calc)'!$A:$A)+1)-'Price History'!B3)*(ROW()-3)/(MATCH(9.99E+307,'Returns (Calc)'!$A:$A)-3),"")</f>
        <v>388.819113924051</v>
      </c>
      <c r="X79" s="156" t="n">
        <f aca="false">IFERROR('Price History'!C3+(INDEX('Price History'!C:C,MATCH(9.99E+307,'Returns (Calc)'!$A:$A)+1)-'Price History'!C3)*(ROW()-3)/(MATCH(9.99E+307,'Returns (Calc)'!$A:$A)-3),"")</f>
        <v>123.704810126582</v>
      </c>
      <c r="Y79" s="156" t="n">
        <f aca="false">IFERROR('Price History'!D3+(INDEX('Price History'!D:D,MATCH(9.99E+307,'Returns (Calc)'!$A:$A)+1)-'Price History'!D3)*(ROW()-3)/(MATCH(9.99E+307,'Returns (Calc)'!$A:$A)-3),"")</f>
        <v>1200.25556962025</v>
      </c>
      <c r="Z79" s="156" t="n">
        <f aca="false">IFERROR('Price History'!E3+(INDEX('Price History'!E:E,MATCH(9.99E+307,'Returns (Calc)'!$A:$A)+1)-'Price History'!E3)*(ROW()-3)/(MATCH(9.99E+307,'Returns (Calc)'!$A:$A)-3),"")</f>
        <v>213.383797468354</v>
      </c>
      <c r="AA79" s="156" t="n">
        <f aca="false">IFERROR('Price History'!F3+(INDEX('Price History'!F:F,MATCH(9.99E+307,'Returns (Calc)'!$A:$A)+1)-'Price History'!F3)*(ROW()-3)/(MATCH(9.99E+307,'Returns (Calc)'!$A:$A)-3),"")</f>
        <v>151.357974683544</v>
      </c>
      <c r="AB79" s="156" t="n">
        <f aca="false">IFERROR('Price History'!G3+(INDEX('Price History'!G:G,MATCH(9.99E+307,'Returns (Calc)'!$A:$A)+1)-'Price History'!G3)*(ROW()-3)/(MATCH(9.99E+307,'Returns (Calc)'!$A:$A)-3),"")</f>
        <v>122.533797468354</v>
      </c>
      <c r="AC79" s="156" t="n">
        <f aca="false">IFERROR('Price History'!H3+(INDEX('Price History'!H:H,MATCH(9.99E+307,'Returns (Calc)'!$A:$A)+1)-'Price History'!H3)*(ROW()-3)/(MATCH(9.99E+307,'Returns (Calc)'!$A:$A)-3),"")</f>
        <v>552.902911392405</v>
      </c>
      <c r="AD79" s="156" t="n">
        <f aca="false">IFERROR('Price History'!I3+(INDEX('Price History'!I:I,MATCH(9.99E+307,'Returns (Calc)'!$A:$A)+1)-'Price History'!I3)*(ROW()-3)/(MATCH(9.99E+307,'Returns (Calc)'!$A:$A)-3),"")</f>
        <v>135.248987341772</v>
      </c>
      <c r="AE79" s="156" t="n">
        <f aca="false">IFERROR('Price History'!J3+(INDEX('Price History'!J:J,MATCH(9.99E+307,'Returns (Calc)'!$A:$A)+1)-'Price History'!J3)*(ROW()-3)/(MATCH(9.99E+307,'Returns (Calc)'!$A:$A)-3),"")</f>
        <v>120.050886075949</v>
      </c>
      <c r="AF79" s="156" t="n">
        <f aca="false">IFERROR('Price History'!K3+(INDEX('Price History'!K:K,MATCH(9.99E+307,'Returns (Calc)'!$A:$A)+1)-'Price History'!K3)*(ROW()-3)/(MATCH(9.99E+307,'Returns (Calc)'!$A:$A)-3),"")</f>
        <v>98.7472151898734</v>
      </c>
      <c r="AG79" s="156" t="n">
        <f aca="false">IFERROR('Price History'!L3+(INDEX('Price History'!L:L,MATCH(9.99E+307,'Returns (Calc)'!$A:$A)+1)-'Price History'!L3)*(ROW()-3)/(MATCH(9.99E+307,'Returns (Calc)'!$A:$A)-3),"")</f>
        <v>271.916329113924</v>
      </c>
      <c r="AH79" s="156" t="n">
        <f aca="false">IFERROR('Price History'!M3+(INDEX('Price History'!M:M,MATCH(9.99E+307,'Returns (Calc)'!$A:$A)+1)-'Price History'!M3)*(ROW()-3)/(MATCH(9.99E+307,'Returns (Calc)'!$A:$A)-3),"")</f>
        <v>141.033670886076</v>
      </c>
      <c r="AI79" s="156" t="n">
        <f aca="false">IFERROR('Price History'!N3+(INDEX('Price History'!N:N,MATCH(9.99E+307,'Returns (Calc)'!$A:$A)+1)-'Price History'!N3)*(ROW()-3)/(MATCH(9.99E+307,'Returns (Calc)'!$A:$A)-3),"")</f>
        <v>423.856202531646</v>
      </c>
      <c r="AJ79" s="156" t="n">
        <f aca="false">IFERROR('Price History'!O3+(INDEX('Price History'!O:O,MATCH(9.99E+307,'Returns (Calc)'!$A:$A)+1)-'Price History'!O3)*(ROW()-3)/(MATCH(9.99E+307,'Returns (Calc)'!$A:$A)-3),"")</f>
        <v>96.8208860759494</v>
      </c>
      <c r="AK79" s="156" t="n">
        <f aca="false">IFERROR('Price History'!Q3+(INDEX('Price History'!Q:Q,MATCH(9.99E+307,'Returns (Calc)'!$A:$A)+1)-'Price History'!Q3)*(ROW()-3)/(MATCH(9.99E+307,'Returns (Calc)'!$A:$A)-3),"")</f>
        <v>33.3918987341772</v>
      </c>
      <c r="AL79" s="156" t="n">
        <f aca="false">IFERROR('Price History'!R3+(INDEX('Price History'!R:R,MATCH(9.99E+307,'Returns (Calc)'!$A:$A)+1)-'Price History'!R3)*(ROW()-3)/(MATCH(9.99E+307,'Returns (Calc)'!$A:$A)-3),"")</f>
        <v>47.2556962025316</v>
      </c>
      <c r="AM79" s="156" t="n">
        <f aca="false">IFERROR('Price History'!S3+(INDEX('Price History'!S:S,MATCH(9.99E+307,'Returns (Calc)'!$A:$A)+1)-'Price History'!S3)*(ROW()-3)/(MATCH(9.99E+307,'Returns (Calc)'!$A:$A)-3),"")</f>
        <v>103.614810126582</v>
      </c>
      <c r="AN79" s="156" t="n">
        <f aca="false">IFERROR('Price History'!T3+(INDEX('Price History'!T:T,MATCH(9.99E+307,'Returns (Calc)'!$A:$A)+1)-'Price History'!T3)*(ROW()-3)/(MATCH(9.99E+307,'Returns (Calc)'!$A:$A)-3),"")</f>
        <v>38.0253164556962</v>
      </c>
      <c r="AO79" s="157" t="n">
        <f aca="false">IFERROR('Price History'!V3+(INDEX('Price History'!V:V,MATCH(9.99E+307,'Returns (Calc)'!$A:$A)+1)-'Price History'!V3)*(ROW()-3)/(MATCH(9.99E+307,'Returns (Calc)'!$A:$A)-3),"")</f>
        <v>295.771012658228</v>
      </c>
      <c r="AP79" s="155" t="n">
        <f aca="false">IFERROR(IF(OR(NOT(ISNUMBER('Price History'!W80)),NOT(ISNUMBER('Price History'!W79)),'Price History'!W79=0),"",'Price History'!W80/'Price History'!W79-1),"")</f>
        <v>-0.0210345902150204</v>
      </c>
      <c r="AQ79" s="155" t="str">
        <f aca="false">IFERROR(IF(OR(NOT(ISNUMBER('Price History'!X80)),NOT(ISNUMBER('Price History'!X79)),'Price History'!X79=0),"",'Price History'!X80/'Price History'!X79-1),"")</f>
        <v/>
      </c>
      <c r="AR79" s="155" t="n">
        <f aca="false">IFERROR(IF(OR(NOT(ISNUMBER('Price History'!Y80)),NOT(ISNUMBER('Price History'!Y79)),'Price History'!Y79=0),"",'Price History'!Y80/'Price History'!Y79-1),"")</f>
        <v>-0.014867735083993</v>
      </c>
      <c r="AS79" s="155" t="n">
        <f aca="false">IFERROR(IF(OR(NOT(ISNUMBER('Price History'!Z80)),NOT(ISNUMBER('Price History'!Z79)),'Price History'!Z79=0),"",'Price History'!Z80/'Price History'!Z79-1),"")</f>
        <v>-0.0634348355663825</v>
      </c>
      <c r="AT79" s="155" t="n">
        <f aca="false">IFERROR(IF(OR(NOT(ISNUMBER('Price History'!AA80)),NOT(ISNUMBER('Price History'!AA79)),'Price History'!AA79=0),"",'Price History'!AA80/'Price History'!AA79-1),"")</f>
        <v>-0.0912706506220682</v>
      </c>
      <c r="AU79" s="155" t="n">
        <f aca="false">IFERROR(IF(OR(NOT(ISNUMBER('Price History'!AB80)),NOT(ISNUMBER('Price History'!AB79)),'Price History'!AB79=0),"",'Price History'!AB80/'Price History'!AB79-1),"")</f>
        <v>0.101097528330508</v>
      </c>
    </row>
    <row r="80" customFormat="false" ht="15" hidden="false" customHeight="true" outlineLevel="0" collapsed="false">
      <c r="A80" s="153" t="n">
        <f aca="false">IF('Price History'!A81="","",'Price History'!A81)</f>
        <v>45730</v>
      </c>
      <c r="B80" s="154" t="n">
        <f aca="false">IFERROR(IF(OR(NOT(ISNUMBER('Price History'!B81)),NOT(ISNUMBER('Price History'!B80)),'Price History'!B80=0),"",'Price History'!B81/'Price History'!B80-1),"")</f>
        <v>-0.121628838451268</v>
      </c>
      <c r="C80" s="154" t="n">
        <f aca="false">IFERROR(IF(OR(NOT(ISNUMBER('Price History'!C81)),NOT(ISNUMBER('Price History'!C80)),'Price History'!C80=0),"",'Price History'!C81/'Price History'!C80-1),"")</f>
        <v>0.00179942418426116</v>
      </c>
      <c r="D80" s="154" t="n">
        <f aca="false">IFERROR(IF(OR(NOT(ISNUMBER('Price History'!D81)),NOT(ISNUMBER('Price History'!D80)),'Price History'!D80=0),"",'Price History'!D81/'Price History'!D80-1),"")</f>
        <v>-0.0248842192576207</v>
      </c>
      <c r="E80" s="154" t="n">
        <f aca="false">IFERROR(IF(OR(NOT(ISNUMBER('Price History'!E81)),NOT(ISNUMBER('Price History'!E80)),'Price History'!E80=0),"",'Price History'!E81/'Price History'!E80-1),"")</f>
        <v>0.00296627810158201</v>
      </c>
      <c r="F80" s="154" t="n">
        <f aca="false">IFERROR(IF(OR(NOT(ISNUMBER('Price History'!F81)),NOT(ISNUMBER('Price History'!F80)),'Price History'!F80=0),"",'Price History'!F81/'Price History'!F80-1),"")</f>
        <v>0.0605660829935237</v>
      </c>
      <c r="G80" s="154" t="n">
        <f aca="false">IFERROR(IF(OR(NOT(ISNUMBER('Price History'!G81)),NOT(ISNUMBER('Price History'!G80)),'Price History'!G80=0),"",'Price History'!G81/'Price History'!G80-1),"")</f>
        <v>0.00241408690712874</v>
      </c>
      <c r="H80" s="154" t="n">
        <f aca="false">IFERROR(IF(OR(NOT(ISNUMBER('Price History'!H81)),NOT(ISNUMBER('Price History'!H80)),'Price History'!H80=0),"",'Price History'!H81/'Price History'!H80-1),"")</f>
        <v>0.084233261339093</v>
      </c>
      <c r="I80" s="154" t="n">
        <f aca="false">IFERROR(IF(OR(NOT(ISNUMBER('Price History'!I81)),NOT(ISNUMBER('Price History'!I80)),'Price History'!I80=0),"",'Price History'!I81/'Price History'!I80-1),"")</f>
        <v>0.079715302491103</v>
      </c>
      <c r="J80" s="154" t="n">
        <f aca="false">IFERROR(IF(OR(NOT(ISNUMBER('Price History'!J81)),NOT(ISNUMBER('Price History'!J80)),'Price History'!J80=0),"",'Price History'!J81/'Price History'!J80-1),"")</f>
        <v>-0.0669082552589713</v>
      </c>
      <c r="K80" s="154" t="n">
        <f aca="false">IFERROR(IF(OR(NOT(ISNUMBER('Price History'!K81)),NOT(ISNUMBER('Price History'!K80)),'Price History'!K80=0),"",'Price History'!K81/'Price History'!K80-1),"")</f>
        <v>0.0156636438582027</v>
      </c>
      <c r="L80" s="154" t="n">
        <f aca="false">IFERROR(IF(OR(NOT(ISNUMBER('Price History'!L81)),NOT(ISNUMBER('Price History'!L80)),'Price History'!L80=0),"",'Price History'!L81/'Price History'!L80-1),"")</f>
        <v>-0.0169569731226208</v>
      </c>
      <c r="M80" s="154" t="n">
        <f aca="false">IFERROR(IF(OR(NOT(ISNUMBER('Price History'!M81)),NOT(ISNUMBER('Price History'!M80)),'Price History'!M80=0),"",'Price History'!M81/'Price History'!M80-1),"")</f>
        <v>0.0283997171812396</v>
      </c>
      <c r="N80" s="154" t="n">
        <f aca="false">IFERROR(IF(OR(NOT(ISNUMBER('Price History'!N81)),NOT(ISNUMBER('Price History'!N80)),'Price History'!N80=0),"",'Price History'!N81/'Price History'!N80-1),"")</f>
        <v>0.0337504351922013</v>
      </c>
      <c r="O80" s="154" t="n">
        <f aca="false">IFERROR(IF(OR(NOT(ISNUMBER('Price History'!O81)),NOT(ISNUMBER('Price History'!O80)),'Price History'!O80=0),"",'Price History'!O81/'Price History'!O80-1),"")</f>
        <v>-0.0187543412827043</v>
      </c>
      <c r="P80" s="154" t="n">
        <f aca="false">IFERROR(IF(OR(NOT(ISNUMBER('Price History'!P81)),NOT(ISNUMBER('Price History'!P80)),'Price History'!P80=0),"",'Price History'!P81/'Price History'!P80-1),"")</f>
        <v>-0.00839005857210706</v>
      </c>
      <c r="Q80" s="154" t="n">
        <f aca="false">IFERROR(IF(OR(NOT(ISNUMBER('Price History'!Q81)),NOT(ISNUMBER('Price History'!Q80)),'Price History'!Q80=0),"",'Price History'!Q81/'Price History'!Q80-1),"")</f>
        <v>-0.0141703740319657</v>
      </c>
      <c r="R80" s="154" t="n">
        <f aca="false">IFERROR(IF(OR(NOT(ISNUMBER('Price History'!R81)),NOT(ISNUMBER('Price History'!R80)),'Price History'!R80=0),"",'Price History'!R81/'Price History'!R80-1),"")</f>
        <v>-0.0212385423653029</v>
      </c>
      <c r="S80" s="154" t="n">
        <f aca="false">IFERROR(IF(OR(NOT(ISNUMBER('Price History'!S81)),NOT(ISNUMBER('Price History'!S80)),'Price History'!S80=0),"",'Price History'!S81/'Price History'!S80-1),"")</f>
        <v>-0.0071857571857572</v>
      </c>
      <c r="T80" s="154" t="n">
        <f aca="false">IFERROR(IF(OR(NOT(ISNUMBER('Price History'!T81)),NOT(ISNUMBER('Price History'!T80)),'Price History'!T80=0),"",'Price History'!T81/'Price History'!T80-1),"")</f>
        <v>-0.0187958883994126</v>
      </c>
      <c r="U80" s="154" t="n">
        <f aca="false">IFERROR(IF(OR(NOT(ISNUMBER('Price History'!U81)),NOT(ISNUMBER('Price History'!U80)),'Price History'!U80=0),"",'Price History'!U81/'Price History'!U80-1),"")</f>
        <v>-0.0288065843621399</v>
      </c>
      <c r="V80" s="155" t="n">
        <f aca="false">IFERROR(IF(OR(NOT(ISNUMBER('Price History'!V81)),NOT(ISNUMBER('Price History'!V80)),'Price History'!V80=0),"",'Price History'!V81/'Price History'!V80-1),"")</f>
        <v>-0.039161125918983</v>
      </c>
      <c r="W80" s="156" t="n">
        <f aca="false">IFERROR('Price History'!B3+(INDEX('Price History'!B:B,MATCH(9.99E+307,'Returns (Calc)'!$A:$A)+1)-'Price History'!B3)*(ROW()-3)/(MATCH(9.99E+307,'Returns (Calc)'!$A:$A)-3),"")</f>
        <v>386.976075949367</v>
      </c>
      <c r="X80" s="156" t="n">
        <f aca="false">IFERROR('Price History'!C3+(INDEX('Price History'!C:C,MATCH(9.99E+307,'Returns (Calc)'!$A:$A)+1)-'Price History'!C3)*(ROW()-3)/(MATCH(9.99E+307,'Returns (Calc)'!$A:$A)-3),"")</f>
        <v>124.724873417722</v>
      </c>
      <c r="Y80" s="156" t="n">
        <f aca="false">IFERROR('Price History'!D3+(INDEX('Price History'!D:D,MATCH(9.99E+307,'Returns (Calc)'!$A:$A)+1)-'Price History'!D3)*(ROW()-3)/(MATCH(9.99E+307,'Returns (Calc)'!$A:$A)-3),"")</f>
        <v>1208.39037974684</v>
      </c>
      <c r="Z80" s="156" t="n">
        <f aca="false">IFERROR('Price History'!E3+(INDEX('Price History'!E:E,MATCH(9.99E+307,'Returns (Calc)'!$A:$A)+1)-'Price History'!E3)*(ROW()-3)/(MATCH(9.99E+307,'Returns (Calc)'!$A:$A)-3),"")</f>
        <v>215.11253164557</v>
      </c>
      <c r="AA80" s="156" t="n">
        <f aca="false">IFERROR('Price History'!F3+(INDEX('Price History'!F:F,MATCH(9.99E+307,'Returns (Calc)'!$A:$A)+1)-'Price History'!F3)*(ROW()-3)/(MATCH(9.99E+307,'Returns (Calc)'!$A:$A)-3),"")</f>
        <v>152.805316455696</v>
      </c>
      <c r="AB80" s="156" t="n">
        <f aca="false">IFERROR('Price History'!G3+(INDEX('Price History'!G:G,MATCH(9.99E+307,'Returns (Calc)'!$A:$A)+1)-'Price History'!G3)*(ROW()-3)/(MATCH(9.99E+307,'Returns (Calc)'!$A:$A)-3),"")</f>
        <v>123.56253164557</v>
      </c>
      <c r="AC80" s="156" t="n">
        <f aca="false">IFERROR('Price History'!H3+(INDEX('Price History'!H:H,MATCH(9.99E+307,'Returns (Calc)'!$A:$A)+1)-'Price History'!H3)*(ROW()-3)/(MATCH(9.99E+307,'Returns (Calc)'!$A:$A)-3),"")</f>
        <v>559.268607594937</v>
      </c>
      <c r="AD80" s="156" t="n">
        <f aca="false">IFERROR('Price History'!I3+(INDEX('Price History'!I:I,MATCH(9.99E+307,'Returns (Calc)'!$A:$A)+1)-'Price History'!I3)*(ROW()-3)/(MATCH(9.99E+307,'Returns (Calc)'!$A:$A)-3),"")</f>
        <v>136.452658227848</v>
      </c>
      <c r="AE80" s="156" t="n">
        <f aca="false">IFERROR('Price History'!J3+(INDEX('Price History'!J:J,MATCH(9.99E+307,'Returns (Calc)'!$A:$A)+1)-'Price History'!J3)*(ROW()-3)/(MATCH(9.99E+307,'Returns (Calc)'!$A:$A)-3),"")</f>
        <v>120.158924050633</v>
      </c>
      <c r="AF80" s="156" t="n">
        <f aca="false">IFERROR('Price History'!K3+(INDEX('Price History'!K:K,MATCH(9.99E+307,'Returns (Calc)'!$A:$A)+1)-'Price History'!K3)*(ROW()-3)/(MATCH(9.99E+307,'Returns (Calc)'!$A:$A)-3),"")</f>
        <v>99.8448101265823</v>
      </c>
      <c r="AG80" s="156" t="n">
        <f aca="false">IFERROR('Price History'!L3+(INDEX('Price History'!L:L,MATCH(9.99E+307,'Returns (Calc)'!$A:$A)+1)-'Price History'!L3)*(ROW()-3)/(MATCH(9.99E+307,'Returns (Calc)'!$A:$A)-3),"")</f>
        <v>274.365886075949</v>
      </c>
      <c r="AH80" s="156" t="n">
        <f aca="false">IFERROR('Price History'!M3+(INDEX('Price History'!M:M,MATCH(9.99E+307,'Returns (Calc)'!$A:$A)+1)-'Price History'!M3)*(ROW()-3)/(MATCH(9.99E+307,'Returns (Calc)'!$A:$A)-3),"")</f>
        <v>142.389113924051</v>
      </c>
      <c r="AI80" s="156" t="n">
        <f aca="false">IFERROR('Price History'!N3+(INDEX('Price History'!N:N,MATCH(9.99E+307,'Returns (Calc)'!$A:$A)+1)-'Price History'!N3)*(ROW()-3)/(MATCH(9.99E+307,'Returns (Calc)'!$A:$A)-3),"")</f>
        <v>424.84246835443</v>
      </c>
      <c r="AJ80" s="156" t="n">
        <f aca="false">IFERROR('Price History'!O3+(INDEX('Price History'!O:O,MATCH(9.99E+307,'Returns (Calc)'!$A:$A)+1)-'Price History'!O3)*(ROW()-3)/(MATCH(9.99E+307,'Returns (Calc)'!$A:$A)-3),"")</f>
        <v>97.1039240506329</v>
      </c>
      <c r="AK80" s="156" t="n">
        <f aca="false">IFERROR('Price History'!Q3+(INDEX('Price History'!Q:Q,MATCH(9.99E+307,'Returns (Calc)'!$A:$A)+1)-'Price History'!Q3)*(ROW()-3)/(MATCH(9.99E+307,'Returns (Calc)'!$A:$A)-3),"")</f>
        <v>33.8312658227848</v>
      </c>
      <c r="AL80" s="156" t="n">
        <f aca="false">IFERROR('Price History'!R3+(INDEX('Price History'!R:R,MATCH(9.99E+307,'Returns (Calc)'!$A:$A)+1)-'Price History'!R3)*(ROW()-3)/(MATCH(9.99E+307,'Returns (Calc)'!$A:$A)-3),"")</f>
        <v>47.4237974683544</v>
      </c>
      <c r="AM80" s="156" t="n">
        <f aca="false">IFERROR('Price History'!S3+(INDEX('Price History'!S:S,MATCH(9.99E+307,'Returns (Calc)'!$A:$A)+1)-'Price History'!S3)*(ROW()-3)/(MATCH(9.99E+307,'Returns (Calc)'!$A:$A)-3),"")</f>
        <v>104.219873417722</v>
      </c>
      <c r="AN80" s="156" t="n">
        <f aca="false">IFERROR('Price History'!T3+(INDEX('Price History'!T:T,MATCH(9.99E+307,'Returns (Calc)'!$A:$A)+1)-'Price History'!T3)*(ROW()-3)/(MATCH(9.99E+307,'Returns (Calc)'!$A:$A)-3),"")</f>
        <v>38.1935443037975</v>
      </c>
      <c r="AO80" s="157" t="n">
        <f aca="false">IFERROR('Price History'!V3+(INDEX('Price History'!V:V,MATCH(9.99E+307,'Returns (Calc)'!$A:$A)+1)-'Price History'!V3)*(ROW()-3)/(MATCH(9.99E+307,'Returns (Calc)'!$A:$A)-3),"")</f>
        <v>296.562341772152</v>
      </c>
      <c r="AP80" s="155" t="n">
        <f aca="false">IFERROR(IF(OR(NOT(ISNUMBER('Price History'!W81)),NOT(ISNUMBER('Price History'!W80)),'Price History'!W80=0),"",'Price History'!W81/'Price History'!W80-1),"")</f>
        <v>-0.0224415088333598</v>
      </c>
      <c r="AQ80" s="155" t="str">
        <f aca="false">IFERROR(IF(OR(NOT(ISNUMBER('Price History'!X81)),NOT(ISNUMBER('Price History'!X80)),'Price History'!X80=0),"",'Price History'!X81/'Price History'!X80-1),"")</f>
        <v/>
      </c>
      <c r="AR80" s="155" t="n">
        <f aca="false">IFERROR(IF(OR(NOT(ISNUMBER('Price History'!Y81)),NOT(ISNUMBER('Price History'!Y80)),'Price History'!Y80=0),"",'Price History'!Y81/'Price History'!Y80-1),"")</f>
        <v>-0.0213641709133674</v>
      </c>
      <c r="AS80" s="155" t="n">
        <f aca="false">IFERROR(IF(OR(NOT(ISNUMBER('Price History'!Z81)),NOT(ISNUMBER('Price History'!Z80)),'Price History'!Z80=0),"",'Price History'!Z81/'Price History'!Z80-1),"")</f>
        <v>0.0187275659366386</v>
      </c>
      <c r="AT80" s="155" t="n">
        <f aca="false">IFERROR(IF(OR(NOT(ISNUMBER('Price History'!AA81)),NOT(ISNUMBER('Price History'!AA80)),'Price History'!AA80=0),"",'Price History'!AA81/'Price History'!AA80-1),"")</f>
        <v>0.0301874088205589</v>
      </c>
      <c r="AU80" s="155" t="n">
        <f aca="false">IFERROR(IF(OR(NOT(ISNUMBER('Price History'!AB81)),NOT(ISNUMBER('Price History'!AB80)),'Price History'!AB80=0),"",'Price History'!AB81/'Price History'!AB80-1),"")</f>
        <v>-0.0516207455429498</v>
      </c>
    </row>
    <row r="81" customFormat="false" ht="15" hidden="false" customHeight="true" outlineLevel="0" collapsed="false">
      <c r="A81" s="153" t="n">
        <f aca="false">IF('Price History'!A82="","",'Price History'!A82)</f>
        <v>45737</v>
      </c>
      <c r="B81" s="154" t="n">
        <f aca="false">IFERROR(IF(OR(NOT(ISNUMBER('Price History'!B82)),NOT(ISNUMBER('Price History'!B81)),'Price History'!B81=0),"",'Price History'!B82/'Price History'!B81-1),"")</f>
        <v>-0.0189491817398795</v>
      </c>
      <c r="C81" s="154" t="n">
        <f aca="false">IFERROR(IF(OR(NOT(ISNUMBER('Price History'!C82)),NOT(ISNUMBER('Price History'!C81)),'Price History'!C81=0),"",'Price History'!C82/'Price History'!C81-1),"")</f>
        <v>-0.00455035325110775</v>
      </c>
      <c r="D81" s="154" t="n">
        <f aca="false">IFERROR(IF(OR(NOT(ISNUMBER('Price History'!D82)),NOT(ISNUMBER('Price History'!D81)),'Price History'!D81=0),"",'Price History'!D82/'Price History'!D81-1),"")</f>
        <v>0.00310484156801572</v>
      </c>
      <c r="E81" s="154" t="n">
        <f aca="false">IFERROR(IF(OR(NOT(ISNUMBER('Price History'!E82)),NOT(ISNUMBER('Price History'!E81)),'Price History'!E81=0),"",'Price History'!E82/'Price History'!E81-1),"")</f>
        <v>-0.0169148549784672</v>
      </c>
      <c r="F81" s="154" t="n">
        <f aca="false">IFERROR(IF(OR(NOT(ISNUMBER('Price History'!F82)),NOT(ISNUMBER('Price History'!F81)),'Price History'!F81=0),"",'Price History'!F82/'Price History'!F81-1),"")</f>
        <v>0.0240868483546308</v>
      </c>
      <c r="G81" s="154" t="n">
        <f aca="false">IFERROR(IF(OR(NOT(ISNUMBER('Price History'!G82)),NOT(ISNUMBER('Price History'!G81)),'Price History'!G81=0),"",'Price History'!G82/'Price History'!G81-1),"")</f>
        <v>-0.00906644000566659</v>
      </c>
      <c r="H81" s="154" t="n">
        <f aca="false">IFERROR(IF(OR(NOT(ISNUMBER('Price History'!H82)),NOT(ISNUMBER('Price History'!H81)),'Price History'!H81=0),"",'Price History'!H82/'Price History'!H81-1),"")</f>
        <v>-0.0601593625498008</v>
      </c>
      <c r="I81" s="154" t="n">
        <f aca="false">IFERROR(IF(OR(NOT(ISNUMBER('Price History'!I82)),NOT(ISNUMBER('Price History'!I81)),'Price History'!I81=0),"",'Price History'!I82/'Price History'!I81-1),"")</f>
        <v>-0.0326301911667765</v>
      </c>
      <c r="J81" s="154" t="n">
        <f aca="false">IFERROR(IF(OR(NOT(ISNUMBER('Price History'!J82)),NOT(ISNUMBER('Price History'!J81)),'Price History'!J81=0),"",'Price History'!J82/'Price History'!J81-1),"")</f>
        <v>-0.0223548356540684</v>
      </c>
      <c r="K81" s="154" t="n">
        <f aca="false">IFERROR(IF(OR(NOT(ISNUMBER('Price History'!K82)),NOT(ISNUMBER('Price History'!K81)),'Price History'!K81=0),"",'Price History'!K82/'Price History'!K81-1),"")</f>
        <v>0.0547309833024119</v>
      </c>
      <c r="L81" s="154" t="n">
        <f aca="false">IFERROR(IF(OR(NOT(ISNUMBER('Price History'!L82)),NOT(ISNUMBER('Price History'!L81)),'Price History'!L81=0),"",'Price History'!L82/'Price History'!L81-1),"")</f>
        <v>0.01906829382774</v>
      </c>
      <c r="M81" s="154" t="n">
        <f aca="false">IFERROR(IF(OR(NOT(ISNUMBER('Price History'!M82)),NOT(ISNUMBER('Price History'!M81)),'Price History'!M81=0),"",'Price History'!M82/'Price History'!M81-1),"")</f>
        <v>0.0138650166151026</v>
      </c>
      <c r="N81" s="154" t="n">
        <f aca="false">IFERROR(IF(OR(NOT(ISNUMBER('Price History'!N82)),NOT(ISNUMBER('Price History'!N81)),'Price History'!N81=0),"",'Price History'!N82/'Price History'!N81-1),"")</f>
        <v>-0.00311032747588014</v>
      </c>
      <c r="O81" s="154" t="n">
        <f aca="false">IFERROR(IF(OR(NOT(ISNUMBER('Price History'!O82)),NOT(ISNUMBER('Price History'!O81)),'Price History'!O81=0),"",'Price History'!O82/'Price History'!O81-1),"")</f>
        <v>0.00967437470504939</v>
      </c>
      <c r="P81" s="154" t="n">
        <f aca="false">IFERROR(IF(OR(NOT(ISNUMBER('Price History'!P82)),NOT(ISNUMBER('Price History'!P81)),'Price History'!P81=0),"",'Price History'!P82/'Price History'!P81-1),"")</f>
        <v>0.00478927203065127</v>
      </c>
      <c r="Q81" s="154" t="n">
        <f aca="false">IFERROR(IF(OR(NOT(ISNUMBER('Price History'!Q82)),NOT(ISNUMBER('Price History'!Q81)),'Price History'!Q81=0),"",'Price History'!Q82/'Price History'!Q81-1),"")</f>
        <v>-0.00200568276784219</v>
      </c>
      <c r="R81" s="154" t="n">
        <f aca="false">IFERROR(IF(OR(NOT(ISNUMBER('Price History'!R82)),NOT(ISNUMBER('Price History'!R81)),'Price History'!R81=0),"",'Price History'!R82/'Price History'!R81-1),"")</f>
        <v>0.00365463682046596</v>
      </c>
      <c r="S81" s="154" t="n">
        <f aca="false">IFERROR(IF(OR(NOT(ISNUMBER('Price History'!S82)),NOT(ISNUMBER('Price History'!S81)),'Price History'!S81=0),"",'Price History'!S82/'Price History'!S81-1),"")</f>
        <v>0.0037809225451011</v>
      </c>
      <c r="T81" s="154" t="n">
        <f aca="false">IFERROR(IF(OR(NOT(ISNUMBER('Price History'!T82)),NOT(ISNUMBER('Price History'!T81)),'Price History'!T81=0),"",'Price History'!T82/'Price History'!T81-1),"")</f>
        <v>0.0170607602514217</v>
      </c>
      <c r="U81" s="154" t="n">
        <f aca="false">IFERROR(IF(OR(NOT(ISNUMBER('Price History'!U82)),NOT(ISNUMBER('Price History'!U81)),'Price History'!U81=0),"",'Price History'!U82/'Price History'!U81-1),"")</f>
        <v>0.00423728813559321</v>
      </c>
      <c r="V81" s="155" t="n">
        <f aca="false">IFERROR(IF(OR(NOT(ISNUMBER('Price History'!V82)),NOT(ISNUMBER('Price History'!V81)),'Price History'!V81=0),"",'Price History'!V82/'Price History'!V81-1),"")</f>
        <v>0.0116449213510548</v>
      </c>
      <c r="W81" s="156" t="n">
        <f aca="false">IFERROR('Price History'!B3+(INDEX('Price History'!B:B,MATCH(9.99E+307,'Returns (Calc)'!$A:$A)+1)-'Price History'!B3)*(ROW()-3)/(MATCH(9.99E+307,'Returns (Calc)'!$A:$A)-3),"")</f>
        <v>385.133037974684</v>
      </c>
      <c r="X81" s="156" t="n">
        <f aca="false">IFERROR('Price History'!C3+(INDEX('Price History'!C:C,MATCH(9.99E+307,'Returns (Calc)'!$A:$A)+1)-'Price History'!C3)*(ROW()-3)/(MATCH(9.99E+307,'Returns (Calc)'!$A:$A)-3),"")</f>
        <v>125.744936708861</v>
      </c>
      <c r="Y81" s="156" t="n">
        <f aca="false">IFERROR('Price History'!D3+(INDEX('Price History'!D:D,MATCH(9.99E+307,'Returns (Calc)'!$A:$A)+1)-'Price History'!D3)*(ROW()-3)/(MATCH(9.99E+307,'Returns (Calc)'!$A:$A)-3),"")</f>
        <v>1216.52518987342</v>
      </c>
      <c r="Z81" s="156" t="n">
        <f aca="false">IFERROR('Price History'!E3+(INDEX('Price History'!E:E,MATCH(9.99E+307,'Returns (Calc)'!$A:$A)+1)-'Price History'!E3)*(ROW()-3)/(MATCH(9.99E+307,'Returns (Calc)'!$A:$A)-3),"")</f>
        <v>216.841265822785</v>
      </c>
      <c r="AA81" s="156" t="n">
        <f aca="false">IFERROR('Price History'!F3+(INDEX('Price History'!F:F,MATCH(9.99E+307,'Returns (Calc)'!$A:$A)+1)-'Price History'!F3)*(ROW()-3)/(MATCH(9.99E+307,'Returns (Calc)'!$A:$A)-3),"")</f>
        <v>154.252658227848</v>
      </c>
      <c r="AB81" s="156" t="n">
        <f aca="false">IFERROR('Price History'!G3+(INDEX('Price History'!G:G,MATCH(9.99E+307,'Returns (Calc)'!$A:$A)+1)-'Price History'!G3)*(ROW()-3)/(MATCH(9.99E+307,'Returns (Calc)'!$A:$A)-3),"")</f>
        <v>124.591265822785</v>
      </c>
      <c r="AC81" s="156" t="n">
        <f aca="false">IFERROR('Price History'!H3+(INDEX('Price History'!H:H,MATCH(9.99E+307,'Returns (Calc)'!$A:$A)+1)-'Price History'!H3)*(ROW()-3)/(MATCH(9.99E+307,'Returns (Calc)'!$A:$A)-3),"")</f>
        <v>565.634303797468</v>
      </c>
      <c r="AD81" s="156" t="n">
        <f aca="false">IFERROR('Price History'!I3+(INDEX('Price History'!I:I,MATCH(9.99E+307,'Returns (Calc)'!$A:$A)+1)-'Price History'!I3)*(ROW()-3)/(MATCH(9.99E+307,'Returns (Calc)'!$A:$A)-3),"")</f>
        <v>137.656329113924</v>
      </c>
      <c r="AE81" s="156" t="n">
        <f aca="false">IFERROR('Price History'!J3+(INDEX('Price History'!J:J,MATCH(9.99E+307,'Returns (Calc)'!$A:$A)+1)-'Price History'!J3)*(ROW()-3)/(MATCH(9.99E+307,'Returns (Calc)'!$A:$A)-3),"")</f>
        <v>120.266962025316</v>
      </c>
      <c r="AF81" s="156" t="n">
        <f aca="false">IFERROR('Price History'!K3+(INDEX('Price History'!K:K,MATCH(9.99E+307,'Returns (Calc)'!$A:$A)+1)-'Price History'!K3)*(ROW()-3)/(MATCH(9.99E+307,'Returns (Calc)'!$A:$A)-3),"")</f>
        <v>100.942405063291</v>
      </c>
      <c r="AG81" s="156" t="n">
        <f aca="false">IFERROR('Price History'!L3+(INDEX('Price History'!L:L,MATCH(9.99E+307,'Returns (Calc)'!$A:$A)+1)-'Price History'!L3)*(ROW()-3)/(MATCH(9.99E+307,'Returns (Calc)'!$A:$A)-3),"")</f>
        <v>276.815443037975</v>
      </c>
      <c r="AH81" s="156" t="n">
        <f aca="false">IFERROR('Price History'!M3+(INDEX('Price History'!M:M,MATCH(9.99E+307,'Returns (Calc)'!$A:$A)+1)-'Price History'!M3)*(ROW()-3)/(MATCH(9.99E+307,'Returns (Calc)'!$A:$A)-3),"")</f>
        <v>143.744556962025</v>
      </c>
      <c r="AI81" s="156" t="n">
        <f aca="false">IFERROR('Price History'!N3+(INDEX('Price History'!N:N,MATCH(9.99E+307,'Returns (Calc)'!$A:$A)+1)-'Price History'!N3)*(ROW()-3)/(MATCH(9.99E+307,'Returns (Calc)'!$A:$A)-3),"")</f>
        <v>425.828734177215</v>
      </c>
      <c r="AJ81" s="156" t="n">
        <f aca="false">IFERROR('Price History'!O3+(INDEX('Price History'!O:O,MATCH(9.99E+307,'Returns (Calc)'!$A:$A)+1)-'Price History'!O3)*(ROW()-3)/(MATCH(9.99E+307,'Returns (Calc)'!$A:$A)-3),"")</f>
        <v>97.3869620253165</v>
      </c>
      <c r="AK81" s="156" t="n">
        <f aca="false">IFERROR('Price History'!Q3+(INDEX('Price History'!Q:Q,MATCH(9.99E+307,'Returns (Calc)'!$A:$A)+1)-'Price History'!Q3)*(ROW()-3)/(MATCH(9.99E+307,'Returns (Calc)'!$A:$A)-3),"")</f>
        <v>34.2706329113924</v>
      </c>
      <c r="AL81" s="156" t="n">
        <f aca="false">IFERROR('Price History'!R3+(INDEX('Price History'!R:R,MATCH(9.99E+307,'Returns (Calc)'!$A:$A)+1)-'Price History'!R3)*(ROW()-3)/(MATCH(9.99E+307,'Returns (Calc)'!$A:$A)-3),"")</f>
        <v>47.5918987341772</v>
      </c>
      <c r="AM81" s="156" t="n">
        <f aca="false">IFERROR('Price History'!S3+(INDEX('Price History'!S:S,MATCH(9.99E+307,'Returns (Calc)'!$A:$A)+1)-'Price History'!S3)*(ROW()-3)/(MATCH(9.99E+307,'Returns (Calc)'!$A:$A)-3),"")</f>
        <v>104.824936708861</v>
      </c>
      <c r="AN81" s="156" t="n">
        <f aca="false">IFERROR('Price History'!T3+(INDEX('Price History'!T:T,MATCH(9.99E+307,'Returns (Calc)'!$A:$A)+1)-'Price History'!T3)*(ROW()-3)/(MATCH(9.99E+307,'Returns (Calc)'!$A:$A)-3),"")</f>
        <v>38.3617721518987</v>
      </c>
      <c r="AO81" s="157" t="n">
        <f aca="false">IFERROR('Price History'!V3+(INDEX('Price History'!V:V,MATCH(9.99E+307,'Returns (Calc)'!$A:$A)+1)-'Price History'!V3)*(ROW()-3)/(MATCH(9.99E+307,'Returns (Calc)'!$A:$A)-3),"")</f>
        <v>297.353670886076</v>
      </c>
      <c r="AP81" s="155" t="n">
        <f aca="false">IFERROR(IF(OR(NOT(ISNUMBER('Price History'!W82)),NOT(ISNUMBER('Price History'!W81)),'Price History'!W81=0),"",'Price History'!W82/'Price History'!W81-1),"")</f>
        <v>0.00748941712797135</v>
      </c>
      <c r="AQ81" s="155" t="str">
        <f aca="false">IFERROR(IF(OR(NOT(ISNUMBER('Price History'!X82)),NOT(ISNUMBER('Price History'!X81)),'Price History'!X81=0),"",'Price History'!X82/'Price History'!X81-1),"")</f>
        <v/>
      </c>
      <c r="AR81" s="155" t="n">
        <f aca="false">IFERROR(IF(OR(NOT(ISNUMBER('Price History'!Y82)),NOT(ISNUMBER('Price History'!Y81)),'Price History'!Y81=0),"",'Price History'!Y82/'Price History'!Y81-1),"")</f>
        <v>0.00280392549569397</v>
      </c>
      <c r="AS81" s="155" t="n">
        <f aca="false">IFERROR(IF(OR(NOT(ISNUMBER('Price History'!Z82)),NOT(ISNUMBER('Price History'!Z81)),'Price History'!Z81=0),"",'Price History'!Z82/'Price History'!Z81-1),"")</f>
        <v>0.0355920951845989</v>
      </c>
      <c r="AT81" s="155" t="n">
        <f aca="false">IFERROR(IF(OR(NOT(ISNUMBER('Price History'!AA82)),NOT(ISNUMBER('Price History'!AA81)),'Price History'!AA81=0),"",'Price History'!AA82/'Price History'!AA81-1),"")</f>
        <v>0.0460784313725491</v>
      </c>
      <c r="AU81" s="155" t="n">
        <f aca="false">IFERROR(IF(OR(NOT(ISNUMBER('Price History'!AB82)),NOT(ISNUMBER('Price History'!AB81)),'Price History'!AB81=0),"",'Price History'!AB82/'Price History'!AB81-1),"")</f>
        <v>0.0115782278048364</v>
      </c>
    </row>
    <row r="82" customFormat="false" ht="15" hidden="false" customHeight="true" outlineLevel="0" collapsed="false">
      <c r="A82" s="153" t="n">
        <f aca="false">IF('Price History'!A83="","",'Price History'!A83)</f>
        <v>45744</v>
      </c>
      <c r="B82" s="154" t="n">
        <f aca="false">IFERROR(IF(OR(NOT(ISNUMBER('Price History'!B83)),NOT(ISNUMBER('Price History'!B82)),'Price History'!B82=0),"",'Price History'!B83/'Price History'!B82-1),"")</f>
        <v>-0.00400247895470751</v>
      </c>
      <c r="C82" s="154" t="n">
        <f aca="false">IFERROR(IF(OR(NOT(ISNUMBER('Price History'!C83)),NOT(ISNUMBER('Price History'!C82)),'Price History'!C82=0),"",'Price History'!C83/'Price History'!C82-1),"")</f>
        <v>-0.0624323348971491</v>
      </c>
      <c r="D82" s="154" t="n">
        <f aca="false">IFERROR(IF(OR(NOT(ISNUMBER('Price History'!D83)),NOT(ISNUMBER('Price History'!D82)),'Price History'!D82=0),"",'Price History'!D83/'Price History'!D82-1),"")</f>
        <v>-0.0581309890606891</v>
      </c>
      <c r="E82" s="154" t="n">
        <f aca="false">IFERROR(IF(OR(NOT(ISNUMBER('Price History'!E83)),NOT(ISNUMBER('Price History'!E82)),'Price History'!E82=0),"",'Price History'!E83/'Price History'!E82-1),"")</f>
        <v>-0.117591175383966</v>
      </c>
      <c r="F82" s="154" t="n">
        <f aca="false">IFERROR(IF(OR(NOT(ISNUMBER('Price History'!F83)),NOT(ISNUMBER('Price History'!F82)),'Price History'!F82=0),"",'Price History'!F83/'Price History'!F82-1),"")</f>
        <v>-0.0141342756183745</v>
      </c>
      <c r="G82" s="154" t="n">
        <f aca="false">IFERROR(IF(OR(NOT(ISNUMBER('Price History'!G83)),NOT(ISNUMBER('Price History'!G82)),'Price History'!G82=0),"",'Price History'!G83/'Price History'!G82-1),"")</f>
        <v>-0.0466047176554683</v>
      </c>
      <c r="H82" s="154" t="n">
        <f aca="false">IFERROR(IF(OR(NOT(ISNUMBER('Price History'!H83)),NOT(ISNUMBER('Price History'!H82)),'Price History'!H82=0),"",'Price History'!H83/'Price History'!H82-1),"")</f>
        <v>-0.066341670199237</v>
      </c>
      <c r="I82" s="154" t="n">
        <f aca="false">IFERROR(IF(OR(NOT(ISNUMBER('Price History'!I83)),NOT(ISNUMBER('Price History'!I82)),'Price History'!I82=0),"",'Price History'!I83/'Price History'!I82-1),"")</f>
        <v>-0.0682282793867122</v>
      </c>
      <c r="J82" s="154" t="n">
        <f aca="false">IFERROR(IF(OR(NOT(ISNUMBER('Price History'!J83)),NOT(ISNUMBER('Price History'!J82)),'Price History'!J82=0),"",'Price History'!J83/'Price History'!J82-1),"")</f>
        <v>0.0186997383974421</v>
      </c>
      <c r="K82" s="154" t="n">
        <f aca="false">IFERROR(IF(OR(NOT(ISNUMBER('Price History'!K83)),NOT(ISNUMBER('Price History'!K82)),'Price History'!K82=0),"",'Price History'!K83/'Price History'!K82-1),"")</f>
        <v>-0.0561785400175902</v>
      </c>
      <c r="L82" s="154" t="n">
        <f aca="false">IFERROR(IF(OR(NOT(ISNUMBER('Price History'!L83)),NOT(ISNUMBER('Price History'!L82)),'Price History'!L82=0),"",'Price History'!L83/'Price History'!L82-1),"")</f>
        <v>-0.0649432897691289</v>
      </c>
      <c r="M82" s="154" t="n">
        <f aca="false">IFERROR(IF(OR(NOT(ISNUMBER('Price History'!M83)),NOT(ISNUMBER('Price History'!M82)),'Price History'!M82=0),"",'Price History'!M83/'Price History'!M82-1),"")</f>
        <v>-0.162296564195298</v>
      </c>
      <c r="N82" s="154" t="n">
        <f aca="false">IFERROR(IF(OR(NOT(ISNUMBER('Price History'!N83)),NOT(ISNUMBER('Price History'!N82)),'Price History'!N82=0),"",'Price History'!N83/'Price History'!N82-1),"")</f>
        <v>-0.0208863275039746</v>
      </c>
      <c r="O82" s="154" t="n">
        <f aca="false">IFERROR(IF(OR(NOT(ISNUMBER('Price History'!O83)),NOT(ISNUMBER('Price History'!O82)),'Price History'!O82=0),"",'Price History'!O83/'Price History'!O82-1),"")</f>
        <v>-0.00467398924982465</v>
      </c>
      <c r="P82" s="154" t="n">
        <f aca="false">IFERROR(IF(OR(NOT(ISNUMBER('Price History'!P83)),NOT(ISNUMBER('Price History'!P82)),'Price History'!P82=0),"",'Price History'!P83/'Price History'!P82-1),"")</f>
        <v>-0.000238322211630115</v>
      </c>
      <c r="Q82" s="154" t="n">
        <f aca="false">IFERROR(IF(OR(NOT(ISNUMBER('Price History'!Q83)),NOT(ISNUMBER('Price History'!Q82)),'Price History'!Q82=0),"",'Price History'!Q83/'Price History'!Q82-1),"")</f>
        <v>-0.011555853290906</v>
      </c>
      <c r="R82" s="154" t="n">
        <f aca="false">IFERROR(IF(OR(NOT(ISNUMBER('Price History'!R83)),NOT(ISNUMBER('Price History'!R82)),'Price History'!R82=0),"",'Price History'!R83/'Price History'!R82-1),"")</f>
        <v>-0.0188893946290396</v>
      </c>
      <c r="S82" s="154" t="n">
        <f aca="false">IFERROR(IF(OR(NOT(ISNUMBER('Price History'!S83)),NOT(ISNUMBER('Price History'!S82)),'Price History'!S82=0),"",'Price History'!S83/'Price History'!S82-1),"")</f>
        <v>-0.0196943607404219</v>
      </c>
      <c r="T82" s="154" t="n">
        <f aca="false">IFERROR(IF(OR(NOT(ISNUMBER('Price History'!T83)),NOT(ISNUMBER('Price History'!T82)),'Price History'!T82=0),"",'Price History'!T83/'Price History'!T82-1),"")</f>
        <v>-0.0164802825191288</v>
      </c>
      <c r="U82" s="154" t="n">
        <f aca="false">IFERROR(IF(OR(NOT(ISNUMBER('Price History'!U83)),NOT(ISNUMBER('Price History'!U82)),'Price History'!U82=0),"",'Price History'!U83/'Price History'!U82-1),"")</f>
        <v>0.00268507863444567</v>
      </c>
      <c r="V82" s="155" t="n">
        <f aca="false">IFERROR(IF(OR(NOT(ISNUMBER('Price History'!V83)),NOT(ISNUMBER('Price History'!V82)),'Price History'!V82=0),"",'Price History'!V83/'Price History'!V82-1),"")</f>
        <v>0.0214246971614536</v>
      </c>
      <c r="W82" s="156" t="n">
        <f aca="false">IFERROR('Price History'!B3+(INDEX('Price History'!B:B,MATCH(9.99E+307,'Returns (Calc)'!$A:$A)+1)-'Price History'!B3)*(ROW()-3)/(MATCH(9.99E+307,'Returns (Calc)'!$A:$A)-3),"")</f>
        <v>383.29</v>
      </c>
      <c r="X82" s="156" t="n">
        <f aca="false">IFERROR('Price History'!C3+(INDEX('Price History'!C:C,MATCH(9.99E+307,'Returns (Calc)'!$A:$A)+1)-'Price History'!C3)*(ROW()-3)/(MATCH(9.99E+307,'Returns (Calc)'!$A:$A)-3),"")</f>
        <v>126.765</v>
      </c>
      <c r="Y82" s="156" t="n">
        <f aca="false">IFERROR('Price History'!D3+(INDEX('Price History'!D:D,MATCH(9.99E+307,'Returns (Calc)'!$A:$A)+1)-'Price History'!D3)*(ROW()-3)/(MATCH(9.99E+307,'Returns (Calc)'!$A:$A)-3),"")</f>
        <v>1224.66</v>
      </c>
      <c r="Z82" s="156" t="n">
        <f aca="false">IFERROR('Price History'!E3+(INDEX('Price History'!E:E,MATCH(9.99E+307,'Returns (Calc)'!$A:$A)+1)-'Price History'!E3)*(ROW()-3)/(MATCH(9.99E+307,'Returns (Calc)'!$A:$A)-3),"")</f>
        <v>218.57</v>
      </c>
      <c r="AA82" s="156" t="n">
        <f aca="false">IFERROR('Price History'!F3+(INDEX('Price History'!F:F,MATCH(9.99E+307,'Returns (Calc)'!$A:$A)+1)-'Price History'!F3)*(ROW()-3)/(MATCH(9.99E+307,'Returns (Calc)'!$A:$A)-3),"")</f>
        <v>155.7</v>
      </c>
      <c r="AB82" s="156" t="n">
        <f aca="false">IFERROR('Price History'!G3+(INDEX('Price History'!G:G,MATCH(9.99E+307,'Returns (Calc)'!$A:$A)+1)-'Price History'!G3)*(ROW()-3)/(MATCH(9.99E+307,'Returns (Calc)'!$A:$A)-3),"")</f>
        <v>125.62</v>
      </c>
      <c r="AC82" s="156" t="n">
        <f aca="false">IFERROR('Price History'!H3+(INDEX('Price History'!H:H,MATCH(9.99E+307,'Returns (Calc)'!$A:$A)+1)-'Price History'!H3)*(ROW()-3)/(MATCH(9.99E+307,'Returns (Calc)'!$A:$A)-3),"")</f>
        <v>572</v>
      </c>
      <c r="AD82" s="156" t="n">
        <f aca="false">IFERROR('Price History'!I3+(INDEX('Price History'!I:I,MATCH(9.99E+307,'Returns (Calc)'!$A:$A)+1)-'Price History'!I3)*(ROW()-3)/(MATCH(9.99E+307,'Returns (Calc)'!$A:$A)-3),"")</f>
        <v>138.86</v>
      </c>
      <c r="AE82" s="156" t="n">
        <f aca="false">IFERROR('Price History'!J3+(INDEX('Price History'!J:J,MATCH(9.99E+307,'Returns (Calc)'!$A:$A)+1)-'Price History'!J3)*(ROW()-3)/(MATCH(9.99E+307,'Returns (Calc)'!$A:$A)-3),"")</f>
        <v>120.375</v>
      </c>
      <c r="AF82" s="156" t="n">
        <f aca="false">IFERROR('Price History'!K3+(INDEX('Price History'!K:K,MATCH(9.99E+307,'Returns (Calc)'!$A:$A)+1)-'Price History'!K3)*(ROW()-3)/(MATCH(9.99E+307,'Returns (Calc)'!$A:$A)-3),"")</f>
        <v>102.04</v>
      </c>
      <c r="AG82" s="156" t="n">
        <f aca="false">IFERROR('Price History'!L3+(INDEX('Price History'!L:L,MATCH(9.99E+307,'Returns (Calc)'!$A:$A)+1)-'Price History'!L3)*(ROW()-3)/(MATCH(9.99E+307,'Returns (Calc)'!$A:$A)-3),"")</f>
        <v>279.265</v>
      </c>
      <c r="AH82" s="156" t="n">
        <f aca="false">IFERROR('Price History'!M3+(INDEX('Price History'!M:M,MATCH(9.99E+307,'Returns (Calc)'!$A:$A)+1)-'Price History'!M3)*(ROW()-3)/(MATCH(9.99E+307,'Returns (Calc)'!$A:$A)-3),"")</f>
        <v>145.1</v>
      </c>
      <c r="AI82" s="156" t="n">
        <f aca="false">IFERROR('Price History'!N3+(INDEX('Price History'!N:N,MATCH(9.99E+307,'Returns (Calc)'!$A:$A)+1)-'Price History'!N3)*(ROW()-3)/(MATCH(9.99E+307,'Returns (Calc)'!$A:$A)-3),"")</f>
        <v>426.815</v>
      </c>
      <c r="AJ82" s="156" t="n">
        <f aca="false">IFERROR('Price History'!O3+(INDEX('Price History'!O:O,MATCH(9.99E+307,'Returns (Calc)'!$A:$A)+1)-'Price History'!O3)*(ROW()-3)/(MATCH(9.99E+307,'Returns (Calc)'!$A:$A)-3),"")</f>
        <v>97.67</v>
      </c>
      <c r="AK82" s="156" t="n">
        <f aca="false">IFERROR('Price History'!Q3+(INDEX('Price History'!Q:Q,MATCH(9.99E+307,'Returns (Calc)'!$A:$A)+1)-'Price History'!Q3)*(ROW()-3)/(MATCH(9.99E+307,'Returns (Calc)'!$A:$A)-3),"")</f>
        <v>34.71</v>
      </c>
      <c r="AL82" s="156" t="n">
        <f aca="false">IFERROR('Price History'!R3+(INDEX('Price History'!R:R,MATCH(9.99E+307,'Returns (Calc)'!$A:$A)+1)-'Price History'!R3)*(ROW()-3)/(MATCH(9.99E+307,'Returns (Calc)'!$A:$A)-3),"")</f>
        <v>47.76</v>
      </c>
      <c r="AM82" s="156" t="n">
        <f aca="false">IFERROR('Price History'!S3+(INDEX('Price History'!S:S,MATCH(9.99E+307,'Returns (Calc)'!$A:$A)+1)-'Price History'!S3)*(ROW()-3)/(MATCH(9.99E+307,'Returns (Calc)'!$A:$A)-3),"")</f>
        <v>105.43</v>
      </c>
      <c r="AN82" s="156" t="n">
        <f aca="false">IFERROR('Price History'!T3+(INDEX('Price History'!T:T,MATCH(9.99E+307,'Returns (Calc)'!$A:$A)+1)-'Price History'!T3)*(ROW()-3)/(MATCH(9.99E+307,'Returns (Calc)'!$A:$A)-3),"")</f>
        <v>38.53</v>
      </c>
      <c r="AO82" s="157" t="n">
        <f aca="false">IFERROR('Price History'!V3+(INDEX('Price History'!V:V,MATCH(9.99E+307,'Returns (Calc)'!$A:$A)+1)-'Price History'!V3)*(ROW()-3)/(MATCH(9.99E+307,'Returns (Calc)'!$A:$A)-3),"")</f>
        <v>298.145</v>
      </c>
      <c r="AP82" s="155" t="n">
        <f aca="false">IFERROR(IF(OR(NOT(ISNUMBER('Price History'!W83)),NOT(ISNUMBER('Price History'!W82)),'Price History'!W82=0),"",'Price History'!W83/'Price History'!W82-1),"")</f>
        <v>-0.0066257272139626</v>
      </c>
      <c r="AQ82" s="155" t="str">
        <f aca="false">IFERROR(IF(OR(NOT(ISNUMBER('Price History'!X83)),NOT(ISNUMBER('Price History'!X82)),'Price History'!X82=0),"",'Price History'!X83/'Price History'!X82-1),"")</f>
        <v/>
      </c>
      <c r="AR82" s="155" t="n">
        <f aca="false">IFERROR(IF(OR(NOT(ISNUMBER('Price History'!Y83)),NOT(ISNUMBER('Price History'!Y82)),'Price History'!Y82=0),"",'Price History'!Y83/'Price History'!Y82-1),"")</f>
        <v>-0.00758937487517486</v>
      </c>
      <c r="AS82" s="155" t="n">
        <f aca="false">IFERROR(IF(OR(NOT(ISNUMBER('Price History'!Z83)),NOT(ISNUMBER('Price History'!Z82)),'Price History'!Z82=0),"",'Price History'!Z83/'Price History'!Z82-1),"")</f>
        <v>-0.0208086785009862</v>
      </c>
      <c r="AT82" s="155" t="n">
        <f aca="false">IFERROR(IF(OR(NOT(ISNUMBER('Price History'!AA83)),NOT(ISNUMBER('Price History'!AA82)),'Price History'!AA82=0),"",'Price History'!AA83/'Price History'!AA82-1),"")</f>
        <v>-0.0274914089347079</v>
      </c>
      <c r="AU82" s="155" t="n">
        <f aca="false">IFERROR(IF(OR(NOT(ISNUMBER('Price History'!AB83)),NOT(ISNUMBER('Price History'!AB82)),'Price History'!AB82=0),"",'Price History'!AB83/'Price History'!AB82-1),"")</f>
        <v>-0.010812180597204</v>
      </c>
    </row>
    <row r="83" customFormat="false" ht="15" hidden="false" customHeight="true" outlineLevel="0" collapsed="false">
      <c r="A83" s="153" t="n">
        <f aca="false">IF('Price History'!A84="","",'Price History'!A84)</f>
        <v>45751</v>
      </c>
      <c r="B83" s="154" t="n">
        <f aca="false">IFERROR(IF(OR(NOT(ISNUMBER('Price History'!B84)),NOT(ISNUMBER('Price History'!B83)),'Price History'!B83=0),"",'Price History'!B84/'Price History'!B83-1),"")</f>
        <v>-0.0949936480775712</v>
      </c>
      <c r="C83" s="154" t="n">
        <f aca="false">IFERROR(IF(OR(NOT(ISNUMBER('Price History'!C84)),NOT(ISNUMBER('Price History'!C83)),'Price History'!C83=0),"",'Price History'!C84/'Price History'!C83-1),"")</f>
        <v>-0.174108288426995</v>
      </c>
      <c r="D83" s="154" t="n">
        <f aca="false">IFERROR(IF(OR(NOT(ISNUMBER('Price History'!D84)),NOT(ISNUMBER('Price History'!D83)),'Price History'!D83=0),"",'Price History'!D84/'Price History'!D83-1),"")</f>
        <v>-0.102339400669258</v>
      </c>
      <c r="E83" s="154" t="n">
        <f aca="false">IFERROR(IF(OR(NOT(ISNUMBER('Price History'!E84)),NOT(ISNUMBER('Price History'!E83)),'Price History'!E83=0),"",'Price History'!E84/'Price History'!E83-1),"")</f>
        <v>-0.134996112207668</v>
      </c>
      <c r="F83" s="154" t="n">
        <f aca="false">IFERROR(IF(OR(NOT(ISNUMBER('Price History'!F84)),NOT(ISNUMBER('Price History'!F83)),'Price History'!F83=0),"",'Price History'!F84/'Price History'!F83-1),"")</f>
        <v>-0.0993503584229392</v>
      </c>
      <c r="G83" s="154" t="n">
        <f aca="false">IFERROR(IF(OR(NOT(ISNUMBER('Price History'!G84)),NOT(ISNUMBER('Price History'!G83)),'Price History'!G83=0),"",'Price History'!G84/'Price History'!G83-1),"")</f>
        <v>-0.144099565152197</v>
      </c>
      <c r="H83" s="154" t="n">
        <f aca="false">IFERROR(IF(OR(NOT(ISNUMBER('Price History'!H84)),NOT(ISNUMBER('Price History'!H83)),'Price History'!H83=0),"",'Price History'!H84/'Price History'!H83-1),"")</f>
        <v>-0.267196367763905</v>
      </c>
      <c r="I83" s="154" t="n">
        <f aca="false">IFERROR(IF(OR(NOT(ISNUMBER('Price History'!I84)),NOT(ISNUMBER('Price History'!I83)),'Price History'!I83=0),"",'Price History'!I84/'Price History'!I83-1),"")</f>
        <v>-0.140049364658561</v>
      </c>
      <c r="J83" s="154" t="n">
        <f aca="false">IFERROR(IF(OR(NOT(ISNUMBER('Price History'!J84)),NOT(ISNUMBER('Price History'!J83)),'Price History'!J83=0),"",'Price History'!J84/'Price History'!J83-1),"")</f>
        <v>-0.110614418870078</v>
      </c>
      <c r="K83" s="154" t="n">
        <f aca="false">IFERROR(IF(OR(NOT(ISNUMBER('Price History'!K84)),NOT(ISNUMBER('Price History'!K83)),'Price History'!K83=0),"",'Price History'!K84/'Price History'!K83-1),"")</f>
        <v>-0.137914967967385</v>
      </c>
      <c r="L83" s="154" t="n">
        <f aca="false">IFERROR(IF(OR(NOT(ISNUMBER('Price History'!L84)),NOT(ISNUMBER('Price History'!L83)),'Price History'!L83=0),"",'Price History'!L84/'Price History'!L83-1),"")</f>
        <v>-0.111631057200911</v>
      </c>
      <c r="M83" s="154" t="n">
        <f aca="false">IFERROR(IF(OR(NOT(ISNUMBER('Price History'!M84)),NOT(ISNUMBER('Price History'!M83)),'Price History'!M83=0),"",'Price History'!M84/'Price History'!M83-1),"")</f>
        <v>-0.199811117107393</v>
      </c>
      <c r="N83" s="154" t="n">
        <f aca="false">IFERROR(IF(OR(NOT(ISNUMBER('Price History'!N84)),NOT(ISNUMBER('Price History'!N83)),'Price History'!N83=0),"",'Price History'!N84/'Price History'!N83-1),"")</f>
        <v>-0.0366762061336743</v>
      </c>
      <c r="O83" s="154" t="n">
        <f aca="false">IFERROR(IF(OR(NOT(ISNUMBER('Price History'!O84)),NOT(ISNUMBER('Price History'!O83)),'Price History'!O83=0),"",'Price History'!O84/'Price History'!O83-1),"")</f>
        <v>-0.104719417703686</v>
      </c>
      <c r="P83" s="154" t="n">
        <f aca="false">IFERROR(IF(OR(NOT(ISNUMBER('Price History'!P84)),NOT(ISNUMBER('Price History'!P83)),'Price History'!P83=0),"",'Price History'!P84/'Price History'!P83-1),"")</f>
        <v>-0.0803337306317045</v>
      </c>
      <c r="Q83" s="154" t="n">
        <f aca="false">IFERROR(IF(OR(NOT(ISNUMBER('Price History'!Q84)),NOT(ISNUMBER('Price History'!Q83)),'Price History'!Q83=0),"",'Price History'!Q84/'Price History'!Q83-1),"")</f>
        <v>-0.0388004066418164</v>
      </c>
      <c r="R83" s="154" t="n">
        <f aca="false">IFERROR(IF(OR(NOT(ISNUMBER('Price History'!R84)),NOT(ISNUMBER('Price History'!R83)),'Price History'!R83=0),"",'Price History'!R84/'Price History'!R83-1),"")</f>
        <v>-0.0909301786128509</v>
      </c>
      <c r="S83" s="154" t="n">
        <f aca="false">IFERROR(IF(OR(NOT(ISNUMBER('Price History'!S84)),NOT(ISNUMBER('Price History'!S83)),'Price History'!S83=0),"",'Price History'!S84/'Price History'!S83-1),"")</f>
        <v>-0.107036996377209</v>
      </c>
      <c r="T83" s="154" t="n">
        <f aca="false">IFERROR(IF(OR(NOT(ISNUMBER('Price History'!T84)),NOT(ISNUMBER('Price History'!T83)),'Price History'!T83=0),"",'Price History'!T84/'Price History'!T83-1),"")</f>
        <v>-0.0924596050269301</v>
      </c>
      <c r="U83" s="154" t="n">
        <f aca="false">IFERROR(IF(OR(NOT(ISNUMBER('Price History'!U84)),NOT(ISNUMBER('Price History'!U83)),'Price History'!U83=0),"",'Price History'!U84/'Price History'!U83-1),"")</f>
        <v>-0.0833970925784239</v>
      </c>
      <c r="V83" s="155" t="n">
        <f aca="false">IFERROR(IF(OR(NOT(ISNUMBER('Price History'!V84)),NOT(ISNUMBER('Price History'!V83)),'Price History'!V83=0),"",'Price History'!V84/'Price History'!V83-1),"")</f>
        <v>-0.0866743369619731</v>
      </c>
      <c r="W83" s="156" t="n">
        <f aca="false">IFERROR('Price History'!B3+(INDEX('Price History'!B:B,MATCH(9.99E+307,'Returns (Calc)'!$A:$A)+1)-'Price History'!B3)*(ROW()-3)/(MATCH(9.99E+307,'Returns (Calc)'!$A:$A)-3),"")</f>
        <v>381.446962025316</v>
      </c>
      <c r="X83" s="156" t="n">
        <f aca="false">IFERROR('Price History'!C3+(INDEX('Price History'!C:C,MATCH(9.99E+307,'Returns (Calc)'!$A:$A)+1)-'Price History'!C3)*(ROW()-3)/(MATCH(9.99E+307,'Returns (Calc)'!$A:$A)-3),"")</f>
        <v>127.785063291139</v>
      </c>
      <c r="Y83" s="156" t="n">
        <f aca="false">IFERROR('Price History'!D3+(INDEX('Price History'!D:D,MATCH(9.99E+307,'Returns (Calc)'!$A:$A)+1)-'Price History'!D3)*(ROW()-3)/(MATCH(9.99E+307,'Returns (Calc)'!$A:$A)-3),"")</f>
        <v>1232.79481012658</v>
      </c>
      <c r="Z83" s="156" t="n">
        <f aca="false">IFERROR('Price History'!E3+(INDEX('Price History'!E:E,MATCH(9.99E+307,'Returns (Calc)'!$A:$A)+1)-'Price History'!E3)*(ROW()-3)/(MATCH(9.99E+307,'Returns (Calc)'!$A:$A)-3),"")</f>
        <v>220.298734177215</v>
      </c>
      <c r="AA83" s="156" t="n">
        <f aca="false">IFERROR('Price History'!F3+(INDEX('Price History'!F:F,MATCH(9.99E+307,'Returns (Calc)'!$A:$A)+1)-'Price History'!F3)*(ROW()-3)/(MATCH(9.99E+307,'Returns (Calc)'!$A:$A)-3),"")</f>
        <v>157.147341772152</v>
      </c>
      <c r="AB83" s="156" t="n">
        <f aca="false">IFERROR('Price History'!G3+(INDEX('Price History'!G:G,MATCH(9.99E+307,'Returns (Calc)'!$A:$A)+1)-'Price History'!G3)*(ROW()-3)/(MATCH(9.99E+307,'Returns (Calc)'!$A:$A)-3),"")</f>
        <v>126.648734177215</v>
      </c>
      <c r="AC83" s="156" t="n">
        <f aca="false">IFERROR('Price History'!H3+(INDEX('Price History'!H:H,MATCH(9.99E+307,'Returns (Calc)'!$A:$A)+1)-'Price History'!H3)*(ROW()-3)/(MATCH(9.99E+307,'Returns (Calc)'!$A:$A)-3),"")</f>
        <v>578.365696202532</v>
      </c>
      <c r="AD83" s="156" t="n">
        <f aca="false">IFERROR('Price History'!I3+(INDEX('Price History'!I:I,MATCH(9.99E+307,'Returns (Calc)'!$A:$A)+1)-'Price History'!I3)*(ROW()-3)/(MATCH(9.99E+307,'Returns (Calc)'!$A:$A)-3),"")</f>
        <v>140.063670886076</v>
      </c>
      <c r="AE83" s="156" t="n">
        <f aca="false">IFERROR('Price History'!J3+(INDEX('Price History'!J:J,MATCH(9.99E+307,'Returns (Calc)'!$A:$A)+1)-'Price History'!J3)*(ROW()-3)/(MATCH(9.99E+307,'Returns (Calc)'!$A:$A)-3),"")</f>
        <v>120.483037974684</v>
      </c>
      <c r="AF83" s="156" t="n">
        <f aca="false">IFERROR('Price History'!K3+(INDEX('Price History'!K:K,MATCH(9.99E+307,'Returns (Calc)'!$A:$A)+1)-'Price History'!K3)*(ROW()-3)/(MATCH(9.99E+307,'Returns (Calc)'!$A:$A)-3),"")</f>
        <v>103.137594936709</v>
      </c>
      <c r="AG83" s="156" t="n">
        <f aca="false">IFERROR('Price History'!L3+(INDEX('Price History'!L:L,MATCH(9.99E+307,'Returns (Calc)'!$A:$A)+1)-'Price History'!L3)*(ROW()-3)/(MATCH(9.99E+307,'Returns (Calc)'!$A:$A)-3),"")</f>
        <v>281.714556962025</v>
      </c>
      <c r="AH83" s="156" t="n">
        <f aca="false">IFERROR('Price History'!M3+(INDEX('Price History'!M:M,MATCH(9.99E+307,'Returns (Calc)'!$A:$A)+1)-'Price History'!M3)*(ROW()-3)/(MATCH(9.99E+307,'Returns (Calc)'!$A:$A)-3),"")</f>
        <v>146.455443037975</v>
      </c>
      <c r="AI83" s="156" t="n">
        <f aca="false">IFERROR('Price History'!N3+(INDEX('Price History'!N:N,MATCH(9.99E+307,'Returns (Calc)'!$A:$A)+1)-'Price History'!N3)*(ROW()-3)/(MATCH(9.99E+307,'Returns (Calc)'!$A:$A)-3),"")</f>
        <v>427.801265822785</v>
      </c>
      <c r="AJ83" s="156" t="n">
        <f aca="false">IFERROR('Price History'!O3+(INDEX('Price History'!O:O,MATCH(9.99E+307,'Returns (Calc)'!$A:$A)+1)-'Price History'!O3)*(ROW()-3)/(MATCH(9.99E+307,'Returns (Calc)'!$A:$A)-3),"")</f>
        <v>97.9530379746836</v>
      </c>
      <c r="AK83" s="156" t="n">
        <f aca="false">IFERROR('Price History'!Q3+(INDEX('Price History'!Q:Q,MATCH(9.99E+307,'Returns (Calc)'!$A:$A)+1)-'Price History'!Q3)*(ROW()-3)/(MATCH(9.99E+307,'Returns (Calc)'!$A:$A)-3),"")</f>
        <v>35.1493670886076</v>
      </c>
      <c r="AL83" s="156" t="n">
        <f aca="false">IFERROR('Price History'!R3+(INDEX('Price History'!R:R,MATCH(9.99E+307,'Returns (Calc)'!$A:$A)+1)-'Price History'!R3)*(ROW()-3)/(MATCH(9.99E+307,'Returns (Calc)'!$A:$A)-3),"")</f>
        <v>47.9281012658228</v>
      </c>
      <c r="AM83" s="156" t="n">
        <f aca="false">IFERROR('Price History'!S3+(INDEX('Price History'!S:S,MATCH(9.99E+307,'Returns (Calc)'!$A:$A)+1)-'Price History'!S3)*(ROW()-3)/(MATCH(9.99E+307,'Returns (Calc)'!$A:$A)-3),"")</f>
        <v>106.035063291139</v>
      </c>
      <c r="AN83" s="156" t="n">
        <f aca="false">IFERROR('Price History'!T3+(INDEX('Price History'!T:T,MATCH(9.99E+307,'Returns (Calc)'!$A:$A)+1)-'Price History'!T3)*(ROW()-3)/(MATCH(9.99E+307,'Returns (Calc)'!$A:$A)-3),"")</f>
        <v>38.6982278481013</v>
      </c>
      <c r="AO83" s="157" t="n">
        <f aca="false">IFERROR('Price History'!V3+(INDEX('Price History'!V:V,MATCH(9.99E+307,'Returns (Calc)'!$A:$A)+1)-'Price History'!V3)*(ROW()-3)/(MATCH(9.99E+307,'Returns (Calc)'!$A:$A)-3),"")</f>
        <v>298.936329113924</v>
      </c>
      <c r="AP83" s="155" t="n">
        <f aca="false">IFERROR(IF(OR(NOT(ISNUMBER('Price History'!W84)),NOT(ISNUMBER('Price History'!W83)),'Price History'!W83=0),"",'Price History'!W84/'Price History'!W83-1),"")</f>
        <v>-0.0824792581747194</v>
      </c>
      <c r="AQ83" s="155" t="str">
        <f aca="false">IFERROR(IF(OR(NOT(ISNUMBER('Price History'!X84)),NOT(ISNUMBER('Price History'!X83)),'Price History'!X83=0),"",'Price History'!X84/'Price History'!X83-1),"")</f>
        <v/>
      </c>
      <c r="AR83" s="155" t="n">
        <f aca="false">IFERROR(IF(OR(NOT(ISNUMBER('Price History'!Y84)),NOT(ISNUMBER('Price History'!Y83)),'Price History'!Y83=0),"",'Price History'!Y84/'Price History'!Y83-1),"")</f>
        <v>-0.0734554236264842</v>
      </c>
      <c r="AS83" s="155" t="n">
        <f aca="false">IFERROR(IF(OR(NOT(ISNUMBER('Price History'!Z84)),NOT(ISNUMBER('Price History'!Z83)),'Price History'!Z83=0),"",'Price History'!Z84/'Price History'!Z83-1),"")</f>
        <v>-0.165424514049753</v>
      </c>
      <c r="AT83" s="155" t="n">
        <f aca="false">IFERROR(IF(OR(NOT(ISNUMBER('Price History'!AA84)),NOT(ISNUMBER('Price History'!AA83)),'Price History'!AA83=0),"",'Price History'!AA84/'Price History'!AA83-1),"")</f>
        <v>-0.0835207195631224</v>
      </c>
      <c r="AU83" s="155" t="n">
        <f aca="false">IFERROR(IF(OR(NOT(ISNUMBER('Price History'!AB84)),NOT(ISNUMBER('Price History'!AB83)),'Price History'!AB83=0),"",'Price History'!AB84/'Price History'!AB83-1),"")</f>
        <v>-0.0876563767559029</v>
      </c>
    </row>
    <row r="84" customFormat="false" ht="15" hidden="false" customHeight="true" outlineLevel="0" collapsed="false">
      <c r="A84" s="153" t="n">
        <f aca="false">IF('Price History'!A85="","",'Price History'!A85)</f>
        <v>45758</v>
      </c>
      <c r="B84" s="154" t="n">
        <f aca="false">IFERROR(IF(OR(NOT(ISNUMBER('Price History'!B85)),NOT(ISNUMBER('Price History'!B84)),'Price History'!B84=0),"",'Price History'!B85/'Price History'!B84-1),"")</f>
        <v>0.00974016672873646</v>
      </c>
      <c r="C84" s="154" t="n">
        <f aca="false">IFERROR(IF(OR(NOT(ISNUMBER('Price History'!C85)),NOT(ISNUMBER('Price History'!C84)),'Price History'!C84=0),"",'Price History'!C85/'Price History'!C84-1),"")</f>
        <v>0.128942053751748</v>
      </c>
      <c r="D84" s="154" t="n">
        <f aca="false">IFERROR(IF(OR(NOT(ISNUMBER('Price History'!D85)),NOT(ISNUMBER('Price History'!D84)),'Price History'!D84=0),"",'Price History'!D85/'Price History'!D84-1),"")</f>
        <v>0.104478360441985</v>
      </c>
      <c r="E84" s="154" t="n">
        <f aca="false">IFERROR(IF(OR(NOT(ISNUMBER('Price History'!E85)),NOT(ISNUMBER('Price History'!E84)),'Price History'!E84=0),"",'Price History'!E85/'Price History'!E84-1),"")</f>
        <v>0.243673074263587</v>
      </c>
      <c r="F84" s="154" t="n">
        <f aca="false">IFERROR(IF(OR(NOT(ISNUMBER('Price History'!F85)),NOT(ISNUMBER('Price History'!F84)),'Price History'!F84=0),"",'Price History'!F85/'Price History'!F84-1),"")</f>
        <v>0.174853873896282</v>
      </c>
      <c r="G84" s="154" t="n">
        <f aca="false">IFERROR(IF(OR(NOT(ISNUMBER('Price History'!G85)),NOT(ISNUMBER('Price History'!G84)),'Price History'!G84=0),"",'Price History'!G85/'Price History'!G84-1),"")</f>
        <v>0.162578836720392</v>
      </c>
      <c r="H84" s="154" t="n">
        <f aca="false">IFERROR(IF(OR(NOT(ISNUMBER('Price History'!H85)),NOT(ISNUMBER('Price History'!H84)),'Price History'!H84=0),"",'Price History'!H85/'Price History'!H84-1),"")</f>
        <v>0.0745043370508054</v>
      </c>
      <c r="I84" s="154" t="n">
        <f aca="false">IFERROR(IF(OR(NOT(ISNUMBER('Price History'!I85)),NOT(ISNUMBER('Price History'!I84)),'Price History'!I84=0),"",'Price History'!I85/'Price History'!I84-1),"")</f>
        <v>0.176251727437015</v>
      </c>
      <c r="J84" s="154" t="n">
        <f aca="false">IFERROR(IF(OR(NOT(ISNUMBER('Price History'!J85)),NOT(ISNUMBER('Price History'!J84)),'Price History'!J84=0),"",'Price History'!J85/'Price History'!J84-1),"")</f>
        <v>-0.0204256229280292</v>
      </c>
      <c r="K84" s="154" t="n">
        <f aca="false">IFERROR(IF(OR(NOT(ISNUMBER('Price History'!K85)),NOT(ISNUMBER('Price History'!K84)),'Price History'!K84=0),"",'Price History'!K85/'Price History'!K84-1),"")</f>
        <v>0.196459937846237</v>
      </c>
      <c r="L84" s="154" t="n">
        <f aca="false">IFERROR(IF(OR(NOT(ISNUMBER('Price History'!L85)),NOT(ISNUMBER('Price History'!L84)),'Price History'!L84=0),"",'Price History'!L85/'Price History'!L84-1),"")</f>
        <v>0.0700027723870251</v>
      </c>
      <c r="M84" s="154" t="n">
        <f aca="false">IFERROR(IF(OR(NOT(ISNUMBER('Price History'!M85)),NOT(ISNUMBER('Price History'!M84)),'Price History'!M84=0),"",'Price History'!M85/'Price History'!M84-1),"")</f>
        <v>0.171640532793795</v>
      </c>
      <c r="N84" s="154" t="n">
        <f aca="false">IFERROR(IF(OR(NOT(ISNUMBER('Price History'!N85)),NOT(ISNUMBER('Price History'!N84)),'Price History'!N84=0),"",'Price History'!N85/'Price History'!N84-1),"")</f>
        <v>0.0202267076819351</v>
      </c>
      <c r="O84" s="154" t="n">
        <f aca="false">IFERROR(IF(OR(NOT(ISNUMBER('Price History'!O85)),NOT(ISNUMBER('Price History'!O84)),'Price History'!O84=0),"",'Price History'!O85/'Price History'!O84-1),"")</f>
        <v>0.0125885129819039</v>
      </c>
      <c r="P84" s="154" t="n">
        <f aca="false">IFERROR(IF(OR(NOT(ISNUMBER('Price History'!P85)),NOT(ISNUMBER('Price History'!P84)),'Price History'!P84=0),"",'Price History'!P85/'Price History'!P84-1),"")</f>
        <v>0.0160705028512183</v>
      </c>
      <c r="Q84" s="154" t="n">
        <f aca="false">IFERROR(IF(OR(NOT(ISNUMBER('Price History'!Q85)),NOT(ISNUMBER('Price History'!Q84)),'Price History'!Q84=0),"",'Price History'!Q85/'Price History'!Q84-1),"")</f>
        <v>0.0188612726952231</v>
      </c>
      <c r="R84" s="154" t="n">
        <f aca="false">IFERROR(IF(OR(NOT(ISNUMBER('Price History'!R85)),NOT(ISNUMBER('Price History'!R84)),'Price History'!R84=0),"",'Price History'!R85/'Price History'!R84-1),"")</f>
        <v>0.0630262822148506</v>
      </c>
      <c r="S84" s="154" t="n">
        <f aca="false">IFERROR(IF(OR(NOT(ISNUMBER('Price History'!S85)),NOT(ISNUMBER('Price History'!S84)),'Price History'!S84=0),"",'Price History'!S85/'Price History'!S84-1),"")</f>
        <v>0.0910990902385049</v>
      </c>
      <c r="T84" s="154" t="n">
        <f aca="false">IFERROR(IF(OR(NOT(ISNUMBER('Price History'!T85)),NOT(ISNUMBER('Price History'!T84)),'Price History'!T84=0),"",'Price History'!T85/'Price History'!T84-1),"")</f>
        <v>0.0211012199142764</v>
      </c>
      <c r="U84" s="154" t="n">
        <f aca="false">IFERROR(IF(OR(NOT(ISNUMBER('Price History'!U85)),NOT(ISNUMBER('Price History'!U84)),'Price History'!U84=0),"",'Price History'!U85/'Price History'!U84-1),"")</f>
        <v>0.000834724540901499</v>
      </c>
      <c r="V84" s="155" t="n">
        <f aca="false">IFERROR(IF(OR(NOT(ISNUMBER('Price History'!V85)),NOT(ISNUMBER('Price History'!V84)),'Price History'!V84=0),"",'Price History'!V85/'Price History'!V84-1),"")</f>
        <v>0.0647307729577829</v>
      </c>
      <c r="W84" s="156" t="n">
        <f aca="false">IFERROR('Price History'!B3+(INDEX('Price History'!B:B,MATCH(9.99E+307,'Returns (Calc)'!$A:$A)+1)-'Price History'!B3)*(ROW()-3)/(MATCH(9.99E+307,'Returns (Calc)'!$A:$A)-3),"")</f>
        <v>379.603924050633</v>
      </c>
      <c r="X84" s="156" t="n">
        <f aca="false">IFERROR('Price History'!C3+(INDEX('Price History'!C:C,MATCH(9.99E+307,'Returns (Calc)'!$A:$A)+1)-'Price History'!C3)*(ROW()-3)/(MATCH(9.99E+307,'Returns (Calc)'!$A:$A)-3),"")</f>
        <v>128.805126582278</v>
      </c>
      <c r="Y84" s="156" t="n">
        <f aca="false">IFERROR('Price History'!D3+(INDEX('Price History'!D:D,MATCH(9.99E+307,'Returns (Calc)'!$A:$A)+1)-'Price History'!D3)*(ROW()-3)/(MATCH(9.99E+307,'Returns (Calc)'!$A:$A)-3),"")</f>
        <v>1240.92962025316</v>
      </c>
      <c r="Z84" s="156" t="n">
        <f aca="false">IFERROR('Price History'!E3+(INDEX('Price History'!E:E,MATCH(9.99E+307,'Returns (Calc)'!$A:$A)+1)-'Price History'!E3)*(ROW()-3)/(MATCH(9.99E+307,'Returns (Calc)'!$A:$A)-3),"")</f>
        <v>222.02746835443</v>
      </c>
      <c r="AA84" s="156" t="n">
        <f aca="false">IFERROR('Price History'!F3+(INDEX('Price History'!F:F,MATCH(9.99E+307,'Returns (Calc)'!$A:$A)+1)-'Price History'!F3)*(ROW()-3)/(MATCH(9.99E+307,'Returns (Calc)'!$A:$A)-3),"")</f>
        <v>158.594683544304</v>
      </c>
      <c r="AB84" s="156" t="n">
        <f aca="false">IFERROR('Price History'!G3+(INDEX('Price History'!G:G,MATCH(9.99E+307,'Returns (Calc)'!$A:$A)+1)-'Price History'!G3)*(ROW()-3)/(MATCH(9.99E+307,'Returns (Calc)'!$A:$A)-3),"")</f>
        <v>127.67746835443</v>
      </c>
      <c r="AC84" s="156" t="n">
        <f aca="false">IFERROR('Price History'!H3+(INDEX('Price History'!H:H,MATCH(9.99E+307,'Returns (Calc)'!$A:$A)+1)-'Price History'!H3)*(ROW()-3)/(MATCH(9.99E+307,'Returns (Calc)'!$A:$A)-3),"")</f>
        <v>584.731392405063</v>
      </c>
      <c r="AD84" s="156" t="n">
        <f aca="false">IFERROR('Price History'!I3+(INDEX('Price History'!I:I,MATCH(9.99E+307,'Returns (Calc)'!$A:$A)+1)-'Price History'!I3)*(ROW()-3)/(MATCH(9.99E+307,'Returns (Calc)'!$A:$A)-3),"")</f>
        <v>141.267341772152</v>
      </c>
      <c r="AE84" s="156" t="n">
        <f aca="false">IFERROR('Price History'!J3+(INDEX('Price History'!J:J,MATCH(9.99E+307,'Returns (Calc)'!$A:$A)+1)-'Price History'!J3)*(ROW()-3)/(MATCH(9.99E+307,'Returns (Calc)'!$A:$A)-3),"")</f>
        <v>120.591075949367</v>
      </c>
      <c r="AF84" s="156" t="n">
        <f aca="false">IFERROR('Price History'!K3+(INDEX('Price History'!K:K,MATCH(9.99E+307,'Returns (Calc)'!$A:$A)+1)-'Price History'!K3)*(ROW()-3)/(MATCH(9.99E+307,'Returns (Calc)'!$A:$A)-3),"")</f>
        <v>104.235189873418</v>
      </c>
      <c r="AG84" s="156" t="n">
        <f aca="false">IFERROR('Price History'!L3+(INDEX('Price History'!L:L,MATCH(9.99E+307,'Returns (Calc)'!$A:$A)+1)-'Price History'!L3)*(ROW()-3)/(MATCH(9.99E+307,'Returns (Calc)'!$A:$A)-3),"")</f>
        <v>284.164113924051</v>
      </c>
      <c r="AH84" s="156" t="n">
        <f aca="false">IFERROR('Price History'!M3+(INDEX('Price History'!M:M,MATCH(9.99E+307,'Returns (Calc)'!$A:$A)+1)-'Price History'!M3)*(ROW()-3)/(MATCH(9.99E+307,'Returns (Calc)'!$A:$A)-3),"")</f>
        <v>147.810886075949</v>
      </c>
      <c r="AI84" s="156" t="n">
        <f aca="false">IFERROR('Price History'!N3+(INDEX('Price History'!N:N,MATCH(9.99E+307,'Returns (Calc)'!$A:$A)+1)-'Price History'!N3)*(ROW()-3)/(MATCH(9.99E+307,'Returns (Calc)'!$A:$A)-3),"")</f>
        <v>428.78753164557</v>
      </c>
      <c r="AJ84" s="156" t="n">
        <f aca="false">IFERROR('Price History'!O3+(INDEX('Price History'!O:O,MATCH(9.99E+307,'Returns (Calc)'!$A:$A)+1)-'Price History'!O3)*(ROW()-3)/(MATCH(9.99E+307,'Returns (Calc)'!$A:$A)-3),"")</f>
        <v>98.2360759493671</v>
      </c>
      <c r="AK84" s="156" t="n">
        <f aca="false">IFERROR('Price History'!Q3+(INDEX('Price History'!Q:Q,MATCH(9.99E+307,'Returns (Calc)'!$A:$A)+1)-'Price History'!Q3)*(ROW()-3)/(MATCH(9.99E+307,'Returns (Calc)'!$A:$A)-3),"")</f>
        <v>35.5887341772152</v>
      </c>
      <c r="AL84" s="156" t="n">
        <f aca="false">IFERROR('Price History'!R3+(INDEX('Price History'!R:R,MATCH(9.99E+307,'Returns (Calc)'!$A:$A)+1)-'Price History'!R3)*(ROW()-3)/(MATCH(9.99E+307,'Returns (Calc)'!$A:$A)-3),"")</f>
        <v>48.0962025316456</v>
      </c>
      <c r="AM84" s="156" t="n">
        <f aca="false">IFERROR('Price History'!S3+(INDEX('Price History'!S:S,MATCH(9.99E+307,'Returns (Calc)'!$A:$A)+1)-'Price History'!S3)*(ROW()-3)/(MATCH(9.99E+307,'Returns (Calc)'!$A:$A)-3),"")</f>
        <v>106.640126582278</v>
      </c>
      <c r="AN84" s="156" t="n">
        <f aca="false">IFERROR('Price History'!T3+(INDEX('Price History'!T:T,MATCH(9.99E+307,'Returns (Calc)'!$A:$A)+1)-'Price History'!T3)*(ROW()-3)/(MATCH(9.99E+307,'Returns (Calc)'!$A:$A)-3),"")</f>
        <v>38.8664556962025</v>
      </c>
      <c r="AO84" s="157" t="n">
        <f aca="false">IFERROR('Price History'!V3+(INDEX('Price History'!V:V,MATCH(9.99E+307,'Returns (Calc)'!$A:$A)+1)-'Price History'!V3)*(ROW()-3)/(MATCH(9.99E+307,'Returns (Calc)'!$A:$A)-3),"")</f>
        <v>299.727658227848</v>
      </c>
      <c r="AP84" s="155" t="n">
        <f aca="false">IFERROR(IF(OR(NOT(ISNUMBER('Price History'!W85)),NOT(ISNUMBER('Price History'!W84)),'Price History'!W84=0),"",'Price History'!W85/'Price History'!W84-1),"")</f>
        <v>0.034131205673759</v>
      </c>
      <c r="AQ84" s="155" t="str">
        <f aca="false">IFERROR(IF(OR(NOT(ISNUMBER('Price History'!X85)),NOT(ISNUMBER('Price History'!X84)),'Price History'!X84=0),"",'Price History'!X85/'Price History'!X84-1),"")</f>
        <v/>
      </c>
      <c r="AR84" s="155" t="n">
        <f aca="false">IFERROR(IF(OR(NOT(ISNUMBER('Price History'!Y85)),NOT(ISNUMBER('Price History'!Y84)),'Price History'!Y84=0),"",'Price History'!Y85/'Price History'!Y84-1),"")</f>
        <v>0.0351867940920938</v>
      </c>
      <c r="AS84" s="155" t="n">
        <f aca="false">IFERROR(IF(OR(NOT(ISNUMBER('Price History'!Z85)),NOT(ISNUMBER('Price History'!Z84)),'Price History'!Z84=0),"",'Price History'!Z85/'Price History'!Z84-1),"")</f>
        <v>0.0890605201230919</v>
      </c>
      <c r="AT84" s="155" t="n">
        <f aca="false">IFERROR(IF(OR(NOT(ISNUMBER('Price History'!AA85)),NOT(ISNUMBER('Price History'!AA84)),'Price History'!AA84=0),"",'Price History'!AA85/'Price History'!AA84-1),"")</f>
        <v>0.0729057132842621</v>
      </c>
      <c r="AU84" s="155" t="n">
        <f aca="false">IFERROR(IF(OR(NOT(ISNUMBER('Price History'!AB85)),NOT(ISNUMBER('Price History'!AB84)),'Price History'!AB84=0),"",'Price History'!AB85/'Price History'!AB84-1),"")</f>
        <v>0.0202171471359041</v>
      </c>
    </row>
    <row r="85" customFormat="false" ht="15" hidden="false" customHeight="true" outlineLevel="0" collapsed="false">
      <c r="A85" s="153" t="n">
        <f aca="false">IF('Price History'!A86="","",'Price History'!A86)</f>
        <v>45765</v>
      </c>
      <c r="B85" s="154" t="n">
        <f aca="false">IFERROR(IF(OR(NOT(ISNUMBER('Price History'!B86)),NOT(ISNUMBER('Price History'!B85)),'Price History'!B85=0),"",'Price History'!B86/'Price History'!B85-1),"")</f>
        <v>-0.0104122336652765</v>
      </c>
      <c r="C85" s="154" t="n">
        <f aca="false">IFERROR(IF(OR(NOT(ISNUMBER('Price History'!C86)),NOT(ISNUMBER('Price History'!C85)),'Price History'!C85=0),"",'Price History'!C86/'Price History'!C85-1),"")</f>
        <v>-0.0202284298885372</v>
      </c>
      <c r="D85" s="154" t="n">
        <f aca="false">IFERROR(IF(OR(NOT(ISNUMBER('Price History'!D86)),NOT(ISNUMBER('Price History'!D85)),'Price History'!D85=0),"",'Price History'!D86/'Price History'!D85-1),"")</f>
        <v>-0.0428478454995385</v>
      </c>
      <c r="E85" s="154" t="n">
        <f aca="false">IFERROR(IF(OR(NOT(ISNUMBER('Price History'!E86)),NOT(ISNUMBER('Price History'!E85)),'Price History'!E85=0),"",'Price History'!E86/'Price History'!E85-1),"")</f>
        <v>-0.0601579005893473</v>
      </c>
      <c r="F85" s="154" t="n">
        <f aca="false">IFERROR(IF(OR(NOT(ISNUMBER('Price History'!F86)),NOT(ISNUMBER('Price History'!F85)),'Price History'!F85=0),"",'Price History'!F86/'Price History'!F85-1),"")</f>
        <v>-0.00603366147983475</v>
      </c>
      <c r="G85" s="154" t="n">
        <f aca="false">IFERROR(IF(OR(NOT(ISNUMBER('Price History'!G86)),NOT(ISNUMBER('Price History'!G85)),'Price History'!G85=0),"",'Price History'!G86/'Price History'!G85-1),"")</f>
        <v>-0.0534960819770945</v>
      </c>
      <c r="H85" s="154" t="n">
        <f aca="false">IFERROR(IF(OR(NOT(ISNUMBER('Price History'!H86)),NOT(ISNUMBER('Price History'!H85)),'Price History'!H85=0),"",'Price History'!H86/'Price History'!H85-1),"")</f>
        <v>-0.0106674354908464</v>
      </c>
      <c r="I85" s="154" t="n">
        <f aca="false">IFERROR(IF(OR(NOT(ISNUMBER('Price History'!I86)),NOT(ISNUMBER('Price History'!I85)),'Price History'!I85=0),"",'Price History'!I86/'Price History'!I85-1),"")</f>
        <v>-0.0851333032083145</v>
      </c>
      <c r="J85" s="154" t="n">
        <f aca="false">IFERROR(IF(OR(NOT(ISNUMBER('Price History'!J86)),NOT(ISNUMBER('Price History'!J85)),'Price History'!J85=0),"",'Price History'!J86/'Price History'!J85-1),"")</f>
        <v>0.0610262008733624</v>
      </c>
      <c r="K85" s="154" t="n">
        <f aca="false">IFERROR(IF(OR(NOT(ISNUMBER('Price History'!K86)),NOT(ISNUMBER('Price History'!K85)),'Price History'!K85=0),"",'Price History'!K86/'Price History'!K85-1),"")</f>
        <v>0.0590626764539808</v>
      </c>
      <c r="L85" s="154" t="n">
        <f aca="false">IFERROR(IF(OR(NOT(ISNUMBER('Price History'!L86)),NOT(ISNUMBER('Price History'!L85)),'Price History'!L85=0),"",'Price History'!L86/'Price History'!L85-1),"")</f>
        <v>-0.0340069957248348</v>
      </c>
      <c r="M85" s="154" t="n">
        <f aca="false">IFERROR(IF(OR(NOT(ISNUMBER('Price History'!M86)),NOT(ISNUMBER('Price History'!M85)),'Price History'!M85=0),"",'Price History'!M86/'Price History'!M85-1),"")</f>
        <v>0.0518060152539934</v>
      </c>
      <c r="N85" s="154" t="n">
        <f aca="false">IFERROR(IF(OR(NOT(ISNUMBER('Price History'!N86)),NOT(ISNUMBER('Price History'!N85)),'Price History'!N85=0),"",'Price History'!N86/'Price History'!N85-1),"")</f>
        <v>0.0100780636900581</v>
      </c>
      <c r="O85" s="154" t="n">
        <f aca="false">IFERROR(IF(OR(NOT(ISNUMBER('Price History'!O86)),NOT(ISNUMBER('Price History'!O85)),'Price History'!O85=0),"",'Price History'!O86/'Price History'!O85-1),"")</f>
        <v>0.0186480186480187</v>
      </c>
      <c r="P85" s="154" t="n">
        <f aca="false">IFERROR(IF(OR(NOT(ISNUMBER('Price History'!P86)),NOT(ISNUMBER('Price History'!P85)),'Price History'!P85=0),"",'Price History'!P86/'Price History'!P85-1),"")</f>
        <v>0.0147108843537416</v>
      </c>
      <c r="Q85" s="154" t="n">
        <f aca="false">IFERROR(IF(OR(NOT(ISNUMBER('Price History'!Q86)),NOT(ISNUMBER('Price History'!Q85)),'Price History'!Q85=0),"",'Price History'!Q86/'Price History'!Q85-1),"")</f>
        <v>-0.00605536332179923</v>
      </c>
      <c r="R85" s="154" t="n">
        <f aca="false">IFERROR(IF(OR(NOT(ISNUMBER('Price History'!R86)),NOT(ISNUMBER('Price History'!R85)),'Price History'!R85=0),"",'Price History'!R86/'Price History'!R85-1),"")</f>
        <v>-0.0160825732117137</v>
      </c>
      <c r="S85" s="154" t="n">
        <f aca="false">IFERROR(IF(OR(NOT(ISNUMBER('Price History'!S86)),NOT(ISNUMBER('Price History'!S85)),'Price History'!S85=0),"",'Price History'!S86/'Price History'!S85-1),"")</f>
        <v>-0.0173521126760564</v>
      </c>
      <c r="T85" s="154" t="n">
        <f aca="false">IFERROR(IF(OR(NOT(ISNUMBER('Price History'!T86)),NOT(ISNUMBER('Price History'!T85)),'Price History'!T85=0),"",'Price History'!T86/'Price History'!T85-1),"")</f>
        <v>0.00678075556990643</v>
      </c>
      <c r="U85" s="154" t="n">
        <f aca="false">IFERROR(IF(OR(NOT(ISNUMBER('Price History'!U86)),NOT(ISNUMBER('Price History'!U85)),'Price History'!U85=0),"",'Price History'!U86/'Price History'!U85-1),"")</f>
        <v>0.00458715596330284</v>
      </c>
      <c r="V85" s="155" t="n">
        <f aca="false">IFERROR(IF(OR(NOT(ISNUMBER('Price History'!V86)),NOT(ISNUMBER('Price History'!V85)),'Price History'!V85=0),"",'Price History'!V86/'Price History'!V85-1),"")</f>
        <v>-0.0113763917119194</v>
      </c>
      <c r="W85" s="156" t="n">
        <f aca="false">IFERROR('Price History'!B3+(INDEX('Price History'!B:B,MATCH(9.99E+307,'Returns (Calc)'!$A:$A)+1)-'Price History'!B3)*(ROW()-3)/(MATCH(9.99E+307,'Returns (Calc)'!$A:$A)-3),"")</f>
        <v>377.760886075949</v>
      </c>
      <c r="X85" s="156" t="n">
        <f aca="false">IFERROR('Price History'!C3+(INDEX('Price History'!C:C,MATCH(9.99E+307,'Returns (Calc)'!$A:$A)+1)-'Price History'!C3)*(ROW()-3)/(MATCH(9.99E+307,'Returns (Calc)'!$A:$A)-3),"")</f>
        <v>129.825189873418</v>
      </c>
      <c r="Y85" s="156" t="n">
        <f aca="false">IFERROR('Price History'!D3+(INDEX('Price History'!D:D,MATCH(9.99E+307,'Returns (Calc)'!$A:$A)+1)-'Price History'!D3)*(ROW()-3)/(MATCH(9.99E+307,'Returns (Calc)'!$A:$A)-3),"")</f>
        <v>1249.06443037975</v>
      </c>
      <c r="Z85" s="156" t="n">
        <f aca="false">IFERROR('Price History'!E3+(INDEX('Price History'!E:E,MATCH(9.99E+307,'Returns (Calc)'!$A:$A)+1)-'Price History'!E3)*(ROW()-3)/(MATCH(9.99E+307,'Returns (Calc)'!$A:$A)-3),"")</f>
        <v>223.756202531646</v>
      </c>
      <c r="AA85" s="156" t="n">
        <f aca="false">IFERROR('Price History'!F3+(INDEX('Price History'!F:F,MATCH(9.99E+307,'Returns (Calc)'!$A:$A)+1)-'Price History'!F3)*(ROW()-3)/(MATCH(9.99E+307,'Returns (Calc)'!$A:$A)-3),"")</f>
        <v>160.042025316456</v>
      </c>
      <c r="AB85" s="156" t="n">
        <f aca="false">IFERROR('Price History'!G3+(INDEX('Price History'!G:G,MATCH(9.99E+307,'Returns (Calc)'!$A:$A)+1)-'Price History'!G3)*(ROW()-3)/(MATCH(9.99E+307,'Returns (Calc)'!$A:$A)-3),"")</f>
        <v>128.706202531646</v>
      </c>
      <c r="AC85" s="156" t="n">
        <f aca="false">IFERROR('Price History'!H3+(INDEX('Price History'!H:H,MATCH(9.99E+307,'Returns (Calc)'!$A:$A)+1)-'Price History'!H3)*(ROW()-3)/(MATCH(9.99E+307,'Returns (Calc)'!$A:$A)-3),"")</f>
        <v>591.097088607595</v>
      </c>
      <c r="AD85" s="156" t="n">
        <f aca="false">IFERROR('Price History'!I3+(INDEX('Price History'!I:I,MATCH(9.99E+307,'Returns (Calc)'!$A:$A)+1)-'Price History'!I3)*(ROW()-3)/(MATCH(9.99E+307,'Returns (Calc)'!$A:$A)-3),"")</f>
        <v>142.471012658228</v>
      </c>
      <c r="AE85" s="156" t="n">
        <f aca="false">IFERROR('Price History'!J3+(INDEX('Price History'!J:J,MATCH(9.99E+307,'Returns (Calc)'!$A:$A)+1)-'Price History'!J3)*(ROW()-3)/(MATCH(9.99E+307,'Returns (Calc)'!$A:$A)-3),"")</f>
        <v>120.699113924051</v>
      </c>
      <c r="AF85" s="156" t="n">
        <f aca="false">IFERROR('Price History'!K3+(INDEX('Price History'!K:K,MATCH(9.99E+307,'Returns (Calc)'!$A:$A)+1)-'Price History'!K3)*(ROW()-3)/(MATCH(9.99E+307,'Returns (Calc)'!$A:$A)-3),"")</f>
        <v>105.332784810127</v>
      </c>
      <c r="AG85" s="156" t="n">
        <f aca="false">IFERROR('Price History'!L3+(INDEX('Price History'!L:L,MATCH(9.99E+307,'Returns (Calc)'!$A:$A)+1)-'Price History'!L3)*(ROW()-3)/(MATCH(9.99E+307,'Returns (Calc)'!$A:$A)-3),"")</f>
        <v>286.613670886076</v>
      </c>
      <c r="AH85" s="156" t="n">
        <f aca="false">IFERROR('Price History'!M3+(INDEX('Price History'!M:M,MATCH(9.99E+307,'Returns (Calc)'!$A:$A)+1)-'Price History'!M3)*(ROW()-3)/(MATCH(9.99E+307,'Returns (Calc)'!$A:$A)-3),"")</f>
        <v>149.166329113924</v>
      </c>
      <c r="AI85" s="156" t="n">
        <f aca="false">IFERROR('Price History'!N3+(INDEX('Price History'!N:N,MATCH(9.99E+307,'Returns (Calc)'!$A:$A)+1)-'Price History'!N3)*(ROW()-3)/(MATCH(9.99E+307,'Returns (Calc)'!$A:$A)-3),"")</f>
        <v>429.773797468354</v>
      </c>
      <c r="AJ85" s="156" t="n">
        <f aca="false">IFERROR('Price History'!O3+(INDEX('Price History'!O:O,MATCH(9.99E+307,'Returns (Calc)'!$A:$A)+1)-'Price History'!O3)*(ROW()-3)/(MATCH(9.99E+307,'Returns (Calc)'!$A:$A)-3),"")</f>
        <v>98.5191139240506</v>
      </c>
      <c r="AK85" s="156" t="n">
        <f aca="false">IFERROR('Price History'!Q3+(INDEX('Price History'!Q:Q,MATCH(9.99E+307,'Returns (Calc)'!$A:$A)+1)-'Price History'!Q3)*(ROW()-3)/(MATCH(9.99E+307,'Returns (Calc)'!$A:$A)-3),"")</f>
        <v>36.0281012658228</v>
      </c>
      <c r="AL85" s="156" t="n">
        <f aca="false">IFERROR('Price History'!R3+(INDEX('Price History'!R:R,MATCH(9.99E+307,'Returns (Calc)'!$A:$A)+1)-'Price History'!R3)*(ROW()-3)/(MATCH(9.99E+307,'Returns (Calc)'!$A:$A)-3),"")</f>
        <v>48.2643037974684</v>
      </c>
      <c r="AM85" s="156" t="n">
        <f aca="false">IFERROR('Price History'!S3+(INDEX('Price History'!S:S,MATCH(9.99E+307,'Returns (Calc)'!$A:$A)+1)-'Price History'!S3)*(ROW()-3)/(MATCH(9.99E+307,'Returns (Calc)'!$A:$A)-3),"")</f>
        <v>107.245189873418</v>
      </c>
      <c r="AN85" s="156" t="n">
        <f aca="false">IFERROR('Price History'!T3+(INDEX('Price History'!T:T,MATCH(9.99E+307,'Returns (Calc)'!$A:$A)+1)-'Price History'!T3)*(ROW()-3)/(MATCH(9.99E+307,'Returns (Calc)'!$A:$A)-3),"")</f>
        <v>39.0346835443038</v>
      </c>
      <c r="AO85" s="157" t="n">
        <f aca="false">IFERROR('Price History'!V3+(INDEX('Price History'!V:V,MATCH(9.99E+307,'Returns (Calc)'!$A:$A)+1)-'Price History'!V3)*(ROW()-3)/(MATCH(9.99E+307,'Returns (Calc)'!$A:$A)-3),"")</f>
        <v>300.518987341772</v>
      </c>
      <c r="AP85" s="155" t="n">
        <f aca="false">IFERROR(IF(OR(NOT(ISNUMBER('Price History'!W86)),NOT(ISNUMBER('Price History'!W85)),'Price History'!W85=0),"",'Price History'!W86/'Price History'!W85-1),"")</f>
        <v>-0.00154307758251182</v>
      </c>
      <c r="AQ85" s="155" t="str">
        <f aca="false">IFERROR(IF(OR(NOT(ISNUMBER('Price History'!X86)),NOT(ISNUMBER('Price History'!X85)),'Price History'!X85=0),"",'Price History'!X86/'Price History'!X85-1),"")</f>
        <v/>
      </c>
      <c r="AR85" s="155" t="n">
        <f aca="false">IFERROR(IF(OR(NOT(ISNUMBER('Price History'!Y86)),NOT(ISNUMBER('Price History'!Y85)),'Price History'!Y85=0),"",'Price History'!Y86/'Price History'!Y85-1),"")</f>
        <v>-0.00398657154846827</v>
      </c>
      <c r="AS85" s="155" t="n">
        <f aca="false">IFERROR(IF(OR(NOT(ISNUMBER('Price History'!Z86)),NOT(ISNUMBER('Price History'!Z85)),'Price History'!Z85=0),"",'Price History'!Z86/'Price History'!Z85-1),"")</f>
        <v>0.000664856778769041</v>
      </c>
      <c r="AT85" s="155" t="n">
        <f aca="false">IFERROR(IF(OR(NOT(ISNUMBER('Price History'!AA86)),NOT(ISNUMBER('Price History'!AA85)),'Price History'!AA85=0),"",'Price History'!AA86/'Price History'!AA85-1),"")</f>
        <v>0.0595665904388545</v>
      </c>
      <c r="AU85" s="155" t="n">
        <f aca="false">IFERROR(IF(OR(NOT(ISNUMBER('Price History'!AB86)),NOT(ISNUMBER('Price History'!AB85)),'Price History'!AB85=0),"",'Price History'!AB86/'Price History'!AB85-1),"")</f>
        <v>-0.00940366972477069</v>
      </c>
    </row>
    <row r="86" customFormat="false" ht="15" hidden="false" customHeight="true" outlineLevel="0" collapsed="false">
      <c r="A86" s="153" t="n">
        <f aca="false">IF('Price History'!A87="","",'Price History'!A87)</f>
        <v>45772</v>
      </c>
      <c r="B86" s="154" t="n">
        <f aca="false">IFERROR(IF(OR(NOT(ISNUMBER('Price History'!B87)),NOT(ISNUMBER('Price History'!B86)),'Price History'!B86=0),"",'Price History'!B87/'Price History'!B86-1),"")</f>
        <v>0.0542431192660551</v>
      </c>
      <c r="C86" s="154" t="n">
        <f aca="false">IFERROR(IF(OR(NOT(ISNUMBER('Price History'!C87)),NOT(ISNUMBER('Price History'!C86)),'Price History'!C86=0),"",'Price History'!C87/'Price History'!C86-1),"")</f>
        <v>0.0942415730337078</v>
      </c>
      <c r="D86" s="154" t="n">
        <f aca="false">IFERROR(IF(OR(NOT(ISNUMBER('Price History'!D87)),NOT(ISNUMBER('Price History'!D86)),'Price History'!D86=0),"",'Price History'!D87/'Price History'!D86-1),"")</f>
        <v>0.0579696394686906</v>
      </c>
      <c r="E86" s="154" t="n">
        <f aca="false">IFERROR(IF(OR(NOT(ISNUMBER('Price History'!E87)),NOT(ISNUMBER('Price History'!E86)),'Price History'!E86=0),"",'Price History'!E87/'Price History'!E86-1),"")</f>
        <v>0.124704212020823</v>
      </c>
      <c r="F86" s="154" t="n">
        <f aca="false">IFERROR(IF(OR(NOT(ISNUMBER('Price History'!F87)),NOT(ISNUMBER('Price History'!F86)),'Price History'!F86=0),"",'Price History'!F87/'Price History'!F86-1),"")</f>
        <v>0.131203407880724</v>
      </c>
      <c r="G86" s="154" t="n">
        <f aca="false">IFERROR(IF(OR(NOT(ISNUMBER('Price History'!G87)),NOT(ISNUMBER('Price History'!G86)),'Price History'!G86=0),"",'Price History'!G87/'Price History'!G86-1),"")</f>
        <v>0.0948893488298042</v>
      </c>
      <c r="H86" s="154" t="n">
        <f aca="false">IFERROR(IF(OR(NOT(ISNUMBER('Price History'!H87)),NOT(ISNUMBER('Price History'!H86)),'Price History'!H86=0),"",'Price History'!H87/'Price History'!H86-1),"")</f>
        <v>0.159551216669095</v>
      </c>
      <c r="I86" s="154" t="n">
        <f aca="false">IFERROR(IF(OR(NOT(ISNUMBER('Price History'!I87)),NOT(ISNUMBER('Price History'!I86)),'Price History'!I86=0),"",'Price History'!I87/'Price History'!I86-1),"")</f>
        <v>0.0938456979156377</v>
      </c>
      <c r="J86" s="154" t="n">
        <f aca="false">IFERROR(IF(OR(NOT(ISNUMBER('Price History'!J87)),NOT(ISNUMBER('Price History'!J86)),'Price History'!J86=0),"",'Price History'!J87/'Price History'!J86-1),"")</f>
        <v>0.00133758617141666</v>
      </c>
      <c r="K86" s="154" t="n">
        <f aca="false">IFERROR(IF(OR(NOT(ISNUMBER('Price History'!K87)),NOT(ISNUMBER('Price History'!K86)),'Price History'!K86=0),"",'Price History'!K87/'Price History'!K86-1),"")</f>
        <v>0.202601834079761</v>
      </c>
      <c r="L86" s="154" t="n">
        <f aca="false">IFERROR(IF(OR(NOT(ISNUMBER('Price History'!L87)),NOT(ISNUMBER('Price History'!L86)),'Price History'!L86=0),"",'Price History'!L87/'Price History'!L86-1),"")</f>
        <v>0.0880439884664386</v>
      </c>
      <c r="M86" s="154" t="n">
        <f aca="false">IFERROR(IF(OR(NOT(ISNUMBER('Price History'!M87)),NOT(ISNUMBER('Price History'!M86)),'Price History'!M86=0),"",'Price History'!M87/'Price History'!M86-1),"")</f>
        <v>0.187576959912437</v>
      </c>
      <c r="N86" s="154" t="n">
        <f aca="false">IFERROR(IF(OR(NOT(ISNUMBER('Price History'!N87)),NOT(ISNUMBER('Price History'!N86)),'Price History'!N86=0),"",'Price History'!N87/'Price History'!N86-1),"")</f>
        <v>0.00969126967900214</v>
      </c>
      <c r="O86" s="154" t="n">
        <f aca="false">IFERROR(IF(OR(NOT(ISNUMBER('Price History'!O87)),NOT(ISNUMBER('Price History'!O86)),'Price History'!O86=0),"",'Price History'!O87/'Price History'!O86-1),"")</f>
        <v>0.0280956013221461</v>
      </c>
      <c r="P86" s="154" t="n">
        <f aca="false">IFERROR(IF(OR(NOT(ISNUMBER('Price History'!P87)),NOT(ISNUMBER('Price History'!P86)),'Price History'!P86=0),"",'Price History'!P87/'Price History'!P86-1),"")</f>
        <v>0.0143300092181347</v>
      </c>
      <c r="Q86" s="154" t="n">
        <f aca="false">IFERROR(IF(OR(NOT(ISNUMBER('Price History'!Q87)),NOT(ISNUMBER('Price History'!Q86)),'Price History'!Q86=0),"",'Price History'!Q87/'Price History'!Q86-1),"")</f>
        <v>0.0177545691906005</v>
      </c>
      <c r="R86" s="154" t="n">
        <f aca="false">IFERROR(IF(OR(NOT(ISNUMBER('Price History'!R87)),NOT(ISNUMBER('Price History'!R86)),'Price History'!R86=0),"",'Price History'!R87/'Price History'!R86-1),"")</f>
        <v>0.0480605025616003</v>
      </c>
      <c r="S86" s="154" t="n">
        <f aca="false">IFERROR(IF(OR(NOT(ISNUMBER('Price History'!S87)),NOT(ISNUMBER('Price History'!S86)),'Price History'!S86=0),"",'Price History'!S87/'Price History'!S86-1),"")</f>
        <v>0.0652448113748425</v>
      </c>
      <c r="T86" s="154" t="n">
        <f aca="false">IFERROR(IF(OR(NOT(ISNUMBER('Price History'!T87)),NOT(ISNUMBER('Price History'!T86)),'Price History'!T86=0),"",'Price History'!T87/'Price History'!T86-1),"")</f>
        <v>0.033033996151379</v>
      </c>
      <c r="U86" s="154" t="n">
        <f aca="false">IFERROR(IF(OR(NOT(ISNUMBER('Price History'!U87)),NOT(ISNUMBER('Price History'!U86)),'Price History'!U86=0),"",'Price History'!U87/'Price History'!U86-1),"")</f>
        <v>0.00996264009962644</v>
      </c>
      <c r="V86" s="155" t="n">
        <f aca="false">IFERROR(IF(OR(NOT(ISNUMBER('Price History'!V87)),NOT(ISNUMBER('Price History'!V86)),'Price History'!V86=0),"",'Price History'!V87/'Price History'!V86-1),"")</f>
        <v>0.0168773781760156</v>
      </c>
      <c r="W86" s="156" t="n">
        <f aca="false">IFERROR('Price History'!B3+(INDEX('Price History'!B:B,MATCH(9.99E+307,'Returns (Calc)'!$A:$A)+1)-'Price History'!B3)*(ROW()-3)/(MATCH(9.99E+307,'Returns (Calc)'!$A:$A)-3),"")</f>
        <v>375.917848101266</v>
      </c>
      <c r="X86" s="156" t="n">
        <f aca="false">IFERROR('Price History'!C3+(INDEX('Price History'!C:C,MATCH(9.99E+307,'Returns (Calc)'!$A:$A)+1)-'Price History'!C3)*(ROW()-3)/(MATCH(9.99E+307,'Returns (Calc)'!$A:$A)-3),"")</f>
        <v>130.845253164557</v>
      </c>
      <c r="Y86" s="156" t="n">
        <f aca="false">IFERROR('Price History'!D3+(INDEX('Price History'!D:D,MATCH(9.99E+307,'Returns (Calc)'!$A:$A)+1)-'Price History'!D3)*(ROW()-3)/(MATCH(9.99E+307,'Returns (Calc)'!$A:$A)-3),"")</f>
        <v>1257.19924050633</v>
      </c>
      <c r="Z86" s="156" t="n">
        <f aca="false">IFERROR('Price History'!E3+(INDEX('Price History'!E:E,MATCH(9.99E+307,'Returns (Calc)'!$A:$A)+1)-'Price History'!E3)*(ROW()-3)/(MATCH(9.99E+307,'Returns (Calc)'!$A:$A)-3),"")</f>
        <v>225.484936708861</v>
      </c>
      <c r="AA86" s="156" t="n">
        <f aca="false">IFERROR('Price History'!F3+(INDEX('Price History'!F:F,MATCH(9.99E+307,'Returns (Calc)'!$A:$A)+1)-'Price History'!F3)*(ROW()-3)/(MATCH(9.99E+307,'Returns (Calc)'!$A:$A)-3),"")</f>
        <v>161.489367088608</v>
      </c>
      <c r="AB86" s="156" t="n">
        <f aca="false">IFERROR('Price History'!G3+(INDEX('Price History'!G:G,MATCH(9.99E+307,'Returns (Calc)'!$A:$A)+1)-'Price History'!G3)*(ROW()-3)/(MATCH(9.99E+307,'Returns (Calc)'!$A:$A)-3),"")</f>
        <v>129.734936708861</v>
      </c>
      <c r="AC86" s="156" t="n">
        <f aca="false">IFERROR('Price History'!H3+(INDEX('Price History'!H:H,MATCH(9.99E+307,'Returns (Calc)'!$A:$A)+1)-'Price History'!H3)*(ROW()-3)/(MATCH(9.99E+307,'Returns (Calc)'!$A:$A)-3),"")</f>
        <v>597.462784810127</v>
      </c>
      <c r="AD86" s="156" t="n">
        <f aca="false">IFERROR('Price History'!I3+(INDEX('Price History'!I:I,MATCH(9.99E+307,'Returns (Calc)'!$A:$A)+1)-'Price History'!I3)*(ROW()-3)/(MATCH(9.99E+307,'Returns (Calc)'!$A:$A)-3),"")</f>
        <v>143.674683544304</v>
      </c>
      <c r="AE86" s="156" t="n">
        <f aca="false">IFERROR('Price History'!J3+(INDEX('Price History'!J:J,MATCH(9.99E+307,'Returns (Calc)'!$A:$A)+1)-'Price History'!J3)*(ROW()-3)/(MATCH(9.99E+307,'Returns (Calc)'!$A:$A)-3),"")</f>
        <v>120.807151898734</v>
      </c>
      <c r="AF86" s="156" t="n">
        <f aca="false">IFERROR('Price History'!K3+(INDEX('Price History'!K:K,MATCH(9.99E+307,'Returns (Calc)'!$A:$A)+1)-'Price History'!K3)*(ROW()-3)/(MATCH(9.99E+307,'Returns (Calc)'!$A:$A)-3),"")</f>
        <v>106.430379746835</v>
      </c>
      <c r="AG86" s="156" t="n">
        <f aca="false">IFERROR('Price History'!L3+(INDEX('Price History'!L:L,MATCH(9.99E+307,'Returns (Calc)'!$A:$A)+1)-'Price History'!L3)*(ROW()-3)/(MATCH(9.99E+307,'Returns (Calc)'!$A:$A)-3),"")</f>
        <v>289.063227848101</v>
      </c>
      <c r="AH86" s="156" t="n">
        <f aca="false">IFERROR('Price History'!M3+(INDEX('Price History'!M:M,MATCH(9.99E+307,'Returns (Calc)'!$A:$A)+1)-'Price History'!M3)*(ROW()-3)/(MATCH(9.99E+307,'Returns (Calc)'!$A:$A)-3),"")</f>
        <v>150.521772151899</v>
      </c>
      <c r="AI86" s="156" t="n">
        <f aca="false">IFERROR('Price History'!N3+(INDEX('Price History'!N:N,MATCH(9.99E+307,'Returns (Calc)'!$A:$A)+1)-'Price History'!N3)*(ROW()-3)/(MATCH(9.99E+307,'Returns (Calc)'!$A:$A)-3),"")</f>
        <v>430.760063291139</v>
      </c>
      <c r="AJ86" s="156" t="n">
        <f aca="false">IFERROR('Price History'!O3+(INDEX('Price History'!O:O,MATCH(9.99E+307,'Returns (Calc)'!$A:$A)+1)-'Price History'!O3)*(ROW()-3)/(MATCH(9.99E+307,'Returns (Calc)'!$A:$A)-3),"")</f>
        <v>98.8021518987342</v>
      </c>
      <c r="AK86" s="156" t="n">
        <f aca="false">IFERROR('Price History'!Q3+(INDEX('Price History'!Q:Q,MATCH(9.99E+307,'Returns (Calc)'!$A:$A)+1)-'Price History'!Q3)*(ROW()-3)/(MATCH(9.99E+307,'Returns (Calc)'!$A:$A)-3),"")</f>
        <v>36.4674683544304</v>
      </c>
      <c r="AL86" s="156" t="n">
        <f aca="false">IFERROR('Price History'!R3+(INDEX('Price History'!R:R,MATCH(9.99E+307,'Returns (Calc)'!$A:$A)+1)-'Price History'!R3)*(ROW()-3)/(MATCH(9.99E+307,'Returns (Calc)'!$A:$A)-3),"")</f>
        <v>48.4324050632911</v>
      </c>
      <c r="AM86" s="156" t="n">
        <f aca="false">IFERROR('Price History'!S3+(INDEX('Price History'!S:S,MATCH(9.99E+307,'Returns (Calc)'!$A:$A)+1)-'Price History'!S3)*(ROW()-3)/(MATCH(9.99E+307,'Returns (Calc)'!$A:$A)-3),"")</f>
        <v>107.850253164557</v>
      </c>
      <c r="AN86" s="156" t="n">
        <f aca="false">IFERROR('Price History'!T3+(INDEX('Price History'!T:T,MATCH(9.99E+307,'Returns (Calc)'!$A:$A)+1)-'Price History'!T3)*(ROW()-3)/(MATCH(9.99E+307,'Returns (Calc)'!$A:$A)-3),"")</f>
        <v>39.2029113924051</v>
      </c>
      <c r="AO86" s="157" t="n">
        <f aca="false">IFERROR('Price History'!V3+(INDEX('Price History'!V:V,MATCH(9.99E+307,'Returns (Calc)'!$A:$A)+1)-'Price History'!V3)*(ROW()-3)/(MATCH(9.99E+307,'Returns (Calc)'!$A:$A)-3),"")</f>
        <v>301.310316455696</v>
      </c>
      <c r="AP86" s="155" t="n">
        <f aca="false">IFERROR(IF(OR(NOT(ISNUMBER('Price History'!W87)),NOT(ISNUMBER('Price History'!W86)),'Price History'!W86=0),"",'Price History'!W87/'Price History'!W86-1),"")</f>
        <v>0.0204344466386193</v>
      </c>
      <c r="AQ86" s="155" t="str">
        <f aca="false">IFERROR(IF(OR(NOT(ISNUMBER('Price History'!X87)),NOT(ISNUMBER('Price History'!X86)),'Price History'!X86=0),"",'Price History'!X87/'Price History'!X86-1),"")</f>
        <v/>
      </c>
      <c r="AR86" s="155" t="n">
        <f aca="false">IFERROR(IF(OR(NOT(ISNUMBER('Price History'!Y87)),NOT(ISNUMBER('Price History'!Y86)),'Price History'!Y86=0),"",'Price History'!Y87/'Price History'!Y86-1),"")</f>
        <v>0.0225405519275332</v>
      </c>
      <c r="AS86" s="155" t="n">
        <f aca="false">IFERROR(IF(OR(NOT(ISNUMBER('Price History'!Z87)),NOT(ISNUMBER('Price History'!Z86)),'Price History'!Z86=0),"",'Price History'!Z87/'Price History'!Z86-1),"")</f>
        <v>0.0915231714744476</v>
      </c>
      <c r="AT86" s="155" t="n">
        <f aca="false">IFERROR(IF(OR(NOT(ISNUMBER('Price History'!AA87)),NOT(ISNUMBER('Price History'!AA86)),'Price History'!AA86=0),"",'Price History'!AA87/'Price History'!AA86-1),"")</f>
        <v>0.132065775950668</v>
      </c>
      <c r="AU86" s="155" t="n">
        <f aca="false">IFERROR(IF(OR(NOT(ISNUMBER('Price History'!AB87)),NOT(ISNUMBER('Price History'!AB86)),'Price History'!AB86=0),"",'Price History'!AB87/'Price History'!AB86-1),"")</f>
        <v>0.0536698309793935</v>
      </c>
    </row>
    <row r="87" customFormat="false" ht="15" hidden="false" customHeight="true" outlineLevel="0" collapsed="false">
      <c r="A87" s="153" t="n">
        <f aca="false">IF('Price History'!A88="","",'Price History'!A88)</f>
        <v>45779</v>
      </c>
      <c r="B87" s="154" t="n">
        <f aca="false">IFERROR(IF(OR(NOT(ISNUMBER('Price History'!B88)),NOT(ISNUMBER('Price History'!B87)),'Price History'!B87=0),"",'Price History'!B88/'Price History'!B87-1),"")</f>
        <v>0.0357609050364407</v>
      </c>
      <c r="C87" s="154" t="n">
        <f aca="false">IFERROR(IF(OR(NOT(ISNUMBER('Price History'!C88)),NOT(ISNUMBER('Price History'!C87)),'Price History'!C87=0),"",'Price History'!C88/'Price History'!C87-1),"")</f>
        <v>0.168271082017713</v>
      </c>
      <c r="D87" s="154" t="n">
        <f aca="false">IFERROR(IF(OR(NOT(ISNUMBER('Price History'!D88)),NOT(ISNUMBER('Price History'!D87)),'Price History'!D87=0),"",'Price History'!D88/'Price History'!D87-1),"")</f>
        <v>0.0224494066301977</v>
      </c>
      <c r="E87" s="154" t="n">
        <f aca="false">IFERROR(IF(OR(NOT(ISNUMBER('Price History'!E88)),NOT(ISNUMBER('Price History'!E87)),'Price History'!E87=0),"",'Price History'!E88/'Price History'!E87-1),"")</f>
        <v>0.0589101620029455</v>
      </c>
      <c r="F87" s="154" t="n">
        <f aca="false">IFERROR(IF(OR(NOT(ISNUMBER('Price History'!F88)),NOT(ISNUMBER('Price History'!F87)),'Price History'!F87=0),"",'Price History'!F88/'Price History'!F87-1),"")</f>
        <v>0.0369045377518358</v>
      </c>
      <c r="G87" s="154" t="n">
        <f aca="false">IFERROR(IF(OR(NOT(ISNUMBER('Price History'!G88)),NOT(ISNUMBER('Price History'!G87)),'Price History'!G87=0),"",'Price History'!G88/'Price History'!G87-1),"")</f>
        <v>0.00508942852988237</v>
      </c>
      <c r="H87" s="154" t="n">
        <f aca="false">IFERROR(IF(OR(NOT(ISNUMBER('Price History'!H88)),NOT(ISNUMBER('Price History'!H87)),'Price History'!H87=0),"",'Price History'!H88/'Price History'!H87-1),"")</f>
        <v>0.0116863533551144</v>
      </c>
      <c r="I87" s="154" t="n">
        <f aca="false">IFERROR(IF(OR(NOT(ISNUMBER('Price History'!I88)),NOT(ISNUMBER('Price History'!I87)),'Price History'!I87=0),"",'Price History'!I88/'Price History'!I87-1),"")</f>
        <v>0.0314277973448929</v>
      </c>
      <c r="J87" s="154" t="n">
        <f aca="false">IFERROR(IF(OR(NOT(ISNUMBER('Price History'!J88)),NOT(ISNUMBER('Price History'!J87)),'Price History'!J87=0),"",'Price History'!J88/'Price History'!J87-1),"")</f>
        <v>0.0310316481709825</v>
      </c>
      <c r="K87" s="154" t="n">
        <f aca="false">IFERROR(IF(OR(NOT(ISNUMBER('Price History'!K88)),NOT(ISNUMBER('Price History'!K87)),'Price History'!K87=0),"",'Price History'!K88/'Price History'!K87-1),"")</f>
        <v>0.101968434119525</v>
      </c>
      <c r="L87" s="154" t="n">
        <f aca="false">IFERROR(IF(OR(NOT(ISNUMBER('Price History'!L88)),NOT(ISNUMBER('Price History'!L87)),'Price History'!L87=0),"",'Price History'!L88/'Price History'!L87-1),"")</f>
        <v>0.0859115000616295</v>
      </c>
      <c r="M87" s="154" t="n">
        <f aca="false">IFERROR(IF(OR(NOT(ISNUMBER('Price History'!M88)),NOT(ISNUMBER('Price History'!M87)),'Price History'!M87=0),"",'Price History'!M88/'Price History'!M87-1),"")</f>
        <v>0.0926267281105992</v>
      </c>
      <c r="N87" s="154" t="n">
        <f aca="false">IFERROR(IF(OR(NOT(ISNUMBER('Price History'!N88)),NOT(ISNUMBER('Price History'!N87)),'Price History'!N87=0),"",'Price History'!N88/'Price History'!N87-1),"")</f>
        <v>0.0148023651385063</v>
      </c>
      <c r="O87" s="154" t="n">
        <f aca="false">IFERROR(IF(OR(NOT(ISNUMBER('Price History'!O88)),NOT(ISNUMBER('Price History'!O87)),'Price History'!O87=0),"",'Price History'!O88/'Price History'!O87-1),"")</f>
        <v>0.0338815382712996</v>
      </c>
      <c r="P87" s="154" t="n">
        <f aca="false">IFERROR(IF(OR(NOT(ISNUMBER('Price History'!P88)),NOT(ISNUMBER('Price History'!P87)),'Price History'!P87=0),"",'Price History'!P88/'Price History'!P87-1),"")</f>
        <v>0.016606080634501</v>
      </c>
      <c r="Q87" s="154" t="n">
        <f aca="false">IFERROR(IF(OR(NOT(ISNUMBER('Price History'!Q88)),NOT(ISNUMBER('Price History'!Q87)),'Price History'!Q87=0),"",'Price History'!Q88/'Price History'!Q87-1),"")</f>
        <v>0.0164186762442278</v>
      </c>
      <c r="R87" s="154" t="n">
        <f aca="false">IFERROR(IF(OR(NOT(ISNUMBER('Price History'!R88)),NOT(ISNUMBER('Price History'!R87)),'Price History'!R87=0),"",'Price History'!R88/'Price History'!R87-1),"")</f>
        <v>0.0197858472998138</v>
      </c>
      <c r="S87" s="154" t="n">
        <f aca="false">IFERROR(IF(OR(NOT(ISNUMBER('Price History'!S88)),NOT(ISNUMBER('Price History'!S87)),'Price History'!S87=0),"",'Price History'!S88/'Price History'!S87-1),"")</f>
        <v>0.0402583423035521</v>
      </c>
      <c r="T87" s="154" t="n">
        <f aca="false">IFERROR(IF(OR(NOT(ISNUMBER('Price History'!T88)),NOT(ISNUMBER('Price History'!T87)),'Price History'!T87=0),"",'Price History'!T88/'Price History'!T87-1),"")</f>
        <v>0.0192486805339955</v>
      </c>
      <c r="U87" s="154" t="n">
        <f aca="false">IFERROR(IF(OR(NOT(ISNUMBER('Price History'!U88)),NOT(ISNUMBER('Price History'!U87)),'Price History'!U87=0),"",'Price History'!U88/'Price History'!U87-1),"")</f>
        <v>0.0152075626798192</v>
      </c>
      <c r="V87" s="155" t="n">
        <f aca="false">IFERROR(IF(OR(NOT(ISNUMBER('Price History'!V88)),NOT(ISNUMBER('Price History'!V87)),'Price History'!V87=0),"",'Price History'!V88/'Price History'!V87-1),"")</f>
        <v>0.0370873317641378</v>
      </c>
      <c r="W87" s="156" t="n">
        <f aca="false">IFERROR('Price History'!B3+(INDEX('Price History'!B:B,MATCH(9.99E+307,'Returns (Calc)'!$A:$A)+1)-'Price History'!B3)*(ROW()-3)/(MATCH(9.99E+307,'Returns (Calc)'!$A:$A)-3),"")</f>
        <v>374.074810126582</v>
      </c>
      <c r="X87" s="156" t="n">
        <f aca="false">IFERROR('Price History'!C3+(INDEX('Price History'!C:C,MATCH(9.99E+307,'Returns (Calc)'!$A:$A)+1)-'Price History'!C3)*(ROW()-3)/(MATCH(9.99E+307,'Returns (Calc)'!$A:$A)-3),"")</f>
        <v>131.865316455696</v>
      </c>
      <c r="Y87" s="156" t="n">
        <f aca="false">IFERROR('Price History'!D3+(INDEX('Price History'!D:D,MATCH(9.99E+307,'Returns (Calc)'!$A:$A)+1)-'Price History'!D3)*(ROW()-3)/(MATCH(9.99E+307,'Returns (Calc)'!$A:$A)-3),"")</f>
        <v>1265.33405063291</v>
      </c>
      <c r="Z87" s="156" t="n">
        <f aca="false">IFERROR('Price History'!E3+(INDEX('Price History'!E:E,MATCH(9.99E+307,'Returns (Calc)'!$A:$A)+1)-'Price History'!E3)*(ROW()-3)/(MATCH(9.99E+307,'Returns (Calc)'!$A:$A)-3),"")</f>
        <v>227.213670886076</v>
      </c>
      <c r="AA87" s="156" t="n">
        <f aca="false">IFERROR('Price History'!F3+(INDEX('Price History'!F:F,MATCH(9.99E+307,'Returns (Calc)'!$A:$A)+1)-'Price History'!F3)*(ROW()-3)/(MATCH(9.99E+307,'Returns (Calc)'!$A:$A)-3),"")</f>
        <v>162.93670886076</v>
      </c>
      <c r="AB87" s="156" t="n">
        <f aca="false">IFERROR('Price History'!G3+(INDEX('Price History'!G:G,MATCH(9.99E+307,'Returns (Calc)'!$A:$A)+1)-'Price History'!G3)*(ROW()-3)/(MATCH(9.99E+307,'Returns (Calc)'!$A:$A)-3),"")</f>
        <v>130.763670886076</v>
      </c>
      <c r="AC87" s="156" t="n">
        <f aca="false">IFERROR('Price History'!H3+(INDEX('Price History'!H:H,MATCH(9.99E+307,'Returns (Calc)'!$A:$A)+1)-'Price History'!H3)*(ROW()-3)/(MATCH(9.99E+307,'Returns (Calc)'!$A:$A)-3),"")</f>
        <v>603.828481012658</v>
      </c>
      <c r="AD87" s="156" t="n">
        <f aca="false">IFERROR('Price History'!I3+(INDEX('Price History'!I:I,MATCH(9.99E+307,'Returns (Calc)'!$A:$A)+1)-'Price History'!I3)*(ROW()-3)/(MATCH(9.99E+307,'Returns (Calc)'!$A:$A)-3),"")</f>
        <v>144.87835443038</v>
      </c>
      <c r="AE87" s="156" t="n">
        <f aca="false">IFERROR('Price History'!J3+(INDEX('Price History'!J:J,MATCH(9.99E+307,'Returns (Calc)'!$A:$A)+1)-'Price History'!J3)*(ROW()-3)/(MATCH(9.99E+307,'Returns (Calc)'!$A:$A)-3),"")</f>
        <v>120.915189873418</v>
      </c>
      <c r="AF87" s="156" t="n">
        <f aca="false">IFERROR('Price History'!K3+(INDEX('Price History'!K:K,MATCH(9.99E+307,'Returns (Calc)'!$A:$A)+1)-'Price History'!K3)*(ROW()-3)/(MATCH(9.99E+307,'Returns (Calc)'!$A:$A)-3),"")</f>
        <v>107.527974683544</v>
      </c>
      <c r="AG87" s="156" t="n">
        <f aca="false">IFERROR('Price History'!L3+(INDEX('Price History'!L:L,MATCH(9.99E+307,'Returns (Calc)'!$A:$A)+1)-'Price History'!L3)*(ROW()-3)/(MATCH(9.99E+307,'Returns (Calc)'!$A:$A)-3),"")</f>
        <v>291.512784810127</v>
      </c>
      <c r="AH87" s="156" t="n">
        <f aca="false">IFERROR('Price History'!M3+(INDEX('Price History'!M:M,MATCH(9.99E+307,'Returns (Calc)'!$A:$A)+1)-'Price History'!M3)*(ROW()-3)/(MATCH(9.99E+307,'Returns (Calc)'!$A:$A)-3),"")</f>
        <v>151.877215189873</v>
      </c>
      <c r="AI87" s="156" t="n">
        <f aca="false">IFERROR('Price History'!N3+(INDEX('Price History'!N:N,MATCH(9.99E+307,'Returns (Calc)'!$A:$A)+1)-'Price History'!N3)*(ROW()-3)/(MATCH(9.99E+307,'Returns (Calc)'!$A:$A)-3),"")</f>
        <v>431.746329113924</v>
      </c>
      <c r="AJ87" s="156" t="n">
        <f aca="false">IFERROR('Price History'!O3+(INDEX('Price History'!O:O,MATCH(9.99E+307,'Returns (Calc)'!$A:$A)+1)-'Price History'!O3)*(ROW()-3)/(MATCH(9.99E+307,'Returns (Calc)'!$A:$A)-3),"")</f>
        <v>99.0851898734177</v>
      </c>
      <c r="AK87" s="156" t="n">
        <f aca="false">IFERROR('Price History'!Q3+(INDEX('Price History'!Q:Q,MATCH(9.99E+307,'Returns (Calc)'!$A:$A)+1)-'Price History'!Q3)*(ROW()-3)/(MATCH(9.99E+307,'Returns (Calc)'!$A:$A)-3),"")</f>
        <v>36.906835443038</v>
      </c>
      <c r="AL87" s="156" t="n">
        <f aca="false">IFERROR('Price History'!R3+(INDEX('Price History'!R:R,MATCH(9.99E+307,'Returns (Calc)'!$A:$A)+1)-'Price History'!R3)*(ROW()-3)/(MATCH(9.99E+307,'Returns (Calc)'!$A:$A)-3),"")</f>
        <v>48.6005063291139</v>
      </c>
      <c r="AM87" s="156" t="n">
        <f aca="false">IFERROR('Price History'!S3+(INDEX('Price History'!S:S,MATCH(9.99E+307,'Returns (Calc)'!$A:$A)+1)-'Price History'!S3)*(ROW()-3)/(MATCH(9.99E+307,'Returns (Calc)'!$A:$A)-3),"")</f>
        <v>108.455316455696</v>
      </c>
      <c r="AN87" s="156" t="n">
        <f aca="false">IFERROR('Price History'!T3+(INDEX('Price History'!T:T,MATCH(9.99E+307,'Returns (Calc)'!$A:$A)+1)-'Price History'!T3)*(ROW()-3)/(MATCH(9.99E+307,'Returns (Calc)'!$A:$A)-3),"")</f>
        <v>39.3711392405063</v>
      </c>
      <c r="AO87" s="157" t="n">
        <f aca="false">IFERROR('Price History'!V3+(INDEX('Price History'!V:V,MATCH(9.99E+307,'Returns (Calc)'!$A:$A)+1)-'Price History'!V3)*(ROW()-3)/(MATCH(9.99E+307,'Returns (Calc)'!$A:$A)-3),"")</f>
        <v>302.10164556962</v>
      </c>
      <c r="AP87" s="155" t="n">
        <f aca="false">IFERROR(IF(OR(NOT(ISNUMBER('Price History'!W88)),NOT(ISNUMBER('Price History'!W87)),'Price History'!W87=0),"",'Price History'!W88/'Price History'!W87-1),"")</f>
        <v>0.0210349179638198</v>
      </c>
      <c r="AQ87" s="155" t="str">
        <f aca="false">IFERROR(IF(OR(NOT(ISNUMBER('Price History'!X88)),NOT(ISNUMBER('Price History'!X87)),'Price History'!X87=0),"",'Price History'!X88/'Price History'!X87-1),"")</f>
        <v/>
      </c>
      <c r="AR87" s="155" t="n">
        <f aca="false">IFERROR(IF(OR(NOT(ISNUMBER('Price History'!Y88)),NOT(ISNUMBER('Price History'!Y87)),'Price History'!Y87=0),"",'Price History'!Y88/'Price History'!Y87-1),"")</f>
        <v>0.0214256283477545</v>
      </c>
      <c r="AS87" s="155" t="n">
        <f aca="false">IFERROR(IF(OR(NOT(ISNUMBER('Price History'!Z88)),NOT(ISNUMBER('Price History'!Z87)),'Price History'!Z87=0),"",'Price History'!Z88/'Price History'!Z87-1),"")</f>
        <v>0.0467180683778026</v>
      </c>
      <c r="AT87" s="155" t="n">
        <f aca="false">IFERROR(IF(OR(NOT(ISNUMBER('Price History'!AA88)),NOT(ISNUMBER('Price History'!AA87)),'Price History'!AA87=0),"",'Price History'!AA88/'Price History'!AA87-1),"")</f>
        <v>0.0499319110304131</v>
      </c>
      <c r="AU87" s="155" t="n">
        <f aca="false">IFERROR(IF(OR(NOT(ISNUMBER('Price History'!AB88)),NOT(ISNUMBER('Price History'!AB87)),'Price History'!AB87=0),"",'Price History'!AB88/'Price History'!AB87-1),"")</f>
        <v>0.0393337435176233</v>
      </c>
    </row>
    <row r="88" customFormat="false" ht="15" hidden="false" customHeight="true" outlineLevel="0" collapsed="false">
      <c r="A88" s="153" t="n">
        <f aca="false">IF('Price History'!A89="","",'Price History'!A89)</f>
        <v>45786</v>
      </c>
      <c r="B88" s="154" t="n">
        <f aca="false">IFERROR(IF(OR(NOT(ISNUMBER('Price History'!B89)),NOT(ISNUMBER('Price History'!B88)),'Price History'!B88=0),"",'Price History'!B89/'Price History'!B88-1),"")</f>
        <v>0.00632761834746765</v>
      </c>
      <c r="C88" s="154" t="n">
        <f aca="false">IFERROR(IF(OR(NOT(ISNUMBER('Price History'!C89)),NOT(ISNUMBER('Price History'!C88)),'Price History'!C88=0),"",'Price History'!C89/'Price History'!C88-1),"")</f>
        <v>-0.049439683586025</v>
      </c>
      <c r="D88" s="154" t="n">
        <f aca="false">IFERROR(IF(OR(NOT(ISNUMBER('Price History'!D89)),NOT(ISNUMBER('Price History'!D88)),'Price History'!D88=0),"",'Price History'!D89/'Price History'!D88-1),"")</f>
        <v>0.0229943866214477</v>
      </c>
      <c r="E88" s="154" t="n">
        <f aca="false">IFERROR(IF(OR(NOT(ISNUMBER('Price History'!E89)),NOT(ISNUMBER('Price History'!E88)),'Price History'!E88=0),"",'Price History'!E89/'Price History'!E88-1),"")</f>
        <v>0.0224021458374728</v>
      </c>
      <c r="F88" s="154" t="n">
        <f aca="false">IFERROR(IF(OR(NOT(ISNUMBER('Price History'!F89)),NOT(ISNUMBER('Price History'!F88)),'Price History'!F88=0),"",'Price History'!F89/'Price History'!F88-1),"")</f>
        <v>-0.0680951516252043</v>
      </c>
      <c r="G88" s="154" t="n">
        <f aca="false">IFERROR(IF(OR(NOT(ISNUMBER('Price History'!G89)),NOT(ISNUMBER('Price History'!G88)),'Price History'!G88=0),"",'Price History'!G89/'Price History'!G88-1),"")</f>
        <v>0.00448495370370372</v>
      </c>
      <c r="H88" s="154" t="n">
        <f aca="false">IFERROR(IF(OR(NOT(ISNUMBER('Price History'!H89)),NOT(ISNUMBER('Price History'!H88)),'Price History'!H88=0),"",'Price History'!H89/'Price History'!H88-1),"")</f>
        <v>0.0637187926965595</v>
      </c>
      <c r="I88" s="154" t="n">
        <f aca="false">IFERROR(IF(OR(NOT(ISNUMBER('Price History'!I89)),NOT(ISNUMBER('Price History'!I88)),'Price History'!I88=0),"",'Price History'!I89/'Price History'!I88-1),"")</f>
        <v>0.0188249715436477</v>
      </c>
      <c r="J88" s="154" t="n">
        <f aca="false">IFERROR(IF(OR(NOT(ISNUMBER('Price History'!J89)),NOT(ISNUMBER('Price History'!J88)),'Price History'!J88=0),"",'Price History'!J89/'Price History'!J88-1),"")</f>
        <v>0.0142515447478573</v>
      </c>
      <c r="K88" s="154" t="n">
        <f aca="false">IFERROR(IF(OR(NOT(ISNUMBER('Price History'!K89)),NOT(ISNUMBER('Price History'!K88)),'Price History'!K88=0),"",'Price History'!K89/'Price History'!K88-1),"")</f>
        <v>-0.0561635017701964</v>
      </c>
      <c r="L88" s="154" t="n">
        <f aca="false">IFERROR(IF(OR(NOT(ISNUMBER('Price History'!L89)),NOT(ISNUMBER('Price History'!L88)),'Price History'!L88=0),"",'Price History'!L89/'Price History'!L88-1),"")</f>
        <v>-0.0153802497162314</v>
      </c>
      <c r="M88" s="154" t="n">
        <f aca="false">IFERROR(IF(OR(NOT(ISNUMBER('Price History'!M89)),NOT(ISNUMBER('Price History'!M88)),'Price History'!M88=0),"",'Price History'!M89/'Price History'!M88-1),"")</f>
        <v>-0.00991142977646564</v>
      </c>
      <c r="N88" s="154" t="n">
        <f aca="false">IFERROR(IF(OR(NOT(ISNUMBER('Price History'!N89)),NOT(ISNUMBER('Price History'!N88)),'Price History'!N88=0),"",'Price History'!N89/'Price History'!N88-1),"")</f>
        <v>-0.151970467923775</v>
      </c>
      <c r="O88" s="154" t="n">
        <f aca="false">IFERROR(IF(OR(NOT(ISNUMBER('Price History'!O89)),NOT(ISNUMBER('Price History'!O88)),'Price History'!O88=0),"",'Price History'!O89/'Price History'!O88-1),"")</f>
        <v>0.011601483076187</v>
      </c>
      <c r="P88" s="154" t="n">
        <f aca="false">IFERROR(IF(OR(NOT(ISNUMBER('Price History'!P89)),NOT(ISNUMBER('Price History'!P88)),'Price History'!P88=0),"",'Price History'!P89/'Price History'!P88-1),"")</f>
        <v>-0.00121901665989432</v>
      </c>
      <c r="Q88" s="154" t="n">
        <f aca="false">IFERROR(IF(OR(NOT(ISNUMBER('Price History'!Q89)),NOT(ISNUMBER('Price History'!Q88)),'Price History'!Q88=0),"",'Price History'!Q89/'Price History'!Q88-1),"")</f>
        <v>-0.00252397778899538</v>
      </c>
      <c r="R88" s="154" t="n">
        <f aca="false">IFERROR(IF(OR(NOT(ISNUMBER('Price History'!R89)),NOT(ISNUMBER('Price History'!R88)),'Price History'!R88=0),"",'Price History'!R89/'Price History'!R88-1),"")</f>
        <v>0.00273910066194927</v>
      </c>
      <c r="S88" s="154" t="n">
        <f aca="false">IFERROR(IF(OR(NOT(ISNUMBER('Price History'!S89)),NOT(ISNUMBER('Price History'!S88)),'Price History'!S88=0),"",'Price History'!S89/'Price History'!S88-1),"")</f>
        <v>0.00693294701986758</v>
      </c>
      <c r="T88" s="154" t="n">
        <f aca="false">IFERROR(IF(OR(NOT(ISNUMBER('Price History'!T89)),NOT(ISNUMBER('Price History'!T88)),'Price History'!T88=0),"",'Price History'!T89/'Price History'!T88-1),"")</f>
        <v>-0.00152299725860483</v>
      </c>
      <c r="U88" s="154" t="n">
        <f aca="false">IFERROR(IF(OR(NOT(ISNUMBER('Price History'!U89)),NOT(ISNUMBER('Price History'!U88)),'Price History'!U88=0),"",'Price History'!U89/'Price History'!U88-1),"")</f>
        <v>-0.0129554655870445</v>
      </c>
      <c r="V88" s="155" t="n">
        <f aca="false">IFERROR(IF(OR(NOT(ISNUMBER('Price History'!V89)),NOT(ISNUMBER('Price History'!V88)),'Price History'!V88=0),"",'Price History'!V89/'Price History'!V88-1),"")</f>
        <v>0.0141996682864376</v>
      </c>
      <c r="W88" s="156" t="n">
        <f aca="false">IFERROR('Price History'!B3+(INDEX('Price History'!B:B,MATCH(9.99E+307,'Returns (Calc)'!$A:$A)+1)-'Price History'!B3)*(ROW()-3)/(MATCH(9.99E+307,'Returns (Calc)'!$A:$A)-3),"")</f>
        <v>372.231772151899</v>
      </c>
      <c r="X88" s="156" t="n">
        <f aca="false">IFERROR('Price History'!C3+(INDEX('Price History'!C:C,MATCH(9.99E+307,'Returns (Calc)'!$A:$A)+1)-'Price History'!C3)*(ROW()-3)/(MATCH(9.99E+307,'Returns (Calc)'!$A:$A)-3),"")</f>
        <v>132.885379746835</v>
      </c>
      <c r="Y88" s="156" t="n">
        <f aca="false">IFERROR('Price History'!D3+(INDEX('Price History'!D:D,MATCH(9.99E+307,'Returns (Calc)'!$A:$A)+1)-'Price History'!D3)*(ROW()-3)/(MATCH(9.99E+307,'Returns (Calc)'!$A:$A)-3),"")</f>
        <v>1273.46886075949</v>
      </c>
      <c r="Z88" s="156" t="n">
        <f aca="false">IFERROR('Price History'!E3+(INDEX('Price History'!E:E,MATCH(9.99E+307,'Returns (Calc)'!$A:$A)+1)-'Price History'!E3)*(ROW()-3)/(MATCH(9.99E+307,'Returns (Calc)'!$A:$A)-3),"")</f>
        <v>228.942405063291</v>
      </c>
      <c r="AA88" s="156" t="n">
        <f aca="false">IFERROR('Price History'!F3+(INDEX('Price History'!F:F,MATCH(9.99E+307,'Returns (Calc)'!$A:$A)+1)-'Price History'!F3)*(ROW()-3)/(MATCH(9.99E+307,'Returns (Calc)'!$A:$A)-3),"")</f>
        <v>164.384050632911</v>
      </c>
      <c r="AB88" s="156" t="n">
        <f aca="false">IFERROR('Price History'!G3+(INDEX('Price History'!G:G,MATCH(9.99E+307,'Returns (Calc)'!$A:$A)+1)-'Price History'!G3)*(ROW()-3)/(MATCH(9.99E+307,'Returns (Calc)'!$A:$A)-3),"")</f>
        <v>131.792405063291</v>
      </c>
      <c r="AC88" s="156" t="n">
        <f aca="false">IFERROR('Price History'!H3+(INDEX('Price History'!H:H,MATCH(9.99E+307,'Returns (Calc)'!$A:$A)+1)-'Price History'!H3)*(ROW()-3)/(MATCH(9.99E+307,'Returns (Calc)'!$A:$A)-3),"")</f>
        <v>610.19417721519</v>
      </c>
      <c r="AD88" s="156" t="n">
        <f aca="false">IFERROR('Price History'!I3+(INDEX('Price History'!I:I,MATCH(9.99E+307,'Returns (Calc)'!$A:$A)+1)-'Price History'!I3)*(ROW()-3)/(MATCH(9.99E+307,'Returns (Calc)'!$A:$A)-3),"")</f>
        <v>146.082025316456</v>
      </c>
      <c r="AE88" s="156" t="n">
        <f aca="false">IFERROR('Price History'!J3+(INDEX('Price History'!J:J,MATCH(9.99E+307,'Returns (Calc)'!$A:$A)+1)-'Price History'!J3)*(ROW()-3)/(MATCH(9.99E+307,'Returns (Calc)'!$A:$A)-3),"")</f>
        <v>121.023227848101</v>
      </c>
      <c r="AF88" s="156" t="n">
        <f aca="false">IFERROR('Price History'!K3+(INDEX('Price History'!K:K,MATCH(9.99E+307,'Returns (Calc)'!$A:$A)+1)-'Price History'!K3)*(ROW()-3)/(MATCH(9.99E+307,'Returns (Calc)'!$A:$A)-3),"")</f>
        <v>108.625569620253</v>
      </c>
      <c r="AG88" s="156" t="n">
        <f aca="false">IFERROR('Price History'!L3+(INDEX('Price History'!L:L,MATCH(9.99E+307,'Returns (Calc)'!$A:$A)+1)-'Price History'!L3)*(ROW()-3)/(MATCH(9.99E+307,'Returns (Calc)'!$A:$A)-3),"")</f>
        <v>293.962341772152</v>
      </c>
      <c r="AH88" s="156" t="n">
        <f aca="false">IFERROR('Price History'!M3+(INDEX('Price History'!M:M,MATCH(9.99E+307,'Returns (Calc)'!$A:$A)+1)-'Price History'!M3)*(ROW()-3)/(MATCH(9.99E+307,'Returns (Calc)'!$A:$A)-3),"")</f>
        <v>153.232658227848</v>
      </c>
      <c r="AI88" s="156" t="n">
        <f aca="false">IFERROR('Price History'!N3+(INDEX('Price History'!N:N,MATCH(9.99E+307,'Returns (Calc)'!$A:$A)+1)-'Price History'!N3)*(ROW()-3)/(MATCH(9.99E+307,'Returns (Calc)'!$A:$A)-3),"")</f>
        <v>432.732594936709</v>
      </c>
      <c r="AJ88" s="156" t="n">
        <f aca="false">IFERROR('Price History'!O3+(INDEX('Price History'!O:O,MATCH(9.99E+307,'Returns (Calc)'!$A:$A)+1)-'Price History'!O3)*(ROW()-3)/(MATCH(9.99E+307,'Returns (Calc)'!$A:$A)-3),"")</f>
        <v>99.3682278481013</v>
      </c>
      <c r="AK88" s="156" t="n">
        <f aca="false">IFERROR('Price History'!Q3+(INDEX('Price History'!Q:Q,MATCH(9.99E+307,'Returns (Calc)'!$A:$A)+1)-'Price History'!Q3)*(ROW()-3)/(MATCH(9.99E+307,'Returns (Calc)'!$A:$A)-3),"")</f>
        <v>37.3462025316456</v>
      </c>
      <c r="AL88" s="156" t="n">
        <f aca="false">IFERROR('Price History'!R3+(INDEX('Price History'!R:R,MATCH(9.99E+307,'Returns (Calc)'!$A:$A)+1)-'Price History'!R3)*(ROW()-3)/(MATCH(9.99E+307,'Returns (Calc)'!$A:$A)-3),"")</f>
        <v>48.7686075949367</v>
      </c>
      <c r="AM88" s="156" t="n">
        <f aca="false">IFERROR('Price History'!S3+(INDEX('Price History'!S:S,MATCH(9.99E+307,'Returns (Calc)'!$A:$A)+1)-'Price History'!S3)*(ROW()-3)/(MATCH(9.99E+307,'Returns (Calc)'!$A:$A)-3),"")</f>
        <v>109.060379746835</v>
      </c>
      <c r="AN88" s="156" t="n">
        <f aca="false">IFERROR('Price History'!T3+(INDEX('Price History'!T:T,MATCH(9.99E+307,'Returns (Calc)'!$A:$A)+1)-'Price History'!T3)*(ROW()-3)/(MATCH(9.99E+307,'Returns (Calc)'!$A:$A)-3),"")</f>
        <v>39.5393670886076</v>
      </c>
      <c r="AO88" s="157" t="n">
        <f aca="false">IFERROR('Price History'!V3+(INDEX('Price History'!V:V,MATCH(9.99E+307,'Returns (Calc)'!$A:$A)+1)-'Price History'!V3)*(ROW()-3)/(MATCH(9.99E+307,'Returns (Calc)'!$A:$A)-3),"")</f>
        <v>302.892974683544</v>
      </c>
      <c r="AP88" s="155" t="n">
        <f aca="false">IFERROR(IF(OR(NOT(ISNUMBER('Price History'!W89)),NOT(ISNUMBER('Price History'!W88)),'Price History'!W88=0),"",'Price History'!W89/'Price History'!W88-1),"")</f>
        <v>-0.00123609394313962</v>
      </c>
      <c r="AQ88" s="155" t="str">
        <f aca="false">IFERROR(IF(OR(NOT(ISNUMBER('Price History'!X89)),NOT(ISNUMBER('Price History'!X88)),'Price History'!X88=0),"",'Price History'!X89/'Price History'!X88-1),"")</f>
        <v/>
      </c>
      <c r="AR88" s="155" t="n">
        <f aca="false">IFERROR(IF(OR(NOT(ISNUMBER('Price History'!Y89)),NOT(ISNUMBER('Price History'!Y88)),'Price History'!Y88=0),"",'Price History'!Y89/'Price History'!Y88-1),"")</f>
        <v>-0.000201694231544924</v>
      </c>
      <c r="AS88" s="155" t="n">
        <f aca="false">IFERROR(IF(OR(NOT(ISNUMBER('Price History'!Z89)),NOT(ISNUMBER('Price History'!Z88)),'Price History'!Z88=0),"",'Price History'!Z89/'Price History'!Z88-1),"")</f>
        <v>0.0349406348437122</v>
      </c>
      <c r="AT88" s="155" t="n">
        <f aca="false">IFERROR(IF(OR(NOT(ISNUMBER('Price History'!AA89)),NOT(ISNUMBER('Price History'!AA88)),'Price History'!AA88=0),"",'Price History'!AA89/'Price History'!AA88-1),"")</f>
        <v>-0.0140942498919153</v>
      </c>
      <c r="AU88" s="155" t="n">
        <f aca="false">IFERROR(IF(OR(NOT(ISNUMBER('Price History'!AB89)),NOT(ISNUMBER('Price History'!AB88)),'Price History'!AB88=0),"",'Price History'!AB89/'Price History'!AB88-1),"")</f>
        <v>0.00236796481880841</v>
      </c>
    </row>
    <row r="89" customFormat="false" ht="15" hidden="false" customHeight="true" outlineLevel="0" collapsed="false">
      <c r="A89" s="153" t="n">
        <f aca="false">IF('Price History'!A90="","",'Price History'!A90)</f>
        <v>45793</v>
      </c>
      <c r="B89" s="154" t="n">
        <f aca="false">IFERROR(IF(OR(NOT(ISNUMBER('Price History'!B90)),NOT(ISNUMBER('Price History'!B89)),'Price History'!B89=0),"",'Price History'!B90/'Price History'!B89-1),"")</f>
        <v>0.088316635357963</v>
      </c>
      <c r="C89" s="154" t="n">
        <f aca="false">IFERROR(IF(OR(NOT(ISNUMBER('Price History'!C90)),NOT(ISNUMBER('Price History'!C89)),'Price History'!C89=0),"",'Price History'!C90/'Price History'!C89-1),"")</f>
        <v>0.114424410540916</v>
      </c>
      <c r="D89" s="154" t="n">
        <f aca="false">IFERROR(IF(OR(NOT(ISNUMBER('Price History'!D90)),NOT(ISNUMBER('Price History'!D89)),'Price History'!D89=0),"",'Price History'!D90/'Price History'!D89-1),"")</f>
        <v>0.0593161000843088</v>
      </c>
      <c r="E89" s="154" t="n">
        <f aca="false">IFERROR(IF(OR(NOT(ISNUMBER('Price History'!E90)),NOT(ISNUMBER('Price History'!E89)),'Price History'!E89=0),"",'Price History'!E90/'Price History'!E89-1),"")</f>
        <v>0.0979934897731136</v>
      </c>
      <c r="F89" s="154" t="n">
        <f aca="false">IFERROR(IF(OR(NOT(ISNUMBER('Price History'!F90)),NOT(ISNUMBER('Price History'!F89)),'Price History'!F89=0),"",'Price History'!F90/'Price History'!F89-1),"")</f>
        <v>0.0699532346063911</v>
      </c>
      <c r="G89" s="154" t="n">
        <f aca="false">IFERROR(IF(OR(NOT(ISNUMBER('Price History'!G90)),NOT(ISNUMBER('Price History'!G89)),'Price History'!G89=0),"",'Price History'!G90/'Price History'!G89-1),"")</f>
        <v>0.128186662825868</v>
      </c>
      <c r="H89" s="154" t="n">
        <f aca="false">IFERROR(IF(OR(NOT(ISNUMBER('Price History'!H90)),NOT(ISNUMBER('Price History'!H89)),'Price History'!H89=0),"",'Price History'!H90/'Price History'!H89-1),"")</f>
        <v>0.14140588510042</v>
      </c>
      <c r="I89" s="154" t="n">
        <f aca="false">IFERROR(IF(OR(NOT(ISNUMBER('Price History'!I90)),NOT(ISNUMBER('Price History'!I89)),'Price History'!I89=0),"",'Price History'!I90/'Price History'!I89-1),"")</f>
        <v>0.160708147129598</v>
      </c>
      <c r="J89" s="154" t="n">
        <f aca="false">IFERROR(IF(OR(NOT(ISNUMBER('Price History'!J90)),NOT(ISNUMBER('Price History'!J89)),'Price History'!J89=0),"",'Price History'!J90/'Price History'!J89-1),"")</f>
        <v>0.033998231305886</v>
      </c>
      <c r="K89" s="154" t="n">
        <f aca="false">IFERROR(IF(OR(NOT(ISNUMBER('Price History'!K90)),NOT(ISNUMBER('Price History'!K89)),'Price History'!K89=0),"",'Price History'!K90/'Price History'!K89-1),"")</f>
        <v>0.104177323103154</v>
      </c>
      <c r="L89" s="154" t="n">
        <f aca="false">IFERROR(IF(OR(NOT(ISNUMBER('Price History'!L90)),NOT(ISNUMBER('Price History'!L89)),'Price History'!L89=0),"",'Price History'!L90/'Price History'!L89-1),"")</f>
        <v>0.100236324860222</v>
      </c>
      <c r="M89" s="154" t="n">
        <f aca="false">IFERROR(IF(OR(NOT(ISNUMBER('Price History'!M90)),NOT(ISNUMBER('Price History'!M89)),'Price History'!M89=0),"",'Price History'!M90/'Price History'!M89-1),"")</f>
        <v>0.127369542066028</v>
      </c>
      <c r="N89" s="154" t="n">
        <f aca="false">IFERROR(IF(OR(NOT(ISNUMBER('Price History'!N90)),NOT(ISNUMBER('Price History'!N89)),'Price History'!N89=0),"",'Price History'!N90/'Price History'!N89-1),"")</f>
        <v>0.0321419327513588</v>
      </c>
      <c r="O89" s="154" t="n">
        <f aca="false">IFERROR(IF(OR(NOT(ISNUMBER('Price History'!O90)),NOT(ISNUMBER('Price History'!O89)),'Price History'!O89=0),"",'Price History'!O90/'Price History'!O89-1),"")</f>
        <v>0.0489477417829274</v>
      </c>
      <c r="P89" s="154" t="n">
        <f aca="false">IFERROR(IF(OR(NOT(ISNUMBER('Price History'!P90)),NOT(ISNUMBER('Price History'!P89)),'Price History'!P89=0),"",'Price History'!P90/'Price History'!P89-1),"")</f>
        <v>0.0320585842148087</v>
      </c>
      <c r="Q89" s="154" t="n">
        <f aca="false">IFERROR(IF(OR(NOT(ISNUMBER('Price History'!Q90)),NOT(ISNUMBER('Price History'!Q89)),'Price History'!Q89=0),"",'Price History'!Q90/'Price History'!Q89-1),"")</f>
        <v>0.0293522267206479</v>
      </c>
      <c r="R89" s="154" t="n">
        <f aca="false">IFERROR(IF(OR(NOT(ISNUMBER('Price History'!R90)),NOT(ISNUMBER('Price History'!R89)),'Price History'!R89=0),"",'Price History'!R90/'Price History'!R89-1),"")</f>
        <v>0.017300250398361</v>
      </c>
      <c r="S89" s="154" t="n">
        <f aca="false">IFERROR(IF(OR(NOT(ISNUMBER('Price History'!S90)),NOT(ISNUMBER('Price History'!S89)),'Price History'!S89=0),"",'Price History'!S90/'Price History'!S89-1),"")</f>
        <v>0.0682355359161444</v>
      </c>
      <c r="T89" s="154" t="n">
        <f aca="false">IFERROR(IF(OR(NOT(ISNUMBER('Price History'!T90)),NOT(ISNUMBER('Price History'!T89)),'Price History'!T89=0),"",'Price History'!T90/'Price History'!T89-1),"")</f>
        <v>0.0430140329469189</v>
      </c>
      <c r="U89" s="154" t="n">
        <f aca="false">IFERROR(IF(OR(NOT(ISNUMBER('Price History'!U90)),NOT(ISNUMBER('Price History'!U89)),'Price History'!U89=0),"",'Price History'!U90/'Price History'!U89-1),"")</f>
        <v>0.0340442986054144</v>
      </c>
      <c r="V89" s="155" t="n">
        <f aca="false">IFERROR(IF(OR(NOT(ISNUMBER('Price History'!V90)),NOT(ISNUMBER('Price History'!V89)),'Price History'!V89=0),"",'Price History'!V90/'Price History'!V89-1),"")</f>
        <v>0.0374121359919666</v>
      </c>
      <c r="W89" s="156" t="n">
        <f aca="false">IFERROR('Price History'!B3+(INDEX('Price History'!B:B,MATCH(9.99E+307,'Returns (Calc)'!$A:$A)+1)-'Price History'!B3)*(ROW()-3)/(MATCH(9.99E+307,'Returns (Calc)'!$A:$A)-3),"")</f>
        <v>370.388734177215</v>
      </c>
      <c r="X89" s="156" t="n">
        <f aca="false">IFERROR('Price History'!C3+(INDEX('Price History'!C:C,MATCH(9.99E+307,'Returns (Calc)'!$A:$A)+1)-'Price History'!C3)*(ROW()-3)/(MATCH(9.99E+307,'Returns (Calc)'!$A:$A)-3),"")</f>
        <v>133.905443037975</v>
      </c>
      <c r="Y89" s="156" t="n">
        <f aca="false">IFERROR('Price History'!D3+(INDEX('Price History'!D:D,MATCH(9.99E+307,'Returns (Calc)'!$A:$A)+1)-'Price History'!D3)*(ROW()-3)/(MATCH(9.99E+307,'Returns (Calc)'!$A:$A)-3),"")</f>
        <v>1281.60367088608</v>
      </c>
      <c r="Z89" s="156" t="n">
        <f aca="false">IFERROR('Price History'!E3+(INDEX('Price History'!E:E,MATCH(9.99E+307,'Returns (Calc)'!$A:$A)+1)-'Price History'!E3)*(ROW()-3)/(MATCH(9.99E+307,'Returns (Calc)'!$A:$A)-3),"")</f>
        <v>230.671139240506</v>
      </c>
      <c r="AA89" s="156" t="n">
        <f aca="false">IFERROR('Price History'!F3+(INDEX('Price History'!F:F,MATCH(9.99E+307,'Returns (Calc)'!$A:$A)+1)-'Price History'!F3)*(ROW()-3)/(MATCH(9.99E+307,'Returns (Calc)'!$A:$A)-3),"")</f>
        <v>165.831392405063</v>
      </c>
      <c r="AB89" s="156" t="n">
        <f aca="false">IFERROR('Price History'!G3+(INDEX('Price History'!G:G,MATCH(9.99E+307,'Returns (Calc)'!$A:$A)+1)-'Price History'!G3)*(ROW()-3)/(MATCH(9.99E+307,'Returns (Calc)'!$A:$A)-3),"")</f>
        <v>132.821139240506</v>
      </c>
      <c r="AC89" s="156" t="n">
        <f aca="false">IFERROR('Price History'!H3+(INDEX('Price History'!H:H,MATCH(9.99E+307,'Returns (Calc)'!$A:$A)+1)-'Price History'!H3)*(ROW()-3)/(MATCH(9.99E+307,'Returns (Calc)'!$A:$A)-3),"")</f>
        <v>616.559873417722</v>
      </c>
      <c r="AD89" s="156" t="n">
        <f aca="false">IFERROR('Price History'!I3+(INDEX('Price History'!I:I,MATCH(9.99E+307,'Returns (Calc)'!$A:$A)+1)-'Price History'!I3)*(ROW()-3)/(MATCH(9.99E+307,'Returns (Calc)'!$A:$A)-3),"")</f>
        <v>147.285696202532</v>
      </c>
      <c r="AE89" s="156" t="n">
        <f aca="false">IFERROR('Price History'!J3+(INDEX('Price History'!J:J,MATCH(9.99E+307,'Returns (Calc)'!$A:$A)+1)-'Price History'!J3)*(ROW()-3)/(MATCH(9.99E+307,'Returns (Calc)'!$A:$A)-3),"")</f>
        <v>121.131265822785</v>
      </c>
      <c r="AF89" s="156" t="n">
        <f aca="false">IFERROR('Price History'!K3+(INDEX('Price History'!K:K,MATCH(9.99E+307,'Returns (Calc)'!$A:$A)+1)-'Price History'!K3)*(ROW()-3)/(MATCH(9.99E+307,'Returns (Calc)'!$A:$A)-3),"")</f>
        <v>109.723164556962</v>
      </c>
      <c r="AG89" s="156" t="n">
        <f aca="false">IFERROR('Price History'!L3+(INDEX('Price History'!L:L,MATCH(9.99E+307,'Returns (Calc)'!$A:$A)+1)-'Price History'!L3)*(ROW()-3)/(MATCH(9.99E+307,'Returns (Calc)'!$A:$A)-3),"")</f>
        <v>296.411898734177</v>
      </c>
      <c r="AH89" s="156" t="n">
        <f aca="false">IFERROR('Price History'!M3+(INDEX('Price History'!M:M,MATCH(9.99E+307,'Returns (Calc)'!$A:$A)+1)-'Price History'!M3)*(ROW()-3)/(MATCH(9.99E+307,'Returns (Calc)'!$A:$A)-3),"")</f>
        <v>154.588101265823</v>
      </c>
      <c r="AI89" s="156" t="n">
        <f aca="false">IFERROR('Price History'!N3+(INDEX('Price History'!N:N,MATCH(9.99E+307,'Returns (Calc)'!$A:$A)+1)-'Price History'!N3)*(ROW()-3)/(MATCH(9.99E+307,'Returns (Calc)'!$A:$A)-3),"")</f>
        <v>433.718860759494</v>
      </c>
      <c r="AJ89" s="156" t="n">
        <f aca="false">IFERROR('Price History'!O3+(INDEX('Price History'!O:O,MATCH(9.99E+307,'Returns (Calc)'!$A:$A)+1)-'Price History'!O3)*(ROW()-3)/(MATCH(9.99E+307,'Returns (Calc)'!$A:$A)-3),"")</f>
        <v>99.6512658227848</v>
      </c>
      <c r="AK89" s="156" t="n">
        <f aca="false">IFERROR('Price History'!Q3+(INDEX('Price History'!Q:Q,MATCH(9.99E+307,'Returns (Calc)'!$A:$A)+1)-'Price History'!Q3)*(ROW()-3)/(MATCH(9.99E+307,'Returns (Calc)'!$A:$A)-3),"")</f>
        <v>37.7855696202532</v>
      </c>
      <c r="AL89" s="156" t="n">
        <f aca="false">IFERROR('Price History'!R3+(INDEX('Price History'!R:R,MATCH(9.99E+307,'Returns (Calc)'!$A:$A)+1)-'Price History'!R3)*(ROW()-3)/(MATCH(9.99E+307,'Returns (Calc)'!$A:$A)-3),"")</f>
        <v>48.9367088607595</v>
      </c>
      <c r="AM89" s="156" t="n">
        <f aca="false">IFERROR('Price History'!S3+(INDEX('Price History'!S:S,MATCH(9.99E+307,'Returns (Calc)'!$A:$A)+1)-'Price History'!S3)*(ROW()-3)/(MATCH(9.99E+307,'Returns (Calc)'!$A:$A)-3),"")</f>
        <v>109.665443037975</v>
      </c>
      <c r="AN89" s="156" t="n">
        <f aca="false">IFERROR('Price History'!T3+(INDEX('Price History'!T:T,MATCH(9.99E+307,'Returns (Calc)'!$A:$A)+1)-'Price History'!T3)*(ROW()-3)/(MATCH(9.99E+307,'Returns (Calc)'!$A:$A)-3),"")</f>
        <v>39.7075949367089</v>
      </c>
      <c r="AO89" s="157" t="n">
        <f aca="false">IFERROR('Price History'!V3+(INDEX('Price History'!V:V,MATCH(9.99E+307,'Returns (Calc)'!$A:$A)+1)-'Price History'!V3)*(ROW()-3)/(MATCH(9.99E+307,'Returns (Calc)'!$A:$A)-3),"")</f>
        <v>303.684303797468</v>
      </c>
      <c r="AP89" s="155" t="n">
        <f aca="false">IFERROR(IF(OR(NOT(ISNUMBER('Price History'!W90)),NOT(ISNUMBER('Price History'!W89)),'Price History'!W89=0),"",'Price History'!W90/'Price History'!W89-1),"")</f>
        <v>0.0334983498349835</v>
      </c>
      <c r="AQ89" s="155" t="str">
        <f aca="false">IFERROR(IF(OR(NOT(ISNUMBER('Price History'!X90)),NOT(ISNUMBER('Price History'!X89)),'Price History'!X89=0),"",'Price History'!X90/'Price History'!X89-1),"")</f>
        <v/>
      </c>
      <c r="AR89" s="155" t="n">
        <f aca="false">IFERROR(IF(OR(NOT(ISNUMBER('Price History'!Y90)),NOT(ISNUMBER('Price History'!Y89)),'Price History'!Y89=0),"",'Price History'!Y90/'Price History'!Y89-1),"")</f>
        <v>0.0106919507766794</v>
      </c>
      <c r="AS89" s="155" t="n">
        <f aca="false">IFERROR(IF(OR(NOT(ISNUMBER('Price History'!Z90)),NOT(ISNUMBER('Price History'!Z89)),'Price History'!Z89=0),"",'Price History'!Z90/'Price History'!Z89-1),"")</f>
        <v>0.0782449896984454</v>
      </c>
      <c r="AT89" s="155" t="n">
        <f aca="false">IFERROR(IF(OR(NOT(ISNUMBER('Price History'!AA90)),NOT(ISNUMBER('Price History'!AA89)),'Price History'!AA89=0),"",'Price History'!AA90/'Price History'!AA89-1),"")</f>
        <v>0.0449921066479566</v>
      </c>
      <c r="AU89" s="155" t="n">
        <f aca="false">IFERROR(IF(OR(NOT(ISNUMBER('Price History'!AB90)),NOT(ISNUMBER('Price History'!AB89)),'Price History'!AB89=0),"",'Price History'!AB90/'Price History'!AB89-1),"")</f>
        <v>0.0241721155874288</v>
      </c>
    </row>
    <row r="90" customFormat="false" ht="15" hidden="false" customHeight="true" outlineLevel="0" collapsed="false">
      <c r="A90" s="153" t="n">
        <f aca="false">IF('Price History'!A91="","",'Price History'!A91)</f>
        <v>45800</v>
      </c>
      <c r="B90" s="154" t="n">
        <f aca="false">IFERROR(IF(OR(NOT(ISNUMBER('Price History'!B91)),NOT(ISNUMBER('Price History'!B90)),'Price History'!B90=0),"",'Price History'!B91/'Price History'!B90-1),"")</f>
        <v>-0.0226308345120226</v>
      </c>
      <c r="C90" s="154" t="n">
        <f aca="false">IFERROR(IF(OR(NOT(ISNUMBER('Price History'!C91)),NOT(ISNUMBER('Price History'!C90)),'Price History'!C90=0),"",'Price History'!C91/'Price History'!C90-1),"")</f>
        <v>-0.0541381456129434</v>
      </c>
      <c r="D90" s="154" t="n">
        <f aca="false">IFERROR(IF(OR(NOT(ISNUMBER('Price History'!D91)),NOT(ISNUMBER('Price History'!D90)),'Price History'!D90=0),"",'Price History'!D91/'Price History'!D90-1),"")</f>
        <v>-0.0208546916311445</v>
      </c>
      <c r="E90" s="154" t="n">
        <f aca="false">IFERROR(IF(OR(NOT(ISNUMBER('Price History'!E91)),NOT(ISNUMBER('Price History'!E90)),'Price History'!E90=0),"",'Price History'!E91/'Price History'!E90-1),"")</f>
        <v>0.00048672566371688</v>
      </c>
      <c r="F90" s="154" t="n">
        <f aca="false">IFERROR(IF(OR(NOT(ISNUMBER('Price History'!F91)),NOT(ISNUMBER('Price History'!F90)),'Price History'!F90=0),"",'Price History'!F91/'Price History'!F90-1),"")</f>
        <v>0.0371517027863779</v>
      </c>
      <c r="G90" s="154" t="n">
        <f aca="false">IFERROR(IF(OR(NOT(ISNUMBER('Price History'!G91)),NOT(ISNUMBER('Price History'!G90)),'Price History'!G90=0),"",'Price History'!G91/'Price History'!G90-1),"")</f>
        <v>-0.0405974722328609</v>
      </c>
      <c r="H90" s="154" t="n">
        <f aca="false">IFERROR(IF(OR(NOT(ISNUMBER('Price History'!H91)),NOT(ISNUMBER('Price History'!H90)),'Price History'!H90=0),"",'Price History'!H91/'Price History'!H90-1),"")</f>
        <v>-0.0472634271099744</v>
      </c>
      <c r="I90" s="154" t="n">
        <f aca="false">IFERROR(IF(OR(NOT(ISNUMBER('Price History'!I91)),NOT(ISNUMBER('Price History'!I90)),'Price History'!I90=0),"",'Price History'!I91/'Price History'!I90-1),"")</f>
        <v>-0.0303568784244039</v>
      </c>
      <c r="J90" s="154" t="n">
        <f aca="false">IFERROR(IF(OR(NOT(ISNUMBER('Price History'!J91)),NOT(ISNUMBER('Price History'!J90)),'Price History'!J90=0),"",'Price History'!J91/'Price History'!J90-1),"")</f>
        <v>-0.0588235294117647</v>
      </c>
      <c r="K90" s="154" t="n">
        <f aca="false">IFERROR(IF(OR(NOT(ISNUMBER('Price History'!K91)),NOT(ISNUMBER('Price History'!K90)),'Price History'!K90=0),"",'Price History'!K91/'Price History'!K90-1),"")</f>
        <v>-0.0479462631253861</v>
      </c>
      <c r="L90" s="154" t="n">
        <f aca="false">IFERROR(IF(OR(NOT(ISNUMBER('Price History'!L91)),NOT(ISNUMBER('Price History'!L90)),'Price History'!L90=0),"",'Price History'!L91/'Price History'!L90-1),"")</f>
        <v>-0.0115255658005029</v>
      </c>
      <c r="M90" s="154" t="n">
        <f aca="false">IFERROR(IF(OR(NOT(ISNUMBER('Price History'!M91)),NOT(ISNUMBER('Price History'!M90)),'Price History'!M90=0),"",'Price History'!M91/'Price History'!M90-1),"")</f>
        <v>-0.0179482335159645</v>
      </c>
      <c r="N90" s="154" t="n">
        <f aca="false">IFERROR(IF(OR(NOT(ISNUMBER('Price History'!N91)),NOT(ISNUMBER('Price History'!N90)),'Price History'!N90=0),"",'Price History'!N91/'Price History'!N90-1),"")</f>
        <v>-0.00604126296591812</v>
      </c>
      <c r="O90" s="154" t="n">
        <f aca="false">IFERROR(IF(OR(NOT(ISNUMBER('Price History'!O91)),NOT(ISNUMBER('Price History'!O90)),'Price History'!O90=0),"",'Price History'!O91/'Price History'!O90-1),"")</f>
        <v>-0.0400135256988278</v>
      </c>
      <c r="P90" s="154" t="n">
        <f aca="false">IFERROR(IF(OR(NOT(ISNUMBER('Price History'!P91)),NOT(ISNUMBER('Price History'!P90)),'Price History'!P90=0),"",'Price History'!P91/'Price History'!P90-1),"")</f>
        <v>-0.0258593503626616</v>
      </c>
      <c r="Q90" s="154" t="n">
        <f aca="false">IFERROR(IF(OR(NOT(ISNUMBER('Price History'!Q91)),NOT(ISNUMBER('Price History'!Q90)),'Price History'!Q90=0),"",'Price History'!Q91/'Price History'!Q90-1),"")</f>
        <v>-0.0165519501802689</v>
      </c>
      <c r="R90" s="154" t="n">
        <f aca="false">IFERROR(IF(OR(NOT(ISNUMBER('Price History'!R91)),NOT(ISNUMBER('Price History'!R90)),'Price History'!R90=0),"",'Price History'!R91/'Price History'!R90-1),"")</f>
        <v>-0.00917431192660545</v>
      </c>
      <c r="S90" s="154" t="n">
        <f aca="false">IFERROR(IF(OR(NOT(ISNUMBER('Price History'!S91)),NOT(ISNUMBER('Price History'!S90)),'Price History'!S90=0),"",'Price History'!S91/'Price History'!S90-1),"")</f>
        <v>-0.0223184223184224</v>
      </c>
      <c r="T90" s="154" t="n">
        <f aca="false">IFERROR(IF(OR(NOT(ISNUMBER('Price History'!T91)),NOT(ISNUMBER('Price History'!T90)),'Price History'!T90=0),"",'Price History'!T91/'Price History'!T90-1),"")</f>
        <v>-0.0348054986838257</v>
      </c>
      <c r="U90" s="154" t="n">
        <f aca="false">IFERROR(IF(OR(NOT(ISNUMBER('Price History'!U91)),NOT(ISNUMBER('Price History'!U90)),'Price History'!U90=0),"",'Price History'!U91/'Price History'!U90-1),"")</f>
        <v>-0.0269734232447442</v>
      </c>
      <c r="V90" s="155" t="n">
        <f aca="false">IFERROR(IF(OR(NOT(ISNUMBER('Price History'!V91)),NOT(ISNUMBER('Price History'!V90)),'Price History'!V90=0),"",'Price History'!V91/'Price History'!V90-1),"")</f>
        <v>-0.0317210099836831</v>
      </c>
      <c r="W90" s="156" t="n">
        <f aca="false">IFERROR('Price History'!B3+(INDEX('Price History'!B:B,MATCH(9.99E+307,'Returns (Calc)'!$A:$A)+1)-'Price History'!B3)*(ROW()-3)/(MATCH(9.99E+307,'Returns (Calc)'!$A:$A)-3),"")</f>
        <v>368.545696202532</v>
      </c>
      <c r="X90" s="156" t="n">
        <f aca="false">IFERROR('Price History'!C3+(INDEX('Price History'!C:C,MATCH(9.99E+307,'Returns (Calc)'!$A:$A)+1)-'Price History'!C3)*(ROW()-3)/(MATCH(9.99E+307,'Returns (Calc)'!$A:$A)-3),"")</f>
        <v>134.925506329114</v>
      </c>
      <c r="Y90" s="156" t="n">
        <f aca="false">IFERROR('Price History'!D3+(INDEX('Price History'!D:D,MATCH(9.99E+307,'Returns (Calc)'!$A:$A)+1)-'Price History'!D3)*(ROW()-3)/(MATCH(9.99E+307,'Returns (Calc)'!$A:$A)-3),"")</f>
        <v>1289.73848101266</v>
      </c>
      <c r="Z90" s="156" t="n">
        <f aca="false">IFERROR('Price History'!E3+(INDEX('Price History'!E:E,MATCH(9.99E+307,'Returns (Calc)'!$A:$A)+1)-'Price History'!E3)*(ROW()-3)/(MATCH(9.99E+307,'Returns (Calc)'!$A:$A)-3),"")</f>
        <v>232.399873417722</v>
      </c>
      <c r="AA90" s="156" t="n">
        <f aca="false">IFERROR('Price History'!F3+(INDEX('Price History'!F:F,MATCH(9.99E+307,'Returns (Calc)'!$A:$A)+1)-'Price History'!F3)*(ROW()-3)/(MATCH(9.99E+307,'Returns (Calc)'!$A:$A)-3),"")</f>
        <v>167.278734177215</v>
      </c>
      <c r="AB90" s="156" t="n">
        <f aca="false">IFERROR('Price History'!G3+(INDEX('Price History'!G:G,MATCH(9.99E+307,'Returns (Calc)'!$A:$A)+1)-'Price History'!G3)*(ROW()-3)/(MATCH(9.99E+307,'Returns (Calc)'!$A:$A)-3),"")</f>
        <v>133.849873417722</v>
      </c>
      <c r="AC90" s="156" t="n">
        <f aca="false">IFERROR('Price History'!H3+(INDEX('Price History'!H:H,MATCH(9.99E+307,'Returns (Calc)'!$A:$A)+1)-'Price History'!H3)*(ROW()-3)/(MATCH(9.99E+307,'Returns (Calc)'!$A:$A)-3),"")</f>
        <v>622.925569620253</v>
      </c>
      <c r="AD90" s="156" t="n">
        <f aca="false">IFERROR('Price History'!I3+(INDEX('Price History'!I:I,MATCH(9.99E+307,'Returns (Calc)'!$A:$A)+1)-'Price History'!I3)*(ROW()-3)/(MATCH(9.99E+307,'Returns (Calc)'!$A:$A)-3),"")</f>
        <v>148.489367088608</v>
      </c>
      <c r="AE90" s="156" t="n">
        <f aca="false">IFERROR('Price History'!J3+(INDEX('Price History'!J:J,MATCH(9.99E+307,'Returns (Calc)'!$A:$A)+1)-'Price History'!J3)*(ROW()-3)/(MATCH(9.99E+307,'Returns (Calc)'!$A:$A)-3),"")</f>
        <v>121.239303797468</v>
      </c>
      <c r="AF90" s="156" t="n">
        <f aca="false">IFERROR('Price History'!K3+(INDEX('Price History'!K:K,MATCH(9.99E+307,'Returns (Calc)'!$A:$A)+1)-'Price History'!K3)*(ROW()-3)/(MATCH(9.99E+307,'Returns (Calc)'!$A:$A)-3),"")</f>
        <v>110.820759493671</v>
      </c>
      <c r="AG90" s="156" t="n">
        <f aca="false">IFERROR('Price History'!L3+(INDEX('Price History'!L:L,MATCH(9.99E+307,'Returns (Calc)'!$A:$A)+1)-'Price History'!L3)*(ROW()-3)/(MATCH(9.99E+307,'Returns (Calc)'!$A:$A)-3),"")</f>
        <v>298.861455696203</v>
      </c>
      <c r="AH90" s="156" t="n">
        <f aca="false">IFERROR('Price History'!M3+(INDEX('Price History'!M:M,MATCH(9.99E+307,'Returns (Calc)'!$A:$A)+1)-'Price History'!M3)*(ROW()-3)/(MATCH(9.99E+307,'Returns (Calc)'!$A:$A)-3),"")</f>
        <v>155.943544303797</v>
      </c>
      <c r="AI90" s="156" t="n">
        <f aca="false">IFERROR('Price History'!N3+(INDEX('Price History'!N:N,MATCH(9.99E+307,'Returns (Calc)'!$A:$A)+1)-'Price History'!N3)*(ROW()-3)/(MATCH(9.99E+307,'Returns (Calc)'!$A:$A)-3),"")</f>
        <v>434.705126582278</v>
      </c>
      <c r="AJ90" s="156" t="n">
        <f aca="false">IFERROR('Price History'!O3+(INDEX('Price History'!O:O,MATCH(9.99E+307,'Returns (Calc)'!$A:$A)+1)-'Price History'!O3)*(ROW()-3)/(MATCH(9.99E+307,'Returns (Calc)'!$A:$A)-3),"")</f>
        <v>99.9343037974684</v>
      </c>
      <c r="AK90" s="156" t="n">
        <f aca="false">IFERROR('Price History'!Q3+(INDEX('Price History'!Q:Q,MATCH(9.99E+307,'Returns (Calc)'!$A:$A)+1)-'Price History'!Q3)*(ROW()-3)/(MATCH(9.99E+307,'Returns (Calc)'!$A:$A)-3),"")</f>
        <v>38.2249367088608</v>
      </c>
      <c r="AL90" s="156" t="n">
        <f aca="false">IFERROR('Price History'!R3+(INDEX('Price History'!R:R,MATCH(9.99E+307,'Returns (Calc)'!$A:$A)+1)-'Price History'!R3)*(ROW()-3)/(MATCH(9.99E+307,'Returns (Calc)'!$A:$A)-3),"")</f>
        <v>49.1048101265823</v>
      </c>
      <c r="AM90" s="156" t="n">
        <f aca="false">IFERROR('Price History'!S3+(INDEX('Price History'!S:S,MATCH(9.99E+307,'Returns (Calc)'!$A:$A)+1)-'Price History'!S3)*(ROW()-3)/(MATCH(9.99E+307,'Returns (Calc)'!$A:$A)-3),"")</f>
        <v>110.270506329114</v>
      </c>
      <c r="AN90" s="156" t="n">
        <f aca="false">IFERROR('Price History'!T3+(INDEX('Price History'!T:T,MATCH(9.99E+307,'Returns (Calc)'!$A:$A)+1)-'Price History'!T3)*(ROW()-3)/(MATCH(9.99E+307,'Returns (Calc)'!$A:$A)-3),"")</f>
        <v>39.8758227848101</v>
      </c>
      <c r="AO90" s="157" t="n">
        <f aca="false">IFERROR('Price History'!V3+(INDEX('Price History'!V:V,MATCH(9.99E+307,'Returns (Calc)'!$A:$A)+1)-'Price History'!V3)*(ROW()-3)/(MATCH(9.99E+307,'Returns (Calc)'!$A:$A)-3),"")</f>
        <v>304.475632911392</v>
      </c>
      <c r="AP90" s="155" t="n">
        <f aca="false">IFERROR(IF(OR(NOT(ISNUMBER('Price History'!W91)),NOT(ISNUMBER('Price History'!W90)),'Price History'!W90=0),"",'Price History'!W91/'Price History'!W90-1),"")</f>
        <v>-0.0220341689286285</v>
      </c>
      <c r="AQ90" s="155" t="str">
        <f aca="false">IFERROR(IF(OR(NOT(ISNUMBER('Price History'!X91)),NOT(ISNUMBER('Price History'!X90)),'Price History'!X90=0),"",'Price History'!X91/'Price History'!X90-1),"")</f>
        <v/>
      </c>
      <c r="AR90" s="155" t="n">
        <f aca="false">IFERROR(IF(OR(NOT(ISNUMBER('Price History'!Y91)),NOT(ISNUMBER('Price History'!Y90)),'Price History'!Y90=0),"",'Price History'!Y91/'Price History'!Y90-1),"")</f>
        <v>-0.0127744510978044</v>
      </c>
      <c r="AS90" s="155" t="n">
        <f aca="false">IFERROR(IF(OR(NOT(ISNUMBER('Price History'!Z91)),NOT(ISNUMBER('Price History'!Z90)),'Price History'!Z90=0),"",'Price History'!Z91/'Price History'!Z90-1),"")</f>
        <v>0.00438615538281151</v>
      </c>
      <c r="AT90" s="155" t="n">
        <f aca="false">IFERROR(IF(OR(NOT(ISNUMBER('Price History'!AA91)),NOT(ISNUMBER('Price History'!AA90)),'Price History'!AA90=0),"",'Price History'!AA91/'Price History'!AA90-1),"")</f>
        <v>-0.00511959714645405</v>
      </c>
      <c r="AU90" s="155" t="n">
        <f aca="false">IFERROR(IF(OR(NOT(ISNUMBER('Price History'!AB91)),NOT(ISNUMBER('Price History'!AB90)),'Price History'!AB90=0),"",'Price History'!AB91/'Price History'!AB90-1),"")</f>
        <v>-0.0402833841337836</v>
      </c>
    </row>
    <row r="91" customFormat="false" ht="15" hidden="false" customHeight="true" outlineLevel="0" collapsed="false">
      <c r="A91" s="153" t="n">
        <f aca="false">IF('Price History'!A92="","",'Price History'!A92)</f>
        <v>45807</v>
      </c>
      <c r="B91" s="154" t="n">
        <f aca="false">IFERROR(IF(OR(NOT(ISNUMBER('Price History'!B92)),NOT(ISNUMBER('Price History'!B91)),'Price History'!B91=0),"",'Price History'!B92/'Price History'!B91-1),"")</f>
        <v>0.018151046137997</v>
      </c>
      <c r="C91" s="154" t="n">
        <f aca="false">IFERROR(IF(OR(NOT(ISNUMBER('Price History'!C92)),NOT(ISNUMBER('Price History'!C91)),'Price History'!C91=0),"",'Price History'!C92/'Price History'!C91-1),"")</f>
        <v>-0.05</v>
      </c>
      <c r="D91" s="154" t="n">
        <f aca="false">IFERROR(IF(OR(NOT(ISNUMBER('Price History'!D92)),NOT(ISNUMBER('Price History'!D91)),'Price History'!D91=0),"",'Price History'!D92/'Price History'!D91-1),"")</f>
        <v>0.00584134681619042</v>
      </c>
      <c r="E91" s="154" t="n">
        <f aca="false">IFERROR(IF(OR(NOT(ISNUMBER('Price History'!E92)),NOT(ISNUMBER('Price History'!E91)),'Price History'!E91=0),"",'Price History'!E92/'Price History'!E91-1),"")</f>
        <v>0.0583786652514262</v>
      </c>
      <c r="F91" s="154" t="n">
        <f aca="false">IFERROR(IF(OR(NOT(ISNUMBER('Price History'!F92)),NOT(ISNUMBER('Price History'!F91)),'Price History'!F91=0),"",'Price History'!F92/'Price History'!F91-1),"")</f>
        <v>0.0345917471466197</v>
      </c>
      <c r="G91" s="154" t="n">
        <f aca="false">IFERROR(IF(OR(NOT(ISNUMBER('Price History'!G92)),NOT(ISNUMBER('Price History'!G91)),'Price History'!G91=0),"",'Price History'!G92/'Price History'!G91-1),"")</f>
        <v>-0.000399201596806398</v>
      </c>
      <c r="H91" s="154" t="n">
        <f aca="false">IFERROR(IF(OR(NOT(ISNUMBER('Price History'!H92)),NOT(ISNUMBER('Price History'!H91)),'Price History'!H91=0),"",'Price History'!H92/'Price History'!H91-1),"")</f>
        <v>0.0117040695801569</v>
      </c>
      <c r="I91" s="154" t="n">
        <f aca="false">IFERROR(IF(OR(NOT(ISNUMBER('Price History'!I92)),NOT(ISNUMBER('Price History'!I91)),'Price History'!I91=0),"",'Price History'!I92/'Price History'!I91-1),"")</f>
        <v>0.0292455711667683</v>
      </c>
      <c r="J91" s="154" t="n">
        <f aca="false">IFERROR(IF(OR(NOT(ISNUMBER('Price History'!J92)),NOT(ISNUMBER('Price History'!J91)),'Price History'!J91=0),"",'Price History'!J92/'Price History'!J91-1),"")</f>
        <v>0.0438206785137316</v>
      </c>
      <c r="K91" s="154" t="n">
        <f aca="false">IFERROR(IF(OR(NOT(ISNUMBER('Price History'!K92)),NOT(ISNUMBER('Price History'!K91)),'Price History'!K91=0),"",'Price History'!K92/'Price History'!K91-1),"")</f>
        <v>0.0686886708296164</v>
      </c>
      <c r="L91" s="154" t="n">
        <f aca="false">IFERROR(IF(OR(NOT(ISNUMBER('Price History'!L92)),NOT(ISNUMBER('Price History'!L91)),'Price History'!L91=0),"",'Price History'!L92/'Price History'!L91-1),"")</f>
        <v>0.00699597201611191</v>
      </c>
      <c r="M91" s="154" t="n">
        <f aca="false">IFERROR(IF(OR(NOT(ISNUMBER('Price History'!M92)),NOT(ISNUMBER('Price History'!M91)),'Price History'!M91=0),"",'Price History'!M92/'Price History'!M91-1),"")</f>
        <v>0.0364563293574451</v>
      </c>
      <c r="N91" s="154" t="n">
        <f aca="false">IFERROR(IF(OR(NOT(ISNUMBER('Price History'!N92)),NOT(ISNUMBER('Price History'!N91)),'Price History'!N91=0),"",'Price History'!N92/'Price History'!N91-1),"")</f>
        <v>0.013876146788991</v>
      </c>
      <c r="O91" s="154" t="n">
        <f aca="false">IFERROR(IF(OR(NOT(ISNUMBER('Price History'!O92)),NOT(ISNUMBER('Price History'!O91)),'Price History'!O91=0),"",'Price History'!O92/'Price History'!O91-1),"")</f>
        <v>0.0117412234354819</v>
      </c>
      <c r="P91" s="154" t="n">
        <f aca="false">IFERROR(IF(OR(NOT(ISNUMBER('Price History'!P92)),NOT(ISNUMBER('Price History'!P91)),'Price History'!P91=0),"",'Price History'!P92/'Price History'!P91-1),"")</f>
        <v>0.00647458724506311</v>
      </c>
      <c r="Q91" s="154" t="n">
        <f aca="false">IFERROR(IF(OR(NOT(ISNUMBER('Price History'!Q92)),NOT(ISNUMBER('Price History'!Q91)),'Price History'!Q91=0),"",'Price History'!Q92/'Price History'!Q91-1),"")</f>
        <v>0.0108315280786535</v>
      </c>
      <c r="R91" s="154" t="n">
        <f aca="false">IFERROR(IF(OR(NOT(ISNUMBER('Price History'!R92)),NOT(ISNUMBER('Price History'!R91)),'Price History'!R91=0),"",'Price History'!R92/'Price History'!R91-1),"")</f>
        <v>0.0112917795844625</v>
      </c>
      <c r="S91" s="154" t="n">
        <f aca="false">IFERROR(IF(OR(NOT(ISNUMBER('Price History'!S92)),NOT(ISNUMBER('Price History'!S91)),'Price History'!S91=0),"",'Price History'!S92/'Price History'!S91-1),"")</f>
        <v>0.0243038472891863</v>
      </c>
      <c r="T91" s="154" t="n">
        <f aca="false">IFERROR(IF(OR(NOT(ISNUMBER('Price History'!T92)),NOT(ISNUMBER('Price History'!T91)),'Price History'!T91=0),"",'Price History'!T92/'Price History'!T91-1),"")</f>
        <v>0.00787878787878782</v>
      </c>
      <c r="U91" s="154" t="n">
        <f aca="false">IFERROR(IF(OR(NOT(ISNUMBER('Price History'!U92)),NOT(ISNUMBER('Price History'!U91)),'Price History'!U91=0),"",'Price History'!U92/'Price History'!U91-1),"")</f>
        <v>0.0110069302894416</v>
      </c>
      <c r="V91" s="155" t="n">
        <f aca="false">IFERROR(IF(OR(NOT(ISNUMBER('Price History'!V92)),NOT(ISNUMBER('Price History'!V91)),'Price History'!V91=0),"",'Price History'!V92/'Price History'!V91-1),"")</f>
        <v>0.0329601279561294</v>
      </c>
      <c r="W91" s="156" t="n">
        <f aca="false">IFERROR('Price History'!B3+(INDEX('Price History'!B:B,MATCH(9.99E+307,'Returns (Calc)'!$A:$A)+1)-'Price History'!B3)*(ROW()-3)/(MATCH(9.99E+307,'Returns (Calc)'!$A:$A)-3),"")</f>
        <v>366.702658227848</v>
      </c>
      <c r="X91" s="156" t="n">
        <f aca="false">IFERROR('Price History'!C3+(INDEX('Price History'!C:C,MATCH(9.99E+307,'Returns (Calc)'!$A:$A)+1)-'Price History'!C3)*(ROW()-3)/(MATCH(9.99E+307,'Returns (Calc)'!$A:$A)-3),"")</f>
        <v>135.945569620253</v>
      </c>
      <c r="Y91" s="156" t="n">
        <f aca="false">IFERROR('Price History'!D3+(INDEX('Price History'!D:D,MATCH(9.99E+307,'Returns (Calc)'!$A:$A)+1)-'Price History'!D3)*(ROW()-3)/(MATCH(9.99E+307,'Returns (Calc)'!$A:$A)-3),"")</f>
        <v>1297.87329113924</v>
      </c>
      <c r="Z91" s="156" t="n">
        <f aca="false">IFERROR('Price History'!E3+(INDEX('Price History'!E:E,MATCH(9.99E+307,'Returns (Calc)'!$A:$A)+1)-'Price History'!E3)*(ROW()-3)/(MATCH(9.99E+307,'Returns (Calc)'!$A:$A)-3),"")</f>
        <v>234.128607594937</v>
      </c>
      <c r="AA91" s="156" t="n">
        <f aca="false">IFERROR('Price History'!F3+(INDEX('Price History'!F:F,MATCH(9.99E+307,'Returns (Calc)'!$A:$A)+1)-'Price History'!F3)*(ROW()-3)/(MATCH(9.99E+307,'Returns (Calc)'!$A:$A)-3),"")</f>
        <v>168.726075949367</v>
      </c>
      <c r="AB91" s="156" t="n">
        <f aca="false">IFERROR('Price History'!G3+(INDEX('Price History'!G:G,MATCH(9.99E+307,'Returns (Calc)'!$A:$A)+1)-'Price History'!G3)*(ROW()-3)/(MATCH(9.99E+307,'Returns (Calc)'!$A:$A)-3),"")</f>
        <v>134.878607594937</v>
      </c>
      <c r="AC91" s="156" t="n">
        <f aca="false">IFERROR('Price History'!H3+(INDEX('Price History'!H:H,MATCH(9.99E+307,'Returns (Calc)'!$A:$A)+1)-'Price History'!H3)*(ROW()-3)/(MATCH(9.99E+307,'Returns (Calc)'!$A:$A)-3),"")</f>
        <v>629.291265822785</v>
      </c>
      <c r="AD91" s="156" t="n">
        <f aca="false">IFERROR('Price History'!I3+(INDEX('Price History'!I:I,MATCH(9.99E+307,'Returns (Calc)'!$A:$A)+1)-'Price History'!I3)*(ROW()-3)/(MATCH(9.99E+307,'Returns (Calc)'!$A:$A)-3),"")</f>
        <v>149.693037974684</v>
      </c>
      <c r="AE91" s="156" t="n">
        <f aca="false">IFERROR('Price History'!J3+(INDEX('Price History'!J:J,MATCH(9.99E+307,'Returns (Calc)'!$A:$A)+1)-'Price History'!J3)*(ROW()-3)/(MATCH(9.99E+307,'Returns (Calc)'!$A:$A)-3),"")</f>
        <v>121.347341772152</v>
      </c>
      <c r="AF91" s="156" t="n">
        <f aca="false">IFERROR('Price History'!K3+(INDEX('Price History'!K:K,MATCH(9.99E+307,'Returns (Calc)'!$A:$A)+1)-'Price History'!K3)*(ROW()-3)/(MATCH(9.99E+307,'Returns (Calc)'!$A:$A)-3),"")</f>
        <v>111.91835443038</v>
      </c>
      <c r="AG91" s="156" t="n">
        <f aca="false">IFERROR('Price History'!L3+(INDEX('Price History'!L:L,MATCH(9.99E+307,'Returns (Calc)'!$A:$A)+1)-'Price History'!L3)*(ROW()-3)/(MATCH(9.99E+307,'Returns (Calc)'!$A:$A)-3),"")</f>
        <v>301.311012658228</v>
      </c>
      <c r="AH91" s="156" t="n">
        <f aca="false">IFERROR('Price History'!M3+(INDEX('Price History'!M:M,MATCH(9.99E+307,'Returns (Calc)'!$A:$A)+1)-'Price History'!M3)*(ROW()-3)/(MATCH(9.99E+307,'Returns (Calc)'!$A:$A)-3),"")</f>
        <v>157.298987341772</v>
      </c>
      <c r="AI91" s="156" t="n">
        <f aca="false">IFERROR('Price History'!N3+(INDEX('Price History'!N:N,MATCH(9.99E+307,'Returns (Calc)'!$A:$A)+1)-'Price History'!N3)*(ROW()-3)/(MATCH(9.99E+307,'Returns (Calc)'!$A:$A)-3),"")</f>
        <v>435.691392405063</v>
      </c>
      <c r="AJ91" s="156" t="n">
        <f aca="false">IFERROR('Price History'!O3+(INDEX('Price History'!O:O,MATCH(9.99E+307,'Returns (Calc)'!$A:$A)+1)-'Price History'!O3)*(ROW()-3)/(MATCH(9.99E+307,'Returns (Calc)'!$A:$A)-3),"")</f>
        <v>100.217341772152</v>
      </c>
      <c r="AK91" s="156" t="n">
        <f aca="false">IFERROR('Price History'!Q3+(INDEX('Price History'!Q:Q,MATCH(9.99E+307,'Returns (Calc)'!$A:$A)+1)-'Price History'!Q3)*(ROW()-3)/(MATCH(9.99E+307,'Returns (Calc)'!$A:$A)-3),"")</f>
        <v>38.6643037974684</v>
      </c>
      <c r="AL91" s="156" t="n">
        <f aca="false">IFERROR('Price History'!R3+(INDEX('Price History'!R:R,MATCH(9.99E+307,'Returns (Calc)'!$A:$A)+1)-'Price History'!R3)*(ROW()-3)/(MATCH(9.99E+307,'Returns (Calc)'!$A:$A)-3),"")</f>
        <v>49.2729113924051</v>
      </c>
      <c r="AM91" s="156" t="n">
        <f aca="false">IFERROR('Price History'!S3+(INDEX('Price History'!S:S,MATCH(9.99E+307,'Returns (Calc)'!$A:$A)+1)-'Price History'!S3)*(ROW()-3)/(MATCH(9.99E+307,'Returns (Calc)'!$A:$A)-3),"")</f>
        <v>110.875569620253</v>
      </c>
      <c r="AN91" s="156" t="n">
        <f aca="false">IFERROR('Price History'!T3+(INDEX('Price History'!T:T,MATCH(9.99E+307,'Returns (Calc)'!$A:$A)+1)-'Price History'!T3)*(ROW()-3)/(MATCH(9.99E+307,'Returns (Calc)'!$A:$A)-3),"")</f>
        <v>40.0440506329114</v>
      </c>
      <c r="AO91" s="157" t="n">
        <f aca="false">IFERROR('Price History'!V3+(INDEX('Price History'!V:V,MATCH(9.99E+307,'Returns (Calc)'!$A:$A)+1)-'Price History'!V3)*(ROW()-3)/(MATCH(9.99E+307,'Returns (Calc)'!$A:$A)-3),"")</f>
        <v>305.266962025317</v>
      </c>
      <c r="AP91" s="155" t="n">
        <f aca="false">IFERROR(IF(OR(NOT(ISNUMBER('Price History'!W92)),NOT(ISNUMBER('Price History'!W91)),'Price History'!W91=0),"",'Price History'!W92/'Price History'!W91-1),"")</f>
        <v>0.0151836734693878</v>
      </c>
      <c r="AQ91" s="155" t="str">
        <f aca="false">IFERROR(IF(OR(NOT(ISNUMBER('Price History'!X92)),NOT(ISNUMBER('Price History'!X91)),'Price History'!X91=0),"",'Price History'!X92/'Price History'!X91-1),"")</f>
        <v/>
      </c>
      <c r="AR91" s="155" t="n">
        <f aca="false">IFERROR(IF(OR(NOT(ISNUMBER('Price History'!Y92)),NOT(ISNUMBER('Price History'!Y91)),'Price History'!Y91=0),"",'Price History'!Y92/'Price History'!Y91-1),"")</f>
        <v>0.0101091791346544</v>
      </c>
      <c r="AS91" s="155" t="n">
        <f aca="false">IFERROR(IF(OR(NOT(ISNUMBER('Price History'!Z92)),NOT(ISNUMBER('Price History'!Z91)),'Price History'!Z91=0),"",'Price History'!Z92/'Price History'!Z91-1),"")</f>
        <v>0.0563386371497752</v>
      </c>
      <c r="AT91" s="155" t="n">
        <f aca="false">IFERROR(IF(OR(NOT(ISNUMBER('Price History'!AA92)),NOT(ISNUMBER('Price History'!AA91)),'Price History'!AA91=0),"",'Price History'!AA92/'Price History'!AA91-1),"")</f>
        <v>0.0183904167369664</v>
      </c>
      <c r="AU91" s="155" t="n">
        <f aca="false">IFERROR(IF(OR(NOT(ISNUMBER('Price History'!AB92)),NOT(ISNUMBER('Price History'!AB91)),'Price History'!AB91=0),"",'Price History'!AB92/'Price History'!AB91-1),"")</f>
        <v>0.200429184549356</v>
      </c>
    </row>
    <row r="92" customFormat="false" ht="15" hidden="false" customHeight="true" outlineLevel="0" collapsed="false">
      <c r="A92" s="153" t="n">
        <f aca="false">IF('Price History'!A93="","",'Price History'!A93)</f>
        <v>45814</v>
      </c>
      <c r="B92" s="154" t="n">
        <f aca="false">IFERROR(IF(OR(NOT(ISNUMBER('Price History'!B93)),NOT(ISNUMBER('Price History'!B92)),'Price History'!B92=0),"",'Price History'!B93/'Price History'!B92-1),"")</f>
        <v>0.00440868245440762</v>
      </c>
      <c r="C92" s="154" t="n">
        <f aca="false">IFERROR(IF(OR(NOT(ISNUMBER('Price History'!C93)),NOT(ISNUMBER('Price History'!C92)),'Price History'!C92=0),"",'Price History'!C93/'Price History'!C92-1),"")</f>
        <v>0.122460757156048</v>
      </c>
      <c r="D92" s="154" t="n">
        <f aca="false">IFERROR(IF(OR(NOT(ISNUMBER('Price History'!D93)),NOT(ISNUMBER('Price History'!D92)),'Price History'!D92=0),"",'Price History'!D93/'Price History'!D92-1),"")</f>
        <v>0.0220517737296262</v>
      </c>
      <c r="E92" s="154" t="n">
        <f aca="false">IFERROR(IF(OR(NOT(ISNUMBER('Price History'!E93)),NOT(ISNUMBER('Price History'!E92)),'Price History'!E92=0),"",'Price History'!E93/'Price History'!E92-1),"")</f>
        <v>0.0200576657891438</v>
      </c>
      <c r="F92" s="154" t="n">
        <f aca="false">IFERROR(IF(OR(NOT(ISNUMBER('Price History'!F93)),NOT(ISNUMBER('Price History'!F92)),'Price History'!F92=0),"",'Price History'!F93/'Price History'!F92-1),"")</f>
        <v>-0.00627970128988464</v>
      </c>
      <c r="G92" s="154" t="n">
        <f aca="false">IFERROR(IF(OR(NOT(ISNUMBER('Price History'!G93)),NOT(ISNUMBER('Price History'!G92)),'Price History'!G92=0),"",'Price History'!G93/'Price History'!G92-1),"")</f>
        <v>0.0674920127795526</v>
      </c>
      <c r="H92" s="154" t="n">
        <f aca="false">IFERROR(IF(OR(NOT(ISNUMBER('Price History'!H93)),NOT(ISNUMBER('Price History'!H92)),'Price History'!H92=0),"",'Price History'!H93/'Price History'!H92-1),"")</f>
        <v>0.149225217575886</v>
      </c>
      <c r="I92" s="154" t="n">
        <f aca="false">IFERROR(IF(OR(NOT(ISNUMBER('Price History'!I93)),NOT(ISNUMBER('Price History'!I92)),'Price History'!I92=0),"",'Price History'!I93/'Price History'!I92-1),"")</f>
        <v>0.048742488315157</v>
      </c>
      <c r="J92" s="154" t="n">
        <f aca="false">IFERROR(IF(OR(NOT(ISNUMBER('Price History'!J93)),NOT(ISNUMBER('Price History'!J92)),'Price History'!J92=0),"",'Price History'!J93/'Price History'!J92-1),"")</f>
        <v>0.0017411491584447</v>
      </c>
      <c r="K92" s="154" t="n">
        <f aca="false">IFERROR(IF(OR(NOT(ISNUMBER('Price History'!K93)),NOT(ISNUMBER('Price History'!K92)),'Price History'!K92=0),"",'Price History'!K93/'Price History'!K92-1),"")</f>
        <v>-0.0308089239641828</v>
      </c>
      <c r="L92" s="154" t="n">
        <f aca="false">IFERROR(IF(OR(NOT(ISNUMBER('Price History'!L93)),NOT(ISNUMBER('Price History'!L92)),'Price History'!L92=0),"",'Price History'!L93/'Price History'!L92-1),"")</f>
        <v>0.0613684210526315</v>
      </c>
      <c r="M92" s="154" t="n">
        <f aca="false">IFERROR(IF(OR(NOT(ISNUMBER('Price History'!M93)),NOT(ISNUMBER('Price History'!M92)),'Price History'!M92=0),"",'Price History'!M93/'Price History'!M92-1),"")</f>
        <v>0.068863109048724</v>
      </c>
      <c r="N92" s="154" t="n">
        <f aca="false">IFERROR(IF(OR(NOT(ISNUMBER('Price History'!N93)),NOT(ISNUMBER('Price History'!N92)),'Price History'!N92=0),"",'Price History'!N93/'Price History'!N92-1),"")</f>
        <v>0.0191154846736794</v>
      </c>
      <c r="O92" s="154" t="n">
        <f aca="false">IFERROR(IF(OR(NOT(ISNUMBER('Price History'!O93)),NOT(ISNUMBER('Price History'!O92)),'Price History'!O92=0),"",'Price History'!O93/'Price History'!O92-1),"")</f>
        <v>0.0184518974120924</v>
      </c>
      <c r="P92" s="154" t="n">
        <f aca="false">IFERROR(IF(OR(NOT(ISNUMBER('Price History'!P93)),NOT(ISNUMBER('Price History'!P92)),'Price History'!P92=0),"",'Price History'!P93/'Price History'!P92-1),"")</f>
        <v>0.00369893856545511</v>
      </c>
      <c r="Q92" s="154" t="n">
        <f aca="false">IFERROR(IF(OR(NOT(ISNUMBER('Price History'!Q93)),NOT(ISNUMBER('Price History'!Q92)),'Price History'!Q92=0),"",'Price History'!Q93/'Price History'!Q92-1),"")</f>
        <v>0.00972634355423674</v>
      </c>
      <c r="R92" s="154" t="n">
        <f aca="false">IFERROR(IF(OR(NOT(ISNUMBER('Price History'!R93)),NOT(ISNUMBER('Price History'!R92)),'Price History'!R92=0),"",'Price History'!R93/'Price History'!R92-1),"")</f>
        <v>0.0131755247878516</v>
      </c>
      <c r="S92" s="154" t="n">
        <f aca="false">IFERROR(IF(OR(NOT(ISNUMBER('Price History'!S93)),NOT(ISNUMBER('Price History'!S92)),'Price History'!S92=0),"",'Price History'!S93/'Price History'!S92-1),"")</f>
        <v>0.0148895292987512</v>
      </c>
      <c r="T92" s="154" t="n">
        <f aca="false">IFERROR(IF(OR(NOT(ISNUMBER('Price History'!T93)),NOT(ISNUMBER('Price History'!T92)),'Price History'!T92=0),"",'Price History'!T93/'Price History'!T92-1),"")</f>
        <v>0.0234515935057127</v>
      </c>
      <c r="U92" s="154" t="n">
        <f aca="false">IFERROR(IF(OR(NOT(ISNUMBER('Price History'!U93)),NOT(ISNUMBER('Price History'!U92)),'Price History'!U92=0),"",'Price History'!U93/'Price History'!U92-1),"")</f>
        <v>0.0141129032258063</v>
      </c>
      <c r="V92" s="155" t="n">
        <f aca="false">IFERROR(IF(OR(NOT(ISNUMBER('Price History'!V93)),NOT(ISNUMBER('Price History'!V92)),'Price History'!V92=0),"",'Price History'!V93/'Price History'!V92-1),"")</f>
        <v>0.0137698390753747</v>
      </c>
      <c r="W92" s="156" t="n">
        <f aca="false">IFERROR('Price History'!B3+(INDEX('Price History'!B:B,MATCH(9.99E+307,'Returns (Calc)'!$A:$A)+1)-'Price History'!B3)*(ROW()-3)/(MATCH(9.99E+307,'Returns (Calc)'!$A:$A)-3),"")</f>
        <v>364.859620253165</v>
      </c>
      <c r="X92" s="156" t="n">
        <f aca="false">IFERROR('Price History'!C3+(INDEX('Price History'!C:C,MATCH(9.99E+307,'Returns (Calc)'!$A:$A)+1)-'Price History'!C3)*(ROW()-3)/(MATCH(9.99E+307,'Returns (Calc)'!$A:$A)-3),"")</f>
        <v>136.965632911392</v>
      </c>
      <c r="Y92" s="156" t="n">
        <f aca="false">IFERROR('Price History'!D3+(INDEX('Price History'!D:D,MATCH(9.99E+307,'Returns (Calc)'!$A:$A)+1)-'Price History'!D3)*(ROW()-3)/(MATCH(9.99E+307,'Returns (Calc)'!$A:$A)-3),"")</f>
        <v>1306.00810126582</v>
      </c>
      <c r="Z92" s="156" t="n">
        <f aca="false">IFERROR('Price History'!E3+(INDEX('Price History'!E:E,MATCH(9.99E+307,'Returns (Calc)'!$A:$A)+1)-'Price History'!E3)*(ROW()-3)/(MATCH(9.99E+307,'Returns (Calc)'!$A:$A)-3),"")</f>
        <v>235.857341772152</v>
      </c>
      <c r="AA92" s="156" t="n">
        <f aca="false">IFERROR('Price History'!F3+(INDEX('Price History'!F:F,MATCH(9.99E+307,'Returns (Calc)'!$A:$A)+1)-'Price History'!F3)*(ROW()-3)/(MATCH(9.99E+307,'Returns (Calc)'!$A:$A)-3),"")</f>
        <v>170.173417721519</v>
      </c>
      <c r="AB92" s="156" t="n">
        <f aca="false">IFERROR('Price History'!G3+(INDEX('Price History'!G:G,MATCH(9.99E+307,'Returns (Calc)'!$A:$A)+1)-'Price History'!G3)*(ROW()-3)/(MATCH(9.99E+307,'Returns (Calc)'!$A:$A)-3),"")</f>
        <v>135.907341772152</v>
      </c>
      <c r="AC92" s="156" t="n">
        <f aca="false">IFERROR('Price History'!H3+(INDEX('Price History'!H:H,MATCH(9.99E+307,'Returns (Calc)'!$A:$A)+1)-'Price History'!H3)*(ROW()-3)/(MATCH(9.99E+307,'Returns (Calc)'!$A:$A)-3),"")</f>
        <v>635.656962025317</v>
      </c>
      <c r="AD92" s="156" t="n">
        <f aca="false">IFERROR('Price History'!I3+(INDEX('Price History'!I:I,MATCH(9.99E+307,'Returns (Calc)'!$A:$A)+1)-'Price History'!I3)*(ROW()-3)/(MATCH(9.99E+307,'Returns (Calc)'!$A:$A)-3),"")</f>
        <v>150.896708860759</v>
      </c>
      <c r="AE92" s="156" t="n">
        <f aca="false">IFERROR('Price History'!J3+(INDEX('Price History'!J:J,MATCH(9.99E+307,'Returns (Calc)'!$A:$A)+1)-'Price History'!J3)*(ROW()-3)/(MATCH(9.99E+307,'Returns (Calc)'!$A:$A)-3),"")</f>
        <v>121.455379746835</v>
      </c>
      <c r="AF92" s="156" t="n">
        <f aca="false">IFERROR('Price History'!K3+(INDEX('Price History'!K:K,MATCH(9.99E+307,'Returns (Calc)'!$A:$A)+1)-'Price History'!K3)*(ROW()-3)/(MATCH(9.99E+307,'Returns (Calc)'!$A:$A)-3),"")</f>
        <v>113.015949367089</v>
      </c>
      <c r="AG92" s="156" t="n">
        <f aca="false">IFERROR('Price History'!L3+(INDEX('Price History'!L:L,MATCH(9.99E+307,'Returns (Calc)'!$A:$A)+1)-'Price History'!L3)*(ROW()-3)/(MATCH(9.99E+307,'Returns (Calc)'!$A:$A)-3),"")</f>
        <v>303.760569620253</v>
      </c>
      <c r="AH92" s="156" t="n">
        <f aca="false">IFERROR('Price History'!M3+(INDEX('Price History'!M:M,MATCH(9.99E+307,'Returns (Calc)'!$A:$A)+1)-'Price History'!M3)*(ROW()-3)/(MATCH(9.99E+307,'Returns (Calc)'!$A:$A)-3),"")</f>
        <v>158.654430379747</v>
      </c>
      <c r="AI92" s="156" t="n">
        <f aca="false">IFERROR('Price History'!N3+(INDEX('Price History'!N:N,MATCH(9.99E+307,'Returns (Calc)'!$A:$A)+1)-'Price History'!N3)*(ROW()-3)/(MATCH(9.99E+307,'Returns (Calc)'!$A:$A)-3),"")</f>
        <v>436.677658227848</v>
      </c>
      <c r="AJ92" s="156" t="n">
        <f aca="false">IFERROR('Price History'!O3+(INDEX('Price History'!O:O,MATCH(9.99E+307,'Returns (Calc)'!$A:$A)+1)-'Price History'!O3)*(ROW()-3)/(MATCH(9.99E+307,'Returns (Calc)'!$A:$A)-3),"")</f>
        <v>100.500379746835</v>
      </c>
      <c r="AK92" s="156" t="n">
        <f aca="false">IFERROR('Price History'!Q3+(INDEX('Price History'!Q:Q,MATCH(9.99E+307,'Returns (Calc)'!$A:$A)+1)-'Price History'!Q3)*(ROW()-3)/(MATCH(9.99E+307,'Returns (Calc)'!$A:$A)-3),"")</f>
        <v>39.103670886076</v>
      </c>
      <c r="AL92" s="156" t="n">
        <f aca="false">IFERROR('Price History'!R3+(INDEX('Price History'!R:R,MATCH(9.99E+307,'Returns (Calc)'!$A:$A)+1)-'Price History'!R3)*(ROW()-3)/(MATCH(9.99E+307,'Returns (Calc)'!$A:$A)-3),"")</f>
        <v>49.4410126582279</v>
      </c>
      <c r="AM92" s="156" t="n">
        <f aca="false">IFERROR('Price History'!S3+(INDEX('Price History'!S:S,MATCH(9.99E+307,'Returns (Calc)'!$A:$A)+1)-'Price History'!S3)*(ROW()-3)/(MATCH(9.99E+307,'Returns (Calc)'!$A:$A)-3),"")</f>
        <v>111.480632911392</v>
      </c>
      <c r="AN92" s="156" t="n">
        <f aca="false">IFERROR('Price History'!T3+(INDEX('Price History'!T:T,MATCH(9.99E+307,'Returns (Calc)'!$A:$A)+1)-'Price History'!T3)*(ROW()-3)/(MATCH(9.99E+307,'Returns (Calc)'!$A:$A)-3),"")</f>
        <v>40.2122784810127</v>
      </c>
      <c r="AO92" s="157" t="n">
        <f aca="false">IFERROR('Price History'!V3+(INDEX('Price History'!V:V,MATCH(9.99E+307,'Returns (Calc)'!$A:$A)+1)-'Price History'!V3)*(ROW()-3)/(MATCH(9.99E+307,'Returns (Calc)'!$A:$A)-3),"")</f>
        <v>306.058291139241</v>
      </c>
      <c r="AP92" s="155" t="n">
        <f aca="false">IFERROR(IF(OR(NOT(ISNUMBER('Price History'!W93)),NOT(ISNUMBER('Price History'!W92)),'Price History'!W92=0),"",'Price History'!W93/'Price History'!W92-1),"")</f>
        <v>0.0110164039884209</v>
      </c>
      <c r="AQ92" s="155" t="str">
        <f aca="false">IFERROR(IF(OR(NOT(ISNUMBER('Price History'!X93)),NOT(ISNUMBER('Price History'!X92)),'Price History'!X92=0),"",'Price History'!X93/'Price History'!X92-1),"")</f>
        <v/>
      </c>
      <c r="AR92" s="155" t="n">
        <f aca="false">IFERROR(IF(OR(NOT(ISNUMBER('Price History'!Y93)),NOT(ISNUMBER('Price History'!Y92)),'Price History'!Y92=0),"",'Price History'!Y93/'Price History'!Y92-1),"")</f>
        <v>0.00880704563650925</v>
      </c>
      <c r="AS92" s="155" t="n">
        <f aca="false">IFERROR(IF(OR(NOT(ISNUMBER('Price History'!Z93)),NOT(ISNUMBER('Price History'!Z92)),'Price History'!Z92=0),"",'Price History'!Z93/'Price History'!Z92-1),"")</f>
        <v>0.0395399287790104</v>
      </c>
      <c r="AT92" s="155" t="n">
        <f aca="false">IFERROR(IF(OR(NOT(ISNUMBER('Price History'!AA93)),NOT(ISNUMBER('Price History'!AA92)),'Price History'!AA92=0),"",'Price History'!AA93/'Price History'!AA92-1),"")</f>
        <v>0.0284128561961565</v>
      </c>
      <c r="AU92" s="155" t="n">
        <f aca="false">IFERROR(IF(OR(NOT(ISNUMBER('Price History'!AB93)),NOT(ISNUMBER('Price History'!AB92)),'Price History'!AB92=0),"",'Price History'!AB93/'Price History'!AB92-1),"")</f>
        <v>0.0202359671076153</v>
      </c>
    </row>
    <row r="93" customFormat="false" ht="15" hidden="false" customHeight="true" outlineLevel="0" collapsed="false">
      <c r="A93" s="153" t="n">
        <f aca="false">IF('Price History'!A94="","",'Price History'!A94)</f>
        <v>45821</v>
      </c>
      <c r="B93" s="154" t="n">
        <f aca="false">IFERROR(IF(OR(NOT(ISNUMBER('Price History'!B94)),NOT(ISNUMBER('Price History'!B93)),'Price History'!B93=0),"",'Price History'!B94/'Price History'!B93-1),"")</f>
        <v>-0.06053919217116</v>
      </c>
      <c r="C93" s="154" t="n">
        <f aca="false">IFERROR(IF(OR(NOT(ISNUMBER('Price History'!C94)),NOT(ISNUMBER('Price History'!C93)),'Price History'!C93=0),"",'Price History'!C94/'Price History'!C93-1),"")</f>
        <v>-0.0503856041131106</v>
      </c>
      <c r="D93" s="154" t="n">
        <f aca="false">IFERROR(IF(OR(NOT(ISNUMBER('Price History'!D94)),NOT(ISNUMBER('Price History'!D93)),'Price History'!D93=0),"",'Price History'!D94/'Price History'!D93-1),"")</f>
        <v>0.0106003752345216</v>
      </c>
      <c r="E93" s="154" t="n">
        <f aca="false">IFERROR(IF(OR(NOT(ISNUMBER('Price History'!E94)),NOT(ISNUMBER('Price History'!E93)),'Price History'!E93=0),"",'Price History'!E94/'Price History'!E93-1),"")</f>
        <v>0.00716889926672404</v>
      </c>
      <c r="F93" s="154" t="n">
        <f aca="false">IFERROR(IF(OR(NOT(ISNUMBER('Price History'!F94)),NOT(ISNUMBER('Price History'!F93)),'Price History'!F93=0),"",'Price History'!F94/'Price History'!F93-1),"")</f>
        <v>0.0260461144321094</v>
      </c>
      <c r="G93" s="154" t="n">
        <f aca="false">IFERROR(IF(OR(NOT(ISNUMBER('Price History'!G94)),NOT(ISNUMBER('Price History'!G93)),'Price History'!G93=0),"",'Price History'!G94/'Price History'!G93-1),"")</f>
        <v>0.073824666417259</v>
      </c>
      <c r="H93" s="154" t="n">
        <f aca="false">IFERROR(IF(OR(NOT(ISNUMBER('Price History'!H94)),NOT(ISNUMBER('Price History'!H93)),'Price History'!H93=0),"",'Price History'!H94/'Price History'!H93-1),"")</f>
        <v>0.0649242704100481</v>
      </c>
      <c r="I93" s="154" t="n">
        <f aca="false">IFERROR(IF(OR(NOT(ISNUMBER('Price History'!I94)),NOT(ISNUMBER('Price History'!I93)),'Price History'!I93=0),"",'Price History'!I94/'Price History'!I93-1),"")</f>
        <v>0.00183927560837582</v>
      </c>
      <c r="J93" s="154" t="n">
        <f aca="false">IFERROR(IF(OR(NOT(ISNUMBER('Price History'!J94)),NOT(ISNUMBER('Price History'!J93)),'Price History'!J93=0),"",'Price History'!J94/'Price History'!J93-1),"")</f>
        <v>-0.0139049826187717</v>
      </c>
      <c r="K93" s="154" t="n">
        <f aca="false">IFERROR(IF(OR(NOT(ISNUMBER('Price History'!K94)),NOT(ISNUMBER('Price History'!K93)),'Price History'!K93=0),"",'Price History'!K94/'Price History'!K93-1),"")</f>
        <v>0.0757907923582839</v>
      </c>
      <c r="L93" s="154" t="n">
        <f aca="false">IFERROR(IF(OR(NOT(ISNUMBER('Price History'!L94)),NOT(ISNUMBER('Price History'!L93)),'Price History'!L93=0),"",'Price History'!L94/'Price History'!L93-1),"")</f>
        <v>0.0325795894079144</v>
      </c>
      <c r="M93" s="154" t="n">
        <f aca="false">IFERROR(IF(OR(NOT(ISNUMBER('Price History'!M94)),NOT(ISNUMBER('Price History'!M93)),'Price History'!M93=0),"",'Price History'!M94/'Price History'!M93-1),"")</f>
        <v>-0.0381175653381958</v>
      </c>
      <c r="N93" s="154" t="n">
        <f aca="false">IFERROR(IF(OR(NOT(ISNUMBER('Price History'!N94)),NOT(ISNUMBER('Price History'!N93)),'Price History'!N93=0),"",'Price History'!N94/'Price History'!N93-1),"")</f>
        <v>0.0109877913429524</v>
      </c>
      <c r="O93" s="154" t="n">
        <f aca="false">IFERROR(IF(OR(NOT(ISNUMBER('Price History'!O94)),NOT(ISNUMBER('Price History'!O93)),'Price History'!O93=0),"",'Price History'!O94/'Price History'!O93-1),"")</f>
        <v>-0.00603919781221518</v>
      </c>
      <c r="P93" s="154" t="n">
        <f aca="false">IFERROR(IF(OR(NOT(ISNUMBER('Price History'!P94)),NOT(ISNUMBER('Price History'!P93)),'Price History'!P93=0),"",'Price History'!P94/'Price History'!P93-1),"")</f>
        <v>-0.00352507610959785</v>
      </c>
      <c r="Q93" s="154" t="n">
        <f aca="false">IFERROR(IF(OR(NOT(ISNUMBER('Price History'!Q94)),NOT(ISNUMBER('Price History'!Q93)),'Price History'!Q93=0),"",'Price History'!Q94/'Price History'!Q93-1),"")</f>
        <v>-0.000163265306122429</v>
      </c>
      <c r="R93" s="154" t="n">
        <f aca="false">IFERROR(IF(OR(NOT(ISNUMBER('Price History'!R94)),NOT(ISNUMBER('Price History'!R93)),'Price History'!R93=0),"",'Price History'!R94/'Price History'!R93-1),"")</f>
        <v>-0.00198368966277263</v>
      </c>
      <c r="S93" s="154" t="n">
        <f aca="false">IFERROR(IF(OR(NOT(ISNUMBER('Price History'!S94)),NOT(ISNUMBER('Price History'!S93)),'Price History'!S93=0),"",'Price History'!S94/'Price History'!S93-1),"")</f>
        <v>-0.00709891150023667</v>
      </c>
      <c r="T93" s="154" t="n">
        <f aca="false">IFERROR(IF(OR(NOT(ISNUMBER('Price History'!T94)),NOT(ISNUMBER('Price History'!T93)),'Price History'!T93=0),"",'Price History'!T94/'Price History'!T93-1),"")</f>
        <v>0.0132197414806112</v>
      </c>
      <c r="U93" s="154" t="n">
        <f aca="false">IFERROR(IF(OR(NOT(ISNUMBER('Price History'!U94)),NOT(ISNUMBER('Price History'!U93)),'Price History'!U93=0),"",'Price History'!U94/'Price History'!U93-1),"")</f>
        <v>0.0135188866799205</v>
      </c>
      <c r="V93" s="155" t="n">
        <f aca="false">IFERROR(IF(OR(NOT(ISNUMBER('Price History'!V94)),NOT(ISNUMBER('Price History'!V93)),'Price History'!V93=0),"",'Price History'!V94/'Price History'!V93-1),"")</f>
        <v>-0.0469125027274711</v>
      </c>
      <c r="W93" s="156" t="n">
        <f aca="false">IFERROR('Price History'!B3+(INDEX('Price History'!B:B,MATCH(9.99E+307,'Returns (Calc)'!$A:$A)+1)-'Price History'!B3)*(ROW()-3)/(MATCH(9.99E+307,'Returns (Calc)'!$A:$A)-3),"")</f>
        <v>363.016582278481</v>
      </c>
      <c r="X93" s="156" t="n">
        <f aca="false">IFERROR('Price History'!C3+(INDEX('Price History'!C:C,MATCH(9.99E+307,'Returns (Calc)'!$A:$A)+1)-'Price History'!C3)*(ROW()-3)/(MATCH(9.99E+307,'Returns (Calc)'!$A:$A)-3),"")</f>
        <v>137.985696202532</v>
      </c>
      <c r="Y93" s="156" t="n">
        <f aca="false">IFERROR('Price History'!D3+(INDEX('Price History'!D:D,MATCH(9.99E+307,'Returns (Calc)'!$A:$A)+1)-'Price History'!D3)*(ROW()-3)/(MATCH(9.99E+307,'Returns (Calc)'!$A:$A)-3),"")</f>
        <v>1314.14291139241</v>
      </c>
      <c r="Z93" s="156" t="n">
        <f aca="false">IFERROR('Price History'!E3+(INDEX('Price History'!E:E,MATCH(9.99E+307,'Returns (Calc)'!$A:$A)+1)-'Price History'!E3)*(ROW()-3)/(MATCH(9.99E+307,'Returns (Calc)'!$A:$A)-3),"")</f>
        <v>237.586075949367</v>
      </c>
      <c r="AA93" s="156" t="n">
        <f aca="false">IFERROR('Price History'!F3+(INDEX('Price History'!F:F,MATCH(9.99E+307,'Returns (Calc)'!$A:$A)+1)-'Price History'!F3)*(ROW()-3)/(MATCH(9.99E+307,'Returns (Calc)'!$A:$A)-3),"")</f>
        <v>171.620759493671</v>
      </c>
      <c r="AB93" s="156" t="n">
        <f aca="false">IFERROR('Price History'!G3+(INDEX('Price History'!G:G,MATCH(9.99E+307,'Returns (Calc)'!$A:$A)+1)-'Price History'!G3)*(ROW()-3)/(MATCH(9.99E+307,'Returns (Calc)'!$A:$A)-3),"")</f>
        <v>136.936075949367</v>
      </c>
      <c r="AC93" s="156" t="n">
        <f aca="false">IFERROR('Price History'!H3+(INDEX('Price History'!H:H,MATCH(9.99E+307,'Returns (Calc)'!$A:$A)+1)-'Price History'!H3)*(ROW()-3)/(MATCH(9.99E+307,'Returns (Calc)'!$A:$A)-3),"")</f>
        <v>642.022658227848</v>
      </c>
      <c r="AD93" s="156" t="n">
        <f aca="false">IFERROR('Price History'!I3+(INDEX('Price History'!I:I,MATCH(9.99E+307,'Returns (Calc)'!$A:$A)+1)-'Price History'!I3)*(ROW()-3)/(MATCH(9.99E+307,'Returns (Calc)'!$A:$A)-3),"")</f>
        <v>152.100379746835</v>
      </c>
      <c r="AE93" s="156" t="n">
        <f aca="false">IFERROR('Price History'!J3+(INDEX('Price History'!J:J,MATCH(9.99E+307,'Returns (Calc)'!$A:$A)+1)-'Price History'!J3)*(ROW()-3)/(MATCH(9.99E+307,'Returns (Calc)'!$A:$A)-3),"")</f>
        <v>121.563417721519</v>
      </c>
      <c r="AF93" s="156" t="n">
        <f aca="false">IFERROR('Price History'!K3+(INDEX('Price History'!K:K,MATCH(9.99E+307,'Returns (Calc)'!$A:$A)+1)-'Price History'!K3)*(ROW()-3)/(MATCH(9.99E+307,'Returns (Calc)'!$A:$A)-3),"")</f>
        <v>114.113544303797</v>
      </c>
      <c r="AG93" s="156" t="n">
        <f aca="false">IFERROR('Price History'!L3+(INDEX('Price History'!L:L,MATCH(9.99E+307,'Returns (Calc)'!$A:$A)+1)-'Price History'!L3)*(ROW()-3)/(MATCH(9.99E+307,'Returns (Calc)'!$A:$A)-3),"")</f>
        <v>306.210126582278</v>
      </c>
      <c r="AH93" s="156" t="n">
        <f aca="false">IFERROR('Price History'!M3+(INDEX('Price History'!M:M,MATCH(9.99E+307,'Returns (Calc)'!$A:$A)+1)-'Price History'!M3)*(ROW()-3)/(MATCH(9.99E+307,'Returns (Calc)'!$A:$A)-3),"")</f>
        <v>160.009873417722</v>
      </c>
      <c r="AI93" s="156" t="n">
        <f aca="false">IFERROR('Price History'!N3+(INDEX('Price History'!N:N,MATCH(9.99E+307,'Returns (Calc)'!$A:$A)+1)-'Price History'!N3)*(ROW()-3)/(MATCH(9.99E+307,'Returns (Calc)'!$A:$A)-3),"")</f>
        <v>437.663924050633</v>
      </c>
      <c r="AJ93" s="156" t="n">
        <f aca="false">IFERROR('Price History'!O3+(INDEX('Price History'!O:O,MATCH(9.99E+307,'Returns (Calc)'!$A:$A)+1)-'Price History'!O3)*(ROW()-3)/(MATCH(9.99E+307,'Returns (Calc)'!$A:$A)-3),"")</f>
        <v>100.783417721519</v>
      </c>
      <c r="AK93" s="156" t="n">
        <f aca="false">IFERROR('Price History'!Q3+(INDEX('Price History'!Q:Q,MATCH(9.99E+307,'Returns (Calc)'!$A:$A)+1)-'Price History'!Q3)*(ROW()-3)/(MATCH(9.99E+307,'Returns (Calc)'!$A:$A)-3),"")</f>
        <v>39.5430379746835</v>
      </c>
      <c r="AL93" s="156" t="n">
        <f aca="false">IFERROR('Price History'!R3+(INDEX('Price History'!R:R,MATCH(9.99E+307,'Returns (Calc)'!$A:$A)+1)-'Price History'!R3)*(ROW()-3)/(MATCH(9.99E+307,'Returns (Calc)'!$A:$A)-3),"")</f>
        <v>49.6091139240506</v>
      </c>
      <c r="AM93" s="156" t="n">
        <f aca="false">IFERROR('Price History'!S3+(INDEX('Price History'!S:S,MATCH(9.99E+307,'Returns (Calc)'!$A:$A)+1)-'Price History'!S3)*(ROW()-3)/(MATCH(9.99E+307,'Returns (Calc)'!$A:$A)-3),"")</f>
        <v>112.085696202532</v>
      </c>
      <c r="AN93" s="156" t="n">
        <f aca="false">IFERROR('Price History'!T3+(INDEX('Price History'!T:T,MATCH(9.99E+307,'Returns (Calc)'!$A:$A)+1)-'Price History'!T3)*(ROW()-3)/(MATCH(9.99E+307,'Returns (Calc)'!$A:$A)-3),"")</f>
        <v>40.3805063291139</v>
      </c>
      <c r="AO93" s="157" t="n">
        <f aca="false">IFERROR('Price History'!V3+(INDEX('Price History'!V:V,MATCH(9.99E+307,'Returns (Calc)'!$A:$A)+1)-'Price History'!V3)*(ROW()-3)/(MATCH(9.99E+307,'Returns (Calc)'!$A:$A)-3),"")</f>
        <v>306.849620253165</v>
      </c>
      <c r="AP93" s="155" t="n">
        <f aca="false">IFERROR(IF(OR(NOT(ISNUMBER('Price History'!W94)),NOT(ISNUMBER('Price History'!W93)),'Price History'!W93=0),"",'Price History'!W94/'Price History'!W93-1),"")</f>
        <v>0.000715819613457347</v>
      </c>
      <c r="AQ93" s="155" t="str">
        <f aca="false">IFERROR(IF(OR(NOT(ISNUMBER('Price History'!X94)),NOT(ISNUMBER('Price History'!X93)),'Price History'!X93=0),"",'Price History'!X94/'Price History'!X93-1),"")</f>
        <v/>
      </c>
      <c r="AR93" s="155" t="n">
        <f aca="false">IFERROR(IF(OR(NOT(ISNUMBER('Price History'!Y94)),NOT(ISNUMBER('Price History'!Y93)),'Price History'!Y93=0),"",'Price History'!Y94/'Price History'!Y93-1),"")</f>
        <v>0</v>
      </c>
      <c r="AS93" s="155" t="n">
        <f aca="false">IFERROR(IF(OR(NOT(ISNUMBER('Price History'!Z94)),NOT(ISNUMBER('Price History'!Z93)),'Price History'!Z93=0),"",'Price History'!Z94/'Price History'!Z93-1),"")</f>
        <v>-0.0744576131039099</v>
      </c>
      <c r="AT93" s="155" t="n">
        <f aca="false">IFERROR(IF(OR(NOT(ISNUMBER('Price History'!AA94)),NOT(ISNUMBER('Price History'!AA93)),'Price History'!AA93=0),"",'Price History'!AA94/'Price History'!AA93-1),"")</f>
        <v>-0.023681031010874</v>
      </c>
      <c r="AU93" s="155" t="n">
        <f aca="false">IFERROR(IF(OR(NOT(ISNUMBER('Price History'!AB94)),NOT(ISNUMBER('Price History'!AB93)),'Price History'!AB93=0),"",'Price History'!AB94/'Price History'!AB93-1),"")</f>
        <v>-0.00984721054107096</v>
      </c>
    </row>
    <row r="94" customFormat="false" ht="15" hidden="false" customHeight="true" outlineLevel="0" collapsed="false">
      <c r="A94" s="153" t="n">
        <f aca="false">IF('Price History'!A95="","",'Price History'!A95)</f>
        <v>45828</v>
      </c>
      <c r="B94" s="154" t="n">
        <f aca="false">IFERROR(IF(OR(NOT(ISNUMBER('Price History'!B95)),NOT(ISNUMBER('Price History'!B94)),'Price History'!B94=0),"",'Price History'!B95/'Price History'!B94-1),"")</f>
        <v>-0.0376838235294117</v>
      </c>
      <c r="C94" s="154" t="n">
        <f aca="false">IFERROR(IF(OR(NOT(ISNUMBER('Price History'!C95)),NOT(ISNUMBER('Price History'!C94)),'Price History'!C94=0),"",'Price History'!C95/'Price History'!C94-1),"")</f>
        <v>-0.0660530590146182</v>
      </c>
      <c r="D94" s="154" t="n">
        <f aca="false">IFERROR(IF(OR(NOT(ISNUMBER('Price History'!D95)),NOT(ISNUMBER('Price History'!D94)),'Price History'!D94=0),"",'Price History'!D95/'Price History'!D94-1),"")</f>
        <v>-0.00587447454615386</v>
      </c>
      <c r="E94" s="154" t="n">
        <f aca="false">IFERROR(IF(OR(NOT(ISNUMBER('Price History'!E95)),NOT(ISNUMBER('Price History'!E94)),'Price History'!E94=0),"",'Price History'!E95/'Price History'!E94-1),"")</f>
        <v>0.00756528105425836</v>
      </c>
      <c r="F94" s="154" t="n">
        <f aca="false">IFERROR(IF(OR(NOT(ISNUMBER('Price History'!F95)),NOT(ISNUMBER('Price History'!F94)),'Price History'!F94=0),"",'Price History'!F95/'Price History'!F94-1),"")</f>
        <v>-0.00898876404494398</v>
      </c>
      <c r="G94" s="154" t="n">
        <f aca="false">IFERROR(IF(OR(NOT(ISNUMBER('Price History'!G95)),NOT(ISNUMBER('Price History'!G94)),'Price History'!G94=0),"",'Price History'!G95/'Price History'!G94-1),"")</f>
        <v>-0.020322842875392</v>
      </c>
      <c r="H94" s="154" t="n">
        <f aca="false">IFERROR(IF(OR(NOT(ISNUMBER('Price History'!H95)),NOT(ISNUMBER('Price History'!H94)),'Price History'!H94=0),"",'Price History'!H95/'Price History'!H94-1),"")</f>
        <v>0.0692047524065562</v>
      </c>
      <c r="I94" s="154" t="n">
        <f aca="false">IFERROR(IF(OR(NOT(ISNUMBER('Price History'!I95)),NOT(ISNUMBER('Price History'!I94)),'Price History'!I94=0),"",'Price History'!I95/'Price History'!I94-1),"")</f>
        <v>0.0132749611636773</v>
      </c>
      <c r="J94" s="154" t="n">
        <f aca="false">IFERROR(IF(OR(NOT(ISNUMBER('Price History'!J95)),NOT(ISNUMBER('Price History'!J94)),'Price History'!J94=0),"",'Price History'!J95/'Price History'!J94-1),"")</f>
        <v>-0.00538582060321202</v>
      </c>
      <c r="K94" s="154" t="n">
        <f aca="false">IFERROR(IF(OR(NOT(ISNUMBER('Price History'!K95)),NOT(ISNUMBER('Price History'!K94)),'Price History'!K94=0),"",'Price History'!K95/'Price History'!K94-1),"")</f>
        <v>-0.000727802037845615</v>
      </c>
      <c r="L94" s="154" t="n">
        <f aca="false">IFERROR(IF(OR(NOT(ISNUMBER('Price History'!L95)),NOT(ISNUMBER('Price History'!L94)),'Price History'!L94=0),"",'Price History'!L95/'Price History'!L94-1),"")</f>
        <v>-0.00753973971089661</v>
      </c>
      <c r="M94" s="154" t="n">
        <f aca="false">IFERROR(IF(OR(NOT(ISNUMBER('Price History'!M95)),NOT(ISNUMBER('Price History'!M94)),'Price History'!M94=0),"",'Price History'!M95/'Price History'!M94-1),"")</f>
        <v>0.0686044412348799</v>
      </c>
      <c r="N94" s="154" t="n">
        <f aca="false">IFERROR(IF(OR(NOT(ISNUMBER('Price History'!N95)),NOT(ISNUMBER('Price History'!N94)),'Price History'!N94=0),"",'Price History'!N95/'Price History'!N94-1),"")</f>
        <v>-0.0320122955318916</v>
      </c>
      <c r="O94" s="154" t="n">
        <f aca="false">IFERROR(IF(OR(NOT(ISNUMBER('Price History'!O95)),NOT(ISNUMBER('Price History'!O94)),'Price History'!O94=0),"",'Price History'!O95/'Price History'!O94-1),"")</f>
        <v>0.00171959188352622</v>
      </c>
      <c r="P94" s="154" t="n">
        <f aca="false">IFERROR(IF(OR(NOT(ISNUMBER('Price History'!P95)),NOT(ISNUMBER('Price History'!P94)),'Price History'!P94=0),"",'Price History'!P95/'Price History'!P94-1),"")</f>
        <v>0.00297475478372733</v>
      </c>
      <c r="Q94" s="154" t="n">
        <f aca="false">IFERROR(IF(OR(NOT(ISNUMBER('Price History'!Q95)),NOT(ISNUMBER('Price History'!Q94)),'Price History'!Q94=0),"",'Price History'!Q95/'Price History'!Q94-1),"")</f>
        <v>0.000816459830176308</v>
      </c>
      <c r="R94" s="154" t="n">
        <f aca="false">IFERROR(IF(OR(NOT(ISNUMBER('Price History'!R95)),NOT(ISNUMBER('Price History'!R94)),'Price History'!R94=0),"",'Price History'!R95/'Price History'!R94-1),"")</f>
        <v>0.00309187279151946</v>
      </c>
      <c r="S94" s="154" t="n">
        <f aca="false">IFERROR(IF(OR(NOT(ISNUMBER('Price History'!S95)),NOT(ISNUMBER('Price History'!S94)),'Price History'!S94=0),"",'Price History'!S95/'Price History'!S94-1),"")</f>
        <v>0.00705433746425155</v>
      </c>
      <c r="T94" s="154" t="n">
        <f aca="false">IFERROR(IF(OR(NOT(ISNUMBER('Price History'!T95)),NOT(ISNUMBER('Price History'!T94)),'Price History'!T94=0),"",'Price History'!T95/'Price History'!T94-1),"")</f>
        <v>-0.00115975645114519</v>
      </c>
      <c r="U94" s="154" t="n">
        <f aca="false">IFERROR(IF(OR(NOT(ISNUMBER('Price History'!U95)),NOT(ISNUMBER('Price History'!U94)),'Price History'!U94=0),"",'Price History'!U95/'Price History'!U94-1),"")</f>
        <v>-0.00745390349156527</v>
      </c>
      <c r="V94" s="155" t="n">
        <f aca="false">IFERROR(IF(OR(NOT(ISNUMBER('Price History'!V95)),NOT(ISNUMBER('Price History'!V94)),'Price History'!V94=0),"",'Price History'!V95/'Price History'!V94-1),"")</f>
        <v>-0.0404933608058607</v>
      </c>
      <c r="W94" s="156" t="n">
        <f aca="false">IFERROR('Price History'!B3+(INDEX('Price History'!B:B,MATCH(9.99E+307,'Returns (Calc)'!$A:$A)+1)-'Price History'!B3)*(ROW()-3)/(MATCH(9.99E+307,'Returns (Calc)'!$A:$A)-3),"")</f>
        <v>361.173544303798</v>
      </c>
      <c r="X94" s="156" t="n">
        <f aca="false">IFERROR('Price History'!C3+(INDEX('Price History'!C:C,MATCH(9.99E+307,'Returns (Calc)'!$A:$A)+1)-'Price History'!C3)*(ROW()-3)/(MATCH(9.99E+307,'Returns (Calc)'!$A:$A)-3),"")</f>
        <v>139.005759493671</v>
      </c>
      <c r="Y94" s="156" t="n">
        <f aca="false">IFERROR('Price History'!D3+(INDEX('Price History'!D:D,MATCH(9.99E+307,'Returns (Calc)'!$A:$A)+1)-'Price History'!D3)*(ROW()-3)/(MATCH(9.99E+307,'Returns (Calc)'!$A:$A)-3),"")</f>
        <v>1322.27772151899</v>
      </c>
      <c r="Z94" s="156" t="n">
        <f aca="false">IFERROR('Price History'!E3+(INDEX('Price History'!E:E,MATCH(9.99E+307,'Returns (Calc)'!$A:$A)+1)-'Price History'!E3)*(ROW()-3)/(MATCH(9.99E+307,'Returns (Calc)'!$A:$A)-3),"")</f>
        <v>239.314810126582</v>
      </c>
      <c r="AA94" s="156" t="n">
        <f aca="false">IFERROR('Price History'!F3+(INDEX('Price History'!F:F,MATCH(9.99E+307,'Returns (Calc)'!$A:$A)+1)-'Price History'!F3)*(ROW()-3)/(MATCH(9.99E+307,'Returns (Calc)'!$A:$A)-3),"")</f>
        <v>173.068101265823</v>
      </c>
      <c r="AB94" s="156" t="n">
        <f aca="false">IFERROR('Price History'!G3+(INDEX('Price History'!G:G,MATCH(9.99E+307,'Returns (Calc)'!$A:$A)+1)-'Price History'!G3)*(ROW()-3)/(MATCH(9.99E+307,'Returns (Calc)'!$A:$A)-3),"")</f>
        <v>137.964810126582</v>
      </c>
      <c r="AC94" s="156" t="n">
        <f aca="false">IFERROR('Price History'!H3+(INDEX('Price History'!H:H,MATCH(9.99E+307,'Returns (Calc)'!$A:$A)+1)-'Price History'!H3)*(ROW()-3)/(MATCH(9.99E+307,'Returns (Calc)'!$A:$A)-3),"")</f>
        <v>648.38835443038</v>
      </c>
      <c r="AD94" s="156" t="n">
        <f aca="false">IFERROR('Price History'!I3+(INDEX('Price History'!I:I,MATCH(9.99E+307,'Returns (Calc)'!$A:$A)+1)-'Price History'!I3)*(ROW()-3)/(MATCH(9.99E+307,'Returns (Calc)'!$A:$A)-3),"")</f>
        <v>153.304050632911</v>
      </c>
      <c r="AE94" s="156" t="n">
        <f aca="false">IFERROR('Price History'!J3+(INDEX('Price History'!J:J,MATCH(9.99E+307,'Returns (Calc)'!$A:$A)+1)-'Price History'!J3)*(ROW()-3)/(MATCH(9.99E+307,'Returns (Calc)'!$A:$A)-3),"")</f>
        <v>121.671455696203</v>
      </c>
      <c r="AF94" s="156" t="n">
        <f aca="false">IFERROR('Price History'!K3+(INDEX('Price History'!K:K,MATCH(9.99E+307,'Returns (Calc)'!$A:$A)+1)-'Price History'!K3)*(ROW()-3)/(MATCH(9.99E+307,'Returns (Calc)'!$A:$A)-3),"")</f>
        <v>115.211139240506</v>
      </c>
      <c r="AG94" s="156" t="n">
        <f aca="false">IFERROR('Price History'!L3+(INDEX('Price History'!L:L,MATCH(9.99E+307,'Returns (Calc)'!$A:$A)+1)-'Price History'!L3)*(ROW()-3)/(MATCH(9.99E+307,'Returns (Calc)'!$A:$A)-3),"")</f>
        <v>308.659683544304</v>
      </c>
      <c r="AH94" s="156" t="n">
        <f aca="false">IFERROR('Price History'!M3+(INDEX('Price History'!M:M,MATCH(9.99E+307,'Returns (Calc)'!$A:$A)+1)-'Price History'!M3)*(ROW()-3)/(MATCH(9.99E+307,'Returns (Calc)'!$A:$A)-3),"")</f>
        <v>161.365316455696</v>
      </c>
      <c r="AI94" s="156" t="n">
        <f aca="false">IFERROR('Price History'!N3+(INDEX('Price History'!N:N,MATCH(9.99E+307,'Returns (Calc)'!$A:$A)+1)-'Price History'!N3)*(ROW()-3)/(MATCH(9.99E+307,'Returns (Calc)'!$A:$A)-3),"")</f>
        <v>438.650189873418</v>
      </c>
      <c r="AJ94" s="156" t="n">
        <f aca="false">IFERROR('Price History'!O3+(INDEX('Price History'!O:O,MATCH(9.99E+307,'Returns (Calc)'!$A:$A)+1)-'Price History'!O3)*(ROW()-3)/(MATCH(9.99E+307,'Returns (Calc)'!$A:$A)-3),"")</f>
        <v>101.066455696203</v>
      </c>
      <c r="AK94" s="156" t="n">
        <f aca="false">IFERROR('Price History'!Q3+(INDEX('Price History'!Q:Q,MATCH(9.99E+307,'Returns (Calc)'!$A:$A)+1)-'Price History'!Q3)*(ROW()-3)/(MATCH(9.99E+307,'Returns (Calc)'!$A:$A)-3),"")</f>
        <v>39.9824050632911</v>
      </c>
      <c r="AL94" s="156" t="n">
        <f aca="false">IFERROR('Price History'!R3+(INDEX('Price History'!R:R,MATCH(9.99E+307,'Returns (Calc)'!$A:$A)+1)-'Price History'!R3)*(ROW()-3)/(MATCH(9.99E+307,'Returns (Calc)'!$A:$A)-3),"")</f>
        <v>49.7772151898734</v>
      </c>
      <c r="AM94" s="156" t="n">
        <f aca="false">IFERROR('Price History'!S3+(INDEX('Price History'!S:S,MATCH(9.99E+307,'Returns (Calc)'!$A:$A)+1)-'Price History'!S3)*(ROW()-3)/(MATCH(9.99E+307,'Returns (Calc)'!$A:$A)-3),"")</f>
        <v>112.690759493671</v>
      </c>
      <c r="AN94" s="156" t="n">
        <f aca="false">IFERROR('Price History'!T3+(INDEX('Price History'!T:T,MATCH(9.99E+307,'Returns (Calc)'!$A:$A)+1)-'Price History'!T3)*(ROW()-3)/(MATCH(9.99E+307,'Returns (Calc)'!$A:$A)-3),"")</f>
        <v>40.5487341772152</v>
      </c>
      <c r="AO94" s="157" t="n">
        <f aca="false">IFERROR('Price History'!V3+(INDEX('Price History'!V:V,MATCH(9.99E+307,'Returns (Calc)'!$A:$A)+1)-'Price History'!V3)*(ROW()-3)/(MATCH(9.99E+307,'Returns (Calc)'!$A:$A)-3),"")</f>
        <v>307.640949367089</v>
      </c>
      <c r="AP94" s="155" t="n">
        <f aca="false">IFERROR(IF(OR(NOT(ISNUMBER('Price History'!W95)),NOT(ISNUMBER('Price History'!W94)),'Price History'!W94=0),"",'Price History'!W95/'Price History'!W94-1),"")</f>
        <v>-0.00039739310125575</v>
      </c>
      <c r="AQ94" s="155" t="str">
        <f aca="false">IFERROR(IF(OR(NOT(ISNUMBER('Price History'!X95)),NOT(ISNUMBER('Price History'!X94)),'Price History'!X94=0),"",'Price History'!X95/'Price History'!X94-1),"")</f>
        <v/>
      </c>
      <c r="AR94" s="155" t="n">
        <f aca="false">IFERROR(IF(OR(NOT(ISNUMBER('Price History'!Y95)),NOT(ISNUMBER('Price History'!Y94)),'Price History'!Y94=0),"",'Price History'!Y95/'Price History'!Y94-1),"")</f>
        <v>-0.00515873015873014</v>
      </c>
      <c r="AS94" s="155" t="n">
        <f aca="false">IFERROR(IF(OR(NOT(ISNUMBER('Price History'!Z95)),NOT(ISNUMBER('Price History'!Z94)),'Price History'!Z94=0),"",'Price History'!Z95/'Price History'!Z94-1),"")</f>
        <v>0.0116991406449418</v>
      </c>
      <c r="AT94" s="155" t="n">
        <f aca="false">IFERROR(IF(OR(NOT(ISNUMBER('Price History'!AA95)),NOT(ISNUMBER('Price History'!AA94)),'Price History'!AA94=0),"",'Price History'!AA95/'Price History'!AA94-1),"")</f>
        <v>0.0159227786486265</v>
      </c>
      <c r="AU94" s="155" t="n">
        <f aca="false">IFERROR(IF(OR(NOT(ISNUMBER('Price History'!AB95)),NOT(ISNUMBER('Price History'!AB94)),'Price History'!AB94=0),"",'Price History'!AB95/'Price History'!AB94-1),"")</f>
        <v>-0.00874181560785714</v>
      </c>
    </row>
    <row r="95" customFormat="false" ht="15" hidden="false" customHeight="true" outlineLevel="0" collapsed="false">
      <c r="A95" s="153" t="n">
        <f aca="false">IF('Price History'!A96="","",'Price History'!A96)</f>
        <v>45835</v>
      </c>
      <c r="B95" s="154" t="n">
        <f aca="false">IFERROR(IF(OR(NOT(ISNUMBER('Price History'!B96)),NOT(ISNUMBER('Price History'!B95)),'Price History'!B95=0),"",'Price History'!B96/'Price History'!B95-1),"")</f>
        <v>0.0236389684813754</v>
      </c>
      <c r="C95" s="154" t="n">
        <f aca="false">IFERROR(IF(OR(NOT(ISNUMBER('Price History'!C96)),NOT(ISNUMBER('Price History'!C95)),'Price History'!C95=0),"",'Price History'!C96/'Price History'!C95-1),"")</f>
        <v>0.152347826086957</v>
      </c>
      <c r="D95" s="154" t="n">
        <f aca="false">IFERROR(IF(OR(NOT(ISNUMBER('Price History'!D96)),NOT(ISNUMBER('Price History'!D95)),'Price History'!D95=0),"",'Price History'!D96/'Price History'!D95-1),"")</f>
        <v>0.0521022302849217</v>
      </c>
      <c r="E95" s="154" t="n">
        <f aca="false">IFERROR(IF(OR(NOT(ISNUMBER('Price History'!E96)),NOT(ISNUMBER('Price History'!E95)),'Price History'!E95=0),"",'Price History'!E96/'Price History'!E95-1),"")</f>
        <v>0.077426126271597</v>
      </c>
      <c r="F95" s="154" t="n">
        <f aca="false">IFERROR(IF(OR(NOT(ISNUMBER('Price History'!F96)),NOT(ISNUMBER('Price History'!F95)),'Price History'!F95=0),"",'Price History'!F96/'Price History'!F95-1),"")</f>
        <v>0.0483749055177627</v>
      </c>
      <c r="G95" s="154" t="n">
        <f aca="false">IFERROR(IF(OR(NOT(ISNUMBER('Price History'!G96)),NOT(ISNUMBER('Price History'!G95)),'Price History'!G95=0),"",'Price History'!G96/'Price History'!G95-1),"")</f>
        <v>0.0469416785206258</v>
      </c>
      <c r="H95" s="154" t="n">
        <f aca="false">IFERROR(IF(OR(NOT(ISNUMBER('Price History'!H96)),NOT(ISNUMBER('Price History'!H95)),'Price History'!H95=0),"",'Price History'!H96/'Price History'!H95-1),"")</f>
        <v>0.00932760158974766</v>
      </c>
      <c r="I95" s="154" t="n">
        <f aca="false">IFERROR(IF(OR(NOT(ISNUMBER('Price History'!I96)),NOT(ISNUMBER('Price History'!I95)),'Price History'!I95=0),"",'Price History'!I96/'Price History'!I95-1),"")</f>
        <v>0.0965853658536586</v>
      </c>
      <c r="J95" s="154" t="n">
        <f aca="false">IFERROR(IF(OR(NOT(ISNUMBER('Price History'!J96)),NOT(ISNUMBER('Price History'!J95)),'Price History'!J95=0),"",'Price History'!J96/'Price History'!J95-1),"")</f>
        <v>-0.000689179875947521</v>
      </c>
      <c r="K95" s="154" t="n">
        <f aca="false">IFERROR(IF(OR(NOT(ISNUMBER('Price History'!K96)),NOT(ISNUMBER('Price History'!K95)),'Price History'!K95=0),"",'Price History'!K96/'Price History'!K95-1),"")</f>
        <v>-0.0477785870356883</v>
      </c>
      <c r="L95" s="154" t="n">
        <f aca="false">IFERROR(IF(OR(NOT(ISNUMBER('Price History'!L96)),NOT(ISNUMBER('Price History'!L95)),'Price History'!L95=0),"",'Price History'!L96/'Price History'!L95-1),"")</f>
        <v>0.0909706764734346</v>
      </c>
      <c r="M95" s="154" t="n">
        <f aca="false">IFERROR(IF(OR(NOT(ISNUMBER('Price History'!M96)),NOT(ISNUMBER('Price History'!M95)),'Price History'!M95=0),"",'Price History'!M96/'Price History'!M95-1),"")</f>
        <v>0.0727318803852002</v>
      </c>
      <c r="N95" s="154" t="n">
        <f aca="false">IFERROR(IF(OR(NOT(ISNUMBER('Price History'!N96)),NOT(ISNUMBER('Price History'!N95)),'Price History'!N95=0),"",'Price History'!N96/'Price History'!N95-1),"")</f>
        <v>0.000975344205774942</v>
      </c>
      <c r="O95" s="154" t="n">
        <f aca="false">IFERROR(IF(OR(NOT(ISNUMBER('Price History'!O96)),NOT(ISNUMBER('Price History'!O95)),'Price History'!O95=0),"",'Price History'!O96/'Price History'!O95-1),"")</f>
        <v>0.0255207141222249</v>
      </c>
      <c r="P95" s="154" t="n">
        <f aca="false">IFERROR(IF(OR(NOT(ISNUMBER('Price History'!P96)),NOT(ISNUMBER('Price History'!P95)),'Price History'!P95=0),"",'Price History'!P96/'Price History'!P95-1),"")</f>
        <v>0.0137875751503005</v>
      </c>
      <c r="Q95" s="154" t="n">
        <f aca="false">IFERROR(IF(OR(NOT(ISNUMBER('Price History'!Q96)),NOT(ISNUMBER('Price History'!Q95)),'Price History'!Q95=0),"",'Price History'!Q96/'Price History'!Q95-1),"")</f>
        <v>0.0124000652635015</v>
      </c>
      <c r="R95" s="154" t="n">
        <f aca="false">IFERROR(IF(OR(NOT(ISNUMBER('Price History'!R96)),NOT(ISNUMBER('Price History'!R95)),'Price History'!R95=0),"",'Price History'!R96/'Price History'!R95-1),"")</f>
        <v>0.0288419198590928</v>
      </c>
      <c r="S95" s="154" t="n">
        <f aca="false">IFERROR(IF(OR(NOT(ISNUMBER('Price History'!S96)),NOT(ISNUMBER('Price History'!S95)),'Price History'!S95=0),"",'Price History'!S96/'Price History'!S95-1),"")</f>
        <v>0.048182506626278</v>
      </c>
      <c r="T95" s="154" t="n">
        <f aca="false">IFERROR(IF(OR(NOT(ISNUMBER('Price History'!T96)),NOT(ISNUMBER('Price History'!T95)),'Price History'!T95=0),"",'Price History'!T96/'Price History'!T95-1),"")</f>
        <v>0.00870827285921627</v>
      </c>
      <c r="U95" s="154" t="n">
        <f aca="false">IFERROR(IF(OR(NOT(ISNUMBER('Price History'!U96)),NOT(ISNUMBER('Price History'!U95)),'Price History'!U95=0),"",'Price History'!U96/'Price History'!U95-1),"")</f>
        <v>-0.00197628458498023</v>
      </c>
      <c r="V95" s="155" t="n">
        <f aca="false">IFERROR(IF(OR(NOT(ISNUMBER('Price History'!V96)),NOT(ISNUMBER('Price History'!V95)),'Price History'!V95=0),"",'Price History'!V96/'Price History'!V95-1),"")</f>
        <v>0.0296758030361777</v>
      </c>
      <c r="W95" s="156" t="n">
        <f aca="false">IFERROR('Price History'!B3+(INDEX('Price History'!B:B,MATCH(9.99E+307,'Returns (Calc)'!$A:$A)+1)-'Price History'!B3)*(ROW()-3)/(MATCH(9.99E+307,'Returns (Calc)'!$A:$A)-3),"")</f>
        <v>359.330506329114</v>
      </c>
      <c r="X95" s="156" t="n">
        <f aca="false">IFERROR('Price History'!C3+(INDEX('Price History'!C:C,MATCH(9.99E+307,'Returns (Calc)'!$A:$A)+1)-'Price History'!C3)*(ROW()-3)/(MATCH(9.99E+307,'Returns (Calc)'!$A:$A)-3),"")</f>
        <v>140.02582278481</v>
      </c>
      <c r="Y95" s="156" t="n">
        <f aca="false">IFERROR('Price History'!D3+(INDEX('Price History'!D:D,MATCH(9.99E+307,'Returns (Calc)'!$A:$A)+1)-'Price History'!D3)*(ROW()-3)/(MATCH(9.99E+307,'Returns (Calc)'!$A:$A)-3),"")</f>
        <v>1330.41253164557</v>
      </c>
      <c r="Z95" s="156" t="n">
        <f aca="false">IFERROR('Price History'!E3+(INDEX('Price History'!E:E,MATCH(9.99E+307,'Returns (Calc)'!$A:$A)+1)-'Price History'!E3)*(ROW()-3)/(MATCH(9.99E+307,'Returns (Calc)'!$A:$A)-3),"")</f>
        <v>241.043544303797</v>
      </c>
      <c r="AA95" s="156" t="n">
        <f aca="false">IFERROR('Price History'!F3+(INDEX('Price History'!F:F,MATCH(9.99E+307,'Returns (Calc)'!$A:$A)+1)-'Price History'!F3)*(ROW()-3)/(MATCH(9.99E+307,'Returns (Calc)'!$A:$A)-3),"")</f>
        <v>174.515443037975</v>
      </c>
      <c r="AB95" s="156" t="n">
        <f aca="false">IFERROR('Price History'!G3+(INDEX('Price History'!G:G,MATCH(9.99E+307,'Returns (Calc)'!$A:$A)+1)-'Price History'!G3)*(ROW()-3)/(MATCH(9.99E+307,'Returns (Calc)'!$A:$A)-3),"")</f>
        <v>138.993544303797</v>
      </c>
      <c r="AC95" s="156" t="n">
        <f aca="false">IFERROR('Price History'!H3+(INDEX('Price History'!H:H,MATCH(9.99E+307,'Returns (Calc)'!$A:$A)+1)-'Price History'!H3)*(ROW()-3)/(MATCH(9.99E+307,'Returns (Calc)'!$A:$A)-3),"")</f>
        <v>654.754050632912</v>
      </c>
      <c r="AD95" s="156" t="n">
        <f aca="false">IFERROR('Price History'!I3+(INDEX('Price History'!I:I,MATCH(9.99E+307,'Returns (Calc)'!$A:$A)+1)-'Price History'!I3)*(ROW()-3)/(MATCH(9.99E+307,'Returns (Calc)'!$A:$A)-3),"")</f>
        <v>154.507721518987</v>
      </c>
      <c r="AE95" s="156" t="n">
        <f aca="false">IFERROR('Price History'!J3+(INDEX('Price History'!J:J,MATCH(9.99E+307,'Returns (Calc)'!$A:$A)+1)-'Price History'!J3)*(ROW()-3)/(MATCH(9.99E+307,'Returns (Calc)'!$A:$A)-3),"")</f>
        <v>121.779493670886</v>
      </c>
      <c r="AF95" s="156" t="n">
        <f aca="false">IFERROR('Price History'!K3+(INDEX('Price History'!K:K,MATCH(9.99E+307,'Returns (Calc)'!$A:$A)+1)-'Price History'!K3)*(ROW()-3)/(MATCH(9.99E+307,'Returns (Calc)'!$A:$A)-3),"")</f>
        <v>116.308734177215</v>
      </c>
      <c r="AG95" s="156" t="n">
        <f aca="false">IFERROR('Price History'!L3+(INDEX('Price History'!L:L,MATCH(9.99E+307,'Returns (Calc)'!$A:$A)+1)-'Price History'!L3)*(ROW()-3)/(MATCH(9.99E+307,'Returns (Calc)'!$A:$A)-3),"")</f>
        <v>311.109240506329</v>
      </c>
      <c r="AH95" s="156" t="n">
        <f aca="false">IFERROR('Price History'!M3+(INDEX('Price History'!M:M,MATCH(9.99E+307,'Returns (Calc)'!$A:$A)+1)-'Price History'!M3)*(ROW()-3)/(MATCH(9.99E+307,'Returns (Calc)'!$A:$A)-3),"")</f>
        <v>162.720759493671</v>
      </c>
      <c r="AI95" s="156" t="n">
        <f aca="false">IFERROR('Price History'!N3+(INDEX('Price History'!N:N,MATCH(9.99E+307,'Returns (Calc)'!$A:$A)+1)-'Price History'!N3)*(ROW()-3)/(MATCH(9.99E+307,'Returns (Calc)'!$A:$A)-3),"")</f>
        <v>439.636455696203</v>
      </c>
      <c r="AJ95" s="156" t="n">
        <f aca="false">IFERROR('Price History'!O3+(INDEX('Price History'!O:O,MATCH(9.99E+307,'Returns (Calc)'!$A:$A)+1)-'Price History'!O3)*(ROW()-3)/(MATCH(9.99E+307,'Returns (Calc)'!$A:$A)-3),"")</f>
        <v>101.349493670886</v>
      </c>
      <c r="AK95" s="156" t="n">
        <f aca="false">IFERROR('Price History'!Q3+(INDEX('Price History'!Q:Q,MATCH(9.99E+307,'Returns (Calc)'!$A:$A)+1)-'Price History'!Q3)*(ROW()-3)/(MATCH(9.99E+307,'Returns (Calc)'!$A:$A)-3),"")</f>
        <v>40.4217721518987</v>
      </c>
      <c r="AL95" s="156" t="n">
        <f aca="false">IFERROR('Price History'!R3+(INDEX('Price History'!R:R,MATCH(9.99E+307,'Returns (Calc)'!$A:$A)+1)-'Price History'!R3)*(ROW()-3)/(MATCH(9.99E+307,'Returns (Calc)'!$A:$A)-3),"")</f>
        <v>49.9453164556962</v>
      </c>
      <c r="AM95" s="156" t="n">
        <f aca="false">IFERROR('Price History'!S3+(INDEX('Price History'!S:S,MATCH(9.99E+307,'Returns (Calc)'!$A:$A)+1)-'Price History'!S3)*(ROW()-3)/(MATCH(9.99E+307,'Returns (Calc)'!$A:$A)-3),"")</f>
        <v>113.29582278481</v>
      </c>
      <c r="AN95" s="156" t="n">
        <f aca="false">IFERROR('Price History'!T3+(INDEX('Price History'!T:T,MATCH(9.99E+307,'Returns (Calc)'!$A:$A)+1)-'Price History'!T3)*(ROW()-3)/(MATCH(9.99E+307,'Returns (Calc)'!$A:$A)-3),"")</f>
        <v>40.7169620253165</v>
      </c>
      <c r="AO95" s="157" t="n">
        <f aca="false">IFERROR('Price History'!V3+(INDEX('Price History'!V:V,MATCH(9.99E+307,'Returns (Calc)'!$A:$A)+1)-'Price History'!V3)*(ROW()-3)/(MATCH(9.99E+307,'Returns (Calc)'!$A:$A)-3),"")</f>
        <v>308.432278481013</v>
      </c>
      <c r="AP95" s="155" t="n">
        <f aca="false">IFERROR(IF(OR(NOT(ISNUMBER('Price History'!W96)),NOT(ISNUMBER('Price History'!W95)),'Price History'!W95=0),"",'Price History'!W96/'Price History'!W95-1),"")</f>
        <v>0.0223423709946728</v>
      </c>
      <c r="AQ95" s="155" t="str">
        <f aca="false">IFERROR(IF(OR(NOT(ISNUMBER('Price History'!X96)),NOT(ISNUMBER('Price History'!X95)),'Price History'!X95=0),"",'Price History'!X96/'Price History'!X95-1),"")</f>
        <v/>
      </c>
      <c r="AR95" s="155" t="n">
        <f aca="false">IFERROR(IF(OR(NOT(ISNUMBER('Price History'!Y96)),NOT(ISNUMBER('Price History'!Y95)),'Price History'!Y95=0),"",'Price History'!Y96/'Price History'!Y95-1),"")</f>
        <v>0.0163542082169925</v>
      </c>
      <c r="AS95" s="155" t="n">
        <f aca="false">IFERROR(IF(OR(NOT(ISNUMBER('Price History'!Z96)),NOT(ISNUMBER('Price History'!Z95)),'Price History'!Z95=0),"",'Price History'!Z96/'Price History'!Z95-1),"")</f>
        <v>0.063243766031706</v>
      </c>
      <c r="AT95" s="155" t="n">
        <f aca="false">IFERROR(IF(OR(NOT(ISNUMBER('Price History'!AA96)),NOT(ISNUMBER('Price History'!AA95)),'Price History'!AA95=0),"",'Price History'!AA96/'Price History'!AA95-1),"")</f>
        <v>0.074468085106383</v>
      </c>
      <c r="AU95" s="155" t="n">
        <f aca="false">IFERROR(IF(OR(NOT(ISNUMBER('Price History'!AB96)),NOT(ISNUMBER('Price History'!AB95)),'Price History'!AB95=0),"",'Price History'!AB96/'Price History'!AB95-1),"")</f>
        <v>0.0118894601542419</v>
      </c>
    </row>
    <row r="96" customFormat="false" ht="15" hidden="false" customHeight="true" outlineLevel="0" collapsed="false">
      <c r="A96" s="153" t="n">
        <f aca="false">IF('Price History'!A97="","",'Price History'!A97)</f>
        <v>45842</v>
      </c>
      <c r="B96" s="154" t="n">
        <f aca="false">IFERROR(IF(OR(NOT(ISNUMBER('Price History'!B97)),NOT(ISNUMBER('Price History'!B96)),'Price History'!B96=0),"",'Price History'!B97/'Price History'!B96-1),"")</f>
        <v>-0.0168986341134696</v>
      </c>
      <c r="C96" s="154" t="n">
        <f aca="false">IFERROR(IF(OR(NOT(ISNUMBER('Price History'!C97)),NOT(ISNUMBER('Price History'!C96)),'Price History'!C96=0),"",'Price History'!C97/'Price History'!C96-1),"")</f>
        <v>0.0314921018211087</v>
      </c>
      <c r="D96" s="154" t="n">
        <f aca="false">IFERROR(IF(OR(NOT(ISNUMBER('Price History'!D97)),NOT(ISNUMBER('Price History'!D96)),'Price History'!D96=0),"",'Price History'!D97/'Price History'!D96-1),"")</f>
        <v>-0.00182569668078203</v>
      </c>
      <c r="E96" s="154" t="n">
        <f aca="false">IFERROR(IF(OR(NOT(ISNUMBER('Price History'!E97)),NOT(ISNUMBER('Price History'!E96)),'Price History'!E96=0),"",'Price History'!E97/'Price History'!E96-1),"")</f>
        <v>0.0216560509554142</v>
      </c>
      <c r="F96" s="154" t="n">
        <f aca="false">IFERROR(IF(OR(NOT(ISNUMBER('Price History'!F97)),NOT(ISNUMBER('Price History'!F96)),'Price History'!F96=0),"",'Price History'!F97/'Price History'!F96-1),"")</f>
        <v>0.0295602018745496</v>
      </c>
      <c r="G96" s="154" t="n">
        <f aca="false">IFERROR(IF(OR(NOT(ISNUMBER('Price History'!G97)),NOT(ISNUMBER('Price History'!G96)),'Price History'!G96=0),"",'Price History'!G97/'Price History'!G96-1),"")</f>
        <v>0.0389492753623191</v>
      </c>
      <c r="H96" s="154" t="n">
        <f aca="false">IFERROR(IF(OR(NOT(ISNUMBER('Price History'!H97)),NOT(ISNUMBER('Price History'!H96)),'Price History'!H96=0),"",'Price History'!H97/'Price History'!H96-1),"")</f>
        <v>-0.01976856316297</v>
      </c>
      <c r="I96" s="154" t="n">
        <f aca="false">IFERROR(IF(OR(NOT(ISNUMBER('Price History'!I97)),NOT(ISNUMBER('Price History'!I96)),'Price History'!I96=0),"",'Price History'!I97/'Price History'!I96-1),"")</f>
        <v>0.0101042196237924</v>
      </c>
      <c r="J96" s="154" t="n">
        <f aca="false">IFERROR(IF(OR(NOT(ISNUMBER('Price History'!J97)),NOT(ISNUMBER('Price History'!J96)),'Price History'!J96=0),"",'Price History'!J97/'Price History'!J96-1),"")</f>
        <v>0.0227586206896553</v>
      </c>
      <c r="K96" s="154" t="n">
        <f aca="false">IFERROR(IF(OR(NOT(ISNUMBER('Price History'!K97)),NOT(ISNUMBER('Price History'!K96)),'Price History'!K96=0),"",'Price History'!K97/'Price History'!K96-1),"")</f>
        <v>0.0276885421447148</v>
      </c>
      <c r="L96" s="154" t="n">
        <f aca="false">IFERROR(IF(OR(NOT(ISNUMBER('Price History'!L97)),NOT(ISNUMBER('Price History'!L96)),'Price History'!L96=0),"",'Price History'!L97/'Price History'!L96-1),"")</f>
        <v>0.0272775658653419</v>
      </c>
      <c r="M96" s="154" t="n">
        <f aca="false">IFERROR(IF(OR(NOT(ISNUMBER('Price History'!M97)),NOT(ISNUMBER('Price History'!M96)),'Price History'!M96=0),"",'Price History'!M97/'Price History'!M96-1),"")</f>
        <v>0.00535475234270422</v>
      </c>
      <c r="N96" s="154" t="n">
        <f aca="false">IFERROR(IF(OR(NOT(ISNUMBER('Price History'!N97)),NOT(ISNUMBER('Price History'!N96)),'Price History'!N96=0),"",'Price History'!N97/'Price History'!N96-1),"")</f>
        <v>0.0415137094946747</v>
      </c>
      <c r="O96" s="154" t="n">
        <f aca="false">IFERROR(IF(OR(NOT(ISNUMBER('Price History'!O97)),NOT(ISNUMBER('Price History'!O96)),'Price History'!O96=0),"",'Price History'!O97/'Price History'!O96-1),"")</f>
        <v>0.0416248186586319</v>
      </c>
      <c r="P96" s="154" t="n">
        <f aca="false">IFERROR(IF(OR(NOT(ISNUMBER('Price History'!P97)),NOT(ISNUMBER('Price History'!P96)),'Price History'!P96=0),"",'Price History'!P97/'Price History'!P96-1),"")</f>
        <v>0.0341582984106903</v>
      </c>
      <c r="Q96" s="154" t="n">
        <f aca="false">IFERROR(IF(OR(NOT(ISNUMBER('Price History'!Q97)),NOT(ISNUMBER('Price History'!Q96)),'Price History'!Q96=0),"",'Price History'!Q97/'Price History'!Q96-1),"")</f>
        <v>0.00660757453666405</v>
      </c>
      <c r="R96" s="154" t="n">
        <f aca="false">IFERROR(IF(OR(NOT(ISNUMBER('Price History'!R97)),NOT(ISNUMBER('Price History'!R96)),'Price History'!R96=0),"",'Price History'!R97/'Price History'!R96-1),"")</f>
        <v>0.00706184463941795</v>
      </c>
      <c r="S96" s="154" t="n">
        <f aca="false">IFERROR(IF(OR(NOT(ISNUMBER('Price History'!S97)),NOT(ISNUMBER('Price History'!S96)),'Price History'!S96=0),"",'Price History'!S97/'Price History'!S96-1),"")</f>
        <v>0.00596044432403131</v>
      </c>
      <c r="T96" s="154" t="n">
        <f aca="false">IFERROR(IF(OR(NOT(ISNUMBER('Price History'!T97)),NOT(ISNUMBER('Price History'!T96)),'Price History'!T96=0),"",'Price History'!T97/'Price History'!T96-1),"")</f>
        <v>0.0123741007194245</v>
      </c>
      <c r="U96" s="154" t="n">
        <f aca="false">IFERROR(IF(OR(NOT(ISNUMBER('Price History'!U97)),NOT(ISNUMBER('Price History'!U96)),'Price History'!U96=0),"",'Price History'!U97/'Price History'!U96-1),"")</f>
        <v>0.0364356435643565</v>
      </c>
      <c r="V96" s="155" t="n">
        <f aca="false">IFERROR(IF(OR(NOT(ISNUMBER('Price History'!V97)),NOT(ISNUMBER('Price History'!V96)),'Price History'!V96=0),"",'Price History'!V97/'Price History'!V96-1),"")</f>
        <v>0.0293998377939984</v>
      </c>
      <c r="W96" s="156" t="n">
        <f aca="false">IFERROR('Price History'!B3+(INDEX('Price History'!B:B,MATCH(9.99E+307,'Returns (Calc)'!$A:$A)+1)-'Price History'!B3)*(ROW()-3)/(MATCH(9.99E+307,'Returns (Calc)'!$A:$A)-3),"")</f>
        <v>357.48746835443</v>
      </c>
      <c r="X96" s="156" t="n">
        <f aca="false">IFERROR('Price History'!C3+(INDEX('Price History'!C:C,MATCH(9.99E+307,'Returns (Calc)'!$A:$A)+1)-'Price History'!C3)*(ROW()-3)/(MATCH(9.99E+307,'Returns (Calc)'!$A:$A)-3),"")</f>
        <v>141.045886075949</v>
      </c>
      <c r="Y96" s="156" t="n">
        <f aca="false">IFERROR('Price History'!D3+(INDEX('Price History'!D:D,MATCH(9.99E+307,'Returns (Calc)'!$A:$A)+1)-'Price History'!D3)*(ROW()-3)/(MATCH(9.99E+307,'Returns (Calc)'!$A:$A)-3),"")</f>
        <v>1338.54734177215</v>
      </c>
      <c r="Z96" s="156" t="n">
        <f aca="false">IFERROR('Price History'!E3+(INDEX('Price History'!E:E,MATCH(9.99E+307,'Returns (Calc)'!$A:$A)+1)-'Price History'!E3)*(ROW()-3)/(MATCH(9.99E+307,'Returns (Calc)'!$A:$A)-3),"")</f>
        <v>242.772278481013</v>
      </c>
      <c r="AA96" s="156" t="n">
        <f aca="false">IFERROR('Price History'!F3+(INDEX('Price History'!F:F,MATCH(9.99E+307,'Returns (Calc)'!$A:$A)+1)-'Price History'!F3)*(ROW()-3)/(MATCH(9.99E+307,'Returns (Calc)'!$A:$A)-3),"")</f>
        <v>175.962784810127</v>
      </c>
      <c r="AB96" s="156" t="n">
        <f aca="false">IFERROR('Price History'!G3+(INDEX('Price History'!G:G,MATCH(9.99E+307,'Returns (Calc)'!$A:$A)+1)-'Price History'!G3)*(ROW()-3)/(MATCH(9.99E+307,'Returns (Calc)'!$A:$A)-3),"")</f>
        <v>140.022278481013</v>
      </c>
      <c r="AC96" s="156" t="n">
        <f aca="false">IFERROR('Price History'!H3+(INDEX('Price History'!H:H,MATCH(9.99E+307,'Returns (Calc)'!$A:$A)+1)-'Price History'!H3)*(ROW()-3)/(MATCH(9.99E+307,'Returns (Calc)'!$A:$A)-3),"")</f>
        <v>661.119746835443</v>
      </c>
      <c r="AD96" s="156" t="n">
        <f aca="false">IFERROR('Price History'!I3+(INDEX('Price History'!I:I,MATCH(9.99E+307,'Returns (Calc)'!$A:$A)+1)-'Price History'!I3)*(ROW()-3)/(MATCH(9.99E+307,'Returns (Calc)'!$A:$A)-3),"")</f>
        <v>155.711392405063</v>
      </c>
      <c r="AE96" s="156" t="n">
        <f aca="false">IFERROR('Price History'!J3+(INDEX('Price History'!J:J,MATCH(9.99E+307,'Returns (Calc)'!$A:$A)+1)-'Price History'!J3)*(ROW()-3)/(MATCH(9.99E+307,'Returns (Calc)'!$A:$A)-3),"")</f>
        <v>121.88753164557</v>
      </c>
      <c r="AF96" s="156" t="n">
        <f aca="false">IFERROR('Price History'!K3+(INDEX('Price History'!K:K,MATCH(9.99E+307,'Returns (Calc)'!$A:$A)+1)-'Price History'!K3)*(ROW()-3)/(MATCH(9.99E+307,'Returns (Calc)'!$A:$A)-3),"")</f>
        <v>117.406329113924</v>
      </c>
      <c r="AG96" s="156" t="n">
        <f aca="false">IFERROR('Price History'!L3+(INDEX('Price History'!L:L,MATCH(9.99E+307,'Returns (Calc)'!$A:$A)+1)-'Price History'!L3)*(ROW()-3)/(MATCH(9.99E+307,'Returns (Calc)'!$A:$A)-3),"")</f>
        <v>313.558797468354</v>
      </c>
      <c r="AH96" s="156" t="n">
        <f aca="false">IFERROR('Price History'!M3+(INDEX('Price History'!M:M,MATCH(9.99E+307,'Returns (Calc)'!$A:$A)+1)-'Price History'!M3)*(ROW()-3)/(MATCH(9.99E+307,'Returns (Calc)'!$A:$A)-3),"")</f>
        <v>164.076202531646</v>
      </c>
      <c r="AI96" s="156" t="n">
        <f aca="false">IFERROR('Price History'!N3+(INDEX('Price History'!N:N,MATCH(9.99E+307,'Returns (Calc)'!$A:$A)+1)-'Price History'!N3)*(ROW()-3)/(MATCH(9.99E+307,'Returns (Calc)'!$A:$A)-3),"")</f>
        <v>440.622721518987</v>
      </c>
      <c r="AJ96" s="156" t="n">
        <f aca="false">IFERROR('Price History'!O3+(INDEX('Price History'!O:O,MATCH(9.99E+307,'Returns (Calc)'!$A:$A)+1)-'Price History'!O3)*(ROW()-3)/(MATCH(9.99E+307,'Returns (Calc)'!$A:$A)-3),"")</f>
        <v>101.63253164557</v>
      </c>
      <c r="AK96" s="156" t="n">
        <f aca="false">IFERROR('Price History'!Q3+(INDEX('Price History'!Q:Q,MATCH(9.99E+307,'Returns (Calc)'!$A:$A)+1)-'Price History'!Q3)*(ROW()-3)/(MATCH(9.99E+307,'Returns (Calc)'!$A:$A)-3),"")</f>
        <v>40.8611392405063</v>
      </c>
      <c r="AL96" s="156" t="n">
        <f aca="false">IFERROR('Price History'!R3+(INDEX('Price History'!R:R,MATCH(9.99E+307,'Returns (Calc)'!$A:$A)+1)-'Price History'!R3)*(ROW()-3)/(MATCH(9.99E+307,'Returns (Calc)'!$A:$A)-3),"")</f>
        <v>50.113417721519</v>
      </c>
      <c r="AM96" s="156" t="n">
        <f aca="false">IFERROR('Price History'!S3+(INDEX('Price History'!S:S,MATCH(9.99E+307,'Returns (Calc)'!$A:$A)+1)-'Price History'!S3)*(ROW()-3)/(MATCH(9.99E+307,'Returns (Calc)'!$A:$A)-3),"")</f>
        <v>113.900886075949</v>
      </c>
      <c r="AN96" s="156" t="n">
        <f aca="false">IFERROR('Price History'!T3+(INDEX('Price History'!T:T,MATCH(9.99E+307,'Returns (Calc)'!$A:$A)+1)-'Price History'!T3)*(ROW()-3)/(MATCH(9.99E+307,'Returns (Calc)'!$A:$A)-3),"")</f>
        <v>40.8851898734177</v>
      </c>
      <c r="AO96" s="157" t="n">
        <f aca="false">IFERROR('Price History'!V3+(INDEX('Price History'!V:V,MATCH(9.99E+307,'Returns (Calc)'!$A:$A)+1)-'Price History'!V3)*(ROW()-3)/(MATCH(9.99E+307,'Returns (Calc)'!$A:$A)-3),"")</f>
        <v>309.223607594937</v>
      </c>
      <c r="AP96" s="155" t="n">
        <f aca="false">IFERROR(IF(OR(NOT(ISNUMBER('Price History'!W97)),NOT(ISNUMBER('Price History'!W96)),'Price History'!W96=0),"",'Price History'!W97/'Price History'!W96-1),"")</f>
        <v>0.0248872297402394</v>
      </c>
      <c r="AQ96" s="155" t="str">
        <f aca="false">IFERROR(IF(OR(NOT(ISNUMBER('Price History'!X97)),NOT(ISNUMBER('Price History'!X96)),'Price History'!X96=0),"",'Price History'!X97/'Price History'!X96-1),"")</f>
        <v/>
      </c>
      <c r="AR96" s="155" t="n">
        <f aca="false">IFERROR(IF(OR(NOT(ISNUMBER('Price History'!Y97)),NOT(ISNUMBER('Price History'!Y96)),'Price History'!Y96=0),"",'Price History'!Y97/'Price History'!Y96-1),"")</f>
        <v>0.0123626373626373</v>
      </c>
      <c r="AS96" s="155" t="n">
        <f aca="false">IFERROR(IF(OR(NOT(ISNUMBER('Price History'!Z97)),NOT(ISNUMBER('Price History'!Z96)),'Price History'!Z96=0),"",'Price History'!Z97/'Price History'!Z96-1),"")</f>
        <v>-0.0299782479731066</v>
      </c>
      <c r="AT96" s="155" t="n">
        <f aca="false">IFERROR(IF(OR(NOT(ISNUMBER('Price History'!AA97)),NOT(ISNUMBER('Price History'!AA96)),'Price History'!AA96=0),"",'Price History'!AA97/'Price History'!AA96-1),"")</f>
        <v>-0.0195752399667448</v>
      </c>
      <c r="AU96" s="155" t="n">
        <f aca="false">IFERROR(IF(OR(NOT(ISNUMBER('Price History'!AB97)),NOT(ISNUMBER('Price History'!AB96)),'Price History'!AB96=0),"",'Price History'!AB97/'Price History'!AB96-1),"")</f>
        <v>0.00310504216506113</v>
      </c>
    </row>
    <row r="97" customFormat="false" ht="15" hidden="false" customHeight="true" outlineLevel="0" collapsed="false">
      <c r="A97" s="153" t="n">
        <f aca="false">IF('Price History'!A98="","",'Price History'!A98)</f>
        <v>45849</v>
      </c>
      <c r="B97" s="154" t="n">
        <f aca="false">IFERROR(IF(OR(NOT(ISNUMBER('Price History'!B98)),NOT(ISNUMBER('Price History'!B97)),'Price History'!B97=0),"",'Price History'!B98/'Price History'!B97-1),"")</f>
        <v>-0.0420764018876381</v>
      </c>
      <c r="C97" s="154" t="n">
        <f aca="false">IFERROR(IF(OR(NOT(ISNUMBER('Price History'!C98)),NOT(ISNUMBER('Price History'!C97)),'Price History'!C97=0),"",'Price History'!C98/'Price History'!C97-1),"")</f>
        <v>0.0590128755364807</v>
      </c>
      <c r="D97" s="154" t="n">
        <f aca="false">IFERROR(IF(OR(NOT(ISNUMBER('Price History'!D98)),NOT(ISNUMBER('Price History'!D97)),'Price History'!D97=0),"",'Price History'!D98/'Price History'!D97-1),"")</f>
        <v>0.00936110758287811</v>
      </c>
      <c r="E97" s="154" t="n">
        <f aca="false">IFERROR(IF(OR(NOT(ISNUMBER('Price History'!E98)),NOT(ISNUMBER('Price History'!E97)),'Price History'!E97=0),"",'Price History'!E98/'Price History'!E97-1),"")</f>
        <v>-0.0028971688425995</v>
      </c>
      <c r="F97" s="154" t="n">
        <f aca="false">IFERROR(IF(OR(NOT(ISNUMBER('Price History'!F98)),NOT(ISNUMBER('Price History'!F97)),'Price History'!F97=0),"",'Price History'!F98/'Price History'!F97-1),"")</f>
        <v>-0.0693277310924371</v>
      </c>
      <c r="G97" s="154" t="n">
        <f aca="false">IFERROR(IF(OR(NOT(ISNUMBER('Price History'!G98)),NOT(ISNUMBER('Price History'!G97)),'Price History'!G97=0),"",'Price History'!G98/'Price History'!G97-1),"")</f>
        <v>0</v>
      </c>
      <c r="H97" s="154" t="n">
        <f aca="false">IFERROR(IF(OR(NOT(ISNUMBER('Price History'!H98)),NOT(ISNUMBER('Price History'!H97)),'Price History'!H97=0),"",'Price History'!H98/'Price History'!H97-1),"")</f>
        <v>0.0192654533530086</v>
      </c>
      <c r="I97" s="154" t="n">
        <f aca="false">IFERROR(IF(OR(NOT(ISNUMBER('Price History'!I98)),NOT(ISNUMBER('Price History'!I97)),'Price History'!I97=0),"",'Price History'!I98/'Price History'!I97-1),"")</f>
        <v>0.0350424661843349</v>
      </c>
      <c r="J97" s="154" t="n">
        <f aca="false">IFERROR(IF(OR(NOT(ISNUMBER('Price History'!J98)),NOT(ISNUMBER('Price History'!J97)),'Price History'!J97=0),"",'Price History'!J98/'Price History'!J97-1),"")</f>
        <v>0.0105962816684326</v>
      </c>
      <c r="K97" s="154" t="n">
        <f aca="false">IFERROR(IF(OR(NOT(ISNUMBER('Price History'!K98)),NOT(ISNUMBER('Price History'!K97)),'Price History'!K97=0),"",'Price History'!K98/'Price History'!K97-1),"")</f>
        <v>0.0576064304852633</v>
      </c>
      <c r="L97" s="154" t="n">
        <f aca="false">IFERROR(IF(OR(NOT(ISNUMBER('Price History'!L98)),NOT(ISNUMBER('Price History'!L97)),'Price History'!L97=0),"",'Price History'!L98/'Price History'!L97-1),"")</f>
        <v>-0.0187383964422952</v>
      </c>
      <c r="M97" s="154" t="n">
        <f aca="false">IFERROR(IF(OR(NOT(ISNUMBER('Price History'!M98)),NOT(ISNUMBER('Price History'!M97)),'Price History'!M97=0),"",'Price History'!M98/'Price History'!M97-1),"")</f>
        <v>-0.0355604292316128</v>
      </c>
      <c r="N97" s="154" t="n">
        <f aca="false">IFERROR(IF(OR(NOT(ISNUMBER('Price History'!N98)),NOT(ISNUMBER('Price History'!N97)),'Price History'!N97=0),"",'Price History'!N98/'Price History'!N97-1),"")</f>
        <v>0.0200818067098909</v>
      </c>
      <c r="O97" s="154" t="n">
        <f aca="false">IFERROR(IF(OR(NOT(ISNUMBER('Price History'!O98)),NOT(ISNUMBER('Price History'!O97)),'Price History'!O97=0),"",'Price History'!O98/'Price History'!O97-1),"")</f>
        <v>-0.00128562245553898</v>
      </c>
      <c r="P97" s="154" t="n">
        <f aca="false">IFERROR(IF(OR(NOT(ISNUMBER('Price History'!P98)),NOT(ISNUMBER('Price History'!P97)),'Price History'!P97=0),"",'Price History'!P98/'Price History'!P97-1),"")</f>
        <v>-0.00336417157275015</v>
      </c>
      <c r="Q97" s="154" t="n">
        <f aca="false">IFERROR(IF(OR(NOT(ISNUMBER('Price History'!Q98)),NOT(ISNUMBER('Price History'!Q97)),'Price History'!Q97=0),"",'Price History'!Q98/'Price History'!Q97-1),"")</f>
        <v>0.00160102465577983</v>
      </c>
      <c r="R97" s="154" t="n">
        <f aca="false">IFERROR(IF(OR(NOT(ISNUMBER('Price History'!R98)),NOT(ISNUMBER('Price History'!R97)),'Price History'!R97=0),"",'Price History'!R98/'Price History'!R97-1),"")</f>
        <v>0.00361240968975762</v>
      </c>
      <c r="S97" s="154" t="n">
        <f aca="false">IFERROR(IF(OR(NOT(ISNUMBER('Price History'!S98)),NOT(ISNUMBER('Price History'!S97)),'Price History'!S97=0),"",'Price History'!S98/'Price History'!S97-1),"")</f>
        <v>-0.00305233863003862</v>
      </c>
      <c r="T97" s="154" t="n">
        <f aca="false">IFERROR(IF(OR(NOT(ISNUMBER('Price History'!T98)),NOT(ISNUMBER('Price History'!T97)),'Price History'!T97=0),"",'Price History'!T98/'Price History'!T97-1),"")</f>
        <v>0.00255827174530987</v>
      </c>
      <c r="U97" s="154" t="n">
        <f aca="false">IFERROR(IF(OR(NOT(ISNUMBER('Price History'!U98)),NOT(ISNUMBER('Price History'!U97)),'Price History'!U97=0),"",'Price History'!U98/'Price History'!U97-1),"")</f>
        <v>-0.000764233855559904</v>
      </c>
      <c r="V97" s="155" t="n">
        <f aca="false">IFERROR(IF(OR(NOT(ISNUMBER('Price History'!V98)),NOT(ISNUMBER('Price History'!V97)),'Price History'!V97=0),"",'Price History'!V98/'Price History'!V97-1),"")</f>
        <v>-0.0304735642533555</v>
      </c>
      <c r="W97" s="156" t="n">
        <f aca="false">IFERROR('Price History'!B3+(INDEX('Price History'!B:B,MATCH(9.99E+307,'Returns (Calc)'!$A:$A)+1)-'Price History'!B3)*(ROW()-3)/(MATCH(9.99E+307,'Returns (Calc)'!$A:$A)-3),"")</f>
        <v>355.644430379747</v>
      </c>
      <c r="X97" s="156" t="n">
        <f aca="false">IFERROR('Price History'!C3+(INDEX('Price History'!C:C,MATCH(9.99E+307,'Returns (Calc)'!$A:$A)+1)-'Price History'!C3)*(ROW()-3)/(MATCH(9.99E+307,'Returns (Calc)'!$A:$A)-3),"")</f>
        <v>142.065949367089</v>
      </c>
      <c r="Y97" s="156" t="n">
        <f aca="false">IFERROR('Price History'!D3+(INDEX('Price History'!D:D,MATCH(9.99E+307,'Returns (Calc)'!$A:$A)+1)-'Price History'!D3)*(ROW()-3)/(MATCH(9.99E+307,'Returns (Calc)'!$A:$A)-3),"")</f>
        <v>1346.68215189873</v>
      </c>
      <c r="Z97" s="156" t="n">
        <f aca="false">IFERROR('Price History'!E3+(INDEX('Price History'!E:E,MATCH(9.99E+307,'Returns (Calc)'!$A:$A)+1)-'Price History'!E3)*(ROW()-3)/(MATCH(9.99E+307,'Returns (Calc)'!$A:$A)-3),"")</f>
        <v>244.501012658228</v>
      </c>
      <c r="AA97" s="156" t="n">
        <f aca="false">IFERROR('Price History'!F3+(INDEX('Price History'!F:F,MATCH(9.99E+307,'Returns (Calc)'!$A:$A)+1)-'Price History'!F3)*(ROW()-3)/(MATCH(9.99E+307,'Returns (Calc)'!$A:$A)-3),"")</f>
        <v>177.410126582279</v>
      </c>
      <c r="AB97" s="156" t="n">
        <f aca="false">IFERROR('Price History'!G3+(INDEX('Price History'!G:G,MATCH(9.99E+307,'Returns (Calc)'!$A:$A)+1)-'Price History'!G3)*(ROW()-3)/(MATCH(9.99E+307,'Returns (Calc)'!$A:$A)-3),"")</f>
        <v>141.051012658228</v>
      </c>
      <c r="AC97" s="156" t="n">
        <f aca="false">IFERROR('Price History'!H3+(INDEX('Price History'!H:H,MATCH(9.99E+307,'Returns (Calc)'!$A:$A)+1)-'Price History'!H3)*(ROW()-3)/(MATCH(9.99E+307,'Returns (Calc)'!$A:$A)-3),"")</f>
        <v>667.485443037975</v>
      </c>
      <c r="AD97" s="156" t="n">
        <f aca="false">IFERROR('Price History'!I3+(INDEX('Price History'!I:I,MATCH(9.99E+307,'Returns (Calc)'!$A:$A)+1)-'Price History'!I3)*(ROW()-3)/(MATCH(9.99E+307,'Returns (Calc)'!$A:$A)-3),"")</f>
        <v>156.915063291139</v>
      </c>
      <c r="AE97" s="156" t="n">
        <f aca="false">IFERROR('Price History'!J3+(INDEX('Price History'!J:J,MATCH(9.99E+307,'Returns (Calc)'!$A:$A)+1)-'Price History'!J3)*(ROW()-3)/(MATCH(9.99E+307,'Returns (Calc)'!$A:$A)-3),"")</f>
        <v>121.995569620253</v>
      </c>
      <c r="AF97" s="156" t="n">
        <f aca="false">IFERROR('Price History'!K3+(INDEX('Price History'!K:K,MATCH(9.99E+307,'Returns (Calc)'!$A:$A)+1)-'Price History'!K3)*(ROW()-3)/(MATCH(9.99E+307,'Returns (Calc)'!$A:$A)-3),"")</f>
        <v>118.503924050633</v>
      </c>
      <c r="AG97" s="156" t="n">
        <f aca="false">IFERROR('Price History'!L3+(INDEX('Price History'!L:L,MATCH(9.99E+307,'Returns (Calc)'!$A:$A)+1)-'Price History'!L3)*(ROW()-3)/(MATCH(9.99E+307,'Returns (Calc)'!$A:$A)-3),"")</f>
        <v>316.00835443038</v>
      </c>
      <c r="AH97" s="156" t="n">
        <f aca="false">IFERROR('Price History'!M3+(INDEX('Price History'!M:M,MATCH(9.99E+307,'Returns (Calc)'!$A:$A)+1)-'Price History'!M3)*(ROW()-3)/(MATCH(9.99E+307,'Returns (Calc)'!$A:$A)-3),"")</f>
        <v>165.43164556962</v>
      </c>
      <c r="AI97" s="156" t="n">
        <f aca="false">IFERROR('Price History'!N3+(INDEX('Price History'!N:N,MATCH(9.99E+307,'Returns (Calc)'!$A:$A)+1)-'Price History'!N3)*(ROW()-3)/(MATCH(9.99E+307,'Returns (Calc)'!$A:$A)-3),"")</f>
        <v>441.608987341772</v>
      </c>
      <c r="AJ97" s="156" t="n">
        <f aca="false">IFERROR('Price History'!O3+(INDEX('Price History'!O:O,MATCH(9.99E+307,'Returns (Calc)'!$A:$A)+1)-'Price History'!O3)*(ROW()-3)/(MATCH(9.99E+307,'Returns (Calc)'!$A:$A)-3),"")</f>
        <v>101.915569620253</v>
      </c>
      <c r="AK97" s="156" t="n">
        <f aca="false">IFERROR('Price History'!Q3+(INDEX('Price History'!Q:Q,MATCH(9.99E+307,'Returns (Calc)'!$A:$A)+1)-'Price History'!Q3)*(ROW()-3)/(MATCH(9.99E+307,'Returns (Calc)'!$A:$A)-3),"")</f>
        <v>41.3005063291139</v>
      </c>
      <c r="AL97" s="156" t="n">
        <f aca="false">IFERROR('Price History'!R3+(INDEX('Price History'!R:R,MATCH(9.99E+307,'Returns (Calc)'!$A:$A)+1)-'Price History'!R3)*(ROW()-3)/(MATCH(9.99E+307,'Returns (Calc)'!$A:$A)-3),"")</f>
        <v>50.2815189873418</v>
      </c>
      <c r="AM97" s="156" t="n">
        <f aca="false">IFERROR('Price History'!S3+(INDEX('Price History'!S:S,MATCH(9.99E+307,'Returns (Calc)'!$A:$A)+1)-'Price History'!S3)*(ROW()-3)/(MATCH(9.99E+307,'Returns (Calc)'!$A:$A)-3),"")</f>
        <v>114.505949367089</v>
      </c>
      <c r="AN97" s="156" t="n">
        <f aca="false">IFERROR('Price History'!T3+(INDEX('Price History'!T:T,MATCH(9.99E+307,'Returns (Calc)'!$A:$A)+1)-'Price History'!T3)*(ROW()-3)/(MATCH(9.99E+307,'Returns (Calc)'!$A:$A)-3),"")</f>
        <v>41.053417721519</v>
      </c>
      <c r="AO97" s="157" t="n">
        <f aca="false">IFERROR('Price History'!V3+(INDEX('Price History'!V:V,MATCH(9.99E+307,'Returns (Calc)'!$A:$A)+1)-'Price History'!V3)*(ROW()-3)/(MATCH(9.99E+307,'Returns (Calc)'!$A:$A)-3),"")</f>
        <v>310.014936708861</v>
      </c>
      <c r="AP97" s="155" t="n">
        <f aca="false">IFERROR(IF(OR(NOT(ISNUMBER('Price History'!W98)),NOT(ISNUMBER('Price History'!W97)),'Price History'!W97=0),"",'Price History'!W98/'Price History'!W97-1),"")</f>
        <v>-0.00675368037638502</v>
      </c>
      <c r="AQ97" s="155" t="str">
        <f aca="false">IFERROR(IF(OR(NOT(ISNUMBER('Price History'!X98)),NOT(ISNUMBER('Price History'!X97)),'Price History'!X97=0),"",'Price History'!X98/'Price History'!X97-1),"")</f>
        <v/>
      </c>
      <c r="AR97" s="155" t="n">
        <f aca="false">IFERROR(IF(OR(NOT(ISNUMBER('Price History'!Y98)),NOT(ISNUMBER('Price History'!Y97)),'Price History'!Y97=0),"",'Price History'!Y98/'Price History'!Y97-1),"")</f>
        <v>-0.00348904826516783</v>
      </c>
      <c r="AS97" s="155" t="n">
        <f aca="false">IFERROR(IF(OR(NOT(ISNUMBER('Price History'!Z98)),NOT(ISNUMBER('Price History'!Z97)),'Price History'!Z97=0),"",'Price History'!Z98/'Price History'!Z97-1),"")</f>
        <v>0.0361234557834222</v>
      </c>
      <c r="AT97" s="155" t="n">
        <f aca="false">IFERROR(IF(OR(NOT(ISNUMBER('Price History'!AA98)),NOT(ISNUMBER('Price History'!AA97)),'Price History'!AA97=0),"",'Price History'!AA98/'Price History'!AA97-1),"")</f>
        <v>-0.040163428923836</v>
      </c>
      <c r="AU97" s="155" t="n">
        <f aca="false">IFERROR(IF(OR(NOT(ISNUMBER('Price History'!AB98)),NOT(ISNUMBER('Price History'!AB97)),'Price History'!AB97=0),"",'Price History'!AB98/'Price History'!AB97-1),"")</f>
        <v>-0.0295472932568857</v>
      </c>
    </row>
    <row r="98" customFormat="false" ht="15" hidden="false" customHeight="true" outlineLevel="0" collapsed="false">
      <c r="A98" s="153" t="n">
        <f aca="false">IF('Price History'!A99="","",'Price History'!A99)</f>
        <v>45856</v>
      </c>
      <c r="B98" s="154" t="n">
        <f aca="false">IFERROR(IF(OR(NOT(ISNUMBER('Price History'!B99)),NOT(ISNUMBER('Price History'!B98)),'Price History'!B98=0),"",'Price History'!B99/'Price History'!B98-1),"")</f>
        <v>0.00671528828952805</v>
      </c>
      <c r="C98" s="154" t="n">
        <f aca="false">IFERROR(IF(OR(NOT(ISNUMBER('Price History'!C99)),NOT(ISNUMBER('Price History'!C98)),'Price History'!C98=0),"",'Price History'!C99/'Price History'!C98-1),"")</f>
        <v>0.0295661785023489</v>
      </c>
      <c r="D98" s="154" t="n">
        <f aca="false">IFERROR(IF(OR(NOT(ISNUMBER('Price History'!D99)),NOT(ISNUMBER('Price History'!D98)),'Price History'!D98=0),"",'Price History'!D99/'Price History'!D98-1),"")</f>
        <v>-0.0839845470446853</v>
      </c>
      <c r="E98" s="154" t="n">
        <f aca="false">IFERROR(IF(OR(NOT(ISNUMBER('Price History'!E99)),NOT(ISNUMBER('Price History'!E98)),'Price History'!E98=0),"",'Price History'!E99/'Price History'!E98-1),"")</f>
        <v>0.0326602670197507</v>
      </c>
      <c r="F98" s="154" t="n">
        <f aca="false">IFERROR(IF(OR(NOT(ISNUMBER('Price History'!F99)),NOT(ISNUMBER('Price History'!F98)),'Price History'!F98=0),"",'Price History'!F99/'Price History'!F98-1),"")</f>
        <v>-0.00518351308419029</v>
      </c>
      <c r="G98" s="154" t="n">
        <f aca="false">IFERROR(IF(OR(NOT(ISNUMBER('Price History'!G99)),NOT(ISNUMBER('Price History'!G98)),'Price History'!G98=0),"",'Price History'!G99/'Price History'!G98-1),"")</f>
        <v>0.00708369659982555</v>
      </c>
      <c r="H98" s="154" t="n">
        <f aca="false">IFERROR(IF(OR(NOT(ISNUMBER('Price History'!H99)),NOT(ISNUMBER('Price History'!H98)),'Price History'!H98=0),"",'Price History'!H99/'Price History'!H98-1),"")</f>
        <v>-0.0813962840826832</v>
      </c>
      <c r="I98" s="154" t="n">
        <f aca="false">IFERROR(IF(OR(NOT(ISNUMBER('Price History'!I99)),NOT(ISNUMBER('Price History'!I98)),'Price History'!I98=0),"",'Price History'!I99/'Price History'!I98-1),"")</f>
        <v>0.0454048140043764</v>
      </c>
      <c r="J98" s="154" t="n">
        <f aca="false">IFERROR(IF(OR(NOT(ISNUMBER('Price History'!J99)),NOT(ISNUMBER('Price History'!J98)),'Price History'!J98=0),"",'Price History'!J99/'Price History'!J98-1),"")</f>
        <v>-0.0219235535220665</v>
      </c>
      <c r="K98" s="154" t="n">
        <f aca="false">IFERROR(IF(OR(NOT(ISNUMBER('Price History'!K99)),NOT(ISNUMBER('Price History'!K98)),'Price History'!K98=0),"",'Price History'!K99/'Price History'!K98-1),"")</f>
        <v>0.08036593947924</v>
      </c>
      <c r="L98" s="154" t="n">
        <f aca="false">IFERROR(IF(OR(NOT(ISNUMBER('Price History'!L99)),NOT(ISNUMBER('Price History'!L98)),'Price History'!L98=0),"",'Price History'!L99/'Price History'!L98-1),"")</f>
        <v>0.0433845206142474</v>
      </c>
      <c r="M98" s="154" t="n">
        <f aca="false">IFERROR(IF(OR(NOT(ISNUMBER('Price History'!M99)),NOT(ISNUMBER('Price History'!M98)),'Price History'!M98=0),"",'Price History'!M99/'Price History'!M98-1),"")</f>
        <v>0.0467798261999513</v>
      </c>
      <c r="N98" s="154" t="n">
        <f aca="false">IFERROR(IF(OR(NOT(ISNUMBER('Price History'!N99)),NOT(ISNUMBER('Price History'!N98)),'Price History'!N98=0),"",'Price History'!N99/'Price History'!N98-1),"")</f>
        <v>-0.0192812200063986</v>
      </c>
      <c r="O98" s="154" t="n">
        <f aca="false">IFERROR(IF(OR(NOT(ISNUMBER('Price History'!O99)),NOT(ISNUMBER('Price History'!O98)),'Price History'!O98=0),"",'Price History'!O99/'Price History'!O98-1),"")</f>
        <v>-0.0118000429092469</v>
      </c>
      <c r="P98" s="154" t="n">
        <f aca="false">IFERROR(IF(OR(NOT(ISNUMBER('Price History'!P99)),NOT(ISNUMBER('Price History'!P98)),'Price History'!P98=0),"",'Price History'!P99/'Price History'!P98-1),"")</f>
        <v>-0.00421940928270026</v>
      </c>
      <c r="Q98" s="154" t="n">
        <f aca="false">IFERROR(IF(OR(NOT(ISNUMBER('Price History'!Q99)),NOT(ISNUMBER('Price History'!Q98)),'Price History'!Q98=0),"",'Price History'!Q99/'Price History'!Q98-1),"")</f>
        <v>0.00351662404092079</v>
      </c>
      <c r="R98" s="154" t="n">
        <f aca="false">IFERROR(IF(OR(NOT(ISNUMBER('Price History'!R99)),NOT(ISNUMBER('Price History'!R98)),'Price History'!R98=0),"",'Price History'!R99/'Price History'!R98-1),"")</f>
        <v>0.00614016514926963</v>
      </c>
      <c r="S98" s="154" t="n">
        <f aca="false">IFERROR(IF(OR(NOT(ISNUMBER('Price History'!S99)),NOT(ISNUMBER('Price History'!S98)),'Price History'!S98=0),"",'Price History'!S99/'Price History'!S98-1),"")</f>
        <v>0.014858171994597</v>
      </c>
      <c r="T98" s="154" t="n">
        <f aca="false">IFERROR(IF(OR(NOT(ISNUMBER('Price History'!T99)),NOT(ISNUMBER('Price History'!T98)),'Price History'!T98=0),"",'Price History'!T99/'Price History'!T98-1),"")</f>
        <v>-0.0212645307626879</v>
      </c>
      <c r="U98" s="154" t="n">
        <f aca="false">IFERROR(IF(OR(NOT(ISNUMBER('Price History'!U99)),NOT(ISNUMBER('Price History'!U98)),'Price History'!U98=0),"",'Price History'!U99/'Price History'!U98-1),"")</f>
        <v>-0.0110898661567878</v>
      </c>
      <c r="V98" s="155" t="n">
        <f aca="false">IFERROR(IF(OR(NOT(ISNUMBER('Price History'!V99)),NOT(ISNUMBER('Price History'!V98)),'Price History'!V98=0),"",'Price History'!V99/'Price History'!V98-1),"")</f>
        <v>0.00322149988390996</v>
      </c>
      <c r="W98" s="156" t="n">
        <f aca="false">IFERROR('Price History'!B3+(INDEX('Price History'!B:B,MATCH(9.99E+307,'Returns (Calc)'!$A:$A)+1)-'Price History'!B3)*(ROW()-3)/(MATCH(9.99E+307,'Returns (Calc)'!$A:$A)-3),"")</f>
        <v>353.801392405063</v>
      </c>
      <c r="X98" s="156" t="n">
        <f aca="false">IFERROR('Price History'!C3+(INDEX('Price History'!C:C,MATCH(9.99E+307,'Returns (Calc)'!$A:$A)+1)-'Price History'!C3)*(ROW()-3)/(MATCH(9.99E+307,'Returns (Calc)'!$A:$A)-3),"")</f>
        <v>143.086012658228</v>
      </c>
      <c r="Y98" s="156" t="n">
        <f aca="false">IFERROR('Price History'!D3+(INDEX('Price History'!D:D,MATCH(9.99E+307,'Returns (Calc)'!$A:$A)+1)-'Price History'!D3)*(ROW()-3)/(MATCH(9.99E+307,'Returns (Calc)'!$A:$A)-3),"")</f>
        <v>1354.81696202532</v>
      </c>
      <c r="Z98" s="156" t="n">
        <f aca="false">IFERROR('Price History'!E3+(INDEX('Price History'!E:E,MATCH(9.99E+307,'Returns (Calc)'!$A:$A)+1)-'Price History'!E3)*(ROW()-3)/(MATCH(9.99E+307,'Returns (Calc)'!$A:$A)-3),"")</f>
        <v>246.229746835443</v>
      </c>
      <c r="AA98" s="156" t="n">
        <f aca="false">IFERROR('Price History'!F3+(INDEX('Price History'!F:F,MATCH(9.99E+307,'Returns (Calc)'!$A:$A)+1)-'Price History'!F3)*(ROW()-3)/(MATCH(9.99E+307,'Returns (Calc)'!$A:$A)-3),"")</f>
        <v>178.85746835443</v>
      </c>
      <c r="AB98" s="156" t="n">
        <f aca="false">IFERROR('Price History'!G3+(INDEX('Price History'!G:G,MATCH(9.99E+307,'Returns (Calc)'!$A:$A)+1)-'Price History'!G3)*(ROW()-3)/(MATCH(9.99E+307,'Returns (Calc)'!$A:$A)-3),"")</f>
        <v>142.079746835443</v>
      </c>
      <c r="AC98" s="156" t="n">
        <f aca="false">IFERROR('Price History'!H3+(INDEX('Price History'!H:H,MATCH(9.99E+307,'Returns (Calc)'!$A:$A)+1)-'Price History'!H3)*(ROW()-3)/(MATCH(9.99E+307,'Returns (Calc)'!$A:$A)-3),"")</f>
        <v>673.851139240506</v>
      </c>
      <c r="AD98" s="156" t="n">
        <f aca="false">IFERROR('Price History'!I3+(INDEX('Price History'!I:I,MATCH(9.99E+307,'Returns (Calc)'!$A:$A)+1)-'Price History'!I3)*(ROW()-3)/(MATCH(9.99E+307,'Returns (Calc)'!$A:$A)-3),"")</f>
        <v>158.118734177215</v>
      </c>
      <c r="AE98" s="156" t="n">
        <f aca="false">IFERROR('Price History'!J3+(INDEX('Price History'!J:J,MATCH(9.99E+307,'Returns (Calc)'!$A:$A)+1)-'Price History'!J3)*(ROW()-3)/(MATCH(9.99E+307,'Returns (Calc)'!$A:$A)-3),"")</f>
        <v>122.103607594937</v>
      </c>
      <c r="AF98" s="156" t="n">
        <f aca="false">IFERROR('Price History'!K3+(INDEX('Price History'!K:K,MATCH(9.99E+307,'Returns (Calc)'!$A:$A)+1)-'Price History'!K3)*(ROW()-3)/(MATCH(9.99E+307,'Returns (Calc)'!$A:$A)-3),"")</f>
        <v>119.601518987342</v>
      </c>
      <c r="AG98" s="156" t="n">
        <f aca="false">IFERROR('Price History'!L3+(INDEX('Price History'!L:L,MATCH(9.99E+307,'Returns (Calc)'!$A:$A)+1)-'Price History'!L3)*(ROW()-3)/(MATCH(9.99E+307,'Returns (Calc)'!$A:$A)-3),"")</f>
        <v>318.457911392405</v>
      </c>
      <c r="AH98" s="156" t="n">
        <f aca="false">IFERROR('Price History'!M3+(INDEX('Price History'!M:M,MATCH(9.99E+307,'Returns (Calc)'!$A:$A)+1)-'Price History'!M3)*(ROW()-3)/(MATCH(9.99E+307,'Returns (Calc)'!$A:$A)-3),"")</f>
        <v>166.787088607595</v>
      </c>
      <c r="AI98" s="156" t="n">
        <f aca="false">IFERROR('Price History'!N3+(INDEX('Price History'!N:N,MATCH(9.99E+307,'Returns (Calc)'!$A:$A)+1)-'Price History'!N3)*(ROW()-3)/(MATCH(9.99E+307,'Returns (Calc)'!$A:$A)-3),"")</f>
        <v>442.595253164557</v>
      </c>
      <c r="AJ98" s="156" t="n">
        <f aca="false">IFERROR('Price History'!O3+(INDEX('Price History'!O:O,MATCH(9.99E+307,'Returns (Calc)'!$A:$A)+1)-'Price History'!O3)*(ROW()-3)/(MATCH(9.99E+307,'Returns (Calc)'!$A:$A)-3),"")</f>
        <v>102.198607594937</v>
      </c>
      <c r="AK98" s="156" t="n">
        <f aca="false">IFERROR('Price History'!Q3+(INDEX('Price History'!Q:Q,MATCH(9.99E+307,'Returns (Calc)'!$A:$A)+1)-'Price History'!Q3)*(ROW()-3)/(MATCH(9.99E+307,'Returns (Calc)'!$A:$A)-3),"")</f>
        <v>41.7398734177215</v>
      </c>
      <c r="AL98" s="156" t="n">
        <f aca="false">IFERROR('Price History'!R3+(INDEX('Price History'!R:R,MATCH(9.99E+307,'Returns (Calc)'!$A:$A)+1)-'Price History'!R3)*(ROW()-3)/(MATCH(9.99E+307,'Returns (Calc)'!$A:$A)-3),"")</f>
        <v>50.4496202531646</v>
      </c>
      <c r="AM98" s="156" t="n">
        <f aca="false">IFERROR('Price History'!S3+(INDEX('Price History'!S:S,MATCH(9.99E+307,'Returns (Calc)'!$A:$A)+1)-'Price History'!S3)*(ROW()-3)/(MATCH(9.99E+307,'Returns (Calc)'!$A:$A)-3),"")</f>
        <v>115.111012658228</v>
      </c>
      <c r="AN98" s="156" t="n">
        <f aca="false">IFERROR('Price History'!T3+(INDEX('Price History'!T:T,MATCH(9.99E+307,'Returns (Calc)'!$A:$A)+1)-'Price History'!T3)*(ROW()-3)/(MATCH(9.99E+307,'Returns (Calc)'!$A:$A)-3),"")</f>
        <v>41.2216455696203</v>
      </c>
      <c r="AO98" s="157" t="n">
        <f aca="false">IFERROR('Price History'!V3+(INDEX('Price History'!V:V,MATCH(9.99E+307,'Returns (Calc)'!$A:$A)+1)-'Price History'!V3)*(ROW()-3)/(MATCH(9.99E+307,'Returns (Calc)'!$A:$A)-3),"")</f>
        <v>310.806265822785</v>
      </c>
      <c r="AP98" s="155" t="n">
        <f aca="false">IFERROR(IF(OR(NOT(ISNUMBER('Price History'!W99)),NOT(ISNUMBER('Price History'!W98)),'Price History'!W98=0),"",'Price History'!W99/'Price History'!W98-1),"")</f>
        <v>-0.00152800061120018</v>
      </c>
      <c r="AQ98" s="155" t="str">
        <f aca="false">IFERROR(IF(OR(NOT(ISNUMBER('Price History'!X99)),NOT(ISNUMBER('Price History'!X98)),'Price History'!X98=0),"",'Price History'!X99/'Price History'!X98-1),"")</f>
        <v/>
      </c>
      <c r="AR98" s="155" t="n">
        <f aca="false">IFERROR(IF(OR(NOT(ISNUMBER('Price History'!Y99)),NOT(ISNUMBER('Price History'!Y98)),'Price History'!Y98=0),"",'Price History'!Y99/'Price History'!Y98-1),"")</f>
        <v>0.00369577903131701</v>
      </c>
      <c r="AS98" s="155" t="n">
        <f aca="false">IFERROR(IF(OR(NOT(ISNUMBER('Price History'!Z99)),NOT(ISNUMBER('Price History'!Z98)),'Price History'!Z98=0),"",'Price History'!Z99/'Price History'!Z98-1),"")</f>
        <v>0.0307323023649313</v>
      </c>
      <c r="AT98" s="155" t="n">
        <f aca="false">IFERROR(IF(OR(NOT(ISNUMBER('Price History'!AA99)),NOT(ISNUMBER('Price History'!AA98)),'Price History'!AA98=0),"",'Price History'!AA99/'Price History'!AA98-1),"")</f>
        <v>-0.0288330254598025</v>
      </c>
      <c r="AU98" s="155" t="n">
        <f aca="false">IFERROR(IF(OR(NOT(ISNUMBER('Price History'!AB99)),NOT(ISNUMBER('Price History'!AB98)),'Price History'!AB98=0),"",'Price History'!AB99/'Price History'!AB98-1),"")</f>
        <v>0.0231976512378123</v>
      </c>
    </row>
    <row r="99" customFormat="false" ht="15" hidden="false" customHeight="true" outlineLevel="0" collapsed="false">
      <c r="A99" s="153" t="n">
        <f aca="false">IF('Price History'!A100="","",'Price History'!A100)</f>
        <v>45863</v>
      </c>
      <c r="B99" s="154" t="n">
        <f aca="false">IFERROR(IF(OR(NOT(ISNUMBER('Price History'!B100)),NOT(ISNUMBER('Price History'!B99)),'Price History'!B99=0),"",'Price History'!B100/'Price History'!B99-1),"")</f>
        <v>0.0135323546297055</v>
      </c>
      <c r="C99" s="154" t="n">
        <f aca="false">IFERROR(IF(OR(NOT(ISNUMBER('Price History'!C100)),NOT(ISNUMBER('Price History'!C99)),'Price History'!C99=0),"",'Price History'!C100/'Price History'!C99-1),"")</f>
        <v>0.0223653605296117</v>
      </c>
      <c r="D99" s="154" t="n">
        <f aca="false">IFERROR(IF(OR(NOT(ISNUMBER('Price History'!D100)),NOT(ISNUMBER('Price History'!D99)),'Price History'!D99=0),"",'Price History'!D100/'Price History'!D99-1),"")</f>
        <v>-0.0317612957289849</v>
      </c>
      <c r="E99" s="154" t="n">
        <f aca="false">IFERROR(IF(OR(NOT(ISNUMBER('Price History'!E100)),NOT(ISNUMBER('Price History'!E99)),'Price History'!E99=0),"",'Price History'!E100/'Price History'!E99-1),"")</f>
        <v>0.0241478790469067</v>
      </c>
      <c r="F99" s="154" t="n">
        <f aca="false">IFERROR(IF(OR(NOT(ISNUMBER('Price History'!F100)),NOT(ISNUMBER('Price History'!F99)),'Price History'!F99=0),"",'Price History'!F100/'Price History'!F99-1),"")</f>
        <v>-0.0168921758130934</v>
      </c>
      <c r="G99" s="154" t="n">
        <f aca="false">IFERROR(IF(OR(NOT(ISNUMBER('Price History'!G100)),NOT(ISNUMBER('Price History'!G99)),'Price History'!G99=0),"",'Price History'!G100/'Price History'!G99-1),"")</f>
        <v>-0.0311654582837355</v>
      </c>
      <c r="H99" s="154" t="n">
        <f aca="false">IFERROR(IF(OR(NOT(ISNUMBER('Price History'!H100)),NOT(ISNUMBER('Price History'!H99)),'Price History'!H99=0),"",'Price History'!H100/'Price History'!H99-1),"")</f>
        <v>-0.0274056562472638</v>
      </c>
      <c r="I99" s="154" t="n">
        <f aca="false">IFERROR(IF(OR(NOT(ISNUMBER('Price History'!I100)),NOT(ISNUMBER('Price History'!I99)),'Price History'!I99=0),"",'Price History'!I100/'Price History'!I99-1),"")</f>
        <v>0.00633757776614918</v>
      </c>
      <c r="J99" s="154" t="n">
        <f aca="false">IFERROR(IF(OR(NOT(ISNUMBER('Price History'!J100)),NOT(ISNUMBER('Price History'!J99)),'Price History'!J99=0),"",'Price History'!J100/'Price History'!J99-1),"")</f>
        <v>0.0329402592339927</v>
      </c>
      <c r="K99" s="154" t="n">
        <f aca="false">IFERROR(IF(OR(NOT(ISNUMBER('Price History'!K100)),NOT(ISNUMBER('Price History'!K99)),'Price History'!K99=0),"",'Price History'!K100/'Price History'!K99-1),"")</f>
        <v>0.0343929129755081</v>
      </c>
      <c r="L99" s="154" t="n">
        <f aca="false">IFERROR(IF(OR(NOT(ISNUMBER('Price History'!L100)),NOT(ISNUMBER('Price History'!L99)),'Price History'!L99=0),"",'Price History'!L100/'Price History'!L99-1),"")</f>
        <v>0.0216337030320921</v>
      </c>
      <c r="M99" s="154" t="n">
        <f aca="false">IFERROR(IF(OR(NOT(ISNUMBER('Price History'!M100)),NOT(ISNUMBER('Price History'!M99)),'Price History'!M99=0),"",'Price History'!M100/'Price History'!M99-1),"")</f>
        <v>0.0651718519667934</v>
      </c>
      <c r="N99" s="154" t="n">
        <f aca="false">IFERROR(IF(OR(NOT(ISNUMBER('Price History'!N100)),NOT(ISNUMBER('Price History'!N99)),'Price History'!N99=0),"",'Price History'!N100/'Price History'!N99-1),"")</f>
        <v>0.0214001435375482</v>
      </c>
      <c r="O99" s="154" t="n">
        <f aca="false">IFERROR(IF(OR(NOT(ISNUMBER('Price History'!O100)),NOT(ISNUMBER('Price History'!O99)),'Price History'!O99=0),"",'Price History'!O100/'Price History'!O99-1),"")</f>
        <v>0.0147633521493704</v>
      </c>
      <c r="P99" s="154" t="n">
        <f aca="false">IFERROR(IF(OR(NOT(ISNUMBER('Price History'!P100)),NOT(ISNUMBER('Price History'!P99)),'Price History'!P99=0),"",'Price History'!P100/'Price History'!P99-1),"")</f>
        <v>0.0181818181818181</v>
      </c>
      <c r="Q99" s="154" t="n">
        <f aca="false">IFERROR(IF(OR(NOT(ISNUMBER('Price History'!Q100)),NOT(ISNUMBER('Price History'!Q99)),'Price History'!Q99=0),"",'Price History'!Q100/'Price History'!Q99-1),"")</f>
        <v>0.00223000955718389</v>
      </c>
      <c r="R99" s="154" t="n">
        <f aca="false">IFERROR(IF(OR(NOT(ISNUMBER('Price History'!R100)),NOT(ISNUMBER('Price History'!R99)),'Price History'!R99=0),"",'Price History'!R100/'Price History'!R99-1),"")</f>
        <v>0.00715488215488214</v>
      </c>
      <c r="S99" s="154" t="n">
        <f aca="false">IFERROR(IF(OR(NOT(ISNUMBER('Price History'!S100)),NOT(ISNUMBER('Price History'!S99)),'Price History'!S99=0),"",'Price History'!S100/'Price History'!S99-1),"")</f>
        <v>0.01055900621118</v>
      </c>
      <c r="T99" s="154" t="n">
        <f aca="false">IFERROR(IF(OR(NOT(ISNUMBER('Price History'!T100)),NOT(ISNUMBER('Price History'!T99)),'Price History'!T99=0),"",'Price History'!T100/'Price History'!T99-1),"")</f>
        <v>0.0220162224797218</v>
      </c>
      <c r="U99" s="154" t="n">
        <f aca="false">IFERROR(IF(OR(NOT(ISNUMBER('Price History'!U100)),NOT(ISNUMBER('Price History'!U99)),'Price History'!U99=0),"",'Price History'!U100/'Price History'!U99-1),"")</f>
        <v>0.0108275328692962</v>
      </c>
      <c r="V99" s="155" t="n">
        <f aca="false">IFERROR(IF(OR(NOT(ISNUMBER('Price History'!V100)),NOT(ISNUMBER('Price History'!V99)),'Price History'!V99=0),"",'Price History'!V100/'Price History'!V99-1),"")</f>
        <v>0.0229120259206757</v>
      </c>
      <c r="W99" s="156" t="n">
        <f aca="false">IFERROR('Price History'!B3+(INDEX('Price History'!B:B,MATCH(9.99E+307,'Returns (Calc)'!$A:$A)+1)-'Price History'!B3)*(ROW()-3)/(MATCH(9.99E+307,'Returns (Calc)'!$A:$A)-3),"")</f>
        <v>351.95835443038</v>
      </c>
      <c r="X99" s="156" t="n">
        <f aca="false">IFERROR('Price History'!C3+(INDEX('Price History'!C:C,MATCH(9.99E+307,'Returns (Calc)'!$A:$A)+1)-'Price History'!C3)*(ROW()-3)/(MATCH(9.99E+307,'Returns (Calc)'!$A:$A)-3),"")</f>
        <v>144.106075949367</v>
      </c>
      <c r="Y99" s="156" t="n">
        <f aca="false">IFERROR('Price History'!D3+(INDEX('Price History'!D:D,MATCH(9.99E+307,'Returns (Calc)'!$A:$A)+1)-'Price History'!D3)*(ROW()-3)/(MATCH(9.99E+307,'Returns (Calc)'!$A:$A)-3),"")</f>
        <v>1362.9517721519</v>
      </c>
      <c r="Z99" s="156" t="n">
        <f aca="false">IFERROR('Price History'!E3+(INDEX('Price History'!E:E,MATCH(9.99E+307,'Returns (Calc)'!$A:$A)+1)-'Price History'!E3)*(ROW()-3)/(MATCH(9.99E+307,'Returns (Calc)'!$A:$A)-3),"")</f>
        <v>247.958481012658</v>
      </c>
      <c r="AA99" s="156" t="n">
        <f aca="false">IFERROR('Price History'!F3+(INDEX('Price History'!F:F,MATCH(9.99E+307,'Returns (Calc)'!$A:$A)+1)-'Price History'!F3)*(ROW()-3)/(MATCH(9.99E+307,'Returns (Calc)'!$A:$A)-3),"")</f>
        <v>180.304810126582</v>
      </c>
      <c r="AB99" s="156" t="n">
        <f aca="false">IFERROR('Price History'!G3+(INDEX('Price History'!G:G,MATCH(9.99E+307,'Returns (Calc)'!$A:$A)+1)-'Price History'!G3)*(ROW()-3)/(MATCH(9.99E+307,'Returns (Calc)'!$A:$A)-3),"")</f>
        <v>143.108481012658</v>
      </c>
      <c r="AC99" s="156" t="n">
        <f aca="false">IFERROR('Price History'!H3+(INDEX('Price History'!H:H,MATCH(9.99E+307,'Returns (Calc)'!$A:$A)+1)-'Price History'!H3)*(ROW()-3)/(MATCH(9.99E+307,'Returns (Calc)'!$A:$A)-3),"")</f>
        <v>680.216835443038</v>
      </c>
      <c r="AD99" s="156" t="n">
        <f aca="false">IFERROR('Price History'!I3+(INDEX('Price History'!I:I,MATCH(9.99E+307,'Returns (Calc)'!$A:$A)+1)-'Price History'!I3)*(ROW()-3)/(MATCH(9.99E+307,'Returns (Calc)'!$A:$A)-3),"")</f>
        <v>159.322405063291</v>
      </c>
      <c r="AE99" s="156" t="n">
        <f aca="false">IFERROR('Price History'!J3+(INDEX('Price History'!J:J,MATCH(9.99E+307,'Returns (Calc)'!$A:$A)+1)-'Price History'!J3)*(ROW()-3)/(MATCH(9.99E+307,'Returns (Calc)'!$A:$A)-3),"")</f>
        <v>122.21164556962</v>
      </c>
      <c r="AF99" s="156" t="n">
        <f aca="false">IFERROR('Price History'!K3+(INDEX('Price History'!K:K,MATCH(9.99E+307,'Returns (Calc)'!$A:$A)+1)-'Price History'!K3)*(ROW()-3)/(MATCH(9.99E+307,'Returns (Calc)'!$A:$A)-3),"")</f>
        <v>120.699113924051</v>
      </c>
      <c r="AG99" s="156" t="n">
        <f aca="false">IFERROR('Price History'!L3+(INDEX('Price History'!L:L,MATCH(9.99E+307,'Returns (Calc)'!$A:$A)+1)-'Price History'!L3)*(ROW()-3)/(MATCH(9.99E+307,'Returns (Calc)'!$A:$A)-3),"")</f>
        <v>320.90746835443</v>
      </c>
      <c r="AH99" s="156" t="n">
        <f aca="false">IFERROR('Price History'!M3+(INDEX('Price History'!M:M,MATCH(9.99E+307,'Returns (Calc)'!$A:$A)+1)-'Price History'!M3)*(ROW()-3)/(MATCH(9.99E+307,'Returns (Calc)'!$A:$A)-3),"")</f>
        <v>168.14253164557</v>
      </c>
      <c r="AI99" s="156" t="n">
        <f aca="false">IFERROR('Price History'!N3+(INDEX('Price History'!N:N,MATCH(9.99E+307,'Returns (Calc)'!$A:$A)+1)-'Price History'!N3)*(ROW()-3)/(MATCH(9.99E+307,'Returns (Calc)'!$A:$A)-3),"")</f>
        <v>443.581518987342</v>
      </c>
      <c r="AJ99" s="156" t="n">
        <f aca="false">IFERROR('Price History'!O3+(INDEX('Price History'!O:O,MATCH(9.99E+307,'Returns (Calc)'!$A:$A)+1)-'Price History'!O3)*(ROW()-3)/(MATCH(9.99E+307,'Returns (Calc)'!$A:$A)-3),"")</f>
        <v>102.48164556962</v>
      </c>
      <c r="AK99" s="156" t="n">
        <f aca="false">IFERROR('Price History'!Q3+(INDEX('Price History'!Q:Q,MATCH(9.99E+307,'Returns (Calc)'!$A:$A)+1)-'Price History'!Q3)*(ROW()-3)/(MATCH(9.99E+307,'Returns (Calc)'!$A:$A)-3),"")</f>
        <v>42.1792405063291</v>
      </c>
      <c r="AL99" s="156" t="n">
        <f aca="false">IFERROR('Price History'!R3+(INDEX('Price History'!R:R,MATCH(9.99E+307,'Returns (Calc)'!$A:$A)+1)-'Price History'!R3)*(ROW()-3)/(MATCH(9.99E+307,'Returns (Calc)'!$A:$A)-3),"")</f>
        <v>50.6177215189873</v>
      </c>
      <c r="AM99" s="156" t="n">
        <f aca="false">IFERROR('Price History'!S3+(INDEX('Price History'!S:S,MATCH(9.99E+307,'Returns (Calc)'!$A:$A)+1)-'Price History'!S3)*(ROW()-3)/(MATCH(9.99E+307,'Returns (Calc)'!$A:$A)-3),"")</f>
        <v>115.716075949367</v>
      </c>
      <c r="AN99" s="156" t="n">
        <f aca="false">IFERROR('Price History'!T3+(INDEX('Price History'!T:T,MATCH(9.99E+307,'Returns (Calc)'!$A:$A)+1)-'Price History'!T3)*(ROW()-3)/(MATCH(9.99E+307,'Returns (Calc)'!$A:$A)-3),"")</f>
        <v>41.3898734177215</v>
      </c>
      <c r="AO99" s="157" t="n">
        <f aca="false">IFERROR('Price History'!V3+(INDEX('Price History'!V:V,MATCH(9.99E+307,'Returns (Calc)'!$A:$A)+1)-'Price History'!V3)*(ROW()-3)/(MATCH(9.99E+307,'Returns (Calc)'!$A:$A)-3),"")</f>
        <v>311.597594936709</v>
      </c>
      <c r="AP99" s="155" t="n">
        <f aca="false">IFERROR(IF(OR(NOT(ISNUMBER('Price History'!W100)),NOT(ISNUMBER('Price History'!W99)),'Price History'!W99=0),"",'Price History'!W100/'Price History'!W99-1),"")</f>
        <v>0.0141556354732573</v>
      </c>
      <c r="AQ99" s="155" t="str">
        <f aca="false">IFERROR(IF(OR(NOT(ISNUMBER('Price History'!X100)),NOT(ISNUMBER('Price History'!X99)),'Price History'!X99=0),"",'Price History'!X100/'Price History'!X99-1),"")</f>
        <v/>
      </c>
      <c r="AR99" s="155" t="n">
        <f aca="false">IFERROR(IF(OR(NOT(ISNUMBER('Price History'!Y100)),NOT(ISNUMBER('Price History'!Y99)),'Price History'!Y99=0),"",'Price History'!Y100/'Price History'!Y99-1),"")</f>
        <v>0.00620155038759696</v>
      </c>
      <c r="AS99" s="155" t="n">
        <f aca="false">IFERROR(IF(OR(NOT(ISNUMBER('Price History'!Z100)),NOT(ISNUMBER('Price History'!Z99)),'Price History'!Z99=0),"",'Price History'!Z100/'Price History'!Z99-1),"")</f>
        <v>0.0316102924333819</v>
      </c>
      <c r="AT99" s="155" t="n">
        <f aca="false">IFERROR(IF(OR(NOT(ISNUMBER('Price History'!AA100)),NOT(ISNUMBER('Price History'!AA99)),'Price History'!AA99=0),"",'Price History'!AA100/'Price History'!AA99-1),"")</f>
        <v>-0.0237347006285148</v>
      </c>
      <c r="AU99" s="155" t="n">
        <f aca="false">IFERROR(IF(OR(NOT(ISNUMBER('Price History'!AB100)),NOT(ISNUMBER('Price History'!AB99)),'Price History'!AB99=0),"",'Price History'!AB100/'Price History'!AB99-1),"")</f>
        <v>0.0287647454745121</v>
      </c>
    </row>
    <row r="100" customFormat="false" ht="15" hidden="false" customHeight="true" outlineLevel="0" collapsed="false">
      <c r="A100" s="153" t="n">
        <f aca="false">IF('Price History'!A101="","",'Price History'!A101)</f>
        <v>45870</v>
      </c>
      <c r="B100" s="154" t="n">
        <f aca="false">IFERROR(IF(OR(NOT(ISNUMBER('Price History'!B101)),NOT(ISNUMBER('Price History'!B100)),'Price History'!B100=0),"",'Price History'!B101/'Price History'!B100-1),"")</f>
        <v>-0.06187624750499</v>
      </c>
      <c r="C100" s="154" t="n">
        <f aca="false">IFERROR(IF(OR(NOT(ISNUMBER('Price History'!C101)),NOT(ISNUMBER('Price History'!C100)),'Price History'!C100=0),"",'Price History'!C101/'Price History'!C100-1),"")</f>
        <v>0.0287889394469723</v>
      </c>
      <c r="D100" s="154" t="n">
        <f aca="false">IFERROR(IF(OR(NOT(ISNUMBER('Price History'!D101)),NOT(ISNUMBER('Price History'!D100)),'Price History'!D100=0),"",'Price History'!D101/'Price History'!D100-1),"")</f>
        <v>-0.0276670308310041</v>
      </c>
      <c r="E100" s="154" t="n">
        <f aca="false">IFERROR(IF(OR(NOT(ISNUMBER('Price History'!E101)),NOT(ISNUMBER('Price History'!E100)),'Price History'!E100=0),"",'Price History'!E101/'Price History'!E100-1),"")</f>
        <v>-0.00532081377151805</v>
      </c>
      <c r="F100" s="154" t="n">
        <f aca="false">IFERROR(IF(OR(NOT(ISNUMBER('Price History'!F101)),NOT(ISNUMBER('Price History'!F100)),'Price History'!F100=0),"",'Price History'!F101/'Price History'!F100-1),"")</f>
        <v>-0.0453923747649171</v>
      </c>
      <c r="G100" s="154" t="n">
        <f aca="false">IFERROR(IF(OR(NOT(ISNUMBER('Price History'!G101)),NOT(ISNUMBER('Price History'!G100)),'Price History'!G100=0),"",'Price History'!G101/'Price History'!G100-1),"")</f>
        <v>-0.0170892438288842</v>
      </c>
      <c r="H100" s="154" t="n">
        <f aca="false">IFERROR(IF(OR(NOT(ISNUMBER('Price History'!H101)),NOT(ISNUMBER('Price History'!H100)),'Price History'!H100=0),"",'Price History'!H101/'Price History'!H100-1),"")</f>
        <v>-0.0573460568959309</v>
      </c>
      <c r="I100" s="154" t="n">
        <f aca="false">IFERROR(IF(OR(NOT(ISNUMBER('Price History'!I101)),NOT(ISNUMBER('Price History'!I100)),'Price History'!I100=0),"",'Price History'!I101/'Price History'!I100-1),"")</f>
        <v>0.00127108851398194</v>
      </c>
      <c r="J100" s="154" t="n">
        <f aca="false">IFERROR(IF(OR(NOT(ISNUMBER('Price History'!J101)),NOT(ISNUMBER('Price History'!J100)),'Price History'!J100=0),"",'Price History'!J101/'Price History'!J100-1),"")</f>
        <v>-0.0487781866213795</v>
      </c>
      <c r="K100" s="154" t="n">
        <f aca="false">IFERROR(IF(OR(NOT(ISNUMBER('Price History'!K101)),NOT(ISNUMBER('Price History'!K100)),'Price History'!K100=0),"",'Price History'!K101/'Price History'!K100-1),"")</f>
        <v>-0.0285264483627204</v>
      </c>
      <c r="L100" s="154" t="n">
        <f aca="false">IFERROR(IF(OR(NOT(ISNUMBER('Price History'!L101)),NOT(ISNUMBER('Price History'!L100)),'Price History'!L100=0),"",'Price History'!L101/'Price History'!L100-1),"")</f>
        <v>-0.0423099149673905</v>
      </c>
      <c r="M100" s="154" t="n">
        <f aca="false">IFERROR(IF(OR(NOT(ISNUMBER('Price History'!M101)),NOT(ISNUMBER('Price History'!M100)),'Price History'!M100=0),"",'Price History'!M101/'Price History'!M100-1),"")</f>
        <v>0.0299366304902033</v>
      </c>
      <c r="N100" s="154" t="n">
        <f aca="false">IFERROR(IF(OR(NOT(ISNUMBER('Price History'!N101)),NOT(ISNUMBER('Price History'!N100)),'Price History'!N100=0),"",'Price History'!N101/'Price History'!N100-1),"")</f>
        <v>-0.0160119237730224</v>
      </c>
      <c r="O100" s="154" t="n">
        <f aca="false">IFERROR(IF(OR(NOT(ISNUMBER('Price History'!O101)),NOT(ISNUMBER('Price History'!O100)),'Price History'!O100=0),"",'Price History'!O101/'Price History'!O100-1),"")</f>
        <v>-0.0502781343602911</v>
      </c>
      <c r="P100" s="154" t="n">
        <f aca="false">IFERROR(IF(OR(NOT(ISNUMBER('Price History'!P101)),NOT(ISNUMBER('Price History'!P100)),'Price History'!P100=0),"",'Price History'!P101/'Price History'!P100-1),"")</f>
        <v>-0.0300393462469734</v>
      </c>
      <c r="Q100" s="154" t="n">
        <f aca="false">IFERROR(IF(OR(NOT(ISNUMBER('Price History'!Q101)),NOT(ISNUMBER('Price History'!Q100)),'Price History'!Q100=0),"",'Price History'!Q101/'Price History'!Q100-1),"")</f>
        <v>-0.0104895104895105</v>
      </c>
      <c r="R100" s="154" t="n">
        <f aca="false">IFERROR(IF(OR(NOT(ISNUMBER('Price History'!R101)),NOT(ISNUMBER('Price History'!R100)),'Price History'!R100=0),"",'Price History'!R101/'Price History'!R100-1),"")</f>
        <v>-0.0152528207271208</v>
      </c>
      <c r="S100" s="154" t="n">
        <f aca="false">IFERROR(IF(OR(NOT(ISNUMBER('Price History'!S101)),NOT(ISNUMBER('Price History'!S100)),'Price History'!S100=0),"",'Price History'!S101/'Price History'!S100-1),"")</f>
        <v>-0.0157169198349285</v>
      </c>
      <c r="T100" s="154" t="n">
        <f aca="false">IFERROR(IF(OR(NOT(ISNUMBER('Price History'!T101)),NOT(ISNUMBER('Price History'!T100)),'Price History'!T100=0),"",'Price History'!T101/'Price History'!T100-1),"")</f>
        <v>-0.0419501133786849</v>
      </c>
      <c r="U100" s="154" t="n">
        <f aca="false">IFERROR(IF(OR(NOT(ISNUMBER('Price History'!U101)),NOT(ISNUMBER('Price History'!U100)),'Price History'!U100=0),"",'Price History'!U101/'Price History'!U100-1),"")</f>
        <v>-0.0344299923488907</v>
      </c>
      <c r="V100" s="155" t="n">
        <f aca="false">IFERROR(IF(OR(NOT(ISNUMBER('Price History'!V101)),NOT(ISNUMBER('Price History'!V100)),'Price History'!V100=0),"",'Price History'!V101/'Price History'!V100-1),"")</f>
        <v>-0.0495489125823694</v>
      </c>
      <c r="W100" s="156" t="n">
        <f aca="false">IFERROR('Price History'!B3+(INDEX('Price History'!B:B,MATCH(9.99E+307,'Returns (Calc)'!$A:$A)+1)-'Price History'!B3)*(ROW()-3)/(MATCH(9.99E+307,'Returns (Calc)'!$A:$A)-3),"")</f>
        <v>350.115316455696</v>
      </c>
      <c r="X100" s="156" t="n">
        <f aca="false">IFERROR('Price History'!C3+(INDEX('Price History'!C:C,MATCH(9.99E+307,'Returns (Calc)'!$A:$A)+1)-'Price History'!C3)*(ROW()-3)/(MATCH(9.99E+307,'Returns (Calc)'!$A:$A)-3),"")</f>
        <v>145.126139240506</v>
      </c>
      <c r="Y100" s="156" t="n">
        <f aca="false">IFERROR('Price History'!D3+(INDEX('Price History'!D:D,MATCH(9.99E+307,'Returns (Calc)'!$A:$A)+1)-'Price History'!D3)*(ROW()-3)/(MATCH(9.99E+307,'Returns (Calc)'!$A:$A)-3),"")</f>
        <v>1371.08658227848</v>
      </c>
      <c r="Z100" s="156" t="n">
        <f aca="false">IFERROR('Price History'!E3+(INDEX('Price History'!E:E,MATCH(9.99E+307,'Returns (Calc)'!$A:$A)+1)-'Price History'!E3)*(ROW()-3)/(MATCH(9.99E+307,'Returns (Calc)'!$A:$A)-3),"")</f>
        <v>249.687215189873</v>
      </c>
      <c r="AA100" s="156" t="n">
        <f aca="false">IFERROR('Price History'!F3+(INDEX('Price History'!F:F,MATCH(9.99E+307,'Returns (Calc)'!$A:$A)+1)-'Price History'!F3)*(ROW()-3)/(MATCH(9.99E+307,'Returns (Calc)'!$A:$A)-3),"")</f>
        <v>181.752151898734</v>
      </c>
      <c r="AB100" s="156" t="n">
        <f aca="false">IFERROR('Price History'!G3+(INDEX('Price History'!G:G,MATCH(9.99E+307,'Returns (Calc)'!$A:$A)+1)-'Price History'!G3)*(ROW()-3)/(MATCH(9.99E+307,'Returns (Calc)'!$A:$A)-3),"")</f>
        <v>144.137215189873</v>
      </c>
      <c r="AC100" s="156" t="n">
        <f aca="false">IFERROR('Price History'!H3+(INDEX('Price History'!H:H,MATCH(9.99E+307,'Returns (Calc)'!$A:$A)+1)-'Price History'!H3)*(ROW()-3)/(MATCH(9.99E+307,'Returns (Calc)'!$A:$A)-3),"")</f>
        <v>686.58253164557</v>
      </c>
      <c r="AD100" s="156" t="n">
        <f aca="false">IFERROR('Price History'!I3+(INDEX('Price History'!I:I,MATCH(9.99E+307,'Returns (Calc)'!$A:$A)+1)-'Price History'!I3)*(ROW()-3)/(MATCH(9.99E+307,'Returns (Calc)'!$A:$A)-3),"")</f>
        <v>160.526075949367</v>
      </c>
      <c r="AE100" s="156" t="n">
        <f aca="false">IFERROR('Price History'!J3+(INDEX('Price History'!J:J,MATCH(9.99E+307,'Returns (Calc)'!$A:$A)+1)-'Price History'!J3)*(ROW()-3)/(MATCH(9.99E+307,'Returns (Calc)'!$A:$A)-3),"")</f>
        <v>122.319683544304</v>
      </c>
      <c r="AF100" s="156" t="n">
        <f aca="false">IFERROR('Price History'!K3+(INDEX('Price History'!K:K,MATCH(9.99E+307,'Returns (Calc)'!$A:$A)+1)-'Price History'!K3)*(ROW()-3)/(MATCH(9.99E+307,'Returns (Calc)'!$A:$A)-3),"")</f>
        <v>121.796708860759</v>
      </c>
      <c r="AG100" s="156" t="n">
        <f aca="false">IFERROR('Price History'!L3+(INDEX('Price History'!L:L,MATCH(9.99E+307,'Returns (Calc)'!$A:$A)+1)-'Price History'!L3)*(ROW()-3)/(MATCH(9.99E+307,'Returns (Calc)'!$A:$A)-3),"")</f>
        <v>323.357025316456</v>
      </c>
      <c r="AH100" s="156" t="n">
        <f aca="false">IFERROR('Price History'!M3+(INDEX('Price History'!M:M,MATCH(9.99E+307,'Returns (Calc)'!$A:$A)+1)-'Price History'!M3)*(ROW()-3)/(MATCH(9.99E+307,'Returns (Calc)'!$A:$A)-3),"")</f>
        <v>169.497974683544</v>
      </c>
      <c r="AI100" s="156" t="n">
        <f aca="false">IFERROR('Price History'!N3+(INDEX('Price History'!N:N,MATCH(9.99E+307,'Returns (Calc)'!$A:$A)+1)-'Price History'!N3)*(ROW()-3)/(MATCH(9.99E+307,'Returns (Calc)'!$A:$A)-3),"")</f>
        <v>444.567784810127</v>
      </c>
      <c r="AJ100" s="156" t="n">
        <f aca="false">IFERROR('Price History'!O3+(INDEX('Price History'!O:O,MATCH(9.99E+307,'Returns (Calc)'!$A:$A)+1)-'Price History'!O3)*(ROW()-3)/(MATCH(9.99E+307,'Returns (Calc)'!$A:$A)-3),"")</f>
        <v>102.764683544304</v>
      </c>
      <c r="AK100" s="156" t="n">
        <f aca="false">IFERROR('Price History'!Q3+(INDEX('Price History'!Q:Q,MATCH(9.99E+307,'Returns (Calc)'!$A:$A)+1)-'Price History'!Q3)*(ROW()-3)/(MATCH(9.99E+307,'Returns (Calc)'!$A:$A)-3),"")</f>
        <v>42.6186075949367</v>
      </c>
      <c r="AL100" s="156" t="n">
        <f aca="false">IFERROR('Price History'!R3+(INDEX('Price History'!R:R,MATCH(9.99E+307,'Returns (Calc)'!$A:$A)+1)-'Price History'!R3)*(ROW()-3)/(MATCH(9.99E+307,'Returns (Calc)'!$A:$A)-3),"")</f>
        <v>50.7858227848101</v>
      </c>
      <c r="AM100" s="156" t="n">
        <f aca="false">IFERROR('Price History'!S3+(INDEX('Price History'!S:S,MATCH(9.99E+307,'Returns (Calc)'!$A:$A)+1)-'Price History'!S3)*(ROW()-3)/(MATCH(9.99E+307,'Returns (Calc)'!$A:$A)-3),"")</f>
        <v>116.321139240506</v>
      </c>
      <c r="AN100" s="156" t="n">
        <f aca="false">IFERROR('Price History'!T3+(INDEX('Price History'!T:T,MATCH(9.99E+307,'Returns (Calc)'!$A:$A)+1)-'Price History'!T3)*(ROW()-3)/(MATCH(9.99E+307,'Returns (Calc)'!$A:$A)-3),"")</f>
        <v>41.5581012658228</v>
      </c>
      <c r="AO100" s="157" t="n">
        <f aca="false">IFERROR('Price History'!V3+(INDEX('Price History'!V:V,MATCH(9.99E+307,'Returns (Calc)'!$A:$A)+1)-'Price History'!V3)*(ROW()-3)/(MATCH(9.99E+307,'Returns (Calc)'!$A:$A)-3),"")</f>
        <v>312.388924050633</v>
      </c>
      <c r="AP100" s="155" t="n">
        <f aca="false">IFERROR(IF(OR(NOT(ISNUMBER('Price History'!W101)),NOT(ISNUMBER('Price History'!W100)),'Price History'!W100=0),"",'Price History'!W101/'Price History'!W100-1),"")</f>
        <v>-0.0270861626678739</v>
      </c>
      <c r="AQ100" s="155" t="str">
        <f aca="false">IFERROR(IF(OR(NOT(ISNUMBER('Price History'!X101)),NOT(ISNUMBER('Price History'!X100)),'Price History'!X100=0),"",'Price History'!X101/'Price History'!X100-1),"")</f>
        <v/>
      </c>
      <c r="AR100" s="155" t="n">
        <f aca="false">IFERROR(IF(OR(NOT(ISNUMBER('Price History'!Y101)),NOT(ISNUMBER('Price History'!Y100)),'Price History'!Y100=0),"",'Price History'!Y101/'Price History'!Y100-1),"")</f>
        <v>-0.0236902927580894</v>
      </c>
      <c r="AS100" s="155" t="n">
        <f aca="false">IFERROR(IF(OR(NOT(ISNUMBER('Price History'!Z101)),NOT(ISNUMBER('Price History'!Z100)),'Price History'!Z100=0),"",'Price History'!Z101/'Price History'!Z100-1),"")</f>
        <v>-0.00814151432166399</v>
      </c>
      <c r="AT100" s="155" t="n">
        <f aca="false">IFERROR(IF(OR(NOT(ISNUMBER('Price History'!AA101)),NOT(ISNUMBER('Price History'!AA100)),'Price History'!AA100=0),"",'Price History'!AA101/'Price History'!AA100-1),"")</f>
        <v>-0.0185514612452351</v>
      </c>
      <c r="AU100" s="155" t="n">
        <f aca="false">IFERROR(IF(OR(NOT(ISNUMBER('Price History'!AB101)),NOT(ISNUMBER('Price History'!AB100)),'Price History'!AB100=0),"",'Price History'!AB101/'Price History'!AB100-1),"")</f>
        <v>-0.0311972728211839</v>
      </c>
    </row>
    <row r="101" customFormat="false" ht="15" hidden="false" customHeight="true" outlineLevel="0" collapsed="false">
      <c r="A101" s="153" t="n">
        <f aca="false">IF('Price History'!A102="","",'Price History'!A102)</f>
        <v>45877</v>
      </c>
      <c r="B101" s="154" t="n">
        <f aca="false">IFERROR(IF(OR(NOT(ISNUMBER('Price History'!B102)),NOT(ISNUMBER('Price History'!B101)),'Price History'!B101=0),"",'Price History'!B102/'Price History'!B101-1),"")</f>
        <v>-0.0194077055779184</v>
      </c>
      <c r="C101" s="154" t="n">
        <f aca="false">IFERROR(IF(OR(NOT(ISNUMBER('Price History'!C102)),NOT(ISNUMBER('Price History'!C101)),'Price History'!C101=0),"",'Price History'!C102/'Price History'!C101-1),"")</f>
        <v>0.183805392532109</v>
      </c>
      <c r="D101" s="154" t="n">
        <f aca="false">IFERROR(IF(OR(NOT(ISNUMBER('Price History'!D102)),NOT(ISNUMBER('Price History'!D101)),'Price History'!D101=0),"",'Price History'!D102/'Price History'!D101-1),"")</f>
        <v>0.0471027710087406</v>
      </c>
      <c r="E101" s="154" t="n">
        <f aca="false">IFERROR(IF(OR(NOT(ISNUMBER('Price History'!E102)),NOT(ISNUMBER('Price History'!E101)),'Price History'!E101=0),"",'Price History'!E102/'Price History'!E101-1),"")</f>
        <v>0.0565694706663871</v>
      </c>
      <c r="F101" s="154" t="n">
        <f aca="false">IFERROR(IF(OR(NOT(ISNUMBER('Price History'!F102)),NOT(ISNUMBER('Price History'!F101)),'Price History'!F101=0),"",'Price History'!F102/'Price History'!F101-1),"")</f>
        <v>-0.0497000089549565</v>
      </c>
      <c r="G101" s="154" t="n">
        <f aca="false">IFERROR(IF(OR(NOT(ISNUMBER('Price History'!G102)),NOT(ISNUMBER('Price History'!G101)),'Price History'!G101=0),"",'Price History'!G102/'Price History'!G101-1),"")</f>
        <v>0.0317045454545455</v>
      </c>
      <c r="H101" s="154" t="n">
        <f aca="false">IFERROR(IF(OR(NOT(ISNUMBER('Price History'!H102)),NOT(ISNUMBER('Price History'!H101)),'Price History'!H101=0),"",'Price History'!H102/'Price History'!H101-1),"")</f>
        <v>0.133607105338554</v>
      </c>
      <c r="I101" s="154" t="n">
        <f aca="false">IFERROR(IF(OR(NOT(ISNUMBER('Price History'!I102)),NOT(ISNUMBER('Price History'!I101)),'Price History'!I101=0),"",'Price History'!I102/'Price History'!I101-1),"")</f>
        <v>0.0516445470282747</v>
      </c>
      <c r="J101" s="154" t="n">
        <f aca="false">IFERROR(IF(OR(NOT(ISNUMBER('Price History'!J102)),NOT(ISNUMBER('Price History'!J101)),'Price History'!J101=0),"",'Price History'!J102/'Price History'!J101-1),"")</f>
        <v>0.00733981352906188</v>
      </c>
      <c r="K101" s="154" t="n">
        <f aca="false">IFERROR(IF(OR(NOT(ISNUMBER('Price History'!K102)),NOT(ISNUMBER('Price History'!K101)),'Price History'!K101=0),"",'Price History'!K102/'Price History'!K101-1),"")</f>
        <v>0.211901212160498</v>
      </c>
      <c r="L101" s="154" t="n">
        <f aca="false">IFERROR(IF(OR(NOT(ISNUMBER('Price History'!L102)),NOT(ISNUMBER('Price History'!L101)),'Price History'!L101=0),"",'Price History'!L102/'Price History'!L101-1),"")</f>
        <v>0.0281453385629931</v>
      </c>
      <c r="M101" s="154" t="n">
        <f aca="false">IFERROR(IF(OR(NOT(ISNUMBER('Price History'!M102)),NOT(ISNUMBER('Price History'!M101)),'Price History'!M101=0),"",'Price History'!M102/'Price History'!M101-1),"")</f>
        <v>-0.0117397454031117</v>
      </c>
      <c r="N101" s="154" t="n">
        <f aca="false">IFERROR(IF(OR(NOT(ISNUMBER('Price History'!N102)),NOT(ISNUMBER('Price History'!N101)),'Price History'!N101=0),"",'Price History'!N102/'Price History'!N101-1),"")</f>
        <v>-0.206846558327743</v>
      </c>
      <c r="O101" s="154" t="n">
        <f aca="false">IFERROR(IF(OR(NOT(ISNUMBER('Price History'!O102)),NOT(ISNUMBER('Price History'!O101)),'Price History'!O101=0),"",'Price History'!O102/'Price History'!O101-1),"")</f>
        <v>0.0233160621761657</v>
      </c>
      <c r="P101" s="154" t="n">
        <f aca="false">IFERROR(IF(OR(NOT(ISNUMBER('Price History'!P102)),NOT(ISNUMBER('Price History'!P101)),'Price History'!P101=0),"",'Price History'!P102/'Price History'!P101-1),"")</f>
        <v>0.0161479054528433</v>
      </c>
      <c r="Q101" s="154" t="n">
        <f aca="false">IFERROR(IF(OR(NOT(ISNUMBER('Price History'!Q102)),NOT(ISNUMBER('Price History'!Q101)),'Price History'!Q101=0),"",'Price History'!Q102/'Price History'!Q101-1),"")</f>
        <v>0.0115644073241246</v>
      </c>
      <c r="R101" s="154" t="n">
        <f aca="false">IFERROR(IF(OR(NOT(ISNUMBER('Price History'!R102)),NOT(ISNUMBER('Price History'!R101)),'Price History'!R101=0),"",'Price History'!R102/'Price History'!R101-1),"")</f>
        <v>0.028219817525992</v>
      </c>
      <c r="S101" s="154" t="n">
        <f aca="false">IFERROR(IF(OR(NOT(ISNUMBER('Price History'!S102)),NOT(ISNUMBER('Price History'!S101)),'Price History'!S101=0),"",'Price History'!S102/'Price History'!S101-1),"")</f>
        <v>0.0349687778768957</v>
      </c>
      <c r="T101" s="154" t="n">
        <f aca="false">IFERROR(IF(OR(NOT(ISNUMBER('Price History'!T102)),NOT(ISNUMBER('Price History'!T101)),'Price History'!T101=0),"",'Price History'!T102/'Price History'!T101-1),"")</f>
        <v>0.0100591715976333</v>
      </c>
      <c r="U101" s="154" t="n">
        <f aca="false">IFERROR(IF(OR(NOT(ISNUMBER('Price History'!U102)),NOT(ISNUMBER('Price History'!U101)),'Price History'!U101=0),"",'Price History'!U102/'Price History'!U101-1),"")</f>
        <v>0.0190174326465928</v>
      </c>
      <c r="V101" s="155" t="n">
        <f aca="false">IFERROR(IF(OR(NOT(ISNUMBER('Price History'!V102)),NOT(ISNUMBER('Price History'!V101)),'Price History'!V101=0),"",'Price History'!V102/'Price History'!V101-1),"")</f>
        <v>-0.00758770494242278</v>
      </c>
      <c r="W101" s="156" t="n">
        <f aca="false">IFERROR('Price History'!B3+(INDEX('Price History'!B:B,MATCH(9.99E+307,'Returns (Calc)'!$A:$A)+1)-'Price History'!B3)*(ROW()-3)/(MATCH(9.99E+307,'Returns (Calc)'!$A:$A)-3),"")</f>
        <v>348.272278481013</v>
      </c>
      <c r="X101" s="156" t="n">
        <f aca="false">IFERROR('Price History'!C3+(INDEX('Price History'!C:C,MATCH(9.99E+307,'Returns (Calc)'!$A:$A)+1)-'Price History'!C3)*(ROW()-3)/(MATCH(9.99E+307,'Returns (Calc)'!$A:$A)-3),"")</f>
        <v>146.146202531646</v>
      </c>
      <c r="Y101" s="156" t="n">
        <f aca="false">IFERROR('Price History'!D3+(INDEX('Price History'!D:D,MATCH(9.99E+307,'Returns (Calc)'!$A:$A)+1)-'Price History'!D3)*(ROW()-3)/(MATCH(9.99E+307,'Returns (Calc)'!$A:$A)-3),"")</f>
        <v>1379.22139240506</v>
      </c>
      <c r="Z101" s="156" t="n">
        <f aca="false">IFERROR('Price History'!E3+(INDEX('Price History'!E:E,MATCH(9.99E+307,'Returns (Calc)'!$A:$A)+1)-'Price History'!E3)*(ROW()-3)/(MATCH(9.99E+307,'Returns (Calc)'!$A:$A)-3),"")</f>
        <v>251.415949367089</v>
      </c>
      <c r="AA101" s="156" t="n">
        <f aca="false">IFERROR('Price History'!F3+(INDEX('Price History'!F:F,MATCH(9.99E+307,'Returns (Calc)'!$A:$A)+1)-'Price History'!F3)*(ROW()-3)/(MATCH(9.99E+307,'Returns (Calc)'!$A:$A)-3),"")</f>
        <v>183.199493670886</v>
      </c>
      <c r="AB101" s="156" t="n">
        <f aca="false">IFERROR('Price History'!G3+(INDEX('Price History'!G:G,MATCH(9.99E+307,'Returns (Calc)'!$A:$A)+1)-'Price History'!G3)*(ROW()-3)/(MATCH(9.99E+307,'Returns (Calc)'!$A:$A)-3),"")</f>
        <v>145.165949367089</v>
      </c>
      <c r="AC101" s="156" t="n">
        <f aca="false">IFERROR('Price History'!H3+(INDEX('Price History'!H:H,MATCH(9.99E+307,'Returns (Calc)'!$A:$A)+1)-'Price History'!H3)*(ROW()-3)/(MATCH(9.99E+307,'Returns (Calc)'!$A:$A)-3),"")</f>
        <v>692.948227848101</v>
      </c>
      <c r="AD101" s="156" t="n">
        <f aca="false">IFERROR('Price History'!I3+(INDEX('Price History'!I:I,MATCH(9.99E+307,'Returns (Calc)'!$A:$A)+1)-'Price History'!I3)*(ROW()-3)/(MATCH(9.99E+307,'Returns (Calc)'!$A:$A)-3),"")</f>
        <v>161.729746835443</v>
      </c>
      <c r="AE101" s="156" t="n">
        <f aca="false">IFERROR('Price History'!J3+(INDEX('Price History'!J:J,MATCH(9.99E+307,'Returns (Calc)'!$A:$A)+1)-'Price History'!J3)*(ROW()-3)/(MATCH(9.99E+307,'Returns (Calc)'!$A:$A)-3),"")</f>
        <v>122.427721518987</v>
      </c>
      <c r="AF101" s="156" t="n">
        <f aca="false">IFERROR('Price History'!K3+(INDEX('Price History'!K:K,MATCH(9.99E+307,'Returns (Calc)'!$A:$A)+1)-'Price History'!K3)*(ROW()-3)/(MATCH(9.99E+307,'Returns (Calc)'!$A:$A)-3),"")</f>
        <v>122.894303797468</v>
      </c>
      <c r="AG101" s="156" t="n">
        <f aca="false">IFERROR('Price History'!L3+(INDEX('Price History'!L:L,MATCH(9.99E+307,'Returns (Calc)'!$A:$A)+1)-'Price History'!L3)*(ROW()-3)/(MATCH(9.99E+307,'Returns (Calc)'!$A:$A)-3),"")</f>
        <v>325.806582278481</v>
      </c>
      <c r="AH101" s="156" t="n">
        <f aca="false">IFERROR('Price History'!M3+(INDEX('Price History'!M:M,MATCH(9.99E+307,'Returns (Calc)'!$A:$A)+1)-'Price History'!M3)*(ROW()-3)/(MATCH(9.99E+307,'Returns (Calc)'!$A:$A)-3),"")</f>
        <v>170.853417721519</v>
      </c>
      <c r="AI101" s="156" t="n">
        <f aca="false">IFERROR('Price History'!N3+(INDEX('Price History'!N:N,MATCH(9.99E+307,'Returns (Calc)'!$A:$A)+1)-'Price History'!N3)*(ROW()-3)/(MATCH(9.99E+307,'Returns (Calc)'!$A:$A)-3),"")</f>
        <v>445.554050632911</v>
      </c>
      <c r="AJ101" s="156" t="n">
        <f aca="false">IFERROR('Price History'!O3+(INDEX('Price History'!O:O,MATCH(9.99E+307,'Returns (Calc)'!$A:$A)+1)-'Price History'!O3)*(ROW()-3)/(MATCH(9.99E+307,'Returns (Calc)'!$A:$A)-3),"")</f>
        <v>103.047721518987</v>
      </c>
      <c r="AK101" s="156" t="n">
        <f aca="false">IFERROR('Price History'!Q3+(INDEX('Price History'!Q:Q,MATCH(9.99E+307,'Returns (Calc)'!$A:$A)+1)-'Price History'!Q3)*(ROW()-3)/(MATCH(9.99E+307,'Returns (Calc)'!$A:$A)-3),"")</f>
        <v>43.0579746835443</v>
      </c>
      <c r="AL101" s="156" t="n">
        <f aca="false">IFERROR('Price History'!R3+(INDEX('Price History'!R:R,MATCH(9.99E+307,'Returns (Calc)'!$A:$A)+1)-'Price History'!R3)*(ROW()-3)/(MATCH(9.99E+307,'Returns (Calc)'!$A:$A)-3),"")</f>
        <v>50.9539240506329</v>
      </c>
      <c r="AM101" s="156" t="n">
        <f aca="false">IFERROR('Price History'!S3+(INDEX('Price History'!S:S,MATCH(9.99E+307,'Returns (Calc)'!$A:$A)+1)-'Price History'!S3)*(ROW()-3)/(MATCH(9.99E+307,'Returns (Calc)'!$A:$A)-3),"")</f>
        <v>116.926202531646</v>
      </c>
      <c r="AN101" s="156" t="n">
        <f aca="false">IFERROR('Price History'!T3+(INDEX('Price History'!T:T,MATCH(9.99E+307,'Returns (Calc)'!$A:$A)+1)-'Price History'!T3)*(ROW()-3)/(MATCH(9.99E+307,'Returns (Calc)'!$A:$A)-3),"")</f>
        <v>41.7263291139241</v>
      </c>
      <c r="AO101" s="157" t="n">
        <f aca="false">IFERROR('Price History'!V3+(INDEX('Price History'!V:V,MATCH(9.99E+307,'Returns (Calc)'!$A:$A)+1)-'Price History'!V3)*(ROW()-3)/(MATCH(9.99E+307,'Returns (Calc)'!$A:$A)-3),"")</f>
        <v>313.180253164557</v>
      </c>
      <c r="AP101" s="155" t="n">
        <f aca="false">IFERROR(IF(OR(NOT(ISNUMBER('Price History'!W102)),NOT(ISNUMBER('Price History'!W101)),'Price History'!W101=0),"",'Price History'!W102/'Price History'!W101-1),"")</f>
        <v>0.0183792167506787</v>
      </c>
      <c r="AQ101" s="155" t="str">
        <f aca="false">IFERROR(IF(OR(NOT(ISNUMBER('Price History'!X102)),NOT(ISNUMBER('Price History'!X101)),'Price History'!X101=0),"",'Price History'!X102/'Price History'!X101-1),"")</f>
        <v/>
      </c>
      <c r="AR101" s="155" t="n">
        <f aca="false">IFERROR(IF(OR(NOT(ISNUMBER('Price History'!Y102)),NOT(ISNUMBER('Price History'!Y101)),'Price History'!Y101=0),"",'Price History'!Y102/'Price History'!Y101-1),"")</f>
        <v>0.00808838035115422</v>
      </c>
      <c r="AS101" s="155" t="n">
        <f aca="false">IFERROR(IF(OR(NOT(ISNUMBER('Price History'!Z102)),NOT(ISNUMBER('Price History'!Z101)),'Price History'!Z101=0),"",'Price History'!Z102/'Price History'!Z101-1),"")</f>
        <v>0.0208939631370795</v>
      </c>
      <c r="AT101" s="155" t="n">
        <f aca="false">IFERROR(IF(OR(NOT(ISNUMBER('Price History'!AA102)),NOT(ISNUMBER('Price History'!AA101)),'Price History'!AA101=0),"",'Price History'!AA102/'Price History'!AA101-1),"")</f>
        <v>0.0457448644916278</v>
      </c>
      <c r="AU101" s="155" t="n">
        <f aca="false">IFERROR(IF(OR(NOT(ISNUMBER('Price History'!AB102)),NOT(ISNUMBER('Price History'!AB101)),'Price History'!AB101=0),"",'Price History'!AB102/'Price History'!AB101-1),"")</f>
        <v>0.00277234760973877</v>
      </c>
    </row>
    <row r="102" customFormat="false" ht="15" hidden="false" customHeight="true" outlineLevel="0" collapsed="false">
      <c r="A102" s="153" t="n">
        <f aca="false">IF('Price History'!A103="","",'Price History'!A103)</f>
        <v>45884</v>
      </c>
      <c r="B102" s="154" t="n">
        <f aca="false">IFERROR(IF(OR(NOT(ISNUMBER('Price History'!B103)),NOT(ISNUMBER('Price History'!B102)),'Price History'!B102=0),"",'Price History'!B103/'Price History'!B102-1),"")</f>
        <v>0.0404632751795924</v>
      </c>
      <c r="C102" s="154" t="n">
        <f aca="false">IFERROR(IF(OR(NOT(ISNUMBER('Price History'!C103)),NOT(ISNUMBER('Price History'!C102)),'Price History'!C102=0),"",'Price History'!C103/'Price History'!C102-1),"")</f>
        <v>-0.0135076878861905</v>
      </c>
      <c r="D102" s="154" t="n">
        <f aca="false">IFERROR(IF(OR(NOT(ISNUMBER('Price History'!D103)),NOT(ISNUMBER('Price History'!D102)),'Price History'!D102=0),"",'Price History'!D103/'Price History'!D102-1),"")</f>
        <v>0.0274669379450661</v>
      </c>
      <c r="E102" s="154" t="n">
        <f aca="false">IFERROR(IF(OR(NOT(ISNUMBER('Price History'!E103)),NOT(ISNUMBER('Price History'!E102)),'Price History'!E102=0),"",'Price History'!E103/'Price History'!E102-1),"")</f>
        <v>0.00450033090668445</v>
      </c>
      <c r="F102" s="154" t="n">
        <f aca="false">IFERROR(IF(OR(NOT(ISNUMBER('Price History'!F103)),NOT(ISNUMBER('Price History'!F102)),'Price History'!F102=0),"",'Price History'!F103/'Price History'!F102-1),"")</f>
        <v>0.00800980022615905</v>
      </c>
      <c r="G102" s="154" t="n">
        <f aca="false">IFERROR(IF(OR(NOT(ISNUMBER('Price History'!G103)),NOT(ISNUMBER('Price History'!G102)),'Price History'!G102=0),"",'Price History'!G103/'Price History'!G102-1),"")</f>
        <v>-0.0435069941623527</v>
      </c>
      <c r="H102" s="154" t="n">
        <f aca="false">IFERROR(IF(OR(NOT(ISNUMBER('Price History'!H103)),NOT(ISNUMBER('Price History'!H102)),'Price History'!H102=0),"",'Price History'!H103/'Price History'!H102-1),"")</f>
        <v>0.016680707666386</v>
      </c>
      <c r="I102" s="154" t="n">
        <f aca="false">IFERROR(IF(OR(NOT(ISNUMBER('Price History'!I103)),NOT(ISNUMBER('Price History'!I102)),'Price History'!I102=0),"",'Price History'!I103/'Price History'!I102-1),"")</f>
        <v>-0.0122908093278464</v>
      </c>
      <c r="J102" s="154" t="n">
        <f aca="false">IFERROR(IF(OR(NOT(ISNUMBER('Price History'!J103)),NOT(ISNUMBER('Price History'!J102)),'Price History'!J102=0),"",'Price History'!J103/'Price History'!J102-1),"")</f>
        <v>0.00856636471051608</v>
      </c>
      <c r="K102" s="154" t="n">
        <f aca="false">IFERROR(IF(OR(NOT(ISNUMBER('Price History'!K103)),NOT(ISNUMBER('Price History'!K102)),'Price History'!K102=0),"",'Price History'!K103/'Price History'!K102-1),"")</f>
        <v>-0.0523641420624734</v>
      </c>
      <c r="L102" s="154" t="n">
        <f aca="false">IFERROR(IF(OR(NOT(ISNUMBER('Price History'!L103)),NOT(ISNUMBER('Price History'!L102)),'Price History'!L102=0),"",'Price History'!L103/'Price History'!L102-1),"")</f>
        <v>-0.0121992118722227</v>
      </c>
      <c r="M102" s="154" t="n">
        <f aca="false">IFERROR(IF(OR(NOT(ISNUMBER('Price History'!M103)),NOT(ISNUMBER('Price History'!M102)),'Price History'!M102=0),"",'Price History'!M103/'Price History'!M102-1),"")</f>
        <v>-0.0490196078431374</v>
      </c>
      <c r="N102" s="154" t="n">
        <f aca="false">IFERROR(IF(OR(NOT(ISNUMBER('Price History'!N103)),NOT(ISNUMBER('Price History'!N102)),'Price History'!N102=0),"",'Price History'!N103/'Price History'!N102-1),"")</f>
        <v>0.0716156490423965</v>
      </c>
      <c r="O102" s="154" t="n">
        <f aca="false">IFERROR(IF(OR(NOT(ISNUMBER('Price History'!O103)),NOT(ISNUMBER('Price History'!O102)),'Price History'!O102=0),"",'Price History'!O103/'Price History'!O102-1),"")</f>
        <v>0.0298293891029169</v>
      </c>
      <c r="P102" s="154" t="n">
        <f aca="false">IFERROR(IF(OR(NOT(ISNUMBER('Price History'!P103)),NOT(ISNUMBER('Price History'!P102)),'Price History'!P102=0),"",'Price History'!P103/'Price History'!P102-1),"")</f>
        <v>0.0153539075694764</v>
      </c>
      <c r="Q102" s="154" t="n">
        <f aca="false">IFERROR(IF(OR(NOT(ISNUMBER('Price History'!Q103)),NOT(ISNUMBER('Price History'!Q102)),'Price History'!Q102=0),"",'Price History'!Q103/'Price History'!Q102-1),"")</f>
        <v>0.00730390600190534</v>
      </c>
      <c r="R102" s="154" t="n">
        <f aca="false">IFERROR(IF(OR(NOT(ISNUMBER('Price History'!R103)),NOT(ISNUMBER('Price History'!R102)),'Price History'!R102=0),"",'Price History'!R103/'Price History'!R102-1),"")</f>
        <v>0.00866694180767658</v>
      </c>
      <c r="S102" s="154" t="n">
        <f aca="false">IFERROR(IF(OR(NOT(ISNUMBER('Price History'!S103)),NOT(ISNUMBER('Price History'!S102)),'Price History'!S102=0),"",'Price History'!S103/'Price History'!S102-1),"")</f>
        <v>0.00103430443027075</v>
      </c>
      <c r="T102" s="154" t="n">
        <f aca="false">IFERROR(IF(OR(NOT(ISNUMBER('Price History'!T103)),NOT(ISNUMBER('Price History'!T102)),'Price History'!T102=0),"",'Price History'!T103/'Price History'!T102-1),"")</f>
        <v>0.0395430579964851</v>
      </c>
      <c r="U102" s="154" t="n">
        <f aca="false">IFERROR(IF(OR(NOT(ISNUMBER('Price History'!U103)),NOT(ISNUMBER('Price History'!U102)),'Price History'!U102=0),"",'Price History'!U103/'Price History'!U102-1),"")</f>
        <v>0.0167185069984448</v>
      </c>
      <c r="V102" s="155" t="n">
        <f aca="false">IFERROR(IF(OR(NOT(ISNUMBER('Price History'!V103)),NOT(ISNUMBER('Price History'!V102)),'Price History'!V102=0),"",'Price History'!V103/'Price History'!V102-1),"")</f>
        <v>0.0246461981290478</v>
      </c>
      <c r="W102" s="156" t="n">
        <f aca="false">IFERROR('Price History'!B3+(INDEX('Price History'!B:B,MATCH(9.99E+307,'Returns (Calc)'!$A:$A)+1)-'Price History'!B3)*(ROW()-3)/(MATCH(9.99E+307,'Returns (Calc)'!$A:$A)-3),"")</f>
        <v>346.429240506329</v>
      </c>
      <c r="X102" s="156" t="n">
        <f aca="false">IFERROR('Price History'!C3+(INDEX('Price History'!C:C,MATCH(9.99E+307,'Returns (Calc)'!$A:$A)+1)-'Price History'!C3)*(ROW()-3)/(MATCH(9.99E+307,'Returns (Calc)'!$A:$A)-3),"")</f>
        <v>147.166265822785</v>
      </c>
      <c r="Y102" s="156" t="n">
        <f aca="false">IFERROR('Price History'!D3+(INDEX('Price History'!D:D,MATCH(9.99E+307,'Returns (Calc)'!$A:$A)+1)-'Price History'!D3)*(ROW()-3)/(MATCH(9.99E+307,'Returns (Calc)'!$A:$A)-3),"")</f>
        <v>1387.35620253165</v>
      </c>
      <c r="Z102" s="156" t="n">
        <f aca="false">IFERROR('Price History'!E3+(INDEX('Price History'!E:E,MATCH(9.99E+307,'Returns (Calc)'!$A:$A)+1)-'Price History'!E3)*(ROW()-3)/(MATCH(9.99E+307,'Returns (Calc)'!$A:$A)-3),"")</f>
        <v>253.144683544304</v>
      </c>
      <c r="AA102" s="156" t="n">
        <f aca="false">IFERROR('Price History'!F3+(INDEX('Price History'!F:F,MATCH(9.99E+307,'Returns (Calc)'!$A:$A)+1)-'Price History'!F3)*(ROW()-3)/(MATCH(9.99E+307,'Returns (Calc)'!$A:$A)-3),"")</f>
        <v>184.646835443038</v>
      </c>
      <c r="AB102" s="156" t="n">
        <f aca="false">IFERROR('Price History'!G3+(INDEX('Price History'!G:G,MATCH(9.99E+307,'Returns (Calc)'!$A:$A)+1)-'Price History'!G3)*(ROW()-3)/(MATCH(9.99E+307,'Returns (Calc)'!$A:$A)-3),"")</f>
        <v>146.194683544304</v>
      </c>
      <c r="AC102" s="156" t="n">
        <f aca="false">IFERROR('Price History'!H3+(INDEX('Price History'!H:H,MATCH(9.99E+307,'Returns (Calc)'!$A:$A)+1)-'Price History'!H3)*(ROW()-3)/(MATCH(9.99E+307,'Returns (Calc)'!$A:$A)-3),"")</f>
        <v>699.313924050633</v>
      </c>
      <c r="AD102" s="156" t="n">
        <f aca="false">IFERROR('Price History'!I3+(INDEX('Price History'!I:I,MATCH(9.99E+307,'Returns (Calc)'!$A:$A)+1)-'Price History'!I3)*(ROW()-3)/(MATCH(9.99E+307,'Returns (Calc)'!$A:$A)-3),"")</f>
        <v>162.933417721519</v>
      </c>
      <c r="AE102" s="156" t="n">
        <f aca="false">IFERROR('Price History'!J3+(INDEX('Price History'!J:J,MATCH(9.99E+307,'Returns (Calc)'!$A:$A)+1)-'Price History'!J3)*(ROW()-3)/(MATCH(9.99E+307,'Returns (Calc)'!$A:$A)-3),"")</f>
        <v>122.535759493671</v>
      </c>
      <c r="AF102" s="156" t="n">
        <f aca="false">IFERROR('Price History'!K3+(INDEX('Price History'!K:K,MATCH(9.99E+307,'Returns (Calc)'!$A:$A)+1)-'Price History'!K3)*(ROW()-3)/(MATCH(9.99E+307,'Returns (Calc)'!$A:$A)-3),"")</f>
        <v>123.991898734177</v>
      </c>
      <c r="AG102" s="156" t="n">
        <f aca="false">IFERROR('Price History'!L3+(INDEX('Price History'!L:L,MATCH(9.99E+307,'Returns (Calc)'!$A:$A)+1)-'Price History'!L3)*(ROW()-3)/(MATCH(9.99E+307,'Returns (Calc)'!$A:$A)-3),"")</f>
        <v>328.256139240506</v>
      </c>
      <c r="AH102" s="156" t="n">
        <f aca="false">IFERROR('Price History'!M3+(INDEX('Price History'!M:M,MATCH(9.99E+307,'Returns (Calc)'!$A:$A)+1)-'Price History'!M3)*(ROW()-3)/(MATCH(9.99E+307,'Returns (Calc)'!$A:$A)-3),"")</f>
        <v>172.208860759494</v>
      </c>
      <c r="AI102" s="156" t="n">
        <f aca="false">IFERROR('Price History'!N3+(INDEX('Price History'!N:N,MATCH(9.99E+307,'Returns (Calc)'!$A:$A)+1)-'Price History'!N3)*(ROW()-3)/(MATCH(9.99E+307,'Returns (Calc)'!$A:$A)-3),"")</f>
        <v>446.540316455696</v>
      </c>
      <c r="AJ102" s="156" t="n">
        <f aca="false">IFERROR('Price History'!O3+(INDEX('Price History'!O:O,MATCH(9.99E+307,'Returns (Calc)'!$A:$A)+1)-'Price History'!O3)*(ROW()-3)/(MATCH(9.99E+307,'Returns (Calc)'!$A:$A)-3),"")</f>
        <v>103.330759493671</v>
      </c>
      <c r="AK102" s="156" t="n">
        <f aca="false">IFERROR('Price History'!Q3+(INDEX('Price History'!Q:Q,MATCH(9.99E+307,'Returns (Calc)'!$A:$A)+1)-'Price History'!Q3)*(ROW()-3)/(MATCH(9.99E+307,'Returns (Calc)'!$A:$A)-3),"")</f>
        <v>43.4973417721519</v>
      </c>
      <c r="AL102" s="156" t="n">
        <f aca="false">IFERROR('Price History'!R3+(INDEX('Price History'!R:R,MATCH(9.99E+307,'Returns (Calc)'!$A:$A)+1)-'Price History'!R3)*(ROW()-3)/(MATCH(9.99E+307,'Returns (Calc)'!$A:$A)-3),"")</f>
        <v>51.1220253164557</v>
      </c>
      <c r="AM102" s="156" t="n">
        <f aca="false">IFERROR('Price History'!S3+(INDEX('Price History'!S:S,MATCH(9.99E+307,'Returns (Calc)'!$A:$A)+1)-'Price History'!S3)*(ROW()-3)/(MATCH(9.99E+307,'Returns (Calc)'!$A:$A)-3),"")</f>
        <v>117.531265822785</v>
      </c>
      <c r="AN102" s="156" t="n">
        <f aca="false">IFERROR('Price History'!T3+(INDEX('Price History'!T:T,MATCH(9.99E+307,'Returns (Calc)'!$A:$A)+1)-'Price History'!T3)*(ROW()-3)/(MATCH(9.99E+307,'Returns (Calc)'!$A:$A)-3),"")</f>
        <v>41.8945569620253</v>
      </c>
      <c r="AO102" s="157" t="n">
        <f aca="false">IFERROR('Price History'!V3+(INDEX('Price History'!V:V,MATCH(9.99E+307,'Returns (Calc)'!$A:$A)+1)-'Price History'!V3)*(ROW()-3)/(MATCH(9.99E+307,'Returns (Calc)'!$A:$A)-3),"")</f>
        <v>313.971582278481</v>
      </c>
      <c r="AP102" s="155" t="n">
        <f aca="false">IFERROR(IF(OR(NOT(ISNUMBER('Price History'!W103)),NOT(ISNUMBER('Price History'!W102)),'Price History'!W102=0),"",'Price History'!W103/'Price History'!W102-1),"")</f>
        <v>0.0121839780688395</v>
      </c>
      <c r="AQ102" s="155" t="str">
        <f aca="false">IFERROR(IF(OR(NOT(ISNUMBER('Price History'!X103)),NOT(ISNUMBER('Price History'!X102)),'Price History'!X102=0),"",'Price History'!X103/'Price History'!X102-1),"")</f>
        <v/>
      </c>
      <c r="AR102" s="155" t="n">
        <f aca="false">IFERROR(IF(OR(NOT(ISNUMBER('Price History'!Y103)),NOT(ISNUMBER('Price History'!Y102)),'Price History'!Y102=0),"",'Price History'!Y103/'Price History'!Y102-1),"")</f>
        <v>0.0113502935420744</v>
      </c>
      <c r="AS102" s="155" t="n">
        <f aca="false">IFERROR(IF(OR(NOT(ISNUMBER('Price History'!Z103)),NOT(ISNUMBER('Price History'!Z102)),'Price History'!Z102=0),"",'Price History'!Z103/'Price History'!Z102-1),"")</f>
        <v>-0.0260214896571889</v>
      </c>
      <c r="AT102" s="155" t="n">
        <f aca="false">IFERROR(IF(OR(NOT(ISNUMBER('Price History'!AA103)),NOT(ISNUMBER('Price History'!AA102)),'Price History'!AA102=0),"",'Price History'!AA103/'Price History'!AA102-1),"")</f>
        <v>0.0225321888412018</v>
      </c>
      <c r="AU102" s="155" t="n">
        <f aca="false">IFERROR(IF(OR(NOT(ISNUMBER('Price History'!AB103)),NOT(ISNUMBER('Price History'!AB102)),'Price History'!AB102=0),"",'Price History'!AB103/'Price History'!AB102-1),"")</f>
        <v>-0.00538758728245836</v>
      </c>
    </row>
    <row r="103" customFormat="false" ht="15" hidden="false" customHeight="true" outlineLevel="0" collapsed="false">
      <c r="A103" s="153" t="n">
        <f aca="false">IF('Price History'!A104="","",'Price History'!A104)</f>
        <v>45891</v>
      </c>
      <c r="B103" s="154" t="n">
        <f aca="false">IFERROR(IF(OR(NOT(ISNUMBER('Price History'!B104)),NOT(ISNUMBER('Price History'!B103)),'Price History'!B103=0),"",'Price History'!B104/'Price History'!B103-1),"")</f>
        <v>0.0204029871776805</v>
      </c>
      <c r="C103" s="154" t="n">
        <f aca="false">IFERROR(IF(OR(NOT(ISNUMBER('Price History'!C104)),NOT(ISNUMBER('Price History'!C103)),'Price History'!C103=0),"",'Price History'!C104/'Price History'!C103-1),"")</f>
        <v>-0.029497450837582</v>
      </c>
      <c r="D103" s="154" t="n">
        <f aca="false">IFERROR(IF(OR(NOT(ISNUMBER('Price History'!D104)),NOT(ISNUMBER('Price History'!D103)),'Price History'!D103=0),"",'Price History'!D104/'Price History'!D103-1),"")</f>
        <v>0.0171571951715721</v>
      </c>
      <c r="E103" s="154" t="n">
        <f aca="false">IFERROR(IF(OR(NOT(ISNUMBER('Price History'!E104)),NOT(ISNUMBER('Price History'!E103)),'Price History'!E103=0),"",'Price History'!E104/'Price History'!E103-1),"")</f>
        <v>-0.0402885755699038</v>
      </c>
      <c r="F103" s="154" t="n">
        <f aca="false">IFERROR(IF(OR(NOT(ISNUMBER('Price History'!F104)),NOT(ISNUMBER('Price History'!F103)),'Price History'!F103=0),"",'Price History'!F104/'Price History'!F103-1),"")</f>
        <v>-0.0171076002617556</v>
      </c>
      <c r="G103" s="154" t="n">
        <f aca="false">IFERROR(IF(OR(NOT(ISNUMBER('Price History'!G104)),NOT(ISNUMBER('Price History'!G103)),'Price History'!G103=0),"",'Price History'!G104/'Price History'!G103-1),"")</f>
        <v>-0.0032243205895901</v>
      </c>
      <c r="H103" s="154" t="n">
        <f aca="false">IFERROR(IF(OR(NOT(ISNUMBER('Price History'!H104)),NOT(ISNUMBER('Price History'!H103)),'Price History'!H103=0),"",'Price History'!H104/'Price History'!H103-1),"")</f>
        <v>-0.0264335432548891</v>
      </c>
      <c r="I103" s="154" t="n">
        <f aca="false">IFERROR(IF(OR(NOT(ISNUMBER('Price History'!I104)),NOT(ISNUMBER('Price History'!I103)),'Price History'!I103=0),"",'Price History'!I104/'Price History'!I103-1),"")</f>
        <v>-0.0136659074495861</v>
      </c>
      <c r="J103" s="154" t="n">
        <f aca="false">IFERROR(IF(OR(NOT(ISNUMBER('Price History'!J104)),NOT(ISNUMBER('Price History'!J103)),'Price History'!J103=0),"",'Price History'!J104/'Price History'!J103-1),"")</f>
        <v>0.0534023235380259</v>
      </c>
      <c r="K103" s="154" t="n">
        <f aca="false">IFERROR(IF(OR(NOT(ISNUMBER('Price History'!K104)),NOT(ISNUMBER('Price History'!K103)),'Price History'!K103=0),"",'Price History'!K104/'Price History'!K103-1),"")</f>
        <v>-0.104024383360614</v>
      </c>
      <c r="L103" s="154" t="n">
        <f aca="false">IFERROR(IF(OR(NOT(ISNUMBER('Price History'!L104)),NOT(ISNUMBER('Price History'!L103)),'Price History'!L103=0),"",'Price History'!L104/'Price History'!L103-1),"")</f>
        <v>-0.0246573017018207</v>
      </c>
      <c r="M103" s="154" t="n">
        <f aca="false">IFERROR(IF(OR(NOT(ISNUMBER('Price History'!M104)),NOT(ISNUMBER('Price History'!M103)),'Price History'!M103=0),"",'Price History'!M104/'Price History'!M103-1),"")</f>
        <v>-0.0533523967190909</v>
      </c>
      <c r="N103" s="154" t="n">
        <f aca="false">IFERROR(IF(OR(NOT(ISNUMBER('Price History'!N104)),NOT(ISNUMBER('Price History'!N103)),'Price History'!N103=0),"",'Price History'!N104/'Price History'!N103-1),"")</f>
        <v>0.00593192291046107</v>
      </c>
      <c r="O103" s="154" t="n">
        <f aca="false">IFERROR(IF(OR(NOT(ISNUMBER('Price History'!O104)),NOT(ISNUMBER('Price History'!O103)),'Price History'!O103=0),"",'Price History'!O104/'Price History'!O103-1),"")</f>
        <v>0.0397605814450619</v>
      </c>
      <c r="P103" s="154" t="n">
        <f aca="false">IFERROR(IF(OR(NOT(ISNUMBER('Price History'!P104)),NOT(ISNUMBER('Price History'!P103)),'Price History'!P103=0),"",'Price History'!P104/'Price History'!P103-1),"")</f>
        <v>0.0288825041584759</v>
      </c>
      <c r="Q103" s="154" t="n">
        <f aca="false">IFERROR(IF(OR(NOT(ISNUMBER('Price History'!Q104)),NOT(ISNUMBER('Price History'!Q103)),'Price History'!Q103=0),"",'Price History'!Q104/'Price History'!Q103-1),"")</f>
        <v>0.00362547288776804</v>
      </c>
      <c r="R103" s="154" t="n">
        <f aca="false">IFERROR(IF(OR(NOT(ISNUMBER('Price History'!R104)),NOT(ISNUMBER('Price History'!R103)),'Price History'!R103=0),"",'Price History'!R104/'Price History'!R103-1),"")</f>
        <v>-0.00245499181669406</v>
      </c>
      <c r="S103" s="154" t="n">
        <f aca="false">IFERROR(IF(OR(NOT(ISNUMBER('Price History'!S104)),NOT(ISNUMBER('Price History'!S103)),'Price History'!S103=0),"",'Price History'!S104/'Price History'!S103-1),"")</f>
        <v>-0.0068021353538833</v>
      </c>
      <c r="T103" s="154" t="n">
        <f aca="false">IFERROR(IF(OR(NOT(ISNUMBER('Price History'!T104)),NOT(ISNUMBER('Price History'!T103)),'Price History'!T103=0),"",'Price History'!T104/'Price History'!T103-1),"")</f>
        <v>0.0259227951535643</v>
      </c>
      <c r="U103" s="154" t="n">
        <f aca="false">IFERROR(IF(OR(NOT(ISNUMBER('Price History'!U104)),NOT(ISNUMBER('Price History'!U103)),'Price History'!U103=0),"",'Price History'!U104/'Price History'!U103-1),"")</f>
        <v>0.0229445506692161</v>
      </c>
      <c r="V103" s="155" t="n">
        <f aca="false">IFERROR(IF(OR(NOT(ISNUMBER('Price History'!V104)),NOT(ISNUMBER('Price History'!V103)),'Price History'!V103=0),"",'Price History'!V104/'Price History'!V103-1),"")</f>
        <v>0.0161526306548838</v>
      </c>
      <c r="W103" s="156" t="n">
        <f aca="false">IFERROR('Price History'!B3+(INDEX('Price History'!B:B,MATCH(9.99E+307,'Returns (Calc)'!$A:$A)+1)-'Price History'!B3)*(ROW()-3)/(MATCH(9.99E+307,'Returns (Calc)'!$A:$A)-3),"")</f>
        <v>344.586202531646</v>
      </c>
      <c r="X103" s="156" t="n">
        <f aca="false">IFERROR('Price History'!C3+(INDEX('Price History'!C:C,MATCH(9.99E+307,'Returns (Calc)'!$A:$A)+1)-'Price History'!C3)*(ROW()-3)/(MATCH(9.99E+307,'Returns (Calc)'!$A:$A)-3),"")</f>
        <v>148.186329113924</v>
      </c>
      <c r="Y103" s="156" t="n">
        <f aca="false">IFERROR('Price History'!D3+(INDEX('Price History'!D:D,MATCH(9.99E+307,'Returns (Calc)'!$A:$A)+1)-'Price History'!D3)*(ROW()-3)/(MATCH(9.99E+307,'Returns (Calc)'!$A:$A)-3),"")</f>
        <v>1395.49101265823</v>
      </c>
      <c r="Z103" s="156" t="n">
        <f aca="false">IFERROR('Price History'!E3+(INDEX('Price History'!E:E,MATCH(9.99E+307,'Returns (Calc)'!$A:$A)+1)-'Price History'!E3)*(ROW()-3)/(MATCH(9.99E+307,'Returns (Calc)'!$A:$A)-3),"")</f>
        <v>254.873417721519</v>
      </c>
      <c r="AA103" s="156" t="n">
        <f aca="false">IFERROR('Price History'!F3+(INDEX('Price History'!F:F,MATCH(9.99E+307,'Returns (Calc)'!$A:$A)+1)-'Price History'!F3)*(ROW()-3)/(MATCH(9.99E+307,'Returns (Calc)'!$A:$A)-3),"")</f>
        <v>186.09417721519</v>
      </c>
      <c r="AB103" s="156" t="n">
        <f aca="false">IFERROR('Price History'!G3+(INDEX('Price History'!G:G,MATCH(9.99E+307,'Returns (Calc)'!$A:$A)+1)-'Price History'!G3)*(ROW()-3)/(MATCH(9.99E+307,'Returns (Calc)'!$A:$A)-3),"")</f>
        <v>147.223417721519</v>
      </c>
      <c r="AC103" s="156" t="n">
        <f aca="false">IFERROR('Price History'!H3+(INDEX('Price History'!H:H,MATCH(9.99E+307,'Returns (Calc)'!$A:$A)+1)-'Price History'!H3)*(ROW()-3)/(MATCH(9.99E+307,'Returns (Calc)'!$A:$A)-3),"")</f>
        <v>705.679620253165</v>
      </c>
      <c r="AD103" s="156" t="n">
        <f aca="false">IFERROR('Price History'!I3+(INDEX('Price History'!I:I,MATCH(9.99E+307,'Returns (Calc)'!$A:$A)+1)-'Price History'!I3)*(ROW()-3)/(MATCH(9.99E+307,'Returns (Calc)'!$A:$A)-3),"")</f>
        <v>164.137088607595</v>
      </c>
      <c r="AE103" s="156" t="n">
        <f aca="false">IFERROR('Price History'!J3+(INDEX('Price History'!J:J,MATCH(9.99E+307,'Returns (Calc)'!$A:$A)+1)-'Price History'!J3)*(ROW()-3)/(MATCH(9.99E+307,'Returns (Calc)'!$A:$A)-3),"")</f>
        <v>122.643797468354</v>
      </c>
      <c r="AF103" s="156" t="n">
        <f aca="false">IFERROR('Price History'!K3+(INDEX('Price History'!K:K,MATCH(9.99E+307,'Returns (Calc)'!$A:$A)+1)-'Price History'!K3)*(ROW()-3)/(MATCH(9.99E+307,'Returns (Calc)'!$A:$A)-3),"")</f>
        <v>125.089493670886</v>
      </c>
      <c r="AG103" s="156" t="n">
        <f aca="false">IFERROR('Price History'!L3+(INDEX('Price History'!L:L,MATCH(9.99E+307,'Returns (Calc)'!$A:$A)+1)-'Price History'!L3)*(ROW()-3)/(MATCH(9.99E+307,'Returns (Calc)'!$A:$A)-3),"")</f>
        <v>330.705696202532</v>
      </c>
      <c r="AH103" s="156" t="n">
        <f aca="false">IFERROR('Price History'!M3+(INDEX('Price History'!M:M,MATCH(9.99E+307,'Returns (Calc)'!$A:$A)+1)-'Price History'!M3)*(ROW()-3)/(MATCH(9.99E+307,'Returns (Calc)'!$A:$A)-3),"")</f>
        <v>173.564303797468</v>
      </c>
      <c r="AI103" s="156" t="n">
        <f aca="false">IFERROR('Price History'!N3+(INDEX('Price History'!N:N,MATCH(9.99E+307,'Returns (Calc)'!$A:$A)+1)-'Price History'!N3)*(ROW()-3)/(MATCH(9.99E+307,'Returns (Calc)'!$A:$A)-3),"")</f>
        <v>447.526582278481</v>
      </c>
      <c r="AJ103" s="156" t="n">
        <f aca="false">IFERROR('Price History'!O3+(INDEX('Price History'!O:O,MATCH(9.99E+307,'Returns (Calc)'!$A:$A)+1)-'Price History'!O3)*(ROW()-3)/(MATCH(9.99E+307,'Returns (Calc)'!$A:$A)-3),"")</f>
        <v>103.613797468354</v>
      </c>
      <c r="AK103" s="156" t="n">
        <f aca="false">IFERROR('Price History'!Q3+(INDEX('Price History'!Q:Q,MATCH(9.99E+307,'Returns (Calc)'!$A:$A)+1)-'Price History'!Q3)*(ROW()-3)/(MATCH(9.99E+307,'Returns (Calc)'!$A:$A)-3),"")</f>
        <v>43.9367088607595</v>
      </c>
      <c r="AL103" s="156" t="n">
        <f aca="false">IFERROR('Price History'!R3+(INDEX('Price History'!R:R,MATCH(9.99E+307,'Returns (Calc)'!$A:$A)+1)-'Price History'!R3)*(ROW()-3)/(MATCH(9.99E+307,'Returns (Calc)'!$A:$A)-3),"")</f>
        <v>51.2901265822785</v>
      </c>
      <c r="AM103" s="156" t="n">
        <f aca="false">IFERROR('Price History'!S3+(INDEX('Price History'!S:S,MATCH(9.99E+307,'Returns (Calc)'!$A:$A)+1)-'Price History'!S3)*(ROW()-3)/(MATCH(9.99E+307,'Returns (Calc)'!$A:$A)-3),"")</f>
        <v>118.136329113924</v>
      </c>
      <c r="AN103" s="156" t="n">
        <f aca="false">IFERROR('Price History'!T3+(INDEX('Price History'!T:T,MATCH(9.99E+307,'Returns (Calc)'!$A:$A)+1)-'Price History'!T3)*(ROW()-3)/(MATCH(9.99E+307,'Returns (Calc)'!$A:$A)-3),"")</f>
        <v>42.0627848101266</v>
      </c>
      <c r="AO103" s="157" t="n">
        <f aca="false">IFERROR('Price History'!V3+(INDEX('Price History'!V:V,MATCH(9.99E+307,'Returns (Calc)'!$A:$A)+1)-'Price History'!V3)*(ROW()-3)/(MATCH(9.99E+307,'Returns (Calc)'!$A:$A)-3),"")</f>
        <v>314.762911392405</v>
      </c>
      <c r="AP103" s="155" t="n">
        <f aca="false">IFERROR(IF(OR(NOT(ISNUMBER('Price History'!W104)),NOT(ISNUMBER('Price History'!W103)),'Price History'!W103=0),"",'Price History'!W104/'Price History'!W103-1),"")</f>
        <v>0.0158742100511586</v>
      </c>
      <c r="AQ103" s="155" t="str">
        <f aca="false">IFERROR(IF(OR(NOT(ISNUMBER('Price History'!X104)),NOT(ISNUMBER('Price History'!X103)),'Price History'!X103=0),"",'Price History'!X104/'Price History'!X103-1),"")</f>
        <v/>
      </c>
      <c r="AR103" s="155" t="n">
        <f aca="false">IFERROR(IF(OR(NOT(ISNUMBER('Price History'!Y104)),NOT(ISNUMBER('Price History'!Y103)),'Price History'!Y103=0),"",'Price History'!Y104/'Price History'!Y103-1),"")</f>
        <v>0.0119969040247678</v>
      </c>
      <c r="AS103" s="155" t="n">
        <f aca="false">IFERROR(IF(OR(NOT(ISNUMBER('Price History'!Z104)),NOT(ISNUMBER('Price History'!Z103)),'Price History'!Z103=0),"",'Price History'!Z104/'Price History'!Z103-1),"")</f>
        <v>-0.00495309568480296</v>
      </c>
      <c r="AT103" s="155" t="n">
        <f aca="false">IFERROR(IF(OR(NOT(ISNUMBER('Price History'!AA104)),NOT(ISNUMBER('Price History'!AA103)),'Price History'!AA103=0),"",'Price History'!AA104/'Price History'!AA103-1),"")</f>
        <v>-0.027685850351118</v>
      </c>
      <c r="AU103" s="155" t="n">
        <f aca="false">IFERROR(IF(OR(NOT(ISNUMBER('Price History'!AB104)),NOT(ISNUMBER('Price History'!AB103)),'Price History'!AB103=0),"",'Price History'!AB104/'Price History'!AB103-1),"")</f>
        <v>0.0365275649477923</v>
      </c>
    </row>
    <row r="104" customFormat="false" ht="15" hidden="false" customHeight="true" outlineLevel="0" collapsed="false">
      <c r="A104" s="153" t="n">
        <f aca="false">IF('Price History'!A105="","",'Price History'!A105)</f>
        <v>45898</v>
      </c>
      <c r="B104" s="154" t="n">
        <f aca="false">IFERROR(IF(OR(NOT(ISNUMBER('Price History'!B105)),NOT(ISNUMBER('Price History'!B104)),'Price History'!B104=0),"",'Price History'!B105/'Price History'!B104-1),"")</f>
        <v>-0.0148858018724626</v>
      </c>
      <c r="C104" s="154" t="n">
        <f aca="false">IFERROR(IF(OR(NOT(ISNUMBER('Price History'!C105)),NOT(ISNUMBER('Price History'!C104)),'Price History'!C104=0),"",'Price History'!C105/'Price History'!C104-1),"")</f>
        <v>0.024765478424015</v>
      </c>
      <c r="D104" s="154" t="n">
        <f aca="false">IFERROR(IF(OR(NOT(ISNUMBER('Price History'!D105)),NOT(ISNUMBER('Price History'!D104)),'Price History'!D104=0),"",'Price History'!D105/'Price History'!D104-1),"")</f>
        <v>-0.0162544169611308</v>
      </c>
      <c r="E104" s="154" t="n">
        <f aca="false">IFERROR(IF(OR(NOT(ISNUMBER('Price History'!E105)),NOT(ISNUMBER('Price History'!E104)),'Price History'!E104=0),"",'Price History'!E105/'Price History'!E104-1),"")</f>
        <v>0.0115333127381321</v>
      </c>
      <c r="F104" s="154" t="n">
        <f aca="false">IFERROR(IF(OR(NOT(ISNUMBER('Price History'!F105)),NOT(ISNUMBER('Price History'!F104)),'Price History'!F104=0),"",'Price History'!F105/'Price History'!F104-1),"")</f>
        <v>0.00751379113562867</v>
      </c>
      <c r="G104" s="154" t="n">
        <f aca="false">IFERROR(IF(OR(NOT(ISNUMBER('Price History'!G105)),NOT(ISNUMBER('Price History'!G104)),'Price History'!G104=0),"",'Price History'!G105/'Price History'!G104-1),"")</f>
        <v>0.00196395563770801</v>
      </c>
      <c r="H104" s="154" t="n">
        <f aca="false">IFERROR(IF(OR(NOT(ISNUMBER('Price History'!H105)),NOT(ISNUMBER('Price History'!H104)),'Price History'!H104=0),"",'Price History'!H105/'Price History'!H104-1),"")</f>
        <v>0.0113201123499873</v>
      </c>
      <c r="I104" s="154" t="n">
        <f aca="false">IFERROR(IF(OR(NOT(ISNUMBER('Price History'!I105)),NOT(ISNUMBER('Price History'!I104)),'Price History'!I104=0),"",'Price History'!I105/'Price History'!I104-1),"")</f>
        <v>-0.0214024218529992</v>
      </c>
      <c r="J104" s="154" t="n">
        <f aca="false">IFERROR(IF(OR(NOT(ISNUMBER('Price History'!J105)),NOT(ISNUMBER('Price History'!J104)),'Price History'!J104=0),"",'Price History'!J105/'Price History'!J104-1),"")</f>
        <v>0.0133456904541243</v>
      </c>
      <c r="K104" s="154" t="n">
        <f aca="false">IFERROR(IF(OR(NOT(ISNUMBER('Price History'!K105)),NOT(ISNUMBER('Price History'!K104)),'Price History'!K104=0),"",'Price History'!K105/'Price History'!K104-1),"")</f>
        <v>-0.0127882071311579</v>
      </c>
      <c r="L104" s="154" t="n">
        <f aca="false">IFERROR(IF(OR(NOT(ISNUMBER('Price History'!L105)),NOT(ISNUMBER('Price History'!L104)),'Price History'!L104=0),"",'Price History'!L105/'Price History'!L104-1),"")</f>
        <v>-0.00909407362283532</v>
      </c>
      <c r="M104" s="154" t="n">
        <f aca="false">IFERROR(IF(OR(NOT(ISNUMBER('Price History'!M105)),NOT(ISNUMBER('Price History'!M104)),'Price History'!M104=0),"",'Price History'!M105/'Price History'!M104-1),"")</f>
        <v>0.0125596184419714</v>
      </c>
      <c r="N104" s="154" t="n">
        <f aca="false">IFERROR(IF(OR(NOT(ISNUMBER('Price History'!N105)),NOT(ISNUMBER('Price History'!N104)),'Price History'!N104=0),"",'Price History'!N105/'Price History'!N104-1),"")</f>
        <v>-0.0103765944523183</v>
      </c>
      <c r="O104" s="154" t="n">
        <f aca="false">IFERROR(IF(OR(NOT(ISNUMBER('Price History'!O105)),NOT(ISNUMBER('Price History'!O104)),'Price History'!O104=0),"",'Price History'!O105/'Price History'!O104-1),"")</f>
        <v>0.00842927631578938</v>
      </c>
      <c r="P104" s="154" t="n">
        <f aca="false">IFERROR(IF(OR(NOT(ISNUMBER('Price History'!P105)),NOT(ISNUMBER('Price History'!P104)),'Price History'!P104=0),"",'Price History'!P105/'Price History'!P104-1),"")</f>
        <v>-0.00220458553791891</v>
      </c>
      <c r="Q104" s="154" t="n">
        <f aca="false">IFERROR(IF(OR(NOT(ISNUMBER('Price History'!Q105)),NOT(ISNUMBER('Price History'!Q104)),'Price History'!Q104=0),"",'Price History'!Q105/'Price History'!Q104-1),"")</f>
        <v>0.000157059839798857</v>
      </c>
      <c r="R104" s="154" t="n">
        <f aca="false">IFERROR(IF(OR(NOT(ISNUMBER('Price History'!R105)),NOT(ISNUMBER('Price History'!R104)),'Price History'!R104=0),"",'Price History'!R105/'Price History'!R104-1),"")</f>
        <v>0.000205086136177313</v>
      </c>
      <c r="S104" s="154" t="n">
        <f aca="false">IFERROR(IF(OR(NOT(ISNUMBER('Price History'!S105)),NOT(ISNUMBER('Price History'!S104)),'Price History'!S104=0),"",'Price History'!S105/'Price History'!S104-1),"")</f>
        <v>-0.000260078023406996</v>
      </c>
      <c r="T104" s="154" t="n">
        <f aca="false">IFERROR(IF(OR(NOT(ISNUMBER('Price History'!T105)),NOT(ISNUMBER('Price History'!T104)),'Price History'!T104=0),"",'Price History'!T105/'Price History'!T104-1),"")</f>
        <v>0.00906344410876159</v>
      </c>
      <c r="U104" s="154" t="n">
        <f aca="false">IFERROR(IF(OR(NOT(ISNUMBER('Price History'!U105)),NOT(ISNUMBER('Price History'!U104)),'Price History'!U104=0),"",'Price History'!U105/'Price History'!U104-1),"")</f>
        <v>-0.00112149532710282</v>
      </c>
      <c r="V104" s="155" t="n">
        <f aca="false">IFERROR(IF(OR(NOT(ISNUMBER('Price History'!V105)),NOT(ISNUMBER('Price History'!V104)),'Price History'!V104=0),"",'Price History'!V105/'Price History'!V104-1),"")</f>
        <v>0.00498185797385253</v>
      </c>
      <c r="W104" s="156" t="n">
        <f aca="false">IFERROR('Price History'!B3+(INDEX('Price History'!B:B,MATCH(9.99E+307,'Returns (Calc)'!$A:$A)+1)-'Price History'!B3)*(ROW()-3)/(MATCH(9.99E+307,'Returns (Calc)'!$A:$A)-3),"")</f>
        <v>342.743164556962</v>
      </c>
      <c r="X104" s="156" t="n">
        <f aca="false">IFERROR('Price History'!C3+(INDEX('Price History'!C:C,MATCH(9.99E+307,'Returns (Calc)'!$A:$A)+1)-'Price History'!C3)*(ROW()-3)/(MATCH(9.99E+307,'Returns (Calc)'!$A:$A)-3),"")</f>
        <v>149.206392405063</v>
      </c>
      <c r="Y104" s="156" t="n">
        <f aca="false">IFERROR('Price History'!D3+(INDEX('Price History'!D:D,MATCH(9.99E+307,'Returns (Calc)'!$A:$A)+1)-'Price History'!D3)*(ROW()-3)/(MATCH(9.99E+307,'Returns (Calc)'!$A:$A)-3),"")</f>
        <v>1403.62582278481</v>
      </c>
      <c r="Z104" s="156" t="n">
        <f aca="false">IFERROR('Price History'!E3+(INDEX('Price History'!E:E,MATCH(9.99E+307,'Returns (Calc)'!$A:$A)+1)-'Price History'!E3)*(ROW()-3)/(MATCH(9.99E+307,'Returns (Calc)'!$A:$A)-3),"")</f>
        <v>256.602151898734</v>
      </c>
      <c r="AA104" s="156" t="n">
        <f aca="false">IFERROR('Price History'!F3+(INDEX('Price History'!F:F,MATCH(9.99E+307,'Returns (Calc)'!$A:$A)+1)-'Price History'!F3)*(ROW()-3)/(MATCH(9.99E+307,'Returns (Calc)'!$A:$A)-3),"")</f>
        <v>187.541518987342</v>
      </c>
      <c r="AB104" s="156" t="n">
        <f aca="false">IFERROR('Price History'!G3+(INDEX('Price History'!G:G,MATCH(9.99E+307,'Returns (Calc)'!$A:$A)+1)-'Price History'!G3)*(ROW()-3)/(MATCH(9.99E+307,'Returns (Calc)'!$A:$A)-3),"")</f>
        <v>148.252151898734</v>
      </c>
      <c r="AC104" s="156" t="n">
        <f aca="false">IFERROR('Price History'!H3+(INDEX('Price History'!H:H,MATCH(9.99E+307,'Returns (Calc)'!$A:$A)+1)-'Price History'!H3)*(ROW()-3)/(MATCH(9.99E+307,'Returns (Calc)'!$A:$A)-3),"")</f>
        <v>712.045316455696</v>
      </c>
      <c r="AD104" s="156" t="n">
        <f aca="false">IFERROR('Price History'!I3+(INDEX('Price History'!I:I,MATCH(9.99E+307,'Returns (Calc)'!$A:$A)+1)-'Price History'!I3)*(ROW()-3)/(MATCH(9.99E+307,'Returns (Calc)'!$A:$A)-3),"")</f>
        <v>165.340759493671</v>
      </c>
      <c r="AE104" s="156" t="n">
        <f aca="false">IFERROR('Price History'!J3+(INDEX('Price History'!J:J,MATCH(9.99E+307,'Returns (Calc)'!$A:$A)+1)-'Price History'!J3)*(ROW()-3)/(MATCH(9.99E+307,'Returns (Calc)'!$A:$A)-3),"")</f>
        <v>122.751835443038</v>
      </c>
      <c r="AF104" s="156" t="n">
        <f aca="false">IFERROR('Price History'!K3+(INDEX('Price History'!K:K,MATCH(9.99E+307,'Returns (Calc)'!$A:$A)+1)-'Price History'!K3)*(ROW()-3)/(MATCH(9.99E+307,'Returns (Calc)'!$A:$A)-3),"")</f>
        <v>126.187088607595</v>
      </c>
      <c r="AG104" s="156" t="n">
        <f aca="false">IFERROR('Price History'!L3+(INDEX('Price History'!L:L,MATCH(9.99E+307,'Returns (Calc)'!$A:$A)+1)-'Price History'!L3)*(ROW()-3)/(MATCH(9.99E+307,'Returns (Calc)'!$A:$A)-3),"")</f>
        <v>333.155253164557</v>
      </c>
      <c r="AH104" s="156" t="n">
        <f aca="false">IFERROR('Price History'!M3+(INDEX('Price History'!M:M,MATCH(9.99E+307,'Returns (Calc)'!$A:$A)+1)-'Price History'!M3)*(ROW()-3)/(MATCH(9.99E+307,'Returns (Calc)'!$A:$A)-3),"")</f>
        <v>174.919746835443</v>
      </c>
      <c r="AI104" s="156" t="n">
        <f aca="false">IFERROR('Price History'!N3+(INDEX('Price History'!N:N,MATCH(9.99E+307,'Returns (Calc)'!$A:$A)+1)-'Price History'!N3)*(ROW()-3)/(MATCH(9.99E+307,'Returns (Calc)'!$A:$A)-3),"")</f>
        <v>448.512848101266</v>
      </c>
      <c r="AJ104" s="156" t="n">
        <f aca="false">IFERROR('Price History'!O3+(INDEX('Price History'!O:O,MATCH(9.99E+307,'Returns (Calc)'!$A:$A)+1)-'Price History'!O3)*(ROW()-3)/(MATCH(9.99E+307,'Returns (Calc)'!$A:$A)-3),"")</f>
        <v>103.896835443038</v>
      </c>
      <c r="AK104" s="156" t="n">
        <f aca="false">IFERROR('Price History'!Q3+(INDEX('Price History'!Q:Q,MATCH(9.99E+307,'Returns (Calc)'!$A:$A)+1)-'Price History'!Q3)*(ROW()-3)/(MATCH(9.99E+307,'Returns (Calc)'!$A:$A)-3),"")</f>
        <v>44.3760759493671</v>
      </c>
      <c r="AL104" s="156" t="n">
        <f aca="false">IFERROR('Price History'!R3+(INDEX('Price History'!R:R,MATCH(9.99E+307,'Returns (Calc)'!$A:$A)+1)-'Price History'!R3)*(ROW()-3)/(MATCH(9.99E+307,'Returns (Calc)'!$A:$A)-3),"")</f>
        <v>51.4582278481013</v>
      </c>
      <c r="AM104" s="156" t="n">
        <f aca="false">IFERROR('Price History'!S3+(INDEX('Price History'!S:S,MATCH(9.99E+307,'Returns (Calc)'!$A:$A)+1)-'Price History'!S3)*(ROW()-3)/(MATCH(9.99E+307,'Returns (Calc)'!$A:$A)-3),"")</f>
        <v>118.741392405063</v>
      </c>
      <c r="AN104" s="156" t="n">
        <f aca="false">IFERROR('Price History'!T3+(INDEX('Price History'!T:T,MATCH(9.99E+307,'Returns (Calc)'!$A:$A)+1)-'Price History'!T3)*(ROW()-3)/(MATCH(9.99E+307,'Returns (Calc)'!$A:$A)-3),"")</f>
        <v>42.2310126582279</v>
      </c>
      <c r="AO104" s="157" t="n">
        <f aca="false">IFERROR('Price History'!V3+(INDEX('Price History'!V:V,MATCH(9.99E+307,'Returns (Calc)'!$A:$A)+1)-'Price History'!V3)*(ROW()-3)/(MATCH(9.99E+307,'Returns (Calc)'!$A:$A)-3),"")</f>
        <v>315.554240506329</v>
      </c>
      <c r="AP104" s="155" t="n">
        <f aca="false">IFERROR(IF(OR(NOT(ISNUMBER('Price History'!W105)),NOT(ISNUMBER('Price History'!W104)),'Price History'!W104=0),"",'Price History'!W105/'Price History'!W104-1),"")</f>
        <v>0.000148115233651769</v>
      </c>
      <c r="AQ104" s="155" t="str">
        <f aca="false">IFERROR(IF(OR(NOT(ISNUMBER('Price History'!X105)),NOT(ISNUMBER('Price History'!X104)),'Price History'!X104=0),"",'Price History'!X105/'Price History'!X104-1),"")</f>
        <v/>
      </c>
      <c r="AR104" s="155" t="n">
        <f aca="false">IFERROR(IF(OR(NOT(ISNUMBER('Price History'!Y105)),NOT(ISNUMBER('Price History'!Y104)),'Price History'!Y104=0),"",'Price History'!Y105/'Price History'!Y104-1),"")</f>
        <v>-0.00382409177820264</v>
      </c>
      <c r="AS104" s="155" t="n">
        <f aca="false">IFERROR(IF(OR(NOT(ISNUMBER('Price History'!Z105)),NOT(ISNUMBER('Price History'!Z104)),'Price History'!Z104=0),"",'Price History'!Z105/'Price History'!Z104-1),"")</f>
        <v>0.0325439324232597</v>
      </c>
      <c r="AT104" s="155" t="n">
        <f aca="false">IFERROR(IF(OR(NOT(ISNUMBER('Price History'!AA105)),NOT(ISNUMBER('Price History'!AA104)),'Price History'!AA104=0),"",'Price History'!AA105/'Price History'!AA104-1),"")</f>
        <v>0.00298854391499259</v>
      </c>
      <c r="AU104" s="155" t="n">
        <f aca="false">IFERROR(IF(OR(NOT(ISNUMBER('Price History'!AB105)),NOT(ISNUMBER('Price History'!AB104)),'Price History'!AB104=0),"",'Price History'!AB105/'Price History'!AB104-1),"")</f>
        <v>-0.0744688166128035</v>
      </c>
    </row>
    <row r="105" customFormat="false" ht="15" hidden="false" customHeight="true" outlineLevel="0" collapsed="false">
      <c r="A105" s="153" t="n">
        <f aca="false">IF('Price History'!A106="","",'Price History'!A106)</f>
        <v>45905</v>
      </c>
      <c r="B105" s="154" t="n">
        <f aca="false">IFERROR(IF(OR(NOT(ISNUMBER('Price History'!B106)),NOT(ISNUMBER('Price History'!B105)),'Price History'!B105=0),"",'Price History'!B106/'Price History'!B105-1),"")</f>
        <v>-0.0216708718811325</v>
      </c>
      <c r="C105" s="154" t="n">
        <f aca="false">IFERROR(IF(OR(NOT(ISNUMBER('Price History'!C106)),NOT(ISNUMBER('Price History'!C105)),'Price History'!C105=0),"",'Price History'!C106/'Price History'!C105-1),"")</f>
        <v>0.0461369461735626</v>
      </c>
      <c r="D105" s="154" t="n">
        <f aca="false">IFERROR(IF(OR(NOT(ISNUMBER('Price History'!D106)),NOT(ISNUMBER('Price History'!D105)),'Price History'!D105=0),"",'Price History'!D106/'Price History'!D105-1),"")</f>
        <v>0.0526187378009109</v>
      </c>
      <c r="E105" s="154" t="n">
        <f aca="false">IFERROR(IF(OR(NOT(ISNUMBER('Price History'!E106)),NOT(ISNUMBER('Price History'!E105)),'Price History'!E105=0),"",'Price History'!E106/'Price History'!E105-1),"")</f>
        <v>0.126098612100852</v>
      </c>
      <c r="F105" s="154" t="n">
        <f aca="false">IFERROR(IF(OR(NOT(ISNUMBER('Price History'!F106)),NOT(ISNUMBER('Price History'!F105)),'Price History'!F105=0),"",'Price History'!F106/'Price History'!F105-1),"")</f>
        <v>-0.0143490984612481</v>
      </c>
      <c r="G105" s="154" t="n">
        <f aca="false">IFERROR(IF(OR(NOT(ISNUMBER('Price History'!G106)),NOT(ISNUMBER('Price History'!G105)),'Price History'!G105=0),"",'Price History'!G106/'Price History'!G105-1),"")</f>
        <v>0.0379338175948345</v>
      </c>
      <c r="H105" s="154" t="n">
        <f aca="false">IFERROR(IF(OR(NOT(ISNUMBER('Price History'!H106)),NOT(ISNUMBER('Price History'!H105)),'Price History'!H105=0),"",'Price History'!H106/'Price History'!H105-1),"")</f>
        <v>0.103854569937721</v>
      </c>
      <c r="I105" s="154" t="n">
        <f aca="false">IFERROR(IF(OR(NOT(ISNUMBER('Price History'!I106)),NOT(ISNUMBER('Price History'!I105)),'Price History'!I105=0),"",'Price History'!I106/'Price History'!I105-1),"")</f>
        <v>-0.041093525179856</v>
      </c>
      <c r="J105" s="154" t="n">
        <f aca="false">IFERROR(IF(OR(NOT(ISNUMBER('Price History'!J106)),NOT(ISNUMBER('Price History'!J105)),'Price History'!J105=0),"",'Price History'!J106/'Price History'!J105-1),"")</f>
        <v>-0.00109749405524062</v>
      </c>
      <c r="K105" s="154" t="n">
        <f aca="false">IFERROR(IF(OR(NOT(ISNUMBER('Price History'!K106)),NOT(ISNUMBER('Price History'!K105)),'Price History'!K105=0),"",'Price History'!K106/'Price History'!K105-1),"")</f>
        <v>-0.0229723693446493</v>
      </c>
      <c r="L105" s="154" t="n">
        <f aca="false">IFERROR(IF(OR(NOT(ISNUMBER('Price History'!L106)),NOT(ISNUMBER('Price History'!L105)),'Price History'!L105=0),"",'Price History'!L106/'Price History'!L105-1),"")</f>
        <v>0.0543187107539631</v>
      </c>
      <c r="M105" s="154" t="n">
        <f aca="false">IFERROR(IF(OR(NOT(ISNUMBER('Price History'!M106)),NOT(ISNUMBER('Price History'!M105)),'Price History'!M105=0),"",'Price History'!M106/'Price History'!M105-1),"")</f>
        <v>-0.0278693672476056</v>
      </c>
      <c r="N105" s="154" t="n">
        <f aca="false">IFERROR(IF(OR(NOT(ISNUMBER('Price History'!N106)),NOT(ISNUMBER('Price History'!N105)),'Price History'!N105=0),"",'Price History'!N106/'Price History'!N105-1),"")</f>
        <v>0.0130428111094063</v>
      </c>
      <c r="O105" s="154" t="n">
        <f aca="false">IFERROR(IF(OR(NOT(ISNUMBER('Price History'!O106)),NOT(ISNUMBER('Price History'!O105)),'Price History'!O105=0),"",'Price History'!O106/'Price History'!O105-1),"")</f>
        <v>0.0109072375127421</v>
      </c>
      <c r="P105" s="154" t="n">
        <f aca="false">IFERROR(IF(OR(NOT(ISNUMBER('Price History'!P106)),NOT(ISNUMBER('Price History'!P105)),'Price History'!P105=0),"",'Price History'!P106/'Price History'!P105-1),"")</f>
        <v>-0.000883782589483073</v>
      </c>
      <c r="Q105" s="154" t="n">
        <f aca="false">IFERROR(IF(OR(NOT(ISNUMBER('Price History'!Q106)),NOT(ISNUMBER('Price History'!Q105)),'Price History'!Q105=0),"",'Price History'!Q106/'Price History'!Q105-1),"")</f>
        <v>0.00219849246231152</v>
      </c>
      <c r="R105" s="154" t="n">
        <f aca="false">IFERROR(IF(OR(NOT(ISNUMBER('Price History'!R106)),NOT(ISNUMBER('Price History'!R105)),'Price History'!R105=0),"",'Price History'!R106/'Price History'!R105-1),"")</f>
        <v>0.00984211605495178</v>
      </c>
      <c r="S105" s="154" t="n">
        <f aca="false">IFERROR(IF(OR(NOT(ISNUMBER('Price History'!S106)),NOT(ISNUMBER('Price History'!S105)),'Price History'!S105=0),"",'Price History'!S106/'Price History'!S105-1),"")</f>
        <v>0.004942767950052</v>
      </c>
      <c r="T105" s="154" t="n">
        <f aca="false">IFERROR(IF(OR(NOT(ISNUMBER('Price History'!T106)),NOT(ISNUMBER('Price History'!T105)),'Price History'!T105=0),"",'Price History'!T106/'Price History'!T105-1),"")</f>
        <v>0.00762112139357662</v>
      </c>
      <c r="U105" s="154" t="n">
        <f aca="false">IFERROR(IF(OR(NOT(ISNUMBER('Price History'!U106)),NOT(ISNUMBER('Price History'!U105)),'Price History'!U105=0),"",'Price History'!U106/'Price History'!U105-1),"")</f>
        <v>-0.0101047904191617</v>
      </c>
      <c r="V105" s="155" t="n">
        <f aca="false">IFERROR(IF(OR(NOT(ISNUMBER('Price History'!V106)),NOT(ISNUMBER('Price History'!V105)),'Price History'!V105=0),"",'Price History'!V106/'Price History'!V105-1),"")</f>
        <v>-0.0243273446230551</v>
      </c>
      <c r="W105" s="156" t="n">
        <f aca="false">IFERROR('Price History'!B3+(INDEX('Price History'!B:B,MATCH(9.99E+307,'Returns (Calc)'!$A:$A)+1)-'Price History'!B3)*(ROW()-3)/(MATCH(9.99E+307,'Returns (Calc)'!$A:$A)-3),"")</f>
        <v>340.900126582279</v>
      </c>
      <c r="X105" s="156" t="n">
        <f aca="false">IFERROR('Price History'!C3+(INDEX('Price History'!C:C,MATCH(9.99E+307,'Returns (Calc)'!$A:$A)+1)-'Price History'!C3)*(ROW()-3)/(MATCH(9.99E+307,'Returns (Calc)'!$A:$A)-3),"")</f>
        <v>150.226455696203</v>
      </c>
      <c r="Y105" s="156" t="n">
        <f aca="false">IFERROR('Price History'!D3+(INDEX('Price History'!D:D,MATCH(9.99E+307,'Returns (Calc)'!$A:$A)+1)-'Price History'!D3)*(ROW()-3)/(MATCH(9.99E+307,'Returns (Calc)'!$A:$A)-3),"")</f>
        <v>1411.76063291139</v>
      </c>
      <c r="Z105" s="156" t="n">
        <f aca="false">IFERROR('Price History'!E3+(INDEX('Price History'!E:E,MATCH(9.99E+307,'Returns (Calc)'!$A:$A)+1)-'Price History'!E3)*(ROW()-3)/(MATCH(9.99E+307,'Returns (Calc)'!$A:$A)-3),"")</f>
        <v>258.330886075949</v>
      </c>
      <c r="AA105" s="156" t="n">
        <f aca="false">IFERROR('Price History'!F3+(INDEX('Price History'!F:F,MATCH(9.99E+307,'Returns (Calc)'!$A:$A)+1)-'Price History'!F3)*(ROW()-3)/(MATCH(9.99E+307,'Returns (Calc)'!$A:$A)-3),"")</f>
        <v>188.988860759494</v>
      </c>
      <c r="AB105" s="156" t="n">
        <f aca="false">IFERROR('Price History'!G3+(INDEX('Price History'!G:G,MATCH(9.99E+307,'Returns (Calc)'!$A:$A)+1)-'Price History'!G3)*(ROW()-3)/(MATCH(9.99E+307,'Returns (Calc)'!$A:$A)-3),"")</f>
        <v>149.280886075949</v>
      </c>
      <c r="AC105" s="156" t="n">
        <f aca="false">IFERROR('Price History'!H3+(INDEX('Price History'!H:H,MATCH(9.99E+307,'Returns (Calc)'!$A:$A)+1)-'Price History'!H3)*(ROW()-3)/(MATCH(9.99E+307,'Returns (Calc)'!$A:$A)-3),"")</f>
        <v>718.411012658228</v>
      </c>
      <c r="AD105" s="156" t="n">
        <f aca="false">IFERROR('Price History'!I3+(INDEX('Price History'!I:I,MATCH(9.99E+307,'Returns (Calc)'!$A:$A)+1)-'Price History'!I3)*(ROW()-3)/(MATCH(9.99E+307,'Returns (Calc)'!$A:$A)-3),"")</f>
        <v>166.544430379747</v>
      </c>
      <c r="AE105" s="156" t="n">
        <f aca="false">IFERROR('Price History'!J3+(INDEX('Price History'!J:J,MATCH(9.99E+307,'Returns (Calc)'!$A:$A)+1)-'Price History'!J3)*(ROW()-3)/(MATCH(9.99E+307,'Returns (Calc)'!$A:$A)-3),"")</f>
        <v>122.859873417722</v>
      </c>
      <c r="AF105" s="156" t="n">
        <f aca="false">IFERROR('Price History'!K3+(INDEX('Price History'!K:K,MATCH(9.99E+307,'Returns (Calc)'!$A:$A)+1)-'Price History'!K3)*(ROW()-3)/(MATCH(9.99E+307,'Returns (Calc)'!$A:$A)-3),"")</f>
        <v>127.284683544304</v>
      </c>
      <c r="AG105" s="156" t="n">
        <f aca="false">IFERROR('Price History'!L3+(INDEX('Price History'!L:L,MATCH(9.99E+307,'Returns (Calc)'!$A:$A)+1)-'Price History'!L3)*(ROW()-3)/(MATCH(9.99E+307,'Returns (Calc)'!$A:$A)-3),"")</f>
        <v>335.604810126582</v>
      </c>
      <c r="AH105" s="156" t="n">
        <f aca="false">IFERROR('Price History'!M3+(INDEX('Price History'!M:M,MATCH(9.99E+307,'Returns (Calc)'!$A:$A)+1)-'Price History'!M3)*(ROW()-3)/(MATCH(9.99E+307,'Returns (Calc)'!$A:$A)-3),"")</f>
        <v>176.275189873418</v>
      </c>
      <c r="AI105" s="156" t="n">
        <f aca="false">IFERROR('Price History'!N3+(INDEX('Price History'!N:N,MATCH(9.99E+307,'Returns (Calc)'!$A:$A)+1)-'Price History'!N3)*(ROW()-3)/(MATCH(9.99E+307,'Returns (Calc)'!$A:$A)-3),"")</f>
        <v>449.499113924051</v>
      </c>
      <c r="AJ105" s="156" t="n">
        <f aca="false">IFERROR('Price History'!O3+(INDEX('Price History'!O:O,MATCH(9.99E+307,'Returns (Calc)'!$A:$A)+1)-'Price History'!O3)*(ROW()-3)/(MATCH(9.99E+307,'Returns (Calc)'!$A:$A)-3),"")</f>
        <v>104.179873417722</v>
      </c>
      <c r="AK105" s="156" t="n">
        <f aca="false">IFERROR('Price History'!Q3+(INDEX('Price History'!Q:Q,MATCH(9.99E+307,'Returns (Calc)'!$A:$A)+1)-'Price History'!Q3)*(ROW()-3)/(MATCH(9.99E+307,'Returns (Calc)'!$A:$A)-3),"")</f>
        <v>44.8154430379747</v>
      </c>
      <c r="AL105" s="156" t="n">
        <f aca="false">IFERROR('Price History'!R3+(INDEX('Price History'!R:R,MATCH(9.99E+307,'Returns (Calc)'!$A:$A)+1)-'Price History'!R3)*(ROW()-3)/(MATCH(9.99E+307,'Returns (Calc)'!$A:$A)-3),"")</f>
        <v>51.6263291139241</v>
      </c>
      <c r="AM105" s="156" t="n">
        <f aca="false">IFERROR('Price History'!S3+(INDEX('Price History'!S:S,MATCH(9.99E+307,'Returns (Calc)'!$A:$A)+1)-'Price History'!S3)*(ROW()-3)/(MATCH(9.99E+307,'Returns (Calc)'!$A:$A)-3),"")</f>
        <v>119.346455696203</v>
      </c>
      <c r="AN105" s="156" t="n">
        <f aca="false">IFERROR('Price History'!T3+(INDEX('Price History'!T:T,MATCH(9.99E+307,'Returns (Calc)'!$A:$A)+1)-'Price History'!T3)*(ROW()-3)/(MATCH(9.99E+307,'Returns (Calc)'!$A:$A)-3),"")</f>
        <v>42.3992405063291</v>
      </c>
      <c r="AO105" s="157" t="n">
        <f aca="false">IFERROR('Price History'!V3+(INDEX('Price History'!V:V,MATCH(9.99E+307,'Returns (Calc)'!$A:$A)+1)-'Price History'!V3)*(ROW()-3)/(MATCH(9.99E+307,'Returns (Calc)'!$A:$A)-3),"")</f>
        <v>316.345569620253</v>
      </c>
      <c r="AP105" s="155" t="n">
        <f aca="false">IFERROR(IF(OR(NOT(ISNUMBER('Price History'!W106)),NOT(ISNUMBER('Price History'!W105)),'Price History'!W105=0),"",'Price History'!W106/'Price History'!W105-1),"")</f>
        <v>0.00259163272861906</v>
      </c>
      <c r="AQ105" s="155" t="str">
        <f aca="false">IFERROR(IF(OR(NOT(ISNUMBER('Price History'!X106)),NOT(ISNUMBER('Price History'!X105)),'Price History'!X105=0),"",'Price History'!X106/'Price History'!X105-1),"")</f>
        <v/>
      </c>
      <c r="AR105" s="155" t="n">
        <f aca="false">IFERROR(IF(OR(NOT(ISNUMBER('Price History'!Y106)),NOT(ISNUMBER('Price History'!Y105)),'Price History'!Y105=0),"",'Price History'!Y106/'Price History'!Y105-1),"")</f>
        <v>0</v>
      </c>
      <c r="AS105" s="155" t="n">
        <f aca="false">IFERROR(IF(OR(NOT(ISNUMBER('Price History'!Z106)),NOT(ISNUMBER('Price History'!Z105)),'Price History'!Z105=0),"",'Price History'!Z106/'Price History'!Z105-1),"")</f>
        <v>0.0146451919214052</v>
      </c>
      <c r="AT105" s="155" t="n">
        <f aca="false">IFERROR(IF(OR(NOT(ISNUMBER('Price History'!AA106)),NOT(ISNUMBER('Price History'!AA105)),'Price History'!AA105=0),"",'Price History'!AA106/'Price History'!AA105-1),"")</f>
        <v>0.0294653203112067</v>
      </c>
      <c r="AU105" s="155" t="n">
        <f aca="false">IFERROR(IF(OR(NOT(ISNUMBER('Price History'!AB106)),NOT(ISNUMBER('Price History'!AB105)),'Price History'!AB105=0),"",'Price History'!AB106/'Price History'!AB105-1),"")</f>
        <v>0.0138558692421993</v>
      </c>
    </row>
    <row r="106" customFormat="false" ht="15" hidden="false" customHeight="true" outlineLevel="0" collapsed="false">
      <c r="A106" s="153" t="n">
        <f aca="false">IF('Price History'!A107="","",'Price History'!A107)</f>
        <v>45912</v>
      </c>
      <c r="B106" s="154" t="n">
        <f aca="false">IFERROR(IF(OR(NOT(ISNUMBER('Price History'!B107)),NOT(ISNUMBER('Price History'!B106)),'Price History'!B106=0),"",'Price History'!B107/'Price History'!B106-1),"")</f>
        <v>0.00111757457661121</v>
      </c>
      <c r="C106" s="154" t="n">
        <f aca="false">IFERROR(IF(OR(NOT(ISNUMBER('Price History'!C107)),NOT(ISNUMBER('Price History'!C106)),'Price History'!C106=0),"",'Price History'!C107/'Price History'!C106-1),"")</f>
        <v>-0.0242212110605531</v>
      </c>
      <c r="D106" s="154" t="n">
        <f aca="false">IFERROR(IF(OR(NOT(ISNUMBER('Price History'!D107)),NOT(ISNUMBER('Price History'!D106)),'Price History'!D106=0),"",'Price History'!D107/'Price History'!D106-1),"")</f>
        <v>0.0411548069741687</v>
      </c>
      <c r="E106" s="154" t="n">
        <f aca="false">IFERROR(IF(OR(NOT(ISNUMBER('Price History'!E107)),NOT(ISNUMBER('Price History'!E106)),'Price History'!E106=0),"",'Price History'!E107/'Price History'!E106-1),"")</f>
        <v>0.0745818894078649</v>
      </c>
      <c r="F106" s="154" t="n">
        <f aca="false">IFERROR(IF(OR(NOT(ISNUMBER('Price History'!F107)),NOT(ISNUMBER('Price History'!F106)),'Price History'!F106=0),"",'Price History'!F107/'Price History'!F106-1),"")</f>
        <v>0.0442486351882003</v>
      </c>
      <c r="G106" s="154" t="n">
        <f aca="false">IFERROR(IF(OR(NOT(ISNUMBER('Price History'!G107)),NOT(ISNUMBER('Price History'!G106)),'Price History'!G106=0),"",'Price History'!G107/'Price History'!G106-1),"")</f>
        <v>0.0650966451899577</v>
      </c>
      <c r="H106" s="154" t="n">
        <f aca="false">IFERROR(IF(OR(NOT(ISNUMBER('Price History'!H107)),NOT(ISNUMBER('Price History'!H106)),'Price History'!H106=0),"",'Price History'!H107/'Price History'!H106-1),"")</f>
        <v>0.196858798414151</v>
      </c>
      <c r="I106" s="154" t="n">
        <f aca="false">IFERROR(IF(OR(NOT(ISNUMBER('Price History'!I107)),NOT(ISNUMBER('Price History'!I106)),'Price History'!I106=0),"",'Price History'!I107/'Price History'!I106-1),"")</f>
        <v>0.0647620190864893</v>
      </c>
      <c r="J106" s="154" t="n">
        <f aca="false">IFERROR(IF(OR(NOT(ISNUMBER('Price History'!J107)),NOT(ISNUMBER('Price History'!J106)),'Price History'!J106=0),"",'Price History'!J107/'Price History'!J106-1),"")</f>
        <v>0.0149240065921992</v>
      </c>
      <c r="K106" s="154" t="n">
        <f aca="false">IFERROR(IF(OR(NOT(ISNUMBER('Price History'!K107)),NOT(ISNUMBER('Price History'!K106)),'Price History'!K106=0),"",'Price History'!K107/'Price History'!K106-1),"")</f>
        <v>0.119652537391418</v>
      </c>
      <c r="L106" s="154" t="n">
        <f aca="false">IFERROR(IF(OR(NOT(ISNUMBER('Price History'!L107)),NOT(ISNUMBER('Price History'!L106)),'Price History'!L106=0),"",'Price History'!L107/'Price History'!L106-1),"")</f>
        <v>0.0654310703873386</v>
      </c>
      <c r="M106" s="154" t="n">
        <f aca="false">IFERROR(IF(OR(NOT(ISNUMBER('Price History'!M107)),NOT(ISNUMBER('Price History'!M106)),'Price History'!M106=0),"",'Price History'!M107/'Price History'!M106-1),"")</f>
        <v>0.0874586126140677</v>
      </c>
      <c r="N106" s="154" t="n">
        <f aca="false">IFERROR(IF(OR(NOT(ISNUMBER('Price History'!N107)),NOT(ISNUMBER('Price History'!N106)),'Price History'!N106=0),"",'Price History'!N107/'Price History'!N106-1),"")</f>
        <v>-0.00401393517116033</v>
      </c>
      <c r="O106" s="154" t="n">
        <f aca="false">IFERROR(IF(OR(NOT(ISNUMBER('Price History'!O107)),NOT(ISNUMBER('Price History'!O106)),'Price History'!O106=0),"",'Price History'!O107/'Price History'!O106-1),"")</f>
        <v>-0.00796611878592324</v>
      </c>
      <c r="P106" s="154" t="n">
        <f aca="false">IFERROR(IF(OR(NOT(ISNUMBER('Price History'!P107)),NOT(ISNUMBER('Price History'!P106)),'Price History'!P106=0),"",'Price History'!P107/'Price History'!P106-1),"")</f>
        <v>0.0013268465280849</v>
      </c>
      <c r="Q106" s="154" t="n">
        <f aca="false">IFERROR(IF(OR(NOT(ISNUMBER('Price History'!Q107)),NOT(ISNUMBER('Price History'!Q106)),'Price History'!Q106=0),"",'Price History'!Q107/'Price History'!Q106-1),"")</f>
        <v>0.00846129739893442</v>
      </c>
      <c r="R106" s="154" t="n">
        <f aca="false">IFERROR(IF(OR(NOT(ISNUMBER('Price History'!R107)),NOT(ISNUMBER('Price History'!R106)),'Price History'!R106=0),"",'Price History'!R107/'Price History'!R106-1),"")</f>
        <v>0.0136040609137056</v>
      </c>
      <c r="S106" s="154" t="n">
        <f aca="false">IFERROR(IF(OR(NOT(ISNUMBER('Price History'!S107)),NOT(ISNUMBER('Price History'!S106)),'Price History'!S106=0),"",'Price History'!S107/'Price History'!S106-1),"")</f>
        <v>0.029251876779705</v>
      </c>
      <c r="T106" s="154" t="n">
        <f aca="false">IFERROR(IF(OR(NOT(ISNUMBER('Price History'!T107)),NOT(ISNUMBER('Price History'!T106)),'Price History'!T106=0),"",'Price History'!T107/'Price History'!T106-1),"")</f>
        <v>0.000810372771474777</v>
      </c>
      <c r="U106" s="154" t="n">
        <f aca="false">IFERROR(IF(OR(NOT(ISNUMBER('Price History'!U107)),NOT(ISNUMBER('Price History'!U106)),'Price History'!U106=0),"",'Price History'!U107/'Price History'!U106-1),"")</f>
        <v>-0.00567107750472584</v>
      </c>
      <c r="V106" s="155" t="n">
        <f aca="false">IFERROR(IF(OR(NOT(ISNUMBER('Price History'!V107)),NOT(ISNUMBER('Price History'!V106)),'Price History'!V106=0),"",'Price History'!V107/'Price History'!V106-1),"")</f>
        <v>-0.0110425844346549</v>
      </c>
      <c r="W106" s="156" t="n">
        <f aca="false">IFERROR('Price History'!B3+(INDEX('Price History'!B:B,MATCH(9.99E+307,'Returns (Calc)'!$A:$A)+1)-'Price History'!B3)*(ROW()-3)/(MATCH(9.99E+307,'Returns (Calc)'!$A:$A)-3),"")</f>
        <v>339.057088607595</v>
      </c>
      <c r="X106" s="156" t="n">
        <f aca="false">IFERROR('Price History'!C3+(INDEX('Price History'!C:C,MATCH(9.99E+307,'Returns (Calc)'!$A:$A)+1)-'Price History'!C3)*(ROW()-3)/(MATCH(9.99E+307,'Returns (Calc)'!$A:$A)-3),"")</f>
        <v>151.246518987342</v>
      </c>
      <c r="Y106" s="156" t="n">
        <f aca="false">IFERROR('Price History'!D3+(INDEX('Price History'!D:D,MATCH(9.99E+307,'Returns (Calc)'!$A:$A)+1)-'Price History'!D3)*(ROW()-3)/(MATCH(9.99E+307,'Returns (Calc)'!$A:$A)-3),"")</f>
        <v>1419.89544303797</v>
      </c>
      <c r="Z106" s="156" t="n">
        <f aca="false">IFERROR('Price History'!E3+(INDEX('Price History'!E:E,MATCH(9.99E+307,'Returns (Calc)'!$A:$A)+1)-'Price History'!E3)*(ROW()-3)/(MATCH(9.99E+307,'Returns (Calc)'!$A:$A)-3),"")</f>
        <v>260.059620253165</v>
      </c>
      <c r="AA106" s="156" t="n">
        <f aca="false">IFERROR('Price History'!F3+(INDEX('Price History'!F:F,MATCH(9.99E+307,'Returns (Calc)'!$A:$A)+1)-'Price History'!F3)*(ROW()-3)/(MATCH(9.99E+307,'Returns (Calc)'!$A:$A)-3),"")</f>
        <v>190.436202531646</v>
      </c>
      <c r="AB106" s="156" t="n">
        <f aca="false">IFERROR('Price History'!G3+(INDEX('Price History'!G:G,MATCH(9.99E+307,'Returns (Calc)'!$A:$A)+1)-'Price History'!G3)*(ROW()-3)/(MATCH(9.99E+307,'Returns (Calc)'!$A:$A)-3),"")</f>
        <v>150.309620253165</v>
      </c>
      <c r="AC106" s="156" t="n">
        <f aca="false">IFERROR('Price History'!H3+(INDEX('Price History'!H:H,MATCH(9.99E+307,'Returns (Calc)'!$A:$A)+1)-'Price History'!H3)*(ROW()-3)/(MATCH(9.99E+307,'Returns (Calc)'!$A:$A)-3),"")</f>
        <v>724.77670886076</v>
      </c>
      <c r="AD106" s="156" t="n">
        <f aca="false">IFERROR('Price History'!I3+(INDEX('Price History'!I:I,MATCH(9.99E+307,'Returns (Calc)'!$A:$A)+1)-'Price History'!I3)*(ROW()-3)/(MATCH(9.99E+307,'Returns (Calc)'!$A:$A)-3),"")</f>
        <v>167.748101265823</v>
      </c>
      <c r="AE106" s="156" t="n">
        <f aca="false">IFERROR('Price History'!J3+(INDEX('Price History'!J:J,MATCH(9.99E+307,'Returns (Calc)'!$A:$A)+1)-'Price History'!J3)*(ROW()-3)/(MATCH(9.99E+307,'Returns (Calc)'!$A:$A)-3),"")</f>
        <v>122.967911392405</v>
      </c>
      <c r="AF106" s="156" t="n">
        <f aca="false">IFERROR('Price History'!K3+(INDEX('Price History'!K:K,MATCH(9.99E+307,'Returns (Calc)'!$A:$A)+1)-'Price History'!K3)*(ROW()-3)/(MATCH(9.99E+307,'Returns (Calc)'!$A:$A)-3),"")</f>
        <v>128.382278481013</v>
      </c>
      <c r="AG106" s="156" t="n">
        <f aca="false">IFERROR('Price History'!L3+(INDEX('Price History'!L:L,MATCH(9.99E+307,'Returns (Calc)'!$A:$A)+1)-'Price History'!L3)*(ROW()-3)/(MATCH(9.99E+307,'Returns (Calc)'!$A:$A)-3),"")</f>
        <v>338.054367088608</v>
      </c>
      <c r="AH106" s="156" t="n">
        <f aca="false">IFERROR('Price History'!M3+(INDEX('Price History'!M:M,MATCH(9.99E+307,'Returns (Calc)'!$A:$A)+1)-'Price History'!M3)*(ROW()-3)/(MATCH(9.99E+307,'Returns (Calc)'!$A:$A)-3),"")</f>
        <v>177.630632911392</v>
      </c>
      <c r="AI106" s="156" t="n">
        <f aca="false">IFERROR('Price History'!N3+(INDEX('Price History'!N:N,MATCH(9.99E+307,'Returns (Calc)'!$A:$A)+1)-'Price History'!N3)*(ROW()-3)/(MATCH(9.99E+307,'Returns (Calc)'!$A:$A)-3),"")</f>
        <v>450.485379746835</v>
      </c>
      <c r="AJ106" s="156" t="n">
        <f aca="false">IFERROR('Price History'!O3+(INDEX('Price History'!O:O,MATCH(9.99E+307,'Returns (Calc)'!$A:$A)+1)-'Price History'!O3)*(ROW()-3)/(MATCH(9.99E+307,'Returns (Calc)'!$A:$A)-3),"")</f>
        <v>104.462911392405</v>
      </c>
      <c r="AK106" s="156" t="n">
        <f aca="false">IFERROR('Price History'!Q3+(INDEX('Price History'!Q:Q,MATCH(9.99E+307,'Returns (Calc)'!$A:$A)+1)-'Price History'!Q3)*(ROW()-3)/(MATCH(9.99E+307,'Returns (Calc)'!$A:$A)-3),"")</f>
        <v>45.2548101265823</v>
      </c>
      <c r="AL106" s="156" t="n">
        <f aca="false">IFERROR('Price History'!R3+(INDEX('Price History'!R:R,MATCH(9.99E+307,'Returns (Calc)'!$A:$A)+1)-'Price History'!R3)*(ROW()-3)/(MATCH(9.99E+307,'Returns (Calc)'!$A:$A)-3),"")</f>
        <v>51.7944303797468</v>
      </c>
      <c r="AM106" s="156" t="n">
        <f aca="false">IFERROR('Price History'!S3+(INDEX('Price History'!S:S,MATCH(9.99E+307,'Returns (Calc)'!$A:$A)+1)-'Price History'!S3)*(ROW()-3)/(MATCH(9.99E+307,'Returns (Calc)'!$A:$A)-3),"")</f>
        <v>119.951518987342</v>
      </c>
      <c r="AN106" s="156" t="n">
        <f aca="false">IFERROR('Price History'!T3+(INDEX('Price History'!T:T,MATCH(9.99E+307,'Returns (Calc)'!$A:$A)+1)-'Price History'!T3)*(ROW()-3)/(MATCH(9.99E+307,'Returns (Calc)'!$A:$A)-3),"")</f>
        <v>42.5674683544304</v>
      </c>
      <c r="AO106" s="157" t="n">
        <f aca="false">IFERROR('Price History'!V3+(INDEX('Price History'!V:V,MATCH(9.99E+307,'Returns (Calc)'!$A:$A)+1)-'Price History'!V3)*(ROW()-3)/(MATCH(9.99E+307,'Returns (Calc)'!$A:$A)-3),"")</f>
        <v>317.136898734177</v>
      </c>
      <c r="AP106" s="155" t="n">
        <f aca="false">IFERROR(IF(OR(NOT(ISNUMBER('Price History'!W107)),NOT(ISNUMBER('Price History'!W106)),'Price History'!W106=0),"",'Price History'!W107/'Price History'!W106-1),"")</f>
        <v>0.0131462333825703</v>
      </c>
      <c r="AQ106" s="155" t="str">
        <f aca="false">IFERROR(IF(OR(NOT(ISNUMBER('Price History'!X107)),NOT(ISNUMBER('Price History'!X106)),'Price History'!X106=0),"",'Price History'!X107/'Price History'!X106-1),"")</f>
        <v/>
      </c>
      <c r="AR106" s="155" t="n">
        <f aca="false">IFERROR(IF(OR(NOT(ISNUMBER('Price History'!Y107)),NOT(ISNUMBER('Price History'!Y106)),'Price History'!Y106=0),"",'Price History'!Y107/'Price History'!Y106-1),"")</f>
        <v>0.00211132437619965</v>
      </c>
      <c r="AS106" s="155" t="n">
        <f aca="false">IFERROR(IF(OR(NOT(ISNUMBER('Price History'!Z107)),NOT(ISNUMBER('Price History'!Z106)),'Price History'!Z106=0),"",'Price History'!Z107/'Price History'!Z106-1),"")</f>
        <v>0.00881865956374628</v>
      </c>
      <c r="AT106" s="155" t="n">
        <f aca="false">IFERROR(IF(OR(NOT(ISNUMBER('Price History'!AA107)),NOT(ISNUMBER('Price History'!AA106)),'Price History'!AA106=0),"",'Price History'!AA107/'Price History'!AA106-1),"")</f>
        <v>-0.0445409229779706</v>
      </c>
      <c r="AU106" s="155" t="n">
        <f aca="false">IFERROR(IF(OR(NOT(ISNUMBER('Price History'!AB107)),NOT(ISNUMBER('Price History'!AB106)),'Price History'!AB106=0),"",'Price History'!AB107/'Price History'!AB106-1),"")</f>
        <v>0.0128238009746089</v>
      </c>
    </row>
    <row r="107" customFormat="false" ht="15" hidden="false" customHeight="true" outlineLevel="0" collapsed="false">
      <c r="A107" s="153" t="n">
        <f aca="false">IF('Price History'!A108="","",'Price History'!A108)</f>
        <v>45919</v>
      </c>
      <c r="B107" s="154" t="n">
        <f aca="false">IFERROR(IF(OR(NOT(ISNUMBER('Price History'!B108)),NOT(ISNUMBER('Price History'!B107)),'Price History'!B107=0),"",'Price History'!B108/'Price History'!B107-1),"")</f>
        <v>0.0473437142202884</v>
      </c>
      <c r="C107" s="154" t="n">
        <f aca="false">IFERROR(IF(OR(NOT(ISNUMBER('Price History'!C108)),NOT(ISNUMBER('Price History'!C107)),'Price History'!C107=0),"",'Price History'!C108/'Price History'!C107-1),"")</f>
        <v>0.0733194633761392</v>
      </c>
      <c r="D107" s="154" t="n">
        <f aca="false">IFERROR(IF(OR(NOT(ISNUMBER('Price History'!D108)),NOT(ISNUMBER('Price History'!D107)),'Price History'!D107=0),"",'Price History'!D108/'Price History'!D107-1),"")</f>
        <v>0.145336037796522</v>
      </c>
      <c r="E107" s="154" t="n">
        <f aca="false">IFERROR(IF(OR(NOT(ISNUMBER('Price History'!E108)),NOT(ISNUMBER('Price History'!E107)),'Price History'!E107=0),"",'Price History'!E108/'Price History'!E107-1),"")</f>
        <v>-0.0414750420639373</v>
      </c>
      <c r="F107" s="154" t="n">
        <f aca="false">IFERROR(IF(OR(NOT(ISNUMBER('Price History'!F108)),NOT(ISNUMBER('Price History'!F107)),'Price History'!F107=0),"",'Price History'!F108/'Price History'!F107-1),"")</f>
        <v>0.152343391727048</v>
      </c>
      <c r="G107" s="154" t="n">
        <f aca="false">IFERROR(IF(OR(NOT(ISNUMBER('Price History'!G108)),NOT(ISNUMBER('Price History'!G107)),'Price History'!G107=0),"",'Price History'!G108/'Price History'!G107-1),"")</f>
        <v>0.083854818523154</v>
      </c>
      <c r="H107" s="154" t="n">
        <f aca="false">IFERROR(IF(OR(NOT(ISNUMBER('Price History'!H108)),NOT(ISNUMBER('Price History'!H107)),'Price History'!H107=0),"",'Price History'!H108/'Price History'!H107-1),"")</f>
        <v>0.0349726079755384</v>
      </c>
      <c r="I107" s="154" t="n">
        <f aca="false">IFERROR(IF(OR(NOT(ISNUMBER('Price History'!I108)),NOT(ISNUMBER('Price History'!I107)),'Price History'!I107=0),"",'Price History'!I108/'Price History'!I107-1),"")</f>
        <v>-0.00648252536640359</v>
      </c>
      <c r="J107" s="154" t="n">
        <f aca="false">IFERROR(IF(OR(NOT(ISNUMBER('Price History'!J108)),NOT(ISNUMBER('Price History'!J107)),'Price History'!J107=0),"",'Price History'!J108/'Price History'!J107-1),"")</f>
        <v>-0.00721695985566073</v>
      </c>
      <c r="K107" s="154" t="n">
        <f aca="false">IFERROR(IF(OR(NOT(ISNUMBER('Price History'!K108)),NOT(ISNUMBER('Price History'!K107)),'Price History'!K107=0),"",'Price History'!K108/'Price History'!K107-1),"")</f>
        <v>0.0639328005599953</v>
      </c>
      <c r="L107" s="154" t="n">
        <f aca="false">IFERROR(IF(OR(NOT(ISNUMBER('Price History'!L108)),NOT(ISNUMBER('Price History'!L107)),'Price History'!L107=0),"",'Price History'!L108/'Price History'!L107-1),"")</f>
        <v>0.0245885618232282</v>
      </c>
      <c r="M107" s="154" t="n">
        <f aca="false">IFERROR(IF(OR(NOT(ISNUMBER('Price History'!M108)),NOT(ISNUMBER('Price History'!M107)),'Price History'!M107=0),"",'Price History'!M108/'Price History'!M107-1),"")</f>
        <v>0.0652755086885488</v>
      </c>
      <c r="N107" s="154" t="n">
        <f aca="false">IFERROR(IF(OR(NOT(ISNUMBER('Price History'!N108)),NOT(ISNUMBER('Price History'!N107)),'Price History'!N107=0),"",'Price History'!N108/'Price History'!N107-1),"")</f>
        <v>-0.0289204876688718</v>
      </c>
      <c r="O107" s="154" t="n">
        <f aca="false">IFERROR(IF(OR(NOT(ISNUMBER('Price History'!O108)),NOT(ISNUMBER('Price History'!O107)),'Price History'!O107=0),"",'Price History'!O108/'Price History'!O107-1),"")</f>
        <v>0.00569221386460672</v>
      </c>
      <c r="P107" s="154" t="n">
        <f aca="false">IFERROR(IF(OR(NOT(ISNUMBER('Price History'!P108)),NOT(ISNUMBER('Price History'!P107)),'Price History'!P107=0),"",'Price History'!P108/'Price History'!P107-1),"")</f>
        <v>-0.00279740871613665</v>
      </c>
      <c r="Q107" s="154" t="n">
        <f aca="false">IFERROR(IF(OR(NOT(ISNUMBER('Price History'!Q108)),NOT(ISNUMBER('Price History'!Q107)),'Price History'!Q107=0),"",'Price History'!Q108/'Price History'!Q107-1),"")</f>
        <v>0.00201988812927278</v>
      </c>
      <c r="R107" s="154" t="n">
        <f aca="false">IFERROR(IF(OR(NOT(ISNUMBER('Price History'!R108)),NOT(ISNUMBER('Price History'!R107)),'Price History'!R107=0),"",'Price History'!R108/'Price History'!R107-1),"")</f>
        <v>0.0110176282051282</v>
      </c>
      <c r="S107" s="154" t="n">
        <f aca="false">IFERROR(IF(OR(NOT(ISNUMBER('Price History'!S108)),NOT(ISNUMBER('Price History'!S107)),'Price History'!S107=0),"",'Price History'!S108/'Price History'!S107-1),"")</f>
        <v>0.012072434607646</v>
      </c>
      <c r="T107" s="154" t="n">
        <f aca="false">IFERROR(IF(OR(NOT(ISNUMBER('Price History'!T108)),NOT(ISNUMBER('Price History'!T107)),'Price History'!T107=0),"",'Price History'!T108/'Price History'!T107-1),"")</f>
        <v>-0.00134952766531704</v>
      </c>
      <c r="U107" s="154" t="n">
        <f aca="false">IFERROR(IF(OR(NOT(ISNUMBER('Price History'!U108)),NOT(ISNUMBER('Price History'!U107)),'Price History'!U107=0),"",'Price History'!U108/'Price History'!U107-1),"")</f>
        <v>-0.00570342205323204</v>
      </c>
      <c r="V107" s="155" t="n">
        <f aca="false">IFERROR(IF(OR(NOT(ISNUMBER('Price History'!V108)),NOT(ISNUMBER('Price History'!V107)),'Price History'!V107=0),"",'Price History'!V108/'Price History'!V107-1),"")</f>
        <v>0.00641444437845218</v>
      </c>
      <c r="W107" s="156" t="n">
        <f aca="false">IFERROR('Price History'!B3+(INDEX('Price History'!B:B,MATCH(9.99E+307,'Returns (Calc)'!$A:$A)+1)-'Price History'!B3)*(ROW()-3)/(MATCH(9.99E+307,'Returns (Calc)'!$A:$A)-3),"")</f>
        <v>337.214050632911</v>
      </c>
      <c r="X107" s="156" t="n">
        <f aca="false">IFERROR('Price History'!C3+(INDEX('Price History'!C:C,MATCH(9.99E+307,'Returns (Calc)'!$A:$A)+1)-'Price History'!C3)*(ROW()-3)/(MATCH(9.99E+307,'Returns (Calc)'!$A:$A)-3),"")</f>
        <v>152.266582278481</v>
      </c>
      <c r="Y107" s="156" t="n">
        <f aca="false">IFERROR('Price History'!D3+(INDEX('Price History'!D:D,MATCH(9.99E+307,'Returns (Calc)'!$A:$A)+1)-'Price History'!D3)*(ROW()-3)/(MATCH(9.99E+307,'Returns (Calc)'!$A:$A)-3),"")</f>
        <v>1428.03025316456</v>
      </c>
      <c r="Z107" s="156" t="n">
        <f aca="false">IFERROR('Price History'!E3+(INDEX('Price History'!E:E,MATCH(9.99E+307,'Returns (Calc)'!$A:$A)+1)-'Price History'!E3)*(ROW()-3)/(MATCH(9.99E+307,'Returns (Calc)'!$A:$A)-3),"")</f>
        <v>261.78835443038</v>
      </c>
      <c r="AA107" s="156" t="n">
        <f aca="false">IFERROR('Price History'!F3+(INDEX('Price History'!F:F,MATCH(9.99E+307,'Returns (Calc)'!$A:$A)+1)-'Price History'!F3)*(ROW()-3)/(MATCH(9.99E+307,'Returns (Calc)'!$A:$A)-3),"")</f>
        <v>191.883544303797</v>
      </c>
      <c r="AB107" s="156" t="n">
        <f aca="false">IFERROR('Price History'!G3+(INDEX('Price History'!G:G,MATCH(9.99E+307,'Returns (Calc)'!$A:$A)+1)-'Price History'!G3)*(ROW()-3)/(MATCH(9.99E+307,'Returns (Calc)'!$A:$A)-3),"")</f>
        <v>151.33835443038</v>
      </c>
      <c r="AC107" s="156" t="n">
        <f aca="false">IFERROR('Price History'!H3+(INDEX('Price History'!H:H,MATCH(9.99E+307,'Returns (Calc)'!$A:$A)+1)-'Price History'!H3)*(ROW()-3)/(MATCH(9.99E+307,'Returns (Calc)'!$A:$A)-3),"")</f>
        <v>731.142405063291</v>
      </c>
      <c r="AD107" s="156" t="n">
        <f aca="false">IFERROR('Price History'!I3+(INDEX('Price History'!I:I,MATCH(9.99E+307,'Returns (Calc)'!$A:$A)+1)-'Price History'!I3)*(ROW()-3)/(MATCH(9.99E+307,'Returns (Calc)'!$A:$A)-3),"")</f>
        <v>168.951772151899</v>
      </c>
      <c r="AE107" s="156" t="n">
        <f aca="false">IFERROR('Price History'!J3+(INDEX('Price History'!J:J,MATCH(9.99E+307,'Returns (Calc)'!$A:$A)+1)-'Price History'!J3)*(ROW()-3)/(MATCH(9.99E+307,'Returns (Calc)'!$A:$A)-3),"")</f>
        <v>123.075949367089</v>
      </c>
      <c r="AF107" s="156" t="n">
        <f aca="false">IFERROR('Price History'!K3+(INDEX('Price History'!K:K,MATCH(9.99E+307,'Returns (Calc)'!$A:$A)+1)-'Price History'!K3)*(ROW()-3)/(MATCH(9.99E+307,'Returns (Calc)'!$A:$A)-3),"")</f>
        <v>129.479873417722</v>
      </c>
      <c r="AG107" s="156" t="n">
        <f aca="false">IFERROR('Price History'!L3+(INDEX('Price History'!L:L,MATCH(9.99E+307,'Returns (Calc)'!$A:$A)+1)-'Price History'!L3)*(ROW()-3)/(MATCH(9.99E+307,'Returns (Calc)'!$A:$A)-3),"")</f>
        <v>340.503924050633</v>
      </c>
      <c r="AH107" s="156" t="n">
        <f aca="false">IFERROR('Price History'!M3+(INDEX('Price History'!M:M,MATCH(9.99E+307,'Returns (Calc)'!$A:$A)+1)-'Price History'!M3)*(ROW()-3)/(MATCH(9.99E+307,'Returns (Calc)'!$A:$A)-3),"")</f>
        <v>178.986075949367</v>
      </c>
      <c r="AI107" s="156" t="n">
        <f aca="false">IFERROR('Price History'!N3+(INDEX('Price History'!N:N,MATCH(9.99E+307,'Returns (Calc)'!$A:$A)+1)-'Price History'!N3)*(ROW()-3)/(MATCH(9.99E+307,'Returns (Calc)'!$A:$A)-3),"")</f>
        <v>451.47164556962</v>
      </c>
      <c r="AJ107" s="156" t="n">
        <f aca="false">IFERROR('Price History'!O3+(INDEX('Price History'!O:O,MATCH(9.99E+307,'Returns (Calc)'!$A:$A)+1)-'Price History'!O3)*(ROW()-3)/(MATCH(9.99E+307,'Returns (Calc)'!$A:$A)-3),"")</f>
        <v>104.745949367089</v>
      </c>
      <c r="AK107" s="156" t="n">
        <f aca="false">IFERROR('Price History'!Q3+(INDEX('Price History'!Q:Q,MATCH(9.99E+307,'Returns (Calc)'!$A:$A)+1)-'Price History'!Q3)*(ROW()-3)/(MATCH(9.99E+307,'Returns (Calc)'!$A:$A)-3),"")</f>
        <v>45.6941772151899</v>
      </c>
      <c r="AL107" s="156" t="n">
        <f aca="false">IFERROR('Price History'!R3+(INDEX('Price History'!R:R,MATCH(9.99E+307,'Returns (Calc)'!$A:$A)+1)-'Price History'!R3)*(ROW()-3)/(MATCH(9.99E+307,'Returns (Calc)'!$A:$A)-3),"")</f>
        <v>51.9625316455696</v>
      </c>
      <c r="AM107" s="156" t="n">
        <f aca="false">IFERROR('Price History'!S3+(INDEX('Price History'!S:S,MATCH(9.99E+307,'Returns (Calc)'!$A:$A)+1)-'Price History'!S3)*(ROW()-3)/(MATCH(9.99E+307,'Returns (Calc)'!$A:$A)-3),"")</f>
        <v>120.556582278481</v>
      </c>
      <c r="AN107" s="156" t="n">
        <f aca="false">IFERROR('Price History'!T3+(INDEX('Price History'!T:T,MATCH(9.99E+307,'Returns (Calc)'!$A:$A)+1)-'Price History'!T3)*(ROW()-3)/(MATCH(9.99E+307,'Returns (Calc)'!$A:$A)-3),"")</f>
        <v>42.7356962025316</v>
      </c>
      <c r="AO107" s="157" t="n">
        <f aca="false">IFERROR('Price History'!V3+(INDEX('Price History'!V:V,MATCH(9.99E+307,'Returns (Calc)'!$A:$A)+1)-'Price History'!V3)*(ROW()-3)/(MATCH(9.99E+307,'Returns (Calc)'!$A:$A)-3),"")</f>
        <v>317.928227848101</v>
      </c>
      <c r="AP107" s="155" t="n">
        <f aca="false">IFERROR(IF(OR(NOT(ISNUMBER('Price History'!W108)),NOT(ISNUMBER('Price History'!W107)),'Price History'!W107=0),"",'Price History'!W108/'Price History'!W107-1),"")</f>
        <v>-0.000583175389998636</v>
      </c>
      <c r="AQ107" s="155" t="str">
        <f aca="false">IFERROR(IF(OR(NOT(ISNUMBER('Price History'!X108)),NOT(ISNUMBER('Price History'!X107)),'Price History'!X107=0),"",'Price History'!X108/'Price History'!X107-1),"")</f>
        <v/>
      </c>
      <c r="AR107" s="155" t="n">
        <f aca="false">IFERROR(IF(OR(NOT(ISNUMBER('Price History'!Y108)),NOT(ISNUMBER('Price History'!Y107)),'Price History'!Y107=0),"",'Price History'!Y108/'Price History'!Y107-1),"")</f>
        <v>-0.000766136755410818</v>
      </c>
      <c r="AS107" s="155" t="n">
        <f aca="false">IFERROR(IF(OR(NOT(ISNUMBER('Price History'!Z108)),NOT(ISNUMBER('Price History'!Z107)),'Price History'!Z107=0),"",'Price History'!Z108/'Price History'!Z107-1),"")</f>
        <v>0.0690405680236916</v>
      </c>
      <c r="AT107" s="155" t="n">
        <f aca="false">IFERROR(IF(OR(NOT(ISNUMBER('Price History'!AA108)),NOT(ISNUMBER('Price History'!AA107)),'Price History'!AA107=0),"",'Price History'!AA108/'Price History'!AA107-1),"")</f>
        <v>0.0324806462470548</v>
      </c>
      <c r="AU107" s="155" t="n">
        <f aca="false">IFERROR(IF(OR(NOT(ISNUMBER('Price History'!AB108)),NOT(ISNUMBER('Price History'!AB107)),'Price History'!AB107=0),"",'Price History'!AB108/'Price History'!AB107-1),"")</f>
        <v>0.00491987121513593</v>
      </c>
    </row>
    <row r="108" customFormat="false" ht="15" hidden="false" customHeight="true" outlineLevel="0" collapsed="false">
      <c r="A108" s="153" t="n">
        <f aca="false">IF('Price History'!A109="","",'Price History'!A109)</f>
        <v>45926</v>
      </c>
      <c r="B108" s="154" t="n">
        <f aca="false">IFERROR(IF(OR(NOT(ISNUMBER('Price History'!B109)),NOT(ISNUMBER('Price History'!B108)),'Price History'!B108=0),"",'Price History'!B109/'Price History'!B108-1),"")</f>
        <v>-0.0151134189669307</v>
      </c>
      <c r="C108" s="154" t="n">
        <f aca="false">IFERROR(IF(OR(NOT(ISNUMBER('Price History'!C109)),NOT(ISNUMBER('Price History'!C108)),'Price History'!C108=0),"",'Price History'!C109/'Price History'!C108-1),"")</f>
        <v>-0.0475235612592742</v>
      </c>
      <c r="D108" s="154" t="n">
        <f aca="false">IFERROR(IF(OR(NOT(ISNUMBER('Price History'!D109)),NOT(ISNUMBER('Price History'!D108)),'Price History'!D108=0),"",'Price History'!D109/'Price History'!D108-1),"")</f>
        <v>0.0207764159602613</v>
      </c>
      <c r="E108" s="154" t="n">
        <f aca="false">IFERROR(IF(OR(NOT(ISNUMBER('Price History'!E109)),NOT(ISNUMBER('Price History'!E108)),'Price History'!E108=0),"",'Price History'!E109/'Price History'!E108-1),"")</f>
        <v>-0.028524618940347</v>
      </c>
      <c r="F108" s="154" t="n">
        <f aca="false">IFERROR(IF(OR(NOT(ISNUMBER('Price History'!F109)),NOT(ISNUMBER('Price History'!F108)),'Price History'!F108=0),"",'Price History'!F109/'Price History'!F108-1),"")</f>
        <v>-0.0420248328557784</v>
      </c>
      <c r="G108" s="154" t="n">
        <f aca="false">IFERROR(IF(OR(NOT(ISNUMBER('Price History'!G109)),NOT(ISNUMBER('Price History'!G108)),'Price History'!G108=0),"",'Price History'!G109/'Price History'!G108-1),"")</f>
        <v>0.0186682063125481</v>
      </c>
      <c r="H108" s="154" t="n">
        <f aca="false">IFERROR(IF(OR(NOT(ISNUMBER('Price History'!H109)),NOT(ISNUMBER('Price History'!H108)),'Price History'!H108=0),"",'Price History'!H109/'Price History'!H108-1),"")</f>
        <v>-0.0335446543977349</v>
      </c>
      <c r="I108" s="154" t="n">
        <f aca="false">IFERROR(IF(OR(NOT(ISNUMBER('Price History'!I109)),NOT(ISNUMBER('Price History'!I108)),'Price History'!I108=0),"",'Price History'!I109/'Price History'!I108-1),"")</f>
        <v>0.00856737588652479</v>
      </c>
      <c r="J108" s="154" t="n">
        <f aca="false">IFERROR(IF(OR(NOT(ISNUMBER('Price History'!J109)),NOT(ISNUMBER('Price History'!J108)),'Price History'!J108=0),"",'Price History'!J109/'Price History'!J108-1),"")</f>
        <v>0.00599727396637895</v>
      </c>
      <c r="K108" s="154" t="n">
        <f aca="false">IFERROR(IF(OR(NOT(ISNUMBER('Price History'!K109)),NOT(ISNUMBER('Price History'!K108)),'Price History'!K108=0),"",'Price History'!K109/'Price History'!K108-1),"")</f>
        <v>-0.0264268874390043</v>
      </c>
      <c r="L108" s="154" t="n">
        <f aca="false">IFERROR(IF(OR(NOT(ISNUMBER('Price History'!L109)),NOT(ISNUMBER('Price History'!L108)),'Price History'!L108=0),"",'Price History'!L109/'Price History'!L108-1),"")</f>
        <v>0.0320488363220144</v>
      </c>
      <c r="M108" s="154" t="n">
        <f aca="false">IFERROR(IF(OR(NOT(ISNUMBER('Price History'!M109)),NOT(ISNUMBER('Price History'!M108)),'Price History'!M108=0),"",'Price History'!M109/'Price History'!M108-1),"")</f>
        <v>-0.0347159288950853</v>
      </c>
      <c r="N108" s="154" t="n">
        <f aca="false">IFERROR(IF(OR(NOT(ISNUMBER('Price History'!N109)),NOT(ISNUMBER('Price History'!N108)),'Price History'!N108=0),"",'Price History'!N109/'Price History'!N108-1),"")</f>
        <v>0.00683858843182295</v>
      </c>
      <c r="O108" s="154" t="n">
        <f aca="false">IFERROR(IF(OR(NOT(ISNUMBER('Price History'!O109)),NOT(ISNUMBER('Price History'!O108)),'Price History'!O108=0),"",'Price History'!O109/'Price History'!O108-1),"")</f>
        <v>0.00303214069132807</v>
      </c>
      <c r="P108" s="154" t="n">
        <f aca="false">IFERROR(IF(OR(NOT(ISNUMBER('Price History'!P109)),NOT(ISNUMBER('Price History'!P108)),'Price History'!P108=0),"",'Price History'!P109/'Price History'!P108-1),"")</f>
        <v>0.00767754318618041</v>
      </c>
      <c r="Q108" s="154" t="n">
        <f aca="false">IFERROR(IF(OR(NOT(ISNUMBER('Price History'!Q109)),NOT(ISNUMBER('Price History'!Q108)),'Price History'!Q108=0),"",'Price History'!Q109/'Price History'!Q108-1),"")</f>
        <v>0.000310125600868405</v>
      </c>
      <c r="R108" s="154" t="n">
        <f aca="false">IFERROR(IF(OR(NOT(ISNUMBER('Price History'!R109)),NOT(ISNUMBER('Price History'!R108)),'Price History'!R108=0),"",'Price History'!R109/'Price History'!R108-1),"")</f>
        <v>0.00158510005944112</v>
      </c>
      <c r="S108" s="154" t="n">
        <f aca="false">IFERROR(IF(OR(NOT(ISNUMBER('Price History'!S109)),NOT(ISNUMBER('Price History'!S108)),'Price History'!S108=0),"",'Price History'!S109/'Price History'!S108-1),"")</f>
        <v>-0.00952617627567931</v>
      </c>
      <c r="T108" s="154" t="n">
        <f aca="false">IFERROR(IF(OR(NOT(ISNUMBER('Price History'!T109)),NOT(ISNUMBER('Price History'!T108)),'Price History'!T108=0),"",'Price History'!T109/'Price History'!T108-1),"")</f>
        <v>0.00783783783783787</v>
      </c>
      <c r="U108" s="154" t="n">
        <f aca="false">IFERROR(IF(OR(NOT(ISNUMBER('Price History'!U109)),NOT(ISNUMBER('Price History'!U108)),'Price History'!U108=0),"",'Price History'!U109/'Price History'!U108-1),"")</f>
        <v>0.00535372848948379</v>
      </c>
      <c r="V108" s="155" t="n">
        <f aca="false">IFERROR(IF(OR(NOT(ISNUMBER('Price History'!V109)),NOT(ISNUMBER('Price History'!V108)),'Price History'!V108=0),"",'Price History'!V109/'Price History'!V108-1),"")</f>
        <v>-0.0124225435231631</v>
      </c>
      <c r="W108" s="156" t="n">
        <f aca="false">IFERROR('Price History'!B3+(INDEX('Price History'!B:B,MATCH(9.99E+307,'Returns (Calc)'!$A:$A)+1)-'Price History'!B3)*(ROW()-3)/(MATCH(9.99E+307,'Returns (Calc)'!$A:$A)-3),"")</f>
        <v>335.371012658228</v>
      </c>
      <c r="X108" s="156" t="n">
        <f aca="false">IFERROR('Price History'!C3+(INDEX('Price History'!C:C,MATCH(9.99E+307,'Returns (Calc)'!$A:$A)+1)-'Price History'!C3)*(ROW()-3)/(MATCH(9.99E+307,'Returns (Calc)'!$A:$A)-3),"")</f>
        <v>153.28664556962</v>
      </c>
      <c r="Y108" s="156" t="n">
        <f aca="false">IFERROR('Price History'!D3+(INDEX('Price History'!D:D,MATCH(9.99E+307,'Returns (Calc)'!$A:$A)+1)-'Price History'!D3)*(ROW()-3)/(MATCH(9.99E+307,'Returns (Calc)'!$A:$A)-3),"")</f>
        <v>1436.16506329114</v>
      </c>
      <c r="Z108" s="156" t="n">
        <f aca="false">IFERROR('Price History'!E3+(INDEX('Price History'!E:E,MATCH(9.99E+307,'Returns (Calc)'!$A:$A)+1)-'Price History'!E3)*(ROW()-3)/(MATCH(9.99E+307,'Returns (Calc)'!$A:$A)-3),"")</f>
        <v>263.517088607595</v>
      </c>
      <c r="AA108" s="156" t="n">
        <f aca="false">IFERROR('Price History'!F3+(INDEX('Price History'!F:F,MATCH(9.99E+307,'Returns (Calc)'!$A:$A)+1)-'Price History'!F3)*(ROW()-3)/(MATCH(9.99E+307,'Returns (Calc)'!$A:$A)-3),"")</f>
        <v>193.330886075949</v>
      </c>
      <c r="AB108" s="156" t="n">
        <f aca="false">IFERROR('Price History'!G3+(INDEX('Price History'!G:G,MATCH(9.99E+307,'Returns (Calc)'!$A:$A)+1)-'Price History'!G3)*(ROW()-3)/(MATCH(9.99E+307,'Returns (Calc)'!$A:$A)-3),"")</f>
        <v>152.367088607595</v>
      </c>
      <c r="AC108" s="156" t="n">
        <f aca="false">IFERROR('Price History'!H3+(INDEX('Price History'!H:H,MATCH(9.99E+307,'Returns (Calc)'!$A:$A)+1)-'Price History'!H3)*(ROW()-3)/(MATCH(9.99E+307,'Returns (Calc)'!$A:$A)-3),"")</f>
        <v>737.508101265823</v>
      </c>
      <c r="AD108" s="156" t="n">
        <f aca="false">IFERROR('Price History'!I3+(INDEX('Price History'!I:I,MATCH(9.99E+307,'Returns (Calc)'!$A:$A)+1)-'Price History'!I3)*(ROW()-3)/(MATCH(9.99E+307,'Returns (Calc)'!$A:$A)-3),"")</f>
        <v>170.155443037975</v>
      </c>
      <c r="AE108" s="156" t="n">
        <f aca="false">IFERROR('Price History'!J3+(INDEX('Price History'!J:J,MATCH(9.99E+307,'Returns (Calc)'!$A:$A)+1)-'Price History'!J3)*(ROW()-3)/(MATCH(9.99E+307,'Returns (Calc)'!$A:$A)-3),"")</f>
        <v>123.183987341772</v>
      </c>
      <c r="AF108" s="156" t="n">
        <f aca="false">IFERROR('Price History'!K3+(INDEX('Price History'!K:K,MATCH(9.99E+307,'Returns (Calc)'!$A:$A)+1)-'Price History'!K3)*(ROW()-3)/(MATCH(9.99E+307,'Returns (Calc)'!$A:$A)-3),"")</f>
        <v>130.57746835443</v>
      </c>
      <c r="AG108" s="156" t="n">
        <f aca="false">IFERROR('Price History'!L3+(INDEX('Price History'!L:L,MATCH(9.99E+307,'Returns (Calc)'!$A:$A)+1)-'Price History'!L3)*(ROW()-3)/(MATCH(9.99E+307,'Returns (Calc)'!$A:$A)-3),"")</f>
        <v>342.953481012658</v>
      </c>
      <c r="AH108" s="156" t="n">
        <f aca="false">IFERROR('Price History'!M3+(INDEX('Price History'!M:M,MATCH(9.99E+307,'Returns (Calc)'!$A:$A)+1)-'Price History'!M3)*(ROW()-3)/(MATCH(9.99E+307,'Returns (Calc)'!$A:$A)-3),"")</f>
        <v>180.341518987342</v>
      </c>
      <c r="AI108" s="156" t="n">
        <f aca="false">IFERROR('Price History'!N3+(INDEX('Price History'!N:N,MATCH(9.99E+307,'Returns (Calc)'!$A:$A)+1)-'Price History'!N3)*(ROW()-3)/(MATCH(9.99E+307,'Returns (Calc)'!$A:$A)-3),"")</f>
        <v>452.457911392405</v>
      </c>
      <c r="AJ108" s="156" t="n">
        <f aca="false">IFERROR('Price History'!O3+(INDEX('Price History'!O:O,MATCH(9.99E+307,'Returns (Calc)'!$A:$A)+1)-'Price History'!O3)*(ROW()-3)/(MATCH(9.99E+307,'Returns (Calc)'!$A:$A)-3),"")</f>
        <v>105.028987341772</v>
      </c>
      <c r="AK108" s="156" t="n">
        <f aca="false">IFERROR('Price History'!Q3+(INDEX('Price History'!Q:Q,MATCH(9.99E+307,'Returns (Calc)'!$A:$A)+1)-'Price History'!Q3)*(ROW()-3)/(MATCH(9.99E+307,'Returns (Calc)'!$A:$A)-3),"")</f>
        <v>46.1335443037975</v>
      </c>
      <c r="AL108" s="156" t="n">
        <f aca="false">IFERROR('Price History'!R3+(INDEX('Price History'!R:R,MATCH(9.99E+307,'Returns (Calc)'!$A:$A)+1)-'Price History'!R3)*(ROW()-3)/(MATCH(9.99E+307,'Returns (Calc)'!$A:$A)-3),"")</f>
        <v>52.1306329113924</v>
      </c>
      <c r="AM108" s="156" t="n">
        <f aca="false">IFERROR('Price History'!S3+(INDEX('Price History'!S:S,MATCH(9.99E+307,'Returns (Calc)'!$A:$A)+1)-'Price History'!S3)*(ROW()-3)/(MATCH(9.99E+307,'Returns (Calc)'!$A:$A)-3),"")</f>
        <v>121.16164556962</v>
      </c>
      <c r="AN108" s="156" t="n">
        <f aca="false">IFERROR('Price History'!T3+(INDEX('Price History'!T:T,MATCH(9.99E+307,'Returns (Calc)'!$A:$A)+1)-'Price History'!T3)*(ROW()-3)/(MATCH(9.99E+307,'Returns (Calc)'!$A:$A)-3),"")</f>
        <v>42.9039240506329</v>
      </c>
      <c r="AO108" s="157" t="n">
        <f aca="false">IFERROR('Price History'!V3+(INDEX('Price History'!V:V,MATCH(9.99E+307,'Returns (Calc)'!$A:$A)+1)-'Price History'!V3)*(ROW()-3)/(MATCH(9.99E+307,'Returns (Calc)'!$A:$A)-3),"")</f>
        <v>318.719556962025</v>
      </c>
      <c r="AP108" s="155" t="n">
        <f aca="false">IFERROR(IF(OR(NOT(ISNUMBER('Price History'!W109)),NOT(ISNUMBER('Price History'!W108)),'Price History'!W108=0),"",'Price History'!W109/'Price History'!W108-1),"")</f>
        <v>0.00233406272793579</v>
      </c>
      <c r="AQ108" s="155" t="str">
        <f aca="false">IFERROR(IF(OR(NOT(ISNUMBER('Price History'!X109)),NOT(ISNUMBER('Price History'!X108)),'Price History'!X108=0),"",'Price History'!X109/'Price History'!X108-1),"")</f>
        <v/>
      </c>
      <c r="AR108" s="155" t="n">
        <f aca="false">IFERROR(IF(OR(NOT(ISNUMBER('Price History'!Y109)),NOT(ISNUMBER('Price History'!Y108)),'Price History'!Y108=0),"",'Price History'!Y109/'Price History'!Y108-1),"")</f>
        <v>0.0013417672992142</v>
      </c>
      <c r="AS108" s="155" t="n">
        <f aca="false">IFERROR(IF(OR(NOT(ISNUMBER('Price History'!Z109)),NOT(ISNUMBER('Price History'!Z108)),'Price History'!Z108=0),"",'Price History'!Z109/'Price History'!Z108-1),"")</f>
        <v>-0.020459248381283</v>
      </c>
      <c r="AT108" s="155" t="n">
        <f aca="false">IFERROR(IF(OR(NOT(ISNUMBER('Price History'!AA109)),NOT(ISNUMBER('Price History'!AA108)),'Price History'!AA108=0),"",'Price History'!AA109/'Price History'!AA108-1),"")</f>
        <v>-0.0133659331703342</v>
      </c>
      <c r="AU108" s="155" t="n">
        <f aca="false">IFERROR(IF(OR(NOT(ISNUMBER('Price History'!AB109)),NOT(ISNUMBER('Price History'!AB108)),'Price History'!AB108=0),"",'Price History'!AB109/'Price History'!AB108-1),"")</f>
        <v>0.0449260232549766</v>
      </c>
    </row>
    <row r="109" customFormat="false" ht="15" hidden="false" customHeight="true" outlineLevel="0" collapsed="false">
      <c r="A109" s="153" t="n">
        <f aca="false">IF('Price History'!A110="","",'Price History'!A110)</f>
        <v>45933</v>
      </c>
      <c r="B109" s="154" t="n">
        <f aca="false">IFERROR(IF(OR(NOT(ISNUMBER('Price History'!B110)),NOT(ISNUMBER('Price History'!B109)),'Price History'!B109=0),"",'Price History'!B110/'Price History'!B109-1),"")</f>
        <v>-0.0378222382551267</v>
      </c>
      <c r="C109" s="154" t="n">
        <f aca="false">IFERROR(IF(OR(NOT(ISNUMBER('Price History'!C110)),NOT(ISNUMBER('Price History'!C109)),'Price History'!C109=0),"",'Price History'!C110/'Price History'!C109-1),"")</f>
        <v>0.0210526315789474</v>
      </c>
      <c r="D109" s="154" t="n">
        <f aca="false">IFERROR(IF(OR(NOT(ISNUMBER('Price History'!D110)),NOT(ISNUMBER('Price History'!D109)),'Price History'!D109=0),"",'Price History'!D110/'Price History'!D109-1),"")</f>
        <v>0.0848205312655377</v>
      </c>
      <c r="E109" s="154" t="n">
        <f aca="false">IFERROR(IF(OR(NOT(ISNUMBER('Price History'!E110)),NOT(ISNUMBER('Price History'!E109)),'Price History'!E109=0),"",'Price History'!E110/'Price History'!E109-1),"")</f>
        <v>0.0114738300307173</v>
      </c>
      <c r="F109" s="154" t="n">
        <f aca="false">IFERROR(IF(OR(NOT(ISNUMBER('Price History'!F110)),NOT(ISNUMBER('Price History'!F109)),'Price History'!F109=0),"",'Price History'!F110/'Price History'!F109-1),"")</f>
        <v>0.0175307411100034</v>
      </c>
      <c r="G109" s="154" t="n">
        <f aca="false">IFERROR(IF(OR(NOT(ISNUMBER('Price History'!G110)),NOT(ISNUMBER('Price History'!G109)),'Price History'!G109=0),"",'Price History'!G110/'Price History'!G109-1),"")</f>
        <v>0.0349518231626678</v>
      </c>
      <c r="H109" s="154" t="n">
        <f aca="false">IFERROR(IF(OR(NOT(ISNUMBER('Price History'!H110)),NOT(ISNUMBER('Price History'!H109)),'Price History'!H109=0),"",'Price History'!H110/'Price History'!H109-1),"")</f>
        <v>0.195070691631639</v>
      </c>
      <c r="I109" s="154" t="n">
        <f aca="false">IFERROR(IF(OR(NOT(ISNUMBER('Price History'!I110)),NOT(ISNUMBER('Price History'!I109)),'Price History'!I109=0),"",'Price History'!I110/'Price History'!I109-1),"")</f>
        <v>0.0529365436543654</v>
      </c>
      <c r="J109" s="154" t="n">
        <f aca="false">IFERROR(IF(OR(NOT(ISNUMBER('Price History'!J110)),NOT(ISNUMBER('Price History'!J109)),'Price History'!J109=0),"",'Price History'!J110/'Price History'!J109-1),"")</f>
        <v>0.0252009755216331</v>
      </c>
      <c r="K109" s="154" t="n">
        <f aca="false">IFERROR(IF(OR(NOT(ISNUMBER('Price History'!K110)),NOT(ISNUMBER('Price History'!K109)),'Price History'!K109=0),"",'Price History'!K110/'Price History'!K109-1),"")</f>
        <v>-0.025342118601115</v>
      </c>
      <c r="L109" s="154" t="n">
        <f aca="false">IFERROR(IF(OR(NOT(ISNUMBER('Price History'!L110)),NOT(ISNUMBER('Price History'!L109)),'Price History'!L109=0),"",'Price History'!L110/'Price History'!L109-1),"")</f>
        <v>0.0688724584103513</v>
      </c>
      <c r="M109" s="154" t="n">
        <f aca="false">IFERROR(IF(OR(NOT(ISNUMBER('Price History'!M110)),NOT(ISNUMBER('Price History'!M109)),'Price History'!M109=0),"",'Price History'!M110/'Price History'!M109-1),"")</f>
        <v>0.155701596013577</v>
      </c>
      <c r="N109" s="154" t="n">
        <f aca="false">IFERROR(IF(OR(NOT(ISNUMBER('Price History'!N110)),NOT(ISNUMBER('Price History'!N109)),'Price History'!N109=0),"",'Price History'!N110/'Price History'!N109-1),"")</f>
        <v>0.0455228910665215</v>
      </c>
      <c r="O109" s="154" t="n">
        <f aca="false">IFERROR(IF(OR(NOT(ISNUMBER('Price History'!O110)),NOT(ISNUMBER('Price History'!O109)),'Price History'!O109=0),"",'Price History'!O110/'Price History'!O109-1),"")</f>
        <v>0.00110842402257161</v>
      </c>
      <c r="P109" s="154" t="n">
        <f aca="false">IFERROR(IF(OR(NOT(ISNUMBER('Price History'!P110)),NOT(ISNUMBER('Price History'!P109)),'Price History'!P109=0),"",'Price History'!P110/'Price History'!P109-1),"")</f>
        <v>0.0123809523809524</v>
      </c>
      <c r="Q109" s="154" t="n">
        <f aca="false">IFERROR(IF(OR(NOT(ISNUMBER('Price History'!Q110)),NOT(ISNUMBER('Price History'!Q109)),'Price History'!Q109=0),"",'Price History'!Q110/'Price History'!Q109-1),"")</f>
        <v>0.003255309254379</v>
      </c>
      <c r="R109" s="154" t="n">
        <f aca="false">IFERROR(IF(OR(NOT(ISNUMBER('Price History'!R110)),NOT(ISNUMBER('Price History'!R109)),'Price History'!R109=0),"",'Price History'!R110/'Price History'!R109-1),"")</f>
        <v>0.00830860534124622</v>
      </c>
      <c r="S109" s="154" t="n">
        <f aca="false">IFERROR(IF(OR(NOT(ISNUMBER('Price History'!S110)),NOT(ISNUMBER('Price History'!S109)),'Price History'!S109=0),"",'Price History'!S110/'Price History'!S109-1),"")</f>
        <v>-0.00409801789746589</v>
      </c>
      <c r="T109" s="154" t="n">
        <f aca="false">IFERROR(IF(OR(NOT(ISNUMBER('Price History'!T110)),NOT(ISNUMBER('Price History'!T109)),'Price History'!T109=0),"",'Price History'!T110/'Price History'!T109-1),"")</f>
        <v>0.00348618932689737</v>
      </c>
      <c r="U109" s="154" t="n">
        <f aca="false">IFERROR(IF(OR(NOT(ISNUMBER('Price History'!U110)),NOT(ISNUMBER('Price History'!U109)),'Price History'!U109=0),"",'Price History'!U110/'Price History'!U109-1),"")</f>
        <v>0.00722708254089022</v>
      </c>
      <c r="V109" s="155" t="n">
        <f aca="false">IFERROR(IF(OR(NOT(ISNUMBER('Price History'!V110)),NOT(ISNUMBER('Price History'!V109)),'Price History'!V109=0),"",'Price History'!V110/'Price History'!V109-1),"")</f>
        <v>0.0369595745316562</v>
      </c>
      <c r="W109" s="156" t="n">
        <f aca="false">IFERROR('Price History'!B3+(INDEX('Price History'!B:B,MATCH(9.99E+307,'Returns (Calc)'!$A:$A)+1)-'Price History'!B3)*(ROW()-3)/(MATCH(9.99E+307,'Returns (Calc)'!$A:$A)-3),"")</f>
        <v>333.527974683544</v>
      </c>
      <c r="X109" s="156" t="n">
        <f aca="false">IFERROR('Price History'!C3+(INDEX('Price History'!C:C,MATCH(9.99E+307,'Returns (Calc)'!$A:$A)+1)-'Price History'!C3)*(ROW()-3)/(MATCH(9.99E+307,'Returns (Calc)'!$A:$A)-3),"")</f>
        <v>154.30670886076</v>
      </c>
      <c r="Y109" s="156" t="n">
        <f aca="false">IFERROR('Price History'!D3+(INDEX('Price History'!D:D,MATCH(9.99E+307,'Returns (Calc)'!$A:$A)+1)-'Price History'!D3)*(ROW()-3)/(MATCH(9.99E+307,'Returns (Calc)'!$A:$A)-3),"")</f>
        <v>1444.29987341772</v>
      </c>
      <c r="Z109" s="156" t="n">
        <f aca="false">IFERROR('Price History'!E3+(INDEX('Price History'!E:E,MATCH(9.99E+307,'Returns (Calc)'!$A:$A)+1)-'Price History'!E3)*(ROW()-3)/(MATCH(9.99E+307,'Returns (Calc)'!$A:$A)-3),"")</f>
        <v>265.24582278481</v>
      </c>
      <c r="AA109" s="156" t="n">
        <f aca="false">IFERROR('Price History'!F3+(INDEX('Price History'!F:F,MATCH(9.99E+307,'Returns (Calc)'!$A:$A)+1)-'Price History'!F3)*(ROW()-3)/(MATCH(9.99E+307,'Returns (Calc)'!$A:$A)-3),"")</f>
        <v>194.778227848101</v>
      </c>
      <c r="AB109" s="156" t="n">
        <f aca="false">IFERROR('Price History'!G3+(INDEX('Price History'!G:G,MATCH(9.99E+307,'Returns (Calc)'!$A:$A)+1)-'Price History'!G3)*(ROW()-3)/(MATCH(9.99E+307,'Returns (Calc)'!$A:$A)-3),"")</f>
        <v>153.39582278481</v>
      </c>
      <c r="AC109" s="156" t="n">
        <f aca="false">IFERROR('Price History'!H3+(INDEX('Price History'!H:H,MATCH(9.99E+307,'Returns (Calc)'!$A:$A)+1)-'Price History'!H3)*(ROW()-3)/(MATCH(9.99E+307,'Returns (Calc)'!$A:$A)-3),"")</f>
        <v>743.873797468355</v>
      </c>
      <c r="AD109" s="156" t="n">
        <f aca="false">IFERROR('Price History'!I3+(INDEX('Price History'!I:I,MATCH(9.99E+307,'Returns (Calc)'!$A:$A)+1)-'Price History'!I3)*(ROW()-3)/(MATCH(9.99E+307,'Returns (Calc)'!$A:$A)-3),"")</f>
        <v>171.359113924051</v>
      </c>
      <c r="AE109" s="156" t="n">
        <f aca="false">IFERROR('Price History'!J3+(INDEX('Price History'!J:J,MATCH(9.99E+307,'Returns (Calc)'!$A:$A)+1)-'Price History'!J3)*(ROW()-3)/(MATCH(9.99E+307,'Returns (Calc)'!$A:$A)-3),"")</f>
        <v>123.292025316456</v>
      </c>
      <c r="AF109" s="156" t="n">
        <f aca="false">IFERROR('Price History'!K3+(INDEX('Price History'!K:K,MATCH(9.99E+307,'Returns (Calc)'!$A:$A)+1)-'Price History'!K3)*(ROW()-3)/(MATCH(9.99E+307,'Returns (Calc)'!$A:$A)-3),"")</f>
        <v>131.675063291139</v>
      </c>
      <c r="AG109" s="156" t="n">
        <f aca="false">IFERROR('Price History'!L3+(INDEX('Price History'!L:L,MATCH(9.99E+307,'Returns (Calc)'!$A:$A)+1)-'Price History'!L3)*(ROW()-3)/(MATCH(9.99E+307,'Returns (Calc)'!$A:$A)-3),"")</f>
        <v>345.403037974684</v>
      </c>
      <c r="AH109" s="156" t="n">
        <f aca="false">IFERROR('Price History'!M3+(INDEX('Price History'!M:M,MATCH(9.99E+307,'Returns (Calc)'!$A:$A)+1)-'Price History'!M3)*(ROW()-3)/(MATCH(9.99E+307,'Returns (Calc)'!$A:$A)-3),"")</f>
        <v>181.696962025316</v>
      </c>
      <c r="AI109" s="156" t="n">
        <f aca="false">IFERROR('Price History'!N3+(INDEX('Price History'!N:N,MATCH(9.99E+307,'Returns (Calc)'!$A:$A)+1)-'Price History'!N3)*(ROW()-3)/(MATCH(9.99E+307,'Returns (Calc)'!$A:$A)-3),"")</f>
        <v>453.44417721519</v>
      </c>
      <c r="AJ109" s="156" t="n">
        <f aca="false">IFERROR('Price History'!O3+(INDEX('Price History'!O:O,MATCH(9.99E+307,'Returns (Calc)'!$A:$A)+1)-'Price History'!O3)*(ROW()-3)/(MATCH(9.99E+307,'Returns (Calc)'!$A:$A)-3),"")</f>
        <v>105.312025316456</v>
      </c>
      <c r="AK109" s="156" t="n">
        <f aca="false">IFERROR('Price History'!Q3+(INDEX('Price History'!Q:Q,MATCH(9.99E+307,'Returns (Calc)'!$A:$A)+1)-'Price History'!Q3)*(ROW()-3)/(MATCH(9.99E+307,'Returns (Calc)'!$A:$A)-3),"")</f>
        <v>46.5729113924051</v>
      </c>
      <c r="AL109" s="156" t="n">
        <f aca="false">IFERROR('Price History'!R3+(INDEX('Price History'!R:R,MATCH(9.99E+307,'Returns (Calc)'!$A:$A)+1)-'Price History'!R3)*(ROW()-3)/(MATCH(9.99E+307,'Returns (Calc)'!$A:$A)-3),"")</f>
        <v>52.2987341772152</v>
      </c>
      <c r="AM109" s="156" t="n">
        <f aca="false">IFERROR('Price History'!S3+(INDEX('Price History'!S:S,MATCH(9.99E+307,'Returns (Calc)'!$A:$A)+1)-'Price History'!S3)*(ROW()-3)/(MATCH(9.99E+307,'Returns (Calc)'!$A:$A)-3),"")</f>
        <v>121.766708860759</v>
      </c>
      <c r="AN109" s="156" t="n">
        <f aca="false">IFERROR('Price History'!T3+(INDEX('Price History'!T:T,MATCH(9.99E+307,'Returns (Calc)'!$A:$A)+1)-'Price History'!T3)*(ROW()-3)/(MATCH(9.99E+307,'Returns (Calc)'!$A:$A)-3),"")</f>
        <v>43.0721518987342</v>
      </c>
      <c r="AO109" s="157" t="n">
        <f aca="false">IFERROR('Price History'!V3+(INDEX('Price History'!V:V,MATCH(9.99E+307,'Returns (Calc)'!$A:$A)+1)-'Price History'!V3)*(ROW()-3)/(MATCH(9.99E+307,'Returns (Calc)'!$A:$A)-3),"")</f>
        <v>319.510886075949</v>
      </c>
      <c r="AP109" s="155" t="n">
        <f aca="false">IFERROR(IF(OR(NOT(ISNUMBER('Price History'!W110)),NOT(ISNUMBER('Price History'!W109)),'Price History'!W109=0),"",'Price History'!W110/'Price History'!W109-1),"")</f>
        <v>0.00545772085577068</v>
      </c>
      <c r="AQ109" s="155" t="str">
        <f aca="false">IFERROR(IF(OR(NOT(ISNUMBER('Price History'!X110)),NOT(ISNUMBER('Price History'!X109)),'Price History'!X109=0),"",'Price History'!X110/'Price History'!X109-1),"")</f>
        <v/>
      </c>
      <c r="AR109" s="155" t="n">
        <f aca="false">IFERROR(IF(OR(NOT(ISNUMBER('Price History'!Y110)),NOT(ISNUMBER('Price History'!Y109)),'Price History'!Y109=0),"",'Price History'!Y110/'Price History'!Y109-1),"")</f>
        <v>0.00803981623277172</v>
      </c>
      <c r="AS109" s="155" t="n">
        <f aca="false">IFERROR(IF(OR(NOT(ISNUMBER('Price History'!Z110)),NOT(ISNUMBER('Price History'!Z109)),'Price History'!Z109=0),"",'Price History'!Z110/'Price History'!Z109-1),"")</f>
        <v>0.00807523254625364</v>
      </c>
      <c r="AT109" s="155" t="n">
        <f aca="false">IFERROR(IF(OR(NOT(ISNUMBER('Price History'!AA110)),NOT(ISNUMBER('Price History'!AA109)),'Price History'!AA109=0),"",'Price History'!AA110/'Price History'!AA109-1),"")</f>
        <v>-0.0473319015364283</v>
      </c>
      <c r="AU109" s="155" t="n">
        <f aca="false">IFERROR(IF(OR(NOT(ISNUMBER('Price History'!AB110)),NOT(ISNUMBER('Price History'!AB109)),'Price History'!AB109=0),"",'Price History'!AB110/'Price History'!AB109-1),"")</f>
        <v>0.0207048609914906</v>
      </c>
    </row>
    <row r="110" customFormat="false" ht="15" hidden="false" customHeight="true" outlineLevel="0" collapsed="false">
      <c r="A110" s="153" t="n">
        <f aca="false">IF('Price History'!A111="","",'Price History'!A111)</f>
        <v>45940</v>
      </c>
      <c r="B110" s="154" t="n">
        <f aca="false">IFERROR(IF(OR(NOT(ISNUMBER('Price History'!B111)),NOT(ISNUMBER('Price History'!B110)),'Price History'!B110=0),"",'Price History'!B111/'Price History'!B110-1),"")</f>
        <v>-0.026619368979639</v>
      </c>
      <c r="C110" s="154" t="n">
        <f aca="false">IFERROR(IF(OR(NOT(ISNUMBER('Price History'!C111)),NOT(ISNUMBER('Price History'!C110)),'Price History'!C110=0),"",'Price History'!C111/'Price History'!C110-1),"")</f>
        <v>0.059106529209622</v>
      </c>
      <c r="D110" s="154" t="n">
        <f aca="false">IFERROR(IF(OR(NOT(ISNUMBER('Price History'!D111)),NOT(ISNUMBER('Price History'!D110)),'Price History'!D110=0),"",'Price History'!D111/'Price History'!D110-1),"")</f>
        <v>-0.0930402644640995</v>
      </c>
      <c r="E110" s="154" t="n">
        <f aca="false">IFERROR(IF(OR(NOT(ISNUMBER('Price History'!E111)),NOT(ISNUMBER('Price History'!E110)),'Price History'!E110=0),"",'Price History'!E111/'Price History'!E110-1),"")</f>
        <v>-0.040610950665436</v>
      </c>
      <c r="F110" s="154" t="n">
        <f aca="false">IFERROR(IF(OR(NOT(ISNUMBER('Price History'!F111)),NOT(ISNUMBER('Price History'!F110)),'Price History'!F110=0),"",'Price History'!F111/'Price History'!F110-1),"")</f>
        <v>0.00775700171470573</v>
      </c>
      <c r="G110" s="154" t="n">
        <f aca="false">IFERROR(IF(OR(NOT(ISNUMBER('Price History'!G111)),NOT(ISNUMBER('Price History'!G110)),'Price History'!G110=0),"",'Price History'!G111/'Price History'!G110-1),"")</f>
        <v>-0.107794815626141</v>
      </c>
      <c r="H110" s="154" t="n">
        <f aca="false">IFERROR(IF(OR(NOT(ISNUMBER('Price History'!H111)),NOT(ISNUMBER('Price History'!H110)),'Price History'!H110=0),"",'Price History'!H111/'Price History'!H110-1),"")</f>
        <v>-0.0332001065814016</v>
      </c>
      <c r="I110" s="154" t="n">
        <f aca="false">IFERROR(IF(OR(NOT(ISNUMBER('Price History'!I111)),NOT(ISNUMBER('Price History'!I110)),'Price History'!I110=0),"",'Price History'!I111/'Price History'!I110-1),"")</f>
        <v>-0.0237751776459902</v>
      </c>
      <c r="J110" s="154" t="n">
        <f aca="false">IFERROR(IF(OR(NOT(ISNUMBER('Price History'!J111)),NOT(ISNUMBER('Price History'!J110)),'Price History'!J110=0),"",'Price History'!J111/'Price History'!J110-1),"")</f>
        <v>-0.0498678414096916</v>
      </c>
      <c r="K110" s="154" t="n">
        <f aca="false">IFERROR(IF(OR(NOT(ISNUMBER('Price History'!K111)),NOT(ISNUMBER('Price History'!K110)),'Price History'!K110=0),"",'Price History'!K111/'Price History'!K110-1),"")</f>
        <v>0.0136938810885769</v>
      </c>
      <c r="L110" s="154" t="n">
        <f aca="false">IFERROR(IF(OR(NOT(ISNUMBER('Price History'!L111)),NOT(ISNUMBER('Price History'!L110)),'Price History'!L110=0),"",'Price History'!L111/'Price History'!L110-1),"")</f>
        <v>-0.0394632172379206</v>
      </c>
      <c r="M110" s="154" t="n">
        <f aca="false">IFERROR(IF(OR(NOT(ISNUMBER('Price History'!M111)),NOT(ISNUMBER('Price History'!M110)),'Price History'!M110=0),"",'Price History'!M111/'Price History'!M110-1),"")</f>
        <v>0.0549896894332314</v>
      </c>
      <c r="N110" s="154" t="n">
        <f aca="false">IFERROR(IF(OR(NOT(ISNUMBER('Price History'!N111)),NOT(ISNUMBER('Price History'!N110)),'Price History'!N110=0),"",'Price History'!N111/'Price History'!N110-1),"")</f>
        <v>0.0111331515001241</v>
      </c>
      <c r="O110" s="154" t="n">
        <f aca="false">IFERROR(IF(OR(NOT(ISNUMBER('Price History'!O111)),NOT(ISNUMBER('Price History'!O110)),'Price History'!O110=0),"",'Price History'!O111/'Price History'!O110-1),"")</f>
        <v>-0.054353296426774</v>
      </c>
      <c r="P110" s="154" t="n">
        <f aca="false">IFERROR(IF(OR(NOT(ISNUMBER('Price History'!P111)),NOT(ISNUMBER('Price History'!P110)),'Price History'!P110=0),"",'Price History'!P111/'Price History'!P110-1),"")</f>
        <v>-0.0345900571676677</v>
      </c>
      <c r="Q110" s="154" t="n">
        <f aca="false">IFERROR(IF(OR(NOT(ISNUMBER('Price History'!Q111)),NOT(ISNUMBER('Price History'!Q110)),'Price History'!Q110=0),"",'Price History'!Q111/'Price History'!Q110-1),"")</f>
        <v>-0.0126699629171817</v>
      </c>
      <c r="R110" s="154" t="n">
        <f aca="false">IFERROR(IF(OR(NOT(ISNUMBER('Price History'!R111)),NOT(ISNUMBER('Price History'!R110)),'Price History'!R110=0),"",'Price History'!R111/'Price History'!R110-1),"")</f>
        <v>-0.0166764763586423</v>
      </c>
      <c r="S110" s="154" t="n">
        <f aca="false">IFERROR(IF(OR(NOT(ISNUMBER('Price History'!S111)),NOT(ISNUMBER('Price History'!S110)),'Price History'!S110=0),"",'Price History'!S111/'Price History'!S110-1),"")</f>
        <v>-0.0131844138394356</v>
      </c>
      <c r="T110" s="154" t="n">
        <f aca="false">IFERROR(IF(OR(NOT(ISNUMBER('Price History'!T111)),NOT(ISNUMBER('Price History'!T110)),'Price History'!T110=0),"",'Price History'!T111/'Price History'!T110-1),"")</f>
        <v>-0.0331373597006949</v>
      </c>
      <c r="U110" s="154" t="n">
        <f aca="false">IFERROR(IF(OR(NOT(ISNUMBER('Price History'!U111)),NOT(ISNUMBER('Price History'!U110)),'Price History'!U110=0),"",'Price History'!U111/'Price History'!U110-1),"")</f>
        <v>-0.0317220543806647</v>
      </c>
      <c r="V110" s="155" t="n">
        <f aca="false">IFERROR(IF(OR(NOT(ISNUMBER('Price History'!V111)),NOT(ISNUMBER('Price History'!V110)),'Price History'!V110=0),"",'Price History'!V111/'Price History'!V110-1),"")</f>
        <v>-0.0176914654526594</v>
      </c>
      <c r="W110" s="156" t="n">
        <f aca="false">IFERROR('Price History'!B3+(INDEX('Price History'!B:B,MATCH(9.99E+307,'Returns (Calc)'!$A:$A)+1)-'Price History'!B3)*(ROW()-3)/(MATCH(9.99E+307,'Returns (Calc)'!$A:$A)-3),"")</f>
        <v>331.684936708861</v>
      </c>
      <c r="X110" s="156" t="n">
        <f aca="false">IFERROR('Price History'!C3+(INDEX('Price History'!C:C,MATCH(9.99E+307,'Returns (Calc)'!$A:$A)+1)-'Price History'!C3)*(ROW()-3)/(MATCH(9.99E+307,'Returns (Calc)'!$A:$A)-3),"")</f>
        <v>155.326772151899</v>
      </c>
      <c r="Y110" s="156" t="n">
        <f aca="false">IFERROR('Price History'!D3+(INDEX('Price History'!D:D,MATCH(9.99E+307,'Returns (Calc)'!$A:$A)+1)-'Price History'!D3)*(ROW()-3)/(MATCH(9.99E+307,'Returns (Calc)'!$A:$A)-3),"")</f>
        <v>1452.4346835443</v>
      </c>
      <c r="Z110" s="156" t="n">
        <f aca="false">IFERROR('Price History'!E3+(INDEX('Price History'!E:E,MATCH(9.99E+307,'Returns (Calc)'!$A:$A)+1)-'Price History'!E3)*(ROW()-3)/(MATCH(9.99E+307,'Returns (Calc)'!$A:$A)-3),"")</f>
        <v>266.974556962025</v>
      </c>
      <c r="AA110" s="156" t="n">
        <f aca="false">IFERROR('Price History'!F3+(INDEX('Price History'!F:F,MATCH(9.99E+307,'Returns (Calc)'!$A:$A)+1)-'Price History'!F3)*(ROW()-3)/(MATCH(9.99E+307,'Returns (Calc)'!$A:$A)-3),"")</f>
        <v>196.225569620253</v>
      </c>
      <c r="AB110" s="156" t="n">
        <f aca="false">IFERROR('Price History'!G3+(INDEX('Price History'!G:G,MATCH(9.99E+307,'Returns (Calc)'!$A:$A)+1)-'Price History'!G3)*(ROW()-3)/(MATCH(9.99E+307,'Returns (Calc)'!$A:$A)-3),"")</f>
        <v>154.424556962025</v>
      </c>
      <c r="AC110" s="156" t="n">
        <f aca="false">IFERROR('Price History'!H3+(INDEX('Price History'!H:H,MATCH(9.99E+307,'Returns (Calc)'!$A:$A)+1)-'Price History'!H3)*(ROW()-3)/(MATCH(9.99E+307,'Returns (Calc)'!$A:$A)-3),"")</f>
        <v>750.239493670886</v>
      </c>
      <c r="AD110" s="156" t="n">
        <f aca="false">IFERROR('Price History'!I3+(INDEX('Price History'!I:I,MATCH(9.99E+307,'Returns (Calc)'!$A:$A)+1)-'Price History'!I3)*(ROW()-3)/(MATCH(9.99E+307,'Returns (Calc)'!$A:$A)-3),"")</f>
        <v>172.562784810127</v>
      </c>
      <c r="AE110" s="156" t="n">
        <f aca="false">IFERROR('Price History'!J3+(INDEX('Price History'!J:J,MATCH(9.99E+307,'Returns (Calc)'!$A:$A)+1)-'Price History'!J3)*(ROW()-3)/(MATCH(9.99E+307,'Returns (Calc)'!$A:$A)-3),"")</f>
        <v>123.400063291139</v>
      </c>
      <c r="AF110" s="156" t="n">
        <f aca="false">IFERROR('Price History'!K3+(INDEX('Price History'!K:K,MATCH(9.99E+307,'Returns (Calc)'!$A:$A)+1)-'Price History'!K3)*(ROW()-3)/(MATCH(9.99E+307,'Returns (Calc)'!$A:$A)-3),"")</f>
        <v>132.772658227848</v>
      </c>
      <c r="AG110" s="156" t="n">
        <f aca="false">IFERROR('Price History'!L3+(INDEX('Price History'!L:L,MATCH(9.99E+307,'Returns (Calc)'!$A:$A)+1)-'Price History'!L3)*(ROW()-3)/(MATCH(9.99E+307,'Returns (Calc)'!$A:$A)-3),"")</f>
        <v>347.852594936709</v>
      </c>
      <c r="AH110" s="156" t="n">
        <f aca="false">IFERROR('Price History'!M3+(INDEX('Price History'!M:M,MATCH(9.99E+307,'Returns (Calc)'!$A:$A)+1)-'Price History'!M3)*(ROW()-3)/(MATCH(9.99E+307,'Returns (Calc)'!$A:$A)-3),"")</f>
        <v>183.052405063291</v>
      </c>
      <c r="AI110" s="156" t="n">
        <f aca="false">IFERROR('Price History'!N3+(INDEX('Price History'!N:N,MATCH(9.99E+307,'Returns (Calc)'!$A:$A)+1)-'Price History'!N3)*(ROW()-3)/(MATCH(9.99E+307,'Returns (Calc)'!$A:$A)-3),"")</f>
        <v>454.430443037975</v>
      </c>
      <c r="AJ110" s="156" t="n">
        <f aca="false">IFERROR('Price History'!O3+(INDEX('Price History'!O:O,MATCH(9.99E+307,'Returns (Calc)'!$A:$A)+1)-'Price History'!O3)*(ROW()-3)/(MATCH(9.99E+307,'Returns (Calc)'!$A:$A)-3),"")</f>
        <v>105.595063291139</v>
      </c>
      <c r="AK110" s="156" t="n">
        <f aca="false">IFERROR('Price History'!Q3+(INDEX('Price History'!Q:Q,MATCH(9.99E+307,'Returns (Calc)'!$A:$A)+1)-'Price History'!Q3)*(ROW()-3)/(MATCH(9.99E+307,'Returns (Calc)'!$A:$A)-3),"")</f>
        <v>47.0122784810127</v>
      </c>
      <c r="AL110" s="156" t="n">
        <f aca="false">IFERROR('Price History'!R3+(INDEX('Price History'!R:R,MATCH(9.99E+307,'Returns (Calc)'!$A:$A)+1)-'Price History'!R3)*(ROW()-3)/(MATCH(9.99E+307,'Returns (Calc)'!$A:$A)-3),"")</f>
        <v>52.466835443038</v>
      </c>
      <c r="AM110" s="156" t="n">
        <f aca="false">IFERROR('Price History'!S3+(INDEX('Price History'!S:S,MATCH(9.99E+307,'Returns (Calc)'!$A:$A)+1)-'Price History'!S3)*(ROW()-3)/(MATCH(9.99E+307,'Returns (Calc)'!$A:$A)-3),"")</f>
        <v>122.371772151899</v>
      </c>
      <c r="AN110" s="156" t="n">
        <f aca="false">IFERROR('Price History'!T3+(INDEX('Price History'!T:T,MATCH(9.99E+307,'Returns (Calc)'!$A:$A)+1)-'Price History'!T3)*(ROW()-3)/(MATCH(9.99E+307,'Returns (Calc)'!$A:$A)-3),"")</f>
        <v>43.2403797468354</v>
      </c>
      <c r="AO110" s="157" t="n">
        <f aca="false">IFERROR('Price History'!V3+(INDEX('Price History'!V:V,MATCH(9.99E+307,'Returns (Calc)'!$A:$A)+1)-'Price History'!V3)*(ROW()-3)/(MATCH(9.99E+307,'Returns (Calc)'!$A:$A)-3),"")</f>
        <v>320.302215189873</v>
      </c>
      <c r="AP110" s="155" t="n">
        <f aca="false">IFERROR(IF(OR(NOT(ISNUMBER('Price History'!W111)),NOT(ISNUMBER('Price History'!W110)),'Price History'!W110=0),"",'Price History'!W111/'Price History'!W110-1),"")</f>
        <v>-0.0288050951726134</v>
      </c>
      <c r="AQ110" s="155" t="str">
        <f aca="false">IFERROR(IF(OR(NOT(ISNUMBER('Price History'!X111)),NOT(ISNUMBER('Price History'!X110)),'Price History'!X110=0),"",'Price History'!X111/'Price History'!X110-1),"")</f>
        <v/>
      </c>
      <c r="AR110" s="155" t="n">
        <f aca="false">IFERROR(IF(OR(NOT(ISNUMBER('Price History'!Y111)),NOT(ISNUMBER('Price History'!Y110)),'Price History'!Y110=0),"",'Price History'!Y111/'Price History'!Y110-1),"")</f>
        <v>-0.0180402582605392</v>
      </c>
      <c r="AS110" s="155" t="n">
        <f aca="false">IFERROR(IF(OR(NOT(ISNUMBER('Price History'!Z111)),NOT(ISNUMBER('Price History'!Z110)),'Price History'!Z110=0),"",'Price History'!Z111/'Price History'!Z110-1),"")</f>
        <v>-0.0185560738186981</v>
      </c>
      <c r="AT110" s="155" t="n">
        <f aca="false">IFERROR(IF(OR(NOT(ISNUMBER('Price History'!AA111)),NOT(ISNUMBER('Price History'!AA110)),'Price History'!AA110=0),"",'Price History'!AA111/'Price History'!AA110-1),"")</f>
        <v>0.0579207491545999</v>
      </c>
      <c r="AU110" s="155" t="n">
        <f aca="false">IFERROR(IF(OR(NOT(ISNUMBER('Price History'!AB111)),NOT(ISNUMBER('Price History'!AB110)),'Price History'!AB110=0),"",'Price History'!AB111/'Price History'!AB110-1),"")</f>
        <v>-0.0327055488051843</v>
      </c>
    </row>
    <row r="111" customFormat="false" ht="15" hidden="false" customHeight="true" outlineLevel="0" collapsed="false">
      <c r="A111" s="153" t="n">
        <f aca="false">IF('Price History'!A112="","",'Price History'!A112)</f>
        <v>45947</v>
      </c>
      <c r="B111" s="154" t="n">
        <f aca="false">IFERROR(IF(OR(NOT(ISNUMBER('Price History'!B112)),NOT(ISNUMBER('Price History'!B111)),'Price History'!B111=0),"",'Price History'!B112/'Price History'!B111-1),"")</f>
        <v>-0.0125922194897929</v>
      </c>
      <c r="C111" s="154" t="n">
        <f aca="false">IFERROR(IF(OR(NOT(ISNUMBER('Price History'!C112)),NOT(ISNUMBER('Price History'!C111)),'Price History'!C111=0),"",'Price History'!C112/'Price History'!C111-1),"")</f>
        <v>-0.0713822193380922</v>
      </c>
      <c r="D111" s="154" t="n">
        <f aca="false">IFERROR(IF(OR(NOT(ISNUMBER('Price History'!D112)),NOT(ISNUMBER('Price History'!D111)),'Price History'!D111=0),"",'Price History'!D112/'Price History'!D111-1),"")</f>
        <v>0.0994236930950692</v>
      </c>
      <c r="E111" s="154" t="n">
        <f aca="false">IFERROR(IF(OR(NOT(ISNUMBER('Price History'!E112)),NOT(ISNUMBER('Price History'!E111)),'Price History'!E111=0),"",'Price History'!E112/'Price History'!E111-1),"")</f>
        <v>0.0760947149551563</v>
      </c>
      <c r="F111" s="154" t="n">
        <f aca="false">IFERROR(IF(OR(NOT(ISNUMBER('Price History'!F112)),NOT(ISNUMBER('Price History'!F111)),'Price History'!F111=0),"",'Price History'!F112/'Price History'!F111-1),"")</f>
        <v>-0.0183114568141306</v>
      </c>
      <c r="G111" s="154" t="n">
        <f aca="false">IFERROR(IF(OR(NOT(ISNUMBER('Price History'!G112)),NOT(ISNUMBER('Price History'!G111)),'Price History'!G111=0),"",'Price History'!G112/'Price History'!G111-1),"")</f>
        <v>0.126035805626598</v>
      </c>
      <c r="H111" s="154" t="n">
        <f aca="false">IFERROR(IF(OR(NOT(ISNUMBER('Price History'!H112)),NOT(ISNUMBER('Price History'!H111)),'Price History'!H111=0),"",'Price History'!H112/'Price History'!H111-1),"")</f>
        <v>0.114430603020615</v>
      </c>
      <c r="I111" s="154" t="n">
        <f aca="false">IFERROR(IF(OR(NOT(ISNUMBER('Price History'!I112)),NOT(ISNUMBER('Price History'!I111)),'Price History'!I111=0),"",'Price History'!I112/'Price History'!I111-1),"")</f>
        <v>0.00032837127845875</v>
      </c>
      <c r="J111" s="154" t="n">
        <f aca="false">IFERROR(IF(OR(NOT(ISNUMBER('Price History'!J112)),NOT(ISNUMBER('Price History'!J111)),'Price History'!J111=0),"",'Price History'!J112/'Price History'!J111-1),"")</f>
        <v>0.115541543026706</v>
      </c>
      <c r="K111" s="154" t="n">
        <f aca="false">IFERROR(IF(OR(NOT(ISNUMBER('Price History'!K112)),NOT(ISNUMBER('Price History'!K111)),'Price History'!K111=0),"",'Price History'!K112/'Price History'!K111-1),"")</f>
        <v>0.0154468764249887</v>
      </c>
      <c r="L111" s="154" t="n">
        <f aca="false">IFERROR(IF(OR(NOT(ISNUMBER('Price History'!L112)),NOT(ISNUMBER('Price History'!L111)),'Price History'!L111=0),"",'Price History'!L112/'Price History'!L111-1),"")</f>
        <v>0.0513826875990204</v>
      </c>
      <c r="M111" s="154" t="n">
        <f aca="false">IFERROR(IF(OR(NOT(ISNUMBER('Price History'!M112)),NOT(ISNUMBER('Price History'!M111)),'Price History'!M111=0),"",'Price History'!M112/'Price History'!M111-1),"")</f>
        <v>0.0294971272878042</v>
      </c>
      <c r="N111" s="154" t="n">
        <f aca="false">IFERROR(IF(OR(NOT(ISNUMBER('Price History'!N112)),NOT(ISNUMBER('Price History'!N111)),'Price History'!N111=0),"",'Price History'!N112/'Price History'!N111-1),"")</f>
        <v>0.022119228034037</v>
      </c>
      <c r="O111" s="154" t="n">
        <f aca="false">IFERROR(IF(OR(NOT(ISNUMBER('Price History'!O112)),NOT(ISNUMBER('Price History'!O111)),'Price History'!O111=0),"",'Price History'!O112/'Price History'!O111-1),"")</f>
        <v>0.0195848855774348</v>
      </c>
      <c r="P111" s="154" t="n">
        <f aca="false">IFERROR(IF(OR(NOT(ISNUMBER('Price History'!P112)),NOT(ISNUMBER('Price History'!P111)),'Price History'!P111=0),"",'Price History'!P112/'Price History'!P111-1),"")</f>
        <v>0.0146915523573945</v>
      </c>
      <c r="Q111" s="154" t="n">
        <f aca="false">IFERROR(IF(OR(NOT(ISNUMBER('Price History'!Q112)),NOT(ISNUMBER('Price History'!Q111)),'Price History'!Q111=0),"",'Price History'!Q112/'Price History'!Q111-1),"")</f>
        <v>0.00985915492957745</v>
      </c>
      <c r="R111" s="154" t="n">
        <f aca="false">IFERROR(IF(OR(NOT(ISNUMBER('Price History'!R112)),NOT(ISNUMBER('Price History'!R111)),'Price History'!R111=0),"",'Price History'!R112/'Price History'!R111-1),"")</f>
        <v>0.0205506783719074</v>
      </c>
      <c r="S111" s="154" t="n">
        <f aca="false">IFERROR(IF(OR(NOT(ISNUMBER('Price History'!S112)),NOT(ISNUMBER('Price History'!S111)),'Price History'!S111=0),"",'Price History'!S112/'Price History'!S111-1),"")</f>
        <v>0.0161688366947492</v>
      </c>
      <c r="T111" s="154" t="n">
        <f aca="false">IFERROR(IF(OR(NOT(ISNUMBER('Price History'!T112)),NOT(ISNUMBER('Price History'!T111)),'Price History'!T111=0),"",'Price History'!T112/'Price History'!T111-1),"")</f>
        <v>0.0140961857379767</v>
      </c>
      <c r="U111" s="154" t="n">
        <f aca="false">IFERROR(IF(OR(NOT(ISNUMBER('Price History'!U112)),NOT(ISNUMBER('Price History'!U111)),'Price History'!U111=0),"",'Price History'!U112/'Price History'!U111-1),"")</f>
        <v>0.00936037441497661</v>
      </c>
      <c r="V111" s="155" t="n">
        <f aca="false">IFERROR(IF(OR(NOT(ISNUMBER('Price History'!V112)),NOT(ISNUMBER('Price History'!V111)),'Price History'!V111=0),"",'Price History'!V112/'Price History'!V111-1),"")</f>
        <v>-0.00510383667722636</v>
      </c>
      <c r="W111" s="156" t="n">
        <f aca="false">IFERROR('Price History'!B3+(INDEX('Price History'!B:B,MATCH(9.99E+307,'Returns (Calc)'!$A:$A)+1)-'Price History'!B3)*(ROW()-3)/(MATCH(9.99E+307,'Returns (Calc)'!$A:$A)-3),"")</f>
        <v>329.841898734177</v>
      </c>
      <c r="X111" s="156" t="n">
        <f aca="false">IFERROR('Price History'!C3+(INDEX('Price History'!C:C,MATCH(9.99E+307,'Returns (Calc)'!$A:$A)+1)-'Price History'!C3)*(ROW()-3)/(MATCH(9.99E+307,'Returns (Calc)'!$A:$A)-3),"")</f>
        <v>156.346835443038</v>
      </c>
      <c r="Y111" s="156" t="n">
        <f aca="false">IFERROR('Price History'!D3+(INDEX('Price History'!D:D,MATCH(9.99E+307,'Returns (Calc)'!$A:$A)+1)-'Price History'!D3)*(ROW()-3)/(MATCH(9.99E+307,'Returns (Calc)'!$A:$A)-3),"")</f>
        <v>1460.56949367089</v>
      </c>
      <c r="Z111" s="156" t="n">
        <f aca="false">IFERROR('Price History'!E3+(INDEX('Price History'!E:E,MATCH(9.99E+307,'Returns (Calc)'!$A:$A)+1)-'Price History'!E3)*(ROW()-3)/(MATCH(9.99E+307,'Returns (Calc)'!$A:$A)-3),"")</f>
        <v>268.703291139241</v>
      </c>
      <c r="AA111" s="156" t="n">
        <f aca="false">IFERROR('Price History'!F3+(INDEX('Price History'!F:F,MATCH(9.99E+307,'Returns (Calc)'!$A:$A)+1)-'Price History'!F3)*(ROW()-3)/(MATCH(9.99E+307,'Returns (Calc)'!$A:$A)-3),"")</f>
        <v>197.672911392405</v>
      </c>
      <c r="AB111" s="156" t="n">
        <f aca="false">IFERROR('Price History'!G3+(INDEX('Price History'!G:G,MATCH(9.99E+307,'Returns (Calc)'!$A:$A)+1)-'Price History'!G3)*(ROW()-3)/(MATCH(9.99E+307,'Returns (Calc)'!$A:$A)-3),"")</f>
        <v>155.453291139241</v>
      </c>
      <c r="AC111" s="156" t="n">
        <f aca="false">IFERROR('Price History'!H3+(INDEX('Price History'!H:H,MATCH(9.99E+307,'Returns (Calc)'!$A:$A)+1)-'Price History'!H3)*(ROW()-3)/(MATCH(9.99E+307,'Returns (Calc)'!$A:$A)-3),"")</f>
        <v>756.605189873418</v>
      </c>
      <c r="AD111" s="156" t="n">
        <f aca="false">IFERROR('Price History'!I3+(INDEX('Price History'!I:I,MATCH(9.99E+307,'Returns (Calc)'!$A:$A)+1)-'Price History'!I3)*(ROW()-3)/(MATCH(9.99E+307,'Returns (Calc)'!$A:$A)-3),"")</f>
        <v>173.766455696203</v>
      </c>
      <c r="AE111" s="156" t="n">
        <f aca="false">IFERROR('Price History'!J3+(INDEX('Price History'!J:J,MATCH(9.99E+307,'Returns (Calc)'!$A:$A)+1)-'Price History'!J3)*(ROW()-3)/(MATCH(9.99E+307,'Returns (Calc)'!$A:$A)-3),"")</f>
        <v>123.508101265823</v>
      </c>
      <c r="AF111" s="156" t="n">
        <f aca="false">IFERROR('Price History'!K3+(INDEX('Price History'!K:K,MATCH(9.99E+307,'Returns (Calc)'!$A:$A)+1)-'Price History'!K3)*(ROW()-3)/(MATCH(9.99E+307,'Returns (Calc)'!$A:$A)-3),"")</f>
        <v>133.870253164557</v>
      </c>
      <c r="AG111" s="156" t="n">
        <f aca="false">IFERROR('Price History'!L3+(INDEX('Price History'!L:L,MATCH(9.99E+307,'Returns (Calc)'!$A:$A)+1)-'Price History'!L3)*(ROW()-3)/(MATCH(9.99E+307,'Returns (Calc)'!$A:$A)-3),"")</f>
        <v>350.302151898734</v>
      </c>
      <c r="AH111" s="156" t="n">
        <f aca="false">IFERROR('Price History'!M3+(INDEX('Price History'!M:M,MATCH(9.99E+307,'Returns (Calc)'!$A:$A)+1)-'Price History'!M3)*(ROW()-3)/(MATCH(9.99E+307,'Returns (Calc)'!$A:$A)-3),"")</f>
        <v>184.407848101266</v>
      </c>
      <c r="AI111" s="156" t="n">
        <f aca="false">IFERROR('Price History'!N3+(INDEX('Price History'!N:N,MATCH(9.99E+307,'Returns (Calc)'!$A:$A)+1)-'Price History'!N3)*(ROW()-3)/(MATCH(9.99E+307,'Returns (Calc)'!$A:$A)-3),"")</f>
        <v>455.41670886076</v>
      </c>
      <c r="AJ111" s="156" t="n">
        <f aca="false">IFERROR('Price History'!O3+(INDEX('Price History'!O:O,MATCH(9.99E+307,'Returns (Calc)'!$A:$A)+1)-'Price History'!O3)*(ROW()-3)/(MATCH(9.99E+307,'Returns (Calc)'!$A:$A)-3),"")</f>
        <v>105.878101265823</v>
      </c>
      <c r="AK111" s="156" t="n">
        <f aca="false">IFERROR('Price History'!Q3+(INDEX('Price History'!Q:Q,MATCH(9.99E+307,'Returns (Calc)'!$A:$A)+1)-'Price History'!Q3)*(ROW()-3)/(MATCH(9.99E+307,'Returns (Calc)'!$A:$A)-3),"")</f>
        <v>47.4516455696203</v>
      </c>
      <c r="AL111" s="156" t="n">
        <f aca="false">IFERROR('Price History'!R3+(INDEX('Price History'!R:R,MATCH(9.99E+307,'Returns (Calc)'!$A:$A)+1)-'Price History'!R3)*(ROW()-3)/(MATCH(9.99E+307,'Returns (Calc)'!$A:$A)-3),"")</f>
        <v>52.6349367088608</v>
      </c>
      <c r="AM111" s="156" t="n">
        <f aca="false">IFERROR('Price History'!S3+(INDEX('Price History'!S:S,MATCH(9.99E+307,'Returns (Calc)'!$A:$A)+1)-'Price History'!S3)*(ROW()-3)/(MATCH(9.99E+307,'Returns (Calc)'!$A:$A)-3),"")</f>
        <v>122.976835443038</v>
      </c>
      <c r="AN111" s="156" t="n">
        <f aca="false">IFERROR('Price History'!T3+(INDEX('Price History'!T:T,MATCH(9.99E+307,'Returns (Calc)'!$A:$A)+1)-'Price History'!T3)*(ROW()-3)/(MATCH(9.99E+307,'Returns (Calc)'!$A:$A)-3),"")</f>
        <v>43.4086075949367</v>
      </c>
      <c r="AO111" s="157" t="n">
        <f aca="false">IFERROR('Price History'!V3+(INDEX('Price History'!V:V,MATCH(9.99E+307,'Returns (Calc)'!$A:$A)+1)-'Price History'!V3)*(ROW()-3)/(MATCH(9.99E+307,'Returns (Calc)'!$A:$A)-3),"")</f>
        <v>321.093544303798</v>
      </c>
      <c r="AP111" s="155" t="n">
        <f aca="false">IFERROR(IF(OR(NOT(ISNUMBER('Price History'!W112)),NOT(ISNUMBER('Price History'!W111)),'Price History'!W111=0),"",'Price History'!W112/'Price History'!W111-1),"")</f>
        <v>0.0191519487294134</v>
      </c>
      <c r="AQ111" s="155" t="str">
        <f aca="false">IFERROR(IF(OR(NOT(ISNUMBER('Price History'!X112)),NOT(ISNUMBER('Price History'!X111)),'Price History'!X111=0),"",'Price History'!X112/'Price History'!X111-1),"")</f>
        <v/>
      </c>
      <c r="AR111" s="155" t="n">
        <f aca="false">IFERROR(IF(OR(NOT(ISNUMBER('Price History'!Y112)),NOT(ISNUMBER('Price History'!Y111)),'Price History'!Y111=0),"",'Price History'!Y112/'Price History'!Y111-1),"")</f>
        <v>0.0152775091858441</v>
      </c>
      <c r="AS111" s="155" t="n">
        <f aca="false">IFERROR(IF(OR(NOT(ISNUMBER('Price History'!Z112)),NOT(ISNUMBER('Price History'!Z111)),'Price History'!Z111=0),"",'Price History'!Z112/'Price History'!Z111-1),"")</f>
        <v>0.0296862623549266</v>
      </c>
      <c r="AT111" s="155" t="n">
        <f aca="false">IFERROR(IF(OR(NOT(ISNUMBER('Price History'!AA112)),NOT(ISNUMBER('Price History'!AA111)),'Price History'!AA111=0),"",'Price History'!AA112/'Price History'!AA111-1),"")</f>
        <v>-0.0169658224735678</v>
      </c>
      <c r="AU111" s="155" t="n">
        <f aca="false">IFERROR(IF(OR(NOT(ISNUMBER('Price History'!AB112)),NOT(ISNUMBER('Price History'!AB111)),'Price History'!AB111=0),"",'Price History'!AB112/'Price History'!AB111-1),"")</f>
        <v>-0.00997941309885186</v>
      </c>
    </row>
    <row r="112" customFormat="false" ht="15" hidden="false" customHeight="true" outlineLevel="0" collapsed="false">
      <c r="A112" s="153" t="n">
        <f aca="false">IF('Price History'!A113="","",'Price History'!A113)</f>
        <v>45954</v>
      </c>
      <c r="B112" s="154" t="n">
        <f aca="false">IFERROR(IF(OR(NOT(ISNUMBER('Price History'!B113)),NOT(ISNUMBER('Price History'!B112)),'Price History'!B112=0),"",'Price History'!B113/'Price History'!B112-1),"")</f>
        <v>0.0607933745423992</v>
      </c>
      <c r="C112" s="154" t="n">
        <f aca="false">IFERROR(IF(OR(NOT(ISNUMBER('Price History'!C113)),NOT(ISNUMBER('Price History'!C112)),'Price History'!C112=0),"",'Price History'!C113/'Price History'!C112-1),"")</f>
        <v>0.0749126484975542</v>
      </c>
      <c r="D112" s="154" t="n">
        <f aca="false">IFERROR(IF(OR(NOT(ISNUMBER('Price History'!D113)),NOT(ISNUMBER('Price History'!D112)),'Price History'!D112=0),"",'Price History'!D113/'Price History'!D112-1),"")</f>
        <v>0.00372605204737253</v>
      </c>
      <c r="E112" s="154" t="n">
        <f aca="false">IFERROR(IF(OR(NOT(ISNUMBER('Price History'!E113)),NOT(ISNUMBER('Price History'!E112)),'Price History'!E112=0),"",'Price History'!E113/'Price History'!E112-1),"")</f>
        <v>0.0137563085796684</v>
      </c>
      <c r="F112" s="154" t="n">
        <f aca="false">IFERROR(IF(OR(NOT(ISNUMBER('Price History'!F113)),NOT(ISNUMBER('Price History'!F112)),'Price History'!F112=0),"",'Price History'!F113/'Price History'!F112-1),"")</f>
        <v>0.0880653681082868</v>
      </c>
      <c r="G112" s="154" t="n">
        <f aca="false">IFERROR(IF(OR(NOT(ISNUMBER('Price History'!G113)),NOT(ISNUMBER('Price History'!G112)),'Price History'!G112=0),"",'Price History'!G113/'Price History'!G112-1),"")</f>
        <v>0.0688652675570094</v>
      </c>
      <c r="H112" s="154" t="n">
        <f aca="false">IFERROR(IF(OR(NOT(ISNUMBER('Price History'!H113)),NOT(ISNUMBER('Price History'!H112)),'Price History'!H112=0),"",'Price History'!H113/'Price History'!H112-1),"")</f>
        <v>0.082253437530913</v>
      </c>
      <c r="I112" s="154" t="n">
        <f aca="false">IFERROR(IF(OR(NOT(ISNUMBER('Price History'!I113)),NOT(ISNUMBER('Price History'!I112)),'Price History'!I112=0),"",'Price History'!I113/'Price History'!I112-1),"")</f>
        <v>0.0165773060509902</v>
      </c>
      <c r="J112" s="154" t="n">
        <f aca="false">IFERROR(IF(OR(NOT(ISNUMBER('Price History'!J113)),NOT(ISNUMBER('Price History'!J112)),'Price History'!J112=0),"",'Price History'!J113/'Price History'!J112-1),"")</f>
        <v>0.0189526184538653</v>
      </c>
      <c r="K112" s="154" t="n">
        <f aca="false">IFERROR(IF(OR(NOT(ISNUMBER('Price History'!K113)),NOT(ISNUMBER('Price History'!K112)),'Price History'!K112=0),"",'Price History'!K113/'Price History'!K112-1),"")</f>
        <v>0.0363738422677518</v>
      </c>
      <c r="L112" s="154" t="n">
        <f aca="false">IFERROR(IF(OR(NOT(ISNUMBER('Price History'!L113)),NOT(ISNUMBER('Price History'!L112)),'Price History'!L112=0),"",'Price History'!L113/'Price History'!L112-1),"")</f>
        <v>-0.000410972978526658</v>
      </c>
      <c r="M112" s="154" t="n">
        <f aca="false">IFERROR(IF(OR(NOT(ISNUMBER('Price History'!M113)),NOT(ISNUMBER('Price History'!M112)),'Price History'!M112=0),"",'Price History'!M113/'Price History'!M112-1),"")</f>
        <v>0.0693285771819805</v>
      </c>
      <c r="N112" s="154" t="n">
        <f aca="false">IFERROR(IF(OR(NOT(ISNUMBER('Price History'!N113)),NOT(ISNUMBER('Price History'!N112)),'Price History'!N112=0),"",'Price History'!N113/'Price History'!N112-1),"")</f>
        <v>0.0109882200523019</v>
      </c>
      <c r="O112" s="154" t="n">
        <f aca="false">IFERROR(IF(OR(NOT(ISNUMBER('Price History'!O113)),NOT(ISNUMBER('Price History'!O112)),'Price History'!O112=0),"",'Price History'!O113/'Price History'!O112-1),"")</f>
        <v>0.0294393986846226</v>
      </c>
      <c r="P112" s="154" t="n">
        <f aca="false">IFERROR(IF(OR(NOT(ISNUMBER('Price History'!P113)),NOT(ISNUMBER('Price History'!P112)),'Price History'!P112=0),"",'Price History'!P113/'Price History'!P112-1),"")</f>
        <v>0.0169904705621629</v>
      </c>
      <c r="Q112" s="154" t="n">
        <f aca="false">IFERROR(IF(OR(NOT(ISNUMBER('Price History'!Q113)),NOT(ISNUMBER('Price History'!Q112)),'Price History'!Q112=0),"",'Price History'!Q113/'Price History'!Q112-1),"")</f>
        <v>0.0100728343406169</v>
      </c>
      <c r="R112" s="154" t="n">
        <f aca="false">IFERROR(IF(OR(NOT(ISNUMBER('Price History'!R113)),NOT(ISNUMBER('Price History'!R112)),'Price History'!R112=0),"",'Price History'!R113/'Price History'!R112-1),"")</f>
        <v>0.0185728250244379</v>
      </c>
      <c r="S112" s="154" t="n">
        <f aca="false">IFERROR(IF(OR(NOT(ISNUMBER('Price History'!S113)),NOT(ISNUMBER('Price History'!S112)),'Price History'!S112=0),"",'Price History'!S113/'Price History'!S112-1),"")</f>
        <v>0.0107193702369985</v>
      </c>
      <c r="T112" s="154" t="n">
        <f aca="false">IFERROR(IF(OR(NOT(ISNUMBER('Price History'!T113)),NOT(ISNUMBER('Price History'!T112)),'Price History'!T112=0),"",'Price History'!T113/'Price History'!T112-1),"")</f>
        <v>0.0258926137912239</v>
      </c>
      <c r="U112" s="154" t="n">
        <f aca="false">IFERROR(IF(OR(NOT(ISNUMBER('Price History'!U113)),NOT(ISNUMBER('Price History'!U112)),'Price History'!U112=0),"",'Price History'!U113/'Price History'!U112-1),"")</f>
        <v>0.00888717156105101</v>
      </c>
      <c r="V112" s="155" t="n">
        <f aca="false">IFERROR(IF(OR(NOT(ISNUMBER('Price History'!V113)),NOT(ISNUMBER('Price History'!V112)),'Price History'!V112=0),"",'Price History'!V113/'Price History'!V112-1),"")</f>
        <v>0.0160386815260334</v>
      </c>
      <c r="W112" s="156" t="n">
        <f aca="false">IFERROR('Price History'!B3+(INDEX('Price History'!B:B,MATCH(9.99E+307,'Returns (Calc)'!$A:$A)+1)-'Price History'!B3)*(ROW()-3)/(MATCH(9.99E+307,'Returns (Calc)'!$A:$A)-3),"")</f>
        <v>327.998860759494</v>
      </c>
      <c r="X112" s="156" t="n">
        <f aca="false">IFERROR('Price History'!C3+(INDEX('Price History'!C:C,MATCH(9.99E+307,'Returns (Calc)'!$A:$A)+1)-'Price History'!C3)*(ROW()-3)/(MATCH(9.99E+307,'Returns (Calc)'!$A:$A)-3),"")</f>
        <v>157.366898734177</v>
      </c>
      <c r="Y112" s="156" t="n">
        <f aca="false">IFERROR('Price History'!D3+(INDEX('Price History'!D:D,MATCH(9.99E+307,'Returns (Calc)'!$A:$A)+1)-'Price History'!D3)*(ROW()-3)/(MATCH(9.99E+307,'Returns (Calc)'!$A:$A)-3),"")</f>
        <v>1468.70430379747</v>
      </c>
      <c r="Z112" s="156" t="n">
        <f aca="false">IFERROR('Price History'!E3+(INDEX('Price History'!E:E,MATCH(9.99E+307,'Returns (Calc)'!$A:$A)+1)-'Price History'!E3)*(ROW()-3)/(MATCH(9.99E+307,'Returns (Calc)'!$A:$A)-3),"")</f>
        <v>270.432025316456</v>
      </c>
      <c r="AA112" s="156" t="n">
        <f aca="false">IFERROR('Price History'!F3+(INDEX('Price History'!F:F,MATCH(9.99E+307,'Returns (Calc)'!$A:$A)+1)-'Price History'!F3)*(ROW()-3)/(MATCH(9.99E+307,'Returns (Calc)'!$A:$A)-3),"")</f>
        <v>199.120253164557</v>
      </c>
      <c r="AB112" s="156" t="n">
        <f aca="false">IFERROR('Price History'!G3+(INDEX('Price History'!G:G,MATCH(9.99E+307,'Returns (Calc)'!$A:$A)+1)-'Price History'!G3)*(ROW()-3)/(MATCH(9.99E+307,'Returns (Calc)'!$A:$A)-3),"")</f>
        <v>156.482025316456</v>
      </c>
      <c r="AC112" s="156" t="n">
        <f aca="false">IFERROR('Price History'!H3+(INDEX('Price History'!H:H,MATCH(9.99E+307,'Returns (Calc)'!$A:$A)+1)-'Price History'!H3)*(ROW()-3)/(MATCH(9.99E+307,'Returns (Calc)'!$A:$A)-3),"")</f>
        <v>762.970886075949</v>
      </c>
      <c r="AD112" s="156" t="n">
        <f aca="false">IFERROR('Price History'!I3+(INDEX('Price History'!I:I,MATCH(9.99E+307,'Returns (Calc)'!$A:$A)+1)-'Price History'!I3)*(ROW()-3)/(MATCH(9.99E+307,'Returns (Calc)'!$A:$A)-3),"")</f>
        <v>174.970126582278</v>
      </c>
      <c r="AE112" s="156" t="n">
        <f aca="false">IFERROR('Price History'!J3+(INDEX('Price History'!J:J,MATCH(9.99E+307,'Returns (Calc)'!$A:$A)+1)-'Price History'!J3)*(ROW()-3)/(MATCH(9.99E+307,'Returns (Calc)'!$A:$A)-3),"")</f>
        <v>123.616139240506</v>
      </c>
      <c r="AF112" s="156" t="n">
        <f aca="false">IFERROR('Price History'!K3+(INDEX('Price History'!K:K,MATCH(9.99E+307,'Returns (Calc)'!$A:$A)+1)-'Price History'!K3)*(ROW()-3)/(MATCH(9.99E+307,'Returns (Calc)'!$A:$A)-3),"")</f>
        <v>134.967848101266</v>
      </c>
      <c r="AG112" s="156" t="n">
        <f aca="false">IFERROR('Price History'!L3+(INDEX('Price History'!L:L,MATCH(9.99E+307,'Returns (Calc)'!$A:$A)+1)-'Price History'!L3)*(ROW()-3)/(MATCH(9.99E+307,'Returns (Calc)'!$A:$A)-3),"")</f>
        <v>352.75170886076</v>
      </c>
      <c r="AH112" s="156" t="n">
        <f aca="false">IFERROR('Price History'!M3+(INDEX('Price History'!M:M,MATCH(9.99E+307,'Returns (Calc)'!$A:$A)+1)-'Price History'!M3)*(ROW()-3)/(MATCH(9.99E+307,'Returns (Calc)'!$A:$A)-3),"")</f>
        <v>185.763291139241</v>
      </c>
      <c r="AI112" s="156" t="n">
        <f aca="false">IFERROR('Price History'!N3+(INDEX('Price History'!N:N,MATCH(9.99E+307,'Returns (Calc)'!$A:$A)+1)-'Price History'!N3)*(ROW()-3)/(MATCH(9.99E+307,'Returns (Calc)'!$A:$A)-3),"")</f>
        <v>456.402974683544</v>
      </c>
      <c r="AJ112" s="156" t="n">
        <f aca="false">IFERROR('Price History'!O3+(INDEX('Price History'!O:O,MATCH(9.99E+307,'Returns (Calc)'!$A:$A)+1)-'Price History'!O3)*(ROW()-3)/(MATCH(9.99E+307,'Returns (Calc)'!$A:$A)-3),"")</f>
        <v>106.161139240506</v>
      </c>
      <c r="AK112" s="156" t="n">
        <f aca="false">IFERROR('Price History'!Q3+(INDEX('Price History'!Q:Q,MATCH(9.99E+307,'Returns (Calc)'!$A:$A)+1)-'Price History'!Q3)*(ROW()-3)/(MATCH(9.99E+307,'Returns (Calc)'!$A:$A)-3),"")</f>
        <v>47.8910126582278</v>
      </c>
      <c r="AL112" s="156" t="n">
        <f aca="false">IFERROR('Price History'!R3+(INDEX('Price History'!R:R,MATCH(9.99E+307,'Returns (Calc)'!$A:$A)+1)-'Price History'!R3)*(ROW()-3)/(MATCH(9.99E+307,'Returns (Calc)'!$A:$A)-3),"")</f>
        <v>52.8030379746836</v>
      </c>
      <c r="AM112" s="156" t="n">
        <f aca="false">IFERROR('Price History'!S3+(INDEX('Price History'!S:S,MATCH(9.99E+307,'Returns (Calc)'!$A:$A)+1)-'Price History'!S3)*(ROW()-3)/(MATCH(9.99E+307,'Returns (Calc)'!$A:$A)-3),"")</f>
        <v>123.581898734177</v>
      </c>
      <c r="AN112" s="156" t="n">
        <f aca="false">IFERROR('Price History'!T3+(INDEX('Price History'!T:T,MATCH(9.99E+307,'Returns (Calc)'!$A:$A)+1)-'Price History'!T3)*(ROW()-3)/(MATCH(9.99E+307,'Returns (Calc)'!$A:$A)-3),"")</f>
        <v>43.576835443038</v>
      </c>
      <c r="AO112" s="157" t="n">
        <f aca="false">IFERROR('Price History'!V3+(INDEX('Price History'!V:V,MATCH(9.99E+307,'Returns (Calc)'!$A:$A)+1)-'Price History'!V3)*(ROW()-3)/(MATCH(9.99E+307,'Returns (Calc)'!$A:$A)-3),"")</f>
        <v>321.884873417722</v>
      </c>
      <c r="AP112" s="155" t="n">
        <f aca="false">IFERROR(IF(OR(NOT(ISNUMBER('Price History'!W113)),NOT(ISNUMBER('Price History'!W112)),'Price History'!W112=0),"",'Price History'!W113/'Price History'!W112-1),"")</f>
        <v>0.0108218777420299</v>
      </c>
      <c r="AQ112" s="155" t="str">
        <f aca="false">IFERROR(IF(OR(NOT(ISNUMBER('Price History'!X113)),NOT(ISNUMBER('Price History'!X112)),'Price History'!X112=0),"",'Price History'!X113/'Price History'!X112-1),"")</f>
        <v/>
      </c>
      <c r="AR112" s="155" t="n">
        <f aca="false">IFERROR(IF(OR(NOT(ISNUMBER('Price History'!Y113)),NOT(ISNUMBER('Price History'!Y112)),'Price History'!Y112=0),"",'Price History'!Y113/'Price History'!Y112-1),"")</f>
        <v>0.0104761904761905</v>
      </c>
      <c r="AS112" s="155" t="n">
        <f aca="false">IFERROR(IF(OR(NOT(ISNUMBER('Price History'!Z113)),NOT(ISNUMBER('Price History'!Z112)),'Price History'!Z112=0),"",'Price History'!Z113/'Price History'!Z112-1),"")</f>
        <v>0.0124084417539048</v>
      </c>
      <c r="AT112" s="155" t="n">
        <f aca="false">IFERROR(IF(OR(NOT(ISNUMBER('Price History'!AA113)),NOT(ISNUMBER('Price History'!AA112)),'Price History'!AA112=0),"",'Price History'!AA113/'Price History'!AA112-1),"")</f>
        <v>-0.0872936468234117</v>
      </c>
      <c r="AU112" s="155" t="n">
        <f aca="false">IFERROR(IF(OR(NOT(ISNUMBER('Price History'!AB113)),NOT(ISNUMBER('Price History'!AB112)),'Price History'!AB112=0),"",'Price History'!AB113/'Price History'!AB112-1),"")</f>
        <v>0.0327423959398019</v>
      </c>
    </row>
    <row r="113" customFormat="false" ht="15" hidden="false" customHeight="true" outlineLevel="0" collapsed="false">
      <c r="A113" s="153" t="n">
        <f aca="false">IF('Price History'!A114="","",'Price History'!A114)</f>
        <v>45961</v>
      </c>
      <c r="B113" s="154" t="n">
        <f aca="false">IFERROR(IF(OR(NOT(ISNUMBER('Price History'!B114)),NOT(ISNUMBER('Price History'!B113)),'Price History'!B113=0),"",'Price History'!B114/'Price History'!B113-1),"")</f>
        <v>-0.037367051369088</v>
      </c>
      <c r="C113" s="154" t="n">
        <f aca="false">IFERROR(IF(OR(NOT(ISNUMBER('Price History'!C114)),NOT(ISNUMBER('Price History'!C113)),'Price History'!C113=0),"",'Price History'!C114/'Price History'!C113-1),"")</f>
        <v>0.0251592770771032</v>
      </c>
      <c r="D113" s="154" t="n">
        <f aca="false">IFERROR(IF(OR(NOT(ISNUMBER('Price History'!D114)),NOT(ISNUMBER('Price History'!D113)),'Price History'!D113=0),"",'Price History'!D114/'Price History'!D113-1),"")</f>
        <v>0.0271157706023346</v>
      </c>
      <c r="E113" s="154" t="n">
        <f aca="false">IFERROR(IF(OR(NOT(ISNUMBER('Price History'!E114)),NOT(ISNUMBER('Price History'!E113)),'Price History'!E113=0),"",'Price History'!E114/'Price History'!E113-1),"")</f>
        <v>0.0437528447883477</v>
      </c>
      <c r="F113" s="154" t="n">
        <f aca="false">IFERROR(IF(OR(NOT(ISNUMBER('Price History'!F114)),NOT(ISNUMBER('Price History'!F113)),'Price History'!F113=0),"",'Price History'!F114/'Price History'!F113-1),"")</f>
        <v>0.029735265114162</v>
      </c>
      <c r="G113" s="154" t="n">
        <f aca="false">IFERROR(IF(OR(NOT(ISNUMBER('Price History'!G114)),NOT(ISNUMBER('Price History'!G113)),'Price History'!G113=0),"",'Price History'!G114/'Price History'!G113-1),"")</f>
        <v>0.0219294517637059</v>
      </c>
      <c r="H113" s="154" t="n">
        <f aca="false">IFERROR(IF(OR(NOT(ISNUMBER('Price History'!H114)),NOT(ISNUMBER('Price History'!H113)),'Price History'!H113=0),"",'Price History'!H114/'Price History'!H113-1),"")</f>
        <v>0.0216626296787168</v>
      </c>
      <c r="I113" s="154" t="n">
        <f aca="false">IFERROR(IF(OR(NOT(ISNUMBER('Price History'!I114)),NOT(ISNUMBER('Price History'!I113)),'Price History'!I113=0),"",'Price History'!I114/'Price History'!I113-1),"")</f>
        <v>0.0871858349927344</v>
      </c>
      <c r="J113" s="154" t="n">
        <f aca="false">IFERROR(IF(OR(NOT(ISNUMBER('Price History'!J114)),NOT(ISNUMBER('Price History'!J113)),'Price History'!J113=0),"",'Price History'!J114/'Price History'!J113-1),"")</f>
        <v>-0.0185185185185185</v>
      </c>
      <c r="K113" s="154" t="n">
        <f aca="false">IFERROR(IF(OR(NOT(ISNUMBER('Price History'!K114)),NOT(ISNUMBER('Price History'!K113)),'Price History'!K113=0),"",'Price History'!K114/'Price History'!K113-1),"")</f>
        <v>0.0857932080376971</v>
      </c>
      <c r="L113" s="154" t="n">
        <f aca="false">IFERROR(IF(OR(NOT(ISNUMBER('Price History'!L114)),NOT(ISNUMBER('Price History'!L113)),'Price History'!L113=0),"",'Price History'!L114/'Price History'!L113-1),"")</f>
        <v>0.0185356494329667</v>
      </c>
      <c r="M113" s="154" t="n">
        <f aca="false">IFERROR(IF(OR(NOT(ISNUMBER('Price History'!M114)),NOT(ISNUMBER('Price History'!M113)),'Price History'!M113=0),"",'Price History'!M114/'Price History'!M113-1),"")</f>
        <v>0.036532874206392</v>
      </c>
      <c r="N113" s="154" t="n">
        <f aca="false">IFERROR(IF(OR(NOT(ISNUMBER('Price History'!N114)),NOT(ISNUMBER('Price History'!N113)),'Price History'!N113=0),"",'Price History'!N114/'Price History'!N113-1),"")</f>
        <v>0.00991955195899297</v>
      </c>
      <c r="O113" s="154" t="n">
        <f aca="false">IFERROR(IF(OR(NOT(ISNUMBER('Price History'!O114)),NOT(ISNUMBER('Price History'!O113)),'Price History'!O113=0),"",'Price History'!O114/'Price History'!O113-1),"")</f>
        <v>-0.021194605009634</v>
      </c>
      <c r="P113" s="154" t="n">
        <f aca="false">IFERROR(IF(OR(NOT(ISNUMBER('Price History'!P114)),NOT(ISNUMBER('Price History'!P113)),'Price History'!P113=0),"",'Price History'!P114/'Price History'!P113-1),"")</f>
        <v>-0.0238250889808963</v>
      </c>
      <c r="Q113" s="154" t="n">
        <f aca="false">IFERROR(IF(OR(NOT(ISNUMBER('Price History'!Q114)),NOT(ISNUMBER('Price History'!Q113)),'Price History'!Q113=0),"",'Price History'!Q114/'Price History'!Q113-1),"")</f>
        <v>0.000613685179502888</v>
      </c>
      <c r="R113" s="154" t="n">
        <f aca="false">IFERROR(IF(OR(NOT(ISNUMBER('Price History'!R114)),NOT(ISNUMBER('Price History'!R113)),'Price History'!R113=0),"",'Price History'!R114/'Price History'!R113-1),"")</f>
        <v>0.00940499040307108</v>
      </c>
      <c r="S113" s="154" t="n">
        <f aca="false">IFERROR(IF(OR(NOT(ISNUMBER('Price History'!S114)),NOT(ISNUMBER('Price History'!S113)),'Price History'!S113=0),"",'Price History'!S114/'Price History'!S113-1),"")</f>
        <v>-8.28569061230855E-005</v>
      </c>
      <c r="T113" s="154" t="n">
        <f aca="false">IFERROR(IF(OR(NOT(ISNUMBER('Price History'!T114)),NOT(ISNUMBER('Price History'!T113)),'Price History'!T113=0),"",'Price History'!T114/'Price History'!T113-1),"")</f>
        <v>-0.00611052072263563</v>
      </c>
      <c r="U113" s="154" t="n">
        <f aca="false">IFERROR(IF(OR(NOT(ISNUMBER('Price History'!U114)),NOT(ISNUMBER('Price History'!U113)),'Price History'!U113=0),"",'Price History'!U114/'Price History'!U113-1),"")</f>
        <v>-0.0103408655687476</v>
      </c>
      <c r="V113" s="155" t="n">
        <f aca="false">IFERROR(IF(OR(NOT(ISNUMBER('Price History'!V114)),NOT(ISNUMBER('Price History'!V113)),'Price History'!V113=0),"",'Price History'!V114/'Price History'!V113-1),"")</f>
        <v>-0.0190934942835587</v>
      </c>
      <c r="W113" s="156" t="n">
        <f aca="false">IFERROR('Price History'!B3+(INDEX('Price History'!B:B,MATCH(9.99E+307,'Returns (Calc)'!$A:$A)+1)-'Price History'!B3)*(ROW()-3)/(MATCH(9.99E+307,'Returns (Calc)'!$A:$A)-3),"")</f>
        <v>326.15582278481</v>
      </c>
      <c r="X113" s="156" t="n">
        <f aca="false">IFERROR('Price History'!C3+(INDEX('Price History'!C:C,MATCH(9.99E+307,'Returns (Calc)'!$A:$A)+1)-'Price History'!C3)*(ROW()-3)/(MATCH(9.99E+307,'Returns (Calc)'!$A:$A)-3),"")</f>
        <v>158.386962025316</v>
      </c>
      <c r="Y113" s="156" t="n">
        <f aca="false">IFERROR('Price History'!D3+(INDEX('Price History'!D:D,MATCH(9.99E+307,'Returns (Calc)'!$A:$A)+1)-'Price History'!D3)*(ROW()-3)/(MATCH(9.99E+307,'Returns (Calc)'!$A:$A)-3),"")</f>
        <v>1476.83911392405</v>
      </c>
      <c r="Z113" s="156" t="n">
        <f aca="false">IFERROR('Price History'!E3+(INDEX('Price History'!E:E,MATCH(9.99E+307,'Returns (Calc)'!$A:$A)+1)-'Price History'!E3)*(ROW()-3)/(MATCH(9.99E+307,'Returns (Calc)'!$A:$A)-3),"")</f>
        <v>272.160759493671</v>
      </c>
      <c r="AA113" s="156" t="n">
        <f aca="false">IFERROR('Price History'!F3+(INDEX('Price History'!F:F,MATCH(9.99E+307,'Returns (Calc)'!$A:$A)+1)-'Price History'!F3)*(ROW()-3)/(MATCH(9.99E+307,'Returns (Calc)'!$A:$A)-3),"")</f>
        <v>200.567594936709</v>
      </c>
      <c r="AB113" s="156" t="n">
        <f aca="false">IFERROR('Price History'!G3+(INDEX('Price History'!G:G,MATCH(9.99E+307,'Returns (Calc)'!$A:$A)+1)-'Price History'!G3)*(ROW()-3)/(MATCH(9.99E+307,'Returns (Calc)'!$A:$A)-3),"")</f>
        <v>157.510759493671</v>
      </c>
      <c r="AC113" s="156" t="n">
        <f aca="false">IFERROR('Price History'!H3+(INDEX('Price History'!H:H,MATCH(9.99E+307,'Returns (Calc)'!$A:$A)+1)-'Price History'!H3)*(ROW()-3)/(MATCH(9.99E+307,'Returns (Calc)'!$A:$A)-3),"")</f>
        <v>769.336582278481</v>
      </c>
      <c r="AD113" s="156" t="n">
        <f aca="false">IFERROR('Price History'!I3+(INDEX('Price History'!I:I,MATCH(9.99E+307,'Returns (Calc)'!$A:$A)+1)-'Price History'!I3)*(ROW()-3)/(MATCH(9.99E+307,'Returns (Calc)'!$A:$A)-3),"")</f>
        <v>176.173797468354</v>
      </c>
      <c r="AE113" s="156" t="n">
        <f aca="false">IFERROR('Price History'!J3+(INDEX('Price History'!J:J,MATCH(9.99E+307,'Returns (Calc)'!$A:$A)+1)-'Price History'!J3)*(ROW()-3)/(MATCH(9.99E+307,'Returns (Calc)'!$A:$A)-3),"")</f>
        <v>123.72417721519</v>
      </c>
      <c r="AF113" s="156" t="n">
        <f aca="false">IFERROR('Price History'!K3+(INDEX('Price History'!K:K,MATCH(9.99E+307,'Returns (Calc)'!$A:$A)+1)-'Price History'!K3)*(ROW()-3)/(MATCH(9.99E+307,'Returns (Calc)'!$A:$A)-3),"")</f>
        <v>136.065443037975</v>
      </c>
      <c r="AG113" s="156" t="n">
        <f aca="false">IFERROR('Price History'!L3+(INDEX('Price History'!L:L,MATCH(9.99E+307,'Returns (Calc)'!$A:$A)+1)-'Price History'!L3)*(ROW()-3)/(MATCH(9.99E+307,'Returns (Calc)'!$A:$A)-3),"")</f>
        <v>355.201265822785</v>
      </c>
      <c r="AH113" s="156" t="n">
        <f aca="false">IFERROR('Price History'!M3+(INDEX('Price History'!M:M,MATCH(9.99E+307,'Returns (Calc)'!$A:$A)+1)-'Price History'!M3)*(ROW()-3)/(MATCH(9.99E+307,'Returns (Calc)'!$A:$A)-3),"")</f>
        <v>187.118734177215</v>
      </c>
      <c r="AI113" s="156" t="n">
        <f aca="false">IFERROR('Price History'!N3+(INDEX('Price History'!N:N,MATCH(9.99E+307,'Returns (Calc)'!$A:$A)+1)-'Price History'!N3)*(ROW()-3)/(MATCH(9.99E+307,'Returns (Calc)'!$A:$A)-3),"")</f>
        <v>457.389240506329</v>
      </c>
      <c r="AJ113" s="156" t="n">
        <f aca="false">IFERROR('Price History'!O3+(INDEX('Price History'!O:O,MATCH(9.99E+307,'Returns (Calc)'!$A:$A)+1)-'Price History'!O3)*(ROW()-3)/(MATCH(9.99E+307,'Returns (Calc)'!$A:$A)-3),"")</f>
        <v>106.44417721519</v>
      </c>
      <c r="AK113" s="156" t="n">
        <f aca="false">IFERROR('Price History'!Q3+(INDEX('Price History'!Q:Q,MATCH(9.99E+307,'Returns (Calc)'!$A:$A)+1)-'Price History'!Q3)*(ROW()-3)/(MATCH(9.99E+307,'Returns (Calc)'!$A:$A)-3),"")</f>
        <v>48.3303797468354</v>
      </c>
      <c r="AL113" s="156" t="n">
        <f aca="false">IFERROR('Price History'!R3+(INDEX('Price History'!R:R,MATCH(9.99E+307,'Returns (Calc)'!$A:$A)+1)-'Price History'!R3)*(ROW()-3)/(MATCH(9.99E+307,'Returns (Calc)'!$A:$A)-3),"")</f>
        <v>52.9711392405063</v>
      </c>
      <c r="AM113" s="156" t="n">
        <f aca="false">IFERROR('Price History'!S3+(INDEX('Price History'!S:S,MATCH(9.99E+307,'Returns (Calc)'!$A:$A)+1)-'Price History'!S3)*(ROW()-3)/(MATCH(9.99E+307,'Returns (Calc)'!$A:$A)-3),"")</f>
        <v>124.186962025316</v>
      </c>
      <c r="AN113" s="156" t="n">
        <f aca="false">IFERROR('Price History'!T3+(INDEX('Price History'!T:T,MATCH(9.99E+307,'Returns (Calc)'!$A:$A)+1)-'Price History'!T3)*(ROW()-3)/(MATCH(9.99E+307,'Returns (Calc)'!$A:$A)-3),"")</f>
        <v>43.7450632911392</v>
      </c>
      <c r="AO113" s="157" t="n">
        <f aca="false">IFERROR('Price History'!V3+(INDEX('Price History'!V:V,MATCH(9.99E+307,'Returns (Calc)'!$A:$A)+1)-'Price History'!V3)*(ROW()-3)/(MATCH(9.99E+307,'Returns (Calc)'!$A:$A)-3),"")</f>
        <v>322.676202531646</v>
      </c>
      <c r="AP113" s="155" t="n">
        <f aca="false">IFERROR(IF(OR(NOT(ISNUMBER('Price History'!W114)),NOT(ISNUMBER('Price History'!W113)),'Price History'!W113=0),"",'Price History'!W114/'Price History'!W113-1),"")</f>
        <v>-0.00737847222222232</v>
      </c>
      <c r="AQ113" s="155" t="str">
        <f aca="false">IFERROR(IF(OR(NOT(ISNUMBER('Price History'!X114)),NOT(ISNUMBER('Price History'!X113)),'Price History'!X113=0),"",'Price History'!X114/'Price History'!X113-1),"")</f>
        <v/>
      </c>
      <c r="AR113" s="155" t="n">
        <f aca="false">IFERROR(IF(OR(NOT(ISNUMBER('Price History'!Y114)),NOT(ISNUMBER('Price History'!Y113)),'Price History'!Y113=0),"",'Price History'!Y114/'Price History'!Y113-1),"")</f>
        <v>-0.00999057492931188</v>
      </c>
      <c r="AS113" s="155" t="n">
        <f aca="false">IFERROR(IF(OR(NOT(ISNUMBER('Price History'!Z114)),NOT(ISNUMBER('Price History'!Z113)),'Price History'!Z113=0),"",'Price History'!Z114/'Price History'!Z113-1),"")</f>
        <v>0.0167162206805418</v>
      </c>
      <c r="AT113" s="155" t="n">
        <f aca="false">IFERROR(IF(OR(NOT(ISNUMBER('Price History'!AA114)),NOT(ISNUMBER('Price History'!AA113)),'Price History'!AA113=0),"",'Price History'!AA114/'Price History'!AA113-1),"")</f>
        <v>0.0221065131999634</v>
      </c>
      <c r="AU113" s="155" t="n">
        <f aca="false">IFERROR(IF(OR(NOT(ISNUMBER('Price History'!AB114)),NOT(ISNUMBER('Price History'!AB113)),'Price History'!AB113=0),"",'Price History'!AB114/'Price History'!AB113-1),"")</f>
        <v>-0.00621118012422361</v>
      </c>
    </row>
    <row r="114" customFormat="false" ht="15" hidden="false" customHeight="true" outlineLevel="0" collapsed="false">
      <c r="A114" s="153" t="n">
        <f aca="false">IF('Price History'!A115="","",'Price History'!A115)</f>
        <v>45968</v>
      </c>
      <c r="B114" s="154" t="n">
        <f aca="false">IFERROR(IF(OR(NOT(ISNUMBER('Price History'!B115)),NOT(ISNUMBER('Price History'!B114)),'Price History'!B114=0),"",'Price History'!B115/'Price History'!B114-1),"")</f>
        <v>-0.0392583232934678</v>
      </c>
      <c r="C114" s="154" t="n">
        <f aca="false">IFERROR(IF(OR(NOT(ISNUMBER('Price History'!C115)),NOT(ISNUMBER('Price History'!C114)),'Price History'!C114=0),"",'Price History'!C115/'Price History'!C114-1),"")</f>
        <v>-0.146109455260321</v>
      </c>
      <c r="D114" s="154" t="n">
        <f aca="false">IFERROR(IF(OR(NOT(ISNUMBER('Price History'!D115)),NOT(ISNUMBER('Price History'!D114)),'Price History'!D114=0),"",'Price History'!D115/'Price History'!D114-1),"")</f>
        <v>-0.0399081742034018</v>
      </c>
      <c r="E114" s="154" t="n">
        <f aca="false">IFERROR(IF(OR(NOT(ISNUMBER('Price History'!E115)),NOT(ISNUMBER('Price History'!E114)),'Price History'!E114=0),"",'Price History'!E115/'Price History'!E114-1),"")</f>
        <v>-0.0546470427909511</v>
      </c>
      <c r="F114" s="154" t="n">
        <f aca="false">IFERROR(IF(OR(NOT(ISNUMBER('Price History'!F115)),NOT(ISNUMBER('Price History'!F114)),'Price History'!F114=0),"",'Price History'!F115/'Price History'!F114-1),"")</f>
        <v>-0.00589318600368327</v>
      </c>
      <c r="G114" s="154" t="n">
        <f aca="false">IFERROR(IF(OR(NOT(ISNUMBER('Price History'!G115)),NOT(ISNUMBER('Price History'!G114)),'Price History'!G114=0),"",'Price History'!G115/'Price History'!G114-1),"")</f>
        <v>-0.0127256092489395</v>
      </c>
      <c r="H114" s="154" t="n">
        <f aca="false">IFERROR(IF(OR(NOT(ISNUMBER('Price History'!H115)),NOT(ISNUMBER('Price History'!H114)),'Price History'!H114=0),"",'Price History'!H115/'Price History'!H114-1),"")</f>
        <v>0.0632520688883917</v>
      </c>
      <c r="I114" s="154" t="n">
        <f aca="false">IFERROR(IF(OR(NOT(ISNUMBER('Price History'!I115)),NOT(ISNUMBER('Price History'!I114)),'Price History'!I114=0),"",'Price History'!I115/'Price History'!I114-1),"")</f>
        <v>-0.0708380773229048</v>
      </c>
      <c r="J114" s="154" t="n">
        <f aca="false">IFERROR(IF(OR(NOT(ISNUMBER('Price History'!J115)),NOT(ISNUMBER('Price History'!J114)),'Price History'!J114=0),"",'Price History'!J115/'Price History'!J114-1),"")</f>
        <v>0.012218435707755</v>
      </c>
      <c r="K114" s="154" t="n">
        <f aca="false">IFERROR(IF(OR(NOT(ISNUMBER('Price History'!K115)),NOT(ISNUMBER('Price History'!K114)),'Price History'!K114=0),"",'Price History'!K115/'Price History'!K114-1),"")</f>
        <v>-0.112435775926573</v>
      </c>
      <c r="L114" s="154" t="n">
        <f aca="false">IFERROR(IF(OR(NOT(ISNUMBER('Price History'!L115)),NOT(ISNUMBER('Price History'!L114)),'Price History'!L114=0),"",'Price History'!L115/'Price History'!L114-1),"")</f>
        <v>-0.046353606027987</v>
      </c>
      <c r="M114" s="154" t="n">
        <f aca="false">IFERROR(IF(OR(NOT(ISNUMBER('Price History'!M115)),NOT(ISNUMBER('Price History'!M114)),'Price History'!M114=0),"",'Price History'!M115/'Price History'!M114-1),"")</f>
        <v>-0.0676875162211263</v>
      </c>
      <c r="N114" s="154" t="n">
        <f aca="false">IFERROR(IF(OR(NOT(ISNUMBER('Price History'!N115)),NOT(ISNUMBER('Price History'!N114)),'Price History'!N114=0),"",'Price History'!N115/'Price History'!N114-1),"")</f>
        <v>-0.0378316140705406</v>
      </c>
      <c r="O114" s="154" t="n">
        <f aca="false">IFERROR(IF(OR(NOT(ISNUMBER('Price History'!O115)),NOT(ISNUMBER('Price History'!O114)),'Price History'!O114=0),"",'Price History'!O115/'Price History'!O114-1),"")</f>
        <v>-0.000621632822213059</v>
      </c>
      <c r="P114" s="154" t="n">
        <f aca="false">IFERROR(IF(OR(NOT(ISNUMBER('Price History'!P115)),NOT(ISNUMBER('Price History'!P114)),'Price History'!P114=0),"",'Price History'!P115/'Price History'!P114-1),"")</f>
        <v>0.00744102983852968</v>
      </c>
      <c r="Q114" s="154" t="n">
        <f aca="false">IFERROR(IF(OR(NOT(ISNUMBER('Price History'!Q115)),NOT(ISNUMBER('Price History'!Q114)),'Price History'!Q114=0),"",'Price History'!Q115/'Price History'!Q114-1),"")</f>
        <v>-0.00505979760809561</v>
      </c>
      <c r="R114" s="154" t="n">
        <f aca="false">IFERROR(IF(OR(NOT(ISNUMBER('Price History'!R115)),NOT(ISNUMBER('Price History'!R114)),'Price History'!R114=0),"",'Price History'!R115/'Price History'!R114-1),"")</f>
        <v>-0.0155923179311657</v>
      </c>
      <c r="S114" s="154" t="n">
        <f aca="false">IFERROR(IF(OR(NOT(ISNUMBER('Price History'!S115)),NOT(ISNUMBER('Price History'!S114)),'Price History'!S114=0),"",'Price History'!S115/'Price History'!S114-1),"")</f>
        <v>-0.0260192243950945</v>
      </c>
      <c r="T114" s="154" t="n">
        <f aca="false">IFERROR(IF(OR(NOT(ISNUMBER('Price History'!T115)),NOT(ISNUMBER('Price History'!T114)),'Price History'!T114=0),"",'Price History'!T115/'Price History'!T114-1),"")</f>
        <v>0.00213846565089559</v>
      </c>
      <c r="U114" s="154" t="n">
        <f aca="false">IFERROR(IF(OR(NOT(ISNUMBER('Price History'!U115)),NOT(ISNUMBER('Price History'!U114)),'Price History'!U114=0),"",'Price History'!U115/'Price History'!U114-1),"")</f>
        <v>-0.00116099071207432</v>
      </c>
      <c r="V114" s="155" t="n">
        <f aca="false">IFERROR(IF(OR(NOT(ISNUMBER('Price History'!V115)),NOT(ISNUMBER('Price History'!V114)),'Price History'!V114=0),"",'Price History'!V115/'Price History'!V114-1),"")</f>
        <v>-0.0138740977399124</v>
      </c>
      <c r="W114" s="156" t="n">
        <f aca="false">IFERROR('Price History'!B3+(INDEX('Price History'!B:B,MATCH(9.99E+307,'Returns (Calc)'!$A:$A)+1)-'Price History'!B3)*(ROW()-3)/(MATCH(9.99E+307,'Returns (Calc)'!$A:$A)-3),"")</f>
        <v>324.312784810127</v>
      </c>
      <c r="X114" s="156" t="n">
        <f aca="false">IFERROR('Price History'!C3+(INDEX('Price History'!C:C,MATCH(9.99E+307,'Returns (Calc)'!$A:$A)+1)-'Price History'!C3)*(ROW()-3)/(MATCH(9.99E+307,'Returns (Calc)'!$A:$A)-3),"")</f>
        <v>159.407025316456</v>
      </c>
      <c r="Y114" s="156" t="n">
        <f aca="false">IFERROR('Price History'!D3+(INDEX('Price History'!D:D,MATCH(9.99E+307,'Returns (Calc)'!$A:$A)+1)-'Price History'!D3)*(ROW()-3)/(MATCH(9.99E+307,'Returns (Calc)'!$A:$A)-3),"")</f>
        <v>1484.97392405063</v>
      </c>
      <c r="Z114" s="156" t="n">
        <f aca="false">IFERROR('Price History'!E3+(INDEX('Price History'!E:E,MATCH(9.99E+307,'Returns (Calc)'!$A:$A)+1)-'Price History'!E3)*(ROW()-3)/(MATCH(9.99E+307,'Returns (Calc)'!$A:$A)-3),"")</f>
        <v>273.889493670886</v>
      </c>
      <c r="AA114" s="156" t="n">
        <f aca="false">IFERROR('Price History'!F3+(INDEX('Price History'!F:F,MATCH(9.99E+307,'Returns (Calc)'!$A:$A)+1)-'Price History'!F3)*(ROW()-3)/(MATCH(9.99E+307,'Returns (Calc)'!$A:$A)-3),"")</f>
        <v>202.014936708861</v>
      </c>
      <c r="AB114" s="156" t="n">
        <f aca="false">IFERROR('Price History'!G3+(INDEX('Price History'!G:G,MATCH(9.99E+307,'Returns (Calc)'!$A:$A)+1)-'Price History'!G3)*(ROW()-3)/(MATCH(9.99E+307,'Returns (Calc)'!$A:$A)-3),"")</f>
        <v>158.539493670886</v>
      </c>
      <c r="AC114" s="156" t="n">
        <f aca="false">IFERROR('Price History'!H3+(INDEX('Price History'!H:H,MATCH(9.99E+307,'Returns (Calc)'!$A:$A)+1)-'Price History'!H3)*(ROW()-3)/(MATCH(9.99E+307,'Returns (Calc)'!$A:$A)-3),"")</f>
        <v>775.702278481013</v>
      </c>
      <c r="AD114" s="156" t="n">
        <f aca="false">IFERROR('Price History'!I3+(INDEX('Price History'!I:I,MATCH(9.99E+307,'Returns (Calc)'!$A:$A)+1)-'Price History'!I3)*(ROW()-3)/(MATCH(9.99E+307,'Returns (Calc)'!$A:$A)-3),"")</f>
        <v>177.37746835443</v>
      </c>
      <c r="AE114" s="156" t="n">
        <f aca="false">IFERROR('Price History'!J3+(INDEX('Price History'!J:J,MATCH(9.99E+307,'Returns (Calc)'!$A:$A)+1)-'Price History'!J3)*(ROW()-3)/(MATCH(9.99E+307,'Returns (Calc)'!$A:$A)-3),"")</f>
        <v>123.832215189873</v>
      </c>
      <c r="AF114" s="156" t="n">
        <f aca="false">IFERROR('Price History'!K3+(INDEX('Price History'!K:K,MATCH(9.99E+307,'Returns (Calc)'!$A:$A)+1)-'Price History'!K3)*(ROW()-3)/(MATCH(9.99E+307,'Returns (Calc)'!$A:$A)-3),"")</f>
        <v>137.163037974684</v>
      </c>
      <c r="AG114" s="156" t="n">
        <f aca="false">IFERROR('Price History'!L3+(INDEX('Price History'!L:L,MATCH(9.99E+307,'Returns (Calc)'!$A:$A)+1)-'Price History'!L3)*(ROW()-3)/(MATCH(9.99E+307,'Returns (Calc)'!$A:$A)-3),"")</f>
        <v>357.65082278481</v>
      </c>
      <c r="AH114" s="156" t="n">
        <f aca="false">IFERROR('Price History'!M3+(INDEX('Price History'!M:M,MATCH(9.99E+307,'Returns (Calc)'!$A:$A)+1)-'Price History'!M3)*(ROW()-3)/(MATCH(9.99E+307,'Returns (Calc)'!$A:$A)-3),"")</f>
        <v>188.47417721519</v>
      </c>
      <c r="AI114" s="156" t="n">
        <f aca="false">IFERROR('Price History'!N3+(INDEX('Price History'!N:N,MATCH(9.99E+307,'Returns (Calc)'!$A:$A)+1)-'Price History'!N3)*(ROW()-3)/(MATCH(9.99E+307,'Returns (Calc)'!$A:$A)-3),"")</f>
        <v>458.375506329114</v>
      </c>
      <c r="AJ114" s="156" t="n">
        <f aca="false">IFERROR('Price History'!O3+(INDEX('Price History'!O:O,MATCH(9.99E+307,'Returns (Calc)'!$A:$A)+1)-'Price History'!O3)*(ROW()-3)/(MATCH(9.99E+307,'Returns (Calc)'!$A:$A)-3),"")</f>
        <v>106.727215189873</v>
      </c>
      <c r="AK114" s="156" t="n">
        <f aca="false">IFERROR('Price History'!Q3+(INDEX('Price History'!Q:Q,MATCH(9.99E+307,'Returns (Calc)'!$A:$A)+1)-'Price History'!Q3)*(ROW()-3)/(MATCH(9.99E+307,'Returns (Calc)'!$A:$A)-3),"")</f>
        <v>48.769746835443</v>
      </c>
      <c r="AL114" s="156" t="n">
        <f aca="false">IFERROR('Price History'!R3+(INDEX('Price History'!R:R,MATCH(9.99E+307,'Returns (Calc)'!$A:$A)+1)-'Price History'!R3)*(ROW()-3)/(MATCH(9.99E+307,'Returns (Calc)'!$A:$A)-3),"")</f>
        <v>53.1392405063291</v>
      </c>
      <c r="AM114" s="156" t="n">
        <f aca="false">IFERROR('Price History'!S3+(INDEX('Price History'!S:S,MATCH(9.99E+307,'Returns (Calc)'!$A:$A)+1)-'Price History'!S3)*(ROW()-3)/(MATCH(9.99E+307,'Returns (Calc)'!$A:$A)-3),"")</f>
        <v>124.792025316456</v>
      </c>
      <c r="AN114" s="156" t="n">
        <f aca="false">IFERROR('Price History'!T3+(INDEX('Price History'!T:T,MATCH(9.99E+307,'Returns (Calc)'!$A:$A)+1)-'Price History'!T3)*(ROW()-3)/(MATCH(9.99E+307,'Returns (Calc)'!$A:$A)-3),"")</f>
        <v>43.9132911392405</v>
      </c>
      <c r="AO114" s="157" t="n">
        <f aca="false">IFERROR('Price History'!V3+(INDEX('Price History'!V:V,MATCH(9.99E+307,'Returns (Calc)'!$A:$A)+1)-'Price History'!V3)*(ROW()-3)/(MATCH(9.99E+307,'Returns (Calc)'!$A:$A)-3),"")</f>
        <v>323.46753164557</v>
      </c>
      <c r="AP114" s="155" t="n">
        <f aca="false">IFERROR(IF(OR(NOT(ISNUMBER('Price History'!W115)),NOT(ISNUMBER('Price History'!W114)),'Price History'!W114=0),"",'Price History'!W115/'Price History'!W114-1),"")</f>
        <v>-0.00218627022299966</v>
      </c>
      <c r="AQ114" s="155" t="str">
        <f aca="false">IFERROR(IF(OR(NOT(ISNUMBER('Price History'!X115)),NOT(ISNUMBER('Price History'!X114)),'Price History'!X114=0),"",'Price History'!X115/'Price History'!X114-1),"")</f>
        <v/>
      </c>
      <c r="AR114" s="155" t="n">
        <f aca="false">IFERROR(IF(OR(NOT(ISNUMBER('Price History'!Y115)),NOT(ISNUMBER('Price History'!Y114)),'Price History'!Y114=0),"",'Price History'!Y115/'Price History'!Y114-1),"")</f>
        <v>-0.00152322924600168</v>
      </c>
      <c r="AS114" s="155" t="n">
        <f aca="false">IFERROR(IF(OR(NOT(ISNUMBER('Price History'!Z115)),NOT(ISNUMBER('Price History'!Z114)),'Price History'!Z114=0),"",'Price History'!Z115/'Price History'!Z114-1),"")</f>
        <v>-0.00542630621263329</v>
      </c>
      <c r="AT114" s="155" t="n">
        <f aca="false">IFERROR(IF(OR(NOT(ISNUMBER('Price History'!AA115)),NOT(ISNUMBER('Price History'!AA114)),'Price History'!AA114=0),"",'Price History'!AA115/'Price History'!AA114-1),"")</f>
        <v>-0.0135847707569935</v>
      </c>
      <c r="AU114" s="155" t="n">
        <f aca="false">IFERROR(IF(OR(NOT(ISNUMBER('Price History'!AB115)),NOT(ISNUMBER('Price History'!AB114)),'Price History'!AB114=0),"",'Price History'!AB115/'Price History'!AB114-1),"")</f>
        <v>0.0125686813186814</v>
      </c>
    </row>
    <row r="115" customFormat="false" ht="15" hidden="false" customHeight="true" outlineLevel="0" collapsed="false">
      <c r="A115" s="153" t="n">
        <f aca="false">IF('Price History'!A116="","",'Price History'!A116)</f>
        <v>45975</v>
      </c>
      <c r="B115" s="154" t="n">
        <f aca="false">IFERROR(IF(OR(NOT(ISNUMBER('Price History'!B116)),NOT(ISNUMBER('Price History'!B115)),'Price History'!B115=0),"",'Price History'!B116/'Price History'!B115-1),"")</f>
        <v>0.0127236580516898</v>
      </c>
      <c r="C115" s="154" t="n">
        <f aca="false">IFERROR(IF(OR(NOT(ISNUMBER('Price History'!C116)),NOT(ISNUMBER('Price History'!C115)),'Price History'!C115=0),"",'Price History'!C116/'Price History'!C115-1),"")</f>
        <v>-0.024359450427033</v>
      </c>
      <c r="D115" s="154" t="n">
        <f aca="false">IFERROR(IF(OR(NOT(ISNUMBER('Price History'!D116)),NOT(ISNUMBER('Price History'!D115)),'Price History'!D115=0),"",'Price History'!D116/'Price History'!D115-1),"")</f>
        <v>-0.00981128347001292</v>
      </c>
      <c r="E115" s="154" t="n">
        <f aca="false">IFERROR(IF(OR(NOT(ISNUMBER('Price History'!E116)),NOT(ISNUMBER('Price History'!E115)),'Price History'!E115=0),"",'Price History'!E116/'Price History'!E115-1),"")</f>
        <v>-0.0199509874585556</v>
      </c>
      <c r="F115" s="154" t="n">
        <f aca="false">IFERROR(IF(OR(NOT(ISNUMBER('Price History'!F116)),NOT(ISNUMBER('Price History'!F115)),'Price History'!F115=0),"",'Price History'!F116/'Price History'!F115-1),"")</f>
        <v>-0.00414968506854396</v>
      </c>
      <c r="G115" s="154" t="n">
        <f aca="false">IFERROR(IF(OR(NOT(ISNUMBER('Price History'!G116)),NOT(ISNUMBER('Price History'!G115)),'Price History'!G115=0),"",'Price History'!G116/'Price History'!G115-1),"")</f>
        <v>-0.0495366470092672</v>
      </c>
      <c r="H115" s="154" t="n">
        <f aca="false">IFERROR(IF(OR(NOT(ISNUMBER('Price History'!H116)),NOT(ISNUMBER('Price History'!H115)),'Price History'!H115=0),"",'Price History'!H116/'Price History'!H115-1),"")</f>
        <v>0.0374437292271446</v>
      </c>
      <c r="I115" s="154" t="n">
        <f aca="false">IFERROR(IF(OR(NOT(ISNUMBER('Price History'!I116)),NOT(ISNUMBER('Price History'!I115)),'Price History'!I115=0),"",'Price History'!I116/'Price History'!I115-1),"")</f>
        <v>0.0107618540223762</v>
      </c>
      <c r="J115" s="154" t="n">
        <f aca="false">IFERROR(IF(OR(NOT(ISNUMBER('Price History'!J116)),NOT(ISNUMBER('Price History'!J115)),'Price History'!J115=0),"",'Price History'!J116/'Price History'!J115-1),"")</f>
        <v>-0.0220890129742157</v>
      </c>
      <c r="K115" s="154" t="n">
        <f aca="false">IFERROR(IF(OR(NOT(ISNUMBER('Price History'!K116)),NOT(ISNUMBER('Price History'!K115)),'Price History'!K115=0),"",'Price History'!K116/'Price History'!K115-1),"")</f>
        <v>-0.0220311358399371</v>
      </c>
      <c r="L115" s="154" t="n">
        <f aca="false">IFERROR(IF(OR(NOT(ISNUMBER('Price History'!L116)),NOT(ISNUMBER('Price History'!L115)),'Price History'!L115=0),"",'Price History'!L116/'Price History'!L115-1),"")</f>
        <v>-0.0058553791887126</v>
      </c>
      <c r="M115" s="154" t="n">
        <f aca="false">IFERROR(IF(OR(NOT(ISNUMBER('Price History'!M116)),NOT(ISNUMBER('Price History'!M115)),'Price History'!M115=0),"",'Price History'!M116/'Price History'!M115-1),"")</f>
        <v>-0.0491063971939203</v>
      </c>
      <c r="N115" s="154" t="n">
        <f aca="false">IFERROR(IF(OR(NOT(ISNUMBER('Price History'!N116)),NOT(ISNUMBER('Price History'!N115)),'Price History'!N115=0),"",'Price History'!N116/'Price History'!N115-1),"")</f>
        <v>0.0675995799448066</v>
      </c>
      <c r="O115" s="154" t="n">
        <f aca="false">IFERROR(IF(OR(NOT(ISNUMBER('Price History'!O116)),NOT(ISNUMBER('Price History'!O115)),'Price History'!O115=0),"",'Price History'!O116/'Price History'!O115-1),"")</f>
        <v>-0.00145137880986934</v>
      </c>
      <c r="P115" s="154" t="n">
        <f aca="false">IFERROR(IF(OR(NOT(ISNUMBER('Price History'!P116)),NOT(ISNUMBER('Price History'!P115)),'Price History'!P115=0),"",'Price History'!P116/'Price History'!P115-1),"")</f>
        <v>0.00310214934633302</v>
      </c>
      <c r="Q115" s="154" t="n">
        <f aca="false">IFERROR(IF(OR(NOT(ISNUMBER('Price History'!Q116)),NOT(ISNUMBER('Price History'!Q115)),'Price History'!Q115=0),"",'Price History'!Q116/'Price History'!Q115-1),"")</f>
        <v>0.00154106950223443</v>
      </c>
      <c r="R115" s="154" t="n">
        <f aca="false">IFERROR(IF(OR(NOT(ISNUMBER('Price History'!R116)),NOT(ISNUMBER('Price History'!R115)),'Price History'!R115=0),"",'Price History'!R116/'Price History'!R115-1),"")</f>
        <v>0.0019316206297082</v>
      </c>
      <c r="S115" s="154" t="n">
        <f aca="false">IFERROR(IF(OR(NOT(ISNUMBER('Price History'!S116)),NOT(ISNUMBER('Price History'!S115)),'Price History'!S115=0),"",'Price History'!S116/'Price History'!S115-1),"")</f>
        <v>-0.00595541943168287</v>
      </c>
      <c r="T115" s="154" t="n">
        <f aca="false">IFERROR(IF(OR(NOT(ISNUMBER('Price History'!T116)),NOT(ISNUMBER('Price History'!T115)),'Price History'!T115=0),"",'Price History'!T116/'Price History'!T115-1),"")</f>
        <v>0.0112029874633235</v>
      </c>
      <c r="U115" s="154" t="n">
        <f aca="false">IFERROR(IF(OR(NOT(ISNUMBER('Price History'!U116)),NOT(ISNUMBER('Price History'!U115)),'Price History'!U115=0),"",'Price History'!U116/'Price History'!U115-1),"")</f>
        <v>0.0197597830298335</v>
      </c>
      <c r="V115" s="155" t="n">
        <f aca="false">IFERROR(IF(OR(NOT(ISNUMBER('Price History'!V116)),NOT(ISNUMBER('Price History'!V115)),'Price History'!V115=0),"",'Price History'!V116/'Price History'!V115-1),"")</f>
        <v>-0.0158992050397481</v>
      </c>
      <c r="W115" s="156" t="n">
        <f aca="false">IFERROR('Price History'!B3+(INDEX('Price History'!B:B,MATCH(9.99E+307,'Returns (Calc)'!$A:$A)+1)-'Price History'!B3)*(ROW()-3)/(MATCH(9.99E+307,'Returns (Calc)'!$A:$A)-3),"")</f>
        <v>322.469746835443</v>
      </c>
      <c r="X115" s="156" t="n">
        <f aca="false">IFERROR('Price History'!C3+(INDEX('Price History'!C:C,MATCH(9.99E+307,'Returns (Calc)'!$A:$A)+1)-'Price History'!C3)*(ROW()-3)/(MATCH(9.99E+307,'Returns (Calc)'!$A:$A)-3),"")</f>
        <v>160.427088607595</v>
      </c>
      <c r="Y115" s="156" t="n">
        <f aca="false">IFERROR('Price History'!D3+(INDEX('Price History'!D:D,MATCH(9.99E+307,'Returns (Calc)'!$A:$A)+1)-'Price History'!D3)*(ROW()-3)/(MATCH(9.99E+307,'Returns (Calc)'!$A:$A)-3),"")</f>
        <v>1493.10873417722</v>
      </c>
      <c r="Z115" s="156" t="n">
        <f aca="false">IFERROR('Price History'!E3+(INDEX('Price History'!E:E,MATCH(9.99E+307,'Returns (Calc)'!$A:$A)+1)-'Price History'!E3)*(ROW()-3)/(MATCH(9.99E+307,'Returns (Calc)'!$A:$A)-3),"")</f>
        <v>275.618227848101</v>
      </c>
      <c r="AA115" s="156" t="n">
        <f aca="false">IFERROR('Price History'!F3+(INDEX('Price History'!F:F,MATCH(9.99E+307,'Returns (Calc)'!$A:$A)+1)-'Price History'!F3)*(ROW()-3)/(MATCH(9.99E+307,'Returns (Calc)'!$A:$A)-3),"")</f>
        <v>203.462278481013</v>
      </c>
      <c r="AB115" s="156" t="n">
        <f aca="false">IFERROR('Price History'!G3+(INDEX('Price History'!G:G,MATCH(9.99E+307,'Returns (Calc)'!$A:$A)+1)-'Price History'!G3)*(ROW()-3)/(MATCH(9.99E+307,'Returns (Calc)'!$A:$A)-3),"")</f>
        <v>159.568227848101</v>
      </c>
      <c r="AC115" s="156" t="n">
        <f aca="false">IFERROR('Price History'!H3+(INDEX('Price History'!H:H,MATCH(9.99E+307,'Returns (Calc)'!$A:$A)+1)-'Price History'!H3)*(ROW()-3)/(MATCH(9.99E+307,'Returns (Calc)'!$A:$A)-3),"")</f>
        <v>782.067974683544</v>
      </c>
      <c r="AD115" s="156" t="n">
        <f aca="false">IFERROR('Price History'!I3+(INDEX('Price History'!I:I,MATCH(9.99E+307,'Returns (Calc)'!$A:$A)+1)-'Price History'!I3)*(ROW()-3)/(MATCH(9.99E+307,'Returns (Calc)'!$A:$A)-3),"")</f>
        <v>178.581139240506</v>
      </c>
      <c r="AE115" s="156" t="n">
        <f aca="false">IFERROR('Price History'!J3+(INDEX('Price History'!J:J,MATCH(9.99E+307,'Returns (Calc)'!$A:$A)+1)-'Price History'!J3)*(ROW()-3)/(MATCH(9.99E+307,'Returns (Calc)'!$A:$A)-3),"")</f>
        <v>123.940253164557</v>
      </c>
      <c r="AF115" s="156" t="n">
        <f aca="false">IFERROR('Price History'!K3+(INDEX('Price History'!K:K,MATCH(9.99E+307,'Returns (Calc)'!$A:$A)+1)-'Price History'!K3)*(ROW()-3)/(MATCH(9.99E+307,'Returns (Calc)'!$A:$A)-3),"")</f>
        <v>138.260632911392</v>
      </c>
      <c r="AG115" s="156" t="n">
        <f aca="false">IFERROR('Price History'!L3+(INDEX('Price History'!L:L,MATCH(9.99E+307,'Returns (Calc)'!$A:$A)+1)-'Price History'!L3)*(ROW()-3)/(MATCH(9.99E+307,'Returns (Calc)'!$A:$A)-3),"")</f>
        <v>360.100379746836</v>
      </c>
      <c r="AH115" s="156" t="n">
        <f aca="false">IFERROR('Price History'!M3+(INDEX('Price History'!M:M,MATCH(9.99E+307,'Returns (Calc)'!$A:$A)+1)-'Price History'!M3)*(ROW()-3)/(MATCH(9.99E+307,'Returns (Calc)'!$A:$A)-3),"")</f>
        <v>189.829620253165</v>
      </c>
      <c r="AI115" s="156" t="n">
        <f aca="false">IFERROR('Price History'!N3+(INDEX('Price History'!N:N,MATCH(9.99E+307,'Returns (Calc)'!$A:$A)+1)-'Price History'!N3)*(ROW()-3)/(MATCH(9.99E+307,'Returns (Calc)'!$A:$A)-3),"")</f>
        <v>459.361772151899</v>
      </c>
      <c r="AJ115" s="156" t="n">
        <f aca="false">IFERROR('Price History'!O3+(INDEX('Price History'!O:O,MATCH(9.99E+307,'Returns (Calc)'!$A:$A)+1)-'Price History'!O3)*(ROW()-3)/(MATCH(9.99E+307,'Returns (Calc)'!$A:$A)-3),"")</f>
        <v>107.010253164557</v>
      </c>
      <c r="AK115" s="156" t="n">
        <f aca="false">IFERROR('Price History'!Q3+(INDEX('Price History'!Q:Q,MATCH(9.99E+307,'Returns (Calc)'!$A:$A)+1)-'Price History'!Q3)*(ROW()-3)/(MATCH(9.99E+307,'Returns (Calc)'!$A:$A)-3),"")</f>
        <v>49.2091139240506</v>
      </c>
      <c r="AL115" s="156" t="n">
        <f aca="false">IFERROR('Price History'!R3+(INDEX('Price History'!R:R,MATCH(9.99E+307,'Returns (Calc)'!$A:$A)+1)-'Price History'!R3)*(ROW()-3)/(MATCH(9.99E+307,'Returns (Calc)'!$A:$A)-3),"")</f>
        <v>53.3073417721519</v>
      </c>
      <c r="AM115" s="156" t="n">
        <f aca="false">IFERROR('Price History'!S3+(INDEX('Price History'!S:S,MATCH(9.99E+307,'Returns (Calc)'!$A:$A)+1)-'Price History'!S3)*(ROW()-3)/(MATCH(9.99E+307,'Returns (Calc)'!$A:$A)-3),"")</f>
        <v>125.397088607595</v>
      </c>
      <c r="AN115" s="156" t="n">
        <f aca="false">IFERROR('Price History'!T3+(INDEX('Price History'!T:T,MATCH(9.99E+307,'Returns (Calc)'!$A:$A)+1)-'Price History'!T3)*(ROW()-3)/(MATCH(9.99E+307,'Returns (Calc)'!$A:$A)-3),"")</f>
        <v>44.0815189873418</v>
      </c>
      <c r="AO115" s="157" t="n">
        <f aca="false">IFERROR('Price History'!V3+(INDEX('Price History'!V:V,MATCH(9.99E+307,'Returns (Calc)'!$A:$A)+1)-'Price History'!V3)*(ROW()-3)/(MATCH(9.99E+307,'Returns (Calc)'!$A:$A)-3),"")</f>
        <v>324.258860759494</v>
      </c>
      <c r="AP115" s="155" t="n">
        <f aca="false">IFERROR(IF(OR(NOT(ISNUMBER('Price History'!W116)),NOT(ISNUMBER('Price History'!W115)),'Price History'!W115=0),"",'Price History'!W116/'Price History'!W115-1),"")</f>
        <v>0.00525854513584578</v>
      </c>
      <c r="AQ115" s="155" t="str">
        <f aca="false">IFERROR(IF(OR(NOT(ISNUMBER('Price History'!X116)),NOT(ISNUMBER('Price History'!X115)),'Price History'!X115=0),"",'Price History'!X116/'Price History'!X115-1),"")</f>
        <v/>
      </c>
      <c r="AR115" s="155" t="n">
        <f aca="false">IFERROR(IF(OR(NOT(ISNUMBER('Price History'!Y116)),NOT(ISNUMBER('Price History'!Y115)),'Price History'!Y115=0),"",'Price History'!Y116/'Price History'!Y115-1),"")</f>
        <v>0.00514874141876431</v>
      </c>
      <c r="AS115" s="155" t="n">
        <f aca="false">IFERROR(IF(OR(NOT(ISNUMBER('Price History'!Z116)),NOT(ISNUMBER('Price History'!Z115)),'Price History'!Z115=0),"",'Price History'!Z116/'Price History'!Z115-1),"")</f>
        <v>-0.00797151164690124</v>
      </c>
      <c r="AT115" s="155" t="n">
        <f aca="false">IFERROR(IF(OR(NOT(ISNUMBER('Price History'!AA116)),NOT(ISNUMBER('Price History'!AA115)),'Price History'!AA115=0),"",'Price History'!AA116/'Price History'!AA115-1),"")</f>
        <v>0.00770136812539635</v>
      </c>
      <c r="AU115" s="155" t="n">
        <f aca="false">IFERROR(IF(OR(NOT(ISNUMBER('Price History'!AB116)),NOT(ISNUMBER('Price History'!AB115)),'Price History'!AB115=0),"",'Price History'!AB116/'Price History'!AB115-1),"")</f>
        <v>-0.00508716000813947</v>
      </c>
    </row>
    <row r="116" customFormat="false" ht="15" hidden="false" customHeight="true" outlineLevel="0" collapsed="false">
      <c r="A116" s="153" t="n">
        <f aca="false">IF('Price History'!A117="","",'Price History'!A117)</f>
        <v>45982</v>
      </c>
      <c r="B116" s="154" t="n">
        <f aca="false">IFERROR(IF(OR(NOT(ISNUMBER('Price History'!B117)),NOT(ISNUMBER('Price History'!B116)),'Price History'!B116=0),"",'Price History'!B117/'Price History'!B116-1),"")</f>
        <v>-0.0208993989912718</v>
      </c>
      <c r="C116" s="154" t="n">
        <f aca="false">IFERROR(IF(OR(NOT(ISNUMBER('Price History'!C117)),NOT(ISNUMBER('Price History'!C116)),'Price History'!C116=0),"",'Price History'!C117/'Price History'!C116-1),"")</f>
        <v>-0.106112506660577</v>
      </c>
      <c r="D116" s="154" t="n">
        <f aca="false">IFERROR(IF(OR(NOT(ISNUMBER('Price History'!D117)),NOT(ISNUMBER('Price History'!D116)),'Price History'!D116=0),"",'Price History'!D117/'Price History'!D116-1),"")</f>
        <v>-0.0401329115818673</v>
      </c>
      <c r="E116" s="154" t="n">
        <f aca="false">IFERROR(IF(OR(NOT(ISNUMBER('Price History'!E117)),NOT(ISNUMBER('Price History'!E116)),'Price History'!E116=0),"",'Price History'!E117/'Price History'!E116-1),"")</f>
        <v>-0.00658959197481834</v>
      </c>
      <c r="F116" s="154" t="n">
        <f aca="false">IFERROR(IF(OR(NOT(ISNUMBER('Price History'!F117)),NOT(ISNUMBER('Price History'!F116)),'Price History'!F116=0),"",'Price History'!F117/'Price History'!F116-1),"")</f>
        <v>-0.0872088697075675</v>
      </c>
      <c r="G116" s="154" t="n">
        <f aca="false">IFERROR(IF(OR(NOT(ISNUMBER('Price History'!G117)),NOT(ISNUMBER('Price History'!G116)),'Price History'!G116=0),"",'Price History'!G117/'Price History'!G116-1),"")</f>
        <v>-0.0311115050522957</v>
      </c>
      <c r="H116" s="154" t="n">
        <f aca="false">IFERROR(IF(OR(NOT(ISNUMBER('Price History'!H117)),NOT(ISNUMBER('Price History'!H116)),'Price History'!H116=0),"",'Price History'!H117/'Price History'!H116-1),"")</f>
        <v>-0.159860497181556</v>
      </c>
      <c r="I116" s="154" t="n">
        <f aca="false">IFERROR(IF(OR(NOT(ISNUMBER('Price History'!I117)),NOT(ISNUMBER('Price History'!I116)),'Price History'!I116=0),"",'Price History'!I117/'Price History'!I116-1),"")</f>
        <v>-0.0594033312249631</v>
      </c>
      <c r="J116" s="154" t="n">
        <f aca="false">IFERROR(IF(OR(NOT(ISNUMBER('Price History'!J117)),NOT(ISNUMBER('Price History'!J116)),'Price History'!J116=0),"",'Price History'!J117/'Price History'!J116-1),"")</f>
        <v>0.0240994206062641</v>
      </c>
      <c r="K116" s="154" t="n">
        <f aca="false">IFERROR(IF(OR(NOT(ISNUMBER('Price History'!K117)),NOT(ISNUMBER('Price History'!K116)),'Price History'!K116=0),"",'Price History'!K117/'Price History'!K116-1),"")</f>
        <v>-0.110108614447446</v>
      </c>
      <c r="L116" s="154" t="n">
        <f aca="false">IFERROR(IF(OR(NOT(ISNUMBER('Price History'!L117)),NOT(ISNUMBER('Price History'!L116)),'Price History'!L116=0),"",'Price History'!L117/'Price History'!L116-1),"")</f>
        <v>-0.0342747658245812</v>
      </c>
      <c r="M116" s="154" t="n">
        <f aca="false">IFERROR(IF(OR(NOT(ISNUMBER('Price History'!M117)),NOT(ISNUMBER('Price History'!M116)),'Price History'!M116=0),"",'Price History'!M117/'Price History'!M116-1),"")</f>
        <v>-0.0651677498682592</v>
      </c>
      <c r="N116" s="154" t="n">
        <f aca="false">IFERROR(IF(OR(NOT(ISNUMBER('Price History'!N117)),NOT(ISNUMBER('Price History'!N116)),'Price History'!N116=0),"",'Price History'!N117/'Price History'!N116-1),"")</f>
        <v>-0.023767585496969</v>
      </c>
      <c r="O116" s="154" t="n">
        <f aca="false">IFERROR(IF(OR(NOT(ISNUMBER('Price History'!O117)),NOT(ISNUMBER('Price History'!O116)),'Price History'!O116=0),"",'Price History'!O117/'Price History'!O116-1),"")</f>
        <v>-0.00778654485049835</v>
      </c>
      <c r="P116" s="154" t="n">
        <f aca="false">IFERROR(IF(OR(NOT(ISNUMBER('Price History'!P117)),NOT(ISNUMBER('Price History'!P116)),'Price History'!P116=0),"",'Price History'!P117/'Price History'!P116-1),"")</f>
        <v>-0.00493336278624557</v>
      </c>
      <c r="Q116" s="154" t="n">
        <f aca="false">IFERROR(IF(OR(NOT(ISNUMBER('Price History'!Q117)),NOT(ISNUMBER('Price History'!Q116)),'Price History'!Q116=0),"",'Price History'!Q117/'Price History'!Q116-1),"")</f>
        <v>-0.00892444991537156</v>
      </c>
      <c r="R116" s="154" t="n">
        <f aca="false">IFERROR(IF(OR(NOT(ISNUMBER('Price History'!R117)),NOT(ISNUMBER('Price History'!R116)),'Price History'!R116=0),"",'Price History'!R117/'Price History'!R116-1),"")</f>
        <v>-0.0273761326392904</v>
      </c>
      <c r="S116" s="154" t="n">
        <f aca="false">IFERROR(IF(OR(NOT(ISNUMBER('Price History'!S117)),NOT(ISNUMBER('Price History'!S116)),'Price History'!S116=0),"",'Price History'!S117/'Price History'!S116-1),"")</f>
        <v>-0.029955494693598</v>
      </c>
      <c r="T116" s="154" t="n">
        <f aca="false">IFERROR(IF(OR(NOT(ISNUMBER('Price History'!T117)),NOT(ISNUMBER('Price History'!T116)),'Price History'!T116=0),"",'Price History'!T117/'Price History'!T116-1),"")</f>
        <v>-0.0200474808757584</v>
      </c>
      <c r="U116" s="154" t="n">
        <f aca="false">IFERROR(IF(OR(NOT(ISNUMBER('Price History'!U117)),NOT(ISNUMBER('Price History'!U116)),'Price History'!U116=0),"",'Price History'!U117/'Price History'!U116-1),"")</f>
        <v>-0.00531914893617025</v>
      </c>
      <c r="V116" s="155" t="n">
        <f aca="false">IFERROR(IF(OR(NOT(ISNUMBER('Price History'!V117)),NOT(ISNUMBER('Price History'!V116)),'Price History'!V116=0),"",'Price History'!V117/'Price History'!V116-1),"")</f>
        <v>-0.00618808108520053</v>
      </c>
      <c r="W116" s="156" t="n">
        <f aca="false">IFERROR('Price History'!B3+(INDEX('Price History'!B:B,MATCH(9.99E+307,'Returns (Calc)'!$A:$A)+1)-'Price History'!B3)*(ROW()-3)/(MATCH(9.99E+307,'Returns (Calc)'!$A:$A)-3),"")</f>
        <v>320.62670886076</v>
      </c>
      <c r="X116" s="156" t="n">
        <f aca="false">IFERROR('Price History'!C3+(INDEX('Price History'!C:C,MATCH(9.99E+307,'Returns (Calc)'!$A:$A)+1)-'Price History'!C3)*(ROW()-3)/(MATCH(9.99E+307,'Returns (Calc)'!$A:$A)-3),"")</f>
        <v>161.447151898734</v>
      </c>
      <c r="Y116" s="156" t="n">
        <f aca="false">IFERROR('Price History'!D3+(INDEX('Price History'!D:D,MATCH(9.99E+307,'Returns (Calc)'!$A:$A)+1)-'Price History'!D3)*(ROW()-3)/(MATCH(9.99E+307,'Returns (Calc)'!$A:$A)-3),"")</f>
        <v>1501.2435443038</v>
      </c>
      <c r="Z116" s="156" t="n">
        <f aca="false">IFERROR('Price History'!E3+(INDEX('Price History'!E:E,MATCH(9.99E+307,'Returns (Calc)'!$A:$A)+1)-'Price History'!E3)*(ROW()-3)/(MATCH(9.99E+307,'Returns (Calc)'!$A:$A)-3),"")</f>
        <v>277.346962025316</v>
      </c>
      <c r="AA116" s="156" t="n">
        <f aca="false">IFERROR('Price History'!F3+(INDEX('Price History'!F:F,MATCH(9.99E+307,'Returns (Calc)'!$A:$A)+1)-'Price History'!F3)*(ROW()-3)/(MATCH(9.99E+307,'Returns (Calc)'!$A:$A)-3),"")</f>
        <v>204.909620253165</v>
      </c>
      <c r="AB116" s="156" t="n">
        <f aca="false">IFERROR('Price History'!G3+(INDEX('Price History'!G:G,MATCH(9.99E+307,'Returns (Calc)'!$A:$A)+1)-'Price History'!G3)*(ROW()-3)/(MATCH(9.99E+307,'Returns (Calc)'!$A:$A)-3),"")</f>
        <v>160.596962025316</v>
      </c>
      <c r="AC116" s="156" t="n">
        <f aca="false">IFERROR('Price History'!H3+(INDEX('Price History'!H:H,MATCH(9.99E+307,'Returns (Calc)'!$A:$A)+1)-'Price History'!H3)*(ROW()-3)/(MATCH(9.99E+307,'Returns (Calc)'!$A:$A)-3),"")</f>
        <v>788.433670886076</v>
      </c>
      <c r="AD116" s="156" t="n">
        <f aca="false">IFERROR('Price History'!I3+(INDEX('Price History'!I:I,MATCH(9.99E+307,'Returns (Calc)'!$A:$A)+1)-'Price History'!I3)*(ROW()-3)/(MATCH(9.99E+307,'Returns (Calc)'!$A:$A)-3),"")</f>
        <v>179.784810126582</v>
      </c>
      <c r="AE116" s="156" t="n">
        <f aca="false">IFERROR('Price History'!J3+(INDEX('Price History'!J:J,MATCH(9.99E+307,'Returns (Calc)'!$A:$A)+1)-'Price History'!J3)*(ROW()-3)/(MATCH(9.99E+307,'Returns (Calc)'!$A:$A)-3),"")</f>
        <v>124.048291139241</v>
      </c>
      <c r="AF116" s="156" t="n">
        <f aca="false">IFERROR('Price History'!K3+(INDEX('Price History'!K:K,MATCH(9.99E+307,'Returns (Calc)'!$A:$A)+1)-'Price History'!K3)*(ROW()-3)/(MATCH(9.99E+307,'Returns (Calc)'!$A:$A)-3),"")</f>
        <v>139.358227848101</v>
      </c>
      <c r="AG116" s="156" t="n">
        <f aca="false">IFERROR('Price History'!L3+(INDEX('Price History'!L:L,MATCH(9.99E+307,'Returns (Calc)'!$A:$A)+1)-'Price History'!L3)*(ROW()-3)/(MATCH(9.99E+307,'Returns (Calc)'!$A:$A)-3),"")</f>
        <v>362.549936708861</v>
      </c>
      <c r="AH116" s="156" t="n">
        <f aca="false">IFERROR('Price History'!M3+(INDEX('Price History'!M:M,MATCH(9.99E+307,'Returns (Calc)'!$A:$A)+1)-'Price History'!M3)*(ROW()-3)/(MATCH(9.99E+307,'Returns (Calc)'!$A:$A)-3),"")</f>
        <v>191.185063291139</v>
      </c>
      <c r="AI116" s="156" t="n">
        <f aca="false">IFERROR('Price History'!N3+(INDEX('Price History'!N:N,MATCH(9.99E+307,'Returns (Calc)'!$A:$A)+1)-'Price History'!N3)*(ROW()-3)/(MATCH(9.99E+307,'Returns (Calc)'!$A:$A)-3),"")</f>
        <v>460.348037974684</v>
      </c>
      <c r="AJ116" s="156" t="n">
        <f aca="false">IFERROR('Price History'!O3+(INDEX('Price History'!O:O,MATCH(9.99E+307,'Returns (Calc)'!$A:$A)+1)-'Price History'!O3)*(ROW()-3)/(MATCH(9.99E+307,'Returns (Calc)'!$A:$A)-3),"")</f>
        <v>107.293291139241</v>
      </c>
      <c r="AK116" s="156" t="n">
        <f aca="false">IFERROR('Price History'!Q3+(INDEX('Price History'!Q:Q,MATCH(9.99E+307,'Returns (Calc)'!$A:$A)+1)-'Price History'!Q3)*(ROW()-3)/(MATCH(9.99E+307,'Returns (Calc)'!$A:$A)-3),"")</f>
        <v>49.6484810126582</v>
      </c>
      <c r="AL116" s="156" t="n">
        <f aca="false">IFERROR('Price History'!R3+(INDEX('Price History'!R:R,MATCH(9.99E+307,'Returns (Calc)'!$A:$A)+1)-'Price History'!R3)*(ROW()-3)/(MATCH(9.99E+307,'Returns (Calc)'!$A:$A)-3),"")</f>
        <v>53.4754430379747</v>
      </c>
      <c r="AM116" s="156" t="n">
        <f aca="false">IFERROR('Price History'!S3+(INDEX('Price History'!S:S,MATCH(9.99E+307,'Returns (Calc)'!$A:$A)+1)-'Price History'!S3)*(ROW()-3)/(MATCH(9.99E+307,'Returns (Calc)'!$A:$A)-3),"")</f>
        <v>126.002151898734</v>
      </c>
      <c r="AN116" s="156" t="n">
        <f aca="false">IFERROR('Price History'!T3+(INDEX('Price History'!T:T,MATCH(9.99E+307,'Returns (Calc)'!$A:$A)+1)-'Price History'!T3)*(ROW()-3)/(MATCH(9.99E+307,'Returns (Calc)'!$A:$A)-3),"")</f>
        <v>44.249746835443</v>
      </c>
      <c r="AO116" s="157" t="n">
        <f aca="false">IFERROR('Price History'!V3+(INDEX('Price History'!V:V,MATCH(9.99E+307,'Returns (Calc)'!$A:$A)+1)-'Price History'!V3)*(ROW()-3)/(MATCH(9.99E+307,'Returns (Calc)'!$A:$A)-3),"")</f>
        <v>325.050189873418</v>
      </c>
      <c r="AP116" s="155" t="n">
        <f aca="false">IFERROR(IF(OR(NOT(ISNUMBER('Price History'!W117)),NOT(ISNUMBER('Price History'!W116)),'Price History'!W116=0),"",'Price History'!W117/'Price History'!W116-1),"")</f>
        <v>-0.00646614356291764</v>
      </c>
      <c r="AQ116" s="155" t="str">
        <f aca="false">IFERROR(IF(OR(NOT(ISNUMBER('Price History'!X117)),NOT(ISNUMBER('Price History'!X116)),'Price History'!X116=0),"",'Price History'!X117/'Price History'!X116-1),"")</f>
        <v/>
      </c>
      <c r="AR116" s="155" t="n">
        <f aca="false">IFERROR(IF(OR(NOT(ISNUMBER('Price History'!Y117)),NOT(ISNUMBER('Price History'!Y116)),'Price History'!Y116=0),"",'Price History'!Y117/'Price History'!Y116-1),"")</f>
        <v>-0.00265604249667994</v>
      </c>
      <c r="AS116" s="155" t="n">
        <f aca="false">IFERROR(IF(OR(NOT(ISNUMBER('Price History'!Z117)),NOT(ISNUMBER('Price History'!Z116)),'Price History'!Z116=0),"",'Price History'!Z117/'Price History'!Z116-1),"")</f>
        <v>-0.0570064218672814</v>
      </c>
      <c r="AT116" s="155" t="n">
        <f aca="false">IFERROR(IF(OR(NOT(ISNUMBER('Price History'!AA117)),NOT(ISNUMBER('Price History'!AA116)),'Price History'!AA116=0),"",'Price History'!AA117/'Price History'!AA116-1),"")</f>
        <v>-0.0621291134688006</v>
      </c>
      <c r="AU116" s="155" t="n">
        <f aca="false">IFERROR(IF(OR(NOT(ISNUMBER('Price History'!AB117)),NOT(ISNUMBER('Price History'!AB116)),'Price History'!AB116=0),"",'Price History'!AB117/'Price History'!AB116-1),"")</f>
        <v>-0.168052904281429</v>
      </c>
    </row>
    <row r="117" customFormat="false" ht="15" hidden="false" customHeight="true" outlineLevel="0" collapsed="false">
      <c r="A117" s="153" t="n">
        <f aca="false">IF('Price History'!A118="","",'Price History'!A118)</f>
        <v>45989</v>
      </c>
      <c r="B117" s="154" t="n">
        <f aca="false">IFERROR(IF(OR(NOT(ISNUMBER('Price History'!B118)),NOT(ISNUMBER('Price History'!B117)),'Price History'!B117=0),"",'Price History'!B118/'Price History'!B117-1),"")</f>
        <v>-0.0125235201579321</v>
      </c>
      <c r="C117" s="154" t="n">
        <f aca="false">IFERROR(IF(OR(NOT(ISNUMBER('Price History'!C118)),NOT(ISNUMBER('Price History'!C117)),'Price History'!C117=0),"",'Price History'!C118/'Price History'!C117-1),"")</f>
        <v>0.112833177211956</v>
      </c>
      <c r="D117" s="154" t="n">
        <f aca="false">IFERROR(IF(OR(NOT(ISNUMBER('Price History'!D118)),NOT(ISNUMBER('Price History'!D117)),'Price History'!D117=0),"",'Price History'!D118/'Price History'!D117-1),"")</f>
        <v>0.0966578304485681</v>
      </c>
      <c r="E117" s="154" t="n">
        <f aca="false">IFERROR(IF(OR(NOT(ISNUMBER('Price History'!E118)),NOT(ISNUMBER('Price History'!E117)),'Price History'!E117=0),"",'Price History'!E118/'Price History'!E117-1),"")</f>
        <v>0.184488732269241</v>
      </c>
      <c r="F117" s="154" t="n">
        <f aca="false">IFERROR(IF(OR(NOT(ISNUMBER('Price History'!F118)),NOT(ISNUMBER('Price History'!F117)),'Price History'!F117=0),"",'Price History'!F118/'Price History'!F117-1),"")</f>
        <v>0.0376620200538029</v>
      </c>
      <c r="G117" s="154" t="n">
        <f aca="false">IFERROR(IF(OR(NOT(ISNUMBER('Price History'!G118)),NOT(ISNUMBER('Price History'!G117)),'Price History'!G117=0),"",'Price History'!G118/'Price History'!G117-1),"")</f>
        <v>0.0713566919769462</v>
      </c>
      <c r="H117" s="154" t="n">
        <f aca="false">IFERROR(IF(OR(NOT(ISNUMBER('Price History'!H118)),NOT(ISNUMBER('Price History'!H117)),'Price History'!H117=0),"",'Price History'!H118/'Price History'!H117-1),"")</f>
        <v>0.140367813872665</v>
      </c>
      <c r="I117" s="154" t="n">
        <f aca="false">IFERROR(IF(OR(NOT(ISNUMBER('Price History'!I118)),NOT(ISNUMBER('Price History'!I117)),'Price History'!I117=0),"",'Price History'!I118/'Price History'!I117-1),"")</f>
        <v>-0.0104791258055477</v>
      </c>
      <c r="J117" s="154" t="n">
        <f aca="false">IFERROR(IF(OR(NOT(ISNUMBER('Price History'!J118)),NOT(ISNUMBER('Price History'!J117)),'Price History'!J117=0),"",'Price History'!J118/'Price History'!J117-1),"")</f>
        <v>0.0218104296490653</v>
      </c>
      <c r="K117" s="154" t="n">
        <f aca="false">IFERROR(IF(OR(NOT(ISNUMBER('Price History'!K118)),NOT(ISNUMBER('Price History'!K117)),'Price History'!K117=0),"",'Price History'!K118/'Price History'!K117-1),"")</f>
        <v>0.0878269292864062</v>
      </c>
      <c r="L117" s="154" t="n">
        <f aca="false">IFERROR(IF(OR(NOT(ISNUMBER('Price History'!L118)),NOT(ISNUMBER('Price History'!L117)),'Price History'!L117=0),"",'Price History'!L118/'Price History'!L117-1),"")</f>
        <v>0.059813358806672</v>
      </c>
      <c r="M117" s="154" t="n">
        <f aca="false">IFERROR(IF(OR(NOT(ISNUMBER('Price History'!M118)),NOT(ISNUMBER('Price History'!M117)),'Price History'!M117=0),"",'Price History'!M118/'Price History'!M117-1),"")</f>
        <v>0.124953025178504</v>
      </c>
      <c r="N117" s="154" t="n">
        <f aca="false">IFERROR(IF(OR(NOT(ISNUMBER('Price History'!N118)),NOT(ISNUMBER('Price History'!N117)),'Price History'!N117=0),"",'Price History'!N118/'Price History'!N117-1),"")</f>
        <v>0.0160511763051834</v>
      </c>
      <c r="O117" s="154" t="n">
        <f aca="false">IFERROR(IF(OR(NOT(ISNUMBER('Price History'!O118)),NOT(ISNUMBER('Price History'!O117)),'Price History'!O117=0),"",'Price History'!O118/'Price History'!O117-1),"")</f>
        <v>0.0443653866276028</v>
      </c>
      <c r="P117" s="154" t="n">
        <f aca="false">IFERROR(IF(OR(NOT(ISNUMBER('Price History'!P118)),NOT(ISNUMBER('Price History'!P117)),'Price History'!P117=0),"",'Price History'!P118/'Price History'!P117-1),"")</f>
        <v>0.0257510729613735</v>
      </c>
      <c r="Q117" s="154" t="n">
        <f aca="false">IFERROR(IF(OR(NOT(ISNUMBER('Price History'!Q118)),NOT(ISNUMBER('Price History'!Q117)),'Price History'!Q117=0),"",'Price History'!Q118/'Price History'!Q117-1),"")</f>
        <v>0.0217357553174973</v>
      </c>
      <c r="R117" s="154" t="n">
        <f aca="false">IFERROR(IF(OR(NOT(ISNUMBER('Price History'!R118)),NOT(ISNUMBER('Price History'!R117)),'Price History'!R117=0),"",'Price History'!R118/'Price History'!R117-1),"")</f>
        <v>0.0457879088206143</v>
      </c>
      <c r="S117" s="154" t="n">
        <f aca="false">IFERROR(IF(OR(NOT(ISNUMBER('Price History'!S118)),NOT(ISNUMBER('Price History'!S117)),'Price History'!S117=0),"",'Price History'!S118/'Price History'!S117-1),"")</f>
        <v>0.0509087700723487</v>
      </c>
      <c r="T117" s="154" t="n">
        <f aca="false">IFERROR(IF(OR(NOT(ISNUMBER('Price History'!T118)),NOT(ISNUMBER('Price History'!T117)),'Price History'!T117=0),"",'Price History'!T118/'Price History'!T117-1),"")</f>
        <v>0.0341857335127862</v>
      </c>
      <c r="U117" s="154" t="n">
        <f aca="false">IFERROR(IF(OR(NOT(ISNUMBER('Price History'!U118)),NOT(ISNUMBER('Price History'!U117)),'Price History'!U117=0),"",'Price History'!U118/'Price History'!U117-1),"")</f>
        <v>0.0183346065699006</v>
      </c>
      <c r="V117" s="155" t="n">
        <f aca="false">IFERROR(IF(OR(NOT(ISNUMBER('Price History'!V118)),NOT(ISNUMBER('Price History'!V117)),'Price History'!V117=0),"",'Price History'!V118/'Price History'!V117-1),"")</f>
        <v>0.0196920434329182</v>
      </c>
      <c r="W117" s="156" t="n">
        <f aca="false">IFERROR('Price History'!B3+(INDEX('Price History'!B:B,MATCH(9.99E+307,'Returns (Calc)'!$A:$A)+1)-'Price History'!B3)*(ROW()-3)/(MATCH(9.99E+307,'Returns (Calc)'!$A:$A)-3),"")</f>
        <v>318.783670886076</v>
      </c>
      <c r="X117" s="156" t="n">
        <f aca="false">IFERROR('Price History'!C3+(INDEX('Price History'!C:C,MATCH(9.99E+307,'Returns (Calc)'!$A:$A)+1)-'Price History'!C3)*(ROW()-3)/(MATCH(9.99E+307,'Returns (Calc)'!$A:$A)-3),"")</f>
        <v>162.467215189873</v>
      </c>
      <c r="Y117" s="156" t="n">
        <f aca="false">IFERROR('Price History'!D3+(INDEX('Price History'!D:D,MATCH(9.99E+307,'Returns (Calc)'!$A:$A)+1)-'Price History'!D3)*(ROW()-3)/(MATCH(9.99E+307,'Returns (Calc)'!$A:$A)-3),"")</f>
        <v>1509.37835443038</v>
      </c>
      <c r="Z117" s="156" t="n">
        <f aca="false">IFERROR('Price History'!E3+(INDEX('Price History'!E:E,MATCH(9.99E+307,'Returns (Calc)'!$A:$A)+1)-'Price History'!E3)*(ROW()-3)/(MATCH(9.99E+307,'Returns (Calc)'!$A:$A)-3),"")</f>
        <v>279.075696202532</v>
      </c>
      <c r="AA117" s="156" t="n">
        <f aca="false">IFERROR('Price History'!F3+(INDEX('Price History'!F:F,MATCH(9.99E+307,'Returns (Calc)'!$A:$A)+1)-'Price History'!F3)*(ROW()-3)/(MATCH(9.99E+307,'Returns (Calc)'!$A:$A)-3),"")</f>
        <v>206.356962025316</v>
      </c>
      <c r="AB117" s="156" t="n">
        <f aca="false">IFERROR('Price History'!G3+(INDEX('Price History'!G:G,MATCH(9.99E+307,'Returns (Calc)'!$A:$A)+1)-'Price History'!G3)*(ROW()-3)/(MATCH(9.99E+307,'Returns (Calc)'!$A:$A)-3),"")</f>
        <v>161.625696202532</v>
      </c>
      <c r="AC117" s="156" t="n">
        <f aca="false">IFERROR('Price History'!H3+(INDEX('Price History'!H:H,MATCH(9.99E+307,'Returns (Calc)'!$A:$A)+1)-'Price History'!H3)*(ROW()-3)/(MATCH(9.99E+307,'Returns (Calc)'!$A:$A)-3),"")</f>
        <v>794.799367088608</v>
      </c>
      <c r="AD117" s="156" t="n">
        <f aca="false">IFERROR('Price History'!I3+(INDEX('Price History'!I:I,MATCH(9.99E+307,'Returns (Calc)'!$A:$A)+1)-'Price History'!I3)*(ROW()-3)/(MATCH(9.99E+307,'Returns (Calc)'!$A:$A)-3),"")</f>
        <v>180.988481012658</v>
      </c>
      <c r="AE117" s="156" t="n">
        <f aca="false">IFERROR('Price History'!J3+(INDEX('Price History'!J:J,MATCH(9.99E+307,'Returns (Calc)'!$A:$A)+1)-'Price History'!J3)*(ROW()-3)/(MATCH(9.99E+307,'Returns (Calc)'!$A:$A)-3),"")</f>
        <v>124.156329113924</v>
      </c>
      <c r="AF117" s="156" t="n">
        <f aca="false">IFERROR('Price History'!K3+(INDEX('Price History'!K:K,MATCH(9.99E+307,'Returns (Calc)'!$A:$A)+1)-'Price History'!K3)*(ROW()-3)/(MATCH(9.99E+307,'Returns (Calc)'!$A:$A)-3),"")</f>
        <v>140.45582278481</v>
      </c>
      <c r="AG117" s="156" t="n">
        <f aca="false">IFERROR('Price History'!L3+(INDEX('Price History'!L:L,MATCH(9.99E+307,'Returns (Calc)'!$A:$A)+1)-'Price History'!L3)*(ROW()-3)/(MATCH(9.99E+307,'Returns (Calc)'!$A:$A)-3),"")</f>
        <v>364.999493670886</v>
      </c>
      <c r="AH117" s="156" t="n">
        <f aca="false">IFERROR('Price History'!M3+(INDEX('Price History'!M:M,MATCH(9.99E+307,'Returns (Calc)'!$A:$A)+1)-'Price History'!M3)*(ROW()-3)/(MATCH(9.99E+307,'Returns (Calc)'!$A:$A)-3),"")</f>
        <v>192.540506329114</v>
      </c>
      <c r="AI117" s="156" t="n">
        <f aca="false">IFERROR('Price History'!N3+(INDEX('Price History'!N:N,MATCH(9.99E+307,'Returns (Calc)'!$A:$A)+1)-'Price History'!N3)*(ROW()-3)/(MATCH(9.99E+307,'Returns (Calc)'!$A:$A)-3),"")</f>
        <v>461.334303797468</v>
      </c>
      <c r="AJ117" s="156" t="n">
        <f aca="false">IFERROR('Price History'!O3+(INDEX('Price History'!O:O,MATCH(9.99E+307,'Returns (Calc)'!$A:$A)+1)-'Price History'!O3)*(ROW()-3)/(MATCH(9.99E+307,'Returns (Calc)'!$A:$A)-3),"")</f>
        <v>107.576329113924</v>
      </c>
      <c r="AK117" s="156" t="n">
        <f aca="false">IFERROR('Price History'!Q3+(INDEX('Price History'!Q:Q,MATCH(9.99E+307,'Returns (Calc)'!$A:$A)+1)-'Price History'!Q3)*(ROW()-3)/(MATCH(9.99E+307,'Returns (Calc)'!$A:$A)-3),"")</f>
        <v>50.0878481012658</v>
      </c>
      <c r="AL117" s="156" t="n">
        <f aca="false">IFERROR('Price History'!R3+(INDEX('Price History'!R:R,MATCH(9.99E+307,'Returns (Calc)'!$A:$A)+1)-'Price History'!R3)*(ROW()-3)/(MATCH(9.99E+307,'Returns (Calc)'!$A:$A)-3),"")</f>
        <v>53.6435443037975</v>
      </c>
      <c r="AM117" s="156" t="n">
        <f aca="false">IFERROR('Price History'!S3+(INDEX('Price History'!S:S,MATCH(9.99E+307,'Returns (Calc)'!$A:$A)+1)-'Price History'!S3)*(ROW()-3)/(MATCH(9.99E+307,'Returns (Calc)'!$A:$A)-3),"")</f>
        <v>126.607215189873</v>
      </c>
      <c r="AN117" s="156" t="n">
        <f aca="false">IFERROR('Price History'!T3+(INDEX('Price History'!T:T,MATCH(9.99E+307,'Returns (Calc)'!$A:$A)+1)-'Price History'!T3)*(ROW()-3)/(MATCH(9.99E+307,'Returns (Calc)'!$A:$A)-3),"")</f>
        <v>44.4179746835443</v>
      </c>
      <c r="AO117" s="157" t="n">
        <f aca="false">IFERROR('Price History'!V3+(INDEX('Price History'!V:V,MATCH(9.99E+307,'Returns (Calc)'!$A:$A)+1)-'Price History'!V3)*(ROW()-3)/(MATCH(9.99E+307,'Returns (Calc)'!$A:$A)-3),"")</f>
        <v>325.841518987342</v>
      </c>
      <c r="AP117" s="155" t="n">
        <f aca="false">IFERROR(IF(OR(NOT(ISNUMBER('Price History'!W118)),NOT(ISNUMBER('Price History'!W117)),'Price History'!W117=0),"",'Price History'!W118/'Price History'!W117-1),"")</f>
        <v>0.0380987202925047</v>
      </c>
      <c r="AQ117" s="155" t="str">
        <f aca="false">IFERROR(IF(OR(NOT(ISNUMBER('Price History'!X118)),NOT(ISNUMBER('Price History'!X117)),'Price History'!X117=0),"",'Price History'!X118/'Price History'!X117-1),"")</f>
        <v/>
      </c>
      <c r="AR117" s="155" t="n">
        <f aca="false">IFERROR(IF(OR(NOT(ISNUMBER('Price History'!Y118)),NOT(ISNUMBER('Price History'!Y117)),'Price History'!Y117=0),"",'Price History'!Y118/'Price History'!Y117-1),"")</f>
        <v>0.0233973749286664</v>
      </c>
      <c r="AS117" s="155" t="n">
        <f aca="false">IFERROR(IF(OR(NOT(ISNUMBER('Price History'!Z118)),NOT(ISNUMBER('Price History'!Z117)),'Price History'!Z117=0),"",'Price History'!Z118/'Price History'!Z117-1),"")</f>
        <v>0.0382761751763638</v>
      </c>
      <c r="AT117" s="155" t="n">
        <f aca="false">IFERROR(IF(OR(NOT(ISNUMBER('Price History'!AA118)),NOT(ISNUMBER('Price History'!AA117)),'Price History'!AA117=0),"",'Price History'!AA118/'Price History'!AA117-1),"")</f>
        <v>0.0313488639631867</v>
      </c>
      <c r="AU117" s="155" t="n">
        <f aca="false">IFERROR(IF(OR(NOT(ISNUMBER('Price History'!AB118)),NOT(ISNUMBER('Price History'!AB117)),'Price History'!AB117=0),"",'Price History'!AB118/'Price History'!AB117-1),"")</f>
        <v>-0.0154470212242892</v>
      </c>
    </row>
    <row r="118" customFormat="false" ht="15" hidden="false" customHeight="true" outlineLevel="0" collapsed="false">
      <c r="A118" s="153" t="n">
        <f aca="false">IF('Price History'!A119="","",'Price History'!A119)</f>
        <v>45996</v>
      </c>
      <c r="B118" s="154" t="n">
        <f aca="false">IFERROR(IF(OR(NOT(ISNUMBER('Price History'!B119)),NOT(ISNUMBER('Price History'!B118)),'Price History'!B118=0),"",'Price History'!B119/'Price History'!B118-1),"")</f>
        <v>0.0816230906194357</v>
      </c>
      <c r="C118" s="154" t="n">
        <f aca="false">IFERROR(IF(OR(NOT(ISNUMBER('Price History'!C119)),NOT(ISNUMBER('Price History'!C118)),'Price History'!C118=0),"",'Price History'!C119/'Price History'!C118-1),"")</f>
        <v>-0.015993265993266</v>
      </c>
      <c r="D118" s="154" t="n">
        <f aca="false">IFERROR(IF(OR(NOT(ISNUMBER('Price History'!D119)),NOT(ISNUMBER('Price History'!D118)),'Price History'!D118=0),"",'Price History'!D119/'Price History'!D118-1),"")</f>
        <v>0.0372346980368365</v>
      </c>
      <c r="E118" s="154" t="n">
        <f aca="false">IFERROR(IF(OR(NOT(ISNUMBER('Price History'!E119)),NOT(ISNUMBER('Price History'!E118)),'Price History'!E118=0),"",'Price History'!E119/'Price History'!E118-1),"")</f>
        <v>-0.0315757893947348</v>
      </c>
      <c r="F118" s="154" t="n">
        <f aca="false">IFERROR(IF(OR(NOT(ISNUMBER('Price History'!F119)),NOT(ISNUMBER('Price History'!F118)),'Price History'!F118=0),"",'Price History'!F119/'Price History'!F118-1),"")</f>
        <v>0.00565637520622198</v>
      </c>
      <c r="G118" s="154" t="n">
        <f aca="false">IFERROR(IF(OR(NOT(ISNUMBER('Price History'!G119)),NOT(ISNUMBER('Price History'!G118)),'Price History'!G118=0),"",'Price History'!G119/'Price History'!G118-1),"")</f>
        <v>0.0332166339339084</v>
      </c>
      <c r="H118" s="154" t="n">
        <f aca="false">IFERROR(IF(OR(NOT(ISNUMBER('Price History'!H119)),NOT(ISNUMBER('Price History'!H118)),'Price History'!H118=0),"",'Price History'!H119/'Price History'!H118-1),"")</f>
        <v>0.0031322751322751</v>
      </c>
      <c r="I118" s="154" t="n">
        <f aca="false">IFERROR(IF(OR(NOT(ISNUMBER('Price History'!I119)),NOT(ISNUMBER('Price History'!I118)),'Price History'!I118=0),"",'Price History'!I119/'Price History'!I118-1),"")</f>
        <v>0.0305810397553516</v>
      </c>
      <c r="J118" s="154" t="n">
        <f aca="false">IFERROR(IF(OR(NOT(ISNUMBER('Price History'!J119)),NOT(ISNUMBER('Price History'!J118)),'Price History'!J118=0),"",'Price History'!J119/'Price History'!J118-1),"")</f>
        <v>-0.00433317284545021</v>
      </c>
      <c r="K118" s="154" t="n">
        <f aca="false">IFERROR(IF(OR(NOT(ISNUMBER('Price History'!K119)),NOT(ISNUMBER('Price History'!K118)),'Price History'!K118=0),"",'Price History'!K119/'Price History'!K118-1),"")</f>
        <v>0.0790145443751855</v>
      </c>
      <c r="L118" s="154" t="n">
        <f aca="false">IFERROR(IF(OR(NOT(ISNUMBER('Price History'!L119)),NOT(ISNUMBER('Price History'!L118)),'Price History'!L118=0),"",'Price History'!L119/'Price History'!L118-1),"")</f>
        <v>0.0109893919434239</v>
      </c>
      <c r="M118" s="154" t="n">
        <f aca="false">IFERROR(IF(OR(NOT(ISNUMBER('Price History'!M119)),NOT(ISNUMBER('Price History'!M118)),'Price History'!M118=0),"",'Price History'!M119/'Price History'!M118-1),"")</f>
        <v>0.0516675018094759</v>
      </c>
      <c r="N118" s="154" t="n">
        <f aca="false">IFERROR(IF(OR(NOT(ISNUMBER('Price History'!N119)),NOT(ISNUMBER('Price History'!N118)),'Price History'!N118=0),"",'Price History'!N119/'Price History'!N118-1),"")</f>
        <v>0.0504370286663132</v>
      </c>
      <c r="O118" s="154" t="n">
        <f aca="false">IFERROR(IF(OR(NOT(ISNUMBER('Price History'!O119)),NOT(ISNUMBER('Price History'!O118)),'Price History'!O118=0),"",'Price History'!O119/'Price History'!O118-1),"")</f>
        <v>0.0175333132952611</v>
      </c>
      <c r="P118" s="154" t="n">
        <f aca="false">IFERROR(IF(OR(NOT(ISNUMBER('Price History'!P119)),NOT(ISNUMBER('Price History'!P118)),'Price History'!P118=0),"",'Price History'!P119/'Price History'!P118-1),"")</f>
        <v>-0.0119030442937528</v>
      </c>
      <c r="Q118" s="154" t="n">
        <f aca="false">IFERROR(IF(OR(NOT(ISNUMBER('Price History'!Q119)),NOT(ISNUMBER('Price History'!Q118)),'Price History'!Q118=0),"",'Price History'!Q119/'Price History'!Q118-1),"")</f>
        <v>0.00227928886187501</v>
      </c>
      <c r="R118" s="154" t="n">
        <f aca="false">IFERROR(IF(OR(NOT(ISNUMBER('Price History'!R119)),NOT(ISNUMBER('Price History'!R118)),'Price History'!R118=0),"",'Price History'!R119/'Price History'!R118-1),"")</f>
        <v>0.00966641394996226</v>
      </c>
      <c r="S118" s="154" t="n">
        <f aca="false">IFERROR(IF(OR(NOT(ISNUMBER('Price History'!S119)),NOT(ISNUMBER('Price History'!S118)),'Price History'!S118=0),"",'Price History'!S119/'Price History'!S118-1),"")</f>
        <v>0.00612878851481824</v>
      </c>
      <c r="T118" s="154" t="n">
        <f aca="false">IFERROR(IF(OR(NOT(ISNUMBER('Price History'!T119)),NOT(ISNUMBER('Price History'!T118)),'Price History'!T118=0),"",'Price History'!T119/'Price History'!T118-1),"")</f>
        <v>0.0156168662155127</v>
      </c>
      <c r="U118" s="154" t="n">
        <f aca="false">IFERROR(IF(OR(NOT(ISNUMBER('Price History'!U119)),NOT(ISNUMBER('Price History'!U118)),'Price History'!U118=0),"",'Price History'!U119/'Price History'!U118-1),"")</f>
        <v>0.00412603150787705</v>
      </c>
      <c r="V118" s="155" t="n">
        <f aca="false">IFERROR(IF(OR(NOT(ISNUMBER('Price History'!V119)),NOT(ISNUMBER('Price History'!V118)),'Price History'!V118=0),"",'Price History'!V119/'Price History'!V118-1),"")</f>
        <v>-0.00956563590422332</v>
      </c>
      <c r="W118" s="156" t="n">
        <f aca="false">IFERROR('Price History'!B3+(INDEX('Price History'!B:B,MATCH(9.99E+307,'Returns (Calc)'!$A:$A)+1)-'Price History'!B3)*(ROW()-3)/(MATCH(9.99E+307,'Returns (Calc)'!$A:$A)-3),"")</f>
        <v>316.940632911392</v>
      </c>
      <c r="X118" s="156" t="n">
        <f aca="false">IFERROR('Price History'!C3+(INDEX('Price History'!C:C,MATCH(9.99E+307,'Returns (Calc)'!$A:$A)+1)-'Price History'!C3)*(ROW()-3)/(MATCH(9.99E+307,'Returns (Calc)'!$A:$A)-3),"")</f>
        <v>163.487278481013</v>
      </c>
      <c r="Y118" s="156" t="n">
        <f aca="false">IFERROR('Price History'!D3+(INDEX('Price History'!D:D,MATCH(9.99E+307,'Returns (Calc)'!$A:$A)+1)-'Price History'!D3)*(ROW()-3)/(MATCH(9.99E+307,'Returns (Calc)'!$A:$A)-3),"")</f>
        <v>1517.51316455696</v>
      </c>
      <c r="Z118" s="156" t="n">
        <f aca="false">IFERROR('Price History'!E3+(INDEX('Price History'!E:E,MATCH(9.99E+307,'Returns (Calc)'!$A:$A)+1)-'Price History'!E3)*(ROW()-3)/(MATCH(9.99E+307,'Returns (Calc)'!$A:$A)-3),"")</f>
        <v>280.804430379747</v>
      </c>
      <c r="AA118" s="156" t="n">
        <f aca="false">IFERROR('Price History'!F3+(INDEX('Price History'!F:F,MATCH(9.99E+307,'Returns (Calc)'!$A:$A)+1)-'Price History'!F3)*(ROW()-3)/(MATCH(9.99E+307,'Returns (Calc)'!$A:$A)-3),"")</f>
        <v>207.804303797468</v>
      </c>
      <c r="AB118" s="156" t="n">
        <f aca="false">IFERROR('Price History'!G3+(INDEX('Price History'!G:G,MATCH(9.99E+307,'Returns (Calc)'!$A:$A)+1)-'Price History'!G3)*(ROW()-3)/(MATCH(9.99E+307,'Returns (Calc)'!$A:$A)-3),"")</f>
        <v>162.654430379747</v>
      </c>
      <c r="AC118" s="156" t="n">
        <f aca="false">IFERROR('Price History'!H3+(INDEX('Price History'!H:H,MATCH(9.99E+307,'Returns (Calc)'!$A:$A)+1)-'Price History'!H3)*(ROW()-3)/(MATCH(9.99E+307,'Returns (Calc)'!$A:$A)-3),"")</f>
        <v>801.165063291139</v>
      </c>
      <c r="AD118" s="156" t="n">
        <f aca="false">IFERROR('Price History'!I3+(INDEX('Price History'!I:I,MATCH(9.99E+307,'Returns (Calc)'!$A:$A)+1)-'Price History'!I3)*(ROW()-3)/(MATCH(9.99E+307,'Returns (Calc)'!$A:$A)-3),"")</f>
        <v>182.192151898734</v>
      </c>
      <c r="AE118" s="156" t="n">
        <f aca="false">IFERROR('Price History'!J3+(INDEX('Price History'!J:J,MATCH(9.99E+307,'Returns (Calc)'!$A:$A)+1)-'Price History'!J3)*(ROW()-3)/(MATCH(9.99E+307,'Returns (Calc)'!$A:$A)-3),"")</f>
        <v>124.264367088608</v>
      </c>
      <c r="AF118" s="156" t="n">
        <f aca="false">IFERROR('Price History'!K3+(INDEX('Price History'!K:K,MATCH(9.99E+307,'Returns (Calc)'!$A:$A)+1)-'Price History'!K3)*(ROW()-3)/(MATCH(9.99E+307,'Returns (Calc)'!$A:$A)-3),"")</f>
        <v>141.553417721519</v>
      </c>
      <c r="AG118" s="156" t="n">
        <f aca="false">IFERROR('Price History'!L3+(INDEX('Price History'!L:L,MATCH(9.99E+307,'Returns (Calc)'!$A:$A)+1)-'Price History'!L3)*(ROW()-3)/(MATCH(9.99E+307,'Returns (Calc)'!$A:$A)-3),"")</f>
        <v>367.449050632911</v>
      </c>
      <c r="AH118" s="156" t="n">
        <f aca="false">IFERROR('Price History'!M3+(INDEX('Price History'!M:M,MATCH(9.99E+307,'Returns (Calc)'!$A:$A)+1)-'Price History'!M3)*(ROW()-3)/(MATCH(9.99E+307,'Returns (Calc)'!$A:$A)-3),"")</f>
        <v>193.895949367089</v>
      </c>
      <c r="AI118" s="156" t="n">
        <f aca="false">IFERROR('Price History'!N3+(INDEX('Price History'!N:N,MATCH(9.99E+307,'Returns (Calc)'!$A:$A)+1)-'Price History'!N3)*(ROW()-3)/(MATCH(9.99E+307,'Returns (Calc)'!$A:$A)-3),"")</f>
        <v>462.320569620253</v>
      </c>
      <c r="AJ118" s="156" t="n">
        <f aca="false">IFERROR('Price History'!O3+(INDEX('Price History'!O:O,MATCH(9.99E+307,'Returns (Calc)'!$A:$A)+1)-'Price History'!O3)*(ROW()-3)/(MATCH(9.99E+307,'Returns (Calc)'!$A:$A)-3),"")</f>
        <v>107.859367088608</v>
      </c>
      <c r="AK118" s="156" t="n">
        <f aca="false">IFERROR('Price History'!Q3+(INDEX('Price History'!Q:Q,MATCH(9.99E+307,'Returns (Calc)'!$A:$A)+1)-'Price History'!Q3)*(ROW()-3)/(MATCH(9.99E+307,'Returns (Calc)'!$A:$A)-3),"")</f>
        <v>50.5272151898734</v>
      </c>
      <c r="AL118" s="156" t="n">
        <f aca="false">IFERROR('Price History'!R3+(INDEX('Price History'!R:R,MATCH(9.99E+307,'Returns (Calc)'!$A:$A)+1)-'Price History'!R3)*(ROW()-3)/(MATCH(9.99E+307,'Returns (Calc)'!$A:$A)-3),"")</f>
        <v>53.8116455696203</v>
      </c>
      <c r="AM118" s="156" t="n">
        <f aca="false">IFERROR('Price History'!S3+(INDEX('Price History'!S:S,MATCH(9.99E+307,'Returns (Calc)'!$A:$A)+1)-'Price History'!S3)*(ROW()-3)/(MATCH(9.99E+307,'Returns (Calc)'!$A:$A)-3),"")</f>
        <v>127.212278481013</v>
      </c>
      <c r="AN118" s="156" t="n">
        <f aca="false">IFERROR('Price History'!T3+(INDEX('Price History'!T:T,MATCH(9.99E+307,'Returns (Calc)'!$A:$A)+1)-'Price History'!T3)*(ROW()-3)/(MATCH(9.99E+307,'Returns (Calc)'!$A:$A)-3),"")</f>
        <v>44.5862025316456</v>
      </c>
      <c r="AO118" s="157" t="n">
        <f aca="false">IFERROR('Price History'!V3+(INDEX('Price History'!V:V,MATCH(9.99E+307,'Returns (Calc)'!$A:$A)+1)-'Price History'!V3)*(ROW()-3)/(MATCH(9.99E+307,'Returns (Calc)'!$A:$A)-3),"")</f>
        <v>326.632848101266</v>
      </c>
      <c r="AP118" s="155" t="n">
        <f aca="false">IFERROR(IF(OR(NOT(ISNUMBER('Price History'!W119)),NOT(ISNUMBER('Price History'!W118)),'Price History'!W118=0),"",'Price History'!W119/'Price History'!W118-1),"")</f>
        <v>-0.00154973231896305</v>
      </c>
      <c r="AQ118" s="155" t="str">
        <f aca="false">IFERROR(IF(OR(NOT(ISNUMBER('Price History'!X119)),NOT(ISNUMBER('Price History'!X118)),'Price History'!X118=0),"",'Price History'!X119/'Price History'!X118-1),"")</f>
        <v/>
      </c>
      <c r="AR118" s="155" t="n">
        <f aca="false">IFERROR(IF(OR(NOT(ISNUMBER('Price History'!Y119)),NOT(ISNUMBER('Price History'!Y118)),'Price History'!Y118=0),"",'Price History'!Y119/'Price History'!Y118-1),"")</f>
        <v>-0.00185873605947939</v>
      </c>
      <c r="AS118" s="155" t="n">
        <f aca="false">IFERROR(IF(OR(NOT(ISNUMBER('Price History'!Z119)),NOT(ISNUMBER('Price History'!Z118)),'Price History'!Z118=0),"",'Price History'!Z119/'Price History'!Z118-1),"")</f>
        <v>-0.0486041035990582</v>
      </c>
      <c r="AT118" s="155" t="n">
        <f aca="false">IFERROR(IF(OR(NOT(ISNUMBER('Price History'!AA119)),NOT(ISNUMBER('Price History'!AA118)),'Price History'!AA118=0),"",'Price History'!AA119/'Price History'!AA118-1),"")</f>
        <v>-0.0682282952221603</v>
      </c>
      <c r="AU118" s="155" t="n">
        <f aca="false">IFERROR(IF(OR(NOT(ISNUMBER('Price History'!AB119)),NOT(ISNUMBER('Price History'!AB118)),'Price History'!AB118=0),"",'Price History'!AB119/'Price History'!AB118-1),"")</f>
        <v>0.00711640101543964</v>
      </c>
    </row>
    <row r="119" customFormat="false" ht="15" hidden="false" customHeight="true" outlineLevel="0" collapsed="false">
      <c r="A119" s="153" t="n">
        <f aca="false">IF('Price History'!A120="","",'Price History'!A120)</f>
        <v>46003</v>
      </c>
      <c r="B119" s="154" t="n">
        <f aca="false">IFERROR(IF(OR(NOT(ISNUMBER('Price History'!B120)),NOT(ISNUMBER('Price History'!B119)),'Price History'!B119=0),"",'Price History'!B120/'Price History'!B119-1),"")</f>
        <v>0.0293709928955122</v>
      </c>
      <c r="C119" s="154" t="n">
        <f aca="false">IFERROR(IF(OR(NOT(ISNUMBER('Price History'!C120)),NOT(ISNUMBER('Price History'!C119)),'Price History'!C119=0),"",'Price History'!C120/'Price History'!C119-1),"")</f>
        <v>-0.0297845866708142</v>
      </c>
      <c r="D119" s="154" t="n">
        <f aca="false">IFERROR(IF(OR(NOT(ISNUMBER('Price History'!D120)),NOT(ISNUMBER('Price History'!D119)),'Price History'!D119=0),"",'Price History'!D120/'Price History'!D119-1),"")</f>
        <v>-0.0169345920801308</v>
      </c>
      <c r="E119" s="154" t="n">
        <f aca="false">IFERROR(IF(OR(NOT(ISNUMBER('Price History'!E120)),NOT(ISNUMBER('Price History'!E119)),'Price History'!E119=0),"",'Price History'!E120/'Price History'!E119-1),"")</f>
        <v>-0.0776796778190831</v>
      </c>
      <c r="F119" s="154" t="n">
        <f aca="false">IFERROR(IF(OR(NOT(ISNUMBER('Price History'!F120)),NOT(ISNUMBER('Price History'!F119)),'Price History'!F119=0),"",'Price History'!F120/'Price History'!F119-1),"")</f>
        <v>-0.0142176392469338</v>
      </c>
      <c r="G119" s="154" t="n">
        <f aca="false">IFERROR(IF(OR(NOT(ISNUMBER('Price History'!G120)),NOT(ISNUMBER('Price History'!G119)),'Price History'!G119=0),"",'Price History'!G120/'Price History'!G119-1),"")</f>
        <v>-0.0169421487603305</v>
      </c>
      <c r="H119" s="154" t="n">
        <f aca="false">IFERROR(IF(OR(NOT(ISNUMBER('Price History'!H120)),NOT(ISNUMBER('Price History'!H119)),'Price History'!H119=0),"",'Price History'!H120/'Price History'!H119-1),"")</f>
        <v>0.0164985864382463</v>
      </c>
      <c r="I119" s="154" t="n">
        <f aca="false">IFERROR(IF(OR(NOT(ISNUMBER('Price History'!I120)),NOT(ISNUMBER('Price History'!I119)),'Price History'!I119=0),"",'Price History'!I120/'Price History'!I119-1),"")</f>
        <v>-0.0404989559292228</v>
      </c>
      <c r="J119" s="154" t="n">
        <f aca="false">IFERROR(IF(OR(NOT(ISNUMBER('Price History'!J120)),NOT(ISNUMBER('Price History'!J119)),'Price History'!J119=0),"",'Price History'!J120/'Price History'!J119-1),"")</f>
        <v>0.0172469374597035</v>
      </c>
      <c r="K119" s="154" t="n">
        <f aca="false">IFERROR(IF(OR(NOT(ISNUMBER('Price History'!K120)),NOT(ISNUMBER('Price History'!K119)),'Price History'!K119=0),"",'Price History'!K120/'Price History'!K119-1),"")</f>
        <v>0.00995818661971826</v>
      </c>
      <c r="L119" s="154" t="n">
        <f aca="false">IFERROR(IF(OR(NOT(ISNUMBER('Price History'!L120)),NOT(ISNUMBER('Price History'!L119)),'Price History'!L119=0),"",'Price History'!L120/'Price History'!L119-1),"")</f>
        <v>-0.00641223468093133</v>
      </c>
      <c r="M119" s="154" t="n">
        <f aca="false">IFERROR(IF(OR(NOT(ISNUMBER('Price History'!M120)),NOT(ISNUMBER('Price History'!M119)),'Price History'!M119=0),"",'Price History'!M120/'Price History'!M119-1),"")</f>
        <v>-0.146805018794007</v>
      </c>
      <c r="N119" s="154" t="n">
        <f aca="false">IFERROR(IF(OR(NOT(ISNUMBER('Price History'!N120)),NOT(ISNUMBER('Price History'!N119)),'Price History'!N119=0),"",'Price History'!N120/'Price History'!N119-1),"")</f>
        <v>-0.00755247211732679</v>
      </c>
      <c r="O119" s="154" t="n">
        <f aca="false">IFERROR(IF(OR(NOT(ISNUMBER('Price History'!O120)),NOT(ISNUMBER('Price History'!O119)),'Price History'!O119=0),"",'Price History'!O120/'Price History'!O119-1),"")</f>
        <v>0.0214651437573847</v>
      </c>
      <c r="P119" s="154" t="n">
        <f aca="false">IFERROR(IF(OR(NOT(ISNUMBER('Price History'!P120)),NOT(ISNUMBER('Price History'!P119)),'Price History'!P119=0),"",'Price History'!P120/'Price History'!P119-1),"")</f>
        <v>0.0162079287435204</v>
      </c>
      <c r="Q119" s="154" t="n">
        <f aca="false">IFERROR(IF(OR(NOT(ISNUMBER('Price History'!Q120)),NOT(ISNUMBER('Price History'!Q119)),'Price History'!Q119=0),"",'Price History'!Q120/'Price History'!Q119-1),"")</f>
        <v>-0.00121285627653123</v>
      </c>
      <c r="R119" s="154" t="n">
        <f aca="false">IFERROR(IF(OR(NOT(ISNUMBER('Price History'!R120)),NOT(ISNUMBER('Price History'!R119)),'Price History'!R119=0),"",'Price History'!R120/'Price History'!R119-1),"")</f>
        <v>-0.0108879294161818</v>
      </c>
      <c r="S119" s="154" t="n">
        <f aca="false">IFERROR(IF(OR(NOT(ISNUMBER('Price History'!S120)),NOT(ISNUMBER('Price History'!S119)),'Price History'!S119=0),"",'Price History'!S120/'Price History'!S119-1),"")</f>
        <v>-0.0145193591455275</v>
      </c>
      <c r="T119" s="154" t="n">
        <f aca="false">IFERROR(IF(OR(NOT(ISNUMBER('Price History'!T120)),NOT(ISNUMBER('Price History'!T119)),'Price History'!T119=0),"",'Price History'!T120/'Price History'!T119-1),"")</f>
        <v>0.0107637109174781</v>
      </c>
      <c r="U119" s="154" t="n">
        <f aca="false">IFERROR(IF(OR(NOT(ISNUMBER('Price History'!U120)),NOT(ISNUMBER('Price History'!U119)),'Price History'!U119=0),"",'Price History'!U120/'Price History'!U119-1),"")</f>
        <v>0.00933881210310039</v>
      </c>
      <c r="V119" s="155" t="n">
        <f aca="false">IFERROR(IF(OR(NOT(ISNUMBER('Price History'!V120)),NOT(ISNUMBER('Price History'!V119)),'Price History'!V119=0),"",'Price History'!V120/'Price History'!V119-1),"")</f>
        <v>0.0500820020652373</v>
      </c>
      <c r="W119" s="156" t="n">
        <f aca="false">IFERROR('Price History'!B3+(INDEX('Price History'!B:B,MATCH(9.99E+307,'Returns (Calc)'!$A:$A)+1)-'Price History'!B3)*(ROW()-3)/(MATCH(9.99E+307,'Returns (Calc)'!$A:$A)-3),"")</f>
        <v>315.097594936709</v>
      </c>
      <c r="X119" s="156" t="n">
        <f aca="false">IFERROR('Price History'!C3+(INDEX('Price History'!C:C,MATCH(9.99E+307,'Returns (Calc)'!$A:$A)+1)-'Price History'!C3)*(ROW()-3)/(MATCH(9.99E+307,'Returns (Calc)'!$A:$A)-3),"")</f>
        <v>164.507341772152</v>
      </c>
      <c r="Y119" s="156" t="n">
        <f aca="false">IFERROR('Price History'!D3+(INDEX('Price History'!D:D,MATCH(9.99E+307,'Returns (Calc)'!$A:$A)+1)-'Price History'!D3)*(ROW()-3)/(MATCH(9.99E+307,'Returns (Calc)'!$A:$A)-3),"")</f>
        <v>1525.64797468354</v>
      </c>
      <c r="Z119" s="156" t="n">
        <f aca="false">IFERROR('Price History'!E3+(INDEX('Price History'!E:E,MATCH(9.99E+307,'Returns (Calc)'!$A:$A)+1)-'Price History'!E3)*(ROW()-3)/(MATCH(9.99E+307,'Returns (Calc)'!$A:$A)-3),"")</f>
        <v>282.533164556962</v>
      </c>
      <c r="AA119" s="156" t="n">
        <f aca="false">IFERROR('Price History'!F3+(INDEX('Price History'!F:F,MATCH(9.99E+307,'Returns (Calc)'!$A:$A)+1)-'Price History'!F3)*(ROW()-3)/(MATCH(9.99E+307,'Returns (Calc)'!$A:$A)-3),"")</f>
        <v>209.25164556962</v>
      </c>
      <c r="AB119" s="156" t="n">
        <f aca="false">IFERROR('Price History'!G3+(INDEX('Price History'!G:G,MATCH(9.99E+307,'Returns (Calc)'!$A:$A)+1)-'Price History'!G3)*(ROW()-3)/(MATCH(9.99E+307,'Returns (Calc)'!$A:$A)-3),"")</f>
        <v>163.683164556962</v>
      </c>
      <c r="AC119" s="156" t="n">
        <f aca="false">IFERROR('Price History'!H3+(INDEX('Price History'!H:H,MATCH(9.99E+307,'Returns (Calc)'!$A:$A)+1)-'Price History'!H3)*(ROW()-3)/(MATCH(9.99E+307,'Returns (Calc)'!$A:$A)-3),"")</f>
        <v>807.530759493671</v>
      </c>
      <c r="AD119" s="156" t="n">
        <f aca="false">IFERROR('Price History'!I3+(INDEX('Price History'!I:I,MATCH(9.99E+307,'Returns (Calc)'!$A:$A)+1)-'Price History'!I3)*(ROW()-3)/(MATCH(9.99E+307,'Returns (Calc)'!$A:$A)-3),"")</f>
        <v>183.39582278481</v>
      </c>
      <c r="AE119" s="156" t="n">
        <f aca="false">IFERROR('Price History'!J3+(INDEX('Price History'!J:J,MATCH(9.99E+307,'Returns (Calc)'!$A:$A)+1)-'Price History'!J3)*(ROW()-3)/(MATCH(9.99E+307,'Returns (Calc)'!$A:$A)-3),"")</f>
        <v>124.372405063291</v>
      </c>
      <c r="AF119" s="156" t="n">
        <f aca="false">IFERROR('Price History'!K3+(INDEX('Price History'!K:K,MATCH(9.99E+307,'Returns (Calc)'!$A:$A)+1)-'Price History'!K3)*(ROW()-3)/(MATCH(9.99E+307,'Returns (Calc)'!$A:$A)-3),"")</f>
        <v>142.651012658228</v>
      </c>
      <c r="AG119" s="156" t="n">
        <f aca="false">IFERROR('Price History'!L3+(INDEX('Price History'!L:L,MATCH(9.99E+307,'Returns (Calc)'!$A:$A)+1)-'Price History'!L3)*(ROW()-3)/(MATCH(9.99E+307,'Returns (Calc)'!$A:$A)-3),"")</f>
        <v>369.898607594937</v>
      </c>
      <c r="AH119" s="156" t="n">
        <f aca="false">IFERROR('Price History'!M3+(INDEX('Price History'!M:M,MATCH(9.99E+307,'Returns (Calc)'!$A:$A)+1)-'Price History'!M3)*(ROW()-3)/(MATCH(9.99E+307,'Returns (Calc)'!$A:$A)-3),"")</f>
        <v>195.251392405063</v>
      </c>
      <c r="AI119" s="156" t="n">
        <f aca="false">IFERROR('Price History'!N3+(INDEX('Price History'!N:N,MATCH(9.99E+307,'Returns (Calc)'!$A:$A)+1)-'Price History'!N3)*(ROW()-3)/(MATCH(9.99E+307,'Returns (Calc)'!$A:$A)-3),"")</f>
        <v>463.306835443038</v>
      </c>
      <c r="AJ119" s="156" t="n">
        <f aca="false">IFERROR('Price History'!O3+(INDEX('Price History'!O:O,MATCH(9.99E+307,'Returns (Calc)'!$A:$A)+1)-'Price History'!O3)*(ROW()-3)/(MATCH(9.99E+307,'Returns (Calc)'!$A:$A)-3),"")</f>
        <v>108.142405063291</v>
      </c>
      <c r="AK119" s="156" t="n">
        <f aca="false">IFERROR('Price History'!Q3+(INDEX('Price History'!Q:Q,MATCH(9.99E+307,'Returns (Calc)'!$A:$A)+1)-'Price History'!Q3)*(ROW()-3)/(MATCH(9.99E+307,'Returns (Calc)'!$A:$A)-3),"")</f>
        <v>50.966582278481</v>
      </c>
      <c r="AL119" s="156" t="n">
        <f aca="false">IFERROR('Price History'!R3+(INDEX('Price History'!R:R,MATCH(9.99E+307,'Returns (Calc)'!$A:$A)+1)-'Price History'!R3)*(ROW()-3)/(MATCH(9.99E+307,'Returns (Calc)'!$A:$A)-3),"")</f>
        <v>53.979746835443</v>
      </c>
      <c r="AM119" s="156" t="n">
        <f aca="false">IFERROR('Price History'!S3+(INDEX('Price History'!S:S,MATCH(9.99E+307,'Returns (Calc)'!$A:$A)+1)-'Price History'!S3)*(ROW()-3)/(MATCH(9.99E+307,'Returns (Calc)'!$A:$A)-3),"")</f>
        <v>127.817341772152</v>
      </c>
      <c r="AN119" s="156" t="n">
        <f aca="false">IFERROR('Price History'!T3+(INDEX('Price History'!T:T,MATCH(9.99E+307,'Returns (Calc)'!$A:$A)+1)-'Price History'!T3)*(ROW()-3)/(MATCH(9.99E+307,'Returns (Calc)'!$A:$A)-3),"")</f>
        <v>44.7544303797468</v>
      </c>
      <c r="AO119" s="157" t="n">
        <f aca="false">IFERROR('Price History'!V3+(INDEX('Price History'!V:V,MATCH(9.99E+307,'Returns (Calc)'!$A:$A)+1)-'Price History'!V3)*(ROW()-3)/(MATCH(9.99E+307,'Returns (Calc)'!$A:$A)-3),"")</f>
        <v>327.42417721519</v>
      </c>
      <c r="AP119" s="155" t="n">
        <f aca="false">IFERROR(IF(OR(NOT(ISNUMBER('Price History'!W120)),NOT(ISNUMBER('Price History'!W119)),'Price History'!W119=0),"",'Price History'!W120/'Price History'!W119-1),"")</f>
        <v>0.00550303372371941</v>
      </c>
      <c r="AQ119" s="155" t="str">
        <f aca="false">IFERROR(IF(OR(NOT(ISNUMBER('Price History'!X120)),NOT(ISNUMBER('Price History'!X119)),'Price History'!X119=0),"",'Price History'!X120/'Price History'!X119-1),"")</f>
        <v/>
      </c>
      <c r="AR119" s="155" t="n">
        <f aca="false">IFERROR(IF(OR(NOT(ISNUMBER('Price History'!Y120)),NOT(ISNUMBER('Price History'!Y119)),'Price History'!Y119=0),"",'Price History'!Y120/'Price History'!Y119-1),"")</f>
        <v>0.0052141527001861</v>
      </c>
      <c r="AS119" s="155" t="n">
        <f aca="false">IFERROR(IF(OR(NOT(ISNUMBER('Price History'!Z120)),NOT(ISNUMBER('Price History'!Z119)),'Price History'!Z119=0),"",'Price History'!Z120/'Price History'!Z119-1),"")</f>
        <v>0.0558953508926994</v>
      </c>
      <c r="AT119" s="155" t="n">
        <f aca="false">IFERROR(IF(OR(NOT(ISNUMBER('Price History'!AA120)),NOT(ISNUMBER('Price History'!AA119)),'Price History'!AA119=0),"",'Price History'!AA120/'Price History'!AA119-1),"")</f>
        <v>-0.0503790901835595</v>
      </c>
      <c r="AU119" s="155" t="n">
        <f aca="false">IFERROR(IF(OR(NOT(ISNUMBER('Price History'!AB120)),NOT(ISNUMBER('Price History'!AB119)),'Price History'!AB119=0),"",'Price History'!AB120/'Price History'!AB119-1),"")</f>
        <v>-0.0774380165289257</v>
      </c>
    </row>
    <row r="120" customFormat="false" ht="15" hidden="false" customHeight="true" outlineLevel="0" collapsed="false">
      <c r="A120" s="153" t="n">
        <f aca="false">IF('Price History'!A121="","",'Price History'!A121)</f>
        <v>46010</v>
      </c>
      <c r="B120" s="154" t="n">
        <f aca="false">IFERROR(IF(OR(NOT(ISNUMBER('Price History'!B121)),NOT(ISNUMBER('Price History'!B120)),'Price History'!B120=0),"",'Price History'!B121/'Price History'!B120-1),"")</f>
        <v>-0.00159919198720648</v>
      </c>
      <c r="C120" s="154" t="n">
        <f aca="false">IFERROR(IF(OR(NOT(ISNUMBER('Price History'!C121)),NOT(ISNUMBER('Price History'!C120)),'Price History'!C120=0),"",'Price History'!C121/'Price History'!C120-1),"")</f>
        <v>0.0509778775248477</v>
      </c>
      <c r="D120" s="154" t="n">
        <f aca="false">IFERROR(IF(OR(NOT(ISNUMBER('Price History'!D121)),NOT(ISNUMBER('Price History'!D120)),'Price History'!D120=0),"",'Price History'!D121/'Price History'!D120-1),"")</f>
        <v>-0.0229715156923993</v>
      </c>
      <c r="E120" s="154" t="n">
        <f aca="false">IFERROR(IF(OR(NOT(ISNUMBER('Price History'!E121)),NOT(ISNUMBER('Price History'!E120)),'Price History'!E120=0),"",'Price History'!E121/'Price History'!E120-1),"")</f>
        <v>-0.0543566490329441</v>
      </c>
      <c r="F120" s="154" t="n">
        <f aca="false">IFERROR(IF(OR(NOT(ISNUMBER('Price History'!F121)),NOT(ISNUMBER('Price History'!F120)),'Price History'!F120=0),"",'Price History'!F121/'Price History'!F120-1),"")</f>
        <v>-0.0465171566685158</v>
      </c>
      <c r="G120" s="154" t="n">
        <f aca="false">IFERROR(IF(OR(NOT(ISNUMBER('Price History'!G121)),NOT(ISNUMBER('Price History'!G120)),'Price History'!G120=0),"",'Price History'!G121/'Price History'!G120-1),"")</f>
        <v>0.0433795712484237</v>
      </c>
      <c r="H120" s="154" t="n">
        <f aca="false">IFERROR(IF(OR(NOT(ISNUMBER('Price History'!H121)),NOT(ISNUMBER('Price History'!H120)),'Price History'!H120=0),"",'Price History'!H121/'Price History'!H120-1),"")</f>
        <v>0.102781237027813</v>
      </c>
      <c r="I120" s="154" t="n">
        <f aca="false">IFERROR(IF(OR(NOT(ISNUMBER('Price History'!I121)),NOT(ISNUMBER('Price History'!I120)),'Price History'!I120=0),"",'Price History'!I121/'Price History'!I120-1),"")</f>
        <v>0.0341332111562911</v>
      </c>
      <c r="J120" s="154" t="n">
        <f aca="false">IFERROR(IF(OR(NOT(ISNUMBER('Price History'!J121)),NOT(ISNUMBER('Price History'!J120)),'Price History'!J120=0),"",'Price History'!J121/'Price History'!J120-1),"")</f>
        <v>-0.0150530819204564</v>
      </c>
      <c r="K120" s="154" t="n">
        <f aca="false">IFERROR(IF(OR(NOT(ISNUMBER('Price History'!K121)),NOT(ISNUMBER('Price History'!K120)),'Price History'!K120=0),"",'Price History'!K121/'Price History'!K120-1),"")</f>
        <v>0.0534401045922537</v>
      </c>
      <c r="L120" s="154" t="n">
        <f aca="false">IFERROR(IF(OR(NOT(ISNUMBER('Price History'!L121)),NOT(ISNUMBER('Price History'!L120)),'Price History'!L120=0),"",'Price History'!L121/'Price History'!L120-1),"")</f>
        <v>-0.0105604638321369</v>
      </c>
      <c r="M120" s="154" t="n">
        <f aca="false">IFERROR(IF(OR(NOT(ISNUMBER('Price History'!M121)),NOT(ISNUMBER('Price History'!M120)),'Price History'!M120=0),"",'Price History'!M121/'Price History'!M120-1),"")</f>
        <v>-0.00899726979399351</v>
      </c>
      <c r="N120" s="154" t="n">
        <f aca="false">IFERROR(IF(OR(NOT(ISNUMBER('Price History'!N121)),NOT(ISNUMBER('Price History'!N120)),'Price History'!N120=0),"",'Price History'!N121/'Price History'!N120-1),"")</f>
        <v>0.00920272542252887</v>
      </c>
      <c r="O120" s="154" t="n">
        <f aca="false">IFERROR(IF(OR(NOT(ISNUMBER('Price History'!O121)),NOT(ISNUMBER('Price History'!O120)),'Price History'!O120=0),"",'Price History'!O121/'Price History'!O120-1),"")</f>
        <v>-0.00906111432427215</v>
      </c>
      <c r="P120" s="154" t="n">
        <f aca="false">IFERROR(IF(OR(NOT(ISNUMBER('Price History'!P121)),NOT(ISNUMBER('Price History'!P120)),'Price History'!P120=0),"",'Price History'!P121/'Price History'!P120-1),"")</f>
        <v>-0.00459803146777771</v>
      </c>
      <c r="Q120" s="154" t="n">
        <f aca="false">IFERROR(IF(OR(NOT(ISNUMBER('Price History'!Q121)),NOT(ISNUMBER('Price History'!Q120)),'Price History'!Q120=0),"",'Price History'!Q121/'Price History'!Q120-1),"")</f>
        <v>0.00227686703096541</v>
      </c>
      <c r="R120" s="154" t="n">
        <f aca="false">IFERROR(IF(OR(NOT(ISNUMBER('Price History'!R121)),NOT(ISNUMBER('Price History'!R120)),'Price History'!R120=0),"",'Price History'!R121/'Price History'!R120-1),"")</f>
        <v>0.00740178401973801</v>
      </c>
      <c r="S120" s="154" t="n">
        <f aca="false">IFERROR(IF(OR(NOT(ISNUMBER('Price History'!S121)),NOT(ISNUMBER('Price History'!S120)),'Price History'!S120=0),"",'Price History'!S121/'Price History'!S120-1),"")</f>
        <v>0.0036409822184591</v>
      </c>
      <c r="T120" s="154" t="n">
        <f aca="false">IFERROR(IF(OR(NOT(ISNUMBER('Price History'!T121)),NOT(ISNUMBER('Price History'!T120)),'Price History'!T120=0),"",'Price History'!T121/'Price History'!T120-1),"")</f>
        <v>-0.00431034482758608</v>
      </c>
      <c r="U120" s="154" t="n">
        <f aca="false">IFERROR(IF(OR(NOT(ISNUMBER('Price History'!U121)),NOT(ISNUMBER('Price History'!U120)),'Price History'!U120=0),"",'Price History'!U121/'Price History'!U120-1),"")</f>
        <v>-0.00814211695040712</v>
      </c>
      <c r="V120" s="155" t="n">
        <f aca="false">IFERROR(IF(OR(NOT(ISNUMBER('Price History'!V121)),NOT(ISNUMBER('Price History'!V120)),'Price History'!V120=0),"",'Price History'!V121/'Price History'!V120-1),"")</f>
        <v>0.00410701373825018</v>
      </c>
      <c r="W120" s="156" t="n">
        <f aca="false">IFERROR('Price History'!B3+(INDEX('Price History'!B:B,MATCH(9.99E+307,'Returns (Calc)'!$A:$A)+1)-'Price History'!B3)*(ROW()-3)/(MATCH(9.99E+307,'Returns (Calc)'!$A:$A)-3),"")</f>
        <v>313.254556962025</v>
      </c>
      <c r="X120" s="156" t="n">
        <f aca="false">IFERROR('Price History'!C3+(INDEX('Price History'!C:C,MATCH(9.99E+307,'Returns (Calc)'!$A:$A)+1)-'Price History'!C3)*(ROW()-3)/(MATCH(9.99E+307,'Returns (Calc)'!$A:$A)-3),"")</f>
        <v>165.527405063291</v>
      </c>
      <c r="Y120" s="156" t="n">
        <f aca="false">IFERROR('Price History'!D3+(INDEX('Price History'!D:D,MATCH(9.99E+307,'Returns (Calc)'!$A:$A)+1)-'Price History'!D3)*(ROW()-3)/(MATCH(9.99E+307,'Returns (Calc)'!$A:$A)-3),"")</f>
        <v>1533.78278481013</v>
      </c>
      <c r="Z120" s="156" t="n">
        <f aca="false">IFERROR('Price History'!E3+(INDEX('Price History'!E:E,MATCH(9.99E+307,'Returns (Calc)'!$A:$A)+1)-'Price History'!E3)*(ROW()-3)/(MATCH(9.99E+307,'Returns (Calc)'!$A:$A)-3),"")</f>
        <v>284.261898734177</v>
      </c>
      <c r="AA120" s="156" t="n">
        <f aca="false">IFERROR('Price History'!F3+(INDEX('Price History'!F:F,MATCH(9.99E+307,'Returns (Calc)'!$A:$A)+1)-'Price History'!F3)*(ROW()-3)/(MATCH(9.99E+307,'Returns (Calc)'!$A:$A)-3),"")</f>
        <v>210.698987341772</v>
      </c>
      <c r="AB120" s="156" t="n">
        <f aca="false">IFERROR('Price History'!G3+(INDEX('Price History'!G:G,MATCH(9.99E+307,'Returns (Calc)'!$A:$A)+1)-'Price History'!G3)*(ROW()-3)/(MATCH(9.99E+307,'Returns (Calc)'!$A:$A)-3),"")</f>
        <v>164.711898734177</v>
      </c>
      <c r="AC120" s="156" t="n">
        <f aca="false">IFERROR('Price History'!H3+(INDEX('Price History'!H:H,MATCH(9.99E+307,'Returns (Calc)'!$A:$A)+1)-'Price History'!H3)*(ROW()-3)/(MATCH(9.99E+307,'Returns (Calc)'!$A:$A)-3),"")</f>
        <v>813.896455696203</v>
      </c>
      <c r="AD120" s="156" t="n">
        <f aca="false">IFERROR('Price History'!I3+(INDEX('Price History'!I:I,MATCH(9.99E+307,'Returns (Calc)'!$A:$A)+1)-'Price History'!I3)*(ROW()-3)/(MATCH(9.99E+307,'Returns (Calc)'!$A:$A)-3),"")</f>
        <v>184.599493670886</v>
      </c>
      <c r="AE120" s="156" t="n">
        <f aca="false">IFERROR('Price History'!J3+(INDEX('Price History'!J:J,MATCH(9.99E+307,'Returns (Calc)'!$A:$A)+1)-'Price History'!J3)*(ROW()-3)/(MATCH(9.99E+307,'Returns (Calc)'!$A:$A)-3),"")</f>
        <v>124.480443037975</v>
      </c>
      <c r="AF120" s="156" t="n">
        <f aca="false">IFERROR('Price History'!K3+(INDEX('Price History'!K:K,MATCH(9.99E+307,'Returns (Calc)'!$A:$A)+1)-'Price History'!K3)*(ROW()-3)/(MATCH(9.99E+307,'Returns (Calc)'!$A:$A)-3),"")</f>
        <v>143.748607594937</v>
      </c>
      <c r="AG120" s="156" t="n">
        <f aca="false">IFERROR('Price History'!L3+(INDEX('Price History'!L:L,MATCH(9.99E+307,'Returns (Calc)'!$A:$A)+1)-'Price History'!L3)*(ROW()-3)/(MATCH(9.99E+307,'Returns (Calc)'!$A:$A)-3),"")</f>
        <v>372.348164556962</v>
      </c>
      <c r="AH120" s="156" t="n">
        <f aca="false">IFERROR('Price History'!M3+(INDEX('Price History'!M:M,MATCH(9.99E+307,'Returns (Calc)'!$A:$A)+1)-'Price History'!M3)*(ROW()-3)/(MATCH(9.99E+307,'Returns (Calc)'!$A:$A)-3),"")</f>
        <v>196.606835443038</v>
      </c>
      <c r="AI120" s="156" t="n">
        <f aca="false">IFERROR('Price History'!N3+(INDEX('Price History'!N:N,MATCH(9.99E+307,'Returns (Calc)'!$A:$A)+1)-'Price History'!N3)*(ROW()-3)/(MATCH(9.99E+307,'Returns (Calc)'!$A:$A)-3),"")</f>
        <v>464.293101265823</v>
      </c>
      <c r="AJ120" s="156" t="n">
        <f aca="false">IFERROR('Price History'!O3+(INDEX('Price History'!O:O,MATCH(9.99E+307,'Returns (Calc)'!$A:$A)+1)-'Price History'!O3)*(ROW()-3)/(MATCH(9.99E+307,'Returns (Calc)'!$A:$A)-3),"")</f>
        <v>108.425443037975</v>
      </c>
      <c r="AK120" s="156" t="n">
        <f aca="false">IFERROR('Price History'!Q3+(INDEX('Price History'!Q:Q,MATCH(9.99E+307,'Returns (Calc)'!$A:$A)+1)-'Price History'!Q3)*(ROW()-3)/(MATCH(9.99E+307,'Returns (Calc)'!$A:$A)-3),"")</f>
        <v>51.4059493670886</v>
      </c>
      <c r="AL120" s="156" t="n">
        <f aca="false">IFERROR('Price History'!R3+(INDEX('Price History'!R:R,MATCH(9.99E+307,'Returns (Calc)'!$A:$A)+1)-'Price History'!R3)*(ROW()-3)/(MATCH(9.99E+307,'Returns (Calc)'!$A:$A)-3),"")</f>
        <v>54.1478481012658</v>
      </c>
      <c r="AM120" s="156" t="n">
        <f aca="false">IFERROR('Price History'!S3+(INDEX('Price History'!S:S,MATCH(9.99E+307,'Returns (Calc)'!$A:$A)+1)-'Price History'!S3)*(ROW()-3)/(MATCH(9.99E+307,'Returns (Calc)'!$A:$A)-3),"")</f>
        <v>128.422405063291</v>
      </c>
      <c r="AN120" s="156" t="n">
        <f aca="false">IFERROR('Price History'!T3+(INDEX('Price History'!T:T,MATCH(9.99E+307,'Returns (Calc)'!$A:$A)+1)-'Price History'!T3)*(ROW()-3)/(MATCH(9.99E+307,'Returns (Calc)'!$A:$A)-3),"")</f>
        <v>44.9226582278481</v>
      </c>
      <c r="AO120" s="157" t="n">
        <f aca="false">IFERROR('Price History'!V3+(INDEX('Price History'!V:V,MATCH(9.99E+307,'Returns (Calc)'!$A:$A)+1)-'Price History'!V3)*(ROW()-3)/(MATCH(9.99E+307,'Returns (Calc)'!$A:$A)-3),"")</f>
        <v>328.215506329114</v>
      </c>
      <c r="AP120" s="155" t="n">
        <f aca="false">IFERROR(IF(OR(NOT(ISNUMBER('Price History'!W121)),NOT(ISNUMBER('Price History'!W120)),'Price History'!W120=0),"",'Price History'!W121/'Price History'!W120-1),"")</f>
        <v>-0.0118579848442324</v>
      </c>
      <c r="AQ120" s="155" t="str">
        <f aca="false">IFERROR(IF(OR(NOT(ISNUMBER('Price History'!X121)),NOT(ISNUMBER('Price History'!X120)),'Price History'!X120=0),"",'Price History'!X121/'Price History'!X120-1),"")</f>
        <v/>
      </c>
      <c r="AR120" s="155" t="n">
        <f aca="false">IFERROR(IF(OR(NOT(ISNUMBER('Price History'!Y121)),NOT(ISNUMBER('Price History'!Y120)),'Price History'!Y120=0),"",'Price History'!Y121/'Price History'!Y120-1),"")</f>
        <v>-0.00333456835865131</v>
      </c>
      <c r="AS120" s="155" t="n">
        <f aca="false">IFERROR(IF(OR(NOT(ISNUMBER('Price History'!Z121)),NOT(ISNUMBER('Price History'!Z120)),'Price History'!Z120=0),"",'Price History'!Z121/'Price History'!Z120-1),"")</f>
        <v>0.0246768901091541</v>
      </c>
      <c r="AT120" s="155" t="n">
        <f aca="false">IFERROR(IF(OR(NOT(ISNUMBER('Price History'!AA121)),NOT(ISNUMBER('Price History'!AA120)),'Price History'!AA120=0),"",'Price History'!AA121/'Price History'!AA120-1),"")</f>
        <v>-0.00840424414329233</v>
      </c>
      <c r="AU120" s="155" t="n">
        <f aca="false">IFERROR(IF(OR(NOT(ISNUMBER('Price History'!AB121)),NOT(ISNUMBER('Price History'!AB120)),'Price History'!AB120=0),"",'Price History'!AB121/'Price History'!AB120-1),"")</f>
        <v>-0.00627071575741278</v>
      </c>
    </row>
    <row r="121" customFormat="false" ht="15" hidden="false" customHeight="true" outlineLevel="0" collapsed="false">
      <c r="A121" s="153" t="n">
        <f aca="false">IF('Price History'!A122="","",'Price History'!A122)</f>
        <v>46017</v>
      </c>
      <c r="B121" s="154" t="n">
        <f aca="false">IFERROR(IF(OR(NOT(ISNUMBER('Price History'!B122)),NOT(ISNUMBER('Price History'!B121)),'Price History'!B121=0),"",'Price History'!B122/'Price History'!B121-1),"")</f>
        <v>-0.00578879334569771</v>
      </c>
      <c r="C121" s="154" t="n">
        <f aca="false">IFERROR(IF(OR(NOT(ISNUMBER('Price History'!C122)),NOT(ISNUMBER('Price History'!C121)),'Price History'!C121=0),"",'Price History'!C122/'Price History'!C121-1),"")</f>
        <v>0.00549115314215976</v>
      </c>
      <c r="D121" s="154" t="n">
        <f aca="false">IFERROR(IF(OR(NOT(ISNUMBER('Price History'!D122)),NOT(ISNUMBER('Price History'!D121)),'Price History'!D121=0),"",'Price History'!D122/'Price History'!D121-1),"")</f>
        <v>0.0158425073979276</v>
      </c>
      <c r="E121" s="154" t="n">
        <f aca="false">IFERROR(IF(OR(NOT(ISNUMBER('Price History'!E122)),NOT(ISNUMBER('Price History'!E121)),'Price History'!E121=0),"",'Price History'!E122/'Price History'!E121-1),"")</f>
        <v>0.0365546840313749</v>
      </c>
      <c r="F121" s="154" t="n">
        <f aca="false">IFERROR(IF(OR(NOT(ISNUMBER('Price History'!F122)),NOT(ISNUMBER('Price History'!F121)),'Price History'!F121=0),"",'Price History'!F122/'Price History'!F121-1),"")</f>
        <v>-0.000166223404255317</v>
      </c>
      <c r="G121" s="154" t="n">
        <f aca="false">IFERROR(IF(OR(NOT(ISNUMBER('Price History'!G122)),NOT(ISNUMBER('Price History'!G121)),'Price History'!G121=0),"",'Price History'!G122/'Price History'!G121-1),"")</f>
        <v>0.0272339054064943</v>
      </c>
      <c r="H121" s="154" t="n">
        <f aca="false">IFERROR(IF(OR(NOT(ISNUMBER('Price History'!H122)),NOT(ISNUMBER('Price History'!H121)),'Price History'!H121=0),"",'Price History'!H122/'Price History'!H121-1),"")</f>
        <v>0.0709553564706766</v>
      </c>
      <c r="I121" s="154" t="n">
        <f aca="false">IFERROR(IF(OR(NOT(ISNUMBER('Price History'!I122)),NOT(ISNUMBER('Price History'!I121)),'Price History'!I121=0),"",'Price History'!I122/'Price History'!I121-1),"")</f>
        <v>0.0527219360912665</v>
      </c>
      <c r="J121" s="154" t="n">
        <f aca="false">IFERROR(IF(OR(NOT(ISNUMBER('Price History'!J122)),NOT(ISNUMBER('Price History'!J121)),'Price History'!J121=0),"",'Price History'!J122/'Price History'!J121-1),"")</f>
        <v>0.0115830115830118</v>
      </c>
      <c r="K121" s="154" t="n">
        <f aca="false">IFERROR(IF(OR(NOT(ISNUMBER('Price History'!K122)),NOT(ISNUMBER('Price History'!K121)),'Price History'!K121=0),"",'Price History'!K122/'Price History'!K121-1),"")</f>
        <v>-0.0241493432619712</v>
      </c>
      <c r="L121" s="154" t="n">
        <f aca="false">IFERROR(IF(OR(NOT(ISNUMBER('Price History'!L122)),NOT(ISNUMBER('Price History'!L121)),'Price History'!L121=0),"",'Price History'!L122/'Price History'!L121-1),"")</f>
        <v>0.0480641785838858</v>
      </c>
      <c r="M121" s="154" t="n">
        <f aca="false">IFERROR(IF(OR(NOT(ISNUMBER('Price History'!M122)),NOT(ISNUMBER('Price History'!M121)),'Price History'!M121=0),"",'Price History'!M122/'Price History'!M121-1),"")</f>
        <v>0.0485254523824432</v>
      </c>
      <c r="N121" s="154" t="n">
        <f aca="false">IFERROR(IF(OR(NOT(ISNUMBER('Price History'!N122)),NOT(ISNUMBER('Price History'!N121)),'Price History'!N121=0),"",'Price History'!N122/'Price History'!N121-1),"")</f>
        <v>0.0146865409907935</v>
      </c>
      <c r="O121" s="154" t="n">
        <f aca="false">IFERROR(IF(OR(NOT(ISNUMBER('Price History'!O122)),NOT(ISNUMBER('Price History'!O121)),'Price History'!O121=0),"",'Price History'!O122/'Price History'!O121-1),"")</f>
        <v>-0.000875486381322954</v>
      </c>
      <c r="P121" s="154" t="n">
        <f aca="false">IFERROR(IF(OR(NOT(ISNUMBER('Price History'!P122)),NOT(ISNUMBER('Price History'!P121)),'Price History'!P121=0),"",'Price History'!P122/'Price History'!P121-1),"")</f>
        <v>0.00526885600866112</v>
      </c>
      <c r="Q121" s="154" t="n">
        <f aca="false">IFERROR(IF(OR(NOT(ISNUMBER('Price History'!Q122)),NOT(ISNUMBER('Price History'!Q121)),'Price History'!Q121=0),"",'Price History'!Q122/'Price History'!Q121-1),"")</f>
        <v>0.0106012418597607</v>
      </c>
      <c r="R121" s="154" t="n">
        <f aca="false">IFERROR(IF(OR(NOT(ISNUMBER('Price History'!R122)),NOT(ISNUMBER('Price History'!R121)),'Price History'!R121=0),"",'Price History'!R122/'Price History'!R121-1),"")</f>
        <v>0.0124340617935192</v>
      </c>
      <c r="S121" s="154" t="n">
        <f aca="false">IFERROR(IF(OR(NOT(ISNUMBER('Price History'!S122)),NOT(ISNUMBER('Price History'!S121)),'Price History'!S121=0),"",'Price History'!S122/'Price History'!S121-1),"")</f>
        <v>0.0179701341432548</v>
      </c>
      <c r="T121" s="154" t="n">
        <f aca="false">IFERROR(IF(OR(NOT(ISNUMBER('Price History'!T122)),NOT(ISNUMBER('Price History'!T121)),'Price History'!T121=0),"",'Price History'!T122/'Price History'!T121-1),"")</f>
        <v>0.00662083015024195</v>
      </c>
      <c r="U121" s="154" t="n">
        <f aca="false">IFERROR(IF(OR(NOT(ISNUMBER('Price History'!U122)),NOT(ISNUMBER('Price History'!U121)),'Price History'!U121=0),"",'Price History'!U122/'Price History'!U121-1),"")</f>
        <v>0.00671641791044775</v>
      </c>
      <c r="V121" s="155" t="n">
        <f aca="false">IFERROR(IF(OR(NOT(ISNUMBER('Price History'!V122)),NOT(ISNUMBER('Price History'!V121)),'Price History'!V121=0),"",'Price History'!V122/'Price History'!V121-1),"")</f>
        <v>0.0164472736699599</v>
      </c>
      <c r="W121" s="156" t="n">
        <f aca="false">IFERROR('Price History'!B3+(INDEX('Price History'!B:B,MATCH(9.99E+307,'Returns (Calc)'!$A:$A)+1)-'Price History'!B3)*(ROW()-3)/(MATCH(9.99E+307,'Returns (Calc)'!$A:$A)-3),"")</f>
        <v>311.411518987342</v>
      </c>
      <c r="X121" s="156" t="n">
        <f aca="false">IFERROR('Price History'!C3+(INDEX('Price History'!C:C,MATCH(9.99E+307,'Returns (Calc)'!$A:$A)+1)-'Price History'!C3)*(ROW()-3)/(MATCH(9.99E+307,'Returns (Calc)'!$A:$A)-3),"")</f>
        <v>166.54746835443</v>
      </c>
      <c r="Y121" s="156" t="n">
        <f aca="false">IFERROR('Price History'!D3+(INDEX('Price History'!D:D,MATCH(9.99E+307,'Returns (Calc)'!$A:$A)+1)-'Price History'!D3)*(ROW()-3)/(MATCH(9.99E+307,'Returns (Calc)'!$A:$A)-3),"")</f>
        <v>1541.91759493671</v>
      </c>
      <c r="Z121" s="156" t="n">
        <f aca="false">IFERROR('Price History'!E3+(INDEX('Price History'!E:E,MATCH(9.99E+307,'Returns (Calc)'!$A:$A)+1)-'Price History'!E3)*(ROW()-3)/(MATCH(9.99E+307,'Returns (Calc)'!$A:$A)-3),"")</f>
        <v>285.990632911392</v>
      </c>
      <c r="AA121" s="156" t="n">
        <f aca="false">IFERROR('Price History'!F3+(INDEX('Price History'!F:F,MATCH(9.99E+307,'Returns (Calc)'!$A:$A)+1)-'Price History'!F3)*(ROW()-3)/(MATCH(9.99E+307,'Returns (Calc)'!$A:$A)-3),"")</f>
        <v>212.146329113924</v>
      </c>
      <c r="AB121" s="156" t="n">
        <f aca="false">IFERROR('Price History'!G3+(INDEX('Price History'!G:G,MATCH(9.99E+307,'Returns (Calc)'!$A:$A)+1)-'Price History'!G3)*(ROW()-3)/(MATCH(9.99E+307,'Returns (Calc)'!$A:$A)-3),"")</f>
        <v>165.740632911392</v>
      </c>
      <c r="AC121" s="156" t="n">
        <f aca="false">IFERROR('Price History'!H3+(INDEX('Price History'!H:H,MATCH(9.99E+307,'Returns (Calc)'!$A:$A)+1)-'Price History'!H3)*(ROW()-3)/(MATCH(9.99E+307,'Returns (Calc)'!$A:$A)-3),"")</f>
        <v>820.262151898734</v>
      </c>
      <c r="AD121" s="156" t="n">
        <f aca="false">IFERROR('Price History'!I3+(INDEX('Price History'!I:I,MATCH(9.99E+307,'Returns (Calc)'!$A:$A)+1)-'Price History'!I3)*(ROW()-3)/(MATCH(9.99E+307,'Returns (Calc)'!$A:$A)-3),"")</f>
        <v>185.803164556962</v>
      </c>
      <c r="AE121" s="156" t="n">
        <f aca="false">IFERROR('Price History'!J3+(INDEX('Price History'!J:J,MATCH(9.99E+307,'Returns (Calc)'!$A:$A)+1)-'Price History'!J3)*(ROW()-3)/(MATCH(9.99E+307,'Returns (Calc)'!$A:$A)-3),"")</f>
        <v>124.588481012658</v>
      </c>
      <c r="AF121" s="156" t="n">
        <f aca="false">IFERROR('Price History'!K3+(INDEX('Price History'!K:K,MATCH(9.99E+307,'Returns (Calc)'!$A:$A)+1)-'Price History'!K3)*(ROW()-3)/(MATCH(9.99E+307,'Returns (Calc)'!$A:$A)-3),"")</f>
        <v>144.846202531646</v>
      </c>
      <c r="AG121" s="156" t="n">
        <f aca="false">IFERROR('Price History'!L3+(INDEX('Price History'!L:L,MATCH(9.99E+307,'Returns (Calc)'!$A:$A)+1)-'Price History'!L3)*(ROW()-3)/(MATCH(9.99E+307,'Returns (Calc)'!$A:$A)-3),"")</f>
        <v>374.797721518987</v>
      </c>
      <c r="AH121" s="156" t="n">
        <f aca="false">IFERROR('Price History'!M3+(INDEX('Price History'!M:M,MATCH(9.99E+307,'Returns (Calc)'!$A:$A)+1)-'Price History'!M3)*(ROW()-3)/(MATCH(9.99E+307,'Returns (Calc)'!$A:$A)-3),"")</f>
        <v>197.962278481013</v>
      </c>
      <c r="AI121" s="156" t="n">
        <f aca="false">IFERROR('Price History'!N3+(INDEX('Price History'!N:N,MATCH(9.99E+307,'Returns (Calc)'!$A:$A)+1)-'Price History'!N3)*(ROW()-3)/(MATCH(9.99E+307,'Returns (Calc)'!$A:$A)-3),"")</f>
        <v>465.279367088608</v>
      </c>
      <c r="AJ121" s="156" t="n">
        <f aca="false">IFERROR('Price History'!O3+(INDEX('Price History'!O:O,MATCH(9.99E+307,'Returns (Calc)'!$A:$A)+1)-'Price History'!O3)*(ROW()-3)/(MATCH(9.99E+307,'Returns (Calc)'!$A:$A)-3),"")</f>
        <v>108.708481012658</v>
      </c>
      <c r="AK121" s="156" t="n">
        <f aca="false">IFERROR('Price History'!Q3+(INDEX('Price History'!Q:Q,MATCH(9.99E+307,'Returns (Calc)'!$A:$A)+1)-'Price History'!Q3)*(ROW()-3)/(MATCH(9.99E+307,'Returns (Calc)'!$A:$A)-3),"")</f>
        <v>51.8453164556962</v>
      </c>
      <c r="AL121" s="156" t="n">
        <f aca="false">IFERROR('Price History'!R3+(INDEX('Price History'!R:R,MATCH(9.99E+307,'Returns (Calc)'!$A:$A)+1)-'Price History'!R3)*(ROW()-3)/(MATCH(9.99E+307,'Returns (Calc)'!$A:$A)-3),"")</f>
        <v>54.3159493670886</v>
      </c>
      <c r="AM121" s="156" t="n">
        <f aca="false">IFERROR('Price History'!S3+(INDEX('Price History'!S:S,MATCH(9.99E+307,'Returns (Calc)'!$A:$A)+1)-'Price History'!S3)*(ROW()-3)/(MATCH(9.99E+307,'Returns (Calc)'!$A:$A)-3),"")</f>
        <v>129.02746835443</v>
      </c>
      <c r="AN121" s="156" t="n">
        <f aca="false">IFERROR('Price History'!T3+(INDEX('Price History'!T:T,MATCH(9.99E+307,'Returns (Calc)'!$A:$A)+1)-'Price History'!T3)*(ROW()-3)/(MATCH(9.99E+307,'Returns (Calc)'!$A:$A)-3),"")</f>
        <v>45.0908860759494</v>
      </c>
      <c r="AO121" s="157" t="n">
        <f aca="false">IFERROR('Price History'!V3+(INDEX('Price History'!V:V,MATCH(9.99E+307,'Returns (Calc)'!$A:$A)+1)-'Price History'!V3)*(ROW()-3)/(MATCH(9.99E+307,'Returns (Calc)'!$A:$A)-3),"")</f>
        <v>329.006835443038</v>
      </c>
      <c r="AP121" s="155" t="n">
        <f aca="false">IFERROR(IF(OR(NOT(ISNUMBER('Price History'!W122)),NOT(ISNUMBER('Price History'!W121)),'Price History'!W121=0),"",'Price History'!W122/'Price History'!W121-1),"")</f>
        <v>0.0122843144216431</v>
      </c>
      <c r="AQ121" s="155" t="n">
        <f aca="false">IFERROR(IF(OR(NOT(ISNUMBER('Price History'!X122)),NOT(ISNUMBER('Price History'!X121)),'Price History'!X121=0),"",'Price History'!X122/'Price History'!X121-1),"")</f>
        <v>0.0158550396375992</v>
      </c>
      <c r="AR121" s="155" t="n">
        <f aca="false">IFERROR(IF(OR(NOT(ISNUMBER('Price History'!Y122)),NOT(ISNUMBER('Price History'!Y121)),'Price History'!Y121=0),"",'Price History'!Y122/'Price History'!Y121-1),"")</f>
        <v>0.00836431226765799</v>
      </c>
      <c r="AS121" s="155" t="n">
        <f aca="false">IFERROR(IF(OR(NOT(ISNUMBER('Price History'!Z122)),NOT(ISNUMBER('Price History'!Z121)),'Price History'!Z121=0),"",'Price History'!Z122/'Price History'!Z121-1),"")</f>
        <v>0.0258144626343824</v>
      </c>
      <c r="AT121" s="155" t="n">
        <f aca="false">IFERROR(IF(OR(NOT(ISNUMBER('Price History'!AA122)),NOT(ISNUMBER('Price History'!AA121)),'Price History'!AA121=0),"",'Price History'!AA122/'Price History'!AA121-1),"")</f>
        <v>0.00084754740968318</v>
      </c>
      <c r="AU121" s="155" t="n">
        <f aca="false">IFERROR(IF(OR(NOT(ISNUMBER('Price History'!AB122)),NOT(ISNUMBER('Price History'!AB121)),'Price History'!AB121=0),"",'Price History'!AB122/'Price History'!AB121-1),"")</f>
        <v>0.0125754980618407</v>
      </c>
    </row>
    <row r="122" customFormat="false" ht="15" hidden="false" customHeight="true" outlineLevel="0" collapsed="false">
      <c r="A122" s="153" t="n">
        <f aca="false">IF('Price History'!A123="","",'Price History'!A123)</f>
        <v>46024</v>
      </c>
      <c r="B122" s="154" t="n">
        <f aca="false">IFERROR(IF(OR(NOT(ISNUMBER('Price History'!B123)),NOT(ISNUMBER('Price History'!B122)),'Price History'!B122=0),"",'Price History'!B123/'Price History'!B122-1),"")</f>
        <v>-0.0579423403052572</v>
      </c>
      <c r="C122" s="154" t="n">
        <f aca="false">IFERROR(IF(OR(NOT(ISNUMBER('Price History'!C123)),NOT(ISNUMBER('Price History'!C122)),'Price History'!C122=0),"",'Price History'!C123/'Price History'!C122-1),"")</f>
        <v>0.0133495145631066</v>
      </c>
      <c r="D122" s="154" t="n">
        <f aca="false">IFERROR(IF(OR(NOT(ISNUMBER('Price History'!D123)),NOT(ISNUMBER('Price History'!D122)),'Price History'!D122=0),"",'Price History'!D123/'Price History'!D122-1),"")</f>
        <v>0.0848616548959369</v>
      </c>
      <c r="E122" s="154" t="n">
        <f aca="false">IFERROR(IF(OR(NOT(ISNUMBER('Price History'!E123)),NOT(ISNUMBER('Price History'!E122)),'Price History'!E122=0),"",'Price History'!E123/'Price History'!E122-1),"")</f>
        <v>-0.0128212450028555</v>
      </c>
      <c r="F122" s="154" t="n">
        <f aca="false">IFERROR(IF(OR(NOT(ISNUMBER('Price History'!F123)),NOT(ISNUMBER('Price History'!F122)),'Price History'!F122=0),"",'Price History'!F123/'Price History'!F122-1),"")</f>
        <v>-0.0574397339983375</v>
      </c>
      <c r="G122" s="154" t="n">
        <f aca="false">IFERROR(IF(OR(NOT(ISNUMBER('Price History'!G123)),NOT(ISNUMBER('Price History'!G122)),'Price History'!G122=0),"",'Price History'!G123/'Price History'!G122-1),"")</f>
        <v>-0.00400031375009802</v>
      </c>
      <c r="H122" s="154" t="n">
        <f aca="false">IFERROR(IF(OR(NOT(ISNUMBER('Price History'!H123)),NOT(ISNUMBER('Price History'!H122)),'Price History'!H122=0),"",'Price History'!H123/'Price History'!H122-1),"")</f>
        <v>0.108010263259639</v>
      </c>
      <c r="I122" s="154" t="n">
        <f aca="false">IFERROR(IF(OR(NOT(ISNUMBER('Price History'!I123)),NOT(ISNUMBER('Price History'!I122)),'Price History'!I122=0),"",'Price History'!I123/'Price History'!I122-1),"")</f>
        <v>-0.00883791888053032</v>
      </c>
      <c r="J122" s="154" t="n">
        <f aca="false">IFERROR(IF(OR(NOT(ISNUMBER('Price History'!J123)),NOT(ISNUMBER('Price History'!J122)),'Price History'!J122=0),"",'Price History'!J123/'Price History'!J122-1),"")</f>
        <v>0.0027035623409668</v>
      </c>
      <c r="K122" s="154" t="n">
        <f aca="false">IFERROR(IF(OR(NOT(ISNUMBER('Price History'!K123)),NOT(ISNUMBER('Price History'!K122)),'Price History'!K122=0),"",'Price History'!K123/'Price History'!K122-1),"")</f>
        <v>-0.110486990620529</v>
      </c>
      <c r="L122" s="154" t="n">
        <f aca="false">IFERROR(IF(OR(NOT(ISNUMBER('Price History'!L123)),NOT(ISNUMBER('Price History'!L122)),'Price History'!L122=0),"",'Price History'!L123/'Price History'!L122-1),"")</f>
        <v>0.0553780617678381</v>
      </c>
      <c r="M122" s="154" t="n">
        <f aca="false">IFERROR(IF(OR(NOT(ISNUMBER('Price History'!M123)),NOT(ISNUMBER('Price History'!M122)),'Price History'!M122=0),"",'Price History'!M123/'Price History'!M122-1),"")</f>
        <v>0.0479517496715634</v>
      </c>
      <c r="N122" s="154" t="n">
        <f aca="false">IFERROR(IF(OR(NOT(ISNUMBER('Price History'!N123)),NOT(ISNUMBER('Price History'!N122)),'Price History'!N122=0),"",'Price History'!N123/'Price History'!N122-1),"")</f>
        <v>-0.0232663642255346</v>
      </c>
      <c r="O122" s="154" t="n">
        <f aca="false">IFERROR(IF(OR(NOT(ISNUMBER('Price History'!O123)),NOT(ISNUMBER('Price History'!O122)),'Price History'!O122=0),"",'Price History'!O123/'Price History'!O122-1),"")</f>
        <v>-0.00554960568591167</v>
      </c>
      <c r="P122" s="154" t="n">
        <f aca="false">IFERROR(IF(OR(NOT(ISNUMBER('Price History'!P123)),NOT(ISNUMBER('Price History'!P122)),'Price History'!P122=0),"",'Price History'!P123/'Price History'!P122-1),"")</f>
        <v>7.17978173463418E-005</v>
      </c>
      <c r="Q122" s="154" t="n">
        <f aca="false">IFERROR(IF(OR(NOT(ISNUMBER('Price History'!Q123)),NOT(ISNUMBER('Price History'!Q122)),'Price History'!Q122=0),"",'Price History'!Q123/'Price History'!Q122-1),"")</f>
        <v>-0.00824216993855831</v>
      </c>
      <c r="R122" s="154" t="n">
        <f aca="false">IFERROR(IF(OR(NOT(ISNUMBER('Price History'!R123)),NOT(ISNUMBER('Price History'!R122)),'Price History'!R122=0),"",'Price History'!R123/'Price History'!R122-1),"")</f>
        <v>-0.0115370301451434</v>
      </c>
      <c r="S122" s="154" t="n">
        <f aca="false">IFERROR(IF(OR(NOT(ISNUMBER('Price History'!S123)),NOT(ISNUMBER('Price History'!S122)),'Price History'!S122=0),"",'Price History'!S123/'Price History'!S122-1),"")</f>
        <v>-0.01408917619758</v>
      </c>
      <c r="T122" s="154" t="n">
        <f aca="false">IFERROR(IF(OR(NOT(ISNUMBER('Price History'!T123)),NOT(ISNUMBER('Price History'!T122)),'Price History'!T122=0),"",'Price History'!T123/'Price History'!T122-1),"")</f>
        <v>-0.00935997976220604</v>
      </c>
      <c r="U122" s="154" t="n">
        <f aca="false">IFERROR(IF(OR(NOT(ISNUMBER('Price History'!U123)),NOT(ISNUMBER('Price History'!U122)),'Price History'!U122=0),"",'Price History'!U123/'Price History'!U122-1),"")</f>
        <v>0.00296515937731656</v>
      </c>
      <c r="V122" s="155" t="n">
        <f aca="false">IFERROR(IF(OR(NOT(ISNUMBER('Price History'!V123)),NOT(ISNUMBER('Price History'!V122)),'Price History'!V122=0),"",'Price History'!V123/'Price History'!V122-1),"")</f>
        <v>-0.0240024937655859</v>
      </c>
      <c r="W122" s="156" t="n">
        <f aca="false">IFERROR('Price History'!B3+(INDEX('Price History'!B:B,MATCH(9.99E+307,'Returns (Calc)'!$A:$A)+1)-'Price History'!B3)*(ROW()-3)/(MATCH(9.99E+307,'Returns (Calc)'!$A:$A)-3),"")</f>
        <v>309.568481012658</v>
      </c>
      <c r="X122" s="156" t="n">
        <f aca="false">IFERROR('Price History'!C3+(INDEX('Price History'!C:C,MATCH(9.99E+307,'Returns (Calc)'!$A:$A)+1)-'Price History'!C3)*(ROW()-3)/(MATCH(9.99E+307,'Returns (Calc)'!$A:$A)-3),"")</f>
        <v>167.56753164557</v>
      </c>
      <c r="Y122" s="156" t="n">
        <f aca="false">IFERROR('Price History'!D3+(INDEX('Price History'!D:D,MATCH(9.99E+307,'Returns (Calc)'!$A:$A)+1)-'Price History'!D3)*(ROW()-3)/(MATCH(9.99E+307,'Returns (Calc)'!$A:$A)-3),"")</f>
        <v>1550.05240506329</v>
      </c>
      <c r="Z122" s="156" t="n">
        <f aca="false">IFERROR('Price History'!E3+(INDEX('Price History'!E:E,MATCH(9.99E+307,'Returns (Calc)'!$A:$A)+1)-'Price History'!E3)*(ROW()-3)/(MATCH(9.99E+307,'Returns (Calc)'!$A:$A)-3),"")</f>
        <v>287.719367088608</v>
      </c>
      <c r="AA122" s="156" t="n">
        <f aca="false">IFERROR('Price History'!F3+(INDEX('Price History'!F:F,MATCH(9.99E+307,'Returns (Calc)'!$A:$A)+1)-'Price History'!F3)*(ROW()-3)/(MATCH(9.99E+307,'Returns (Calc)'!$A:$A)-3),"")</f>
        <v>213.593670886076</v>
      </c>
      <c r="AB122" s="156" t="n">
        <f aca="false">IFERROR('Price History'!G3+(INDEX('Price History'!G:G,MATCH(9.99E+307,'Returns (Calc)'!$A:$A)+1)-'Price History'!G3)*(ROW()-3)/(MATCH(9.99E+307,'Returns (Calc)'!$A:$A)-3),"")</f>
        <v>166.769367088608</v>
      </c>
      <c r="AC122" s="156" t="n">
        <f aca="false">IFERROR('Price History'!H3+(INDEX('Price History'!H:H,MATCH(9.99E+307,'Returns (Calc)'!$A:$A)+1)-'Price History'!H3)*(ROW()-3)/(MATCH(9.99E+307,'Returns (Calc)'!$A:$A)-3),"")</f>
        <v>826.627848101266</v>
      </c>
      <c r="AD122" s="156" t="n">
        <f aca="false">IFERROR('Price History'!I3+(INDEX('Price History'!I:I,MATCH(9.99E+307,'Returns (Calc)'!$A:$A)+1)-'Price History'!I3)*(ROW()-3)/(MATCH(9.99E+307,'Returns (Calc)'!$A:$A)-3),"")</f>
        <v>187.006835443038</v>
      </c>
      <c r="AE122" s="156" t="n">
        <f aca="false">IFERROR('Price History'!J3+(INDEX('Price History'!J:J,MATCH(9.99E+307,'Returns (Calc)'!$A:$A)+1)-'Price History'!J3)*(ROW()-3)/(MATCH(9.99E+307,'Returns (Calc)'!$A:$A)-3),"")</f>
        <v>124.696518987342</v>
      </c>
      <c r="AF122" s="156" t="n">
        <f aca="false">IFERROR('Price History'!K3+(INDEX('Price History'!K:K,MATCH(9.99E+307,'Returns (Calc)'!$A:$A)+1)-'Price History'!K3)*(ROW()-3)/(MATCH(9.99E+307,'Returns (Calc)'!$A:$A)-3),"")</f>
        <v>145.943797468354</v>
      </c>
      <c r="AG122" s="156" t="n">
        <f aca="false">IFERROR('Price History'!L3+(INDEX('Price History'!L:L,MATCH(9.99E+307,'Returns (Calc)'!$A:$A)+1)-'Price History'!L3)*(ROW()-3)/(MATCH(9.99E+307,'Returns (Calc)'!$A:$A)-3),"")</f>
        <v>377.247278481013</v>
      </c>
      <c r="AH122" s="156" t="n">
        <f aca="false">IFERROR('Price History'!M3+(INDEX('Price History'!M:M,MATCH(9.99E+307,'Returns (Calc)'!$A:$A)+1)-'Price History'!M3)*(ROW()-3)/(MATCH(9.99E+307,'Returns (Calc)'!$A:$A)-3),"")</f>
        <v>199.317721518987</v>
      </c>
      <c r="AI122" s="156" t="n">
        <f aca="false">IFERROR('Price History'!N3+(INDEX('Price History'!N:N,MATCH(9.99E+307,'Returns (Calc)'!$A:$A)+1)-'Price History'!N3)*(ROW()-3)/(MATCH(9.99E+307,'Returns (Calc)'!$A:$A)-3),"")</f>
        <v>466.265632911392</v>
      </c>
      <c r="AJ122" s="156" t="n">
        <f aca="false">IFERROR('Price History'!O3+(INDEX('Price History'!O:O,MATCH(9.99E+307,'Returns (Calc)'!$A:$A)+1)-'Price History'!O3)*(ROW()-3)/(MATCH(9.99E+307,'Returns (Calc)'!$A:$A)-3),"")</f>
        <v>108.991518987342</v>
      </c>
      <c r="AK122" s="156" t="n">
        <f aca="false">IFERROR('Price History'!Q3+(INDEX('Price History'!Q:Q,MATCH(9.99E+307,'Returns (Calc)'!$A:$A)+1)-'Price History'!Q3)*(ROW()-3)/(MATCH(9.99E+307,'Returns (Calc)'!$A:$A)-3),"")</f>
        <v>52.2846835443038</v>
      </c>
      <c r="AL122" s="156" t="n">
        <f aca="false">IFERROR('Price History'!R3+(INDEX('Price History'!R:R,MATCH(9.99E+307,'Returns (Calc)'!$A:$A)+1)-'Price History'!R3)*(ROW()-3)/(MATCH(9.99E+307,'Returns (Calc)'!$A:$A)-3),"")</f>
        <v>54.4840506329114</v>
      </c>
      <c r="AM122" s="156" t="n">
        <f aca="false">IFERROR('Price History'!S3+(INDEX('Price History'!S:S,MATCH(9.99E+307,'Returns (Calc)'!$A:$A)+1)-'Price History'!S3)*(ROW()-3)/(MATCH(9.99E+307,'Returns (Calc)'!$A:$A)-3),"")</f>
        <v>129.63253164557</v>
      </c>
      <c r="AN122" s="156" t="n">
        <f aca="false">IFERROR('Price History'!T3+(INDEX('Price History'!T:T,MATCH(9.99E+307,'Returns (Calc)'!$A:$A)+1)-'Price History'!T3)*(ROW()-3)/(MATCH(9.99E+307,'Returns (Calc)'!$A:$A)-3),"")</f>
        <v>45.2591139240506</v>
      </c>
      <c r="AO122" s="157" t="n">
        <f aca="false">IFERROR('Price History'!V3+(INDEX('Price History'!V:V,MATCH(9.99E+307,'Returns (Calc)'!$A:$A)+1)-'Price History'!V3)*(ROW()-3)/(MATCH(9.99E+307,'Returns (Calc)'!$A:$A)-3),"")</f>
        <v>329.798164556962</v>
      </c>
      <c r="AP122" s="155" t="n">
        <f aca="false">IFERROR(IF(OR(NOT(ISNUMBER('Price History'!W123)),NOT(ISNUMBER('Price History'!W122)),'Price History'!W122=0),"",'Price History'!W123/'Price History'!W122-1),"")</f>
        <v>-0.00224466891133557</v>
      </c>
      <c r="AQ122" s="155" t="n">
        <f aca="false">IFERROR(IF(OR(NOT(ISNUMBER('Price History'!X123)),NOT(ISNUMBER('Price History'!X122)),'Price History'!X122=0),"",'Price History'!X123/'Price History'!X122-1),"")</f>
        <v>0.0102564102564102</v>
      </c>
      <c r="AR122" s="155" t="n">
        <f aca="false">IFERROR(IF(OR(NOT(ISNUMBER('Price History'!Y123)),NOT(ISNUMBER('Price History'!Y122)),'Price History'!Y122=0),"",'Price History'!Y123/'Price History'!Y122-1),"")</f>
        <v>-0.00479262672811054</v>
      </c>
      <c r="AS122" s="155" t="n">
        <f aca="false">IFERROR(IF(OR(NOT(ISNUMBER('Price History'!Z123)),NOT(ISNUMBER('Price History'!Z122)),'Price History'!Z122=0),"",'Price History'!Z123/'Price History'!Z122-1),"")</f>
        <v>0.0189532698372248</v>
      </c>
      <c r="AT122" s="155" t="n">
        <f aca="false">IFERROR(IF(OR(NOT(ISNUMBER('Price History'!AA123)),NOT(ISNUMBER('Price History'!AA122)),'Price History'!AA122=0),"",'Price History'!AA123/'Price History'!AA122-1),"")</f>
        <v>-0.0368370911400445</v>
      </c>
      <c r="AU122" s="155" t="n">
        <f aca="false">IFERROR(IF(OR(NOT(ISNUMBER('Price History'!AB123)),NOT(ISNUMBER('Price History'!AB122)),'Price History'!AB122=0),"",'Price History'!AB123/'Price History'!AB122-1),"")</f>
        <v>-0.0229690629868684</v>
      </c>
    </row>
    <row r="123" customFormat="false" ht="15" hidden="false" customHeight="true" outlineLevel="0" collapsed="false">
      <c r="A123" s="153" t="n">
        <f aca="false">IF('Price History'!A124="","",'Price History'!A124)</f>
        <v>46031</v>
      </c>
      <c r="B123" s="154" t="n">
        <f aca="false">IFERROR(IF(OR(NOT(ISNUMBER('Price History'!B124)),NOT(ISNUMBER('Price History'!B123)),'Price History'!B123=0),"",'Price History'!B124/'Price History'!B123-1),"")</f>
        <v>0.00195019501950178</v>
      </c>
      <c r="C123" s="154" t="n">
        <f aca="false">IFERROR(IF(OR(NOT(ISNUMBER('Price History'!C124)),NOT(ISNUMBER('Price History'!C123)),'Price History'!C123=0),"",'Price History'!C124/'Price History'!C123-1),"")</f>
        <v>-0.0801646706586826</v>
      </c>
      <c r="D123" s="154" t="n">
        <f aca="false">IFERROR(IF(OR(NOT(ISNUMBER('Price History'!D124)),NOT(ISNUMBER('Price History'!D123)),'Price History'!D123=0),"",'Price History'!D124/'Price History'!D123-1),"")</f>
        <v>0.0946020617844623</v>
      </c>
      <c r="E123" s="154" t="n">
        <f aca="false">IFERROR(IF(OR(NOT(ISNUMBER('Price History'!E124)),NOT(ISNUMBER('Price History'!E123)),'Price History'!E123=0),"",'Price History'!E124/'Price History'!E123-1),"")</f>
        <v>-0.00760753232478084</v>
      </c>
      <c r="F123" s="154" t="n">
        <f aca="false">IFERROR(IF(OR(NOT(ISNUMBER('Price History'!F124)),NOT(ISNUMBER('Price History'!F123)),'Price History'!F123=0),"",'Price History'!F124/'Price History'!F123-1),"")</f>
        <v>0.0375694505688333</v>
      </c>
      <c r="G123" s="154" t="n">
        <f aca="false">IFERROR(IF(OR(NOT(ISNUMBER('Price History'!G124)),NOT(ISNUMBER('Price History'!G123)),'Price History'!G123=0),"",'Price History'!G124/'Price History'!G123-1),"")</f>
        <v>0.0984406993227278</v>
      </c>
      <c r="H123" s="154" t="n">
        <f aca="false">IFERROR(IF(OR(NOT(ISNUMBER('Price History'!H124)),NOT(ISNUMBER('Price History'!H123)),'Price History'!H123=0),"",'Price History'!H124/'Price History'!H123-1),"")</f>
        <v>0.0940553229285623</v>
      </c>
      <c r="I123" s="154" t="n">
        <f aca="false">IFERROR(IF(OR(NOT(ISNUMBER('Price History'!I124)),NOT(ISNUMBER('Price History'!I123)),'Price History'!I123=0),"",'Price History'!I124/'Price History'!I123-1),"")</f>
        <v>-0.0211241441537073</v>
      </c>
      <c r="J123" s="154" t="n">
        <f aca="false">IFERROR(IF(OR(NOT(ISNUMBER('Price History'!J124)),NOT(ISNUMBER('Price History'!J123)),'Price History'!J123=0),"",'Price History'!J124/'Price History'!J123-1),"")</f>
        <v>0.00269627279936557</v>
      </c>
      <c r="K123" s="154" t="n">
        <f aca="false">IFERROR(IF(OR(NOT(ISNUMBER('Price History'!K124)),NOT(ISNUMBER('Price History'!K123)),'Price History'!K123=0),"",'Price History'!K124/'Price History'!K123-1),"")</f>
        <v>0.0573692362683189</v>
      </c>
      <c r="L123" s="154" t="n">
        <f aca="false">IFERROR(IF(OR(NOT(ISNUMBER('Price History'!L124)),NOT(ISNUMBER('Price History'!L123)),'Price History'!L123=0),"",'Price History'!L124/'Price History'!L123-1),"")</f>
        <v>0.0125819878910192</v>
      </c>
      <c r="M123" s="154" t="n">
        <f aca="false">IFERROR(IF(OR(NOT(ISNUMBER('Price History'!M124)),NOT(ISNUMBER('Price History'!M123)),'Price History'!M123=0),"",'Price History'!M124/'Price History'!M123-1),"")</f>
        <v>-0.0684939312781355</v>
      </c>
      <c r="N123" s="154" t="n">
        <f aca="false">IFERROR(IF(OR(NOT(ISNUMBER('Price History'!N124)),NOT(ISNUMBER('Price History'!N123)),'Price History'!N123=0),"",'Price History'!N124/'Price History'!N123-1),"")</f>
        <v>0.0259438657023423</v>
      </c>
      <c r="O123" s="154" t="n">
        <f aca="false">IFERROR(IF(OR(NOT(ISNUMBER('Price History'!O124)),NOT(ISNUMBER('Price History'!O123)),'Price History'!O123=0),"",'Price History'!O124/'Price History'!O123-1),"")</f>
        <v>0.0408263168200509</v>
      </c>
      <c r="P123" s="154" t="n">
        <f aca="false">IFERROR(IF(OR(NOT(ISNUMBER('Price History'!P124)),NOT(ISNUMBER('Price History'!P123)),'Price History'!P123=0),"",'Price History'!P124/'Price History'!P123-1),"")</f>
        <v>0.02096345753464</v>
      </c>
      <c r="Q123" s="154" t="n">
        <f aca="false">IFERROR(IF(OR(NOT(ISNUMBER('Price History'!Q124)),NOT(ISNUMBER('Price History'!Q123)),'Price History'!Q123=0),"",'Price History'!Q124/'Price History'!Q123-1),"")</f>
        <v>0.00906618313689922</v>
      </c>
      <c r="R123" s="154" t="n">
        <f aca="false">IFERROR(IF(OR(NOT(ISNUMBER('Price History'!R124)),NOT(ISNUMBER('Price History'!R123)),'Price History'!R123=0),"",'Price History'!R124/'Price History'!R123-1),"")</f>
        <v>0.0184487951807231</v>
      </c>
      <c r="S123" s="154" t="n">
        <f aca="false">IFERROR(IF(OR(NOT(ISNUMBER('Price History'!S124)),NOT(ISNUMBER('Price History'!S123)),'Price History'!S123=0),"",'Price History'!S124/'Price History'!S123-1),"")</f>
        <v>0.00294216543375936</v>
      </c>
      <c r="T123" s="154" t="n">
        <f aca="false">IFERROR(IF(OR(NOT(ISNUMBER('Price History'!T124)),NOT(ISNUMBER('Price History'!T123)),'Price History'!T123=0),"",'Price History'!T124/'Price History'!T123-1),"")</f>
        <v>0.025791624106231</v>
      </c>
      <c r="U123" s="154" t="n">
        <f aca="false">IFERROR(IF(OR(NOT(ISNUMBER('Price History'!U124)),NOT(ISNUMBER('Price History'!U123)),'Price History'!U123=0),"",'Price History'!U124/'Price History'!U123-1),"")</f>
        <v>0.0295639320029564</v>
      </c>
      <c r="V123" s="155" t="n">
        <f aca="false">IFERROR(IF(OR(NOT(ISNUMBER('Price History'!V124)),NOT(ISNUMBER('Price History'!V123)),'Price History'!V123=0),"",'Price History'!V124/'Price History'!V123-1),"")</f>
        <v>0.0094944978368805</v>
      </c>
      <c r="W123" s="156" t="n">
        <f aca="false">IFERROR('Price History'!B3+(INDEX('Price History'!B:B,MATCH(9.99E+307,'Returns (Calc)'!$A:$A)+1)-'Price History'!B3)*(ROW()-3)/(MATCH(9.99E+307,'Returns (Calc)'!$A:$A)-3),"")</f>
        <v>307.725443037975</v>
      </c>
      <c r="X123" s="156" t="n">
        <f aca="false">IFERROR('Price History'!C3+(INDEX('Price History'!C:C,MATCH(9.99E+307,'Returns (Calc)'!$A:$A)+1)-'Price History'!C3)*(ROW()-3)/(MATCH(9.99E+307,'Returns (Calc)'!$A:$A)-3),"")</f>
        <v>168.587594936709</v>
      </c>
      <c r="Y123" s="156" t="n">
        <f aca="false">IFERROR('Price History'!D3+(INDEX('Price History'!D:D,MATCH(9.99E+307,'Returns (Calc)'!$A:$A)+1)-'Price History'!D3)*(ROW()-3)/(MATCH(9.99E+307,'Returns (Calc)'!$A:$A)-3),"")</f>
        <v>1558.18721518987</v>
      </c>
      <c r="Z123" s="156" t="n">
        <f aca="false">IFERROR('Price History'!E3+(INDEX('Price History'!E:E,MATCH(9.99E+307,'Returns (Calc)'!$A:$A)+1)-'Price History'!E3)*(ROW()-3)/(MATCH(9.99E+307,'Returns (Calc)'!$A:$A)-3),"")</f>
        <v>289.448101265823</v>
      </c>
      <c r="AA123" s="156" t="n">
        <f aca="false">IFERROR('Price History'!F3+(INDEX('Price History'!F:F,MATCH(9.99E+307,'Returns (Calc)'!$A:$A)+1)-'Price History'!F3)*(ROW()-3)/(MATCH(9.99E+307,'Returns (Calc)'!$A:$A)-3),"")</f>
        <v>215.041012658228</v>
      </c>
      <c r="AB123" s="156" t="n">
        <f aca="false">IFERROR('Price History'!G3+(INDEX('Price History'!G:G,MATCH(9.99E+307,'Returns (Calc)'!$A:$A)+1)-'Price History'!G3)*(ROW()-3)/(MATCH(9.99E+307,'Returns (Calc)'!$A:$A)-3),"")</f>
        <v>167.798101265823</v>
      </c>
      <c r="AC123" s="156" t="n">
        <f aca="false">IFERROR('Price History'!H3+(INDEX('Price History'!H:H,MATCH(9.99E+307,'Returns (Calc)'!$A:$A)+1)-'Price History'!H3)*(ROW()-3)/(MATCH(9.99E+307,'Returns (Calc)'!$A:$A)-3),"")</f>
        <v>832.993544303798</v>
      </c>
      <c r="AD123" s="156" t="n">
        <f aca="false">IFERROR('Price History'!I3+(INDEX('Price History'!I:I,MATCH(9.99E+307,'Returns (Calc)'!$A:$A)+1)-'Price History'!I3)*(ROW()-3)/(MATCH(9.99E+307,'Returns (Calc)'!$A:$A)-3),"")</f>
        <v>188.210506329114</v>
      </c>
      <c r="AE123" s="156" t="n">
        <f aca="false">IFERROR('Price History'!J3+(INDEX('Price History'!J:J,MATCH(9.99E+307,'Returns (Calc)'!$A:$A)+1)-'Price History'!J3)*(ROW()-3)/(MATCH(9.99E+307,'Returns (Calc)'!$A:$A)-3),"")</f>
        <v>124.804556962025</v>
      </c>
      <c r="AF123" s="156" t="n">
        <f aca="false">IFERROR('Price History'!K3+(INDEX('Price History'!K:K,MATCH(9.99E+307,'Returns (Calc)'!$A:$A)+1)-'Price History'!K3)*(ROW()-3)/(MATCH(9.99E+307,'Returns (Calc)'!$A:$A)-3),"")</f>
        <v>147.041392405063</v>
      </c>
      <c r="AG123" s="156" t="n">
        <f aca="false">IFERROR('Price History'!L3+(INDEX('Price History'!L:L,MATCH(9.99E+307,'Returns (Calc)'!$A:$A)+1)-'Price History'!L3)*(ROW()-3)/(MATCH(9.99E+307,'Returns (Calc)'!$A:$A)-3),"")</f>
        <v>379.696835443038</v>
      </c>
      <c r="AH123" s="156" t="n">
        <f aca="false">IFERROR('Price History'!M3+(INDEX('Price History'!M:M,MATCH(9.99E+307,'Returns (Calc)'!$A:$A)+1)-'Price History'!M3)*(ROW()-3)/(MATCH(9.99E+307,'Returns (Calc)'!$A:$A)-3),"")</f>
        <v>200.673164556962</v>
      </c>
      <c r="AI123" s="156" t="n">
        <f aca="false">IFERROR('Price History'!N3+(INDEX('Price History'!N:N,MATCH(9.99E+307,'Returns (Calc)'!$A:$A)+1)-'Price History'!N3)*(ROW()-3)/(MATCH(9.99E+307,'Returns (Calc)'!$A:$A)-3),"")</f>
        <v>467.251898734177</v>
      </c>
      <c r="AJ123" s="156" t="n">
        <f aca="false">IFERROR('Price History'!O3+(INDEX('Price History'!O:O,MATCH(9.99E+307,'Returns (Calc)'!$A:$A)+1)-'Price History'!O3)*(ROW()-3)/(MATCH(9.99E+307,'Returns (Calc)'!$A:$A)-3),"")</f>
        <v>109.274556962025</v>
      </c>
      <c r="AK123" s="156" t="n">
        <f aca="false">IFERROR('Price History'!Q3+(INDEX('Price History'!Q:Q,MATCH(9.99E+307,'Returns (Calc)'!$A:$A)+1)-'Price History'!Q3)*(ROW()-3)/(MATCH(9.99E+307,'Returns (Calc)'!$A:$A)-3),"")</f>
        <v>52.7240506329114</v>
      </c>
      <c r="AL123" s="156" t="n">
        <f aca="false">IFERROR('Price History'!R3+(INDEX('Price History'!R:R,MATCH(9.99E+307,'Returns (Calc)'!$A:$A)+1)-'Price History'!R3)*(ROW()-3)/(MATCH(9.99E+307,'Returns (Calc)'!$A:$A)-3),"")</f>
        <v>54.6521518987342</v>
      </c>
      <c r="AM123" s="156" t="n">
        <f aca="false">IFERROR('Price History'!S3+(INDEX('Price History'!S:S,MATCH(9.99E+307,'Returns (Calc)'!$A:$A)+1)-'Price History'!S3)*(ROW()-3)/(MATCH(9.99E+307,'Returns (Calc)'!$A:$A)-3),"")</f>
        <v>130.237594936709</v>
      </c>
      <c r="AN123" s="156" t="n">
        <f aca="false">IFERROR('Price History'!T3+(INDEX('Price History'!T:T,MATCH(9.99E+307,'Returns (Calc)'!$A:$A)+1)-'Price History'!T3)*(ROW()-3)/(MATCH(9.99E+307,'Returns (Calc)'!$A:$A)-3),"")</f>
        <v>45.4273417721519</v>
      </c>
      <c r="AO123" s="157" t="n">
        <f aca="false">IFERROR('Price History'!V3+(INDEX('Price History'!V:V,MATCH(9.99E+307,'Returns (Calc)'!$A:$A)+1)-'Price History'!V3)*(ROW()-3)/(MATCH(9.99E+307,'Returns (Calc)'!$A:$A)-3),"")</f>
        <v>330.589493670886</v>
      </c>
      <c r="AP123" s="155" t="n">
        <f aca="false">IFERROR(IF(OR(NOT(ISNUMBER('Price History'!W124)),NOT(ISNUMBER('Price History'!W123)),'Price History'!W123=0),"",'Price History'!W124/'Price History'!W123-1),"")</f>
        <v>0.0172244094488188</v>
      </c>
      <c r="AQ123" s="155" t="n">
        <f aca="false">IFERROR(IF(OR(NOT(ISNUMBER('Price History'!X124)),NOT(ISNUMBER('Price History'!X123)),'Price History'!X123=0),"",'Price History'!X124/'Price History'!X123-1),"")</f>
        <v>-0.0200838666960936</v>
      </c>
      <c r="AR123" s="155" t="n">
        <f aca="false">IFERROR(IF(OR(NOT(ISNUMBER('Price History'!Y124)),NOT(ISNUMBER('Price History'!Y123)),'Price History'!Y123=0),"",'Price History'!Y124/'Price History'!Y123-1),"")</f>
        <v>0.0162993146879051</v>
      </c>
      <c r="AS123" s="155" t="n">
        <f aca="false">IFERROR(IF(OR(NOT(ISNUMBER('Price History'!Z124)),NOT(ISNUMBER('Price History'!Z123)),'Price History'!Z123=0),"",'Price History'!Z124/'Price History'!Z123-1),"")</f>
        <v>0.00262598474427911</v>
      </c>
      <c r="AT123" s="155" t="n">
        <f aca="false">IFERROR(IF(OR(NOT(ISNUMBER('Price History'!AA124)),NOT(ISNUMBER('Price History'!AA123)),'Price History'!AA123=0),"",'Price History'!AA124/'Price History'!AA123-1),"")</f>
        <v>-0.016815034619189</v>
      </c>
      <c r="AU123" s="155" t="n">
        <f aca="false">IFERROR(IF(OR(NOT(ISNUMBER('Price History'!AB124)),NOT(ISNUMBER('Price History'!AB123)),'Price History'!AB123=0),"",'Price History'!AB124/'Price History'!AB123-1),"")</f>
        <v>0.0939906146065881</v>
      </c>
    </row>
    <row r="124" customFormat="false" ht="15" hidden="false" customHeight="true" outlineLevel="0" collapsed="false">
      <c r="A124" s="153" t="n">
        <f aca="false">IF('Price History'!A125="","",'Price History'!A125)</f>
        <v>46038</v>
      </c>
      <c r="B124" s="154" t="n">
        <f aca="false">IFERROR(IF(OR(NOT(ISNUMBER('Price History'!B125)),NOT(ISNUMBER('Price History'!B124)),'Price History'!B124=0),"",'Price History'!B125/'Price History'!B124-1),"")</f>
        <v>-0.113280431202276</v>
      </c>
      <c r="C124" s="154" t="n">
        <f aca="false">IFERROR(IF(OR(NOT(ISNUMBER('Price History'!C125)),NOT(ISNUMBER('Price History'!C124)),'Price History'!C124=0),"",'Price History'!C125/'Price History'!C124-1),"")</f>
        <v>0.0564732687769551</v>
      </c>
      <c r="D124" s="154" t="n">
        <f aca="false">IFERROR(IF(OR(NOT(ISNUMBER('Price History'!D125)),NOT(ISNUMBER('Price History'!D124)),'Price History'!D124=0),"",'Price History'!D125/'Price History'!D124-1),"")</f>
        <v>0.0664778867162543</v>
      </c>
      <c r="E124" s="154" t="n">
        <f aca="false">IFERROR(IF(OR(NOT(ISNUMBER('Price History'!E125)),NOT(ISNUMBER('Price History'!E124)),'Price History'!E124=0),"",'Price History'!E125/'Price History'!E124-1),"")</f>
        <v>0.0195289728343244</v>
      </c>
      <c r="F124" s="154" t="n">
        <f aca="false">IFERROR(IF(OR(NOT(ISNUMBER('Price History'!F125)),NOT(ISNUMBER('Price History'!F124)),'Price History'!F124=0),"",'Price History'!F125/'Price History'!F124-1),"")</f>
        <v>-0.0355291117722057</v>
      </c>
      <c r="G124" s="154" t="n">
        <f aca="false">IFERROR(IF(OR(NOT(ISNUMBER('Price History'!G125)),NOT(ISNUMBER('Price History'!G124)),'Price History'!G124=0),"",'Price History'!G125/'Price History'!G124-1),"")</f>
        <v>0.1198738170347</v>
      </c>
      <c r="H124" s="154" t="n">
        <f aca="false">IFERROR(IF(OR(NOT(ISNUMBER('Price History'!H125)),NOT(ISNUMBER('Price History'!H124)),'Price History'!H124=0),"",'Price History'!H125/'Price History'!H124-1),"")</f>
        <v>0.0511757371915684</v>
      </c>
      <c r="I124" s="154" t="n">
        <f aca="false">IFERROR(IF(OR(NOT(ISNUMBER('Price History'!I125)),NOT(ISNUMBER('Price History'!I124)),'Price History'!I124=0),"",'Price History'!I125/'Price History'!I124-1),"")</f>
        <v>0.00742829257712963</v>
      </c>
      <c r="J124" s="154" t="n">
        <f aca="false">IFERROR(IF(OR(NOT(ISNUMBER('Price History'!J125)),NOT(ISNUMBER('Price History'!J124)),'Price History'!J124=0),"",'Price History'!J125/'Price History'!J124-1),"")</f>
        <v>0.0294210692818728</v>
      </c>
      <c r="K124" s="154" t="n">
        <f aca="false">IFERROR(IF(OR(NOT(ISNUMBER('Price History'!K125)),NOT(ISNUMBER('Price History'!K124)),'Price History'!K124=0),"",'Price History'!K125/'Price History'!K124-1),"")</f>
        <v>-0.0367908051157811</v>
      </c>
      <c r="L124" s="154" t="n">
        <f aca="false">IFERROR(IF(OR(NOT(ISNUMBER('Price History'!L125)),NOT(ISNUMBER('Price History'!L124)),'Price History'!L124=0),"",'Price History'!L125/'Price History'!L124-1),"")</f>
        <v>0.0579863598143939</v>
      </c>
      <c r="M124" s="154" t="n">
        <f aca="false">IFERROR(IF(OR(NOT(ISNUMBER('Price History'!M125)),NOT(ISNUMBER('Price History'!M124)),'Price History'!M124=0),"",'Price History'!M125/'Price History'!M124-1),"")</f>
        <v>0.0816051874961767</v>
      </c>
      <c r="N124" s="154" t="n">
        <f aca="false">IFERROR(IF(OR(NOT(ISNUMBER('Price History'!N125)),NOT(ISNUMBER('Price History'!N124)),'Price History'!N124=0),"",'Price History'!N125/'Price History'!N124-1),"")</f>
        <v>-0.0485060147458285</v>
      </c>
      <c r="O124" s="154" t="n">
        <f aca="false">IFERROR(IF(OR(NOT(ISNUMBER('Price History'!O125)),NOT(ISNUMBER('Price History'!O124)),'Price History'!O124=0),"",'Price History'!O125/'Price History'!O124-1),"")</f>
        <v>0.0110055498071677</v>
      </c>
      <c r="P124" s="154" t="n">
        <f aca="false">IFERROR(IF(OR(NOT(ISNUMBER('Price History'!P125)),NOT(ISNUMBER('Price History'!P124)),'Price History'!P124=0),"",'Price History'!P125/'Price History'!P124-1),"")</f>
        <v>0.013008930454961</v>
      </c>
      <c r="Q124" s="154" t="n">
        <f aca="false">IFERROR(IF(OR(NOT(ISNUMBER('Price History'!Q125)),NOT(ISNUMBER('Price History'!Q124)),'Price History'!Q124=0),"",'Price History'!Q125/'Price History'!Q124-1),"")</f>
        <v>-0.00449236298292899</v>
      </c>
      <c r="R124" s="154" t="n">
        <f aca="false">IFERROR(IF(OR(NOT(ISNUMBER('Price History'!R125)),NOT(ISNUMBER('Price History'!R124)),'Price History'!R124=0),"",'Price History'!R125/'Price History'!R124-1),"")</f>
        <v>-0.00406654343807766</v>
      </c>
      <c r="S124" s="154" t="n">
        <f aca="false">IFERROR(IF(OR(NOT(ISNUMBER('Price History'!S125)),NOT(ISNUMBER('Price History'!S124)),'Price History'!S124=0),"",'Price History'!S125/'Price History'!S124-1),"")</f>
        <v>-0.000251445813427176</v>
      </c>
      <c r="T124" s="154" t="n">
        <f aca="false">IFERROR(IF(OR(NOT(ISNUMBER('Price History'!T125)),NOT(ISNUMBER('Price History'!T124)),'Price History'!T124=0),"",'Price History'!T125/'Price History'!T124-1),"")</f>
        <v>-0.0204132437142146</v>
      </c>
      <c r="U124" s="154" t="n">
        <f aca="false">IFERROR(IF(OR(NOT(ISNUMBER('Price History'!U125)),NOT(ISNUMBER('Price History'!U124)),'Price History'!U124=0),"",'Price History'!U125/'Price History'!U124-1),"")</f>
        <v>0.0125628140703518</v>
      </c>
      <c r="V124" s="155" t="n">
        <f aca="false">IFERROR(IF(OR(NOT(ISNUMBER('Price History'!V125)),NOT(ISNUMBER('Price History'!V124)),'Price History'!V124=0),"",'Price History'!V125/'Price History'!V124-1),"")</f>
        <v>-0.0613782788771284</v>
      </c>
      <c r="W124" s="156" t="n">
        <f aca="false">IFERROR('Price History'!B3+(INDEX('Price History'!B:B,MATCH(9.99E+307,'Returns (Calc)'!$A:$A)+1)-'Price History'!B3)*(ROW()-3)/(MATCH(9.99E+307,'Returns (Calc)'!$A:$A)-3),"")</f>
        <v>305.882405063291</v>
      </c>
      <c r="X124" s="156" t="n">
        <f aca="false">IFERROR('Price History'!C3+(INDEX('Price History'!C:C,MATCH(9.99E+307,'Returns (Calc)'!$A:$A)+1)-'Price History'!C3)*(ROW()-3)/(MATCH(9.99E+307,'Returns (Calc)'!$A:$A)-3),"")</f>
        <v>169.607658227848</v>
      </c>
      <c r="Y124" s="156" t="n">
        <f aca="false">IFERROR('Price History'!D3+(INDEX('Price History'!D:D,MATCH(9.99E+307,'Returns (Calc)'!$A:$A)+1)-'Price History'!D3)*(ROW()-3)/(MATCH(9.99E+307,'Returns (Calc)'!$A:$A)-3),"")</f>
        <v>1566.32202531646</v>
      </c>
      <c r="Z124" s="156" t="n">
        <f aca="false">IFERROR('Price History'!E3+(INDEX('Price History'!E:E,MATCH(9.99E+307,'Returns (Calc)'!$A:$A)+1)-'Price History'!E3)*(ROW()-3)/(MATCH(9.99E+307,'Returns (Calc)'!$A:$A)-3),"")</f>
        <v>291.176835443038</v>
      </c>
      <c r="AA124" s="156" t="n">
        <f aca="false">IFERROR('Price History'!F3+(INDEX('Price History'!F:F,MATCH(9.99E+307,'Returns (Calc)'!$A:$A)+1)-'Price History'!F3)*(ROW()-3)/(MATCH(9.99E+307,'Returns (Calc)'!$A:$A)-3),"")</f>
        <v>216.48835443038</v>
      </c>
      <c r="AB124" s="156" t="n">
        <f aca="false">IFERROR('Price History'!G3+(INDEX('Price History'!G:G,MATCH(9.99E+307,'Returns (Calc)'!$A:$A)+1)-'Price History'!G3)*(ROW()-3)/(MATCH(9.99E+307,'Returns (Calc)'!$A:$A)-3),"")</f>
        <v>168.826835443038</v>
      </c>
      <c r="AC124" s="156" t="n">
        <f aca="false">IFERROR('Price History'!H3+(INDEX('Price History'!H:H,MATCH(9.99E+307,'Returns (Calc)'!$A:$A)+1)-'Price History'!H3)*(ROW()-3)/(MATCH(9.99E+307,'Returns (Calc)'!$A:$A)-3),"")</f>
        <v>839.359240506329</v>
      </c>
      <c r="AD124" s="156" t="n">
        <f aca="false">IFERROR('Price History'!I3+(INDEX('Price History'!I:I,MATCH(9.99E+307,'Returns (Calc)'!$A:$A)+1)-'Price History'!I3)*(ROW()-3)/(MATCH(9.99E+307,'Returns (Calc)'!$A:$A)-3),"")</f>
        <v>189.41417721519</v>
      </c>
      <c r="AE124" s="156" t="n">
        <f aca="false">IFERROR('Price History'!J3+(INDEX('Price History'!J:J,MATCH(9.99E+307,'Returns (Calc)'!$A:$A)+1)-'Price History'!J3)*(ROW()-3)/(MATCH(9.99E+307,'Returns (Calc)'!$A:$A)-3),"")</f>
        <v>124.912594936709</v>
      </c>
      <c r="AF124" s="156" t="n">
        <f aca="false">IFERROR('Price History'!K3+(INDEX('Price History'!K:K,MATCH(9.99E+307,'Returns (Calc)'!$A:$A)+1)-'Price History'!K3)*(ROW()-3)/(MATCH(9.99E+307,'Returns (Calc)'!$A:$A)-3),"")</f>
        <v>148.138987341772</v>
      </c>
      <c r="AG124" s="156" t="n">
        <f aca="false">IFERROR('Price History'!L3+(INDEX('Price History'!L:L,MATCH(9.99E+307,'Returns (Calc)'!$A:$A)+1)-'Price History'!L3)*(ROW()-3)/(MATCH(9.99E+307,'Returns (Calc)'!$A:$A)-3),"")</f>
        <v>382.146392405063</v>
      </c>
      <c r="AH124" s="156" t="n">
        <f aca="false">IFERROR('Price History'!M3+(INDEX('Price History'!M:M,MATCH(9.99E+307,'Returns (Calc)'!$A:$A)+1)-'Price History'!M3)*(ROW()-3)/(MATCH(9.99E+307,'Returns (Calc)'!$A:$A)-3),"")</f>
        <v>202.028607594937</v>
      </c>
      <c r="AI124" s="156" t="n">
        <f aca="false">IFERROR('Price History'!N3+(INDEX('Price History'!N:N,MATCH(9.99E+307,'Returns (Calc)'!$A:$A)+1)-'Price History'!N3)*(ROW()-3)/(MATCH(9.99E+307,'Returns (Calc)'!$A:$A)-3),"")</f>
        <v>468.238164556962</v>
      </c>
      <c r="AJ124" s="156" t="n">
        <f aca="false">IFERROR('Price History'!O3+(INDEX('Price History'!O:O,MATCH(9.99E+307,'Returns (Calc)'!$A:$A)+1)-'Price History'!O3)*(ROW()-3)/(MATCH(9.99E+307,'Returns (Calc)'!$A:$A)-3),"")</f>
        <v>109.557594936709</v>
      </c>
      <c r="AK124" s="156" t="n">
        <f aca="false">IFERROR('Price History'!Q3+(INDEX('Price History'!Q:Q,MATCH(9.99E+307,'Returns (Calc)'!$A:$A)+1)-'Price History'!Q3)*(ROW()-3)/(MATCH(9.99E+307,'Returns (Calc)'!$A:$A)-3),"")</f>
        <v>53.163417721519</v>
      </c>
      <c r="AL124" s="156" t="n">
        <f aca="false">IFERROR('Price History'!R3+(INDEX('Price History'!R:R,MATCH(9.99E+307,'Returns (Calc)'!$A:$A)+1)-'Price History'!R3)*(ROW()-3)/(MATCH(9.99E+307,'Returns (Calc)'!$A:$A)-3),"")</f>
        <v>54.820253164557</v>
      </c>
      <c r="AM124" s="156" t="n">
        <f aca="false">IFERROR('Price History'!S3+(INDEX('Price History'!S:S,MATCH(9.99E+307,'Returns (Calc)'!$A:$A)+1)-'Price History'!S3)*(ROW()-3)/(MATCH(9.99E+307,'Returns (Calc)'!$A:$A)-3),"")</f>
        <v>130.842658227848</v>
      </c>
      <c r="AN124" s="156" t="n">
        <f aca="false">IFERROR('Price History'!T3+(INDEX('Price History'!T:T,MATCH(9.99E+307,'Returns (Calc)'!$A:$A)+1)-'Price History'!T3)*(ROW()-3)/(MATCH(9.99E+307,'Returns (Calc)'!$A:$A)-3),"")</f>
        <v>45.5955696202532</v>
      </c>
      <c r="AO124" s="157" t="n">
        <f aca="false">IFERROR('Price History'!V3+(INDEX('Price History'!V:V,MATCH(9.99E+307,'Returns (Calc)'!$A:$A)+1)-'Price History'!V3)*(ROW()-3)/(MATCH(9.99E+307,'Returns (Calc)'!$A:$A)-3),"")</f>
        <v>331.38082278481</v>
      </c>
      <c r="AP124" s="155" t="n">
        <f aca="false">IFERROR(IF(OR(NOT(ISNUMBER('Price History'!W125)),NOT(ISNUMBER('Price History'!W124)),'Price History'!W124=0),"",'Price History'!W125/'Price History'!W124-1),"")</f>
        <v>0.010989010989011</v>
      </c>
      <c r="AQ124" s="155" t="n">
        <f aca="false">IFERROR(IF(OR(NOT(ISNUMBER('Price History'!X125)),NOT(ISNUMBER('Price History'!X124)),'Price History'!X124=0),"",'Price History'!X125/'Price History'!X124-1),"")</f>
        <v>0.029054054054054</v>
      </c>
      <c r="AR124" s="155" t="n">
        <f aca="false">IFERROR(IF(OR(NOT(ISNUMBER('Price History'!Y125)),NOT(ISNUMBER('Price History'!Y124)),'Price History'!Y124=0),"",'Price History'!Y125/'Price History'!Y124-1),"")</f>
        <v>0.00273373428102808</v>
      </c>
      <c r="AS124" s="155" t="n">
        <f aca="false">IFERROR(IF(OR(NOT(ISNUMBER('Price History'!Z125)),NOT(ISNUMBER('Price History'!Z124)),'Price History'!Z124=0),"",'Price History'!Z125/'Price History'!Z124-1),"")</f>
        <v>0.0109753055624844</v>
      </c>
      <c r="AT124" s="155" t="n">
        <f aca="false">IFERROR(IF(OR(NOT(ISNUMBER('Price History'!AA125)),NOT(ISNUMBER('Price History'!AA124)),'Price History'!AA124=0),"",'Price History'!AA125/'Price History'!AA124-1),"")</f>
        <v>-0.0163201430807064</v>
      </c>
      <c r="AU124" s="155" t="n">
        <f aca="false">IFERROR(IF(OR(NOT(ISNUMBER('Price History'!AB125)),NOT(ISNUMBER('Price History'!AB124)),'Price History'!AB124=0),"",'Price History'!AB125/'Price History'!AB124-1),"")</f>
        <v>-0.0745877061469266</v>
      </c>
    </row>
    <row r="125" customFormat="false" ht="15" hidden="false" customHeight="true" outlineLevel="0" collapsed="false">
      <c r="A125" s="153" t="n">
        <f aca="false">IF('Price History'!A126="","",'Price History'!A126)</f>
        <v>46045</v>
      </c>
      <c r="B125" s="154" t="n">
        <f aca="false">IFERROR(IF(OR(NOT(ISNUMBER('Price History'!B126)),NOT(ISNUMBER('Price History'!B125)),'Price History'!B125=0),"",'Price History'!B126/'Price History'!B125-1),"")</f>
        <v>0.0167161961367013</v>
      </c>
      <c r="C125" s="154" t="n">
        <f aca="false">IFERROR(IF(OR(NOT(ISNUMBER('Price History'!C126)),NOT(ISNUMBER('Price History'!C125)),'Price History'!C125=0),"",'Price History'!C126/'Price History'!C125-1),"")</f>
        <v>0.0501424940306554</v>
      </c>
      <c r="D125" s="154" t="n">
        <f aca="false">IFERROR(IF(OR(NOT(ISNUMBER('Price History'!D126)),NOT(ISNUMBER('Price History'!D125)),'Price History'!D125=0),"",'Price History'!D126/'Price History'!D125-1),"")</f>
        <v>0.0224322705185385</v>
      </c>
      <c r="E125" s="154" t="n">
        <f aca="false">IFERROR(IF(OR(NOT(ISNUMBER('Price History'!E126)),NOT(ISNUMBER('Price History'!E125)),'Price History'!E125=0),"",'Price History'!E126/'Price History'!E125-1),"")</f>
        <v>-0.0899994282120189</v>
      </c>
      <c r="F125" s="154" t="n">
        <f aca="false">IFERROR(IF(OR(NOT(ISNUMBER('Price History'!F126)),NOT(ISNUMBER('Price History'!F125)),'Price History'!F125=0),"",'Price History'!F126/'Price History'!F125-1),"")</f>
        <v>-0.00308451573103019</v>
      </c>
      <c r="G125" s="154" t="n">
        <f aca="false">IFERROR(IF(OR(NOT(ISNUMBER('Price History'!G126)),NOT(ISNUMBER('Price History'!G125)),'Price History'!G125=0),"",'Price History'!G126/'Price History'!G125-1),"")</f>
        <v>-0.0350832266325224</v>
      </c>
      <c r="H125" s="154" t="n">
        <f aca="false">IFERROR(IF(OR(NOT(ISNUMBER('Price History'!H126)),NOT(ISNUMBER('Price History'!H125)),'Price History'!H125=0),"",'Price History'!H126/'Price History'!H125-1),"")</f>
        <v>0.101726706018646</v>
      </c>
      <c r="I125" s="154" t="n">
        <f aca="false">IFERROR(IF(OR(NOT(ISNUMBER('Price History'!I126)),NOT(ISNUMBER('Price History'!I125)),'Price History'!I125=0),"",'Price History'!I126/'Price History'!I125-1),"")</f>
        <v>0.00769644779332612</v>
      </c>
      <c r="J125" s="154" t="n">
        <f aca="false">IFERROR(IF(OR(NOT(ISNUMBER('Price History'!J126)),NOT(ISNUMBER('Price History'!J125)),'Price History'!J125=0),"",'Price History'!J126/'Price History'!J125-1),"")</f>
        <v>-0.0454824830977258</v>
      </c>
      <c r="K125" s="154" t="n">
        <f aca="false">IFERROR(IF(OR(NOT(ISNUMBER('Price History'!K126)),NOT(ISNUMBER('Price History'!K125)),'Price History'!K125=0),"",'Price History'!K126/'Price History'!K125-1),"")</f>
        <v>-0.0079550772110436</v>
      </c>
      <c r="L125" s="154" t="n">
        <f aca="false">IFERROR(IF(OR(NOT(ISNUMBER('Price History'!L126)),NOT(ISNUMBER('Price History'!L125)),'Price History'!L125=0),"",'Price History'!L126/'Price History'!L125-1),"")</f>
        <v>-0.0219880493332941</v>
      </c>
      <c r="M125" s="154" t="n">
        <f aca="false">IFERROR(IF(OR(NOT(ISNUMBER('Price History'!M126)),NOT(ISNUMBER('Price History'!M125)),'Price History'!M125=0),"",'Price History'!M126/'Price History'!M125-1),"")</f>
        <v>0.0313896272835248</v>
      </c>
      <c r="N125" s="154" t="n">
        <f aca="false">IFERROR(IF(OR(NOT(ISNUMBER('Price History'!N126)),NOT(ISNUMBER('Price History'!N125)),'Price History'!N125=0),"",'Price History'!N126/'Price History'!N125-1),"")</f>
        <v>0.0612878375928947</v>
      </c>
      <c r="O125" s="154" t="n">
        <f aca="false">IFERROR(IF(OR(NOT(ISNUMBER('Price History'!O126)),NOT(ISNUMBER('Price History'!O125)),'Price History'!O125=0),"",'Price History'!O126/'Price History'!O125-1),"")</f>
        <v>-0.000186081131373417</v>
      </c>
      <c r="P125" s="154" t="n">
        <f aca="false">IFERROR(IF(OR(NOT(ISNUMBER('Price History'!P126)),NOT(ISNUMBER('Price History'!P125)),'Price History'!P125=0),"",'Price History'!P126/'Price History'!P125-1),"")</f>
        <v>0.0024989587671802</v>
      </c>
      <c r="Q125" s="154" t="n">
        <f aca="false">IFERROR(IF(OR(NOT(ISNUMBER('Price History'!Q126)),NOT(ISNUMBER('Price History'!Q125)),'Price History'!Q125=0),"",'Price History'!Q126/'Price History'!Q125-1),"")</f>
        <v>-0.000300842358604281</v>
      </c>
      <c r="R125" s="154" t="n">
        <f aca="false">IFERROR(IF(OR(NOT(ISNUMBER('Price History'!R126)),NOT(ISNUMBER('Price History'!R125)),'Price History'!R125=0),"",'Price History'!R126/'Price History'!R125-1),"")</f>
        <v>0.00519673348181127</v>
      </c>
      <c r="S125" s="154" t="n">
        <f aca="false">IFERROR(IF(OR(NOT(ISNUMBER('Price History'!S126)),NOT(ISNUMBER('Price History'!S125)),'Price History'!S125=0),"",'Price History'!S126/'Price History'!S125-1),"")</f>
        <v>-0.017270288397049</v>
      </c>
      <c r="T125" s="154" t="n">
        <f aca="false">IFERROR(IF(OR(NOT(ISNUMBER('Price History'!T126)),NOT(ISNUMBER('Price History'!T125)),'Price History'!T125=0),"",'Price History'!T126/'Price History'!T125-1),"")</f>
        <v>0.00635324015247774</v>
      </c>
      <c r="U125" s="154" t="n">
        <f aca="false">IFERROR(IF(OR(NOT(ISNUMBER('Price History'!U126)),NOT(ISNUMBER('Price History'!U125)),'Price History'!U125=0),"",'Price History'!U126/'Price History'!U125-1),"")</f>
        <v>0.00815313718539534</v>
      </c>
      <c r="V125" s="155" t="n">
        <f aca="false">IFERROR(IF(OR(NOT(ISNUMBER('Price History'!V126)),NOT(ISNUMBER('Price History'!V125)),'Price History'!V125=0),"",'Price History'!V126/'Price History'!V125-1),"")</f>
        <v>-0.00646564932279203</v>
      </c>
      <c r="W125" s="156" t="n">
        <f aca="false">IFERROR('Price History'!B3+(INDEX('Price History'!B:B,MATCH(9.99E+307,'Returns (Calc)'!$A:$A)+1)-'Price History'!B3)*(ROW()-3)/(MATCH(9.99E+307,'Returns (Calc)'!$A:$A)-3),"")</f>
        <v>304.039367088608</v>
      </c>
      <c r="X125" s="156" t="n">
        <f aca="false">IFERROR('Price History'!C3+(INDEX('Price History'!C:C,MATCH(9.99E+307,'Returns (Calc)'!$A:$A)+1)-'Price History'!C3)*(ROW()-3)/(MATCH(9.99E+307,'Returns (Calc)'!$A:$A)-3),"")</f>
        <v>170.627721518987</v>
      </c>
      <c r="Y125" s="156" t="n">
        <f aca="false">IFERROR('Price History'!D3+(INDEX('Price History'!D:D,MATCH(9.99E+307,'Returns (Calc)'!$A:$A)+1)-'Price History'!D3)*(ROW()-3)/(MATCH(9.99E+307,'Returns (Calc)'!$A:$A)-3),"")</f>
        <v>1574.45683544304</v>
      </c>
      <c r="Z125" s="156" t="n">
        <f aca="false">IFERROR('Price History'!E3+(INDEX('Price History'!E:E,MATCH(9.99E+307,'Returns (Calc)'!$A:$A)+1)-'Price History'!E3)*(ROW()-3)/(MATCH(9.99E+307,'Returns (Calc)'!$A:$A)-3),"")</f>
        <v>292.905569620253</v>
      </c>
      <c r="AA125" s="156" t="n">
        <f aca="false">IFERROR('Price History'!F3+(INDEX('Price History'!F:F,MATCH(9.99E+307,'Returns (Calc)'!$A:$A)+1)-'Price History'!F3)*(ROW()-3)/(MATCH(9.99E+307,'Returns (Calc)'!$A:$A)-3),"")</f>
        <v>217.935696202532</v>
      </c>
      <c r="AB125" s="156" t="n">
        <f aca="false">IFERROR('Price History'!G3+(INDEX('Price History'!G:G,MATCH(9.99E+307,'Returns (Calc)'!$A:$A)+1)-'Price History'!G3)*(ROW()-3)/(MATCH(9.99E+307,'Returns (Calc)'!$A:$A)-3),"")</f>
        <v>169.855569620253</v>
      </c>
      <c r="AC125" s="156" t="n">
        <f aca="false">IFERROR('Price History'!H3+(INDEX('Price History'!H:H,MATCH(9.99E+307,'Returns (Calc)'!$A:$A)+1)-'Price History'!H3)*(ROW()-3)/(MATCH(9.99E+307,'Returns (Calc)'!$A:$A)-3),"")</f>
        <v>845.724936708861</v>
      </c>
      <c r="AD125" s="156" t="n">
        <f aca="false">IFERROR('Price History'!I3+(INDEX('Price History'!I:I,MATCH(9.99E+307,'Returns (Calc)'!$A:$A)+1)-'Price History'!I3)*(ROW()-3)/(MATCH(9.99E+307,'Returns (Calc)'!$A:$A)-3),"")</f>
        <v>190.617848101266</v>
      </c>
      <c r="AE125" s="156" t="n">
        <f aca="false">IFERROR('Price History'!J3+(INDEX('Price History'!J:J,MATCH(9.99E+307,'Returns (Calc)'!$A:$A)+1)-'Price History'!J3)*(ROW()-3)/(MATCH(9.99E+307,'Returns (Calc)'!$A:$A)-3),"")</f>
        <v>125.020632911392</v>
      </c>
      <c r="AF125" s="156" t="n">
        <f aca="false">IFERROR('Price History'!K3+(INDEX('Price History'!K:K,MATCH(9.99E+307,'Returns (Calc)'!$A:$A)+1)-'Price History'!K3)*(ROW()-3)/(MATCH(9.99E+307,'Returns (Calc)'!$A:$A)-3),"")</f>
        <v>149.236582278481</v>
      </c>
      <c r="AG125" s="156" t="n">
        <f aca="false">IFERROR('Price History'!L3+(INDEX('Price History'!L:L,MATCH(9.99E+307,'Returns (Calc)'!$A:$A)+1)-'Price History'!L3)*(ROW()-3)/(MATCH(9.99E+307,'Returns (Calc)'!$A:$A)-3),"")</f>
        <v>384.595949367089</v>
      </c>
      <c r="AH125" s="156" t="n">
        <f aca="false">IFERROR('Price History'!M3+(INDEX('Price History'!M:M,MATCH(9.99E+307,'Returns (Calc)'!$A:$A)+1)-'Price History'!M3)*(ROW()-3)/(MATCH(9.99E+307,'Returns (Calc)'!$A:$A)-3),"")</f>
        <v>203.384050632911</v>
      </c>
      <c r="AI125" s="156" t="n">
        <f aca="false">IFERROR('Price History'!N3+(INDEX('Price History'!N:N,MATCH(9.99E+307,'Returns (Calc)'!$A:$A)+1)-'Price History'!N3)*(ROW()-3)/(MATCH(9.99E+307,'Returns (Calc)'!$A:$A)-3),"")</f>
        <v>469.224430379747</v>
      </c>
      <c r="AJ125" s="156" t="n">
        <f aca="false">IFERROR('Price History'!O3+(INDEX('Price History'!O:O,MATCH(9.99E+307,'Returns (Calc)'!$A:$A)+1)-'Price History'!O3)*(ROW()-3)/(MATCH(9.99E+307,'Returns (Calc)'!$A:$A)-3),"")</f>
        <v>109.840632911392</v>
      </c>
      <c r="AK125" s="156" t="n">
        <f aca="false">IFERROR('Price History'!Q3+(INDEX('Price History'!Q:Q,MATCH(9.99E+307,'Returns (Calc)'!$A:$A)+1)-'Price History'!Q3)*(ROW()-3)/(MATCH(9.99E+307,'Returns (Calc)'!$A:$A)-3),"")</f>
        <v>53.6027848101266</v>
      </c>
      <c r="AL125" s="156" t="n">
        <f aca="false">IFERROR('Price History'!R3+(INDEX('Price History'!R:R,MATCH(9.99E+307,'Returns (Calc)'!$A:$A)+1)-'Price History'!R3)*(ROW()-3)/(MATCH(9.99E+307,'Returns (Calc)'!$A:$A)-3),"")</f>
        <v>54.9883544303797</v>
      </c>
      <c r="AM125" s="156" t="n">
        <f aca="false">IFERROR('Price History'!S3+(INDEX('Price History'!S:S,MATCH(9.99E+307,'Returns (Calc)'!$A:$A)+1)-'Price History'!S3)*(ROW()-3)/(MATCH(9.99E+307,'Returns (Calc)'!$A:$A)-3),"")</f>
        <v>131.447721518987</v>
      </c>
      <c r="AN125" s="156" t="n">
        <f aca="false">IFERROR('Price History'!T3+(INDEX('Price History'!T:T,MATCH(9.99E+307,'Returns (Calc)'!$A:$A)+1)-'Price History'!T3)*(ROW()-3)/(MATCH(9.99E+307,'Returns (Calc)'!$A:$A)-3),"")</f>
        <v>45.7637974683544</v>
      </c>
      <c r="AO125" s="157" t="n">
        <f aca="false">IFERROR('Price History'!V3+(INDEX('Price History'!V:V,MATCH(9.99E+307,'Returns (Calc)'!$A:$A)+1)-'Price History'!V3)*(ROW()-3)/(MATCH(9.99E+307,'Returns (Calc)'!$A:$A)-3),"")</f>
        <v>332.172151898734</v>
      </c>
      <c r="AP125" s="155" t="n">
        <f aca="false">IFERROR(IF(OR(NOT(ISNUMBER('Price History'!W126)),NOT(ISNUMBER('Price History'!W125)),'Price History'!W125=0),"",'Price History'!W126/'Price History'!W125-1),"")</f>
        <v>-0.00792999726551813</v>
      </c>
      <c r="AQ125" s="155" t="n">
        <f aca="false">IFERROR(IF(OR(NOT(ISNUMBER('Price History'!X126)),NOT(ISNUMBER('Price History'!X125)),'Price History'!X125=0),"",'Price History'!X126/'Price History'!X125-1),"")</f>
        <v>0.0231998249069818</v>
      </c>
      <c r="AR125" s="155" t="n">
        <f aca="false">IFERROR(IF(OR(NOT(ISNUMBER('Price History'!Y126)),NOT(ISNUMBER('Price History'!Y125)),'Price History'!Y125=0),"",'Price History'!Y126/'Price History'!Y125-1),"")</f>
        <v>-0.000545256270447103</v>
      </c>
      <c r="AS125" s="155" t="n">
        <f aca="false">IFERROR(IF(OR(NOT(ISNUMBER('Price History'!Z126)),NOT(ISNUMBER('Price History'!Z125)),'Price History'!Z125=0),"",'Price History'!Z126/'Price History'!Z125-1),"")</f>
        <v>-0.0961016530964718</v>
      </c>
      <c r="AT125" s="155" t="n">
        <f aca="false">IFERROR(IF(OR(NOT(ISNUMBER('Price History'!AA126)),NOT(ISNUMBER('Price History'!AA125)),'Price History'!AA125=0),"",'Price History'!AA126/'Price History'!AA125-1),"")</f>
        <v>-0.0213636363636364</v>
      </c>
      <c r="AU125" s="155" t="n">
        <f aca="false">IFERROR(IF(OR(NOT(ISNUMBER('Price History'!AB126)),NOT(ISNUMBER('Price History'!AB125)),'Price History'!AB125=0),"",'Price History'!AB126/'Price History'!AB125-1),"")</f>
        <v>-0.000945051977858769</v>
      </c>
    </row>
    <row r="126" customFormat="false" ht="15" hidden="false" customHeight="true" outlineLevel="0" collapsed="false">
      <c r="A126" s="153" t="n">
        <f aca="false">IF('Price History'!A127="","",'Price History'!A127)</f>
        <v>46052</v>
      </c>
      <c r="B126" s="154" t="n">
        <f aca="false">IFERROR(IF(OR(NOT(ISNUMBER('Price History'!B127)),NOT(ISNUMBER('Price History'!B126)),'Price History'!B126=0),"",'Price History'!B127/'Price History'!B126-1),"")</f>
        <v>-0.025974025974026</v>
      </c>
      <c r="C126" s="154" t="n">
        <f aca="false">IFERROR(IF(OR(NOT(ISNUMBER('Price History'!C127)),NOT(ISNUMBER('Price History'!C126)),'Price History'!C126=0),"",'Price History'!C127/'Price History'!C126-1),"")</f>
        <v>0.0396068651899664</v>
      </c>
      <c r="D126" s="154" t="n">
        <f aca="false">IFERROR(IF(OR(NOT(ISNUMBER('Price History'!D127)),NOT(ISNUMBER('Price History'!D126)),'Price History'!D126=0),"",'Price History'!D127/'Price History'!D126-1),"")</f>
        <v>0.0244502314814814</v>
      </c>
      <c r="E126" s="154" t="n">
        <f aca="false">IFERROR(IF(OR(NOT(ISNUMBER('Price History'!E127)),NOT(ISNUMBER('Price History'!E126)),'Price History'!E126=0),"",'Price History'!E127/'Price History'!E126-1),"")</f>
        <v>0.0351240967640591</v>
      </c>
      <c r="F126" s="154" t="n">
        <f aca="false">IFERROR(IF(OR(NOT(ISNUMBER('Price History'!F127)),NOT(ISNUMBER('Price History'!F126)),'Price History'!F126=0),"",'Price History'!F127/'Price History'!F126-1),"")</f>
        <v>-0.0244872701555871</v>
      </c>
      <c r="G126" s="154" t="n">
        <f aca="false">IFERROR(IF(OR(NOT(ISNUMBER('Price History'!G127)),NOT(ISNUMBER('Price History'!G126)),'Price History'!G126=0),"",'Price History'!G127/'Price History'!G126-1),"")</f>
        <v>-0.0560642250530785</v>
      </c>
      <c r="H126" s="154" t="n">
        <f aca="false">IFERROR(IF(OR(NOT(ISNUMBER('Price History'!H127)),NOT(ISNUMBER('Price History'!H126)),'Price History'!H126=0),"",'Price History'!H127/'Price History'!H126-1),"")</f>
        <v>0.0381052526162935</v>
      </c>
      <c r="I126" s="154" t="n">
        <f aca="false">IFERROR(IF(OR(NOT(ISNUMBER('Price History'!I127)),NOT(ISNUMBER('Price History'!I126)),'Price History'!I126=0),"",'Price History'!I127/'Price History'!I126-1),"")</f>
        <v>0.0184265342092613</v>
      </c>
      <c r="J126" s="154" t="n">
        <f aca="false">IFERROR(IF(OR(NOT(ISNUMBER('Price History'!J127)),NOT(ISNUMBER('Price History'!J126)),'Price History'!J126=0),"",'Price History'!J127/'Price History'!J126-1),"")</f>
        <v>0.0268029620090149</v>
      </c>
      <c r="K126" s="154" t="n">
        <f aca="false">IFERROR(IF(OR(NOT(ISNUMBER('Price History'!K127)),NOT(ISNUMBER('Price History'!K126)),'Price History'!K126=0),"",'Price History'!K127/'Price History'!K126-1),"")</f>
        <v>-0.135672169811321</v>
      </c>
      <c r="L126" s="154" t="n">
        <f aca="false">IFERROR(IF(OR(NOT(ISNUMBER('Price History'!L127)),NOT(ISNUMBER('Price History'!L126)),'Price History'!L126=0),"",'Price History'!L127/'Price History'!L126-1),"")</f>
        <v>-0.0128814783603202</v>
      </c>
      <c r="M126" s="154" t="n">
        <f aca="false">IFERROR(IF(OR(NOT(ISNUMBER('Price History'!M127)),NOT(ISNUMBER('Price History'!M126)),'Price History'!M126=0),"",'Price History'!M127/'Price History'!M126-1),"")</f>
        <v>0.0202347005922352</v>
      </c>
      <c r="N126" s="154" t="n">
        <f aca="false">IFERROR(IF(OR(NOT(ISNUMBER('Price History'!N127)),NOT(ISNUMBER('Price History'!N126)),'Price History'!N126=0),"",'Price History'!N127/'Price History'!N126-1),"")</f>
        <v>0.0031809739330928</v>
      </c>
      <c r="O126" s="154" t="n">
        <f aca="false">IFERROR(IF(OR(NOT(ISNUMBER('Price History'!O127)),NOT(ISNUMBER('Price History'!O126)),'Price History'!O126=0),"",'Price History'!O127/'Price History'!O126-1),"")</f>
        <v>0.00725851479620321</v>
      </c>
      <c r="P126" s="154" t="n">
        <f aca="false">IFERROR(IF(OR(NOT(ISNUMBER('Price History'!P127)),NOT(ISNUMBER('Price History'!P126)),'Price History'!P126=0),"",'Price History'!P127/'Price History'!P126-1),"")</f>
        <v>0.0173798642847252</v>
      </c>
      <c r="Q126" s="154" t="n">
        <f aca="false">IFERROR(IF(OR(NOT(ISNUMBER('Price History'!Q127)),NOT(ISNUMBER('Price History'!Q126)),'Price History'!Q126=0),"",'Price History'!Q127/'Price History'!Q126-1),"")</f>
        <v>0.00361119470358129</v>
      </c>
      <c r="R126" s="154" t="n">
        <f aca="false">IFERROR(IF(OR(NOT(ISNUMBER('Price History'!R127)),NOT(ISNUMBER('Price History'!R126)),'Price History'!R126=0),"",'Price History'!R127/'Price History'!R126-1),"")</f>
        <v>0.00350812407680956</v>
      </c>
      <c r="S126" s="154" t="n">
        <f aca="false">IFERROR(IF(OR(NOT(ISNUMBER('Price History'!S127)),NOT(ISNUMBER('Price History'!S126)),'Price History'!S126=0),"",'Price History'!S127/'Price History'!S126-1),"")</f>
        <v>0.0164647671045897</v>
      </c>
      <c r="T126" s="154" t="n">
        <f aca="false">IFERROR(IF(OR(NOT(ISNUMBER('Price History'!T127)),NOT(ISNUMBER('Price History'!T126)),'Price History'!T126=0),"",'Price History'!T127/'Price History'!T126-1),"")</f>
        <v>-0.00984848484848488</v>
      </c>
      <c r="U126" s="154" t="n">
        <f aca="false">IFERROR(IF(OR(NOT(ISNUMBER('Price History'!U127)),NOT(ISNUMBER('Price History'!U126)),'Price History'!U126=0),"",'Price History'!U127/'Price History'!U126-1),"")</f>
        <v>0.0232067510548524</v>
      </c>
      <c r="V126" s="155" t="n">
        <f aca="false">IFERROR(IF(OR(NOT(ISNUMBER('Price History'!V127)),NOT(ISNUMBER('Price History'!V126)),'Price History'!V126=0),"",'Price History'!V127/'Price History'!V126-1),"")</f>
        <v>-0.013323875026987</v>
      </c>
      <c r="W126" s="156" t="n">
        <f aca="false">IFERROR('Price History'!B3+(INDEX('Price History'!B:B,MATCH(9.99E+307,'Returns (Calc)'!$A:$A)+1)-'Price History'!B3)*(ROW()-3)/(MATCH(9.99E+307,'Returns (Calc)'!$A:$A)-3),"")</f>
        <v>302.196329113924</v>
      </c>
      <c r="X126" s="156" t="n">
        <f aca="false">IFERROR('Price History'!C3+(INDEX('Price History'!C:C,MATCH(9.99E+307,'Returns (Calc)'!$A:$A)+1)-'Price History'!C3)*(ROW()-3)/(MATCH(9.99E+307,'Returns (Calc)'!$A:$A)-3),"")</f>
        <v>171.647784810127</v>
      </c>
      <c r="Y126" s="156" t="n">
        <f aca="false">IFERROR('Price History'!D3+(INDEX('Price History'!D:D,MATCH(9.99E+307,'Returns (Calc)'!$A:$A)+1)-'Price History'!D3)*(ROW()-3)/(MATCH(9.99E+307,'Returns (Calc)'!$A:$A)-3),"")</f>
        <v>1582.59164556962</v>
      </c>
      <c r="Z126" s="156" t="n">
        <f aca="false">IFERROR('Price History'!E3+(INDEX('Price History'!E:E,MATCH(9.99E+307,'Returns (Calc)'!$A:$A)+1)-'Price History'!E3)*(ROW()-3)/(MATCH(9.99E+307,'Returns (Calc)'!$A:$A)-3),"")</f>
        <v>294.634303797468</v>
      </c>
      <c r="AA126" s="156" t="n">
        <f aca="false">IFERROR('Price History'!F3+(INDEX('Price History'!F:F,MATCH(9.99E+307,'Returns (Calc)'!$A:$A)+1)-'Price History'!F3)*(ROW()-3)/(MATCH(9.99E+307,'Returns (Calc)'!$A:$A)-3),"")</f>
        <v>219.383037974684</v>
      </c>
      <c r="AB126" s="156" t="n">
        <f aca="false">IFERROR('Price History'!G3+(INDEX('Price History'!G:G,MATCH(9.99E+307,'Returns (Calc)'!$A:$A)+1)-'Price History'!G3)*(ROW()-3)/(MATCH(9.99E+307,'Returns (Calc)'!$A:$A)-3),"")</f>
        <v>170.884303797468</v>
      </c>
      <c r="AC126" s="156" t="n">
        <f aca="false">IFERROR('Price History'!H3+(INDEX('Price History'!H:H,MATCH(9.99E+307,'Returns (Calc)'!$A:$A)+1)-'Price History'!H3)*(ROW()-3)/(MATCH(9.99E+307,'Returns (Calc)'!$A:$A)-3),"")</f>
        <v>852.090632911393</v>
      </c>
      <c r="AD126" s="156" t="n">
        <f aca="false">IFERROR('Price History'!I3+(INDEX('Price History'!I:I,MATCH(9.99E+307,'Returns (Calc)'!$A:$A)+1)-'Price History'!I3)*(ROW()-3)/(MATCH(9.99E+307,'Returns (Calc)'!$A:$A)-3),"")</f>
        <v>191.821518987342</v>
      </c>
      <c r="AE126" s="156" t="n">
        <f aca="false">IFERROR('Price History'!J3+(INDEX('Price History'!J:J,MATCH(9.99E+307,'Returns (Calc)'!$A:$A)+1)-'Price History'!J3)*(ROW()-3)/(MATCH(9.99E+307,'Returns (Calc)'!$A:$A)-3),"")</f>
        <v>125.128670886076</v>
      </c>
      <c r="AF126" s="156" t="n">
        <f aca="false">IFERROR('Price History'!K3+(INDEX('Price History'!K:K,MATCH(9.99E+307,'Returns (Calc)'!$A:$A)+1)-'Price History'!K3)*(ROW()-3)/(MATCH(9.99E+307,'Returns (Calc)'!$A:$A)-3),"")</f>
        <v>150.33417721519</v>
      </c>
      <c r="AG126" s="156" t="n">
        <f aca="false">IFERROR('Price History'!L3+(INDEX('Price History'!L:L,MATCH(9.99E+307,'Returns (Calc)'!$A:$A)+1)-'Price History'!L3)*(ROW()-3)/(MATCH(9.99E+307,'Returns (Calc)'!$A:$A)-3),"")</f>
        <v>387.045506329114</v>
      </c>
      <c r="AH126" s="156" t="n">
        <f aca="false">IFERROR('Price History'!M3+(INDEX('Price History'!M:M,MATCH(9.99E+307,'Returns (Calc)'!$A:$A)+1)-'Price History'!M3)*(ROW()-3)/(MATCH(9.99E+307,'Returns (Calc)'!$A:$A)-3),"")</f>
        <v>204.739493670886</v>
      </c>
      <c r="AI126" s="156" t="n">
        <f aca="false">IFERROR('Price History'!N3+(INDEX('Price History'!N:N,MATCH(9.99E+307,'Returns (Calc)'!$A:$A)+1)-'Price History'!N3)*(ROW()-3)/(MATCH(9.99E+307,'Returns (Calc)'!$A:$A)-3),"")</f>
        <v>470.210696202532</v>
      </c>
      <c r="AJ126" s="156" t="n">
        <f aca="false">IFERROR('Price History'!O3+(INDEX('Price History'!O:O,MATCH(9.99E+307,'Returns (Calc)'!$A:$A)+1)-'Price History'!O3)*(ROW()-3)/(MATCH(9.99E+307,'Returns (Calc)'!$A:$A)-3),"")</f>
        <v>110.123670886076</v>
      </c>
      <c r="AK126" s="156" t="n">
        <f aca="false">IFERROR('Price History'!Q3+(INDEX('Price History'!Q:Q,MATCH(9.99E+307,'Returns (Calc)'!$A:$A)+1)-'Price History'!Q3)*(ROW()-3)/(MATCH(9.99E+307,'Returns (Calc)'!$A:$A)-3),"")</f>
        <v>54.0421518987342</v>
      </c>
      <c r="AL126" s="156" t="n">
        <f aca="false">IFERROR('Price History'!R3+(INDEX('Price History'!R:R,MATCH(9.99E+307,'Returns (Calc)'!$A:$A)+1)-'Price History'!R3)*(ROW()-3)/(MATCH(9.99E+307,'Returns (Calc)'!$A:$A)-3),"")</f>
        <v>55.1564556962025</v>
      </c>
      <c r="AM126" s="156" t="n">
        <f aca="false">IFERROR('Price History'!S3+(INDEX('Price History'!S:S,MATCH(9.99E+307,'Returns (Calc)'!$A:$A)+1)-'Price History'!S3)*(ROW()-3)/(MATCH(9.99E+307,'Returns (Calc)'!$A:$A)-3),"")</f>
        <v>132.052784810127</v>
      </c>
      <c r="AN126" s="156" t="n">
        <f aca="false">IFERROR('Price History'!T3+(INDEX('Price History'!T:T,MATCH(9.99E+307,'Returns (Calc)'!$A:$A)+1)-'Price History'!T3)*(ROW()-3)/(MATCH(9.99E+307,'Returns (Calc)'!$A:$A)-3),"")</f>
        <v>45.9320253164557</v>
      </c>
      <c r="AO126" s="157" t="n">
        <f aca="false">IFERROR('Price History'!V3+(INDEX('Price History'!V:V,MATCH(9.99E+307,'Returns (Calc)'!$A:$A)+1)-'Price History'!V3)*(ROW()-3)/(MATCH(9.99E+307,'Returns (Calc)'!$A:$A)-3),"")</f>
        <v>332.963481012658</v>
      </c>
      <c r="AP126" s="155" t="n">
        <f aca="false">IFERROR(IF(OR(NOT(ISNUMBER('Price History'!W127)),NOT(ISNUMBER('Price History'!W126)),'Price History'!W126=0),"",'Price History'!W127/'Price History'!W126-1),"")</f>
        <v>0.0153665931642777</v>
      </c>
      <c r="AQ126" s="155" t="n">
        <f aca="false">IFERROR(IF(OR(NOT(ISNUMBER('Price History'!X127)),NOT(ISNUMBER('Price History'!X126)),'Price History'!X126=0),"",'Price History'!X127/'Price History'!X126-1),"")</f>
        <v>0.0183957219251336</v>
      </c>
      <c r="AR126" s="155" t="n">
        <f aca="false">IFERROR(IF(OR(NOT(ISNUMBER('Price History'!Y127)),NOT(ISNUMBER('Price History'!Y126)),'Price History'!Y126=0),"",'Price History'!Y127/'Price History'!Y126-1),"")</f>
        <v>0.00309147117657749</v>
      </c>
      <c r="AS126" s="155" t="n">
        <f aca="false">IFERROR(IF(OR(NOT(ISNUMBER('Price History'!Z127)),NOT(ISNUMBER('Price History'!Z126)),'Price History'!Z126=0),"",'Price History'!Z127/'Price History'!Z126-1),"")</f>
        <v>0.0439470451753787</v>
      </c>
      <c r="AT126" s="155" t="n">
        <f aca="false">IFERROR(IF(OR(NOT(ISNUMBER('Price History'!AA127)),NOT(ISNUMBER('Price History'!AA126)),'Price History'!AA126=0),"",'Price History'!AA127/'Price History'!AA126-1),"")</f>
        <v>-0.0305387830933582</v>
      </c>
      <c r="AU126" s="155" t="n">
        <f aca="false">IFERROR(IF(OR(NOT(ISNUMBER('Price History'!AB127)),NOT(ISNUMBER('Price History'!AB126)),'Price History'!AB126=0),"",'Price History'!AB127/'Price History'!AB126-1),"")</f>
        <v>-0.0814414414414415</v>
      </c>
    </row>
    <row r="127" customFormat="false" ht="15" hidden="false" customHeight="true" outlineLevel="0" collapsed="false">
      <c r="A127" s="153" t="n">
        <f aca="false">IF('Price History'!A128="","",'Price History'!A128)</f>
        <v>46059</v>
      </c>
      <c r="B127" s="154" t="n">
        <f aca="false">IFERROR(IF(OR(NOT(ISNUMBER('Price History'!B128)),NOT(ISNUMBER('Price History'!B127)),'Price History'!B127=0),"",'Price History'!B128/'Price History'!B127-1),"")</f>
        <v>-0.0848081841432226</v>
      </c>
      <c r="C127" s="154" t="n">
        <f aca="false">IFERROR(IF(OR(NOT(ISNUMBER('Price History'!C128)),NOT(ISNUMBER('Price History'!C127)),'Price History'!C127=0),"",'Price History'!C128/'Price History'!C127-1),"")</f>
        <v>-0.0299844786228305</v>
      </c>
      <c r="D127" s="154" t="n">
        <f aca="false">IFERROR(IF(OR(NOT(ISNUMBER('Price History'!D128)),NOT(ISNUMBER('Price History'!D127)),'Price History'!D127=0),"",'Price History'!D128/'Price History'!D127-1),"")</f>
        <v>-0.00702584380737192</v>
      </c>
      <c r="E127" s="154" t="n">
        <f aca="false">IFERROR(IF(OR(NOT(ISNUMBER('Price History'!E128)),NOT(ISNUMBER('Price History'!E127)),'Price History'!E127=0),"",'Price History'!E128/'Price History'!E127-1),"")</f>
        <v>0.00491683865485015</v>
      </c>
      <c r="F127" s="154" t="n">
        <f aca="false">IFERROR(IF(OR(NOT(ISNUMBER('Price History'!F128)),NOT(ISNUMBER('Price History'!F127)),'Price History'!F127=0),"",'Price History'!F128/'Price History'!F127-1),"")</f>
        <v>-0.103942002718623</v>
      </c>
      <c r="G127" s="154" t="n">
        <f aca="false">IFERROR(IF(OR(NOT(ISNUMBER('Price History'!G128)),NOT(ISNUMBER('Price History'!G127)),'Price History'!G127=0),"",'Price History'!G128/'Price History'!G127-1),"")</f>
        <v>0.01047304421171</v>
      </c>
      <c r="H127" s="154" t="n">
        <f aca="false">IFERROR(IF(OR(NOT(ISNUMBER('Price History'!H128)),NOT(ISNUMBER('Price History'!H127)),'Price History'!H127=0),"",'Price History'!H128/'Price History'!H127-1),"")</f>
        <v>-0.0486687246768281</v>
      </c>
      <c r="I127" s="154" t="n">
        <f aca="false">IFERROR(IF(OR(NOT(ISNUMBER('Price History'!I128)),NOT(ISNUMBER('Price History'!I127)),'Price History'!I127=0),"",'Price History'!I128/'Price History'!I127-1),"")</f>
        <v>-0.0298930144745123</v>
      </c>
      <c r="J127" s="154" t="n">
        <f aca="false">IFERROR(IF(OR(NOT(ISNUMBER('Price History'!J128)),NOT(ISNUMBER('Price History'!J127)),'Price History'!J127=0),"",'Price History'!J128/'Price History'!J127-1),"")</f>
        <v>0.0489927098847691</v>
      </c>
      <c r="K127" s="154" t="n">
        <f aca="false">IFERROR(IF(OR(NOT(ISNUMBER('Price History'!K128)),NOT(ISNUMBER('Price History'!K127)),'Price History'!K127=0),"",'Price History'!K128/'Price History'!K127-1),"")</f>
        <v>-0.0729244832526093</v>
      </c>
      <c r="L127" s="154" t="n">
        <f aca="false">IFERROR(IF(OR(NOT(ISNUMBER('Price History'!L128)),NOT(ISNUMBER('Price History'!L127)),'Price History'!L127=0),"",'Price History'!L128/'Price History'!L127-1),"")</f>
        <v>0.0553387401670833</v>
      </c>
      <c r="M127" s="154" t="n">
        <f aca="false">IFERROR(IF(OR(NOT(ISNUMBER('Price History'!M128)),NOT(ISNUMBER('Price History'!M127)),'Price History'!M127=0),"",'Price History'!M128/'Price History'!M127-1),"")</f>
        <v>0.0504703036818059</v>
      </c>
      <c r="N127" s="154" t="n">
        <f aca="false">IFERROR(IF(OR(NOT(ISNUMBER('Price History'!N128)),NOT(ISNUMBER('Price History'!N127)),'Price History'!N127=0),"",'Price History'!N128/'Price History'!N127-1),"")</f>
        <v>0.0170674611619495</v>
      </c>
      <c r="O127" s="154" t="n">
        <f aca="false">IFERROR(IF(OR(NOT(ISNUMBER('Price History'!O128)),NOT(ISNUMBER('Price History'!O127)),'Price History'!O127=0),"",'Price History'!O128/'Price History'!O127-1),"")</f>
        <v>0.054138950480414</v>
      </c>
      <c r="P127" s="154" t="n">
        <f aca="false">IFERROR(IF(OR(NOT(ISNUMBER('Price History'!P128)),NOT(ISNUMBER('Price History'!P127)),'Price History'!P127=0),"",'Price History'!P128/'Price History'!P127-1),"")</f>
        <v>0.0330769754304769</v>
      </c>
      <c r="Q127" s="154" t="n">
        <f aca="false">IFERROR(IF(OR(NOT(ISNUMBER('Price History'!Q128)),NOT(ISNUMBER('Price History'!Q127)),'Price History'!Q127=0),"",'Price History'!Q128/'Price History'!Q127-1),"")</f>
        <v>0.00284857571214392</v>
      </c>
      <c r="R127" s="154" t="n">
        <f aca="false">IFERROR(IF(OR(NOT(ISNUMBER('Price History'!R128)),NOT(ISNUMBER('Price History'!R127)),'Price History'!R127=0),"",'Price History'!R128/'Price History'!R127-1),"")</f>
        <v>-0.0154553817847287</v>
      </c>
      <c r="S127" s="154" t="n">
        <f aca="false">IFERROR(IF(OR(NOT(ISNUMBER('Price History'!S128)),NOT(ISNUMBER('Price History'!S127)),'Price History'!S127=0),"",'Price History'!S128/'Price History'!S127-1),"")</f>
        <v>-0.000251783466219013</v>
      </c>
      <c r="T127" s="154" t="n">
        <f aca="false">IFERROR(IF(OR(NOT(ISNUMBER('Price History'!T128)),NOT(ISNUMBER('Price History'!T127)),'Price History'!T127=0),"",'Price History'!T128/'Price History'!T127-1),"")</f>
        <v>0.0244835501147667</v>
      </c>
      <c r="U127" s="154" t="n">
        <f aca="false">IFERROR(IF(OR(NOT(ISNUMBER('Price History'!U128)),NOT(ISNUMBER('Price History'!U127)),'Price History'!U127=0),"",'Price History'!U128/'Price History'!U127-1),"")</f>
        <v>0.0553264604810997</v>
      </c>
      <c r="V127" s="155" t="n">
        <f aca="false">IFERROR(IF(OR(NOT(ISNUMBER('Price History'!V128)),NOT(ISNUMBER('Price History'!V127)),'Price History'!V127=0),"",'Price History'!V128/'Price History'!V127-1),"")</f>
        <v>0.0302897689975306</v>
      </c>
      <c r="W127" s="156" t="n">
        <f aca="false">IFERROR('Price History'!B3+(INDEX('Price History'!B:B,MATCH(9.99E+307,'Returns (Calc)'!$A:$A)+1)-'Price History'!B3)*(ROW()-3)/(MATCH(9.99E+307,'Returns (Calc)'!$A:$A)-3),"")</f>
        <v>300.353291139241</v>
      </c>
      <c r="X127" s="156" t="n">
        <f aca="false">IFERROR('Price History'!C3+(INDEX('Price History'!C:C,MATCH(9.99E+307,'Returns (Calc)'!$A:$A)+1)-'Price History'!C3)*(ROW()-3)/(MATCH(9.99E+307,'Returns (Calc)'!$A:$A)-3),"")</f>
        <v>172.667848101266</v>
      </c>
      <c r="Y127" s="156" t="n">
        <f aca="false">IFERROR('Price History'!D3+(INDEX('Price History'!D:D,MATCH(9.99E+307,'Returns (Calc)'!$A:$A)+1)-'Price History'!D3)*(ROW()-3)/(MATCH(9.99E+307,'Returns (Calc)'!$A:$A)-3),"")</f>
        <v>1590.7264556962</v>
      </c>
      <c r="Z127" s="156" t="n">
        <f aca="false">IFERROR('Price History'!E3+(INDEX('Price History'!E:E,MATCH(9.99E+307,'Returns (Calc)'!$A:$A)+1)-'Price History'!E3)*(ROW()-3)/(MATCH(9.99E+307,'Returns (Calc)'!$A:$A)-3),"")</f>
        <v>296.363037974684</v>
      </c>
      <c r="AA127" s="156" t="n">
        <f aca="false">IFERROR('Price History'!F3+(INDEX('Price History'!F:F,MATCH(9.99E+307,'Returns (Calc)'!$A:$A)+1)-'Price History'!F3)*(ROW()-3)/(MATCH(9.99E+307,'Returns (Calc)'!$A:$A)-3),"")</f>
        <v>220.830379746835</v>
      </c>
      <c r="AB127" s="156" t="n">
        <f aca="false">IFERROR('Price History'!G3+(INDEX('Price History'!G:G,MATCH(9.99E+307,'Returns (Calc)'!$A:$A)+1)-'Price History'!G3)*(ROW()-3)/(MATCH(9.99E+307,'Returns (Calc)'!$A:$A)-3),"")</f>
        <v>171.913037974684</v>
      </c>
      <c r="AC127" s="156" t="n">
        <f aca="false">IFERROR('Price History'!H3+(INDEX('Price History'!H:H,MATCH(9.99E+307,'Returns (Calc)'!$A:$A)+1)-'Price History'!H3)*(ROW()-3)/(MATCH(9.99E+307,'Returns (Calc)'!$A:$A)-3),"")</f>
        <v>858.456329113924</v>
      </c>
      <c r="AD127" s="156" t="n">
        <f aca="false">IFERROR('Price History'!I3+(INDEX('Price History'!I:I,MATCH(9.99E+307,'Returns (Calc)'!$A:$A)+1)-'Price History'!I3)*(ROW()-3)/(MATCH(9.99E+307,'Returns (Calc)'!$A:$A)-3),"")</f>
        <v>193.025189873418</v>
      </c>
      <c r="AE127" s="156" t="n">
        <f aca="false">IFERROR('Price History'!J3+(INDEX('Price History'!J:J,MATCH(9.99E+307,'Returns (Calc)'!$A:$A)+1)-'Price History'!J3)*(ROW()-3)/(MATCH(9.99E+307,'Returns (Calc)'!$A:$A)-3),"")</f>
        <v>125.236708860759</v>
      </c>
      <c r="AF127" s="156" t="n">
        <f aca="false">IFERROR('Price History'!K3+(INDEX('Price History'!K:K,MATCH(9.99E+307,'Returns (Calc)'!$A:$A)+1)-'Price History'!K3)*(ROW()-3)/(MATCH(9.99E+307,'Returns (Calc)'!$A:$A)-3),"")</f>
        <v>151.431772151899</v>
      </c>
      <c r="AG127" s="156" t="n">
        <f aca="false">IFERROR('Price History'!L3+(INDEX('Price History'!L:L,MATCH(9.99E+307,'Returns (Calc)'!$A:$A)+1)-'Price History'!L3)*(ROW()-3)/(MATCH(9.99E+307,'Returns (Calc)'!$A:$A)-3),"")</f>
        <v>389.495063291139</v>
      </c>
      <c r="AH127" s="156" t="n">
        <f aca="false">IFERROR('Price History'!M3+(INDEX('Price History'!M:M,MATCH(9.99E+307,'Returns (Calc)'!$A:$A)+1)-'Price History'!M3)*(ROW()-3)/(MATCH(9.99E+307,'Returns (Calc)'!$A:$A)-3),"")</f>
        <v>206.094936708861</v>
      </c>
      <c r="AI127" s="156" t="n">
        <f aca="false">IFERROR('Price History'!N3+(INDEX('Price History'!N:N,MATCH(9.99E+307,'Returns (Calc)'!$A:$A)+1)-'Price History'!N3)*(ROW()-3)/(MATCH(9.99E+307,'Returns (Calc)'!$A:$A)-3),"")</f>
        <v>471.196962025316</v>
      </c>
      <c r="AJ127" s="156" t="n">
        <f aca="false">IFERROR('Price History'!O3+(INDEX('Price History'!O:O,MATCH(9.99E+307,'Returns (Calc)'!$A:$A)+1)-'Price History'!O3)*(ROW()-3)/(MATCH(9.99E+307,'Returns (Calc)'!$A:$A)-3),"")</f>
        <v>110.40670886076</v>
      </c>
      <c r="AK127" s="156" t="n">
        <f aca="false">IFERROR('Price History'!Q3+(INDEX('Price History'!Q:Q,MATCH(9.99E+307,'Returns (Calc)'!$A:$A)+1)-'Price History'!Q3)*(ROW()-3)/(MATCH(9.99E+307,'Returns (Calc)'!$A:$A)-3),"")</f>
        <v>54.4815189873418</v>
      </c>
      <c r="AL127" s="156" t="n">
        <f aca="false">IFERROR('Price History'!R3+(INDEX('Price History'!R:R,MATCH(9.99E+307,'Returns (Calc)'!$A:$A)+1)-'Price History'!R3)*(ROW()-3)/(MATCH(9.99E+307,'Returns (Calc)'!$A:$A)-3),"")</f>
        <v>55.3245569620253</v>
      </c>
      <c r="AM127" s="156" t="n">
        <f aca="false">IFERROR('Price History'!S3+(INDEX('Price History'!S:S,MATCH(9.99E+307,'Returns (Calc)'!$A:$A)+1)-'Price History'!S3)*(ROW()-3)/(MATCH(9.99E+307,'Returns (Calc)'!$A:$A)-3),"")</f>
        <v>132.657848101266</v>
      </c>
      <c r="AN127" s="156" t="n">
        <f aca="false">IFERROR('Price History'!T3+(INDEX('Price History'!T:T,MATCH(9.99E+307,'Returns (Calc)'!$A:$A)+1)-'Price History'!T3)*(ROW()-3)/(MATCH(9.99E+307,'Returns (Calc)'!$A:$A)-3),"")</f>
        <v>46.100253164557</v>
      </c>
      <c r="AO127" s="157" t="n">
        <f aca="false">IFERROR('Price History'!V3+(INDEX('Price History'!V:V,MATCH(9.99E+307,'Returns (Calc)'!$A:$A)+1)-'Price History'!V3)*(ROW()-3)/(MATCH(9.99E+307,'Returns (Calc)'!$A:$A)-3),"")</f>
        <v>333.754810126582</v>
      </c>
      <c r="AP127" s="155" t="n">
        <f aca="false">IFERROR(IF(OR(NOT(ISNUMBER('Price History'!W128)),NOT(ISNUMBER('Price History'!W127)),'Price History'!W127=0),"",'Price History'!W128/'Price History'!W127-1),"")</f>
        <v>0.0367153036986767</v>
      </c>
      <c r="AQ127" s="155" t="n">
        <f aca="false">IFERROR(IF(OR(NOT(ISNUMBER('Price History'!X128)),NOT(ISNUMBER('Price History'!X127)),'Price History'!X127=0),"",'Price History'!X128/'Price History'!X127-1),"")</f>
        <v>0.0193236714975846</v>
      </c>
      <c r="AR127" s="155" t="n">
        <f aca="false">IFERROR(IF(OR(NOT(ISNUMBER('Price History'!Y128)),NOT(ISNUMBER('Price History'!Y127)),'Price History'!Y127=0),"",'Price History'!Y128/'Price History'!Y127-1),"")</f>
        <v>0.015409717186367</v>
      </c>
      <c r="AS127" s="155" t="n">
        <f aca="false">IFERROR(IF(OR(NOT(ISNUMBER('Price History'!Z128)),NOT(ISNUMBER('Price History'!Z127)),'Price History'!Z127=0),"",'Price History'!Z128/'Price History'!Z127-1),"")</f>
        <v>0.0463132435612499</v>
      </c>
      <c r="AT127" s="155" t="n">
        <f aca="false">IFERROR(IF(OR(NOT(ISNUMBER('Price History'!AA128)),NOT(ISNUMBER('Price History'!AA127)),'Price History'!AA127=0),"",'Price History'!AA128/'Price History'!AA127-1),"")</f>
        <v>-0.0154509522098454</v>
      </c>
      <c r="AU127" s="155" t="n">
        <f aca="false">IFERROR(IF(OR(NOT(ISNUMBER('Price History'!AB128)),NOT(ISNUMBER('Price History'!AB127)),'Price History'!AB127=0),"",'Price History'!AB128/'Price History'!AB127-1),"")</f>
        <v>-0.0994017261671243</v>
      </c>
    </row>
    <row r="128" customFormat="false" ht="15" hidden="false" customHeight="true" outlineLevel="0" collapsed="false">
      <c r="A128" s="153" t="n">
        <f aca="false">IF('Price History'!A129="","",'Price History'!A129)</f>
        <v>46066</v>
      </c>
      <c r="B128" s="154" t="n">
        <f aca="false">IFERROR(IF(OR(NOT(ISNUMBER('Price History'!B129)),NOT(ISNUMBER('Price History'!B128)),'Price History'!B128=0),"",'Price History'!B129/'Price History'!B128-1),"")</f>
        <v>-0.016431924882629</v>
      </c>
      <c r="C128" s="154" t="n">
        <f aca="false">IFERROR(IF(OR(NOT(ISNUMBER('Price History'!C129)),NOT(ISNUMBER('Price History'!C128)),'Price History'!C128=0),"",'Price History'!C129/'Price History'!C128-1),"")</f>
        <v>0.0298203505709507</v>
      </c>
      <c r="D128" s="154" t="n">
        <f aca="false">IFERROR(IF(OR(NOT(ISNUMBER('Price History'!D129)),NOT(ISNUMBER('Price History'!D128)),'Price History'!D128=0),"",'Price History'!D129/'Price History'!D128-1),"")</f>
        <v>-0.00321422222222223</v>
      </c>
      <c r="E128" s="154" t="n">
        <f aca="false">IFERROR(IF(OR(NOT(ISNUMBER('Price History'!E129)),NOT(ISNUMBER('Price History'!E128)),'Price History'!E128=0),"",'Price History'!E129/'Price History'!E128-1),"")</f>
        <v>-0.0232860163092722</v>
      </c>
      <c r="F128" s="154" t="n">
        <f aca="false">IFERROR(IF(OR(NOT(ISNUMBER('Price History'!F129)),NOT(ISNUMBER('Price History'!F128)),'Price History'!F128=0),"",'Price History'!F129/'Price History'!F128-1),"")</f>
        <v>0.0862661812297736</v>
      </c>
      <c r="G128" s="154" t="n">
        <f aca="false">IFERROR(IF(OR(NOT(ISNUMBER('Price History'!G129)),NOT(ISNUMBER('Price History'!G128)),'Price History'!G128=0),"",'Price History'!G129/'Price History'!G128-1),"")</f>
        <v>0.0146772398441848</v>
      </c>
      <c r="H128" s="154" t="n">
        <f aca="false">IFERROR(IF(OR(NOT(ISNUMBER('Price History'!H129)),NOT(ISNUMBER('Price History'!H128)),'Price History'!H128=0),"",'Price History'!H129/'Price History'!H128-1),"")</f>
        <v>0.0429954875019014</v>
      </c>
      <c r="I128" s="154" t="n">
        <f aca="false">IFERROR(IF(OR(NOT(ISNUMBER('Price History'!I129)),NOT(ISNUMBER('Price History'!I128)),'Price History'!I128=0),"",'Price History'!I129/'Price History'!I128-1),"")</f>
        <v>-0.0140555735755217</v>
      </c>
      <c r="J128" s="154" t="n">
        <f aca="false">IFERROR(IF(OR(NOT(ISNUMBER('Price History'!J129)),NOT(ISNUMBER('Price History'!J128)),'Price History'!J128=0),"",'Price History'!J129/'Price History'!J128-1),"")</f>
        <v>0.0147212673740846</v>
      </c>
      <c r="K128" s="154" t="n">
        <f aca="false">IFERROR(IF(OR(NOT(ISNUMBER('Price History'!K129)),NOT(ISNUMBER('Price History'!K128)),'Price History'!K128=0),"",'Price History'!K129/'Price History'!K128-1),"")</f>
        <v>-0.0330389992641649</v>
      </c>
      <c r="L128" s="154" t="n">
        <f aca="false">IFERROR(IF(OR(NOT(ISNUMBER('Price History'!L129)),NOT(ISNUMBER('Price History'!L128)),'Price History'!L128=0),"",'Price History'!L129/'Price History'!L128-1),"")</f>
        <v>0.050183457082599</v>
      </c>
      <c r="M128" s="154" t="n">
        <f aca="false">IFERROR(IF(OR(NOT(ISNUMBER('Price History'!M129)),NOT(ISNUMBER('Price History'!M128)),'Price History'!M128=0),"",'Price History'!M129/'Price History'!M128-1),"")</f>
        <v>0.199191567744576</v>
      </c>
      <c r="N128" s="154" t="n">
        <f aca="false">IFERROR(IF(OR(NOT(ISNUMBER('Price History'!N129)),NOT(ISNUMBER('Price History'!N128)),'Price History'!N128=0),"",'Price History'!N129/'Price History'!N128-1),"")</f>
        <v>0.0283520254435889</v>
      </c>
      <c r="O128" s="154" t="n">
        <f aca="false">IFERROR(IF(OR(NOT(ISNUMBER('Price History'!O129)),NOT(ISNUMBER('Price History'!O128)),'Price History'!O128=0),"",'Price History'!O129/'Price History'!O128-1),"")</f>
        <v>-0.002541630148992</v>
      </c>
      <c r="P128" s="154" t="n">
        <f aca="false">IFERROR(IF(OR(NOT(ISNUMBER('Price History'!P129)),NOT(ISNUMBER('Price History'!P128)),'Price History'!P128=0),"",'Price History'!P129/'Price History'!P128-1),"")</f>
        <v>0.016074840239805</v>
      </c>
      <c r="Q128" s="154" t="n">
        <f aca="false">IFERROR(IF(OR(NOT(ISNUMBER('Price History'!Q129)),NOT(ISNUMBER('Price History'!Q128)),'Price History'!Q128=0),"",'Price History'!Q129/'Price History'!Q128-1),"")</f>
        <v>-0.00867095230976223</v>
      </c>
      <c r="R128" s="154" t="n">
        <f aca="false">IFERROR(IF(OR(NOT(ISNUMBER('Price History'!R129)),NOT(ISNUMBER('Price History'!R128)),'Price History'!R128=0),"",'Price History'!R129/'Price History'!R128-1),"")</f>
        <v>-0.00934404784152498</v>
      </c>
      <c r="S128" s="154" t="n">
        <f aca="false">IFERROR(IF(OR(NOT(ISNUMBER('Price History'!S129)),NOT(ISNUMBER('Price History'!S128)),'Price History'!S128=0),"",'Price History'!S129/'Price History'!S128-1),"")</f>
        <v>-0.0132639355271994</v>
      </c>
      <c r="T128" s="154" t="n">
        <f aca="false">IFERROR(IF(OR(NOT(ISNUMBER('Price History'!T129)),NOT(ISNUMBER('Price History'!T128)),'Price History'!T128=0),"",'Price History'!T129/'Price History'!T128-1),"")</f>
        <v>-0.0042320139407519</v>
      </c>
      <c r="U128" s="154" t="n">
        <f aca="false">IFERROR(IF(OR(NOT(ISNUMBER('Price History'!U129)),NOT(ISNUMBER('Price History'!U128)),'Price History'!U128=0),"",'Price History'!U129/'Price History'!U128-1),"")</f>
        <v>0.00455877564311291</v>
      </c>
      <c r="V128" s="155" t="n">
        <f aca="false">IFERROR(IF(OR(NOT(ISNUMBER('Price History'!V129)),NOT(ISNUMBER('Price History'!V128)),'Price History'!V128=0),"",'Price History'!V129/'Price History'!V128-1),"")</f>
        <v>-0.0508191747572816</v>
      </c>
      <c r="W128" s="156" t="n">
        <f aca="false">IFERROR('Price History'!B3+(INDEX('Price History'!B:B,MATCH(9.99E+307,'Returns (Calc)'!$A:$A)+1)-'Price History'!B3)*(ROW()-3)/(MATCH(9.99E+307,'Returns (Calc)'!$A:$A)-3),"")</f>
        <v>298.510253164557</v>
      </c>
      <c r="X128" s="156" t="n">
        <f aca="false">IFERROR('Price History'!C3+(INDEX('Price History'!C:C,MATCH(9.99E+307,'Returns (Calc)'!$A:$A)+1)-'Price History'!C3)*(ROW()-3)/(MATCH(9.99E+307,'Returns (Calc)'!$A:$A)-3),"")</f>
        <v>173.687911392405</v>
      </c>
      <c r="Y128" s="156" t="n">
        <f aca="false">IFERROR('Price History'!D3+(INDEX('Price History'!D:D,MATCH(9.99E+307,'Returns (Calc)'!$A:$A)+1)-'Price History'!D3)*(ROW()-3)/(MATCH(9.99E+307,'Returns (Calc)'!$A:$A)-3),"")</f>
        <v>1598.86126582278</v>
      </c>
      <c r="Z128" s="156" t="n">
        <f aca="false">IFERROR('Price History'!E3+(INDEX('Price History'!E:E,MATCH(9.99E+307,'Returns (Calc)'!$A:$A)+1)-'Price History'!E3)*(ROW()-3)/(MATCH(9.99E+307,'Returns (Calc)'!$A:$A)-3),"")</f>
        <v>298.091772151899</v>
      </c>
      <c r="AA128" s="156" t="n">
        <f aca="false">IFERROR('Price History'!F3+(INDEX('Price History'!F:F,MATCH(9.99E+307,'Returns (Calc)'!$A:$A)+1)-'Price History'!F3)*(ROW()-3)/(MATCH(9.99E+307,'Returns (Calc)'!$A:$A)-3),"")</f>
        <v>222.277721518987</v>
      </c>
      <c r="AB128" s="156" t="n">
        <f aca="false">IFERROR('Price History'!G3+(INDEX('Price History'!G:G,MATCH(9.99E+307,'Returns (Calc)'!$A:$A)+1)-'Price History'!G3)*(ROW()-3)/(MATCH(9.99E+307,'Returns (Calc)'!$A:$A)-3),"")</f>
        <v>172.941772151899</v>
      </c>
      <c r="AC128" s="156" t="n">
        <f aca="false">IFERROR('Price History'!H3+(INDEX('Price History'!H:H,MATCH(9.99E+307,'Returns (Calc)'!$A:$A)+1)-'Price History'!H3)*(ROW()-3)/(MATCH(9.99E+307,'Returns (Calc)'!$A:$A)-3),"")</f>
        <v>864.822025316456</v>
      </c>
      <c r="AD128" s="156" t="n">
        <f aca="false">IFERROR('Price History'!I3+(INDEX('Price History'!I:I,MATCH(9.99E+307,'Returns (Calc)'!$A:$A)+1)-'Price History'!I3)*(ROW()-3)/(MATCH(9.99E+307,'Returns (Calc)'!$A:$A)-3),"")</f>
        <v>194.228860759494</v>
      </c>
      <c r="AE128" s="156" t="n">
        <f aca="false">IFERROR('Price History'!J3+(INDEX('Price History'!J:J,MATCH(9.99E+307,'Returns (Calc)'!$A:$A)+1)-'Price History'!J3)*(ROW()-3)/(MATCH(9.99E+307,'Returns (Calc)'!$A:$A)-3),"")</f>
        <v>125.344746835443</v>
      </c>
      <c r="AF128" s="156" t="n">
        <f aca="false">IFERROR('Price History'!K3+(INDEX('Price History'!K:K,MATCH(9.99E+307,'Returns (Calc)'!$A:$A)+1)-'Price History'!K3)*(ROW()-3)/(MATCH(9.99E+307,'Returns (Calc)'!$A:$A)-3),"")</f>
        <v>152.529367088608</v>
      </c>
      <c r="AG128" s="156" t="n">
        <f aca="false">IFERROR('Price History'!L3+(INDEX('Price History'!L:L,MATCH(9.99E+307,'Returns (Calc)'!$A:$A)+1)-'Price History'!L3)*(ROW()-3)/(MATCH(9.99E+307,'Returns (Calc)'!$A:$A)-3),"")</f>
        <v>391.944620253165</v>
      </c>
      <c r="AH128" s="156" t="n">
        <f aca="false">IFERROR('Price History'!M3+(INDEX('Price History'!M:M,MATCH(9.99E+307,'Returns (Calc)'!$A:$A)+1)-'Price History'!M3)*(ROW()-3)/(MATCH(9.99E+307,'Returns (Calc)'!$A:$A)-3),"")</f>
        <v>207.450379746835</v>
      </c>
      <c r="AI128" s="156" t="n">
        <f aca="false">IFERROR('Price History'!N3+(INDEX('Price History'!N:N,MATCH(9.99E+307,'Returns (Calc)'!$A:$A)+1)-'Price History'!N3)*(ROW()-3)/(MATCH(9.99E+307,'Returns (Calc)'!$A:$A)-3),"")</f>
        <v>472.183227848101</v>
      </c>
      <c r="AJ128" s="156" t="n">
        <f aca="false">IFERROR('Price History'!O3+(INDEX('Price History'!O:O,MATCH(9.99E+307,'Returns (Calc)'!$A:$A)+1)-'Price History'!O3)*(ROW()-3)/(MATCH(9.99E+307,'Returns (Calc)'!$A:$A)-3),"")</f>
        <v>110.689746835443</v>
      </c>
      <c r="AK128" s="156" t="n">
        <f aca="false">IFERROR('Price History'!Q3+(INDEX('Price History'!Q:Q,MATCH(9.99E+307,'Returns (Calc)'!$A:$A)+1)-'Price History'!Q3)*(ROW()-3)/(MATCH(9.99E+307,'Returns (Calc)'!$A:$A)-3),"")</f>
        <v>54.9208860759494</v>
      </c>
      <c r="AL128" s="156" t="n">
        <f aca="false">IFERROR('Price History'!R3+(INDEX('Price History'!R:R,MATCH(9.99E+307,'Returns (Calc)'!$A:$A)+1)-'Price History'!R3)*(ROW()-3)/(MATCH(9.99E+307,'Returns (Calc)'!$A:$A)-3),"")</f>
        <v>55.4926582278481</v>
      </c>
      <c r="AM128" s="156" t="n">
        <f aca="false">IFERROR('Price History'!S3+(INDEX('Price History'!S:S,MATCH(9.99E+307,'Returns (Calc)'!$A:$A)+1)-'Price History'!S3)*(ROW()-3)/(MATCH(9.99E+307,'Returns (Calc)'!$A:$A)-3),"")</f>
        <v>133.262911392405</v>
      </c>
      <c r="AN128" s="156" t="n">
        <f aca="false">IFERROR('Price History'!T3+(INDEX('Price History'!T:T,MATCH(9.99E+307,'Returns (Calc)'!$A:$A)+1)-'Price History'!T3)*(ROW()-3)/(MATCH(9.99E+307,'Returns (Calc)'!$A:$A)-3),"")</f>
        <v>46.2684810126582</v>
      </c>
      <c r="AO128" s="157" t="n">
        <f aca="false">IFERROR('Price History'!V3+(INDEX('Price History'!V:V,MATCH(9.99E+307,'Returns (Calc)'!$A:$A)+1)-'Price History'!V3)*(ROW()-3)/(MATCH(9.99E+307,'Returns (Calc)'!$A:$A)-3),"")</f>
        <v>334.546139240506</v>
      </c>
      <c r="AP128" s="155" t="n">
        <f aca="false">IFERROR(IF(OR(NOT(ISNUMBER('Price History'!W129)),NOT(ISNUMBER('Price History'!W128)),'Price History'!W128=0),"",'Price History'!W129/'Price History'!W128-1),"")</f>
        <v>-0.00065462162869856</v>
      </c>
      <c r="AQ128" s="155" t="n">
        <f aca="false">IFERROR(IF(OR(NOT(ISNUMBER('Price History'!X129)),NOT(ISNUMBER('Price History'!X128)),'Price History'!X128=0),"",'Price History'!X129/'Price History'!X128-1),"")</f>
        <v>0.0389449824850607</v>
      </c>
      <c r="AR128" s="155" t="n">
        <f aca="false">IFERROR(IF(OR(NOT(ISNUMBER('Price History'!Y129)),NOT(ISNUMBER('Price History'!Y128)),'Price History'!Y128=0),"",'Price History'!Y129/'Price History'!Y128-1),"")</f>
        <v>0.00321371183717201</v>
      </c>
      <c r="AS128" s="155" t="n">
        <f aca="false">IFERROR(IF(OR(NOT(ISNUMBER('Price History'!Z129)),NOT(ISNUMBER('Price History'!Z128)),'Price History'!Z128=0),"",'Price History'!Z129/'Price History'!Z128-1),"")</f>
        <v>-0.0173991815824821</v>
      </c>
      <c r="AT128" s="155" t="n">
        <f aca="false">IFERROR(IF(OR(NOT(ISNUMBER('Price History'!AA129)),NOT(ISNUMBER('Price History'!AA128)),'Price History'!AA128=0),"",'Price History'!AA129/'Price History'!AA128-1),"")</f>
        <v>-0.0648418491484185</v>
      </c>
      <c r="AU128" s="155" t="n">
        <f aca="false">IFERROR(IF(OR(NOT(ISNUMBER('Price History'!AB129)),NOT(ISNUMBER('Price History'!AB128)),'Price History'!AB128=0),"",'Price History'!AB129/'Price History'!AB128-1),"")</f>
        <v>-0.0519466376259188</v>
      </c>
    </row>
    <row r="129" customFormat="false" ht="15" hidden="false" customHeight="true" outlineLevel="0" collapsed="false">
      <c r="A129" s="153" t="n">
        <f aca="false">IF('Price History'!A130="","",'Price History'!A130)</f>
        <v>46073</v>
      </c>
      <c r="B129" s="154" t="n">
        <f aca="false">IFERROR(IF(OR(NOT(ISNUMBER('Price History'!B130)),NOT(ISNUMBER('Price History'!B129)),'Price History'!B129=0),"",'Price History'!B130/'Price History'!B129-1),"")</f>
        <v>-0.0203053377277721</v>
      </c>
      <c r="C129" s="154" t="n">
        <f aca="false">IFERROR(IF(OR(NOT(ISNUMBER('Price History'!C130)),NOT(ISNUMBER('Price History'!C129)),'Price History'!C129=0),"",'Price History'!C130/'Price History'!C129-1),"")</f>
        <v>-0.0621512818701887</v>
      </c>
      <c r="D129" s="154" t="n">
        <f aca="false">IFERROR(IF(OR(NOT(ISNUMBER('Price History'!D130)),NOT(ISNUMBER('Price History'!D129)),'Price History'!D129=0),"",'Price History'!D130/'Price History'!D129-1),"")</f>
        <v>0.0447732444907365</v>
      </c>
      <c r="E129" s="154" t="n">
        <f aca="false">IFERROR(IF(OR(NOT(ISNUMBER('Price History'!E130)),NOT(ISNUMBER('Price History'!E129)),'Price History'!E129=0),"",'Price History'!E130/'Price History'!E129-1),"")</f>
        <v>0.0230062772503787</v>
      </c>
      <c r="F129" s="154" t="n">
        <f aca="false">IFERROR(IF(OR(NOT(ISNUMBER('Price History'!F130)),NOT(ISNUMBER('Price History'!F129)),'Price History'!F129=0),"",'Price History'!F130/'Price History'!F129-1),"")</f>
        <v>-0.0955218322316357</v>
      </c>
      <c r="G129" s="154" t="n">
        <f aca="false">IFERROR(IF(OR(NOT(ISNUMBER('Price History'!G130)),NOT(ISNUMBER('Price History'!G129)),'Price History'!G129=0),"",'Price History'!G130/'Price History'!G129-1),"")</f>
        <v>0.0231027627339413</v>
      </c>
      <c r="H129" s="154" t="n">
        <f aca="false">IFERROR(IF(OR(NOT(ISNUMBER('Price History'!H130)),NOT(ISNUMBER('Price History'!H129)),'Price History'!H129=0),"",'Price History'!H130/'Price History'!H129-1),"")</f>
        <v>0.0401050021875455</v>
      </c>
      <c r="I129" s="154" t="n">
        <f aca="false">IFERROR(IF(OR(NOT(ISNUMBER('Price History'!I130)),NOT(ISNUMBER('Price History'!I129)),'Price History'!I129=0),"",'Price History'!I130/'Price History'!I129-1),"")</f>
        <v>0.0383814014694595</v>
      </c>
      <c r="J129" s="154" t="n">
        <f aca="false">IFERROR(IF(OR(NOT(ISNUMBER('Price History'!J130)),NOT(ISNUMBER('Price History'!J129)),'Price History'!J129=0),"",'Price History'!J130/'Price History'!J129-1),"")</f>
        <v>0.0182634951027323</v>
      </c>
      <c r="K129" s="154" t="n">
        <f aca="false">IFERROR(IF(OR(NOT(ISNUMBER('Price History'!K130)),NOT(ISNUMBER('Price History'!K129)),'Price History'!K129=0),"",'Price History'!K130/'Price History'!K129-1),"")</f>
        <v>0.0291454227227761</v>
      </c>
      <c r="L129" s="154" t="n">
        <f aca="false">IFERROR(IF(OR(NOT(ISNUMBER('Price History'!L130)),NOT(ISNUMBER('Price History'!L129)),'Price History'!L129=0),"",'Price History'!L130/'Price History'!L129-1),"")</f>
        <v>0.0114167812929848</v>
      </c>
      <c r="M129" s="154" t="n">
        <f aca="false">IFERROR(IF(OR(NOT(ISNUMBER('Price History'!M130)),NOT(ISNUMBER('Price History'!M129)),'Price History'!M129=0),"",'Price History'!M130/'Price History'!M129-1),"")</f>
        <v>0.0392968383325512</v>
      </c>
      <c r="N129" s="154" t="n">
        <f aca="false">IFERROR(IF(OR(NOT(ISNUMBER('Price History'!N130)),NOT(ISNUMBER('Price History'!N129)),'Price History'!N129=0),"",'Price History'!N130/'Price History'!N129-1),"")</f>
        <v>-0.0296457566077279</v>
      </c>
      <c r="O129" s="154" t="n">
        <f aca="false">IFERROR(IF(OR(NOT(ISNUMBER('Price History'!O130)),NOT(ISNUMBER('Price History'!O129)),'Price History'!O129=0),"",'Price History'!O130/'Price History'!O129-1),"")</f>
        <v>0.00562340743344181</v>
      </c>
      <c r="P129" s="154" t="n">
        <f aca="false">IFERROR(IF(OR(NOT(ISNUMBER('Price History'!P130)),NOT(ISNUMBER('Price History'!P129)),'Price History'!P129=0),"",'Price History'!P130/'Price History'!P129-1),"")</f>
        <v>-0.00713220514815527</v>
      </c>
      <c r="Q129" s="154" t="n">
        <f aca="false">IFERROR(IF(OR(NOT(ISNUMBER('Price History'!Q130)),NOT(ISNUMBER('Price History'!Q129)),'Price History'!Q129=0),"",'Price History'!Q130/'Price History'!Q129-1),"")</f>
        <v>0.00678630674106473</v>
      </c>
      <c r="R129" s="154" t="n">
        <f aca="false">IFERROR(IF(OR(NOT(ISNUMBER('Price History'!R130)),NOT(ISNUMBER('Price History'!R129)),'Price History'!R129=0),"",'Price History'!R130/'Price History'!R129-1),"")</f>
        <v>0.0111299754763252</v>
      </c>
      <c r="S129" s="154" t="n">
        <f aca="false">IFERROR(IF(OR(NOT(ISNUMBER('Price History'!S130)),NOT(ISNUMBER('Price History'!S129)),'Price History'!S129=0),"",'Price History'!S130/'Price History'!S129-1),"")</f>
        <v>0.0144631614769439</v>
      </c>
      <c r="T129" s="154" t="n">
        <f aca="false">IFERROR(IF(OR(NOT(ISNUMBER('Price History'!T130)),NOT(ISNUMBER('Price History'!T129)),'Price History'!T129=0),"",'Price History'!T130/'Price History'!T129-1),"")</f>
        <v>0.002</v>
      </c>
      <c r="U129" s="154" t="n">
        <f aca="false">IFERROR(IF(OR(NOT(ISNUMBER('Price History'!U130)),NOT(ISNUMBER('Price History'!U129)),'Price History'!U129=0),"",'Price History'!U130/'Price History'!U129-1),"")</f>
        <v>0</v>
      </c>
      <c r="V129" s="155" t="n">
        <f aca="false">IFERROR(IF(OR(NOT(ISNUMBER('Price History'!V130)),NOT(ISNUMBER('Price History'!V129)),'Price History'!V129=0),"",'Price History'!V130/'Price History'!V129-1),"")</f>
        <v>0.0218635128655904</v>
      </c>
      <c r="W129" s="156" t="n">
        <f aca="false">IFERROR('Price History'!B3+(INDEX('Price History'!B:B,MATCH(9.99E+307,'Returns (Calc)'!$A:$A)+1)-'Price History'!B3)*(ROW()-3)/(MATCH(9.99E+307,'Returns (Calc)'!$A:$A)-3),"")</f>
        <v>296.667215189873</v>
      </c>
      <c r="X129" s="156" t="n">
        <f aca="false">IFERROR('Price History'!C3+(INDEX('Price History'!C:C,MATCH(9.99E+307,'Returns (Calc)'!$A:$A)+1)-'Price History'!C3)*(ROW()-3)/(MATCH(9.99E+307,'Returns (Calc)'!$A:$A)-3),"")</f>
        <v>174.707974683544</v>
      </c>
      <c r="Y129" s="156" t="n">
        <f aca="false">IFERROR('Price History'!D3+(INDEX('Price History'!D:D,MATCH(9.99E+307,'Returns (Calc)'!$A:$A)+1)-'Price History'!D3)*(ROW()-3)/(MATCH(9.99E+307,'Returns (Calc)'!$A:$A)-3),"")</f>
        <v>1606.99607594937</v>
      </c>
      <c r="Z129" s="156" t="n">
        <f aca="false">IFERROR('Price History'!E3+(INDEX('Price History'!E:E,MATCH(9.99E+307,'Returns (Calc)'!$A:$A)+1)-'Price History'!E3)*(ROW()-3)/(MATCH(9.99E+307,'Returns (Calc)'!$A:$A)-3),"")</f>
        <v>299.820506329114</v>
      </c>
      <c r="AA129" s="156" t="n">
        <f aca="false">IFERROR('Price History'!F3+(INDEX('Price History'!F:F,MATCH(9.99E+307,'Returns (Calc)'!$A:$A)+1)-'Price History'!F3)*(ROW()-3)/(MATCH(9.99E+307,'Returns (Calc)'!$A:$A)-3),"")</f>
        <v>223.725063291139</v>
      </c>
      <c r="AB129" s="156" t="n">
        <f aca="false">IFERROR('Price History'!G3+(INDEX('Price History'!G:G,MATCH(9.99E+307,'Returns (Calc)'!$A:$A)+1)-'Price History'!G3)*(ROW()-3)/(MATCH(9.99E+307,'Returns (Calc)'!$A:$A)-3),"")</f>
        <v>173.970506329114</v>
      </c>
      <c r="AC129" s="156" t="n">
        <f aca="false">IFERROR('Price History'!H3+(INDEX('Price History'!H:H,MATCH(9.99E+307,'Returns (Calc)'!$A:$A)+1)-'Price History'!H3)*(ROW()-3)/(MATCH(9.99E+307,'Returns (Calc)'!$A:$A)-3),"")</f>
        <v>871.187721518988</v>
      </c>
      <c r="AD129" s="156" t="n">
        <f aca="false">IFERROR('Price History'!I3+(INDEX('Price History'!I:I,MATCH(9.99E+307,'Returns (Calc)'!$A:$A)+1)-'Price History'!I3)*(ROW()-3)/(MATCH(9.99E+307,'Returns (Calc)'!$A:$A)-3),"")</f>
        <v>195.43253164557</v>
      </c>
      <c r="AE129" s="156" t="n">
        <f aca="false">IFERROR('Price History'!J3+(INDEX('Price History'!J:J,MATCH(9.99E+307,'Returns (Calc)'!$A:$A)+1)-'Price History'!J3)*(ROW()-3)/(MATCH(9.99E+307,'Returns (Calc)'!$A:$A)-3),"")</f>
        <v>125.452784810127</v>
      </c>
      <c r="AF129" s="156" t="n">
        <f aca="false">IFERROR('Price History'!K3+(INDEX('Price History'!K:K,MATCH(9.99E+307,'Returns (Calc)'!$A:$A)+1)-'Price History'!K3)*(ROW()-3)/(MATCH(9.99E+307,'Returns (Calc)'!$A:$A)-3),"")</f>
        <v>153.626962025316</v>
      </c>
      <c r="AG129" s="156" t="n">
        <f aca="false">IFERROR('Price History'!L3+(INDEX('Price History'!L:L,MATCH(9.99E+307,'Returns (Calc)'!$A:$A)+1)-'Price History'!L3)*(ROW()-3)/(MATCH(9.99E+307,'Returns (Calc)'!$A:$A)-3),"")</f>
        <v>394.39417721519</v>
      </c>
      <c r="AH129" s="156" t="n">
        <f aca="false">IFERROR('Price History'!M3+(INDEX('Price History'!M:M,MATCH(9.99E+307,'Returns (Calc)'!$A:$A)+1)-'Price History'!M3)*(ROW()-3)/(MATCH(9.99E+307,'Returns (Calc)'!$A:$A)-3),"")</f>
        <v>208.80582278481</v>
      </c>
      <c r="AI129" s="156" t="n">
        <f aca="false">IFERROR('Price History'!N3+(INDEX('Price History'!N:N,MATCH(9.99E+307,'Returns (Calc)'!$A:$A)+1)-'Price History'!N3)*(ROW()-3)/(MATCH(9.99E+307,'Returns (Calc)'!$A:$A)-3),"")</f>
        <v>473.169493670886</v>
      </c>
      <c r="AJ129" s="156" t="n">
        <f aca="false">IFERROR('Price History'!O3+(INDEX('Price History'!O:O,MATCH(9.99E+307,'Returns (Calc)'!$A:$A)+1)-'Price History'!O3)*(ROW()-3)/(MATCH(9.99E+307,'Returns (Calc)'!$A:$A)-3),"")</f>
        <v>110.972784810127</v>
      </c>
      <c r="AK129" s="156" t="n">
        <f aca="false">IFERROR('Price History'!Q3+(INDEX('Price History'!Q:Q,MATCH(9.99E+307,'Returns (Calc)'!$A:$A)+1)-'Price History'!Q3)*(ROW()-3)/(MATCH(9.99E+307,'Returns (Calc)'!$A:$A)-3),"")</f>
        <v>55.360253164557</v>
      </c>
      <c r="AL129" s="156" t="n">
        <f aca="false">IFERROR('Price History'!R3+(INDEX('Price History'!R:R,MATCH(9.99E+307,'Returns (Calc)'!$A:$A)+1)-'Price History'!R3)*(ROW()-3)/(MATCH(9.99E+307,'Returns (Calc)'!$A:$A)-3),"")</f>
        <v>55.6607594936709</v>
      </c>
      <c r="AM129" s="156" t="n">
        <f aca="false">IFERROR('Price History'!S3+(INDEX('Price History'!S:S,MATCH(9.99E+307,'Returns (Calc)'!$A:$A)+1)-'Price History'!S3)*(ROW()-3)/(MATCH(9.99E+307,'Returns (Calc)'!$A:$A)-3),"")</f>
        <v>133.867974683544</v>
      </c>
      <c r="AN129" s="156" t="n">
        <f aca="false">IFERROR('Price History'!T3+(INDEX('Price History'!T:T,MATCH(9.99E+307,'Returns (Calc)'!$A:$A)+1)-'Price History'!T3)*(ROW()-3)/(MATCH(9.99E+307,'Returns (Calc)'!$A:$A)-3),"")</f>
        <v>46.4367088607595</v>
      </c>
      <c r="AO129" s="157" t="n">
        <f aca="false">IFERROR('Price History'!V3+(INDEX('Price History'!V:V,MATCH(9.99E+307,'Returns (Calc)'!$A:$A)+1)-'Price History'!V3)*(ROW()-3)/(MATCH(9.99E+307,'Returns (Calc)'!$A:$A)-3),"")</f>
        <v>335.33746835443</v>
      </c>
      <c r="AP129" s="155" t="n">
        <f aca="false">IFERROR(IF(OR(NOT(ISNUMBER('Price History'!W130)),NOT(ISNUMBER('Price History'!W129)),'Price History'!W129=0),"",'Price History'!W130/'Price History'!W129-1),"")</f>
        <v>0.00124459583387915</v>
      </c>
      <c r="AQ129" s="155" t="n">
        <f aca="false">IFERROR(IF(OR(NOT(ISNUMBER('Price History'!X130)),NOT(ISNUMBER('Price History'!X129)),'Price History'!X129=0),"",'Price History'!X130/'Price History'!X129-1),"")</f>
        <v>0.00297500991669963</v>
      </c>
      <c r="AR129" s="155" t="n">
        <f aca="false">IFERROR(IF(OR(NOT(ISNUMBER('Price History'!Y130)),NOT(ISNUMBER('Price History'!Y129)),'Price History'!Y129=0),"",'Price History'!Y130/'Price History'!Y129-1),"")</f>
        <v>0.00320341697810989</v>
      </c>
      <c r="AS129" s="155" t="n">
        <f aca="false">IFERROR(IF(OR(NOT(ISNUMBER('Price History'!Z130)),NOT(ISNUMBER('Price History'!Z129)),'Price History'!Z129=0),"",'Price History'!Z130/'Price History'!Z129-1),"")</f>
        <v>0.0881548830111902</v>
      </c>
      <c r="AT129" s="155" t="n">
        <f aca="false">IFERROR(IF(OR(NOT(ISNUMBER('Price History'!AA130)),NOT(ISNUMBER('Price History'!AA129)),'Price History'!AA129=0),"",'Price History'!AA130/'Price History'!AA129-1),"")</f>
        <v>0.0234161571484324</v>
      </c>
      <c r="AU129" s="155" t="n">
        <f aca="false">IFERROR(IF(OR(NOT(ISNUMBER('Price History'!AB130)),NOT(ISNUMBER('Price History'!AB129)),'Price History'!AB129=0),"",'Price History'!AB130/'Price History'!AB129-1),"")</f>
        <v>0.0356096720464074</v>
      </c>
    </row>
    <row r="130" customFormat="false" ht="15" hidden="false" customHeight="true" outlineLevel="0" collapsed="false">
      <c r="A130" s="153" t="n">
        <f aca="false">IF('Price History'!A131="","",'Price History'!A131)</f>
        <v>46080</v>
      </c>
      <c r="B130" s="154" t="n">
        <f aca="false">IFERROR(IF(OR(NOT(ISNUMBER('Price History'!B131)),NOT(ISNUMBER('Price History'!B130)),'Price History'!B130=0),"",'Price History'!B131/'Price History'!B130-1),"")</f>
        <v>0.0146939406828817</v>
      </c>
      <c r="C130" s="154" t="n">
        <f aca="false">IFERROR(IF(OR(NOT(ISNUMBER('Price History'!C131)),NOT(ISNUMBER('Price History'!C130)),'Price History'!C130=0),"",'Price History'!C131/'Price History'!C130-1),"")</f>
        <v>0.00534678816175926</v>
      </c>
      <c r="D130" s="154" t="n">
        <f aca="false">IFERROR(IF(OR(NOT(ISNUMBER('Price History'!D131)),NOT(ISNUMBER('Price History'!D130)),'Price History'!D130=0),"",'Price History'!D131/'Price History'!D130-1),"")</f>
        <v>-0.0129464864901775</v>
      </c>
      <c r="E130" s="154" t="n">
        <f aca="false">IFERROR(IF(OR(NOT(ISNUMBER('Price History'!E131)),NOT(ISNUMBER('Price History'!E130)),'Price History'!E130=0),"",'Price History'!E131/'Price History'!E130-1),"")</f>
        <v>-0.0393857872623401</v>
      </c>
      <c r="F130" s="154" t="n">
        <f aca="false">IFERROR(IF(OR(NOT(ISNUMBER('Price History'!F131)),NOT(ISNUMBER('Price History'!F130)),'Price History'!F130=0),"",'Price History'!F131/'Price History'!F130-1),"")</f>
        <v>-0.042717447246526</v>
      </c>
      <c r="G130" s="154" t="n">
        <f aca="false">IFERROR(IF(OR(NOT(ISNUMBER('Price History'!G131)),NOT(ISNUMBER('Price History'!G130)),'Price History'!G130=0),"",'Price History'!G131/'Price History'!G130-1),"")</f>
        <v>0.0190967569016349</v>
      </c>
      <c r="H130" s="154" t="n">
        <f aca="false">IFERROR(IF(OR(NOT(ISNUMBER('Price History'!H131)),NOT(ISNUMBER('Price History'!H130)),'Price History'!H130=0),"",'Price History'!H131/'Price History'!H130-1),"")</f>
        <v>-0.036899420452421</v>
      </c>
      <c r="I130" s="154" t="n">
        <f aca="false">IFERROR(IF(OR(NOT(ISNUMBER('Price History'!I131)),NOT(ISNUMBER('Price History'!I130)),'Price History'!I130=0),"",'Price History'!I131/'Price History'!I130-1),"")</f>
        <v>-0.066532896821206</v>
      </c>
      <c r="J130" s="154" t="n">
        <f aca="false">IFERROR(IF(OR(NOT(ISNUMBER('Price History'!J131)),NOT(ISNUMBER('Price History'!J130)),'Price History'!J130=0),"",'Price History'!J131/'Price History'!J130-1),"")</f>
        <v>0.00752151587473771</v>
      </c>
      <c r="K130" s="154" t="n">
        <f aca="false">IFERROR(IF(OR(NOT(ISNUMBER('Price History'!K131)),NOT(ISNUMBER('Price History'!K130)),'Price History'!K130=0),"",'Price History'!K131/'Price History'!K130-1),"")</f>
        <v>0.014418811002662</v>
      </c>
      <c r="L130" s="154" t="n">
        <f aca="false">IFERROR(IF(OR(NOT(ISNUMBER('Price History'!L131)),NOT(ISNUMBER('Price History'!L130)),'Price History'!L130=0),"",'Price History'!L131/'Price History'!L130-1),"")</f>
        <v>0.0109071127430982</v>
      </c>
      <c r="M130" s="154" t="n">
        <f aca="false">IFERROR(IF(OR(NOT(ISNUMBER('Price History'!M131)),NOT(ISNUMBER('Price History'!M130)),'Price History'!M130=0),"",'Price History'!M131/'Price History'!M130-1),"")</f>
        <v>0.0456934066836356</v>
      </c>
      <c r="N130" s="154" t="n">
        <f aca="false">IFERROR(IF(OR(NOT(ISNUMBER('Price History'!N131)),NOT(ISNUMBER('Price History'!N130)),'Price History'!N130=0),"",'Price History'!N131/'Price History'!N130-1),"")</f>
        <v>0.0417907318096038</v>
      </c>
      <c r="O130" s="154" t="n">
        <f aca="false">IFERROR(IF(OR(NOT(ISNUMBER('Price History'!O131)),NOT(ISNUMBER('Price History'!O130)),'Price History'!O130=0),"",'Price History'!O131/'Price History'!O130-1),"")</f>
        <v>-0.0221930974224552</v>
      </c>
      <c r="P130" s="154" t="n">
        <f aca="false">IFERROR(IF(OR(NOT(ISNUMBER('Price History'!P131)),NOT(ISNUMBER('Price History'!P130)),'Price History'!P130=0),"",'Price History'!P131/'Price History'!P130-1),"")</f>
        <v>-0.0033305034937634</v>
      </c>
      <c r="Q130" s="154" t="n">
        <f aca="false">IFERROR(IF(OR(NOT(ISNUMBER('Price History'!Q131)),NOT(ISNUMBER('Price History'!Q130)),'Price History'!Q130=0),"",'Price History'!Q131/'Price History'!Q130-1),"")</f>
        <v>-0.00569203115638117</v>
      </c>
      <c r="R130" s="154" t="n">
        <f aca="false">IFERROR(IF(OR(NOT(ISNUMBER('Price History'!R131)),NOT(ISNUMBER('Price History'!R130)),'Price History'!R130=0),"",'Price History'!R131/'Price History'!R130-1),"")</f>
        <v>-0.00186567164179108</v>
      </c>
      <c r="S130" s="154" t="n">
        <f aca="false">IFERROR(IF(OR(NOT(ISNUMBER('Price History'!S131)),NOT(ISNUMBER('Price History'!S130)),'Price History'!S130=0),"",'Price History'!S131/'Price History'!S130-1),"")</f>
        <v>-0.00402549480040249</v>
      </c>
      <c r="T130" s="154" t="n">
        <f aca="false">IFERROR(IF(OR(NOT(ISNUMBER('Price History'!T131)),NOT(ISNUMBER('Price History'!T130)),'Price History'!T130=0),"",'Price History'!T131/'Price History'!T130-1),"")</f>
        <v>0.00349301397205593</v>
      </c>
      <c r="U130" s="154" t="n">
        <f aca="false">IFERROR(IF(OR(NOT(ISNUMBER('Price History'!U131)),NOT(ISNUMBER('Price History'!U130)),'Price History'!U130=0),"",'Price History'!U131/'Price History'!U130-1),"")</f>
        <v>0.00518638573743924</v>
      </c>
      <c r="V130" s="155" t="n">
        <f aca="false">IFERROR(IF(OR(NOT(ISNUMBER('Price History'!V131)),NOT(ISNUMBER('Price History'!V130)),'Price History'!V130=0),"",'Price History'!V131/'Price History'!V130-1),"")</f>
        <v>-0.00250242422346647</v>
      </c>
      <c r="W130" s="156" t="n">
        <f aca="false">IFERROR('Price History'!B3+(INDEX('Price History'!B:B,MATCH(9.99E+307,'Returns (Calc)'!$A:$A)+1)-'Price History'!B3)*(ROW()-3)/(MATCH(9.99E+307,'Returns (Calc)'!$A:$A)-3),"")</f>
        <v>294.82417721519</v>
      </c>
      <c r="X130" s="156" t="n">
        <f aca="false">IFERROR('Price History'!C3+(INDEX('Price History'!C:C,MATCH(9.99E+307,'Returns (Calc)'!$A:$A)+1)-'Price History'!C3)*(ROW()-3)/(MATCH(9.99E+307,'Returns (Calc)'!$A:$A)-3),"")</f>
        <v>175.728037974684</v>
      </c>
      <c r="Y130" s="156" t="n">
        <f aca="false">IFERROR('Price History'!D3+(INDEX('Price History'!D:D,MATCH(9.99E+307,'Returns (Calc)'!$A:$A)+1)-'Price History'!D3)*(ROW()-3)/(MATCH(9.99E+307,'Returns (Calc)'!$A:$A)-3),"")</f>
        <v>1615.13088607595</v>
      </c>
      <c r="Z130" s="156" t="n">
        <f aca="false">IFERROR('Price History'!E3+(INDEX('Price History'!E:E,MATCH(9.99E+307,'Returns (Calc)'!$A:$A)+1)-'Price History'!E3)*(ROW()-3)/(MATCH(9.99E+307,'Returns (Calc)'!$A:$A)-3),"")</f>
        <v>301.549240506329</v>
      </c>
      <c r="AA130" s="156" t="n">
        <f aca="false">IFERROR('Price History'!F3+(INDEX('Price History'!F:F,MATCH(9.99E+307,'Returns (Calc)'!$A:$A)+1)-'Price History'!F3)*(ROW()-3)/(MATCH(9.99E+307,'Returns (Calc)'!$A:$A)-3),"")</f>
        <v>225.172405063291</v>
      </c>
      <c r="AB130" s="156" t="n">
        <f aca="false">IFERROR('Price History'!G3+(INDEX('Price History'!G:G,MATCH(9.99E+307,'Returns (Calc)'!$A:$A)+1)-'Price History'!G3)*(ROW()-3)/(MATCH(9.99E+307,'Returns (Calc)'!$A:$A)-3),"")</f>
        <v>174.999240506329</v>
      </c>
      <c r="AC130" s="156" t="n">
        <f aca="false">IFERROR('Price History'!H3+(INDEX('Price History'!H:H,MATCH(9.99E+307,'Returns (Calc)'!$A:$A)+1)-'Price History'!H3)*(ROW()-3)/(MATCH(9.99E+307,'Returns (Calc)'!$A:$A)-3),"")</f>
        <v>877.553417721519</v>
      </c>
      <c r="AD130" s="156" t="n">
        <f aca="false">IFERROR('Price History'!I3+(INDEX('Price History'!I:I,MATCH(9.99E+307,'Returns (Calc)'!$A:$A)+1)-'Price History'!I3)*(ROW()-3)/(MATCH(9.99E+307,'Returns (Calc)'!$A:$A)-3),"")</f>
        <v>196.636202531646</v>
      </c>
      <c r="AE130" s="156" t="n">
        <f aca="false">IFERROR('Price History'!J3+(INDEX('Price History'!J:J,MATCH(9.99E+307,'Returns (Calc)'!$A:$A)+1)-'Price History'!J3)*(ROW()-3)/(MATCH(9.99E+307,'Returns (Calc)'!$A:$A)-3),"")</f>
        <v>125.56082278481</v>
      </c>
      <c r="AF130" s="156" t="n">
        <f aca="false">IFERROR('Price History'!K3+(INDEX('Price History'!K:K,MATCH(9.99E+307,'Returns (Calc)'!$A:$A)+1)-'Price History'!K3)*(ROW()-3)/(MATCH(9.99E+307,'Returns (Calc)'!$A:$A)-3),"")</f>
        <v>154.724556962025</v>
      </c>
      <c r="AG130" s="156" t="n">
        <f aca="false">IFERROR('Price History'!L3+(INDEX('Price History'!L:L,MATCH(9.99E+307,'Returns (Calc)'!$A:$A)+1)-'Price History'!L3)*(ROW()-3)/(MATCH(9.99E+307,'Returns (Calc)'!$A:$A)-3),"")</f>
        <v>396.843734177215</v>
      </c>
      <c r="AH130" s="156" t="n">
        <f aca="false">IFERROR('Price History'!M3+(INDEX('Price History'!M:M,MATCH(9.99E+307,'Returns (Calc)'!$A:$A)+1)-'Price History'!M3)*(ROW()-3)/(MATCH(9.99E+307,'Returns (Calc)'!$A:$A)-3),"")</f>
        <v>210.161265822785</v>
      </c>
      <c r="AI130" s="156" t="n">
        <f aca="false">IFERROR('Price History'!N3+(INDEX('Price History'!N:N,MATCH(9.99E+307,'Returns (Calc)'!$A:$A)+1)-'Price History'!N3)*(ROW()-3)/(MATCH(9.99E+307,'Returns (Calc)'!$A:$A)-3),"")</f>
        <v>474.155759493671</v>
      </c>
      <c r="AJ130" s="156" t="n">
        <f aca="false">IFERROR('Price History'!O3+(INDEX('Price History'!O:O,MATCH(9.99E+307,'Returns (Calc)'!$A:$A)+1)-'Price History'!O3)*(ROW()-3)/(MATCH(9.99E+307,'Returns (Calc)'!$A:$A)-3),"")</f>
        <v>111.25582278481</v>
      </c>
      <c r="AK130" s="156" t="n">
        <f aca="false">IFERROR('Price History'!Q3+(INDEX('Price History'!Q:Q,MATCH(9.99E+307,'Returns (Calc)'!$A:$A)+1)-'Price History'!Q3)*(ROW()-3)/(MATCH(9.99E+307,'Returns (Calc)'!$A:$A)-3),"")</f>
        <v>55.7996202531646</v>
      </c>
      <c r="AL130" s="156" t="n">
        <f aca="false">IFERROR('Price History'!R3+(INDEX('Price History'!R:R,MATCH(9.99E+307,'Returns (Calc)'!$A:$A)+1)-'Price History'!R3)*(ROW()-3)/(MATCH(9.99E+307,'Returns (Calc)'!$A:$A)-3),"")</f>
        <v>55.8288607594937</v>
      </c>
      <c r="AM130" s="156" t="n">
        <f aca="false">IFERROR('Price History'!S3+(INDEX('Price History'!S:S,MATCH(9.99E+307,'Returns (Calc)'!$A:$A)+1)-'Price History'!S3)*(ROW()-3)/(MATCH(9.99E+307,'Returns (Calc)'!$A:$A)-3),"")</f>
        <v>134.473037974684</v>
      </c>
      <c r="AN130" s="156" t="n">
        <f aca="false">IFERROR('Price History'!T3+(INDEX('Price History'!T:T,MATCH(9.99E+307,'Returns (Calc)'!$A:$A)+1)-'Price History'!T3)*(ROW()-3)/(MATCH(9.99E+307,'Returns (Calc)'!$A:$A)-3),"")</f>
        <v>46.6049367088608</v>
      </c>
      <c r="AO130" s="157" t="n">
        <f aca="false">IFERROR('Price History'!V3+(INDEX('Price History'!V:V,MATCH(9.99E+307,'Returns (Calc)'!$A:$A)+1)-'Price History'!V3)*(ROW()-3)/(MATCH(9.99E+307,'Returns (Calc)'!$A:$A)-3),"")</f>
        <v>336.128797468354</v>
      </c>
      <c r="AP130" s="155" t="n">
        <f aca="false">IFERROR(IF(OR(NOT(ISNUMBER('Price History'!W131)),NOT(ISNUMBER('Price History'!W130)),'Price History'!W130=0),"",'Price History'!W131/'Price History'!W130-1),"")</f>
        <v>-0.00327118089630352</v>
      </c>
      <c r="AQ130" s="155" t="n">
        <f aca="false">IFERROR(IF(OR(NOT(ISNUMBER('Price History'!X131)),NOT(ISNUMBER('Price History'!X130)),'Price History'!X130=0),"",'Price History'!X131/'Price History'!X130-1),"")</f>
        <v>0.0100850306505833</v>
      </c>
      <c r="AR130" s="155" t="n">
        <f aca="false">IFERROR(IF(OR(NOT(ISNUMBER('Price History'!Y131)),NOT(ISNUMBER('Price History'!Y130)),'Price History'!Y130=0),"",'Price History'!Y131/'Price History'!Y130-1),"")</f>
        <v>0.00638637573177214</v>
      </c>
      <c r="AS130" s="155" t="n">
        <f aca="false">IFERROR(IF(OR(NOT(ISNUMBER('Price History'!Z131)),NOT(ISNUMBER('Price History'!Z130)),'Price History'!Z130=0),"",'Price History'!Z131/'Price History'!Z130-1),"")</f>
        <v>-0.00277542434777545</v>
      </c>
      <c r="AT130" s="155" t="n">
        <f aca="false">IFERROR(IF(OR(NOT(ISNUMBER('Price History'!AA131)),NOT(ISNUMBER('Price History'!AA130)),'Price History'!AA130=0),"",'Price History'!AA131/'Price History'!AA130-1),"")</f>
        <v>0.22333799415279</v>
      </c>
      <c r="AU130" s="155" t="n">
        <f aca="false">IFERROR(IF(OR(NOT(ISNUMBER('Price History'!AB131)),NOT(ISNUMBER('Price History'!AB130)),'Price History'!AB130=0),"",'Price History'!AB131/'Price History'!AB130-1),"")</f>
        <v>0.00942820697687319</v>
      </c>
    </row>
    <row r="131" customFormat="false" ht="15" hidden="false" customHeight="true" outlineLevel="0" collapsed="false">
      <c r="A131" s="153" t="n">
        <f aca="false">IF('Price History'!A132="","",'Price History'!A132)</f>
        <v>46087</v>
      </c>
      <c r="B131" s="154" t="n">
        <f aca="false">IFERROR(IF(OR(NOT(ISNUMBER('Price History'!B132)),NOT(ISNUMBER('Price History'!B131)),'Price History'!B131=0),"",'Price History'!B132/'Price History'!B131-1),"")</f>
        <v>0.0808277123585228</v>
      </c>
      <c r="C131" s="154" t="n">
        <f aca="false">IFERROR(IF(OR(NOT(ISNUMBER('Price History'!C132)),NOT(ISNUMBER('Price History'!C131)),'Price History'!C131=0),"",'Price History'!C132/'Price History'!C131-1),"")</f>
        <v>-0.0045692883895132</v>
      </c>
      <c r="D131" s="154" t="n">
        <f aca="false">IFERROR(IF(OR(NOT(ISNUMBER('Price History'!D132)),NOT(ISNUMBER('Price History'!D131)),'Price History'!D131=0),"",'Price History'!D132/'Price History'!D131-1),"")</f>
        <v>-0.108755958022317</v>
      </c>
      <c r="E131" s="154" t="n">
        <f aca="false">IFERROR(IF(OR(NOT(ISNUMBER('Price History'!E132)),NOT(ISNUMBER('Price History'!E131)),'Price History'!E131=0),"",'Price History'!E132/'Price History'!E131-1),"")</f>
        <v>0.0342039018250473</v>
      </c>
      <c r="F131" s="154" t="n">
        <f aca="false">IFERROR(IF(OR(NOT(ISNUMBER('Price History'!F132)),NOT(ISNUMBER('Price History'!F131)),'Price History'!F131=0),"",'Price History'!F132/'Price History'!F131-1),"")</f>
        <v>0.153225806451613</v>
      </c>
      <c r="G131" s="154" t="n">
        <f aca="false">IFERROR(IF(OR(NOT(ISNUMBER('Price History'!G132)),NOT(ISNUMBER('Price History'!G131)),'Price History'!G131=0),"",'Price History'!G132/'Price History'!G131-1),"")</f>
        <v>-0.118087974225787</v>
      </c>
      <c r="H131" s="154" t="n">
        <f aca="false">IFERROR(IF(OR(NOT(ISNUMBER('Price History'!H132)),NOT(ISNUMBER('Price History'!H131)),'Price History'!H131=0),"",'Price History'!H132/'Price History'!H131-1),"")</f>
        <v>-0.102006648387645</v>
      </c>
      <c r="I131" s="154" t="n">
        <f aca="false">IFERROR(IF(OR(NOT(ISNUMBER('Price History'!I132)),NOT(ISNUMBER('Price History'!I131)),'Price History'!I131=0),"",'Price History'!I132/'Price History'!I131-1),"")</f>
        <v>0.00350718407059625</v>
      </c>
      <c r="J131" s="154" t="n">
        <f aca="false">IFERROR(IF(OR(NOT(ISNUMBER('Price History'!J132)),NOT(ISNUMBER('Price History'!J131)),'Price History'!J131=0),"",'Price History'!J132/'Price History'!J131-1),"")</f>
        <v>-0.0563491493790825</v>
      </c>
      <c r="K131" s="154" t="n">
        <f aca="false">IFERROR(IF(OR(NOT(ISNUMBER('Price History'!K132)),NOT(ISNUMBER('Price History'!K131)),'Price History'!K131=0),"",'Price History'!K132/'Price History'!K131-1),"")</f>
        <v>0.145564545520811</v>
      </c>
      <c r="L131" s="154" t="n">
        <f aca="false">IFERROR(IF(OR(NOT(ISNUMBER('Price History'!L132)),NOT(ISNUMBER('Price History'!L131)),'Price History'!L131=0),"",'Price History'!L132/'Price History'!L131-1),"")</f>
        <v>-0.0952752515740193</v>
      </c>
      <c r="M131" s="154" t="n">
        <f aca="false">IFERROR(IF(OR(NOT(ISNUMBER('Price History'!M132)),NOT(ISNUMBER('Price History'!M131)),'Price History'!M131=0),"",'Price History'!M132/'Price History'!M131-1),"")</f>
        <v>-0.051431039221075</v>
      </c>
      <c r="N131" s="154" t="n">
        <f aca="false">IFERROR(IF(OR(NOT(ISNUMBER('Price History'!N132)),NOT(ISNUMBER('Price History'!N131)),'Price History'!N131=0),"",'Price History'!N132/'Price History'!N131-1),"")</f>
        <v>-0.0807922226918664</v>
      </c>
      <c r="O131" s="154" t="n">
        <f aca="false">IFERROR(IF(OR(NOT(ISNUMBER('Price History'!O132)),NOT(ISNUMBER('Price History'!O131)),'Price History'!O131=0),"",'Price History'!O132/'Price History'!O131-1),"")</f>
        <v>-0.0383343758377267</v>
      </c>
      <c r="P131" s="154" t="n">
        <f aca="false">IFERROR(IF(OR(NOT(ISNUMBER('Price History'!P132)),NOT(ISNUMBER('Price History'!P131)),'Price History'!P131=0),"",'Price History'!P132/'Price History'!P131-1),"")</f>
        <v>-0.0247018739352641</v>
      </c>
      <c r="Q131" s="154" t="n">
        <f aca="false">IFERROR(IF(OR(NOT(ISNUMBER('Price History'!Q132)),NOT(ISNUMBER('Price History'!Q131)),'Price History'!Q131=0),"",'Price History'!Q132/'Price History'!Q131-1),"")</f>
        <v>-0.0112985839108165</v>
      </c>
      <c r="R131" s="154" t="n">
        <f aca="false">IFERROR(IF(OR(NOT(ISNUMBER('Price History'!R132)),NOT(ISNUMBER('Price History'!R131)),'Price History'!R131=0),"",'Price History'!R132/'Price History'!R131-1),"")</f>
        <v>-0.0119626168224299</v>
      </c>
      <c r="S131" s="154" t="n">
        <f aca="false">IFERROR(IF(OR(NOT(ISNUMBER('Price History'!S132)),NOT(ISNUMBER('Price History'!S131)),'Price History'!S131=0),"",'Price History'!S132/'Price History'!S131-1),"")</f>
        <v>-0.0103570225665207</v>
      </c>
      <c r="T131" s="154" t="n">
        <f aca="false">IFERROR(IF(OR(NOT(ISNUMBER('Price History'!T132)),NOT(ISNUMBER('Price History'!T131)),'Price History'!T131=0),"",'Price History'!T132/'Price History'!T131-1),"")</f>
        <v>-0.00919940328194924</v>
      </c>
      <c r="U131" s="154" t="n">
        <f aca="false">IFERROR(IF(OR(NOT(ISNUMBER('Price History'!U132)),NOT(ISNUMBER('Price History'!U131)),'Price History'!U131=0),"",'Price History'!U132/'Price History'!U131-1),"")</f>
        <v>-0.0203160270880361</v>
      </c>
      <c r="V131" s="155" t="n">
        <f aca="false">IFERROR(IF(OR(NOT(ISNUMBER('Price History'!V132)),NOT(ISNUMBER('Price History'!V131)),'Price History'!V131=0),"",'Price History'!V132/'Price History'!V131-1),"")</f>
        <v>-0.00868638088369023</v>
      </c>
      <c r="W131" s="156" t="n">
        <f aca="false">IFERROR('Price History'!B3+(INDEX('Price History'!B:B,MATCH(9.99E+307,'Returns (Calc)'!$A:$A)+1)-'Price History'!B3)*(ROW()-3)/(MATCH(9.99E+307,'Returns (Calc)'!$A:$A)-3),"")</f>
        <v>292.981139240506</v>
      </c>
      <c r="X131" s="156" t="n">
        <f aca="false">IFERROR('Price History'!C3+(INDEX('Price History'!C:C,MATCH(9.99E+307,'Returns (Calc)'!$A:$A)+1)-'Price History'!C3)*(ROW()-3)/(MATCH(9.99E+307,'Returns (Calc)'!$A:$A)-3),"")</f>
        <v>176.748101265823</v>
      </c>
      <c r="Y131" s="156" t="n">
        <f aca="false">IFERROR('Price History'!D3+(INDEX('Price History'!D:D,MATCH(9.99E+307,'Returns (Calc)'!$A:$A)+1)-'Price History'!D3)*(ROW()-3)/(MATCH(9.99E+307,'Returns (Calc)'!$A:$A)-3),"")</f>
        <v>1623.26569620253</v>
      </c>
      <c r="Z131" s="156" t="n">
        <f aca="false">IFERROR('Price History'!E3+(INDEX('Price History'!E:E,MATCH(9.99E+307,'Returns (Calc)'!$A:$A)+1)-'Price History'!E3)*(ROW()-3)/(MATCH(9.99E+307,'Returns (Calc)'!$A:$A)-3),"")</f>
        <v>303.277974683544</v>
      </c>
      <c r="AA131" s="156" t="n">
        <f aca="false">IFERROR('Price History'!F3+(INDEX('Price History'!F:F,MATCH(9.99E+307,'Returns (Calc)'!$A:$A)+1)-'Price History'!F3)*(ROW()-3)/(MATCH(9.99E+307,'Returns (Calc)'!$A:$A)-3),"")</f>
        <v>226.619746835443</v>
      </c>
      <c r="AB131" s="156" t="n">
        <f aca="false">IFERROR('Price History'!G3+(INDEX('Price History'!G:G,MATCH(9.99E+307,'Returns (Calc)'!$A:$A)+1)-'Price History'!G3)*(ROW()-3)/(MATCH(9.99E+307,'Returns (Calc)'!$A:$A)-3),"")</f>
        <v>176.027974683544</v>
      </c>
      <c r="AC131" s="156" t="n">
        <f aca="false">IFERROR('Price History'!H3+(INDEX('Price History'!H:H,MATCH(9.99E+307,'Returns (Calc)'!$A:$A)+1)-'Price History'!H3)*(ROW()-3)/(MATCH(9.99E+307,'Returns (Calc)'!$A:$A)-3),"")</f>
        <v>883.919113924051</v>
      </c>
      <c r="AD131" s="156" t="n">
        <f aca="false">IFERROR('Price History'!I3+(INDEX('Price History'!I:I,MATCH(9.99E+307,'Returns (Calc)'!$A:$A)+1)-'Price History'!I3)*(ROW()-3)/(MATCH(9.99E+307,'Returns (Calc)'!$A:$A)-3),"")</f>
        <v>197.839873417722</v>
      </c>
      <c r="AE131" s="156" t="n">
        <f aca="false">IFERROR('Price History'!J3+(INDEX('Price History'!J:J,MATCH(9.99E+307,'Returns (Calc)'!$A:$A)+1)-'Price History'!J3)*(ROW()-3)/(MATCH(9.99E+307,'Returns (Calc)'!$A:$A)-3),"")</f>
        <v>125.668860759494</v>
      </c>
      <c r="AF131" s="156" t="n">
        <f aca="false">IFERROR('Price History'!K3+(INDEX('Price History'!K:K,MATCH(9.99E+307,'Returns (Calc)'!$A:$A)+1)-'Price History'!K3)*(ROW()-3)/(MATCH(9.99E+307,'Returns (Calc)'!$A:$A)-3),"")</f>
        <v>155.822151898734</v>
      </c>
      <c r="AG131" s="156" t="n">
        <f aca="false">IFERROR('Price History'!L3+(INDEX('Price History'!L:L,MATCH(9.99E+307,'Returns (Calc)'!$A:$A)+1)-'Price History'!L3)*(ROW()-3)/(MATCH(9.99E+307,'Returns (Calc)'!$A:$A)-3),"")</f>
        <v>399.29329113924</v>
      </c>
      <c r="AH131" s="156" t="n">
        <f aca="false">IFERROR('Price History'!M3+(INDEX('Price History'!M:M,MATCH(9.99E+307,'Returns (Calc)'!$A:$A)+1)-'Price History'!M3)*(ROW()-3)/(MATCH(9.99E+307,'Returns (Calc)'!$A:$A)-3),"")</f>
        <v>211.51670886076</v>
      </c>
      <c r="AI131" s="156" t="n">
        <f aca="false">IFERROR('Price History'!N3+(INDEX('Price History'!N:N,MATCH(9.99E+307,'Returns (Calc)'!$A:$A)+1)-'Price History'!N3)*(ROW()-3)/(MATCH(9.99E+307,'Returns (Calc)'!$A:$A)-3),"")</f>
        <v>475.142025316456</v>
      </c>
      <c r="AJ131" s="156" t="n">
        <f aca="false">IFERROR('Price History'!O3+(INDEX('Price History'!O:O,MATCH(9.99E+307,'Returns (Calc)'!$A:$A)+1)-'Price History'!O3)*(ROW()-3)/(MATCH(9.99E+307,'Returns (Calc)'!$A:$A)-3),"")</f>
        <v>111.538860759494</v>
      </c>
      <c r="AK131" s="156" t="n">
        <f aca="false">IFERROR('Price History'!Q3+(INDEX('Price History'!Q:Q,MATCH(9.99E+307,'Returns (Calc)'!$A:$A)+1)-'Price History'!Q3)*(ROW()-3)/(MATCH(9.99E+307,'Returns (Calc)'!$A:$A)-3),"")</f>
        <v>56.2389873417722</v>
      </c>
      <c r="AL131" s="156" t="n">
        <f aca="false">IFERROR('Price History'!R3+(INDEX('Price History'!R:R,MATCH(9.99E+307,'Returns (Calc)'!$A:$A)+1)-'Price History'!R3)*(ROW()-3)/(MATCH(9.99E+307,'Returns (Calc)'!$A:$A)-3),"")</f>
        <v>55.9969620253165</v>
      </c>
      <c r="AM131" s="156" t="n">
        <f aca="false">IFERROR('Price History'!S3+(INDEX('Price History'!S:S,MATCH(9.99E+307,'Returns (Calc)'!$A:$A)+1)-'Price History'!S3)*(ROW()-3)/(MATCH(9.99E+307,'Returns (Calc)'!$A:$A)-3),"")</f>
        <v>135.078101265823</v>
      </c>
      <c r="AN131" s="156" t="n">
        <f aca="false">IFERROR('Price History'!T3+(INDEX('Price History'!T:T,MATCH(9.99E+307,'Returns (Calc)'!$A:$A)+1)-'Price History'!T3)*(ROW()-3)/(MATCH(9.99E+307,'Returns (Calc)'!$A:$A)-3),"")</f>
        <v>46.773164556962</v>
      </c>
      <c r="AO131" s="157" t="n">
        <f aca="false">IFERROR('Price History'!V3+(INDEX('Price History'!V:V,MATCH(9.99E+307,'Returns (Calc)'!$A:$A)+1)-'Price History'!V3)*(ROW()-3)/(MATCH(9.99E+307,'Returns (Calc)'!$A:$A)-3),"")</f>
        <v>336.920126582279</v>
      </c>
      <c r="AP131" s="155" t="n">
        <f aca="false">IFERROR(IF(OR(NOT(ISNUMBER('Price History'!W132)),NOT(ISNUMBER('Price History'!W131)),'Price History'!W131=0),"",'Price History'!W132/'Price History'!W131-1),"")</f>
        <v>-0.0278306531014111</v>
      </c>
      <c r="AQ131" s="155" t="n">
        <f aca="false">IFERROR(IF(OR(NOT(ISNUMBER('Price History'!X132)),NOT(ISNUMBER('Price History'!X131)),'Price History'!X131=0),"",'Price History'!X132/'Price History'!X131-1),"")</f>
        <v>0.00998433829287393</v>
      </c>
      <c r="AR131" s="155" t="n">
        <f aca="false">IFERROR(IF(OR(NOT(ISNUMBER('Price History'!Y132)),NOT(ISNUMBER('Price History'!Y131)),'Price History'!Y131=0),"",'Price History'!Y132/'Price History'!Y131-1),"")</f>
        <v>-0.024149479992949</v>
      </c>
      <c r="AS131" s="155" t="n">
        <f aca="false">IFERROR(IF(OR(NOT(ISNUMBER('Price History'!Z132)),NOT(ISNUMBER('Price History'!Z131)),'Price History'!Z131=0),"",'Price History'!Z132/'Price History'!Z131-1),"")</f>
        <v>-0.0559559383605788</v>
      </c>
      <c r="AT131" s="155" t="n">
        <f aca="false">IFERROR(IF(OR(NOT(ISNUMBER('Price History'!AA132)),NOT(ISNUMBER('Price History'!AA131)),'Price History'!AA131=0),"",'Price History'!AA132/'Price History'!AA131-1),"")</f>
        <v>0.0288861180382378</v>
      </c>
      <c r="AU131" s="155" t="n">
        <f aca="false">IFERROR(IF(OR(NOT(ISNUMBER('Price History'!AB132)),NOT(ISNUMBER('Price History'!AB131)),'Price History'!AB131=0),"",'Price History'!AB132/'Price History'!AB131-1),"")</f>
        <v>0.0740618647327072</v>
      </c>
    </row>
    <row r="132" customFormat="false" ht="15" hidden="false" customHeight="true" outlineLevel="0" collapsed="false">
      <c r="A132" s="153" t="n">
        <f aca="false">IF('Price History'!A133="","",'Price History'!A133)</f>
        <v>46094</v>
      </c>
      <c r="B132" s="154" t="n">
        <f aca="false">IFERROR(IF(OR(NOT(ISNUMBER('Price History'!B133)),NOT(ISNUMBER('Price History'!B132)),'Price History'!B132=0),"",'Price History'!B133/'Price History'!B132-1),"")</f>
        <v>-0.120936464283196</v>
      </c>
      <c r="C132" s="154" t="n">
        <f aca="false">IFERROR(IF(OR(NOT(ISNUMBER('Price History'!C133)),NOT(ISNUMBER('Price History'!C132)),'Price History'!C132=0),"",'Price History'!C133/'Price History'!C132-1),"")</f>
        <v>0.00511701407178866</v>
      </c>
      <c r="D132" s="154" t="n">
        <f aca="false">IFERROR(IF(OR(NOT(ISNUMBER('Price History'!D133)),NOT(ISNUMBER('Price History'!D132)),'Price History'!D132=0),"",'Price History'!D133/'Price History'!D132-1),"")</f>
        <v>0.0409059860904124</v>
      </c>
      <c r="E132" s="154" t="n">
        <f aca="false">IFERROR(IF(OR(NOT(ISNUMBER('Price History'!E133)),NOT(ISNUMBER('Price History'!E132)),'Price History'!E132=0),"",'Price History'!E133/'Price History'!E132-1),"")</f>
        <v>-0.0251924422673199</v>
      </c>
      <c r="F132" s="154" t="n">
        <f aca="false">IFERROR(IF(OR(NOT(ISNUMBER('Price History'!F133)),NOT(ISNUMBER('Price History'!F132)),'Price History'!F132=0),"",'Price History'!F133/'Price History'!F132-1),"")</f>
        <v>0.0297435897435898</v>
      </c>
      <c r="G132" s="154" t="n">
        <f aca="false">IFERROR(IF(OR(NOT(ISNUMBER('Price History'!G133)),NOT(ISNUMBER('Price History'!G132)),'Price History'!G132=0),"",'Price History'!G133/'Price History'!G132-1),"")</f>
        <v>0.0550958025795871</v>
      </c>
      <c r="H132" s="154" t="n">
        <f aca="false">IFERROR(IF(OR(NOT(ISNUMBER('Price History'!H133)),NOT(ISNUMBER('Price History'!H132)),'Price History'!H132=0),"",'Price History'!H133/'Price History'!H132-1),"")</f>
        <v>0.150774136020968</v>
      </c>
      <c r="I132" s="154" t="n">
        <f aca="false">IFERROR(IF(OR(NOT(ISNUMBER('Price History'!I133)),NOT(ISNUMBER('Price History'!I132)),'Price History'!I132=0),"",'Price History'!I133/'Price History'!I132-1),"")</f>
        <v>0.0137542277339346</v>
      </c>
      <c r="J132" s="154" t="n">
        <f aca="false">IFERROR(IF(OR(NOT(ISNUMBER('Price History'!J133)),NOT(ISNUMBER('Price History'!J132)),'Price History'!J132=0),"",'Price History'!J133/'Price History'!J132-1),"")</f>
        <v>-0.0207667731629394</v>
      </c>
      <c r="K132" s="154" t="n">
        <f aca="false">IFERROR(IF(OR(NOT(ISNUMBER('Price History'!K133)),NOT(ISNUMBER('Price History'!K132)),'Price History'!K132=0),"",'Price History'!K133/'Price History'!K132-1),"")</f>
        <v>-0.0395138712140495</v>
      </c>
      <c r="L132" s="154" t="n">
        <f aca="false">IFERROR(IF(OR(NOT(ISNUMBER('Price History'!L133)),NOT(ISNUMBER('Price History'!L132)),'Price History'!L132=0),"",'Price History'!L133/'Price History'!L132-1),"")</f>
        <v>-0.00172490706319695</v>
      </c>
      <c r="M132" s="154" t="n">
        <f aca="false">IFERROR(IF(OR(NOT(ISNUMBER('Price History'!M133)),NOT(ISNUMBER('Price History'!M132)),'Price History'!M132=0),"",'Price History'!M133/'Price History'!M132-1),"")</f>
        <v>0.0707338272422498</v>
      </c>
      <c r="N132" s="154" t="n">
        <f aca="false">IFERROR(IF(OR(NOT(ISNUMBER('Price History'!N133)),NOT(ISNUMBER('Price History'!N132)),'Price History'!N132=0),"",'Price History'!N133/'Price History'!N132-1),"")</f>
        <v>0.0276993146335589</v>
      </c>
      <c r="O132" s="154" t="n">
        <f aca="false">IFERROR(IF(OR(NOT(ISNUMBER('Price History'!O133)),NOT(ISNUMBER('Price History'!O132)),'Price History'!O132=0),"",'Price History'!O133/'Price History'!O132-1),"")</f>
        <v>-0.0191414235272255</v>
      </c>
      <c r="P132" s="154" t="n">
        <f aca="false">IFERROR(IF(OR(NOT(ISNUMBER('Price History'!P133)),NOT(ISNUMBER('Price History'!P132)),'Price History'!P132=0),"",'Price History'!P133/'Price History'!P132-1),"")</f>
        <v>-0.0121598925092375</v>
      </c>
      <c r="Q132" s="154" t="n">
        <f aca="false">IFERROR(IF(OR(NOT(ISNUMBER('Price History'!Q133)),NOT(ISNUMBER('Price History'!Q132)),'Price History'!Q132=0),"",'Price History'!Q133/'Price History'!Q132-1),"")</f>
        <v>-0.0134085022093554</v>
      </c>
      <c r="R132" s="154" t="n">
        <f aca="false">IFERROR(IF(OR(NOT(ISNUMBER('Price History'!R133)),NOT(ISNUMBER('Price History'!R132)),'Price History'!R132=0),"",'Price History'!R133/'Price History'!R132-1),"")</f>
        <v>-0.00510783200908049</v>
      </c>
      <c r="S132" s="154" t="n">
        <f aca="false">IFERROR(IF(OR(NOT(ISNUMBER('Price History'!S133)),NOT(ISNUMBER('Price History'!S132)),'Price History'!S132=0),"",'Price History'!S133/'Price History'!S132-1),"")</f>
        <v>-0.0173572704841317</v>
      </c>
      <c r="T132" s="154" t="n">
        <f aca="false">IFERROR(IF(OR(NOT(ISNUMBER('Price History'!T133)),NOT(ISNUMBER('Price History'!T132)),'Price History'!T132=0),"",'Price History'!T133/'Price History'!T132-1),"")</f>
        <v>-0.0215809284818067</v>
      </c>
      <c r="U132" s="154" t="n">
        <f aca="false">IFERROR(IF(OR(NOT(ISNUMBER('Price History'!U133)),NOT(ISNUMBER('Price History'!U132)),'Price History'!U132=0),"",'Price History'!U133/'Price History'!U132-1),"")</f>
        <v>-0.010533245556287</v>
      </c>
      <c r="V132" s="155" t="n">
        <f aca="false">IFERROR(IF(OR(NOT(ISNUMBER('Price History'!V133)),NOT(ISNUMBER('Price History'!V132)),'Price History'!V132=0),"",'Price History'!V133/'Price History'!V132-1),"")</f>
        <v>-0.0322029609009237</v>
      </c>
      <c r="W132" s="156" t="n">
        <f aca="false">IFERROR('Price History'!B3+(INDEX('Price History'!B:B,MATCH(9.99E+307,'Returns (Calc)'!$A:$A)+1)-'Price History'!B3)*(ROW()-3)/(MATCH(9.99E+307,'Returns (Calc)'!$A:$A)-3),"")</f>
        <v>291.138101265823</v>
      </c>
      <c r="X132" s="156" t="n">
        <f aca="false">IFERROR('Price History'!C3+(INDEX('Price History'!C:C,MATCH(9.99E+307,'Returns (Calc)'!$A:$A)+1)-'Price History'!C3)*(ROW()-3)/(MATCH(9.99E+307,'Returns (Calc)'!$A:$A)-3),"")</f>
        <v>177.768164556962</v>
      </c>
      <c r="Y132" s="156" t="n">
        <f aca="false">IFERROR('Price History'!D3+(INDEX('Price History'!D:D,MATCH(9.99E+307,'Returns (Calc)'!$A:$A)+1)-'Price History'!D3)*(ROW()-3)/(MATCH(9.99E+307,'Returns (Calc)'!$A:$A)-3),"")</f>
        <v>1631.40050632911</v>
      </c>
      <c r="Z132" s="156" t="n">
        <f aca="false">IFERROR('Price History'!E3+(INDEX('Price History'!E:E,MATCH(9.99E+307,'Returns (Calc)'!$A:$A)+1)-'Price History'!E3)*(ROW()-3)/(MATCH(9.99E+307,'Returns (Calc)'!$A:$A)-3),"")</f>
        <v>305.00670886076</v>
      </c>
      <c r="AA132" s="156" t="n">
        <f aca="false">IFERROR('Price History'!F3+(INDEX('Price History'!F:F,MATCH(9.99E+307,'Returns (Calc)'!$A:$A)+1)-'Price History'!F3)*(ROW()-3)/(MATCH(9.99E+307,'Returns (Calc)'!$A:$A)-3),"")</f>
        <v>228.067088607595</v>
      </c>
      <c r="AB132" s="156" t="n">
        <f aca="false">IFERROR('Price History'!G3+(INDEX('Price History'!G:G,MATCH(9.99E+307,'Returns (Calc)'!$A:$A)+1)-'Price History'!G3)*(ROW()-3)/(MATCH(9.99E+307,'Returns (Calc)'!$A:$A)-3),"")</f>
        <v>177.05670886076</v>
      </c>
      <c r="AC132" s="156" t="n">
        <f aca="false">IFERROR('Price History'!H3+(INDEX('Price History'!H:H,MATCH(9.99E+307,'Returns (Calc)'!$A:$A)+1)-'Price History'!H3)*(ROW()-3)/(MATCH(9.99E+307,'Returns (Calc)'!$A:$A)-3),"")</f>
        <v>890.284810126582</v>
      </c>
      <c r="AD132" s="156" t="n">
        <f aca="false">IFERROR('Price History'!I3+(INDEX('Price History'!I:I,MATCH(9.99E+307,'Returns (Calc)'!$A:$A)+1)-'Price History'!I3)*(ROW()-3)/(MATCH(9.99E+307,'Returns (Calc)'!$A:$A)-3),"")</f>
        <v>199.043544303797</v>
      </c>
      <c r="AE132" s="156" t="n">
        <f aca="false">IFERROR('Price History'!J3+(INDEX('Price History'!J:J,MATCH(9.99E+307,'Returns (Calc)'!$A:$A)+1)-'Price History'!J3)*(ROW()-3)/(MATCH(9.99E+307,'Returns (Calc)'!$A:$A)-3),"")</f>
        <v>125.776898734177</v>
      </c>
      <c r="AF132" s="156" t="n">
        <f aca="false">IFERROR('Price History'!K3+(INDEX('Price History'!K:K,MATCH(9.99E+307,'Returns (Calc)'!$A:$A)+1)-'Price History'!K3)*(ROW()-3)/(MATCH(9.99E+307,'Returns (Calc)'!$A:$A)-3),"")</f>
        <v>156.919746835443</v>
      </c>
      <c r="AG132" s="156" t="n">
        <f aca="false">IFERROR('Price History'!L3+(INDEX('Price History'!L:L,MATCH(9.99E+307,'Returns (Calc)'!$A:$A)+1)-'Price History'!L3)*(ROW()-3)/(MATCH(9.99E+307,'Returns (Calc)'!$A:$A)-3),"")</f>
        <v>401.742848101266</v>
      </c>
      <c r="AH132" s="156" t="n">
        <f aca="false">IFERROR('Price History'!M3+(INDEX('Price History'!M:M,MATCH(9.99E+307,'Returns (Calc)'!$A:$A)+1)-'Price History'!M3)*(ROW()-3)/(MATCH(9.99E+307,'Returns (Calc)'!$A:$A)-3),"")</f>
        <v>212.872151898734</v>
      </c>
      <c r="AI132" s="156" t="n">
        <f aca="false">IFERROR('Price History'!N3+(INDEX('Price History'!N:N,MATCH(9.99E+307,'Returns (Calc)'!$A:$A)+1)-'Price History'!N3)*(ROW()-3)/(MATCH(9.99E+307,'Returns (Calc)'!$A:$A)-3),"")</f>
        <v>476.128291139241</v>
      </c>
      <c r="AJ132" s="156" t="n">
        <f aca="false">IFERROR('Price History'!O3+(INDEX('Price History'!O:O,MATCH(9.99E+307,'Returns (Calc)'!$A:$A)+1)-'Price History'!O3)*(ROW()-3)/(MATCH(9.99E+307,'Returns (Calc)'!$A:$A)-3),"")</f>
        <v>111.821898734177</v>
      </c>
      <c r="AK132" s="156" t="n">
        <f aca="false">IFERROR('Price History'!Q3+(INDEX('Price History'!Q:Q,MATCH(9.99E+307,'Returns (Calc)'!$A:$A)+1)-'Price History'!Q3)*(ROW()-3)/(MATCH(9.99E+307,'Returns (Calc)'!$A:$A)-3),"")</f>
        <v>56.6783544303798</v>
      </c>
      <c r="AL132" s="156" t="n">
        <f aca="false">IFERROR('Price History'!R3+(INDEX('Price History'!R:R,MATCH(9.99E+307,'Returns (Calc)'!$A:$A)+1)-'Price History'!R3)*(ROW()-3)/(MATCH(9.99E+307,'Returns (Calc)'!$A:$A)-3),"")</f>
        <v>56.1650632911392</v>
      </c>
      <c r="AM132" s="156" t="n">
        <f aca="false">IFERROR('Price History'!S3+(INDEX('Price History'!S:S,MATCH(9.99E+307,'Returns (Calc)'!$A:$A)+1)-'Price History'!S3)*(ROW()-3)/(MATCH(9.99E+307,'Returns (Calc)'!$A:$A)-3),"")</f>
        <v>135.683164556962</v>
      </c>
      <c r="AN132" s="156" t="n">
        <f aca="false">IFERROR('Price History'!T3+(INDEX('Price History'!T:T,MATCH(9.99E+307,'Returns (Calc)'!$A:$A)+1)-'Price History'!T3)*(ROW()-3)/(MATCH(9.99E+307,'Returns (Calc)'!$A:$A)-3),"")</f>
        <v>46.9413924050633</v>
      </c>
      <c r="AO132" s="157" t="n">
        <f aca="false">IFERROR('Price History'!V3+(INDEX('Price History'!V:V,MATCH(9.99E+307,'Returns (Calc)'!$A:$A)+1)-'Price History'!V3)*(ROW()-3)/(MATCH(9.99E+307,'Returns (Calc)'!$A:$A)-3),"")</f>
        <v>337.711455696203</v>
      </c>
      <c r="AP132" s="155" t="n">
        <f aca="false">IFERROR(IF(OR(NOT(ISNUMBER('Price History'!W133)),NOT(ISNUMBER('Price History'!W132)),'Price History'!W132=0),"",'Price History'!W133/'Price History'!W132-1),"")</f>
        <v>-0.0153264465599893</v>
      </c>
      <c r="AQ132" s="155" t="n">
        <f aca="false">IFERROR(IF(OR(NOT(ISNUMBER('Price History'!X133)),NOT(ISNUMBER('Price History'!X132)),'Price History'!X132=0),"",'Price History'!X133/'Price History'!X132-1),"")</f>
        <v>-0.00426439232409392</v>
      </c>
      <c r="AR132" s="155" t="n">
        <f aca="false">IFERROR(IF(OR(NOT(ISNUMBER('Price History'!Y133)),NOT(ISNUMBER('Price History'!Y132)),'Price History'!Y132=0),"",'Price History'!Y133/'Price History'!Y132-1),"")</f>
        <v>-0.0171604046242775</v>
      </c>
      <c r="AS132" s="155" t="n">
        <f aca="false">IFERROR(IF(OR(NOT(ISNUMBER('Price History'!Z133)),NOT(ISNUMBER('Price History'!Z132)),'Price History'!Z132=0),"",'Price History'!Z133/'Price History'!Z132-1),"")</f>
        <v>-0.0711271102284012</v>
      </c>
      <c r="AT132" s="155" t="n">
        <f aca="false">IFERROR(IF(OR(NOT(ISNUMBER('Price History'!AA133)),NOT(ISNUMBER('Price History'!AA132)),'Price History'!AA132=0),"",'Price History'!AA133/'Price History'!AA132-1),"")</f>
        <v>-0.0374671783478084</v>
      </c>
      <c r="AU132" s="155" t="n">
        <f aca="false">IFERROR(IF(OR(NOT(ISNUMBER('Price History'!AB133)),NOT(ISNUMBER('Price History'!AB132)),'Price History'!AB132=0),"",'Price History'!AB133/'Price History'!AB132-1),"")</f>
        <v>-0.0849659829147271</v>
      </c>
    </row>
    <row r="133" customFormat="false" ht="15" hidden="false" customHeight="true" outlineLevel="0" collapsed="false">
      <c r="A133" s="153" t="n">
        <f aca="false">IF('Price History'!A134="","",'Price History'!A134)</f>
        <v>46101</v>
      </c>
      <c r="B133" s="154" t="n">
        <f aca="false">IFERROR(IF(OR(NOT(ISNUMBER('Price History'!B134)),NOT(ISNUMBER('Price History'!B133)),'Price History'!B133=0),"",'Price History'!B134/'Price History'!B133-1),"")</f>
        <v>-0.0046927643189475</v>
      </c>
      <c r="C133" s="154" t="n">
        <f aca="false">IFERROR(IF(OR(NOT(ISNUMBER('Price History'!C134)),NOT(ISNUMBER('Price History'!C133)),'Price History'!C133=0),"",'Price History'!C134/'Price History'!C133-1),"")</f>
        <v>-0.0175937710563749</v>
      </c>
      <c r="D133" s="154" t="n">
        <f aca="false">IFERROR(IF(OR(NOT(ISNUMBER('Price History'!D134)),NOT(ISNUMBER('Price History'!D133)),'Price History'!D133=0),"",'Price History'!D134/'Price History'!D133-1),"")</f>
        <v>-0.0211331672905698</v>
      </c>
      <c r="E133" s="154" t="n">
        <f aca="false">IFERROR(IF(OR(NOT(ISNUMBER('Price History'!E134)),NOT(ISNUMBER('Price History'!E133)),'Price History'!E133=0),"",'Price History'!E134/'Price History'!E133-1),"")</f>
        <v>-0.0361434501701051</v>
      </c>
      <c r="F133" s="154" t="n">
        <f aca="false">IFERROR(IF(OR(NOT(ISNUMBER('Price History'!F134)),NOT(ISNUMBER('Price History'!F133)),'Price History'!F133=0),"",'Price History'!F134/'Price History'!F133-1),"")</f>
        <v>-0.074157913799348</v>
      </c>
      <c r="G133" s="154" t="n">
        <f aca="false">IFERROR(IF(OR(NOT(ISNUMBER('Price History'!G134)),NOT(ISNUMBER('Price History'!G133)),'Price History'!G133=0),"",'Price History'!G134/'Price History'!G133-1),"")</f>
        <v>0.0564584511023176</v>
      </c>
      <c r="H133" s="154" t="n">
        <f aca="false">IFERROR(IF(OR(NOT(ISNUMBER('Price History'!H134)),NOT(ISNUMBER('Price History'!H133)),'Price History'!H133=0),"",'Price History'!H134/'Price History'!H133-1),"")</f>
        <v>-0.00758411796473257</v>
      </c>
      <c r="I133" s="154" t="n">
        <f aca="false">IFERROR(IF(OR(NOT(ISNUMBER('Price History'!I134)),NOT(ISNUMBER('Price History'!I133)),'Price History'!I133=0),"",'Price History'!I134/'Price History'!I133-1),"")</f>
        <v>-0.0418705516014235</v>
      </c>
      <c r="J133" s="154" t="n">
        <f aca="false">IFERROR(IF(OR(NOT(ISNUMBER('Price History'!J134)),NOT(ISNUMBER('Price History'!J133)),'Price History'!J133=0),"",'Price History'!J134/'Price History'!J133-1),"")</f>
        <v>-0.0205080400838964</v>
      </c>
      <c r="K133" s="154" t="n">
        <f aca="false">IFERROR(IF(OR(NOT(ISNUMBER('Price History'!K134)),NOT(ISNUMBER('Price History'!K133)),'Price History'!K133=0),"",'Price History'!K134/'Price History'!K133-1),"")</f>
        <v>-0.00178867174561104</v>
      </c>
      <c r="L133" s="154" t="n">
        <f aca="false">IFERROR(IF(OR(NOT(ISNUMBER('Price History'!L134)),NOT(ISNUMBER('Price History'!L133)),'Price History'!L133=0),"",'Price History'!L134/'Price History'!L133-1),"")</f>
        <v>-0.0240712604641464</v>
      </c>
      <c r="M133" s="154" t="n">
        <f aca="false">IFERROR(IF(OR(NOT(ISNUMBER('Price History'!M134)),NOT(ISNUMBER('Price History'!M133)),'Price History'!M133=0),"",'Price History'!M134/'Price History'!M133-1),"")</f>
        <v>-0.0113645148821028</v>
      </c>
      <c r="N133" s="154" t="n">
        <f aca="false">IFERROR(IF(OR(NOT(ISNUMBER('Price History'!N134)),NOT(ISNUMBER('Price History'!N133)),'Price History'!N133=0),"",'Price History'!N134/'Price History'!N133-1),"")</f>
        <v>-0.032684194826778</v>
      </c>
      <c r="O133" s="154" t="n">
        <f aca="false">IFERROR(IF(OR(NOT(ISNUMBER('Price History'!O134)),NOT(ISNUMBER('Price History'!O133)),'Price History'!O133=0),"",'Price History'!O134/'Price History'!O133-1),"")</f>
        <v>-0.00198938992042452</v>
      </c>
      <c r="P133" s="154" t="n">
        <f aca="false">IFERROR(IF(OR(NOT(ISNUMBER('Price History'!P134)),NOT(ISNUMBER('Price History'!P133)),'Price History'!P133=0),"",'Price History'!P134/'Price History'!P133-1),"")</f>
        <v>-0.0233949945593036</v>
      </c>
      <c r="Q133" s="154" t="n">
        <f aca="false">IFERROR(IF(OR(NOT(ISNUMBER('Price History'!Q134)),NOT(ISNUMBER('Price History'!Q133)),'Price History'!Q133=0),"",'Price History'!Q134/'Price History'!Q133-1),"")</f>
        <v>-0.0111196911196911</v>
      </c>
      <c r="R133" s="154" t="n">
        <f aca="false">IFERROR(IF(OR(NOT(ISNUMBER('Price History'!R134)),NOT(ISNUMBER('Price History'!R133)),'Price History'!R133=0),"",'Price History'!R134/'Price History'!R133-1),"")</f>
        <v>-0.0140711161817837</v>
      </c>
      <c r="S133" s="154" t="n">
        <f aca="false">IFERROR(IF(OR(NOT(ISNUMBER('Price History'!S134)),NOT(ISNUMBER('Price History'!S133)),'Price History'!S133=0),"",'Price History'!S134/'Price History'!S133-1),"")</f>
        <v>-0.0206944324183912</v>
      </c>
      <c r="T133" s="154" t="n">
        <f aca="false">IFERROR(IF(OR(NOT(ISNUMBER('Price History'!T134)),NOT(ISNUMBER('Price History'!T133)),'Price History'!T133=0),"",'Price History'!T134/'Price History'!T133-1),"")</f>
        <v>0.00102590407796876</v>
      </c>
      <c r="U133" s="154" t="n">
        <f aca="false">IFERROR(IF(OR(NOT(ISNUMBER('Price History'!U134)),NOT(ISNUMBER('Price History'!U133)),'Price History'!U133=0),"",'Price History'!U134/'Price History'!U133-1),"")</f>
        <v>-0.0133067198935461</v>
      </c>
      <c r="V133" s="155" t="n">
        <f aca="false">IFERROR(IF(OR(NOT(ISNUMBER('Price History'!V134)),NOT(ISNUMBER('Price History'!V133)),'Price History'!V133=0),"",'Price History'!V134/'Price History'!V133-1),"")</f>
        <v>-0.0179773811858535</v>
      </c>
      <c r="W133" s="156" t="n">
        <f aca="false">IFERROR('Price History'!B3+(INDEX('Price History'!B:B,MATCH(9.99E+307,'Returns (Calc)'!$A:$A)+1)-'Price History'!B3)*(ROW()-3)/(MATCH(9.99E+307,'Returns (Calc)'!$A:$A)-3),"")</f>
        <v>289.295063291139</v>
      </c>
      <c r="X133" s="156" t="n">
        <f aca="false">IFERROR('Price History'!C3+(INDEX('Price History'!C:C,MATCH(9.99E+307,'Returns (Calc)'!$A:$A)+1)-'Price History'!C3)*(ROW()-3)/(MATCH(9.99E+307,'Returns (Calc)'!$A:$A)-3),"")</f>
        <v>178.788227848101</v>
      </c>
      <c r="Y133" s="156" t="n">
        <f aca="false">IFERROR('Price History'!D3+(INDEX('Price History'!D:D,MATCH(9.99E+307,'Returns (Calc)'!$A:$A)+1)-'Price History'!D3)*(ROW()-3)/(MATCH(9.99E+307,'Returns (Calc)'!$A:$A)-3),"")</f>
        <v>1639.5353164557</v>
      </c>
      <c r="Z133" s="156" t="n">
        <f aca="false">IFERROR('Price History'!E3+(INDEX('Price History'!E:E,MATCH(9.99E+307,'Returns (Calc)'!$A:$A)+1)-'Price History'!E3)*(ROW()-3)/(MATCH(9.99E+307,'Returns (Calc)'!$A:$A)-3),"")</f>
        <v>306.735443037975</v>
      </c>
      <c r="AA133" s="156" t="n">
        <f aca="false">IFERROR('Price History'!F3+(INDEX('Price History'!F:F,MATCH(9.99E+307,'Returns (Calc)'!$A:$A)+1)-'Price History'!F3)*(ROW()-3)/(MATCH(9.99E+307,'Returns (Calc)'!$A:$A)-3),"")</f>
        <v>229.514430379747</v>
      </c>
      <c r="AB133" s="156" t="n">
        <f aca="false">IFERROR('Price History'!G3+(INDEX('Price History'!G:G,MATCH(9.99E+307,'Returns (Calc)'!$A:$A)+1)-'Price History'!G3)*(ROW()-3)/(MATCH(9.99E+307,'Returns (Calc)'!$A:$A)-3),"")</f>
        <v>178.085443037975</v>
      </c>
      <c r="AC133" s="156" t="n">
        <f aca="false">IFERROR('Price History'!H3+(INDEX('Price History'!H:H,MATCH(9.99E+307,'Returns (Calc)'!$A:$A)+1)-'Price History'!H3)*(ROW()-3)/(MATCH(9.99E+307,'Returns (Calc)'!$A:$A)-3),"")</f>
        <v>896.650506329114</v>
      </c>
      <c r="AD133" s="156" t="n">
        <f aca="false">IFERROR('Price History'!I3+(INDEX('Price History'!I:I,MATCH(9.99E+307,'Returns (Calc)'!$A:$A)+1)-'Price History'!I3)*(ROW()-3)/(MATCH(9.99E+307,'Returns (Calc)'!$A:$A)-3),"")</f>
        <v>200.247215189873</v>
      </c>
      <c r="AE133" s="156" t="n">
        <f aca="false">IFERROR('Price History'!J3+(INDEX('Price History'!J:J,MATCH(9.99E+307,'Returns (Calc)'!$A:$A)+1)-'Price History'!J3)*(ROW()-3)/(MATCH(9.99E+307,'Returns (Calc)'!$A:$A)-3),"")</f>
        <v>125.884936708861</v>
      </c>
      <c r="AF133" s="156" t="n">
        <f aca="false">IFERROR('Price History'!K3+(INDEX('Price History'!K:K,MATCH(9.99E+307,'Returns (Calc)'!$A:$A)+1)-'Price History'!K3)*(ROW()-3)/(MATCH(9.99E+307,'Returns (Calc)'!$A:$A)-3),"")</f>
        <v>158.017341772152</v>
      </c>
      <c r="AG133" s="156" t="n">
        <f aca="false">IFERROR('Price History'!L3+(INDEX('Price History'!L:L,MATCH(9.99E+307,'Returns (Calc)'!$A:$A)+1)-'Price History'!L3)*(ROW()-3)/(MATCH(9.99E+307,'Returns (Calc)'!$A:$A)-3),"")</f>
        <v>404.192405063291</v>
      </c>
      <c r="AH133" s="156" t="n">
        <f aca="false">IFERROR('Price History'!M3+(INDEX('Price History'!M:M,MATCH(9.99E+307,'Returns (Calc)'!$A:$A)+1)-'Price History'!M3)*(ROW()-3)/(MATCH(9.99E+307,'Returns (Calc)'!$A:$A)-3),"")</f>
        <v>214.227594936709</v>
      </c>
      <c r="AI133" s="156" t="n">
        <f aca="false">IFERROR('Price History'!N3+(INDEX('Price History'!N:N,MATCH(9.99E+307,'Returns (Calc)'!$A:$A)+1)-'Price History'!N3)*(ROW()-3)/(MATCH(9.99E+307,'Returns (Calc)'!$A:$A)-3),"")</f>
        <v>477.114556962025</v>
      </c>
      <c r="AJ133" s="156" t="n">
        <f aca="false">IFERROR('Price History'!O3+(INDEX('Price History'!O:O,MATCH(9.99E+307,'Returns (Calc)'!$A:$A)+1)-'Price History'!O3)*(ROW()-3)/(MATCH(9.99E+307,'Returns (Calc)'!$A:$A)-3),"")</f>
        <v>112.104936708861</v>
      </c>
      <c r="AK133" s="156" t="n">
        <f aca="false">IFERROR('Price History'!Q3+(INDEX('Price History'!Q:Q,MATCH(9.99E+307,'Returns (Calc)'!$A:$A)+1)-'Price History'!Q3)*(ROW()-3)/(MATCH(9.99E+307,'Returns (Calc)'!$A:$A)-3),"")</f>
        <v>57.1177215189873</v>
      </c>
      <c r="AL133" s="156" t="n">
        <f aca="false">IFERROR('Price History'!R3+(INDEX('Price History'!R:R,MATCH(9.99E+307,'Returns (Calc)'!$A:$A)+1)-'Price History'!R3)*(ROW()-3)/(MATCH(9.99E+307,'Returns (Calc)'!$A:$A)-3),"")</f>
        <v>56.333164556962</v>
      </c>
      <c r="AM133" s="156" t="n">
        <f aca="false">IFERROR('Price History'!S3+(INDEX('Price History'!S:S,MATCH(9.99E+307,'Returns (Calc)'!$A:$A)+1)-'Price History'!S3)*(ROW()-3)/(MATCH(9.99E+307,'Returns (Calc)'!$A:$A)-3),"")</f>
        <v>136.288227848101</v>
      </c>
      <c r="AN133" s="156" t="n">
        <f aca="false">IFERROR('Price History'!T3+(INDEX('Price History'!T:T,MATCH(9.99E+307,'Returns (Calc)'!$A:$A)+1)-'Price History'!T3)*(ROW()-3)/(MATCH(9.99E+307,'Returns (Calc)'!$A:$A)-3),"")</f>
        <v>47.1096202531646</v>
      </c>
      <c r="AO133" s="157" t="n">
        <f aca="false">IFERROR('Price History'!V3+(INDEX('Price History'!V:V,MATCH(9.99E+307,'Returns (Calc)'!$A:$A)+1)-'Price History'!V3)*(ROW()-3)/(MATCH(9.99E+307,'Returns (Calc)'!$A:$A)-3),"")</f>
        <v>338.502784810127</v>
      </c>
      <c r="AP133" s="155" t="n">
        <f aca="false">IFERROR(IF(OR(NOT(ISNUMBER('Price History'!W134)),NOT(ISNUMBER('Price History'!W133)),'Price History'!W133=0),"",'Price History'!W134/'Price History'!W133-1),"")</f>
        <v>-0.0161821173889195</v>
      </c>
      <c r="AQ133" s="155" t="n">
        <f aca="false">IFERROR(IF(OR(NOT(ISNUMBER('Price History'!X134)),NOT(ISNUMBER('Price History'!X133)),'Price History'!X133=0),"",'Price History'!X134/'Price History'!X133-1),"")</f>
        <v>0.0103173058205179</v>
      </c>
      <c r="AR133" s="155" t="n">
        <f aca="false">IFERROR(IF(OR(NOT(ISNUMBER('Price History'!Y134)),NOT(ISNUMBER('Price History'!Y133)),'Price History'!Y133=0),"",'Price History'!Y134/'Price History'!Y133-1),"")</f>
        <v>-0.0174600257305642</v>
      </c>
      <c r="AS133" s="155" t="n">
        <f aca="false">IFERROR(IF(OR(NOT(ISNUMBER('Price History'!Z134)),NOT(ISNUMBER('Price History'!Z133)),'Price History'!Z133=0),"",'Price History'!Z134/'Price History'!Z133-1),"")</f>
        <v>-0.0430642790324736</v>
      </c>
      <c r="AT133" s="155" t="n">
        <f aca="false">IFERROR(IF(OR(NOT(ISNUMBER('Price History'!AA134)),NOT(ISNUMBER('Price History'!AA133)),'Price History'!AA133=0),"",'Price History'!AA134/'Price History'!AA133-1),"")</f>
        <v>-0.0366173538978073</v>
      </c>
      <c r="AU133" s="155" t="n">
        <f aca="false">IFERROR(IF(OR(NOT(ISNUMBER('Price History'!AB134)),NOT(ISNUMBER('Price History'!AB133)),'Price History'!AB133=0),"",'Price History'!AB134/'Price History'!AB133-1),"")</f>
        <v>0.0290138640429338</v>
      </c>
    </row>
    <row r="134" customFormat="false" ht="15" hidden="false" customHeight="true" outlineLevel="0" collapsed="false">
      <c r="A134" s="153" t="n">
        <f aca="false">IF('Price History'!A135="","",'Price History'!A135)</f>
        <v>46108</v>
      </c>
      <c r="B134" s="154" t="n">
        <f aca="false">IFERROR(IF(OR(NOT(ISNUMBER('Price History'!B135)),NOT(ISNUMBER('Price History'!B134)),'Price History'!B134=0),"",'Price History'!B135/'Price History'!B134-1),"")</f>
        <v>-0.0536369131573645</v>
      </c>
      <c r="C134" s="154" t="n">
        <f aca="false">IFERROR(IF(OR(NOT(ISNUMBER('Price History'!C135)),NOT(ISNUMBER('Price History'!C134)),'Price History'!C134=0),"",'Price History'!C135/'Price History'!C134-1),"")</f>
        <v>-0.0796372504191435</v>
      </c>
      <c r="D134" s="154" t="n">
        <f aca="false">IFERROR(IF(OR(NOT(ISNUMBER('Price History'!D135)),NOT(ISNUMBER('Price History'!D134)),'Price History'!D134=0),"",'Price History'!D135/'Price History'!D134-1),"")</f>
        <v>-0.0112213182192157</v>
      </c>
      <c r="E134" s="154" t="n">
        <f aca="false">IFERROR(IF(OR(NOT(ISNUMBER('Price History'!E135)),NOT(ISNUMBER('Price History'!E134)),'Price History'!E134=0),"",'Price History'!E135/'Price History'!E134-1),"")</f>
        <v>-0.0296298694990447</v>
      </c>
      <c r="F134" s="154" t="n">
        <f aca="false">IFERROR(IF(OR(NOT(ISNUMBER('Price History'!F135)),NOT(ISNUMBER('Price History'!F134)),'Price History'!F134=0),"",'Price History'!F135/'Price History'!F134-1),"")</f>
        <v>-0.0964303178484107</v>
      </c>
      <c r="G134" s="154" t="n">
        <f aca="false">IFERROR(IF(OR(NOT(ISNUMBER('Price History'!G135)),NOT(ISNUMBER('Price History'!G134)),'Price History'!G134=0),"",'Price History'!G135/'Price History'!G134-1),"")</f>
        <v>-0.0370543776336031</v>
      </c>
      <c r="H134" s="154" t="n">
        <f aca="false">IFERROR(IF(OR(NOT(ISNUMBER('Price History'!H135)),NOT(ISNUMBER('Price History'!H134)),'Price History'!H134=0),"",'Price History'!H135/'Price History'!H134-1),"")</f>
        <v>-0.155302134103062</v>
      </c>
      <c r="I134" s="154" t="n">
        <f aca="false">IFERROR(IF(OR(NOT(ISNUMBER('Price History'!I135)),NOT(ISNUMBER('Price History'!I134)),'Price History'!I134=0),"",'Price History'!I135/'Price History'!I134-1),"")</f>
        <v>-0.0300040624455923</v>
      </c>
      <c r="J134" s="154" t="n">
        <f aca="false">IFERROR(IF(OR(NOT(ISNUMBER('Price History'!J135)),NOT(ISNUMBER('Price History'!J134)),'Price History'!J134=0),"",'Price History'!J135/'Price History'!J134-1),"")</f>
        <v>0.00689983345229583</v>
      </c>
      <c r="K134" s="154" t="n">
        <f aca="false">IFERROR(IF(OR(NOT(ISNUMBER('Price History'!K135)),NOT(ISNUMBER('Price History'!K134)),'Price History'!K134=0),"",'Price History'!K135/'Price History'!K134-1),"")</f>
        <v>-0.0505707459516858</v>
      </c>
      <c r="L134" s="154" t="n">
        <f aca="false">IFERROR(IF(OR(NOT(ISNUMBER('Price History'!L135)),NOT(ISNUMBER('Price History'!L134)),'Price History'!L134=0),"",'Price History'!L135/'Price History'!L134-1),"")</f>
        <v>-0.00760096462040949</v>
      </c>
      <c r="M134" s="154" t="n">
        <f aca="false">IFERROR(IF(OR(NOT(ISNUMBER('Price History'!M135)),NOT(ISNUMBER('Price History'!M134)),'Price History'!M134=0),"",'Price History'!M135/'Price History'!M134-1),"")</f>
        <v>-0.0187675946199561</v>
      </c>
      <c r="N134" s="154" t="n">
        <f aca="false">IFERROR(IF(OR(NOT(ISNUMBER('Price History'!N135)),NOT(ISNUMBER('Price History'!N134)),'Price History'!N134=0),"",'Price History'!N135/'Price History'!N134-1),"")</f>
        <v>-0.0461013215859031</v>
      </c>
      <c r="O134" s="154" t="n">
        <f aca="false">IFERROR(IF(OR(NOT(ISNUMBER('Price History'!O135)),NOT(ISNUMBER('Price History'!O134)),'Price History'!O134=0),"",'Price History'!O135/'Price History'!O134-1),"")</f>
        <v>0.0296155671570955</v>
      </c>
      <c r="P134" s="154" t="n">
        <f aca="false">IFERROR(IF(OR(NOT(ISNUMBER('Price History'!P135)),NOT(ISNUMBER('Price History'!P134)),'Price History'!P134=0),"",'Price History'!P135/'Price History'!P134-1),"")</f>
        <v>0.0244428969359334</v>
      </c>
      <c r="Q134" s="154" t="n">
        <f aca="false">IFERROR(IF(OR(NOT(ISNUMBER('Price History'!Q135)),NOT(ISNUMBER('Price History'!Q134)),'Price History'!Q134=0),"",'Price History'!Q135/'Price History'!Q134-1),"")</f>
        <v>-0.0128064969545526</v>
      </c>
      <c r="R134" s="154" t="n">
        <f aca="false">IFERROR(IF(OR(NOT(ISNUMBER('Price History'!R135)),NOT(ISNUMBER('Price History'!R134)),'Price History'!R134=0),"",'Price History'!R135/'Price History'!R134-1),"")</f>
        <v>-0.0293153326904533</v>
      </c>
      <c r="S134" s="154" t="n">
        <f aca="false">IFERROR(IF(OR(NOT(ISNUMBER('Price History'!S135)),NOT(ISNUMBER('Price History'!S134)),'Price History'!S134=0),"",'Price History'!S135/'Price History'!S134-1),"")</f>
        <v>-0.0277630415561451</v>
      </c>
      <c r="T134" s="154" t="n">
        <f aca="false">IFERROR(IF(OR(NOT(ISNUMBER('Price History'!T135)),NOT(ISNUMBER('Price History'!T134)),'Price History'!T134=0),"",'Price History'!T135/'Price History'!T134-1),"")</f>
        <v>-0.0122982321291315</v>
      </c>
      <c r="U134" s="154" t="n">
        <f aca="false">IFERROR(IF(OR(NOT(ISNUMBER('Price History'!U135)),NOT(ISNUMBER('Price History'!U134)),'Price History'!U134=0),"",'Price History'!U135/'Price History'!U134-1),"")</f>
        <v>0.0101146325016859</v>
      </c>
      <c r="V134" s="155" t="n">
        <f aca="false">IFERROR(IF(OR(NOT(ISNUMBER('Price History'!V135)),NOT(ISNUMBER('Price History'!V134)),'Price History'!V134=0),"",'Price History'!V135/'Price History'!V134-1),"")</f>
        <v>-0.0202369857542271</v>
      </c>
      <c r="W134" s="156" t="n">
        <f aca="false">IFERROR('Price History'!B3+(INDEX('Price History'!B:B,MATCH(9.99E+307,'Returns (Calc)'!$A:$A)+1)-'Price History'!B3)*(ROW()-3)/(MATCH(9.99E+307,'Returns (Calc)'!$A:$A)-3),"")</f>
        <v>287.452025316456</v>
      </c>
      <c r="X134" s="156" t="n">
        <f aca="false">IFERROR('Price History'!C3+(INDEX('Price History'!C:C,MATCH(9.99E+307,'Returns (Calc)'!$A:$A)+1)-'Price History'!C3)*(ROW()-3)/(MATCH(9.99E+307,'Returns (Calc)'!$A:$A)-3),"")</f>
        <v>179.80829113924</v>
      </c>
      <c r="Y134" s="156" t="n">
        <f aca="false">IFERROR('Price History'!D3+(INDEX('Price History'!D:D,MATCH(9.99E+307,'Returns (Calc)'!$A:$A)+1)-'Price History'!D3)*(ROW()-3)/(MATCH(9.99E+307,'Returns (Calc)'!$A:$A)-3),"")</f>
        <v>1647.67012658228</v>
      </c>
      <c r="Z134" s="156" t="n">
        <f aca="false">IFERROR('Price History'!E3+(INDEX('Price History'!E:E,MATCH(9.99E+307,'Returns (Calc)'!$A:$A)+1)-'Price History'!E3)*(ROW()-3)/(MATCH(9.99E+307,'Returns (Calc)'!$A:$A)-3),"")</f>
        <v>308.46417721519</v>
      </c>
      <c r="AA134" s="156" t="n">
        <f aca="false">IFERROR('Price History'!F3+(INDEX('Price History'!F:F,MATCH(9.99E+307,'Returns (Calc)'!$A:$A)+1)-'Price History'!F3)*(ROW()-3)/(MATCH(9.99E+307,'Returns (Calc)'!$A:$A)-3),"")</f>
        <v>230.961772151899</v>
      </c>
      <c r="AB134" s="156" t="n">
        <f aca="false">IFERROR('Price History'!G3+(INDEX('Price History'!G:G,MATCH(9.99E+307,'Returns (Calc)'!$A:$A)+1)-'Price History'!G3)*(ROW()-3)/(MATCH(9.99E+307,'Returns (Calc)'!$A:$A)-3),"")</f>
        <v>179.11417721519</v>
      </c>
      <c r="AC134" s="156" t="n">
        <f aca="false">IFERROR('Price History'!H3+(INDEX('Price History'!H:H,MATCH(9.99E+307,'Returns (Calc)'!$A:$A)+1)-'Price History'!H3)*(ROW()-3)/(MATCH(9.99E+307,'Returns (Calc)'!$A:$A)-3),"")</f>
        <v>903.016202531646</v>
      </c>
      <c r="AD134" s="156" t="n">
        <f aca="false">IFERROR('Price History'!I3+(INDEX('Price History'!I:I,MATCH(9.99E+307,'Returns (Calc)'!$A:$A)+1)-'Price History'!I3)*(ROW()-3)/(MATCH(9.99E+307,'Returns (Calc)'!$A:$A)-3),"")</f>
        <v>201.450886075949</v>
      </c>
      <c r="AE134" s="156" t="n">
        <f aca="false">IFERROR('Price History'!J3+(INDEX('Price History'!J:J,MATCH(9.99E+307,'Returns (Calc)'!$A:$A)+1)-'Price History'!J3)*(ROW()-3)/(MATCH(9.99E+307,'Returns (Calc)'!$A:$A)-3),"")</f>
        <v>125.992974683544</v>
      </c>
      <c r="AF134" s="156" t="n">
        <f aca="false">IFERROR('Price History'!K3+(INDEX('Price History'!K:K,MATCH(9.99E+307,'Returns (Calc)'!$A:$A)+1)-'Price History'!K3)*(ROW()-3)/(MATCH(9.99E+307,'Returns (Calc)'!$A:$A)-3),"")</f>
        <v>159.114936708861</v>
      </c>
      <c r="AG134" s="156" t="n">
        <f aca="false">IFERROR('Price History'!L3+(INDEX('Price History'!L:L,MATCH(9.99E+307,'Returns (Calc)'!$A:$A)+1)-'Price History'!L3)*(ROW()-3)/(MATCH(9.99E+307,'Returns (Calc)'!$A:$A)-3),"")</f>
        <v>406.641962025316</v>
      </c>
      <c r="AH134" s="156" t="n">
        <f aca="false">IFERROR('Price History'!M3+(INDEX('Price History'!M:M,MATCH(9.99E+307,'Returns (Calc)'!$A:$A)+1)-'Price History'!M3)*(ROW()-3)/(MATCH(9.99E+307,'Returns (Calc)'!$A:$A)-3),"")</f>
        <v>215.583037974684</v>
      </c>
      <c r="AI134" s="156" t="n">
        <f aca="false">IFERROR('Price History'!N3+(INDEX('Price History'!N:N,MATCH(9.99E+307,'Returns (Calc)'!$A:$A)+1)-'Price History'!N3)*(ROW()-3)/(MATCH(9.99E+307,'Returns (Calc)'!$A:$A)-3),"")</f>
        <v>478.10082278481</v>
      </c>
      <c r="AJ134" s="156" t="n">
        <f aca="false">IFERROR('Price History'!O3+(INDEX('Price History'!O:O,MATCH(9.99E+307,'Returns (Calc)'!$A:$A)+1)-'Price History'!O3)*(ROW()-3)/(MATCH(9.99E+307,'Returns (Calc)'!$A:$A)-3),"")</f>
        <v>112.387974683544</v>
      </c>
      <c r="AK134" s="156" t="n">
        <f aca="false">IFERROR('Price History'!Q3+(INDEX('Price History'!Q:Q,MATCH(9.99E+307,'Returns (Calc)'!$A:$A)+1)-'Price History'!Q3)*(ROW()-3)/(MATCH(9.99E+307,'Returns (Calc)'!$A:$A)-3),"")</f>
        <v>57.5570886075949</v>
      </c>
      <c r="AL134" s="156" t="n">
        <f aca="false">IFERROR('Price History'!R3+(INDEX('Price History'!R:R,MATCH(9.99E+307,'Returns (Calc)'!$A:$A)+1)-'Price History'!R3)*(ROW()-3)/(MATCH(9.99E+307,'Returns (Calc)'!$A:$A)-3),"")</f>
        <v>56.5012658227848</v>
      </c>
      <c r="AM134" s="156" t="n">
        <f aca="false">IFERROR('Price History'!S3+(INDEX('Price History'!S:S,MATCH(9.99E+307,'Returns (Calc)'!$A:$A)+1)-'Price History'!S3)*(ROW()-3)/(MATCH(9.99E+307,'Returns (Calc)'!$A:$A)-3),"")</f>
        <v>136.893291139241</v>
      </c>
      <c r="AN134" s="156" t="n">
        <f aca="false">IFERROR('Price History'!T3+(INDEX('Price History'!T:T,MATCH(9.99E+307,'Returns (Calc)'!$A:$A)+1)-'Price History'!T3)*(ROW()-3)/(MATCH(9.99E+307,'Returns (Calc)'!$A:$A)-3),"")</f>
        <v>47.2778481012658</v>
      </c>
      <c r="AO134" s="157" t="n">
        <f aca="false">IFERROR('Price History'!V3+(INDEX('Price History'!V:V,MATCH(9.99E+307,'Returns (Calc)'!$A:$A)+1)-'Price History'!V3)*(ROW()-3)/(MATCH(9.99E+307,'Returns (Calc)'!$A:$A)-3),"")</f>
        <v>339.294113924051</v>
      </c>
      <c r="AP134" s="155" t="n">
        <f aca="false">IFERROR(IF(OR(NOT(ISNUMBER('Price History'!W135)),NOT(ISNUMBER('Price History'!W134)),'Price History'!W134=0),"",'Price History'!W135/'Price History'!W134-1),"")</f>
        <v>0.00362419849456375</v>
      </c>
      <c r="AQ134" s="155" t="n">
        <f aca="false">IFERROR(IF(OR(NOT(ISNUMBER('Price History'!X135)),NOT(ISNUMBER('Price History'!X134)),'Price History'!X134=0),"",'Price History'!X135/'Price History'!X134-1),"")</f>
        <v>0.0263969171483622</v>
      </c>
      <c r="AR134" s="155" t="n">
        <f aca="false">IFERROR(IF(OR(NOT(ISNUMBER('Price History'!Y135)),NOT(ISNUMBER('Price History'!Y134)),'Price History'!Y134=0),"",'Price History'!Y135/'Price History'!Y134-1),"")</f>
        <v>-0.00972689861578757</v>
      </c>
      <c r="AS134" s="155" t="n">
        <f aca="false">IFERROR(IF(OR(NOT(ISNUMBER('Price History'!Z135)),NOT(ISNUMBER('Price History'!Z134)),'Price History'!Z134=0),"",'Price History'!Z135/'Price History'!Z134-1),"")</f>
        <v>-0.0138602799986036</v>
      </c>
      <c r="AT134" s="155" t="n">
        <f aca="false">IFERROR(IF(OR(NOT(ISNUMBER('Price History'!AA135)),NOT(ISNUMBER('Price History'!AA134)),'Price History'!AA134=0),"",'Price History'!AA135/'Price History'!AA134-1),"")</f>
        <v>0.0175343062513615</v>
      </c>
      <c r="AU134" s="155" t="n">
        <f aca="false">IFERROR(IF(OR(NOT(ISNUMBER('Price History'!AB135)),NOT(ISNUMBER('Price History'!AB134)),'Price History'!AB134=0),"",'Price History'!AB135/'Price History'!AB134-1),"")</f>
        <v>-0.0623675775520182</v>
      </c>
    </row>
    <row r="135" customFormat="false" ht="15" hidden="false" customHeight="true" outlineLevel="0" collapsed="false">
      <c r="A135" s="153" t="n">
        <f aca="false">IF('Price History'!A136="","",'Price History'!A136)</f>
        <v>46115</v>
      </c>
      <c r="B135" s="154" t="n">
        <f aca="false">IFERROR(IF(OR(NOT(ISNUMBER('Price History'!B136)),NOT(ISNUMBER('Price History'!B135)),'Price History'!B135=0),"",'Price History'!B136/'Price History'!B135-1),"")</f>
        <v>0.0344064043604155</v>
      </c>
      <c r="C135" s="154" t="n">
        <f aca="false">IFERROR(IF(OR(NOT(ISNUMBER('Price History'!C136)),NOT(ISNUMBER('Price History'!C135)),'Price History'!C135=0),"",'Price History'!C136/'Price History'!C135-1),"")</f>
        <v>0.0489359940382546</v>
      </c>
      <c r="D135" s="154" t="n">
        <f aca="false">IFERROR(IF(OR(NOT(ISNUMBER('Price History'!D136)),NOT(ISNUMBER('Price History'!D135)),'Price History'!D135=0),"",'Price History'!D136/'Price History'!D135-1),"")</f>
        <v>0.0113332562887631</v>
      </c>
      <c r="E135" s="154" t="n">
        <f aca="false">IFERROR(IF(OR(NOT(ISNUMBER('Price History'!E136)),NOT(ISNUMBER('Price History'!E135)),'Price History'!E135=0),"",'Price History'!E136/'Price History'!E135-1),"")</f>
        <v>0.0461189347927651</v>
      </c>
      <c r="F135" s="154" t="n">
        <f aca="false">IFERROR(IF(OR(NOT(ISNUMBER('Price History'!F136)),NOT(ISNUMBER('Price History'!F135)),'Price History'!F135=0),"",'Price History'!F136/'Price History'!F135-1),"")</f>
        <v>0.0799870115813399</v>
      </c>
      <c r="G135" s="154" t="n">
        <f aca="false">IFERROR(IF(OR(NOT(ISNUMBER('Price History'!G136)),NOT(ISNUMBER('Price History'!G135)),'Price History'!G135=0),"",'Price History'!G136/'Price History'!G135-1),"")</f>
        <v>0.0510523025630338</v>
      </c>
      <c r="H135" s="154" t="n">
        <f aca="false">IFERROR(IF(OR(NOT(ISNUMBER('Price History'!H136)),NOT(ISNUMBER('Price History'!H135)),'Price History'!H135=0),"",'Price History'!H136/'Price History'!H135-1),"")</f>
        <v>0.0256568259481262</v>
      </c>
      <c r="I135" s="154" t="n">
        <f aca="false">IFERROR(IF(OR(NOT(ISNUMBER('Price History'!I136)),NOT(ISNUMBER('Price History'!I135)),'Price History'!I135=0),"",'Price History'!I136/'Price History'!I135-1),"")</f>
        <v>0.0589326313270313</v>
      </c>
      <c r="J135" s="154" t="n">
        <f aca="false">IFERROR(IF(OR(NOT(ISNUMBER('Price History'!J136)),NOT(ISNUMBER('Price History'!J135)),'Price History'!J135=0),"",'Price History'!J136/'Price History'!J135-1),"")</f>
        <v>0.0378071833648392</v>
      </c>
      <c r="K135" s="154" t="n">
        <f aca="false">IFERROR(IF(OR(NOT(ISNUMBER('Price History'!K136)),NOT(ISNUMBER('Price History'!K135)),'Price History'!K135=0),"",'Price History'!K136/'Price History'!K135-1),"")</f>
        <v>0.0377464001118413</v>
      </c>
      <c r="L135" s="154" t="n">
        <f aca="false">IFERROR(IF(OR(NOT(ISNUMBER('Price History'!L136)),NOT(ISNUMBER('Price History'!L135)),'Price History'!L135=0),"",'Price History'!L136/'Price History'!L135-1),"")</f>
        <v>0.0376499538603505</v>
      </c>
      <c r="M135" s="154" t="n">
        <f aca="false">IFERROR(IF(OR(NOT(ISNUMBER('Price History'!M136)),NOT(ISNUMBER('Price History'!M135)),'Price History'!M135=0),"",'Price History'!M136/'Price History'!M135-1),"")</f>
        <v>0.0406837743066624</v>
      </c>
      <c r="N135" s="154" t="n">
        <f aca="false">IFERROR(IF(OR(NOT(ISNUMBER('Price History'!N136)),NOT(ISNUMBER('Price History'!N135)),'Price History'!N135=0),"",'Price History'!N136/'Price History'!N135-1),"")</f>
        <v>0.0130232987738703</v>
      </c>
      <c r="O135" s="154" t="n">
        <f aca="false">IFERROR(IF(OR(NOT(ISNUMBER('Price History'!O136)),NOT(ISNUMBER('Price History'!O135)),'Price History'!O135=0),"",'Price History'!O136/'Price History'!O135-1),"")</f>
        <v>0.0200977228726837</v>
      </c>
      <c r="P135" s="154" t="n">
        <f aca="false">IFERROR(IF(OR(NOT(ISNUMBER('Price History'!P136)),NOT(ISNUMBER('Price History'!P135)),'Price History'!P135=0),"",'Price History'!P136/'Price History'!P135-1),"")</f>
        <v>0.0144789613214602</v>
      </c>
      <c r="Q135" s="154" t="n">
        <f aca="false">IFERROR(IF(OR(NOT(ISNUMBER('Price History'!Q136)),NOT(ISNUMBER('Price History'!Q135)),'Price History'!Q135=0),"",'Price History'!Q136/'Price History'!Q135-1),"")</f>
        <v>0.0117070083847493</v>
      </c>
      <c r="R135" s="154" t="n">
        <f aca="false">IFERROR(IF(OR(NOT(ISNUMBER('Price History'!R136)),NOT(ISNUMBER('Price History'!R135)),'Price History'!R135=0),"",'Price History'!R136/'Price History'!R135-1),"")</f>
        <v>0.0375521557719054</v>
      </c>
      <c r="S135" s="154" t="n">
        <f aca="false">IFERROR(IF(OR(NOT(ISNUMBER('Price History'!S136)),NOT(ISNUMBER('Price History'!S135)),'Price History'!S135=0),"",'Price History'!S136/'Price History'!S135-1),"")</f>
        <v>0.0401964350672972</v>
      </c>
      <c r="T135" s="154" t="n">
        <f aca="false">IFERROR(IF(OR(NOT(ISNUMBER('Price History'!T136)),NOT(ISNUMBER('Price History'!T135)),'Price History'!T135=0),"",'Price History'!T136/'Price History'!T135-1),"")</f>
        <v>0.0280155642023348</v>
      </c>
      <c r="U135" s="154" t="n">
        <f aca="false">IFERROR(IF(OR(NOT(ISNUMBER('Price History'!U136)),NOT(ISNUMBER('Price History'!U135)),'Price History'!U135=0),"",'Price History'!U136/'Price History'!U135-1),"")</f>
        <v>0.00400534045393841</v>
      </c>
      <c r="V135" s="155" t="n">
        <f aca="false">IFERROR(IF(OR(NOT(ISNUMBER('Price History'!V136)),NOT(ISNUMBER('Price History'!V135)),'Price History'!V135=0),"",'Price History'!V136/'Price History'!V135-1),"")</f>
        <v>0.0178692757168093</v>
      </c>
      <c r="W135" s="156" t="n">
        <f aca="false">IFERROR('Price History'!B3+(INDEX('Price History'!B:B,MATCH(9.99E+307,'Returns (Calc)'!$A:$A)+1)-'Price History'!B3)*(ROW()-3)/(MATCH(9.99E+307,'Returns (Calc)'!$A:$A)-3),"")</f>
        <v>285.608987341772</v>
      </c>
      <c r="X135" s="156" t="n">
        <f aca="false">IFERROR('Price History'!C3+(INDEX('Price History'!C:C,MATCH(9.99E+307,'Returns (Calc)'!$A:$A)+1)-'Price History'!C3)*(ROW()-3)/(MATCH(9.99E+307,'Returns (Calc)'!$A:$A)-3),"")</f>
        <v>180.82835443038</v>
      </c>
      <c r="Y135" s="156" t="n">
        <f aca="false">IFERROR('Price History'!D3+(INDEX('Price History'!D:D,MATCH(9.99E+307,'Returns (Calc)'!$A:$A)+1)-'Price History'!D3)*(ROW()-3)/(MATCH(9.99E+307,'Returns (Calc)'!$A:$A)-3),"")</f>
        <v>1655.80493670886</v>
      </c>
      <c r="Z135" s="156" t="n">
        <f aca="false">IFERROR('Price History'!E3+(INDEX('Price History'!E:E,MATCH(9.99E+307,'Returns (Calc)'!$A:$A)+1)-'Price History'!E3)*(ROW()-3)/(MATCH(9.99E+307,'Returns (Calc)'!$A:$A)-3),"")</f>
        <v>310.192911392405</v>
      </c>
      <c r="AA135" s="156" t="n">
        <f aca="false">IFERROR('Price History'!F3+(INDEX('Price History'!F:F,MATCH(9.99E+307,'Returns (Calc)'!$A:$A)+1)-'Price History'!F3)*(ROW()-3)/(MATCH(9.99E+307,'Returns (Calc)'!$A:$A)-3),"")</f>
        <v>232.409113924051</v>
      </c>
      <c r="AB135" s="156" t="n">
        <f aca="false">IFERROR('Price History'!G3+(INDEX('Price History'!G:G,MATCH(9.99E+307,'Returns (Calc)'!$A:$A)+1)-'Price History'!G3)*(ROW()-3)/(MATCH(9.99E+307,'Returns (Calc)'!$A:$A)-3),"")</f>
        <v>180.142911392405</v>
      </c>
      <c r="AC135" s="156" t="n">
        <f aca="false">IFERROR('Price History'!H3+(INDEX('Price History'!H:H,MATCH(9.99E+307,'Returns (Calc)'!$A:$A)+1)-'Price History'!H3)*(ROW()-3)/(MATCH(9.99E+307,'Returns (Calc)'!$A:$A)-3),"")</f>
        <v>909.381898734177</v>
      </c>
      <c r="AD135" s="156" t="n">
        <f aca="false">IFERROR('Price History'!I3+(INDEX('Price History'!I:I,MATCH(9.99E+307,'Returns (Calc)'!$A:$A)+1)-'Price History'!I3)*(ROW()-3)/(MATCH(9.99E+307,'Returns (Calc)'!$A:$A)-3),"")</f>
        <v>202.654556962025</v>
      </c>
      <c r="AE135" s="156" t="n">
        <f aca="false">IFERROR('Price History'!J3+(INDEX('Price History'!J:J,MATCH(9.99E+307,'Returns (Calc)'!$A:$A)+1)-'Price History'!J3)*(ROW()-3)/(MATCH(9.99E+307,'Returns (Calc)'!$A:$A)-3),"")</f>
        <v>126.101012658228</v>
      </c>
      <c r="AF135" s="156" t="n">
        <f aca="false">IFERROR('Price History'!K3+(INDEX('Price History'!K:K,MATCH(9.99E+307,'Returns (Calc)'!$A:$A)+1)-'Price History'!K3)*(ROW()-3)/(MATCH(9.99E+307,'Returns (Calc)'!$A:$A)-3),"")</f>
        <v>160.21253164557</v>
      </c>
      <c r="AG135" s="156" t="n">
        <f aca="false">IFERROR('Price History'!L3+(INDEX('Price History'!L:L,MATCH(9.99E+307,'Returns (Calc)'!$A:$A)+1)-'Price History'!L3)*(ROW()-3)/(MATCH(9.99E+307,'Returns (Calc)'!$A:$A)-3),"")</f>
        <v>409.091518987342</v>
      </c>
      <c r="AH135" s="156" t="n">
        <f aca="false">IFERROR('Price History'!M3+(INDEX('Price History'!M:M,MATCH(9.99E+307,'Returns (Calc)'!$A:$A)+1)-'Price History'!M3)*(ROW()-3)/(MATCH(9.99E+307,'Returns (Calc)'!$A:$A)-3),"")</f>
        <v>216.938481012658</v>
      </c>
      <c r="AI135" s="156" t="n">
        <f aca="false">IFERROR('Price History'!N3+(INDEX('Price History'!N:N,MATCH(9.99E+307,'Returns (Calc)'!$A:$A)+1)-'Price History'!N3)*(ROW()-3)/(MATCH(9.99E+307,'Returns (Calc)'!$A:$A)-3),"")</f>
        <v>479.087088607595</v>
      </c>
      <c r="AJ135" s="156" t="n">
        <f aca="false">IFERROR('Price History'!O3+(INDEX('Price History'!O:O,MATCH(9.99E+307,'Returns (Calc)'!$A:$A)+1)-'Price History'!O3)*(ROW()-3)/(MATCH(9.99E+307,'Returns (Calc)'!$A:$A)-3),"")</f>
        <v>112.671012658228</v>
      </c>
      <c r="AK135" s="156" t="n">
        <f aca="false">IFERROR('Price History'!Q3+(INDEX('Price History'!Q:Q,MATCH(9.99E+307,'Returns (Calc)'!$A:$A)+1)-'Price History'!Q3)*(ROW()-3)/(MATCH(9.99E+307,'Returns (Calc)'!$A:$A)-3),"")</f>
        <v>57.9964556962025</v>
      </c>
      <c r="AL135" s="156" t="n">
        <f aca="false">IFERROR('Price History'!R3+(INDEX('Price History'!R:R,MATCH(9.99E+307,'Returns (Calc)'!$A:$A)+1)-'Price History'!R3)*(ROW()-3)/(MATCH(9.99E+307,'Returns (Calc)'!$A:$A)-3),"")</f>
        <v>56.6693670886076</v>
      </c>
      <c r="AM135" s="156" t="n">
        <f aca="false">IFERROR('Price History'!S3+(INDEX('Price History'!S:S,MATCH(9.99E+307,'Returns (Calc)'!$A:$A)+1)-'Price History'!S3)*(ROW()-3)/(MATCH(9.99E+307,'Returns (Calc)'!$A:$A)-3),"")</f>
        <v>137.49835443038</v>
      </c>
      <c r="AN135" s="156" t="n">
        <f aca="false">IFERROR('Price History'!T3+(INDEX('Price History'!T:T,MATCH(9.99E+307,'Returns (Calc)'!$A:$A)+1)-'Price History'!T3)*(ROW()-3)/(MATCH(9.99E+307,'Returns (Calc)'!$A:$A)-3),"")</f>
        <v>47.4460759493671</v>
      </c>
      <c r="AO135" s="157" t="n">
        <f aca="false">IFERROR('Price History'!V3+(INDEX('Price History'!V:V,MATCH(9.99E+307,'Returns (Calc)'!$A:$A)+1)-'Price History'!V3)*(ROW()-3)/(MATCH(9.99E+307,'Returns (Calc)'!$A:$A)-3),"")</f>
        <v>340.085443037975</v>
      </c>
      <c r="AP135" s="155" t="n">
        <f aca="false">IFERROR(IF(OR(NOT(ISNUMBER('Price History'!W136)),NOT(ISNUMBER('Price History'!W135)),'Price History'!W135=0),"",'Price History'!W136/'Price History'!W135-1),"")</f>
        <v>0.0165277777777777</v>
      </c>
      <c r="AQ135" s="155" t="n">
        <f aca="false">IFERROR(IF(OR(NOT(ISNUMBER('Price History'!X136)),NOT(ISNUMBER('Price History'!X135)),'Price History'!X135=0),"",'Price History'!X136/'Price History'!X135-1),"")</f>
        <v>-0.0183968462549278</v>
      </c>
      <c r="AR135" s="155" t="n">
        <f aca="false">IFERROR(IF(OR(NOT(ISNUMBER('Price History'!Y136)),NOT(ISNUMBER('Price History'!Y135)),'Price History'!Y135=0),"",'Price History'!Y136/'Price History'!Y135-1),"")</f>
        <v>0.0238005289006424</v>
      </c>
      <c r="AS135" s="155" t="n">
        <f aca="false">IFERROR(IF(OR(NOT(ISNUMBER('Price History'!Z136)),NOT(ISNUMBER('Price History'!Z135)),'Price History'!Z135=0),"",'Price History'!Z136/'Price History'!Z135-1),"")</f>
        <v>-0.00584153508461371</v>
      </c>
      <c r="AT135" s="155" t="n">
        <f aca="false">IFERROR(IF(OR(NOT(ISNUMBER('Price History'!AA136)),NOT(ISNUMBER('Price History'!AA135)),'Price History'!AA135=0),"",'Price History'!AA136/'Price History'!AA135-1),"")</f>
        <v>0.0559777373434656</v>
      </c>
      <c r="AU135" s="155" t="n">
        <f aca="false">IFERROR(IF(OR(NOT(ISNUMBER('Price History'!AB136)),NOT(ISNUMBER('Price History'!AB135)),'Price History'!AB135=0),"",'Price History'!AB136/'Price History'!AB135-1),"")</f>
        <v>0.0080537690480329</v>
      </c>
    </row>
    <row r="136" customFormat="false" ht="15" hidden="false" customHeight="true" outlineLevel="0" collapsed="false">
      <c r="A136" s="153" t="n">
        <f aca="false">IF('Price History'!A137="","",'Price History'!A137)</f>
        <v>46122</v>
      </c>
      <c r="B136" s="154" t="n">
        <f aca="false">IFERROR(IF(OR(NOT(ISNUMBER('Price History'!B137)),NOT(ISNUMBER('Price History'!B136)),'Price History'!B136=0),"",'Price History'!B137/'Price History'!B136-1),"")</f>
        <v>-0.07232833854767</v>
      </c>
      <c r="C136" s="154" t="n">
        <f aca="false">IFERROR(IF(OR(NOT(ISNUMBER('Price History'!C137)),NOT(ISNUMBER('Price History'!C136)),'Price History'!C136=0),"",'Price History'!C137/'Price History'!C136-1),"")</f>
        <v>0.163167035048942</v>
      </c>
      <c r="D136" s="154" t="n">
        <f aca="false">IFERROR(IF(OR(NOT(ISNUMBER('Price History'!D137)),NOT(ISNUMBER('Price History'!D136)),'Price History'!D136=0),"",'Price History'!D137/'Price History'!D136-1),"")</f>
        <v>0.122263190772934</v>
      </c>
      <c r="E136" s="154" t="n">
        <f aca="false">IFERROR(IF(OR(NOT(ISNUMBER('Price History'!E137)),NOT(ISNUMBER('Price History'!E136)),'Price History'!E136=0),"",'Price History'!E137/'Price History'!E136-1),"")</f>
        <v>0.181223682531581</v>
      </c>
      <c r="F136" s="154" t="n">
        <f aca="false">IFERROR(IF(OR(NOT(ISNUMBER('Price History'!F137)),NOT(ISNUMBER('Price History'!F136)),'Price History'!F136=0),"",'Price History'!F137/'Price History'!F136-1),"")</f>
        <v>-0.0504109039887753</v>
      </c>
      <c r="G136" s="154" t="n">
        <f aca="false">IFERROR(IF(OR(NOT(ISNUMBER('Price History'!G137)),NOT(ISNUMBER('Price History'!G136)),'Price History'!G136=0),"",'Price History'!G137/'Price History'!G136-1),"")</f>
        <v>0.145321173671689</v>
      </c>
      <c r="H136" s="154" t="n">
        <f aca="false">IFERROR(IF(OR(NOT(ISNUMBER('Price History'!H137)),NOT(ISNUMBER('Price History'!H136)),'Price History'!H136=0),"",'Price History'!H137/'Price History'!H136-1),"")</f>
        <v>0.14842427221585</v>
      </c>
      <c r="I136" s="154" t="n">
        <f aca="false">IFERROR(IF(OR(NOT(ISNUMBER('Price History'!I137)),NOT(ISNUMBER('Price History'!I136)),'Price History'!I136=0),"",'Price History'!I137/'Price History'!I136-1),"")</f>
        <v>0.0633369116899258</v>
      </c>
      <c r="J136" s="154" t="n">
        <f aca="false">IFERROR(IF(OR(NOT(ISNUMBER('Price History'!J137)),NOT(ISNUMBER('Price History'!J136)),'Price History'!J136=0),"",'Price History'!J137/'Price History'!J136-1),"")</f>
        <v>0.0255768063145112</v>
      </c>
      <c r="K136" s="154" t="n">
        <f aca="false">IFERROR(IF(OR(NOT(ISNUMBER('Price History'!K137)),NOT(ISNUMBER('Price History'!K136)),'Price History'!K136=0),"",'Price History'!K137/'Price History'!K136-1),"")</f>
        <v>-0.13741075037047</v>
      </c>
      <c r="L136" s="154" t="n">
        <f aca="false">IFERROR(IF(OR(NOT(ISNUMBER('Price History'!L137)),NOT(ISNUMBER('Price History'!L136)),'Price History'!L136=0),"",'Price History'!L137/'Price History'!L136-1),"")</f>
        <v>0.0930811644038656</v>
      </c>
      <c r="M136" s="154" t="n">
        <f aca="false">IFERROR(IF(OR(NOT(ISNUMBER('Price History'!M137)),NOT(ISNUMBER('Price History'!M136)),'Price History'!M136=0),"",'Price History'!M137/'Price History'!M136-1),"")</f>
        <v>0.129455909943715</v>
      </c>
      <c r="N136" s="154" t="n">
        <f aca="false">IFERROR(IF(OR(NOT(ISNUMBER('Price History'!N137)),NOT(ISNUMBER('Price History'!N136)),'Price History'!N136=0),"",'Price History'!N137/'Price History'!N136-1),"")</f>
        <v>-0.0055617606163525</v>
      </c>
      <c r="O136" s="154" t="n">
        <f aca="false">IFERROR(IF(OR(NOT(ISNUMBER('Price History'!O137)),NOT(ISNUMBER('Price History'!O136)),'Price History'!O136=0),"",'Price History'!O137/'Price History'!O136-1),"")</f>
        <v>0.029733393583371</v>
      </c>
      <c r="P136" s="154" t="n">
        <f aca="false">IFERROR(IF(OR(NOT(ISNUMBER('Price History'!P137)),NOT(ISNUMBER('Price History'!P136)),'Price History'!P136=0),"",'Price History'!P137/'Price History'!P136-1),"")</f>
        <v>0.00515947467166966</v>
      </c>
      <c r="Q136" s="154" t="n">
        <f aca="false">IFERROR(IF(OR(NOT(ISNUMBER('Price History'!Q137)),NOT(ISNUMBER('Price History'!Q136)),'Price History'!Q136=0),"",'Price History'!Q137/'Price History'!Q136-1),"")</f>
        <v>0.0203283815480844</v>
      </c>
      <c r="R136" s="154" t="n">
        <f aca="false">IFERROR(IF(OR(NOT(ISNUMBER('Price History'!R137)),NOT(ISNUMBER('Price History'!R136)),'Price History'!R136=0),"",'Price History'!R137/'Price History'!R136-1),"")</f>
        <v>0.0363845270011489</v>
      </c>
      <c r="S136" s="154" t="n">
        <f aca="false">IFERROR(IF(OR(NOT(ISNUMBER('Price History'!S137)),NOT(ISNUMBER('Price History'!S136)),'Price History'!S136=0),"",'Price History'!S137/'Price History'!S136-1),"")</f>
        <v>0.0749256863087953</v>
      </c>
      <c r="T136" s="154" t="n">
        <f aca="false">IFERROR(IF(OR(NOT(ISNUMBER('Price History'!T137)),NOT(ISNUMBER('Price History'!T136)),'Price History'!T136=0),"",'Price History'!T137/'Price History'!T136-1),"")</f>
        <v>-0.00428967953570536</v>
      </c>
      <c r="U136" s="154" t="n">
        <f aca="false">IFERROR(IF(OR(NOT(ISNUMBER('Price History'!U137)),NOT(ISNUMBER('Price History'!U136)),'Price History'!U136=0),"",'Price History'!U137/'Price History'!U136-1),"")</f>
        <v>0</v>
      </c>
      <c r="V136" s="155" t="n">
        <f aca="false">IFERROR(IF(OR(NOT(ISNUMBER('Price History'!V137)),NOT(ISNUMBER('Price History'!V136)),'Price History'!V136=0),"",'Price History'!V137/'Price History'!V136-1),"")</f>
        <v>0.0118483412322274</v>
      </c>
      <c r="W136" s="156" t="n">
        <f aca="false">IFERROR('Price History'!B3+(INDEX('Price History'!B:B,MATCH(9.99E+307,'Returns (Calc)'!$A:$A)+1)-'Price History'!B3)*(ROW()-3)/(MATCH(9.99E+307,'Returns (Calc)'!$A:$A)-3),"")</f>
        <v>283.765949367089</v>
      </c>
      <c r="X136" s="156" t="n">
        <f aca="false">IFERROR('Price History'!C3+(INDEX('Price History'!C:C,MATCH(9.99E+307,'Returns (Calc)'!$A:$A)+1)-'Price History'!C3)*(ROW()-3)/(MATCH(9.99E+307,'Returns (Calc)'!$A:$A)-3),"")</f>
        <v>181.848417721519</v>
      </c>
      <c r="Y136" s="156" t="n">
        <f aca="false">IFERROR('Price History'!D3+(INDEX('Price History'!D:D,MATCH(9.99E+307,'Returns (Calc)'!$A:$A)+1)-'Price History'!D3)*(ROW()-3)/(MATCH(9.99E+307,'Returns (Calc)'!$A:$A)-3),"")</f>
        <v>1663.93974683544</v>
      </c>
      <c r="Z136" s="156" t="n">
        <f aca="false">IFERROR('Price History'!E3+(INDEX('Price History'!E:E,MATCH(9.99E+307,'Returns (Calc)'!$A:$A)+1)-'Price History'!E3)*(ROW()-3)/(MATCH(9.99E+307,'Returns (Calc)'!$A:$A)-3),"")</f>
        <v>311.92164556962</v>
      </c>
      <c r="AA136" s="156" t="n">
        <f aca="false">IFERROR('Price History'!F3+(INDEX('Price History'!F:F,MATCH(9.99E+307,'Returns (Calc)'!$A:$A)+1)-'Price History'!F3)*(ROW()-3)/(MATCH(9.99E+307,'Returns (Calc)'!$A:$A)-3),"")</f>
        <v>233.856455696203</v>
      </c>
      <c r="AB136" s="156" t="n">
        <f aca="false">IFERROR('Price History'!G3+(INDEX('Price History'!G:G,MATCH(9.99E+307,'Returns (Calc)'!$A:$A)+1)-'Price History'!G3)*(ROW()-3)/(MATCH(9.99E+307,'Returns (Calc)'!$A:$A)-3),"")</f>
        <v>181.17164556962</v>
      </c>
      <c r="AC136" s="156" t="n">
        <f aca="false">IFERROR('Price History'!H3+(INDEX('Price History'!H:H,MATCH(9.99E+307,'Returns (Calc)'!$A:$A)+1)-'Price History'!H3)*(ROW()-3)/(MATCH(9.99E+307,'Returns (Calc)'!$A:$A)-3),"")</f>
        <v>915.747594936709</v>
      </c>
      <c r="AD136" s="156" t="n">
        <f aca="false">IFERROR('Price History'!I3+(INDEX('Price History'!I:I,MATCH(9.99E+307,'Returns (Calc)'!$A:$A)+1)-'Price History'!I3)*(ROW()-3)/(MATCH(9.99E+307,'Returns (Calc)'!$A:$A)-3),"")</f>
        <v>203.858227848101</v>
      </c>
      <c r="AE136" s="156" t="n">
        <f aca="false">IFERROR('Price History'!J3+(INDEX('Price History'!J:J,MATCH(9.99E+307,'Returns (Calc)'!$A:$A)+1)-'Price History'!J3)*(ROW()-3)/(MATCH(9.99E+307,'Returns (Calc)'!$A:$A)-3),"")</f>
        <v>126.209050632911</v>
      </c>
      <c r="AF136" s="156" t="n">
        <f aca="false">IFERROR('Price History'!K3+(INDEX('Price History'!K:K,MATCH(9.99E+307,'Returns (Calc)'!$A:$A)+1)-'Price History'!K3)*(ROW()-3)/(MATCH(9.99E+307,'Returns (Calc)'!$A:$A)-3),"")</f>
        <v>161.310126582278</v>
      </c>
      <c r="AG136" s="156" t="n">
        <f aca="false">IFERROR('Price History'!L3+(INDEX('Price History'!L:L,MATCH(9.99E+307,'Returns (Calc)'!$A:$A)+1)-'Price History'!L3)*(ROW()-3)/(MATCH(9.99E+307,'Returns (Calc)'!$A:$A)-3),"")</f>
        <v>411.541075949367</v>
      </c>
      <c r="AH136" s="156" t="n">
        <f aca="false">IFERROR('Price History'!M3+(INDEX('Price History'!M:M,MATCH(9.99E+307,'Returns (Calc)'!$A:$A)+1)-'Price History'!M3)*(ROW()-3)/(MATCH(9.99E+307,'Returns (Calc)'!$A:$A)-3),"")</f>
        <v>218.293924050633</v>
      </c>
      <c r="AI136" s="156" t="n">
        <f aca="false">IFERROR('Price History'!N3+(INDEX('Price History'!N:N,MATCH(9.99E+307,'Returns (Calc)'!$A:$A)+1)-'Price History'!N3)*(ROW()-3)/(MATCH(9.99E+307,'Returns (Calc)'!$A:$A)-3),"")</f>
        <v>480.07335443038</v>
      </c>
      <c r="AJ136" s="156" t="n">
        <f aca="false">IFERROR('Price History'!O3+(INDEX('Price History'!O:O,MATCH(9.99E+307,'Returns (Calc)'!$A:$A)+1)-'Price History'!O3)*(ROW()-3)/(MATCH(9.99E+307,'Returns (Calc)'!$A:$A)-3),"")</f>
        <v>112.954050632911</v>
      </c>
      <c r="AK136" s="156" t="n">
        <f aca="false">IFERROR('Price History'!Q3+(INDEX('Price History'!Q:Q,MATCH(9.99E+307,'Returns (Calc)'!$A:$A)+1)-'Price History'!Q3)*(ROW()-3)/(MATCH(9.99E+307,'Returns (Calc)'!$A:$A)-3),"")</f>
        <v>58.4358227848101</v>
      </c>
      <c r="AL136" s="156" t="n">
        <f aca="false">IFERROR('Price History'!R3+(INDEX('Price History'!R:R,MATCH(9.99E+307,'Returns (Calc)'!$A:$A)+1)-'Price History'!R3)*(ROW()-3)/(MATCH(9.99E+307,'Returns (Calc)'!$A:$A)-3),"")</f>
        <v>56.8374683544304</v>
      </c>
      <c r="AM136" s="156" t="n">
        <f aca="false">IFERROR('Price History'!S3+(INDEX('Price History'!S:S,MATCH(9.99E+307,'Returns (Calc)'!$A:$A)+1)-'Price History'!S3)*(ROW()-3)/(MATCH(9.99E+307,'Returns (Calc)'!$A:$A)-3),"")</f>
        <v>138.103417721519</v>
      </c>
      <c r="AN136" s="156" t="n">
        <f aca="false">IFERROR('Price History'!T3+(INDEX('Price History'!T:T,MATCH(9.99E+307,'Returns (Calc)'!$A:$A)+1)-'Price History'!T3)*(ROW()-3)/(MATCH(9.99E+307,'Returns (Calc)'!$A:$A)-3),"")</f>
        <v>47.6143037974684</v>
      </c>
      <c r="AO136" s="157" t="n">
        <f aca="false">IFERROR('Price History'!V3+(INDEX('Price History'!V:V,MATCH(9.99E+307,'Returns (Calc)'!$A:$A)+1)-'Price History'!V3)*(ROW()-3)/(MATCH(9.99E+307,'Returns (Calc)'!$A:$A)-3),"")</f>
        <v>340.876772151899</v>
      </c>
      <c r="AP136" s="155" t="n">
        <f aca="false">IFERROR(IF(OR(NOT(ISNUMBER('Price History'!W137)),NOT(ISNUMBER('Price History'!W136)),'Price History'!W136=0),"",'Price History'!W137/'Price History'!W136-1),"")</f>
        <v>0.0267112993578358</v>
      </c>
      <c r="AQ136" s="155" t="n">
        <f aca="false">IFERROR(IF(OR(NOT(ISNUMBER('Price History'!X137)),NOT(ISNUMBER('Price History'!X136)),'Price History'!X136=0),"",'Price History'!X137/'Price History'!X136-1),"")</f>
        <v>-0.00114744693057955</v>
      </c>
      <c r="AR136" s="155" t="n">
        <f aca="false">IFERROR(IF(OR(NOT(ISNUMBER('Price History'!Y137)),NOT(ISNUMBER('Price History'!Y136)),'Price History'!Y136=0),"",'Price History'!Y137/'Price History'!Y136-1),"")</f>
        <v>0.0193726937269372</v>
      </c>
      <c r="AS136" s="155" t="n">
        <f aca="false">IFERROR(IF(OR(NOT(ISNUMBER('Price History'!Z137)),NOT(ISNUMBER('Price History'!Z136)),'Price History'!Z136=0),"",'Price History'!Z137/'Price History'!Z136-1),"")</f>
        <v>0.0967202022719989</v>
      </c>
      <c r="AT136" s="155" t="n">
        <f aca="false">IFERROR(IF(OR(NOT(ISNUMBER('Price History'!AA137)),NOT(ISNUMBER('Price History'!AA136)),'Price History'!AA136=0),"",'Price History'!AA137/'Price History'!AA136-1),"")</f>
        <v>0.0440908169470911</v>
      </c>
      <c r="AU136" s="155" t="n">
        <f aca="false">IFERROR(IF(OR(NOT(ISNUMBER('Price History'!AB137)),NOT(ISNUMBER('Price History'!AB136)),'Price History'!AB136=0),"",'Price History'!AB137/'Price History'!AB136-1),"")</f>
        <v>-0.129612599149327</v>
      </c>
    </row>
    <row r="137" customFormat="false" ht="15" hidden="false" customHeight="true" outlineLevel="0" collapsed="false">
      <c r="A137" s="153" t="n">
        <f aca="false">IF('Price History'!A138="","",'Price History'!A138)</f>
        <v>46129</v>
      </c>
      <c r="B137" s="154" t="n">
        <f aca="false">IFERROR(IF(OR(NOT(ISNUMBER('Price History'!B138)),NOT(ISNUMBER('Price History'!B137)),'Price History'!B137=0),"",'Price History'!B138/'Price History'!B137-1),"")</f>
        <v>0.0847570445972932</v>
      </c>
      <c r="C137" s="154" t="n">
        <f aca="false">IFERROR(IF(OR(NOT(ISNUMBER('Price History'!C138)),NOT(ISNUMBER('Price History'!C137)),'Price History'!C137=0),"",'Price History'!C138/'Price History'!C137-1),"")</f>
        <v>0.114557176789956</v>
      </c>
      <c r="D137" s="154" t="n">
        <f aca="false">IFERROR(IF(OR(NOT(ISNUMBER('Price History'!D138)),NOT(ISNUMBER('Price History'!D137)),'Price History'!D137=0),"",'Price History'!D138/'Price History'!D137-1),"")</f>
        <v>-0.012497030173438</v>
      </c>
      <c r="E137" s="154" t="n">
        <f aca="false">IFERROR(IF(OR(NOT(ISNUMBER('Price History'!E138)),NOT(ISNUMBER('Price History'!E137)),'Price History'!E137=0),"",'Price History'!E138/'Price History'!E137-1),"")</f>
        <v>0.0941694347673445</v>
      </c>
      <c r="F137" s="154" t="n">
        <f aca="false">IFERROR(IF(OR(NOT(ISNUMBER('Price History'!F138)),NOT(ISNUMBER('Price History'!F137)),'Price History'!F137=0),"",'Price History'!F138/'Price History'!F137-1),"")</f>
        <v>0.118627968337731</v>
      </c>
      <c r="G137" s="154" t="n">
        <f aca="false">IFERROR(IF(OR(NOT(ISNUMBER('Price History'!G138)),NOT(ISNUMBER('Price History'!G137)),'Price History'!G137=0),"",'Price History'!G138/'Price History'!G137-1),"")</f>
        <v>0.0311580405054528</v>
      </c>
      <c r="H137" s="154" t="n">
        <f aca="false">IFERROR(IF(OR(NOT(ISNUMBER('Price History'!H138)),NOT(ISNUMBER('Price History'!H137)),'Price History'!H137=0),"",'Price History'!H138/'Price History'!H137-1),"")</f>
        <v>0.0819679927710271</v>
      </c>
      <c r="I137" s="154" t="n">
        <f aca="false">IFERROR(IF(OR(NOT(ISNUMBER('Price History'!I138)),NOT(ISNUMBER('Price History'!I137)),'Price History'!I137=0),"",'Price History'!I138/'Price History'!I137-1),"")</f>
        <v>0.069181721572795</v>
      </c>
      <c r="J137" s="154" t="n">
        <f aca="false">IFERROR(IF(OR(NOT(ISNUMBER('Price History'!J138)),NOT(ISNUMBER('Price History'!J137)),'Price History'!J137=0),"",'Price History'!J138/'Price History'!J137-1),"")</f>
        <v>0.0576481906312438</v>
      </c>
      <c r="K137" s="154" t="n">
        <f aca="false">IFERROR(IF(OR(NOT(ISNUMBER('Price History'!K138)),NOT(ISNUMBER('Price History'!K137)),'Price History'!K137=0),"",'Price History'!K138/'Price History'!K137-1),"")</f>
        <v>0.143136029985944</v>
      </c>
      <c r="L137" s="154" t="n">
        <f aca="false">IFERROR(IF(OR(NOT(ISNUMBER('Price History'!L138)),NOT(ISNUMBER('Price History'!L137)),'Price History'!L137=0),"",'Price History'!L138/'Price History'!L137-1),"")</f>
        <v>-0.0002440744155775</v>
      </c>
      <c r="M137" s="154" t="n">
        <f aca="false">IFERROR(IF(OR(NOT(ISNUMBER('Price History'!M138)),NOT(ISNUMBER('Price History'!M137)),'Price History'!M137=0),"",'Price History'!M138/'Price History'!M137-1),"")</f>
        <v>0.0414265373923655</v>
      </c>
      <c r="N137" s="154" t="n">
        <f aca="false">IFERROR(IF(OR(NOT(ISNUMBER('Price History'!N138)),NOT(ISNUMBER('Price History'!N137)),'Price History'!N137=0),"",'Price History'!N138/'Price History'!N137-1),"")</f>
        <v>0.0113003415316204</v>
      </c>
      <c r="O137" s="154" t="n">
        <f aca="false">IFERROR(IF(OR(NOT(ISNUMBER('Price History'!O138)),NOT(ISNUMBER('Price History'!O137)),'Price History'!O137=0),"",'Price History'!O138/'Price History'!O137-1),"")</f>
        <v>0.0243110408987186</v>
      </c>
      <c r="P137" s="154" t="n">
        <f aca="false">IFERROR(IF(OR(NOT(ISNUMBER('Price History'!P138)),NOT(ISNUMBER('Price History'!P137)),'Price History'!P137=0),"",'Price History'!P138/'Price History'!P137-1),"")</f>
        <v>0.00459969335377641</v>
      </c>
      <c r="Q137" s="154" t="n">
        <f aca="false">IFERROR(IF(OR(NOT(ISNUMBER('Price History'!Q138)),NOT(ISNUMBER('Price History'!Q137)),'Price History'!Q137=0),"",'Price History'!Q138/'Price History'!Q137-1),"")</f>
        <v>0.0257471264367817</v>
      </c>
      <c r="R137" s="154" t="n">
        <f aca="false">IFERROR(IF(OR(NOT(ISNUMBER('Price History'!R138)),NOT(ISNUMBER('Price History'!R137)),'Price History'!R137=0),"",'Price History'!R138/'Price History'!R137-1),"")</f>
        <v>0.018107908351811</v>
      </c>
      <c r="S137" s="154" t="n">
        <f aca="false">IFERROR(IF(OR(NOT(ISNUMBER('Price History'!S138)),NOT(ISNUMBER('Price History'!S137)),'Price History'!S137=0),"",'Price History'!S138/'Price History'!S137-1),"")</f>
        <v>0.0401789345262302</v>
      </c>
      <c r="T137" s="154" t="n">
        <f aca="false">IFERROR(IF(OR(NOT(ISNUMBER('Price History'!T138)),NOT(ISNUMBER('Price History'!T137)),'Price History'!T137=0),"",'Price History'!T138/'Price History'!T137-1),"")</f>
        <v>0.0534718702483528</v>
      </c>
      <c r="U137" s="154" t="n">
        <f aca="false">IFERROR(IF(OR(NOT(ISNUMBER('Price History'!U138)),NOT(ISNUMBER('Price History'!U137)),'Price History'!U137=0),"",'Price History'!U138/'Price History'!U137-1),"")</f>
        <v>0.0159574468085106</v>
      </c>
      <c r="V137" s="155" t="n">
        <f aca="false">IFERROR(IF(OR(NOT(ISNUMBER('Price History'!V138)),NOT(ISNUMBER('Price History'!V137)),'Price History'!V137=0),"",'Price History'!V138/'Price History'!V137-1),"")</f>
        <v>0.0415938252465613</v>
      </c>
      <c r="W137" s="156" t="n">
        <f aca="false">IFERROR('Price History'!B3+(INDEX('Price History'!B:B,MATCH(9.99E+307,'Returns (Calc)'!$A:$A)+1)-'Price History'!B3)*(ROW()-3)/(MATCH(9.99E+307,'Returns (Calc)'!$A:$A)-3),"")</f>
        <v>281.922911392405</v>
      </c>
      <c r="X137" s="156" t="n">
        <f aca="false">IFERROR('Price History'!C3+(INDEX('Price History'!C:C,MATCH(9.99E+307,'Returns (Calc)'!$A:$A)+1)-'Price History'!C3)*(ROW()-3)/(MATCH(9.99E+307,'Returns (Calc)'!$A:$A)-3),"")</f>
        <v>182.868481012658</v>
      </c>
      <c r="Y137" s="156" t="n">
        <f aca="false">IFERROR('Price History'!D3+(INDEX('Price History'!D:D,MATCH(9.99E+307,'Returns (Calc)'!$A:$A)+1)-'Price History'!D3)*(ROW()-3)/(MATCH(9.99E+307,'Returns (Calc)'!$A:$A)-3),"")</f>
        <v>1672.07455696203</v>
      </c>
      <c r="Z137" s="156" t="n">
        <f aca="false">IFERROR('Price History'!E3+(INDEX('Price History'!E:E,MATCH(9.99E+307,'Returns (Calc)'!$A:$A)+1)-'Price History'!E3)*(ROW()-3)/(MATCH(9.99E+307,'Returns (Calc)'!$A:$A)-3),"")</f>
        <v>313.650379746835</v>
      </c>
      <c r="AA137" s="156" t="n">
        <f aca="false">IFERROR('Price History'!F3+(INDEX('Price History'!F:F,MATCH(9.99E+307,'Returns (Calc)'!$A:$A)+1)-'Price History'!F3)*(ROW()-3)/(MATCH(9.99E+307,'Returns (Calc)'!$A:$A)-3),"")</f>
        <v>235.303797468354</v>
      </c>
      <c r="AB137" s="156" t="n">
        <f aca="false">IFERROR('Price History'!G3+(INDEX('Price History'!G:G,MATCH(9.99E+307,'Returns (Calc)'!$A:$A)+1)-'Price History'!G3)*(ROW()-3)/(MATCH(9.99E+307,'Returns (Calc)'!$A:$A)-3),"")</f>
        <v>182.200379746835</v>
      </c>
      <c r="AC137" s="156" t="n">
        <f aca="false">IFERROR('Price History'!H3+(INDEX('Price History'!H:H,MATCH(9.99E+307,'Returns (Calc)'!$A:$A)+1)-'Price History'!H3)*(ROW()-3)/(MATCH(9.99E+307,'Returns (Calc)'!$A:$A)-3),"")</f>
        <v>922.113291139241</v>
      </c>
      <c r="AD137" s="156" t="n">
        <f aca="false">IFERROR('Price History'!I3+(INDEX('Price History'!I:I,MATCH(9.99E+307,'Returns (Calc)'!$A:$A)+1)-'Price History'!I3)*(ROW()-3)/(MATCH(9.99E+307,'Returns (Calc)'!$A:$A)-3),"")</f>
        <v>205.061898734177</v>
      </c>
      <c r="AE137" s="156" t="n">
        <f aca="false">IFERROR('Price History'!J3+(INDEX('Price History'!J:J,MATCH(9.99E+307,'Returns (Calc)'!$A:$A)+1)-'Price History'!J3)*(ROW()-3)/(MATCH(9.99E+307,'Returns (Calc)'!$A:$A)-3),"")</f>
        <v>126.317088607595</v>
      </c>
      <c r="AF137" s="156" t="n">
        <f aca="false">IFERROR('Price History'!K3+(INDEX('Price History'!K:K,MATCH(9.99E+307,'Returns (Calc)'!$A:$A)+1)-'Price History'!K3)*(ROW()-3)/(MATCH(9.99E+307,'Returns (Calc)'!$A:$A)-3),"")</f>
        <v>162.407721518987</v>
      </c>
      <c r="AG137" s="156" t="n">
        <f aca="false">IFERROR('Price History'!L3+(INDEX('Price History'!L:L,MATCH(9.99E+307,'Returns (Calc)'!$A:$A)+1)-'Price History'!L3)*(ROW()-3)/(MATCH(9.99E+307,'Returns (Calc)'!$A:$A)-3),"")</f>
        <v>413.990632911392</v>
      </c>
      <c r="AH137" s="156" t="n">
        <f aca="false">IFERROR('Price History'!M3+(INDEX('Price History'!M:M,MATCH(9.99E+307,'Returns (Calc)'!$A:$A)+1)-'Price History'!M3)*(ROW()-3)/(MATCH(9.99E+307,'Returns (Calc)'!$A:$A)-3),"")</f>
        <v>219.649367088608</v>
      </c>
      <c r="AI137" s="156" t="n">
        <f aca="false">IFERROR('Price History'!N3+(INDEX('Price History'!N:N,MATCH(9.99E+307,'Returns (Calc)'!$A:$A)+1)-'Price History'!N3)*(ROW()-3)/(MATCH(9.99E+307,'Returns (Calc)'!$A:$A)-3),"")</f>
        <v>481.059620253165</v>
      </c>
      <c r="AJ137" s="156" t="n">
        <f aca="false">IFERROR('Price History'!O3+(INDEX('Price History'!O:O,MATCH(9.99E+307,'Returns (Calc)'!$A:$A)+1)-'Price History'!O3)*(ROW()-3)/(MATCH(9.99E+307,'Returns (Calc)'!$A:$A)-3),"")</f>
        <v>113.237088607595</v>
      </c>
      <c r="AK137" s="156" t="n">
        <f aca="false">IFERROR('Price History'!Q3+(INDEX('Price History'!Q:Q,MATCH(9.99E+307,'Returns (Calc)'!$A:$A)+1)-'Price History'!Q3)*(ROW()-3)/(MATCH(9.99E+307,'Returns (Calc)'!$A:$A)-3),"")</f>
        <v>58.8751898734177</v>
      </c>
      <c r="AL137" s="156" t="n">
        <f aca="false">IFERROR('Price History'!R3+(INDEX('Price History'!R:R,MATCH(9.99E+307,'Returns (Calc)'!$A:$A)+1)-'Price History'!R3)*(ROW()-3)/(MATCH(9.99E+307,'Returns (Calc)'!$A:$A)-3),"")</f>
        <v>57.0055696202532</v>
      </c>
      <c r="AM137" s="156" t="n">
        <f aca="false">IFERROR('Price History'!S3+(INDEX('Price History'!S:S,MATCH(9.99E+307,'Returns (Calc)'!$A:$A)+1)-'Price History'!S3)*(ROW()-3)/(MATCH(9.99E+307,'Returns (Calc)'!$A:$A)-3),"")</f>
        <v>138.708481012658</v>
      </c>
      <c r="AN137" s="156" t="n">
        <f aca="false">IFERROR('Price History'!T3+(INDEX('Price History'!T:T,MATCH(9.99E+307,'Returns (Calc)'!$A:$A)+1)-'Price History'!T3)*(ROW()-3)/(MATCH(9.99E+307,'Returns (Calc)'!$A:$A)-3),"")</f>
        <v>47.7825316455696</v>
      </c>
      <c r="AO137" s="157" t="n">
        <f aca="false">IFERROR('Price History'!V3+(INDEX('Price History'!V:V,MATCH(9.99E+307,'Returns (Calc)'!$A:$A)+1)-'Price History'!V3)*(ROW()-3)/(MATCH(9.99E+307,'Returns (Calc)'!$A:$A)-3),"")</f>
        <v>341.668101265823</v>
      </c>
      <c r="AP137" s="155" t="n">
        <f aca="false">IFERROR(IF(OR(NOT(ISNUMBER('Price History'!W138)),NOT(ISNUMBER('Price History'!W137)),'Price History'!W137=0),"",'Price History'!W138/'Price History'!W137-1),"")</f>
        <v>0.0200279459711226</v>
      </c>
      <c r="AQ137" s="155" t="n">
        <f aca="false">IFERROR(IF(OR(NOT(ISNUMBER('Price History'!X138)),NOT(ISNUMBER('Price History'!X137)),'Price History'!X137=0),"",'Price History'!X138/'Price History'!X137-1),"")</f>
        <v>-0.0250813708596591</v>
      </c>
      <c r="AR137" s="155" t="n">
        <f aca="false">IFERROR(IF(OR(NOT(ISNUMBER('Price History'!Y138)),NOT(ISNUMBER('Price History'!Y137)),'Price History'!Y137=0),"",'Price History'!Y138/'Price History'!Y137-1),"")</f>
        <v>0.00434389140271496</v>
      </c>
      <c r="AS137" s="155" t="n">
        <f aca="false">IFERROR(IF(OR(NOT(ISNUMBER('Price History'!Z138)),NOT(ISNUMBER('Price History'!Z137)),'Price History'!Z137=0),"",'Price History'!Z138/'Price History'!Z137-1),"")</f>
        <v>-0.0137026333733806</v>
      </c>
      <c r="AT137" s="155" t="n">
        <f aca="false">IFERROR(IF(OR(NOT(ISNUMBER('Price History'!AA138)),NOT(ISNUMBER('Price History'!AA137)),'Price History'!AA137=0),"",'Price History'!AA138/'Price History'!AA137-1),"")</f>
        <v>-0.0553344335501408</v>
      </c>
      <c r="AU137" s="155" t="n">
        <f aca="false">IFERROR(IF(OR(NOT(ISNUMBER('Price History'!AB138)),NOT(ISNUMBER('Price History'!AB137)),'Price History'!AB137=0),"",'Price History'!AB138/'Price History'!AB137-1),"")</f>
        <v>0.109093310440467</v>
      </c>
    </row>
    <row r="138" customFormat="false" ht="15" hidden="false" customHeight="true" outlineLevel="0" collapsed="false">
      <c r="A138" s="153" t="n">
        <f aca="false">IF('Price History'!A139="","",'Price History'!A139)</f>
        <v>46136</v>
      </c>
      <c r="B138" s="154" t="n">
        <f aca="false">IFERROR(IF(OR(NOT(ISNUMBER('Price History'!B139)),NOT(ISNUMBER('Price History'!B138)),'Price History'!B138=0),"",'Price History'!B139/'Price History'!B138-1),"")</f>
        <v>0.0040499079566374</v>
      </c>
      <c r="C138" s="154" t="n">
        <f aca="false">IFERROR(IF(OR(NOT(ISNUMBER('Price History'!C139)),NOT(ISNUMBER('Price History'!C138)),'Price History'!C138=0),"",'Price History'!C139/'Price History'!C138-1),"")</f>
        <v>0.0772087925470377</v>
      </c>
      <c r="D138" s="154" t="n">
        <f aca="false">IFERROR(IF(OR(NOT(ISNUMBER('Price History'!D139)),NOT(ISNUMBER('Price History'!D138)),'Price History'!D138=0),"",'Price History'!D139/'Price History'!D138-1),"")</f>
        <v>-0.00144355692426135</v>
      </c>
      <c r="E138" s="154" t="n">
        <f aca="false">IFERROR(IF(OR(NOT(ISNUMBER('Price History'!E139)),NOT(ISNUMBER('Price History'!E138)),'Price History'!E138=0),"",'Price History'!E139/'Price History'!E138-1),"")</f>
        <v>0.0398854773422845</v>
      </c>
      <c r="F138" s="154" t="n">
        <f aca="false">IFERROR(IF(OR(NOT(ISNUMBER('Price History'!F139)),NOT(ISNUMBER('Price History'!F138)),'Price History'!F138=0),"",'Price History'!F139/'Price History'!F138-1),"")</f>
        <v>0.0569865081611474</v>
      </c>
      <c r="G138" s="154" t="n">
        <f aca="false">IFERROR(IF(OR(NOT(ISNUMBER('Price History'!G139)),NOT(ISNUMBER('Price History'!G138)),'Price History'!G138=0),"",'Price History'!G139/'Price History'!G138-1),"")</f>
        <v>0.0801857758379496</v>
      </c>
      <c r="H138" s="154" t="n">
        <f aca="false">IFERROR(IF(OR(NOT(ISNUMBER('Price History'!H139)),NOT(ISNUMBER('Price History'!H138)),'Price History'!H138=0),"",'Price History'!H139/'Price History'!H138-1),"")</f>
        <v>0.0915164835164835</v>
      </c>
      <c r="I138" s="154" t="n">
        <f aca="false">IFERROR(IF(OR(NOT(ISNUMBER('Price History'!I139)),NOT(ISNUMBER('Price History'!I138)),'Price History'!I138=0),"",'Price History'!I139/'Price History'!I138-1),"")</f>
        <v>0.0327005267866019</v>
      </c>
      <c r="J138" s="154" t="n">
        <f aca="false">IFERROR(IF(OR(NOT(ISNUMBER('Price History'!J139)),NOT(ISNUMBER('Price History'!J138)),'Price History'!J138=0),"",'Price History'!J139/'Price History'!J138-1),"")</f>
        <v>-0.0207108872096277</v>
      </c>
      <c r="K138" s="154" t="n">
        <f aca="false">IFERROR(IF(OR(NOT(ISNUMBER('Price History'!K139)),NOT(ISNUMBER('Price History'!K138)),'Price History'!K138=0),"",'Price History'!K139/'Price History'!K138-1),"")</f>
        <v>-0.0225425233964067</v>
      </c>
      <c r="L138" s="154" t="n">
        <f aca="false">IFERROR(IF(OR(NOT(ISNUMBER('Price History'!L139)),NOT(ISNUMBER('Price History'!L138)),'Price History'!L138=0),"",'Price History'!L139/'Price History'!L138-1),"")</f>
        <v>0.0862606808626067</v>
      </c>
      <c r="M138" s="154" t="n">
        <f aca="false">IFERROR(IF(OR(NOT(ISNUMBER('Price History'!M139)),NOT(ISNUMBER('Price History'!M138)),'Price History'!M138=0),"",'Price History'!M139/'Price History'!M138-1),"")</f>
        <v>0.05244140625</v>
      </c>
      <c r="N138" s="154" t="n">
        <f aca="false">IFERROR(IF(OR(NOT(ISNUMBER('Price History'!N139)),NOT(ISNUMBER('Price History'!N138)),'Price History'!N138=0),"",'Price History'!N139/'Price History'!N138-1),"")</f>
        <v>-0.0247280145058929</v>
      </c>
      <c r="O138" s="154" t="n">
        <f aca="false">IFERROR(IF(OR(NOT(ISNUMBER('Price History'!O139)),NOT(ISNUMBER('Price History'!O138)),'Price History'!O138=0),"",'Price History'!O139/'Price History'!O138-1),"")</f>
        <v>0.0122525918944392</v>
      </c>
      <c r="P138" s="154" t="n">
        <f aca="false">IFERROR(IF(OR(NOT(ISNUMBER('Price History'!P139)),NOT(ISNUMBER('Price History'!P138)),'Price History'!P138=0),"",'Price History'!P139/'Price History'!P138-1),"")</f>
        <v>-0.00809555408095553</v>
      </c>
      <c r="Q138" s="154" t="n">
        <f aca="false">IFERROR(IF(OR(NOT(ISNUMBER('Price History'!Q139)),NOT(ISNUMBER('Price History'!Q138)),'Price History'!Q138=0),"",'Price History'!Q139/'Price History'!Q138-1),"")</f>
        <v>0.00224114746750326</v>
      </c>
      <c r="R138" s="154" t="n">
        <f aca="false">IFERROR(IF(OR(NOT(ISNUMBER('Price History'!R139)),NOT(ISNUMBER('Price History'!R138)),'Price History'!R138=0),"",'Price History'!R139/'Price History'!R138-1),"")</f>
        <v>0.00562613430127024</v>
      </c>
      <c r="S138" s="154" t="n">
        <f aca="false">IFERROR(IF(OR(NOT(ISNUMBER('Price History'!S139)),NOT(ISNUMBER('Price History'!S138)),'Price History'!S138=0),"",'Price History'!S139/'Price History'!S138-1),"")</f>
        <v>0.0250996950504339</v>
      </c>
      <c r="T138" s="154" t="n">
        <f aca="false">IFERROR(IF(OR(NOT(ISNUMBER('Price History'!T139)),NOT(ISNUMBER('Price History'!T138)),'Price History'!T138=0),"",'Price History'!T139/'Price History'!T138-1),"")</f>
        <v>-0.00553283617993738</v>
      </c>
      <c r="U138" s="154" t="n">
        <f aca="false">IFERROR(IF(OR(NOT(ISNUMBER('Price History'!U139)),NOT(ISNUMBER('Price History'!U138)),'Price History'!U138=0),"",'Price History'!U139/'Price History'!U138-1),"")</f>
        <v>0.00490837696335089</v>
      </c>
      <c r="V138" s="155" t="n">
        <f aca="false">IFERROR(IF(OR(NOT(ISNUMBER('Price History'!V139)),NOT(ISNUMBER('Price History'!V138)),'Price History'!V138=0),"",'Price History'!V139/'Price History'!V138-1),"")</f>
        <v>-0.0239723858382418</v>
      </c>
      <c r="W138" s="156" t="n">
        <f aca="false">IFERROR('Price History'!B3+(INDEX('Price History'!B:B,MATCH(9.99E+307,'Returns (Calc)'!$A:$A)+1)-'Price History'!B3)*(ROW()-3)/(MATCH(9.99E+307,'Returns (Calc)'!$A:$A)-3),"")</f>
        <v>280.079873417722</v>
      </c>
      <c r="X138" s="156" t="n">
        <f aca="false">IFERROR('Price History'!C3+(INDEX('Price History'!C:C,MATCH(9.99E+307,'Returns (Calc)'!$A:$A)+1)-'Price History'!C3)*(ROW()-3)/(MATCH(9.99E+307,'Returns (Calc)'!$A:$A)-3),"")</f>
        <v>183.888544303797</v>
      </c>
      <c r="Y138" s="156" t="n">
        <f aca="false">IFERROR('Price History'!D3+(INDEX('Price History'!D:D,MATCH(9.99E+307,'Returns (Calc)'!$A:$A)+1)-'Price History'!D3)*(ROW()-3)/(MATCH(9.99E+307,'Returns (Calc)'!$A:$A)-3),"")</f>
        <v>1680.20936708861</v>
      </c>
      <c r="Z138" s="156" t="n">
        <f aca="false">IFERROR('Price History'!E3+(INDEX('Price History'!E:E,MATCH(9.99E+307,'Returns (Calc)'!$A:$A)+1)-'Price History'!E3)*(ROW()-3)/(MATCH(9.99E+307,'Returns (Calc)'!$A:$A)-3),"")</f>
        <v>315.379113924051</v>
      </c>
      <c r="AA138" s="156" t="n">
        <f aca="false">IFERROR('Price History'!F3+(INDEX('Price History'!F:F,MATCH(9.99E+307,'Returns (Calc)'!$A:$A)+1)-'Price History'!F3)*(ROW()-3)/(MATCH(9.99E+307,'Returns (Calc)'!$A:$A)-3),"")</f>
        <v>236.751139240506</v>
      </c>
      <c r="AB138" s="156" t="n">
        <f aca="false">IFERROR('Price History'!G3+(INDEX('Price History'!G:G,MATCH(9.99E+307,'Returns (Calc)'!$A:$A)+1)-'Price History'!G3)*(ROW()-3)/(MATCH(9.99E+307,'Returns (Calc)'!$A:$A)-3),"")</f>
        <v>183.229113924051</v>
      </c>
      <c r="AC138" s="156" t="n">
        <f aca="false">IFERROR('Price History'!H3+(INDEX('Price History'!H:H,MATCH(9.99E+307,'Returns (Calc)'!$A:$A)+1)-'Price History'!H3)*(ROW()-3)/(MATCH(9.99E+307,'Returns (Calc)'!$A:$A)-3),"")</f>
        <v>928.478987341772</v>
      </c>
      <c r="AD138" s="156" t="n">
        <f aca="false">IFERROR('Price History'!I3+(INDEX('Price History'!I:I,MATCH(9.99E+307,'Returns (Calc)'!$A:$A)+1)-'Price History'!I3)*(ROW()-3)/(MATCH(9.99E+307,'Returns (Calc)'!$A:$A)-3),"")</f>
        <v>206.265569620253</v>
      </c>
      <c r="AE138" s="156" t="n">
        <f aca="false">IFERROR('Price History'!J3+(INDEX('Price History'!J:J,MATCH(9.99E+307,'Returns (Calc)'!$A:$A)+1)-'Price History'!J3)*(ROW()-3)/(MATCH(9.99E+307,'Returns (Calc)'!$A:$A)-3),"")</f>
        <v>126.425126582278</v>
      </c>
      <c r="AF138" s="156" t="n">
        <f aca="false">IFERROR('Price History'!K3+(INDEX('Price History'!K:K,MATCH(9.99E+307,'Returns (Calc)'!$A:$A)+1)-'Price History'!K3)*(ROW()-3)/(MATCH(9.99E+307,'Returns (Calc)'!$A:$A)-3),"")</f>
        <v>163.505316455696</v>
      </c>
      <c r="AG138" s="156" t="n">
        <f aca="false">IFERROR('Price History'!L3+(INDEX('Price History'!L:L,MATCH(9.99E+307,'Returns (Calc)'!$A:$A)+1)-'Price History'!L3)*(ROW()-3)/(MATCH(9.99E+307,'Returns (Calc)'!$A:$A)-3),"")</f>
        <v>416.440189873418</v>
      </c>
      <c r="AH138" s="156" t="n">
        <f aca="false">IFERROR('Price History'!M3+(INDEX('Price History'!M:M,MATCH(9.99E+307,'Returns (Calc)'!$A:$A)+1)-'Price History'!M3)*(ROW()-3)/(MATCH(9.99E+307,'Returns (Calc)'!$A:$A)-3),"")</f>
        <v>221.004810126582</v>
      </c>
      <c r="AI138" s="156" t="n">
        <f aca="false">IFERROR('Price History'!N3+(INDEX('Price History'!N:N,MATCH(9.99E+307,'Returns (Calc)'!$A:$A)+1)-'Price History'!N3)*(ROW()-3)/(MATCH(9.99E+307,'Returns (Calc)'!$A:$A)-3),"")</f>
        <v>482.045886075949</v>
      </c>
      <c r="AJ138" s="156" t="n">
        <f aca="false">IFERROR('Price History'!O3+(INDEX('Price History'!O:O,MATCH(9.99E+307,'Returns (Calc)'!$A:$A)+1)-'Price History'!O3)*(ROW()-3)/(MATCH(9.99E+307,'Returns (Calc)'!$A:$A)-3),"")</f>
        <v>113.520126582278</v>
      </c>
      <c r="AK138" s="156" t="n">
        <f aca="false">IFERROR('Price History'!Q3+(INDEX('Price History'!Q:Q,MATCH(9.99E+307,'Returns (Calc)'!$A:$A)+1)-'Price History'!Q3)*(ROW()-3)/(MATCH(9.99E+307,'Returns (Calc)'!$A:$A)-3),"")</f>
        <v>59.3145569620253</v>
      </c>
      <c r="AL138" s="156" t="n">
        <f aca="false">IFERROR('Price History'!R3+(INDEX('Price History'!R:R,MATCH(9.99E+307,'Returns (Calc)'!$A:$A)+1)-'Price History'!R3)*(ROW()-3)/(MATCH(9.99E+307,'Returns (Calc)'!$A:$A)-3),"")</f>
        <v>57.173670886076</v>
      </c>
      <c r="AM138" s="156" t="n">
        <f aca="false">IFERROR('Price History'!S3+(INDEX('Price History'!S:S,MATCH(9.99E+307,'Returns (Calc)'!$A:$A)+1)-'Price History'!S3)*(ROW()-3)/(MATCH(9.99E+307,'Returns (Calc)'!$A:$A)-3),"")</f>
        <v>139.313544303797</v>
      </c>
      <c r="AN138" s="156" t="n">
        <f aca="false">IFERROR('Price History'!T3+(INDEX('Price History'!T:T,MATCH(9.99E+307,'Returns (Calc)'!$A:$A)+1)-'Price History'!T3)*(ROW()-3)/(MATCH(9.99E+307,'Returns (Calc)'!$A:$A)-3),"")</f>
        <v>47.9507594936709</v>
      </c>
      <c r="AO138" s="157" t="n">
        <f aca="false">IFERROR('Price History'!V3+(INDEX('Price History'!V:V,MATCH(9.99E+307,'Returns (Calc)'!$A:$A)+1)-'Price History'!V3)*(ROW()-3)/(MATCH(9.99E+307,'Returns (Calc)'!$A:$A)-3),"")</f>
        <v>342.459430379747</v>
      </c>
      <c r="AP138" s="155" t="n">
        <f aca="false">IFERROR(IF(OR(NOT(ISNUMBER('Price History'!W139)),NOT(ISNUMBER('Price History'!W138)),'Price History'!W138=0),"",'Price History'!W139/'Price History'!W138-1),"")</f>
        <v>-0.00104370515329433</v>
      </c>
      <c r="AQ138" s="155" t="n">
        <f aca="false">IFERROR(IF(OR(NOT(ISNUMBER('Price History'!X139)),NOT(ISNUMBER('Price History'!X138)),'Price History'!X138=0),"",'Price History'!X139/'Price History'!X138-1),"")</f>
        <v>0.0133542812254517</v>
      </c>
      <c r="AR138" s="155" t="n">
        <f aca="false">IFERROR(IF(OR(NOT(ISNUMBER('Price History'!Y139)),NOT(ISNUMBER('Price History'!Y138)),'Price History'!Y138=0),"",'Price History'!Y139/'Price History'!Y138-1),"")</f>
        <v>-0.00810956929176432</v>
      </c>
      <c r="AS138" s="155" t="n">
        <f aca="false">IFERROR(IF(OR(NOT(ISNUMBER('Price History'!Z139)),NOT(ISNUMBER('Price History'!Z138)),'Price History'!Z138=0),"",'Price History'!Z139/'Price History'!Z138-1),"")</f>
        <v>-0.0641975308641976</v>
      </c>
      <c r="AT138" s="155" t="n">
        <f aca="false">IFERROR(IF(OR(NOT(ISNUMBER('Price History'!AA139)),NOT(ISNUMBER('Price History'!AA138)),'Price History'!AA138=0),"",'Price History'!AA139/'Price History'!AA138-1),"")</f>
        <v>-0.0500462439625938</v>
      </c>
      <c r="AU138" s="155" t="n">
        <f aca="false">IFERROR(IF(OR(NOT(ISNUMBER('Price History'!AB139)),NOT(ISNUMBER('Price History'!AB138)),'Price History'!AB138=0),"",'Price History'!AB139/'Price History'!AB138-1),"")</f>
        <v>-0.0406073236082167</v>
      </c>
    </row>
    <row r="139" customFormat="false" ht="15" hidden="false" customHeight="true" outlineLevel="0" collapsed="false">
      <c r="A139" s="153" t="n">
        <f aca="false">IF('Price History'!A140="","",'Price History'!A140)</f>
        <v>46143</v>
      </c>
      <c r="B139" s="154" t="n">
        <f aca="false">IFERROR(IF(OR(NOT(ISNUMBER('Price History'!B140)),NOT(ISNUMBER('Price History'!B139)),'Price History'!B139=0),"",'Price History'!B140/'Price History'!B139-1),"")</f>
        <v>0.0214716427640156</v>
      </c>
      <c r="C139" s="154" t="n">
        <f aca="false">IFERROR(IF(OR(NOT(ISNUMBER('Price History'!C140)),NOT(ISNUMBER('Price History'!C139)),'Price History'!C139=0),"",'Price History'!C140/'Price History'!C139-1),"")</f>
        <v>-0.0237974111129954</v>
      </c>
      <c r="D139" s="154" t="n">
        <f aca="false">IFERROR(IF(OR(NOT(ISNUMBER('Price History'!D140)),NOT(ISNUMBER('Price History'!D139)),'Price History'!D139=0),"",'Price History'!D140/'Price History'!D139-1),"")</f>
        <v>-0.0189035136028197</v>
      </c>
      <c r="E139" s="154" t="n">
        <f aca="false">IFERROR(IF(OR(NOT(ISNUMBER('Price History'!E140)),NOT(ISNUMBER('Price History'!E139)),'Price History'!E139=0),"",'Price History'!E140/'Price History'!E139-1),"")</f>
        <v>-0.00348903446311588</v>
      </c>
      <c r="F139" s="154" t="n">
        <f aca="false">IFERROR(IF(OR(NOT(ISNUMBER('Price History'!F140)),NOT(ISNUMBER('Price History'!F139)),'Price History'!F139=0),"",'Price History'!F140/'Price History'!F139-1),"")</f>
        <v>0.0167812193162544</v>
      </c>
      <c r="G139" s="154" t="n">
        <f aca="false">IFERROR(IF(OR(NOT(ISNUMBER('Price History'!G140)),NOT(ISNUMBER('Price History'!G139)),'Price History'!G139=0),"",'Price History'!G140/'Price History'!G139-1),"")</f>
        <v>-0.107905097389142</v>
      </c>
      <c r="H139" s="154" t="n">
        <f aca="false">IFERROR(IF(OR(NOT(ISNUMBER('Price History'!H140)),NOT(ISNUMBER('Price History'!H139)),'Price History'!H139=0),"",'Price History'!H140/'Price History'!H139-1),"")</f>
        <v>0.0915955219072164</v>
      </c>
      <c r="I139" s="154" t="n">
        <f aca="false">IFERROR(IF(OR(NOT(ISNUMBER('Price History'!I140)),NOT(ISNUMBER('Price History'!I139)),'Price History'!I139=0),"",'Price History'!I140/'Price History'!I139-1),"")</f>
        <v>-0.0471607314725698</v>
      </c>
      <c r="J139" s="154" t="n">
        <f aca="false">IFERROR(IF(OR(NOT(ISNUMBER('Price History'!J140)),NOT(ISNUMBER('Price History'!J139)),'Price History'!J139=0),"",'Price History'!J140/'Price History'!J139-1),"")</f>
        <v>-0.00478708202343536</v>
      </c>
      <c r="K139" s="154" t="n">
        <f aca="false">IFERROR(IF(OR(NOT(ISNUMBER('Price History'!K140)),NOT(ISNUMBER('Price History'!K139)),'Price History'!K139=0),"",'Price History'!K140/'Price History'!K139-1),"")</f>
        <v>0.00684883639667344</v>
      </c>
      <c r="L139" s="154" t="n">
        <f aca="false">IFERROR(IF(OR(NOT(ISNUMBER('Price History'!L140)),NOT(ISNUMBER('Price History'!L139)),'Price History'!L139=0),"",'Price History'!L140/'Price History'!L139-1),"")</f>
        <v>-0.011911599450618</v>
      </c>
      <c r="M139" s="154" t="n">
        <f aca="false">IFERROR(IF(OR(NOT(ISNUMBER('Price History'!M140)),NOT(ISNUMBER('Price History'!M139)),'Price History'!M139=0),"",'Price History'!M140/'Price History'!M139-1),"")</f>
        <v>0.0150010825523492</v>
      </c>
      <c r="N139" s="154" t="n">
        <f aca="false">IFERROR(IF(OR(NOT(ISNUMBER('Price History'!N140)),NOT(ISNUMBER('Price History'!N139)),'Price History'!N139=0),"",'Price History'!N140/'Price History'!N139-1),"")</f>
        <v>-0.0148039694159753</v>
      </c>
      <c r="O139" s="154" t="n">
        <f aca="false">IFERROR(IF(OR(NOT(ISNUMBER('Price History'!O140)),NOT(ISNUMBER('Price History'!O139)),'Price History'!O139=0),"",'Price History'!O140/'Price History'!O139-1),"")</f>
        <v>0.00837988826815628</v>
      </c>
      <c r="P139" s="154" t="n">
        <f aca="false">IFERROR(IF(OR(NOT(ISNUMBER('Price History'!P140)),NOT(ISNUMBER('Price History'!P139)),'Price History'!P139=0),"",'Price History'!P140/'Price History'!P139-1),"")</f>
        <v>0.017928819909018</v>
      </c>
      <c r="Q139" s="154" t="n">
        <f aca="false">IFERROR(IF(OR(NOT(ISNUMBER('Price History'!Q140)),NOT(ISNUMBER('Price History'!Q139)),'Price History'!Q139=0),"",'Price History'!Q140/'Price History'!Q139-1),"")</f>
        <v>0.00402504472271903</v>
      </c>
      <c r="R139" s="154" t="n">
        <f aca="false">IFERROR(IF(OR(NOT(ISNUMBER('Price History'!R140)),NOT(ISNUMBER('Price History'!R139)),'Price History'!R139=0),"",'Price History'!R140/'Price History'!R139-1),"")</f>
        <v>0.0079408049088614</v>
      </c>
      <c r="S139" s="154" t="n">
        <f aca="false">IFERROR(IF(OR(NOT(ISNUMBER('Price History'!S140)),NOT(ISNUMBER('Price History'!S139)),'Price History'!S139=0),"",'Price History'!S140/'Price History'!S139-1),"")</f>
        <v>0.0221205186880245</v>
      </c>
      <c r="T139" s="154" t="n">
        <f aca="false">IFERROR(IF(OR(NOT(ISNUMBER('Price History'!T140)),NOT(ISNUMBER('Price History'!T139)),'Price History'!T139=0),"",'Price History'!T140/'Price History'!T139-1),"")</f>
        <v>0.0256410256410256</v>
      </c>
      <c r="U139" s="154" t="n">
        <f aca="false">IFERROR(IF(OR(NOT(ISNUMBER('Price History'!U140)),NOT(ISNUMBER('Price History'!U139)),'Price History'!U139=0),"",'Price History'!U140/'Price History'!U139-1),"")</f>
        <v>0.0211657440573103</v>
      </c>
      <c r="V139" s="155" t="n">
        <f aca="false">IFERROR(IF(OR(NOT(ISNUMBER('Price History'!V140)),NOT(ISNUMBER('Price History'!V139)),'Price History'!V139=0),"",'Price History'!V140/'Price History'!V139-1),"")</f>
        <v>0.0601213458356316</v>
      </c>
      <c r="W139" s="156" t="n">
        <f aca="false">IFERROR('Price History'!B3+(INDEX('Price History'!B:B,MATCH(9.99E+307,'Returns (Calc)'!$A:$A)+1)-'Price History'!B3)*(ROW()-3)/(MATCH(9.99E+307,'Returns (Calc)'!$A:$A)-3),"")</f>
        <v>278.236835443038</v>
      </c>
      <c r="X139" s="156" t="n">
        <f aca="false">IFERROR('Price History'!C3+(INDEX('Price History'!C:C,MATCH(9.99E+307,'Returns (Calc)'!$A:$A)+1)-'Price History'!C3)*(ROW()-3)/(MATCH(9.99E+307,'Returns (Calc)'!$A:$A)-3),"")</f>
        <v>184.908607594937</v>
      </c>
      <c r="Y139" s="156" t="n">
        <f aca="false">IFERROR('Price History'!D3+(INDEX('Price History'!D:D,MATCH(9.99E+307,'Returns (Calc)'!$A:$A)+1)-'Price History'!D3)*(ROW()-3)/(MATCH(9.99E+307,'Returns (Calc)'!$A:$A)-3),"")</f>
        <v>1688.34417721519</v>
      </c>
      <c r="Z139" s="156" t="n">
        <f aca="false">IFERROR('Price History'!E3+(INDEX('Price History'!E:E,MATCH(9.99E+307,'Returns (Calc)'!$A:$A)+1)-'Price History'!E3)*(ROW()-3)/(MATCH(9.99E+307,'Returns (Calc)'!$A:$A)-3),"")</f>
        <v>317.107848101266</v>
      </c>
      <c r="AA139" s="156" t="n">
        <f aca="false">IFERROR('Price History'!F3+(INDEX('Price History'!F:F,MATCH(9.99E+307,'Returns (Calc)'!$A:$A)+1)-'Price History'!F3)*(ROW()-3)/(MATCH(9.99E+307,'Returns (Calc)'!$A:$A)-3),"")</f>
        <v>238.198481012658</v>
      </c>
      <c r="AB139" s="156" t="n">
        <f aca="false">IFERROR('Price History'!G3+(INDEX('Price History'!G:G,MATCH(9.99E+307,'Returns (Calc)'!$A:$A)+1)-'Price History'!G3)*(ROW()-3)/(MATCH(9.99E+307,'Returns (Calc)'!$A:$A)-3),"")</f>
        <v>184.257848101266</v>
      </c>
      <c r="AC139" s="156" t="n">
        <f aca="false">IFERROR('Price History'!H3+(INDEX('Price History'!H:H,MATCH(9.99E+307,'Returns (Calc)'!$A:$A)+1)-'Price History'!H3)*(ROW()-3)/(MATCH(9.99E+307,'Returns (Calc)'!$A:$A)-3),"")</f>
        <v>934.844683544304</v>
      </c>
      <c r="AD139" s="156" t="n">
        <f aca="false">IFERROR('Price History'!I3+(INDEX('Price History'!I:I,MATCH(9.99E+307,'Returns (Calc)'!$A:$A)+1)-'Price History'!I3)*(ROW()-3)/(MATCH(9.99E+307,'Returns (Calc)'!$A:$A)-3),"")</f>
        <v>207.469240506329</v>
      </c>
      <c r="AE139" s="156" t="n">
        <f aca="false">IFERROR('Price History'!J3+(INDEX('Price History'!J:J,MATCH(9.99E+307,'Returns (Calc)'!$A:$A)+1)-'Price History'!J3)*(ROW()-3)/(MATCH(9.99E+307,'Returns (Calc)'!$A:$A)-3),"")</f>
        <v>126.533164556962</v>
      </c>
      <c r="AF139" s="156" t="n">
        <f aca="false">IFERROR('Price History'!K3+(INDEX('Price History'!K:K,MATCH(9.99E+307,'Returns (Calc)'!$A:$A)+1)-'Price History'!K3)*(ROW()-3)/(MATCH(9.99E+307,'Returns (Calc)'!$A:$A)-3),"")</f>
        <v>164.602911392405</v>
      </c>
      <c r="AG139" s="156" t="n">
        <f aca="false">IFERROR('Price History'!L3+(INDEX('Price History'!L:L,MATCH(9.99E+307,'Returns (Calc)'!$A:$A)+1)-'Price History'!L3)*(ROW()-3)/(MATCH(9.99E+307,'Returns (Calc)'!$A:$A)-3),"")</f>
        <v>418.889746835443</v>
      </c>
      <c r="AH139" s="156" t="n">
        <f aca="false">IFERROR('Price History'!M3+(INDEX('Price History'!M:M,MATCH(9.99E+307,'Returns (Calc)'!$A:$A)+1)-'Price History'!M3)*(ROW()-3)/(MATCH(9.99E+307,'Returns (Calc)'!$A:$A)-3),"")</f>
        <v>222.360253164557</v>
      </c>
      <c r="AI139" s="156" t="n">
        <f aca="false">IFERROR('Price History'!N3+(INDEX('Price History'!N:N,MATCH(9.99E+307,'Returns (Calc)'!$A:$A)+1)-'Price History'!N3)*(ROW()-3)/(MATCH(9.99E+307,'Returns (Calc)'!$A:$A)-3),"")</f>
        <v>483.032151898734</v>
      </c>
      <c r="AJ139" s="156" t="n">
        <f aca="false">IFERROR('Price History'!O3+(INDEX('Price History'!O:O,MATCH(9.99E+307,'Returns (Calc)'!$A:$A)+1)-'Price History'!O3)*(ROW()-3)/(MATCH(9.99E+307,'Returns (Calc)'!$A:$A)-3),"")</f>
        <v>113.803164556962</v>
      </c>
      <c r="AK139" s="156" t="n">
        <f aca="false">IFERROR('Price History'!Q3+(INDEX('Price History'!Q:Q,MATCH(9.99E+307,'Returns (Calc)'!$A:$A)+1)-'Price History'!Q3)*(ROW()-3)/(MATCH(9.99E+307,'Returns (Calc)'!$A:$A)-3),"")</f>
        <v>59.7539240506329</v>
      </c>
      <c r="AL139" s="156" t="n">
        <f aca="false">IFERROR('Price History'!R3+(INDEX('Price History'!R:R,MATCH(9.99E+307,'Returns (Calc)'!$A:$A)+1)-'Price History'!R3)*(ROW()-3)/(MATCH(9.99E+307,'Returns (Calc)'!$A:$A)-3),"")</f>
        <v>57.3417721518987</v>
      </c>
      <c r="AM139" s="156" t="n">
        <f aca="false">IFERROR('Price History'!S3+(INDEX('Price History'!S:S,MATCH(9.99E+307,'Returns (Calc)'!$A:$A)+1)-'Price History'!S3)*(ROW()-3)/(MATCH(9.99E+307,'Returns (Calc)'!$A:$A)-3),"")</f>
        <v>139.918607594937</v>
      </c>
      <c r="AN139" s="156" t="n">
        <f aca="false">IFERROR('Price History'!T3+(INDEX('Price History'!T:T,MATCH(9.99E+307,'Returns (Calc)'!$A:$A)+1)-'Price History'!T3)*(ROW()-3)/(MATCH(9.99E+307,'Returns (Calc)'!$A:$A)-3),"")</f>
        <v>48.1189873417722</v>
      </c>
      <c r="AO139" s="157" t="n">
        <f aca="false">IFERROR('Price History'!V3+(INDEX('Price History'!V:V,MATCH(9.99E+307,'Returns (Calc)'!$A:$A)+1)-'Price History'!V3)*(ROW()-3)/(MATCH(9.99E+307,'Returns (Calc)'!$A:$A)-3),"")</f>
        <v>343.250759493671</v>
      </c>
      <c r="AP139" s="155" t="n">
        <f aca="false">IFERROR(IF(OR(NOT(ISNUMBER('Price History'!W140)),NOT(ISNUMBER('Price History'!W139)),'Price History'!W139=0),"",'Price History'!W140/'Price History'!W139-1),"")</f>
        <v>0.0101214574898787</v>
      </c>
      <c r="AQ139" s="155" t="n">
        <f aca="false">IFERROR(IF(OR(NOT(ISNUMBER('Price History'!X140)),NOT(ISNUMBER('Price History'!X139)),'Price History'!X139=0),"",'Price History'!X140/'Price History'!X139-1),"")</f>
        <v>0.0513565891472867</v>
      </c>
      <c r="AR139" s="155" t="n">
        <f aca="false">IFERROR(IF(OR(NOT(ISNUMBER('Price History'!Y140)),NOT(ISNUMBER('Price History'!Y139)),'Price History'!Y139=0),"",'Price History'!Y140/'Price History'!Y139-1),"")</f>
        <v>-0.000908430232558044</v>
      </c>
      <c r="AS139" s="155" t="n">
        <f aca="false">IFERROR(IF(OR(NOT(ISNUMBER('Price History'!Z140)),NOT(ISNUMBER('Price History'!Z139)),'Price History'!Z139=0),"",'Price History'!Z140/'Price History'!Z139-1),"")</f>
        <v>0.0066842568161829</v>
      </c>
      <c r="AT139" s="155" t="n">
        <f aca="false">IFERROR(IF(OR(NOT(ISNUMBER('Price History'!AA140)),NOT(ISNUMBER('Price History'!AA139)),'Price History'!AA139=0),"",'Price History'!AA140/'Price History'!AA139-1),"")</f>
        <v>-0.00411077455646902</v>
      </c>
      <c r="AU139" s="155" t="n">
        <f aca="false">IFERROR(IF(OR(NOT(ISNUMBER('Price History'!AB140)),NOT(ISNUMBER('Price History'!AB139)),'Price History'!AB139=0),"",'Price History'!AB140/'Price History'!AB139-1),"")</f>
        <v>0.064978588717185</v>
      </c>
    </row>
    <row r="140" customFormat="false" ht="15" hidden="false" customHeight="true" outlineLevel="0" collapsed="false">
      <c r="A140" s="153" t="n">
        <f aca="false">IF('Price History'!A141="","",'Price History'!A141)</f>
        <v>46150</v>
      </c>
      <c r="B140" s="154" t="n">
        <f aca="false">IFERROR(IF(OR(NOT(ISNUMBER('Price History'!B141)),NOT(ISNUMBER('Price History'!B140)),'Price History'!B140=0),"",'Price History'!B141/'Price History'!B140-1),"")</f>
        <v>0.00929360615850983</v>
      </c>
      <c r="C140" s="154" t="n">
        <f aca="false">IFERROR(IF(OR(NOT(ISNUMBER('Price History'!C141)),NOT(ISNUMBER('Price History'!C140)),'Price History'!C140=0),"",'Price History'!C141/'Price History'!C140-1),"")</f>
        <v>-0.179096699478865</v>
      </c>
      <c r="D140" s="154" t="n">
        <f aca="false">IFERROR(IF(OR(NOT(ISNUMBER('Price History'!D141)),NOT(ISNUMBER('Price History'!D140)),'Price History'!D140=0),"",'Price History'!D141/'Price History'!D140-1),"")</f>
        <v>0.115620483026705</v>
      </c>
      <c r="E140" s="154" t="n">
        <f aca="false">IFERROR(IF(OR(NOT(ISNUMBER('Price History'!E141)),NOT(ISNUMBER('Price History'!E140)),'Price History'!E140=0),"",'Price History'!E141/'Price History'!E140-1),"")</f>
        <v>0.0206978682862926</v>
      </c>
      <c r="F140" s="154" t="n">
        <f aca="false">IFERROR(IF(OR(NOT(ISNUMBER('Price History'!F141)),NOT(ISNUMBER('Price History'!F140)),'Price History'!F140=0),"",'Price History'!F141/'Price History'!F140-1),"")</f>
        <v>0.158282854885436</v>
      </c>
      <c r="G140" s="154" t="n">
        <f aca="false">IFERROR(IF(OR(NOT(ISNUMBER('Price History'!G141)),NOT(ISNUMBER('Price History'!G140)),'Price History'!G140=0),"",'Price History'!G141/'Price History'!G140-1),"")</f>
        <v>0.0828058765460775</v>
      </c>
      <c r="H140" s="154" t="n">
        <f aca="false">IFERROR(IF(OR(NOT(ISNUMBER('Price History'!H141)),NOT(ISNUMBER('Price History'!H140)),'Price History'!H140=0),"",'Price History'!H141/'Price History'!H140-1),"")</f>
        <v>0.377344917270765</v>
      </c>
      <c r="I140" s="154" t="n">
        <f aca="false">IFERROR(IF(OR(NOT(ISNUMBER('Price History'!I141)),NOT(ISNUMBER('Price History'!I140)),'Price History'!I140=0),"",'Price History'!I141/'Price History'!I140-1),"")</f>
        <v>0.0843939393939395</v>
      </c>
      <c r="J140" s="154" t="n">
        <f aca="false">IFERROR(IF(OR(NOT(ISNUMBER('Price History'!J141)),NOT(ISNUMBER('Price History'!J140)),'Price History'!J140=0),"",'Price History'!J141/'Price History'!J140-1),"")</f>
        <v>0.0188814703137339</v>
      </c>
      <c r="K140" s="154" t="n">
        <f aca="false">IFERROR(IF(OR(NOT(ISNUMBER('Price History'!K141)),NOT(ISNUMBER('Price History'!K140)),'Price History'!K140=0),"",'Price History'!K141/'Price History'!K140-1),"")</f>
        <v>-0.0435205108627749</v>
      </c>
      <c r="L140" s="154" t="n">
        <f aca="false">IFERROR(IF(OR(NOT(ISNUMBER('Price History'!L141)),NOT(ISNUMBER('Price History'!L140)),'Price History'!L140=0),"",'Price History'!L141/'Price History'!L140-1),"")</f>
        <v>0.0352304892842701</v>
      </c>
      <c r="M140" s="154" t="n">
        <f aca="false">IFERROR(IF(OR(NOT(ISNUMBER('Price History'!M141)),NOT(ISNUMBER('Price History'!M140)),'Price History'!M140=0),"",'Price History'!M141/'Price History'!M140-1),"")</f>
        <v>0.03553144807411</v>
      </c>
      <c r="N140" s="154" t="n">
        <f aca="false">IFERROR(IF(OR(NOT(ISNUMBER('Price History'!N141)),NOT(ISNUMBER('Price History'!N140)),'Price History'!N140=0),"",'Price History'!N141/'Price History'!N140-1),"")</f>
        <v>0.0139177203245895</v>
      </c>
      <c r="O140" s="154" t="n">
        <f aca="false">IFERROR(IF(OR(NOT(ISNUMBER('Price History'!O141)),NOT(ISNUMBER('Price History'!O140)),'Price History'!O140=0),"",'Price History'!O141/'Price History'!O140-1),"")</f>
        <v>-0.00100730294636109</v>
      </c>
      <c r="P140" s="154" t="n">
        <f aca="false">IFERROR(IF(OR(NOT(ISNUMBER('Price History'!P141)),NOT(ISNUMBER('Price History'!P140)),'Price History'!P140=0),"",'Price History'!P141/'Price History'!P140-1),"")</f>
        <v>-0.0151813880126183</v>
      </c>
      <c r="Q140" s="154" t="n">
        <f aca="false">IFERROR(IF(OR(NOT(ISNUMBER('Price History'!Q141)),NOT(ISNUMBER('Price History'!Q140)),'Price History'!Q140=0),"",'Price History'!Q141/'Price History'!Q140-1),"")</f>
        <v>0.00193021529324433</v>
      </c>
      <c r="R140" s="154" t="n">
        <f aca="false">IFERROR(IF(OR(NOT(ISNUMBER('Price History'!R141)),NOT(ISNUMBER('Price History'!R140)),'Price History'!R140=0),"",'Price History'!R141/'Price History'!R140-1),"")</f>
        <v>0.0127126230975829</v>
      </c>
      <c r="S140" s="154" t="n">
        <f aca="false">IFERROR(IF(OR(NOT(ISNUMBER('Price History'!S141)),NOT(ISNUMBER('Price History'!S140)),'Price History'!S140=0),"",'Price History'!S141/'Price History'!S140-1),"")</f>
        <v>0.0698507462686568</v>
      </c>
      <c r="T140" s="154" t="n">
        <f aca="false">IFERROR(IF(OR(NOT(ISNUMBER('Price History'!T141)),NOT(ISNUMBER('Price History'!T140)),'Price History'!T140=0),"",'Price History'!T141/'Price History'!T140-1),"")</f>
        <v>0.0245283018867923</v>
      </c>
      <c r="U140" s="154" t="n">
        <f aca="false">IFERROR(IF(OR(NOT(ISNUMBER('Price History'!U141)),NOT(ISNUMBER('Price History'!U140)),'Price History'!U140=0),"",'Price History'!U141/'Price History'!U140-1),"")</f>
        <v>-0.00765306122448972</v>
      </c>
      <c r="V140" s="155" t="n">
        <f aca="false">IFERROR(IF(OR(NOT(ISNUMBER('Price History'!V141)),NOT(ISNUMBER('Price History'!V140)),'Price History'!V140=0),"",'Price History'!V141/'Price History'!V140-1),"")</f>
        <v>-0.0281569443594295</v>
      </c>
      <c r="W140" s="156" t="n">
        <f aca="false">IFERROR('Price History'!B3+(INDEX('Price History'!B:B,MATCH(9.99E+307,'Returns (Calc)'!$A:$A)+1)-'Price History'!B3)*(ROW()-3)/(MATCH(9.99E+307,'Returns (Calc)'!$A:$A)-3),"")</f>
        <v>276.393797468354</v>
      </c>
      <c r="X140" s="156" t="n">
        <f aca="false">IFERROR('Price History'!C3+(INDEX('Price History'!C:C,MATCH(9.99E+307,'Returns (Calc)'!$A:$A)+1)-'Price History'!C3)*(ROW()-3)/(MATCH(9.99E+307,'Returns (Calc)'!$A:$A)-3),"")</f>
        <v>185.928670886076</v>
      </c>
      <c r="Y140" s="156" t="n">
        <f aca="false">IFERROR('Price History'!D3+(INDEX('Price History'!D:D,MATCH(9.99E+307,'Returns (Calc)'!$A:$A)+1)-'Price History'!D3)*(ROW()-3)/(MATCH(9.99E+307,'Returns (Calc)'!$A:$A)-3),"")</f>
        <v>1696.47898734177</v>
      </c>
      <c r="Z140" s="156" t="n">
        <f aca="false">IFERROR('Price History'!E3+(INDEX('Price History'!E:E,MATCH(9.99E+307,'Returns (Calc)'!$A:$A)+1)-'Price History'!E3)*(ROW()-3)/(MATCH(9.99E+307,'Returns (Calc)'!$A:$A)-3),"")</f>
        <v>318.836582278481</v>
      </c>
      <c r="AA140" s="156" t="n">
        <f aca="false">IFERROR('Price History'!F3+(INDEX('Price History'!F:F,MATCH(9.99E+307,'Returns (Calc)'!$A:$A)+1)-'Price History'!F3)*(ROW()-3)/(MATCH(9.99E+307,'Returns (Calc)'!$A:$A)-3),"")</f>
        <v>239.64582278481</v>
      </c>
      <c r="AB140" s="156" t="n">
        <f aca="false">IFERROR('Price History'!G3+(INDEX('Price History'!G:G,MATCH(9.99E+307,'Returns (Calc)'!$A:$A)+1)-'Price History'!G3)*(ROW()-3)/(MATCH(9.99E+307,'Returns (Calc)'!$A:$A)-3),"")</f>
        <v>185.286582278481</v>
      </c>
      <c r="AC140" s="156" t="n">
        <f aca="false">IFERROR('Price History'!H3+(INDEX('Price History'!H:H,MATCH(9.99E+307,'Returns (Calc)'!$A:$A)+1)-'Price History'!H3)*(ROW()-3)/(MATCH(9.99E+307,'Returns (Calc)'!$A:$A)-3),"")</f>
        <v>941.210379746836</v>
      </c>
      <c r="AD140" s="156" t="n">
        <f aca="false">IFERROR('Price History'!I3+(INDEX('Price History'!I:I,MATCH(9.99E+307,'Returns (Calc)'!$A:$A)+1)-'Price History'!I3)*(ROW()-3)/(MATCH(9.99E+307,'Returns (Calc)'!$A:$A)-3),"")</f>
        <v>208.672911392405</v>
      </c>
      <c r="AE140" s="156" t="n">
        <f aca="false">IFERROR('Price History'!J3+(INDEX('Price History'!J:J,MATCH(9.99E+307,'Returns (Calc)'!$A:$A)+1)-'Price History'!J3)*(ROW()-3)/(MATCH(9.99E+307,'Returns (Calc)'!$A:$A)-3),"")</f>
        <v>126.641202531646</v>
      </c>
      <c r="AF140" s="156" t="n">
        <f aca="false">IFERROR('Price History'!K3+(INDEX('Price History'!K:K,MATCH(9.99E+307,'Returns (Calc)'!$A:$A)+1)-'Price History'!K3)*(ROW()-3)/(MATCH(9.99E+307,'Returns (Calc)'!$A:$A)-3),"")</f>
        <v>165.700506329114</v>
      </c>
      <c r="AG140" s="156" t="n">
        <f aca="false">IFERROR('Price History'!L3+(INDEX('Price History'!L:L,MATCH(9.99E+307,'Returns (Calc)'!$A:$A)+1)-'Price History'!L3)*(ROW()-3)/(MATCH(9.99E+307,'Returns (Calc)'!$A:$A)-3),"")</f>
        <v>421.339303797468</v>
      </c>
      <c r="AH140" s="156" t="n">
        <f aca="false">IFERROR('Price History'!M3+(INDEX('Price History'!M:M,MATCH(9.99E+307,'Returns (Calc)'!$A:$A)+1)-'Price History'!M3)*(ROW()-3)/(MATCH(9.99E+307,'Returns (Calc)'!$A:$A)-3),"")</f>
        <v>223.715696202532</v>
      </c>
      <c r="AI140" s="156" t="n">
        <f aca="false">IFERROR('Price History'!N3+(INDEX('Price History'!N:N,MATCH(9.99E+307,'Returns (Calc)'!$A:$A)+1)-'Price History'!N3)*(ROW()-3)/(MATCH(9.99E+307,'Returns (Calc)'!$A:$A)-3),"")</f>
        <v>484.018417721519</v>
      </c>
      <c r="AJ140" s="156" t="n">
        <f aca="false">IFERROR('Price History'!O3+(INDEX('Price History'!O:O,MATCH(9.99E+307,'Returns (Calc)'!$A:$A)+1)-'Price History'!O3)*(ROW()-3)/(MATCH(9.99E+307,'Returns (Calc)'!$A:$A)-3),"")</f>
        <v>114.086202531646</v>
      </c>
      <c r="AK140" s="156" t="n">
        <f aca="false">IFERROR('Price History'!Q3+(INDEX('Price History'!Q:Q,MATCH(9.99E+307,'Returns (Calc)'!$A:$A)+1)-'Price History'!Q3)*(ROW()-3)/(MATCH(9.99E+307,'Returns (Calc)'!$A:$A)-3),"")</f>
        <v>60.1932911392405</v>
      </c>
      <c r="AL140" s="156" t="n">
        <f aca="false">IFERROR('Price History'!R3+(INDEX('Price History'!R:R,MATCH(9.99E+307,'Returns (Calc)'!$A:$A)+1)-'Price History'!R3)*(ROW()-3)/(MATCH(9.99E+307,'Returns (Calc)'!$A:$A)-3),"")</f>
        <v>57.5098734177215</v>
      </c>
      <c r="AM140" s="156" t="n">
        <f aca="false">IFERROR('Price History'!S3+(INDEX('Price History'!S:S,MATCH(9.99E+307,'Returns (Calc)'!$A:$A)+1)-'Price History'!S3)*(ROW()-3)/(MATCH(9.99E+307,'Returns (Calc)'!$A:$A)-3),"")</f>
        <v>140.523670886076</v>
      </c>
      <c r="AN140" s="156" t="n">
        <f aca="false">IFERROR('Price History'!T3+(INDEX('Price History'!T:T,MATCH(9.99E+307,'Returns (Calc)'!$A:$A)+1)-'Price History'!T3)*(ROW()-3)/(MATCH(9.99E+307,'Returns (Calc)'!$A:$A)-3),"")</f>
        <v>48.2872151898734</v>
      </c>
      <c r="AO140" s="157" t="n">
        <f aca="false">IFERROR('Price History'!V3+(INDEX('Price History'!V:V,MATCH(9.99E+307,'Returns (Calc)'!$A:$A)+1)-'Price History'!V3)*(ROW()-3)/(MATCH(9.99E+307,'Returns (Calc)'!$A:$A)-3),"")</f>
        <v>344.042088607595</v>
      </c>
      <c r="AP140" s="155" t="n">
        <f aca="false">IFERROR(IF(OR(NOT(ISNUMBER('Price History'!W141)),NOT(ISNUMBER('Price History'!W140)),'Price History'!W140=0),"",'Price History'!W141/'Price History'!W140-1),"")</f>
        <v>-0.00672312366668815</v>
      </c>
      <c r="AQ140" s="155" t="n">
        <f aca="false">IFERROR(IF(OR(NOT(ISNUMBER('Price History'!X141)),NOT(ISNUMBER('Price History'!X140)),'Price History'!X140=0),"",'Price History'!X141/'Price History'!X140-1),"")</f>
        <v>-0.0352073732718894</v>
      </c>
      <c r="AR140" s="155" t="n">
        <f aca="false">IFERROR(IF(OR(NOT(ISNUMBER('Price History'!Y141)),NOT(ISNUMBER('Price History'!Y140)),'Price History'!Y140=0),"",'Price History'!Y141/'Price History'!Y140-1),"")</f>
        <v>-0.0152755046372068</v>
      </c>
      <c r="AS140" s="155" t="n">
        <f aca="false">IFERROR(IF(OR(NOT(ISNUMBER('Price History'!Z141)),NOT(ISNUMBER('Price History'!Z140)),'Price History'!Z140=0),"",'Price History'!Z141/'Price History'!Z140-1),"")</f>
        <v>0.0371483487681286</v>
      </c>
      <c r="AT140" s="155" t="n">
        <f aca="false">IFERROR(IF(OR(NOT(ISNUMBER('Price History'!AA141)),NOT(ISNUMBER('Price History'!AA140)),'Price History'!AA140=0),"",'Price History'!AA141/'Price History'!AA140-1),"")</f>
        <v>-0.0496415381273083</v>
      </c>
      <c r="AU140" s="155" t="n">
        <f aca="false">IFERROR(IF(OR(NOT(ISNUMBER('Price History'!AB141)),NOT(ISNUMBER('Price History'!AB140)),'Price History'!AB140=0),"",'Price History'!AB141/'Price History'!AB140-1),"")</f>
        <v>-0.0306526806526806</v>
      </c>
    </row>
    <row r="141" customFormat="false" ht="15" hidden="false" customHeight="true" outlineLevel="0" collapsed="false">
      <c r="A141" s="153" t="n">
        <f aca="false">IF('Price History'!A142="","",'Price History'!A142)</f>
        <v>46157</v>
      </c>
      <c r="B141" s="154" t="n">
        <f aca="false">IFERROR(IF(OR(NOT(ISNUMBER('Price History'!B142)),NOT(ISNUMBER('Price History'!B141)),'Price History'!B141=0),"",'Price History'!B142/'Price History'!B141-1),"")</f>
        <v>-0.0214985773000316</v>
      </c>
      <c r="C141" s="154" t="n">
        <f aca="false">IFERROR(IF(OR(NOT(ISNUMBER('Price History'!C142)),NOT(ISNUMBER('Price History'!C141)),'Price History'!C141=0),"",'Price History'!C142/'Price History'!C141-1),"")</f>
        <v>0.00141073569866679</v>
      </c>
      <c r="D141" s="154" t="n">
        <f aca="false">IFERROR(IF(OR(NOT(ISNUMBER('Price History'!D142)),NOT(ISNUMBER('Price History'!D141)),'Price History'!D141=0),"",'Price History'!D142/'Price History'!D141-1),"")</f>
        <v>-0.0566618028126494</v>
      </c>
      <c r="E141" s="154" t="n">
        <f aca="false">IFERROR(IF(OR(NOT(ISNUMBER('Price History'!E142)),NOT(ISNUMBER('Price History'!E141)),'Price History'!E141=0),"",'Price History'!E142/'Price History'!E141-1),"")</f>
        <v>-0.011177486348999</v>
      </c>
      <c r="F141" s="154" t="n">
        <f aca="false">IFERROR(IF(OR(NOT(ISNUMBER('Price History'!F142)),NOT(ISNUMBER('Price History'!F141)),'Price History'!F141=0),"",'Price History'!F142/'Price History'!F141-1),"")</f>
        <v>0.12566318023344</v>
      </c>
      <c r="G141" s="154" t="n">
        <f aca="false">IFERROR(IF(OR(NOT(ISNUMBER('Price History'!G142)),NOT(ISNUMBER('Price History'!G141)),'Price History'!G141=0),"",'Price History'!G142/'Price History'!G141-1),"")</f>
        <v>-0.0346972703383922</v>
      </c>
      <c r="H141" s="154" t="n">
        <f aca="false">IFERROR(IF(OR(NOT(ISNUMBER('Price History'!H142)),NOT(ISNUMBER('Price History'!H141)),'Price History'!H141=0),"",'Price History'!H142/'Price History'!H141-1),"")</f>
        <v>-0.0296638542922192</v>
      </c>
      <c r="I141" s="154" t="n">
        <f aca="false">IFERROR(IF(OR(NOT(ISNUMBER('Price History'!I142)),NOT(ISNUMBER('Price History'!I141)),'Price History'!I141=0),"",'Price History'!I142/'Price History'!I141-1),"")</f>
        <v>0.0470401937497089</v>
      </c>
      <c r="J141" s="154" t="n">
        <f aca="false">IFERROR(IF(OR(NOT(ISNUMBER('Price History'!J142)),NOT(ISNUMBER('Price History'!J141)),'Price History'!J141=0),"",'Price History'!J142/'Price History'!J141-1),"")</f>
        <v>-0.0246617812852311</v>
      </c>
      <c r="K141" s="154" t="n">
        <f aca="false">IFERROR(IF(OR(NOT(ISNUMBER('Price History'!K142)),NOT(ISNUMBER('Price History'!K141)),'Price History'!K141=0),"",'Price History'!K142/'Price History'!K141-1),"")</f>
        <v>-0.0276487663280116</v>
      </c>
      <c r="L141" s="154" t="n">
        <f aca="false">IFERROR(IF(OR(NOT(ISNUMBER('Price History'!L142)),NOT(ISNUMBER('Price History'!L141)),'Price History'!L141=0),"",'Price History'!L142/'Price History'!L141-1),"")</f>
        <v>-0.0177969825692106</v>
      </c>
      <c r="M141" s="154" t="n">
        <f aca="false">IFERROR(IF(OR(NOT(ISNUMBER('Price History'!M142)),NOT(ISNUMBER('Price History'!M141)),'Price History'!M141=0),"",'Price History'!M142/'Price History'!M141-1),"")</f>
        <v>0.0910776293331763</v>
      </c>
      <c r="N141" s="154" t="n">
        <f aca="false">IFERROR(IF(OR(NOT(ISNUMBER('Price History'!N142)),NOT(ISNUMBER('Price History'!N141)),'Price History'!N141=0),"",'Price History'!N142/'Price History'!N141-1),"")</f>
        <v>0.0165883393048252</v>
      </c>
      <c r="O141" s="154" t="n">
        <f aca="false">IFERROR(IF(OR(NOT(ISNUMBER('Price History'!O142)),NOT(ISNUMBER('Price History'!O141)),'Price History'!O141=0),"",'Price History'!O142/'Price History'!O141-1),"")</f>
        <v>-0.0215948239643728</v>
      </c>
      <c r="P141" s="154" t="n">
        <f aca="false">IFERROR(IF(OR(NOT(ISNUMBER('Price History'!P142)),NOT(ISNUMBER('Price History'!P141)),'Price History'!P141=0),"",'Price History'!P142/'Price History'!P141-1),"")</f>
        <v>-0.00867534200867526</v>
      </c>
      <c r="Q141" s="154" t="n">
        <f aca="false">IFERROR(IF(OR(NOT(ISNUMBER('Price History'!Q142)),NOT(ISNUMBER('Price History'!Q141)),'Price History'!Q141=0),"",'Price History'!Q142/'Price History'!Q141-1),"")</f>
        <v>0.000296384113811499</v>
      </c>
      <c r="R141" s="154" t="n">
        <f aca="false">IFERROR(IF(OR(NOT(ISNUMBER('Price History'!R142)),NOT(ISNUMBER('Price History'!R141)),'Price History'!R141=0),"",'Price History'!R142/'Price History'!R141-1),"")</f>
        <v>0.0026520509193777</v>
      </c>
      <c r="S141" s="154" t="n">
        <f aca="false">IFERROR(IF(OR(NOT(ISNUMBER('Price History'!S142)),NOT(ISNUMBER('Price History'!S141)),'Price History'!S141=0),"",'Price History'!S142/'Price History'!S141-1),"")</f>
        <v>-0.0023018973214286</v>
      </c>
      <c r="T141" s="154" t="n">
        <f aca="false">IFERROR(IF(OR(NOT(ISNUMBER('Price History'!T142)),NOT(ISNUMBER('Price History'!T141)),'Price History'!T141=0),"",'Price History'!T142/'Price History'!T141-1),"")</f>
        <v>-0.0257826887661141</v>
      </c>
      <c r="U141" s="154" t="n">
        <f aca="false">IFERROR(IF(OR(NOT(ISNUMBER('Price History'!U142)),NOT(ISNUMBER('Price History'!U141)),'Price History'!U141=0),"",'Price History'!U142/'Price History'!U141-1),"")</f>
        <v>0.0032133676092545</v>
      </c>
      <c r="V141" s="155" t="n">
        <f aca="false">IFERROR(IF(OR(NOT(ISNUMBER('Price History'!V142)),NOT(ISNUMBER('Price History'!V141)),'Price History'!V141=0),"",'Price History'!V142/'Price History'!V141-1),"")</f>
        <v>0.0239654846633495</v>
      </c>
      <c r="W141" s="156" t="n">
        <f aca="false">IFERROR('Price History'!B3+(INDEX('Price History'!B:B,MATCH(9.99E+307,'Returns (Calc)'!$A:$A)+1)-'Price History'!B3)*(ROW()-3)/(MATCH(9.99E+307,'Returns (Calc)'!$A:$A)-3),"")</f>
        <v>274.550759493671</v>
      </c>
      <c r="X141" s="156" t="n">
        <f aca="false">IFERROR('Price History'!C3+(INDEX('Price History'!C:C,MATCH(9.99E+307,'Returns (Calc)'!$A:$A)+1)-'Price History'!C3)*(ROW()-3)/(MATCH(9.99E+307,'Returns (Calc)'!$A:$A)-3),"")</f>
        <v>186.948734177215</v>
      </c>
      <c r="Y141" s="156" t="n">
        <f aca="false">IFERROR('Price History'!D3+(INDEX('Price History'!D:D,MATCH(9.99E+307,'Returns (Calc)'!$A:$A)+1)-'Price History'!D3)*(ROW()-3)/(MATCH(9.99E+307,'Returns (Calc)'!$A:$A)-3),"")</f>
        <v>1704.61379746835</v>
      </c>
      <c r="Z141" s="156" t="n">
        <f aca="false">IFERROR('Price History'!E3+(INDEX('Price History'!E:E,MATCH(9.99E+307,'Returns (Calc)'!$A:$A)+1)-'Price History'!E3)*(ROW()-3)/(MATCH(9.99E+307,'Returns (Calc)'!$A:$A)-3),"")</f>
        <v>320.565316455696</v>
      </c>
      <c r="AA141" s="156" t="n">
        <f aca="false">IFERROR('Price History'!F3+(INDEX('Price History'!F:F,MATCH(9.99E+307,'Returns (Calc)'!$A:$A)+1)-'Price History'!F3)*(ROW()-3)/(MATCH(9.99E+307,'Returns (Calc)'!$A:$A)-3),"")</f>
        <v>241.093164556962</v>
      </c>
      <c r="AB141" s="156" t="n">
        <f aca="false">IFERROR('Price History'!G3+(INDEX('Price History'!G:G,MATCH(9.99E+307,'Returns (Calc)'!$A:$A)+1)-'Price History'!G3)*(ROW()-3)/(MATCH(9.99E+307,'Returns (Calc)'!$A:$A)-3),"")</f>
        <v>186.315316455696</v>
      </c>
      <c r="AC141" s="156" t="n">
        <f aca="false">IFERROR('Price History'!H3+(INDEX('Price History'!H:H,MATCH(9.99E+307,'Returns (Calc)'!$A:$A)+1)-'Price History'!H3)*(ROW()-3)/(MATCH(9.99E+307,'Returns (Calc)'!$A:$A)-3),"")</f>
        <v>947.576075949367</v>
      </c>
      <c r="AD141" s="156" t="n">
        <f aca="false">IFERROR('Price History'!I3+(INDEX('Price History'!I:I,MATCH(9.99E+307,'Returns (Calc)'!$A:$A)+1)-'Price History'!I3)*(ROW()-3)/(MATCH(9.99E+307,'Returns (Calc)'!$A:$A)-3),"")</f>
        <v>209.876582278481</v>
      </c>
      <c r="AE141" s="156" t="n">
        <f aca="false">IFERROR('Price History'!J3+(INDEX('Price History'!J:J,MATCH(9.99E+307,'Returns (Calc)'!$A:$A)+1)-'Price History'!J3)*(ROW()-3)/(MATCH(9.99E+307,'Returns (Calc)'!$A:$A)-3),"")</f>
        <v>126.749240506329</v>
      </c>
      <c r="AF141" s="156" t="n">
        <f aca="false">IFERROR('Price History'!K3+(INDEX('Price History'!K:K,MATCH(9.99E+307,'Returns (Calc)'!$A:$A)+1)-'Price History'!K3)*(ROW()-3)/(MATCH(9.99E+307,'Returns (Calc)'!$A:$A)-3),"")</f>
        <v>166.798101265823</v>
      </c>
      <c r="AG141" s="156" t="n">
        <f aca="false">IFERROR('Price History'!L3+(INDEX('Price History'!L:L,MATCH(9.99E+307,'Returns (Calc)'!$A:$A)+1)-'Price History'!L3)*(ROW()-3)/(MATCH(9.99E+307,'Returns (Calc)'!$A:$A)-3),"")</f>
        <v>423.788860759494</v>
      </c>
      <c r="AH141" s="156" t="n">
        <f aca="false">IFERROR('Price History'!M3+(INDEX('Price History'!M:M,MATCH(9.99E+307,'Returns (Calc)'!$A:$A)+1)-'Price History'!M3)*(ROW()-3)/(MATCH(9.99E+307,'Returns (Calc)'!$A:$A)-3),"")</f>
        <v>225.071139240506</v>
      </c>
      <c r="AI141" s="156" t="n">
        <f aca="false">IFERROR('Price History'!N3+(INDEX('Price History'!N:N,MATCH(9.99E+307,'Returns (Calc)'!$A:$A)+1)-'Price History'!N3)*(ROW()-3)/(MATCH(9.99E+307,'Returns (Calc)'!$A:$A)-3),"")</f>
        <v>485.004683544304</v>
      </c>
      <c r="AJ141" s="156" t="n">
        <f aca="false">IFERROR('Price History'!O3+(INDEX('Price History'!O:O,MATCH(9.99E+307,'Returns (Calc)'!$A:$A)+1)-'Price History'!O3)*(ROW()-3)/(MATCH(9.99E+307,'Returns (Calc)'!$A:$A)-3),"")</f>
        <v>114.369240506329</v>
      </c>
      <c r="AK141" s="156" t="n">
        <f aca="false">IFERROR('Price History'!Q3+(INDEX('Price History'!Q:Q,MATCH(9.99E+307,'Returns (Calc)'!$A:$A)+1)-'Price History'!Q3)*(ROW()-3)/(MATCH(9.99E+307,'Returns (Calc)'!$A:$A)-3),"")</f>
        <v>60.6326582278481</v>
      </c>
      <c r="AL141" s="156" t="n">
        <f aca="false">IFERROR('Price History'!R3+(INDEX('Price History'!R:R,MATCH(9.99E+307,'Returns (Calc)'!$A:$A)+1)-'Price History'!R3)*(ROW()-3)/(MATCH(9.99E+307,'Returns (Calc)'!$A:$A)-3),"")</f>
        <v>57.6779746835443</v>
      </c>
      <c r="AM141" s="156" t="n">
        <f aca="false">IFERROR('Price History'!S3+(INDEX('Price History'!S:S,MATCH(9.99E+307,'Returns (Calc)'!$A:$A)+1)-'Price History'!S3)*(ROW()-3)/(MATCH(9.99E+307,'Returns (Calc)'!$A:$A)-3),"")</f>
        <v>141.128734177215</v>
      </c>
      <c r="AN141" s="156" t="n">
        <f aca="false">IFERROR('Price History'!T3+(INDEX('Price History'!T:T,MATCH(9.99E+307,'Returns (Calc)'!$A:$A)+1)-'Price History'!T3)*(ROW()-3)/(MATCH(9.99E+307,'Returns (Calc)'!$A:$A)-3),"")</f>
        <v>48.4554430379747</v>
      </c>
      <c r="AO141" s="157" t="n">
        <f aca="false">IFERROR('Price History'!V3+(INDEX('Price History'!V:V,MATCH(9.99E+307,'Returns (Calc)'!$A:$A)+1)-'Price History'!V3)*(ROW()-3)/(MATCH(9.99E+307,'Returns (Calc)'!$A:$A)-3),"")</f>
        <v>344.833417721519</v>
      </c>
      <c r="AP141" s="155" t="n">
        <f aca="false">IFERROR(IF(OR(NOT(ISNUMBER('Price History'!W142)),NOT(ISNUMBER('Price History'!W141)),'Price History'!W141=0),"",'Price History'!W142/'Price History'!W141-1),"")</f>
        <v>0.00195248942401549</v>
      </c>
      <c r="AQ141" s="155" t="n">
        <f aca="false">IFERROR(IF(OR(NOT(ISNUMBER('Price History'!X142)),NOT(ISNUMBER('Price History'!X141)),'Price History'!X141=0),"",'Price History'!X142/'Price History'!X141-1),"")</f>
        <v>0.0412686282002293</v>
      </c>
      <c r="AR141" s="155" t="n">
        <f aca="false">IFERROR(IF(OR(NOT(ISNUMBER('Price History'!Y142)),NOT(ISNUMBER('Price History'!Y141)),'Price History'!Y141=0),"",'Price History'!Y142/'Price History'!Y141-1),"")</f>
        <v>-0.00110803324099718</v>
      </c>
      <c r="AS141" s="155" t="n">
        <f aca="false">IFERROR(IF(OR(NOT(ISNUMBER('Price History'!Z142)),NOT(ISNUMBER('Price History'!Z141)),'Price History'!Z141=0),"",'Price History'!Z142/'Price History'!Z141-1),"")</f>
        <v>-0.0525641889615202</v>
      </c>
      <c r="AT141" s="155" t="n">
        <f aca="false">IFERROR(IF(OR(NOT(ISNUMBER('Price History'!AA142)),NOT(ISNUMBER('Price History'!AA141)),'Price History'!AA141=0),"",'Price History'!AA142/'Price History'!AA141-1),"")</f>
        <v>-0.00537204251914503</v>
      </c>
      <c r="AU141" s="155" t="n">
        <f aca="false">IFERROR(IF(OR(NOT(ISNUMBER('Price History'!AB142)),NOT(ISNUMBER('Price History'!AB141)),'Price History'!AB141=0),"",'Price History'!AB142/'Price History'!AB141-1),"")</f>
        <v>-0.0449681375495972</v>
      </c>
    </row>
    <row r="142" customFormat="false" ht="15" hidden="false" customHeight="true" outlineLevel="0" collapsed="false">
      <c r="A142" s="153" t="n">
        <f aca="false">IF('Price History'!A143="","",'Price History'!A143)</f>
        <v>46164</v>
      </c>
      <c r="B142" s="154" t="n">
        <f aca="false">IFERROR(IF(OR(NOT(ISNUMBER('Price History'!B143)),NOT(ISNUMBER('Price History'!B142)),'Price History'!B142=0),"",'Price History'!B143/'Price History'!B142-1),"")</f>
        <v>-0.011470113085622</v>
      </c>
      <c r="C142" s="154" t="n">
        <f aca="false">IFERROR(IF(OR(NOT(ISNUMBER('Price History'!C143)),NOT(ISNUMBER('Price History'!C142)),'Price History'!C142=0),"",'Price History'!C143/'Price History'!C142-1),"")</f>
        <v>0.0849475241248152</v>
      </c>
      <c r="D142" s="154" t="n">
        <f aca="false">IFERROR(IF(OR(NOT(ISNUMBER('Price History'!D143)),NOT(ISNUMBER('Price History'!D142)),'Price History'!D142=0),"",'Price History'!D143/'Price History'!D142-1),"")</f>
        <v>0.0872875649222933</v>
      </c>
      <c r="E142" s="154" t="n">
        <f aca="false">IFERROR(IF(OR(NOT(ISNUMBER('Price History'!E143)),NOT(ISNUMBER('Price History'!E142)),'Price History'!E142=0),"",'Price History'!E143/'Price History'!E142-1),"")</f>
        <v>-0.0260058997050147</v>
      </c>
      <c r="F142" s="154" t="n">
        <f aca="false">IFERROR(IF(OR(NOT(ISNUMBER('Price History'!F143)),NOT(ISNUMBER('Price History'!F142)),'Price History'!F142=0),"",'Price History'!F143/'Price History'!F142-1),"")</f>
        <v>0.116819283598169</v>
      </c>
      <c r="G142" s="154" t="n">
        <f aca="false">IFERROR(IF(OR(NOT(ISNUMBER('Price History'!G143)),NOT(ISNUMBER('Price History'!G142)),'Price History'!G142=0),"",'Price History'!G143/'Price History'!G142-1),"")</f>
        <v>0.0478888888888889</v>
      </c>
      <c r="H142" s="154" t="n">
        <f aca="false">IFERROR(IF(OR(NOT(ISNUMBER('Price History'!H143)),NOT(ISNUMBER('Price History'!H142)),'Price History'!H142=0),"",'Price History'!H143/'Price History'!H142-1),"")</f>
        <v>0.0363397971154511</v>
      </c>
      <c r="I142" s="154" t="n">
        <f aca="false">IFERROR(IF(OR(NOT(ISNUMBER('Price History'!I143)),NOT(ISNUMBER('Price History'!I142)),'Price History'!I142=0),"",'Price History'!I143/'Price History'!I142-1),"")</f>
        <v>-0.0443485610070726</v>
      </c>
      <c r="J142" s="154" t="n">
        <f aca="false">IFERROR(IF(OR(NOT(ISNUMBER('Price History'!J143)),NOT(ISNUMBER('Price History'!J142)),'Price History'!J142=0),"",'Price History'!J143/'Price History'!J142-1),"")</f>
        <v>0.0382170206617543</v>
      </c>
      <c r="K142" s="154" t="n">
        <f aca="false">IFERROR(IF(OR(NOT(ISNUMBER('Price History'!K143)),NOT(ISNUMBER('Price History'!K142)),'Price History'!K142=0),"",'Price History'!K143/'Price History'!K142-1),"")</f>
        <v>0.0215687737890886</v>
      </c>
      <c r="L142" s="154" t="n">
        <f aca="false">IFERROR(IF(OR(NOT(ISNUMBER('Price History'!L143)),NOT(ISNUMBER('Price History'!L142)),'Price History'!L142=0),"",'Price History'!L143/'Price History'!L142-1),"")</f>
        <v>0.000422538712002707</v>
      </c>
      <c r="M142" s="154" t="n">
        <f aca="false">IFERROR(IF(OR(NOT(ISNUMBER('Price History'!M143)),NOT(ISNUMBER('Price History'!M142)),'Price History'!M142=0),"",'Price History'!M143/'Price History'!M142-1),"")</f>
        <v>-0.117215524449119</v>
      </c>
      <c r="N142" s="154" t="n">
        <f aca="false">IFERROR(IF(OR(NOT(ISNUMBER('Price History'!N143)),NOT(ISNUMBER('Price History'!N142)),'Price History'!N142=0),"",'Price History'!N143/'Price History'!N142-1),"")</f>
        <v>-0.00556127703398557</v>
      </c>
      <c r="O142" s="154" t="n">
        <f aca="false">IFERROR(IF(OR(NOT(ISNUMBER('Price History'!O143)),NOT(ISNUMBER('Price History'!O142)),'Price History'!O142=0),"",'Price History'!O143/'Price History'!O142-1),"")</f>
        <v>0.0237031947784268</v>
      </c>
      <c r="P142" s="154" t="n">
        <f aca="false">IFERROR(IF(OR(NOT(ISNUMBER('Price History'!P143)),NOT(ISNUMBER('Price History'!P142)),'Price History'!P142=0),"",'Price History'!P143/'Price History'!P142-1),"")</f>
        <v>0.0317738135307977</v>
      </c>
      <c r="Q142" s="154" t="n">
        <f aca="false">IFERROR(IF(OR(NOT(ISNUMBER('Price History'!Q143)),NOT(ISNUMBER('Price History'!Q142)),'Price History'!Q142=0),"",'Price History'!Q143/'Price History'!Q142-1),"")</f>
        <v>0.000740740740740709</v>
      </c>
      <c r="R142" s="154" t="n">
        <f aca="false">IFERROR(IF(OR(NOT(ISNUMBER('Price History'!R143)),NOT(ISNUMBER('Price History'!R142)),'Price History'!R142=0),"",'Price History'!R143/'Price History'!R142-1),"")</f>
        <v>0.00740610121671659</v>
      </c>
      <c r="S142" s="154" t="n">
        <f aca="false">IFERROR(IF(OR(NOT(ISNUMBER('Price History'!S143)),NOT(ISNUMBER('Price History'!S142)),'Price History'!S142=0),"",'Price History'!S143/'Price History'!S142-1),"")</f>
        <v>0.0101377333426553</v>
      </c>
      <c r="T142" s="154" t="n">
        <f aca="false">IFERROR(IF(OR(NOT(ISNUMBER('Price History'!T143)),NOT(ISNUMBER('Price History'!T142)),'Price History'!T142=0),"",'Price History'!T143/'Price History'!T142-1),"")</f>
        <v>0.0396975425330812</v>
      </c>
      <c r="U142" s="154" t="n">
        <f aca="false">IFERROR(IF(OR(NOT(ISNUMBER('Price History'!U143)),NOT(ISNUMBER('Price History'!U142)),'Price History'!U142=0),"",'Price History'!U143/'Price History'!U142-1),"")</f>
        <v>0.0349135169762973</v>
      </c>
      <c r="V142" s="155" t="n">
        <f aca="false">IFERROR(IF(OR(NOT(ISNUMBER('Price History'!V143)),NOT(ISNUMBER('Price History'!V142)),'Price History'!V142=0),"",'Price History'!V143/'Price History'!V142-1),"")</f>
        <v>0.00959557127479616</v>
      </c>
      <c r="W142" s="156" t="n">
        <f aca="false">IFERROR('Price History'!B3+(INDEX('Price History'!B:B,MATCH(9.99E+307,'Returns (Calc)'!$A:$A)+1)-'Price History'!B3)*(ROW()-3)/(MATCH(9.99E+307,'Returns (Calc)'!$A:$A)-3),"")</f>
        <v>272.707721518987</v>
      </c>
      <c r="X142" s="156" t="n">
        <f aca="false">IFERROR('Price History'!C3+(INDEX('Price History'!C:C,MATCH(9.99E+307,'Returns (Calc)'!$A:$A)+1)-'Price History'!C3)*(ROW()-3)/(MATCH(9.99E+307,'Returns (Calc)'!$A:$A)-3),"")</f>
        <v>187.968797468354</v>
      </c>
      <c r="Y142" s="156" t="n">
        <f aca="false">IFERROR('Price History'!D3+(INDEX('Price History'!D:D,MATCH(9.99E+307,'Returns (Calc)'!$A:$A)+1)-'Price History'!D3)*(ROW()-3)/(MATCH(9.99E+307,'Returns (Calc)'!$A:$A)-3),"")</f>
        <v>1712.74860759494</v>
      </c>
      <c r="Z142" s="156" t="n">
        <f aca="false">IFERROR('Price History'!E3+(INDEX('Price History'!E:E,MATCH(9.99E+307,'Returns (Calc)'!$A:$A)+1)-'Price History'!E3)*(ROW()-3)/(MATCH(9.99E+307,'Returns (Calc)'!$A:$A)-3),"")</f>
        <v>322.294050632911</v>
      </c>
      <c r="AA142" s="156" t="n">
        <f aca="false">IFERROR('Price History'!F3+(INDEX('Price History'!F:F,MATCH(9.99E+307,'Returns (Calc)'!$A:$A)+1)-'Price History'!F3)*(ROW()-3)/(MATCH(9.99E+307,'Returns (Calc)'!$A:$A)-3),"")</f>
        <v>242.540506329114</v>
      </c>
      <c r="AB142" s="156" t="n">
        <f aca="false">IFERROR('Price History'!G3+(INDEX('Price History'!G:G,MATCH(9.99E+307,'Returns (Calc)'!$A:$A)+1)-'Price History'!G3)*(ROW()-3)/(MATCH(9.99E+307,'Returns (Calc)'!$A:$A)-3),"")</f>
        <v>187.344050632911</v>
      </c>
      <c r="AC142" s="156" t="n">
        <f aca="false">IFERROR('Price History'!H3+(INDEX('Price History'!H:H,MATCH(9.99E+307,'Returns (Calc)'!$A:$A)+1)-'Price History'!H3)*(ROW()-3)/(MATCH(9.99E+307,'Returns (Calc)'!$A:$A)-3),"")</f>
        <v>953.941772151899</v>
      </c>
      <c r="AD142" s="156" t="n">
        <f aca="false">IFERROR('Price History'!I3+(INDEX('Price History'!I:I,MATCH(9.99E+307,'Returns (Calc)'!$A:$A)+1)-'Price History'!I3)*(ROW()-3)/(MATCH(9.99E+307,'Returns (Calc)'!$A:$A)-3),"")</f>
        <v>211.080253164557</v>
      </c>
      <c r="AE142" s="156" t="n">
        <f aca="false">IFERROR('Price History'!J3+(INDEX('Price History'!J:J,MATCH(9.99E+307,'Returns (Calc)'!$A:$A)+1)-'Price History'!J3)*(ROW()-3)/(MATCH(9.99E+307,'Returns (Calc)'!$A:$A)-3),"")</f>
        <v>126.857278481013</v>
      </c>
      <c r="AF142" s="156" t="n">
        <f aca="false">IFERROR('Price History'!K3+(INDEX('Price History'!K:K,MATCH(9.99E+307,'Returns (Calc)'!$A:$A)+1)-'Price History'!K3)*(ROW()-3)/(MATCH(9.99E+307,'Returns (Calc)'!$A:$A)-3),"")</f>
        <v>167.895696202532</v>
      </c>
      <c r="AG142" s="156" t="n">
        <f aca="false">IFERROR('Price History'!L3+(INDEX('Price History'!L:L,MATCH(9.99E+307,'Returns (Calc)'!$A:$A)+1)-'Price History'!L3)*(ROW()-3)/(MATCH(9.99E+307,'Returns (Calc)'!$A:$A)-3),"")</f>
        <v>426.238417721519</v>
      </c>
      <c r="AH142" s="156" t="n">
        <f aca="false">IFERROR('Price History'!M3+(INDEX('Price History'!M:M,MATCH(9.99E+307,'Returns (Calc)'!$A:$A)+1)-'Price History'!M3)*(ROW()-3)/(MATCH(9.99E+307,'Returns (Calc)'!$A:$A)-3),"")</f>
        <v>226.426582278481</v>
      </c>
      <c r="AI142" s="156" t="n">
        <f aca="false">IFERROR('Price History'!N3+(INDEX('Price History'!N:N,MATCH(9.99E+307,'Returns (Calc)'!$A:$A)+1)-'Price History'!N3)*(ROW()-3)/(MATCH(9.99E+307,'Returns (Calc)'!$A:$A)-3),"")</f>
        <v>485.990949367089</v>
      </c>
      <c r="AJ142" s="156" t="n">
        <f aca="false">IFERROR('Price History'!O3+(INDEX('Price History'!O:O,MATCH(9.99E+307,'Returns (Calc)'!$A:$A)+1)-'Price History'!O3)*(ROW()-3)/(MATCH(9.99E+307,'Returns (Calc)'!$A:$A)-3),"")</f>
        <v>114.652278481013</v>
      </c>
      <c r="AK142" s="156" t="n">
        <f aca="false">IFERROR('Price History'!Q3+(INDEX('Price History'!Q:Q,MATCH(9.99E+307,'Returns (Calc)'!$A:$A)+1)-'Price History'!Q3)*(ROW()-3)/(MATCH(9.99E+307,'Returns (Calc)'!$A:$A)-3),"")</f>
        <v>61.0720253164557</v>
      </c>
      <c r="AL142" s="156" t="n">
        <f aca="false">IFERROR('Price History'!R3+(INDEX('Price History'!R:R,MATCH(9.99E+307,'Returns (Calc)'!$A:$A)+1)-'Price History'!R3)*(ROW()-3)/(MATCH(9.99E+307,'Returns (Calc)'!$A:$A)-3),"")</f>
        <v>57.8460759493671</v>
      </c>
      <c r="AM142" s="156" t="n">
        <f aca="false">IFERROR('Price History'!S3+(INDEX('Price History'!S:S,MATCH(9.99E+307,'Returns (Calc)'!$A:$A)+1)-'Price History'!S3)*(ROW()-3)/(MATCH(9.99E+307,'Returns (Calc)'!$A:$A)-3),"")</f>
        <v>141.733797468354</v>
      </c>
      <c r="AN142" s="156" t="n">
        <f aca="false">IFERROR('Price History'!T3+(INDEX('Price History'!T:T,MATCH(9.99E+307,'Returns (Calc)'!$A:$A)+1)-'Price History'!T3)*(ROW()-3)/(MATCH(9.99E+307,'Returns (Calc)'!$A:$A)-3),"")</f>
        <v>48.623670886076</v>
      </c>
      <c r="AO142" s="157" t="n">
        <f aca="false">IFERROR('Price History'!V3+(INDEX('Price History'!V:V,MATCH(9.99E+307,'Returns (Calc)'!$A:$A)+1)-'Price History'!V3)*(ROW()-3)/(MATCH(9.99E+307,'Returns (Calc)'!$A:$A)-3),"")</f>
        <v>345.624746835443</v>
      </c>
      <c r="AP142" s="155" t="n">
        <f aca="false">IFERROR(IF(OR(NOT(ISNUMBER('Price History'!W143)),NOT(ISNUMBER('Price History'!W142)),'Price History'!W142=0),"",'Price History'!W143/'Price History'!W142-1),"")</f>
        <v>0.0188372848327378</v>
      </c>
      <c r="AQ142" s="155" t="n">
        <f aca="false">IFERROR(IF(OR(NOT(ISNUMBER('Price History'!X143)),NOT(ISNUMBER('Price History'!X142)),'Price History'!X142=0),"",'Price History'!X143/'Price History'!X142-1),"")</f>
        <v>0.00807339449541278</v>
      </c>
      <c r="AR142" s="155" t="n">
        <f aca="false">IFERROR(IF(OR(NOT(ISNUMBER('Price History'!Y143)),NOT(ISNUMBER('Price History'!Y142)),'Price History'!Y142=0),"",'Price History'!Y143/'Price History'!Y142-1),"")</f>
        <v>0.00776483638380476</v>
      </c>
      <c r="AS142" s="155" t="n">
        <f aca="false">IFERROR(IF(OR(NOT(ISNUMBER('Price History'!Z143)),NOT(ISNUMBER('Price History'!Z142)),'Price History'!Z142=0),"",'Price History'!Z143/'Price History'!Z142-1),"")</f>
        <v>0.0756810583967564</v>
      </c>
      <c r="AT142" s="155" t="n">
        <f aca="false">IFERROR(IF(OR(NOT(ISNUMBER('Price History'!AA143)),NOT(ISNUMBER('Price History'!AA142)),'Price History'!AA142=0),"",'Price History'!AA143/'Price History'!AA142-1),"")</f>
        <v>0.0181567455757297</v>
      </c>
      <c r="AU142" s="155" t="n">
        <f aca="false">IFERROR(IF(OR(NOT(ISNUMBER('Price History'!AB143)),NOT(ISNUMBER('Price History'!AB142)),'Price History'!AB142=0),"",'Price History'!AB143/'Price History'!AB142-1),"")</f>
        <v>0.00824625456376671</v>
      </c>
    </row>
    <row r="143" customFormat="false" ht="15" hidden="false" customHeight="true" outlineLevel="0" collapsed="false">
      <c r="A143" s="153" t="n">
        <f aca="false">IF('Price History'!A144="","",'Price History'!A144)</f>
        <v>46171</v>
      </c>
      <c r="B143" s="154" t="n">
        <f aca="false">IFERROR(IF(OR(NOT(ISNUMBER('Price History'!B144)),NOT(ISNUMBER('Price History'!B143)),'Price History'!B143=0),"",'Price History'!B144/'Price History'!B143-1),"")</f>
        <v>0.0590374244157541</v>
      </c>
      <c r="C143" s="154" t="n">
        <f aca="false">IFERROR(IF(OR(NOT(ISNUMBER('Price History'!C144)),NOT(ISNUMBER('Price History'!C143)),'Price History'!C143=0),"",'Price History'!C144/'Price History'!C143-1),"")</f>
        <v>0.0353177952346946</v>
      </c>
      <c r="D143" s="154" t="n">
        <f aca="false">IFERROR(IF(OR(NOT(ISNUMBER('Price History'!D144)),NOT(ISNUMBER('Price History'!D143)),'Price History'!D143=0),"",'Price History'!D144/'Price History'!D143-1),"")</f>
        <v>-0.0123314467221407</v>
      </c>
      <c r="E143" s="154" t="n">
        <f aca="false">IFERROR(IF(OR(NOT(ISNUMBER('Price History'!E144)),NOT(ISNUMBER('Price History'!E143)),'Price History'!E143=0),"",'Price History'!E144/'Price History'!E143-1),"")</f>
        <v>0.0787924308870205</v>
      </c>
      <c r="F143" s="154" t="n">
        <f aca="false">IFERROR(IF(OR(NOT(ISNUMBER('Price History'!F144)),NOT(ISNUMBER('Price History'!F143)),'Price History'!F143=0),"",'Price History'!F144/'Price History'!F143-1),"")</f>
        <v>0.10176644360041</v>
      </c>
      <c r="G143" s="154" t="n">
        <f aca="false">IFERROR(IF(OR(NOT(ISNUMBER('Price History'!G144)),NOT(ISNUMBER('Price History'!G143)),'Price History'!G143=0),"",'Price History'!G144/'Price History'!G143-1),"")</f>
        <v>0.0176545435266673</v>
      </c>
      <c r="H143" s="154" t="n">
        <f aca="false">IFERROR(IF(OR(NOT(ISNUMBER('Price History'!H144)),NOT(ISNUMBER('Price History'!H143)),'Price History'!H143=0),"",'Price History'!H144/'Price History'!H143-1),"")</f>
        <v>0.292949605795866</v>
      </c>
      <c r="I143" s="154" t="n">
        <f aca="false">IFERROR(IF(OR(NOT(ISNUMBER('Price History'!I144)),NOT(ISNUMBER('Price History'!I143)),'Price History'!I143=0),"",'Price History'!I144/'Price History'!I143-1),"")</f>
        <v>-0.019456339601564</v>
      </c>
      <c r="J143" s="154" t="n">
        <f aca="false">IFERROR(IF(OR(NOT(ISNUMBER('Price History'!J144)),NOT(ISNUMBER('Price History'!J143)),'Price History'!J143=0),"",'Price History'!J144/'Price History'!J143-1),"")</f>
        <v>-0.0167002992136943</v>
      </c>
      <c r="K143" s="154" t="n">
        <f aca="false">IFERROR(IF(OR(NOT(ISNUMBER('Price History'!K144)),NOT(ISNUMBER('Price History'!K143)),'Price History'!K143=0),"",'Price History'!K144/'Price History'!K143-1),"")</f>
        <v>0.143629456458211</v>
      </c>
      <c r="L143" s="154" t="n">
        <f aca="false">IFERROR(IF(OR(NOT(ISNUMBER('Price History'!L144)),NOT(ISNUMBER('Price History'!L143)),'Price History'!L143=0),"",'Price History'!L144/'Price History'!L143-1),"")</f>
        <v>0.0344347826086957</v>
      </c>
      <c r="M143" s="154" t="n">
        <f aca="false">IFERROR(IF(OR(NOT(ISNUMBER('Price History'!M144)),NOT(ISNUMBER('Price History'!M143)),'Price History'!M143=0),"",'Price History'!M144/'Price History'!M143-1),"")</f>
        <v>-0.0358681372399254</v>
      </c>
      <c r="N143" s="154" t="n">
        <f aca="false">IFERROR(IF(OR(NOT(ISNUMBER('Price History'!N144)),NOT(ISNUMBER('Price History'!N143)),'Price History'!N143=0),"",'Price History'!N144/'Price History'!N143-1),"")</f>
        <v>0.0299640983153826</v>
      </c>
      <c r="O143" s="154" t="n">
        <f aca="false">IFERROR(IF(OR(NOT(ISNUMBER('Price History'!O144)),NOT(ISNUMBER('Price History'!O143)),'Price History'!O143=0),"",'Price History'!O144/'Price History'!O143-1),"")</f>
        <v>0.000167785234899354</v>
      </c>
      <c r="P143" s="154" t="n">
        <f aca="false">IFERROR(IF(OR(NOT(ISNUMBER('Price History'!P144)),NOT(ISNUMBER('Price History'!P143)),'Price History'!P143=0),"",'Price History'!P144/'Price History'!P143-1),"")</f>
        <v>-0.00508905852417307</v>
      </c>
      <c r="Q143" s="154" t="n">
        <f aca="false">IFERROR(IF(OR(NOT(ISNUMBER('Price History'!Q144)),NOT(ISNUMBER('Price History'!Q143)),'Price History'!Q143=0),"",'Price History'!Q144/'Price History'!Q143-1),"")</f>
        <v>0.00429311621021467</v>
      </c>
      <c r="R143" s="154" t="n">
        <f aca="false">IFERROR(IF(OR(NOT(ISNUMBER('Price History'!R144)),NOT(ISNUMBER('Price History'!R143)),'Price History'!R143=0),"",'Price History'!R144/'Price History'!R143-1),"")</f>
        <v>0.0155785051636619</v>
      </c>
      <c r="S143" s="154" t="n">
        <f aca="false">IFERROR(IF(OR(NOT(ISNUMBER('Price History'!S144)),NOT(ISNUMBER('Price History'!S143)),'Price History'!S143=0),"",'Price History'!S144/'Price History'!S143-1),"")</f>
        <v>0.0389673311184942</v>
      </c>
      <c r="T143" s="154" t="n">
        <f aca="false">IFERROR(IF(OR(NOT(ISNUMBER('Price History'!T144)),NOT(ISNUMBER('Price History'!T143)),'Price History'!T143=0),"",'Price History'!T144/'Price History'!T143-1),"")</f>
        <v>0.0540909090909092</v>
      </c>
      <c r="U143" s="154" t="n">
        <f aca="false">IFERROR(IF(OR(NOT(ISNUMBER('Price History'!U144)),NOT(ISNUMBER('Price History'!U143)),'Price History'!U143=0),"",'Price History'!U144/'Price History'!U143-1),"")</f>
        <v>-0.0099040544722997</v>
      </c>
      <c r="V143" s="155" t="n">
        <f aca="false">IFERROR(IF(OR(NOT(ISNUMBER('Price History'!V144)),NOT(ISNUMBER('Price History'!V143)),'Price History'!V143=0),"",'Price History'!V144/'Price History'!V143-1),"")</f>
        <v>-0.00767660767051503</v>
      </c>
      <c r="W143" s="156" t="n">
        <f aca="false">IFERROR('Price History'!B3+(INDEX('Price History'!B:B,MATCH(9.99E+307,'Returns (Calc)'!$A:$A)+1)-'Price History'!B3)*(ROW()-3)/(MATCH(9.99E+307,'Returns (Calc)'!$A:$A)-3),"")</f>
        <v>270.864683544304</v>
      </c>
      <c r="X143" s="156" t="n">
        <f aca="false">IFERROR('Price History'!C3+(INDEX('Price History'!C:C,MATCH(9.99E+307,'Returns (Calc)'!$A:$A)+1)-'Price History'!C3)*(ROW()-3)/(MATCH(9.99E+307,'Returns (Calc)'!$A:$A)-3),"")</f>
        <v>188.988860759494</v>
      </c>
      <c r="Y143" s="156" t="n">
        <f aca="false">IFERROR('Price History'!D3+(INDEX('Price History'!D:D,MATCH(9.99E+307,'Returns (Calc)'!$A:$A)+1)-'Price History'!D3)*(ROW()-3)/(MATCH(9.99E+307,'Returns (Calc)'!$A:$A)-3),"")</f>
        <v>1720.88341772152</v>
      </c>
      <c r="Z143" s="156" t="n">
        <f aca="false">IFERROR('Price History'!E3+(INDEX('Price History'!E:E,MATCH(9.99E+307,'Returns (Calc)'!$A:$A)+1)-'Price History'!E3)*(ROW()-3)/(MATCH(9.99E+307,'Returns (Calc)'!$A:$A)-3),"")</f>
        <v>324.022784810127</v>
      </c>
      <c r="AA143" s="156" t="n">
        <f aca="false">IFERROR('Price History'!F3+(INDEX('Price History'!F:F,MATCH(9.99E+307,'Returns (Calc)'!$A:$A)+1)-'Price History'!F3)*(ROW()-3)/(MATCH(9.99E+307,'Returns (Calc)'!$A:$A)-3),"")</f>
        <v>243.987848101266</v>
      </c>
      <c r="AB143" s="156" t="n">
        <f aca="false">IFERROR('Price History'!G3+(INDEX('Price History'!G:G,MATCH(9.99E+307,'Returns (Calc)'!$A:$A)+1)-'Price History'!G3)*(ROW()-3)/(MATCH(9.99E+307,'Returns (Calc)'!$A:$A)-3),"")</f>
        <v>188.372784810127</v>
      </c>
      <c r="AC143" s="156" t="n">
        <f aca="false">IFERROR('Price History'!H3+(INDEX('Price History'!H:H,MATCH(9.99E+307,'Returns (Calc)'!$A:$A)+1)-'Price History'!H3)*(ROW()-3)/(MATCH(9.99E+307,'Returns (Calc)'!$A:$A)-3),"")</f>
        <v>960.307468354431</v>
      </c>
      <c r="AD143" s="156" t="n">
        <f aca="false">IFERROR('Price History'!I3+(INDEX('Price History'!I:I,MATCH(9.99E+307,'Returns (Calc)'!$A:$A)+1)-'Price History'!I3)*(ROW()-3)/(MATCH(9.99E+307,'Returns (Calc)'!$A:$A)-3),"")</f>
        <v>212.283924050633</v>
      </c>
      <c r="AE143" s="156" t="n">
        <f aca="false">IFERROR('Price History'!J3+(INDEX('Price History'!J:J,MATCH(9.99E+307,'Returns (Calc)'!$A:$A)+1)-'Price History'!J3)*(ROW()-3)/(MATCH(9.99E+307,'Returns (Calc)'!$A:$A)-3),"")</f>
        <v>126.965316455696</v>
      </c>
      <c r="AF143" s="156" t="n">
        <f aca="false">IFERROR('Price History'!K3+(INDEX('Price History'!K:K,MATCH(9.99E+307,'Returns (Calc)'!$A:$A)+1)-'Price History'!K3)*(ROW()-3)/(MATCH(9.99E+307,'Returns (Calc)'!$A:$A)-3),"")</f>
        <v>168.993291139241</v>
      </c>
      <c r="AG143" s="156" t="n">
        <f aca="false">IFERROR('Price History'!L3+(INDEX('Price History'!L:L,MATCH(9.99E+307,'Returns (Calc)'!$A:$A)+1)-'Price History'!L3)*(ROW()-3)/(MATCH(9.99E+307,'Returns (Calc)'!$A:$A)-3),"")</f>
        <v>428.687974683544</v>
      </c>
      <c r="AH143" s="156" t="n">
        <f aca="false">IFERROR('Price History'!M3+(INDEX('Price History'!M:M,MATCH(9.99E+307,'Returns (Calc)'!$A:$A)+1)-'Price History'!M3)*(ROW()-3)/(MATCH(9.99E+307,'Returns (Calc)'!$A:$A)-3),"")</f>
        <v>227.782025316456</v>
      </c>
      <c r="AI143" s="156" t="n">
        <f aca="false">IFERROR('Price History'!N3+(INDEX('Price History'!N:N,MATCH(9.99E+307,'Returns (Calc)'!$A:$A)+1)-'Price History'!N3)*(ROW()-3)/(MATCH(9.99E+307,'Returns (Calc)'!$A:$A)-3),"")</f>
        <v>486.977215189873</v>
      </c>
      <c r="AJ143" s="156" t="n">
        <f aca="false">IFERROR('Price History'!O3+(INDEX('Price History'!O:O,MATCH(9.99E+307,'Returns (Calc)'!$A:$A)+1)-'Price History'!O3)*(ROW()-3)/(MATCH(9.99E+307,'Returns (Calc)'!$A:$A)-3),"")</f>
        <v>114.935316455696</v>
      </c>
      <c r="AK143" s="156" t="n">
        <f aca="false">IFERROR('Price History'!Q3+(INDEX('Price History'!Q:Q,MATCH(9.99E+307,'Returns (Calc)'!$A:$A)+1)-'Price History'!Q3)*(ROW()-3)/(MATCH(9.99E+307,'Returns (Calc)'!$A:$A)-3),"")</f>
        <v>61.5113924050633</v>
      </c>
      <c r="AL143" s="156" t="n">
        <f aca="false">IFERROR('Price History'!R3+(INDEX('Price History'!R:R,MATCH(9.99E+307,'Returns (Calc)'!$A:$A)+1)-'Price History'!R3)*(ROW()-3)/(MATCH(9.99E+307,'Returns (Calc)'!$A:$A)-3),"")</f>
        <v>58.0141772151899</v>
      </c>
      <c r="AM143" s="156" t="n">
        <f aca="false">IFERROR('Price History'!S3+(INDEX('Price History'!S:S,MATCH(9.99E+307,'Returns (Calc)'!$A:$A)+1)-'Price History'!S3)*(ROW()-3)/(MATCH(9.99E+307,'Returns (Calc)'!$A:$A)-3),"")</f>
        <v>142.338860759494</v>
      </c>
      <c r="AN143" s="156" t="n">
        <f aca="false">IFERROR('Price History'!T3+(INDEX('Price History'!T:T,MATCH(9.99E+307,'Returns (Calc)'!$A:$A)+1)-'Price History'!T3)*(ROW()-3)/(MATCH(9.99E+307,'Returns (Calc)'!$A:$A)-3),"")</f>
        <v>48.7918987341772</v>
      </c>
      <c r="AO143" s="157" t="n">
        <f aca="false">IFERROR('Price History'!V3+(INDEX('Price History'!V:V,MATCH(9.99E+307,'Returns (Calc)'!$A:$A)+1)-'Price History'!V3)*(ROW()-3)/(MATCH(9.99E+307,'Returns (Calc)'!$A:$A)-3),"")</f>
        <v>346.416075949367</v>
      </c>
      <c r="AP143" s="155" t="n">
        <f aca="false">IFERROR(IF(OR(NOT(ISNUMBER('Price History'!W144)),NOT(ISNUMBER('Price History'!W143)),'Price History'!W143=0),"",'Price History'!W144/'Price History'!W143-1),"")</f>
        <v>0.00312400382531086</v>
      </c>
      <c r="AQ143" s="155" t="n">
        <f aca="false">IFERROR(IF(OR(NOT(ISNUMBER('Price History'!X144)),NOT(ISNUMBER('Price History'!X143)),'Price History'!X143=0),"",'Price History'!X144/'Price History'!X143-1),"")</f>
        <v>-0.0536949399344739</v>
      </c>
      <c r="AR143" s="155" t="n">
        <f aca="false">IFERROR(IF(OR(NOT(ISNUMBER('Price History'!Y144)),NOT(ISNUMBER('Price History'!Y143)),'Price History'!Y143=0),"",'Price History'!Y144/'Price History'!Y143-1),"")</f>
        <v>-0.00513667217024405</v>
      </c>
      <c r="AS143" s="155" t="n">
        <f aca="false">IFERROR(IF(OR(NOT(ISNUMBER('Price History'!Z144)),NOT(ISNUMBER('Price History'!Z143)),'Price History'!Z143=0),"",'Price History'!Z144/'Price History'!Z143-1),"")</f>
        <v>0.0691000462871125</v>
      </c>
      <c r="AT143" s="155" t="n">
        <f aca="false">IFERROR(IF(OR(NOT(ISNUMBER('Price History'!AA144)),NOT(ISNUMBER('Price History'!AA143)),'Price History'!AA143=0),"",'Price History'!AA144/'Price History'!AA143-1),"")</f>
        <v>-0.0291196388261851</v>
      </c>
      <c r="AU143" s="155" t="n">
        <f aca="false">IFERROR(IF(OR(NOT(ISNUMBER('Price History'!AB144)),NOT(ISNUMBER('Price History'!AB143)),'Price History'!AB143=0),"",'Price History'!AB144/'Price History'!AB143-1),"")</f>
        <v>0.0884685022163951</v>
      </c>
    </row>
    <row r="144" customFormat="false" ht="15" hidden="false" customHeight="true" outlineLevel="0" collapsed="false">
      <c r="A144" s="153" t="n">
        <f aca="false">IF('Price History'!A145="","",'Price History'!A145)</f>
        <v>46178</v>
      </c>
      <c r="B144" s="154" t="n">
        <f aca="false">IFERROR(IF(OR(NOT(ISNUMBER('Price History'!B145)),NOT(ISNUMBER('Price History'!B144)),'Price History'!B144=0),"",'Price History'!B145/'Price History'!B144-1),"")</f>
        <v>-0.0299756953821225</v>
      </c>
      <c r="C144" s="154" t="n">
        <f aca="false">IFERROR(IF(OR(NOT(ISNUMBER('Price History'!C145)),NOT(ISNUMBER('Price History'!C144)),'Price History'!C144=0),"",'Price History'!C145/'Price History'!C144-1),"")</f>
        <v>-0.032608014046529</v>
      </c>
      <c r="D144" s="154" t="n">
        <f aca="false">IFERROR(IF(OR(NOT(ISNUMBER('Price History'!D145)),NOT(ISNUMBER('Price History'!D144)),'Price History'!D144=0),"",'Price History'!D145/'Price History'!D144-1),"")</f>
        <v>0.0179675664936547</v>
      </c>
      <c r="E144" s="154" t="n">
        <f aca="false">IFERROR(IF(OR(NOT(ISNUMBER('Price History'!E145)),NOT(ISNUMBER('Price History'!E144)),'Price History'!E144=0),"",'Price History'!E145/'Price History'!E144-1),"")</f>
        <v>-0.136619876473891</v>
      </c>
      <c r="F144" s="154" t="n">
        <f aca="false">IFERROR(IF(OR(NOT(ISNUMBER('Price History'!F145)),NOT(ISNUMBER('Price History'!F144)),'Price History'!F144=0),"",'Price History'!F145/'Price History'!F144-1),"")</f>
        <v>-0.0820246238030097</v>
      </c>
      <c r="G144" s="154" t="n">
        <f aca="false">IFERROR(IF(OR(NOT(ISNUMBER('Price History'!G145)),NOT(ISNUMBER('Price History'!G144)),'Price History'!G144=0),"",'Price History'!G145/'Price History'!G144-1),"")</f>
        <v>0.00390726751758264</v>
      </c>
      <c r="H144" s="154" t="n">
        <f aca="false">IFERROR(IF(OR(NOT(ISNUMBER('Price History'!H145)),NOT(ISNUMBER('Price History'!H144)),'Price History'!H144=0),"",'Price History'!H145/'Price History'!H144-1),"")</f>
        <v>-0.110181799454087</v>
      </c>
      <c r="I144" s="154" t="n">
        <f aca="false">IFERROR(IF(OR(NOT(ISNUMBER('Price History'!I145)),NOT(ISNUMBER('Price History'!I144)),'Price History'!I144=0),"",'Price History'!I145/'Price History'!I144-1),"")</f>
        <v>-0.0274850469951581</v>
      </c>
      <c r="J144" s="154" t="n">
        <f aca="false">IFERROR(IF(OR(NOT(ISNUMBER('Price History'!J145)),NOT(ISNUMBER('Price History'!J144)),'Price History'!J144=0),"",'Price History'!J145/'Price History'!J144-1),"")</f>
        <v>0.0075012384120019</v>
      </c>
      <c r="K144" s="154" t="n">
        <f aca="false">IFERROR(IF(OR(NOT(ISNUMBER('Price History'!K145)),NOT(ISNUMBER('Price History'!K144)),'Price History'!K144=0),"",'Price History'!K145/'Price History'!K144-1),"")</f>
        <v>-0.134214897150888</v>
      </c>
      <c r="L144" s="154" t="n">
        <f aca="false">IFERROR(IF(OR(NOT(ISNUMBER('Price History'!L145)),NOT(ISNUMBER('Price History'!L144)),'Price History'!L144=0),"",'Price History'!L145/'Price History'!L144-1),"")</f>
        <v>-0.00785378038236151</v>
      </c>
      <c r="M144" s="154" t="n">
        <f aca="false">IFERROR(IF(OR(NOT(ISNUMBER('Price History'!M145)),NOT(ISNUMBER('Price History'!M144)),'Price History'!M144=0),"",'Price History'!M145/'Price History'!M144-1),"")</f>
        <v>-0.048166809265773</v>
      </c>
      <c r="N144" s="154" t="n">
        <f aca="false">IFERROR(IF(OR(NOT(ISNUMBER('Price History'!N145)),NOT(ISNUMBER('Price History'!N144)),'Price History'!N144=0),"",'Price History'!N145/'Price History'!N144-1),"")</f>
        <v>-0.00158645037315108</v>
      </c>
      <c r="O144" s="154" t="n">
        <f aca="false">IFERROR(IF(OR(NOT(ISNUMBER('Price History'!O145)),NOT(ISNUMBER('Price History'!O144)),'Price History'!O144=0),"",'Price History'!O145/'Price History'!O144-1),"")</f>
        <v>-0.00293574903539673</v>
      </c>
      <c r="P144" s="154" t="n">
        <f aca="false">IFERROR(IF(OR(NOT(ISNUMBER('Price History'!P145)),NOT(ISNUMBER('Price History'!P144)),'Price History'!P144=0),"",'Price History'!P145/'Price History'!P144-1),"")</f>
        <v>0.0028198570398057</v>
      </c>
      <c r="Q144" s="154" t="n">
        <f aca="false">IFERROR(IF(OR(NOT(ISNUMBER('Price History'!Q145)),NOT(ISNUMBER('Price History'!Q144)),'Price History'!Q144=0),"",'Price History'!Q145/'Price History'!Q144-1),"")</f>
        <v>-0.0104658018867926</v>
      </c>
      <c r="R144" s="154" t="n">
        <f aca="false">IFERROR(IF(OR(NOT(ISNUMBER('Price History'!R145)),NOT(ISNUMBER('Price History'!R144)),'Price History'!R144=0),"",'Price History'!R145/'Price History'!R144-1),"")</f>
        <v>-0.0279214064115823</v>
      </c>
      <c r="S144" s="154" t="n">
        <f aca="false">IFERROR(IF(OR(NOT(ISNUMBER('Price History'!S145)),NOT(ISNUMBER('Price History'!S144)),'Price History'!S144=0),"",'Price History'!S145/'Price History'!S144-1),"")</f>
        <v>-0.041902604756512</v>
      </c>
      <c r="T144" s="154" t="n">
        <f aca="false">IFERROR(IF(OR(NOT(ISNUMBER('Price History'!T145)),NOT(ISNUMBER('Price History'!T144)),'Price History'!T144=0),"",'Price History'!T145/'Price History'!T144-1),"")</f>
        <v>-0.011211729193618</v>
      </c>
      <c r="U144" s="154" t="n">
        <f aca="false">IFERROR(IF(OR(NOT(ISNUMBER('Price History'!U145)),NOT(ISNUMBER('Price History'!U144)),'Price History'!U144=0),"",'Price History'!U145/'Price History'!U144-1),"")</f>
        <v>-0.00625195373554233</v>
      </c>
      <c r="V144" s="155" t="n">
        <f aca="false">IFERROR(IF(OR(NOT(ISNUMBER('Price History'!V145)),NOT(ISNUMBER('Price History'!V144)),'Price History'!V144=0),"",'Price History'!V145/'Price History'!V144-1),"")</f>
        <v>-0.00853415195702212</v>
      </c>
      <c r="W144" s="156" t="n">
        <f aca="false">IFERROR('Price History'!B3+(INDEX('Price History'!B:B,MATCH(9.99E+307,'Returns (Calc)'!$A:$A)+1)-'Price History'!B3)*(ROW()-3)/(MATCH(9.99E+307,'Returns (Calc)'!$A:$A)-3),"")</f>
        <v>269.02164556962</v>
      </c>
      <c r="X144" s="156" t="n">
        <f aca="false">IFERROR('Price History'!C3+(INDEX('Price History'!C:C,MATCH(9.99E+307,'Returns (Calc)'!$A:$A)+1)-'Price History'!C3)*(ROW()-3)/(MATCH(9.99E+307,'Returns (Calc)'!$A:$A)-3),"")</f>
        <v>190.008924050633</v>
      </c>
      <c r="Y144" s="156" t="n">
        <f aca="false">IFERROR('Price History'!D3+(INDEX('Price History'!D:D,MATCH(9.99E+307,'Returns (Calc)'!$A:$A)+1)-'Price History'!D3)*(ROW()-3)/(MATCH(9.99E+307,'Returns (Calc)'!$A:$A)-3),"")</f>
        <v>1729.0182278481</v>
      </c>
      <c r="Z144" s="156" t="n">
        <f aca="false">IFERROR('Price History'!E3+(INDEX('Price History'!E:E,MATCH(9.99E+307,'Returns (Calc)'!$A:$A)+1)-'Price History'!E3)*(ROW()-3)/(MATCH(9.99E+307,'Returns (Calc)'!$A:$A)-3),"")</f>
        <v>325.751518987342</v>
      </c>
      <c r="AA144" s="156" t="n">
        <f aca="false">IFERROR('Price History'!F3+(INDEX('Price History'!F:F,MATCH(9.99E+307,'Returns (Calc)'!$A:$A)+1)-'Price History'!F3)*(ROW()-3)/(MATCH(9.99E+307,'Returns (Calc)'!$A:$A)-3),"")</f>
        <v>245.435189873418</v>
      </c>
      <c r="AB144" s="156" t="n">
        <f aca="false">IFERROR('Price History'!G3+(INDEX('Price History'!G:G,MATCH(9.99E+307,'Returns (Calc)'!$A:$A)+1)-'Price History'!G3)*(ROW()-3)/(MATCH(9.99E+307,'Returns (Calc)'!$A:$A)-3),"")</f>
        <v>189.401518987342</v>
      </c>
      <c r="AC144" s="156" t="n">
        <f aca="false">IFERROR('Price History'!H3+(INDEX('Price History'!H:H,MATCH(9.99E+307,'Returns (Calc)'!$A:$A)+1)-'Price History'!H3)*(ROW()-3)/(MATCH(9.99E+307,'Returns (Calc)'!$A:$A)-3),"")</f>
        <v>966.673164556962</v>
      </c>
      <c r="AD144" s="156" t="n">
        <f aca="false">IFERROR('Price History'!I3+(INDEX('Price History'!I:I,MATCH(9.99E+307,'Returns (Calc)'!$A:$A)+1)-'Price History'!I3)*(ROW()-3)/(MATCH(9.99E+307,'Returns (Calc)'!$A:$A)-3),"")</f>
        <v>213.487594936709</v>
      </c>
      <c r="AE144" s="156" t="n">
        <f aca="false">IFERROR('Price History'!J3+(INDEX('Price History'!J:J,MATCH(9.99E+307,'Returns (Calc)'!$A:$A)+1)-'Price History'!J3)*(ROW()-3)/(MATCH(9.99E+307,'Returns (Calc)'!$A:$A)-3),"")</f>
        <v>127.07335443038</v>
      </c>
      <c r="AF144" s="156" t="n">
        <f aca="false">IFERROR('Price History'!K3+(INDEX('Price History'!K:K,MATCH(9.99E+307,'Returns (Calc)'!$A:$A)+1)-'Price History'!K3)*(ROW()-3)/(MATCH(9.99E+307,'Returns (Calc)'!$A:$A)-3),"")</f>
        <v>170.090886075949</v>
      </c>
      <c r="AG144" s="156" t="n">
        <f aca="false">IFERROR('Price History'!L3+(INDEX('Price History'!L:L,MATCH(9.99E+307,'Returns (Calc)'!$A:$A)+1)-'Price History'!L3)*(ROW()-3)/(MATCH(9.99E+307,'Returns (Calc)'!$A:$A)-3),"")</f>
        <v>431.13753164557</v>
      </c>
      <c r="AH144" s="156" t="n">
        <f aca="false">IFERROR('Price History'!M3+(INDEX('Price History'!M:M,MATCH(9.99E+307,'Returns (Calc)'!$A:$A)+1)-'Price History'!M3)*(ROW()-3)/(MATCH(9.99E+307,'Returns (Calc)'!$A:$A)-3),"")</f>
        <v>229.13746835443</v>
      </c>
      <c r="AI144" s="156" t="n">
        <f aca="false">IFERROR('Price History'!N3+(INDEX('Price History'!N:N,MATCH(9.99E+307,'Returns (Calc)'!$A:$A)+1)-'Price History'!N3)*(ROW()-3)/(MATCH(9.99E+307,'Returns (Calc)'!$A:$A)-3),"")</f>
        <v>487.963481012658</v>
      </c>
      <c r="AJ144" s="156" t="n">
        <f aca="false">IFERROR('Price History'!O3+(INDEX('Price History'!O:O,MATCH(9.99E+307,'Returns (Calc)'!$A:$A)+1)-'Price History'!O3)*(ROW()-3)/(MATCH(9.99E+307,'Returns (Calc)'!$A:$A)-3),"")</f>
        <v>115.21835443038</v>
      </c>
      <c r="AK144" s="156" t="n">
        <f aca="false">IFERROR('Price History'!Q3+(INDEX('Price History'!Q:Q,MATCH(9.99E+307,'Returns (Calc)'!$A:$A)+1)-'Price History'!Q3)*(ROW()-3)/(MATCH(9.99E+307,'Returns (Calc)'!$A:$A)-3),"")</f>
        <v>61.9507594936709</v>
      </c>
      <c r="AL144" s="156" t="n">
        <f aca="false">IFERROR('Price History'!R3+(INDEX('Price History'!R:R,MATCH(9.99E+307,'Returns (Calc)'!$A:$A)+1)-'Price History'!R3)*(ROW()-3)/(MATCH(9.99E+307,'Returns (Calc)'!$A:$A)-3),"")</f>
        <v>58.1822784810127</v>
      </c>
      <c r="AM144" s="156" t="n">
        <f aca="false">IFERROR('Price History'!S3+(INDEX('Price History'!S:S,MATCH(9.99E+307,'Returns (Calc)'!$A:$A)+1)-'Price History'!S3)*(ROW()-3)/(MATCH(9.99E+307,'Returns (Calc)'!$A:$A)-3),"")</f>
        <v>142.943924050633</v>
      </c>
      <c r="AN144" s="156" t="n">
        <f aca="false">IFERROR('Price History'!T3+(INDEX('Price History'!T:T,MATCH(9.99E+307,'Returns (Calc)'!$A:$A)+1)-'Price History'!T3)*(ROW()-3)/(MATCH(9.99E+307,'Returns (Calc)'!$A:$A)-3),"")</f>
        <v>48.9601265822785</v>
      </c>
      <c r="AO144" s="157" t="n">
        <f aca="false">IFERROR('Price History'!V3+(INDEX('Price History'!V:V,MATCH(9.99E+307,'Returns (Calc)'!$A:$A)+1)-'Price History'!V3)*(ROW()-3)/(MATCH(9.99E+307,'Returns (Calc)'!$A:$A)-3),"")</f>
        <v>347.207405063291</v>
      </c>
      <c r="AP144" s="155" t="n">
        <f aca="false">IFERROR(IF(OR(NOT(ISNUMBER('Price History'!W145)),NOT(ISNUMBER('Price History'!W144)),'Price History'!W144=0),"",'Price History'!W145/'Price History'!W144-1),"")</f>
        <v>-0.0059743231219016</v>
      </c>
      <c r="AQ144" s="155" t="n">
        <f aca="false">IFERROR(IF(OR(NOT(ISNUMBER('Price History'!X145)),NOT(ISNUMBER('Price History'!X144)),'Price History'!X144=0),"",'Price History'!X145/'Price History'!X144-1),"")</f>
        <v>0.0234660511636853</v>
      </c>
      <c r="AR144" s="155" t="n">
        <f aca="false">IFERROR(IF(OR(NOT(ISNUMBER('Price History'!Y145)),NOT(ISNUMBER('Price History'!Y144)),'Price History'!Y144=0),"",'Price History'!Y145/'Price History'!Y144-1),"")</f>
        <v>-0.00239719712336339</v>
      </c>
      <c r="AS144" s="155" t="n">
        <f aca="false">IFERROR(IF(OR(NOT(ISNUMBER('Price History'!Z145)),NOT(ISNUMBER('Price History'!Z144)),'Price History'!Z144=0),"",'Price History'!Z145/'Price History'!Z144-1),"")</f>
        <v>0.0130813953488371</v>
      </c>
      <c r="AT144" s="155" t="n">
        <f aca="false">IFERROR(IF(OR(NOT(ISNUMBER('Price History'!AA145)),NOT(ISNUMBER('Price History'!AA144)),'Price History'!AA144=0),"",'Price History'!AA145/'Price History'!AA144-1),"")</f>
        <v>-0.0446407812136711</v>
      </c>
      <c r="AU144" s="155" t="n">
        <f aca="false">IFERROR(IF(OR(NOT(ISNUMBER('Price History'!AB145)),NOT(ISNUMBER('Price History'!AB144)),'Price History'!AB144=0),"",'Price History'!AB145/'Price History'!AB144-1),"")</f>
        <v>-0.0099231386945049</v>
      </c>
    </row>
    <row r="145" customFormat="false" ht="15" hidden="false" customHeight="true" outlineLevel="0" collapsed="false">
      <c r="A145" s="153" t="n">
        <f aca="false">IF('Price History'!A146="","",'Price History'!A146)</f>
        <v>46185</v>
      </c>
      <c r="B145" s="154" t="n">
        <f aca="false">IFERROR(IF(OR(NOT(ISNUMBER('Price History'!B146)),NOT(ISNUMBER('Price History'!B145)),'Price History'!B145=0),"",'Price History'!B146/'Price History'!B145-1),"")</f>
        <v>-0.188593700286351</v>
      </c>
      <c r="C145" s="154" t="n">
        <f aca="false">IFERROR(IF(OR(NOT(ISNUMBER('Price History'!C146)),NOT(ISNUMBER('Price History'!C145)),'Price History'!C145=0),"",'Price History'!C146/'Price History'!C145-1),"")</f>
        <v>0.0581448110455693</v>
      </c>
      <c r="D145" s="154" t="n">
        <f aca="false">IFERROR(IF(OR(NOT(ISNUMBER('Price History'!D146)),NOT(ISNUMBER('Price History'!D145)),'Price History'!D145=0),"",'Price History'!D146/'Price History'!D145-1),"")</f>
        <v>0.135104475427233</v>
      </c>
      <c r="E145" s="154" t="n">
        <f aca="false">IFERROR(IF(OR(NOT(ISNUMBER('Price History'!E146)),NOT(ISNUMBER('Price History'!E145)),'Price History'!E145=0),"",'Price History'!E146/'Price History'!E145-1),"")</f>
        <v>-0.00949482337027219</v>
      </c>
      <c r="F145" s="154" t="n">
        <f aca="false">IFERROR(IF(OR(NOT(ISNUMBER('Price History'!F146)),NOT(ISNUMBER('Price History'!F145)),'Price History'!F145=0),"",'Price History'!F146/'Price History'!F145-1),"")</f>
        <v>0.0175250357653791</v>
      </c>
      <c r="G145" s="154" t="n">
        <f aca="false">IFERROR(IF(OR(NOT(ISNUMBER('Price History'!G146)),NOT(ISNUMBER('Price History'!G145)),'Price History'!G145=0),"",'Price History'!G146/'Price History'!G145-1),"")</f>
        <v>0.319408406850026</v>
      </c>
      <c r="H145" s="154" t="n">
        <f aca="false">IFERROR(IF(OR(NOT(ISNUMBER('Price History'!H146)),NOT(ISNUMBER('Price History'!H145)),'Price History'!H145=0),"",'Price History'!H146/'Price History'!H145-1),"")</f>
        <v>0.136106866694448</v>
      </c>
      <c r="I145" s="154" t="n">
        <f aca="false">IFERROR(IF(OR(NOT(ISNUMBER('Price History'!I146)),NOT(ISNUMBER('Price History'!I145)),'Price History'!I145=0),"",'Price History'!I146/'Price History'!I145-1),"")</f>
        <v>0.000439302972616851</v>
      </c>
      <c r="J145" s="154" t="n">
        <f aca="false">IFERROR(IF(OR(NOT(ISNUMBER('Price History'!J146)),NOT(ISNUMBER('Price History'!J145)),'Price History'!J145=0),"",'Price History'!J146/'Price History'!J145-1),"")</f>
        <v>0.0290791599353795</v>
      </c>
      <c r="K145" s="154" t="n">
        <f aca="false">IFERROR(IF(OR(NOT(ISNUMBER('Price History'!K146)),NOT(ISNUMBER('Price History'!K145)),'Price History'!K145=0),"",'Price History'!K146/'Price History'!K145-1),"")</f>
        <v>-0.0556334390909762</v>
      </c>
      <c r="L145" s="154" t="n">
        <f aca="false">IFERROR(IF(OR(NOT(ISNUMBER('Price History'!L146)),NOT(ISNUMBER('Price History'!L145)),'Price History'!L145=0),"",'Price History'!L146/'Price History'!L145-1),"")</f>
        <v>0.0235057735602413</v>
      </c>
      <c r="M145" s="154" t="n">
        <f aca="false">IFERROR(IF(OR(NOT(ISNUMBER('Price History'!M146)),NOT(ISNUMBER('Price History'!M145)),'Price History'!M145=0),"",'Price History'!M146/'Price History'!M145-1),"")</f>
        <v>0.00785697639577854</v>
      </c>
      <c r="N145" s="154" t="n">
        <f aca="false">IFERROR(IF(OR(NOT(ISNUMBER('Price History'!N146)),NOT(ISNUMBER('Price History'!N145)),'Price History'!N145=0),"",'Price History'!N146/'Price History'!N145-1),"")</f>
        <v>-0.0042521764429424</v>
      </c>
      <c r="O145" s="154" t="n">
        <f aca="false">IFERROR(IF(OR(NOT(ISNUMBER('Price History'!O146)),NOT(ISNUMBER('Price History'!O145)),'Price History'!O145=0),"",'Price History'!O146/'Price History'!O145-1),"")</f>
        <v>0.0429040127870783</v>
      </c>
      <c r="P145" s="154" t="n">
        <f aca="false">IFERROR(IF(OR(NOT(ISNUMBER('Price History'!P146)),NOT(ISNUMBER('Price History'!P145)),'Price History'!P145=0),"",'Price History'!P146/'Price History'!P145-1),"")</f>
        <v>0.0221030604237511</v>
      </c>
      <c r="Q145" s="154" t="n">
        <f aca="false">IFERROR(IF(OR(NOT(ISNUMBER('Price History'!Q146)),NOT(ISNUMBER('Price History'!Q145)),'Price History'!Q145=0),"",'Price History'!Q146/'Price History'!Q145-1),"")</f>
        <v>0.000446894086101546</v>
      </c>
      <c r="R145" s="154" t="n">
        <f aca="false">IFERROR(IF(OR(NOT(ISNUMBER('Price History'!R146)),NOT(ISNUMBER('Price History'!R145)),'Price History'!R145=0),"",'Price History'!R146/'Price History'!R145-1),"")</f>
        <v>0.0163120567375887</v>
      </c>
      <c r="S145" s="154" t="n">
        <f aca="false">IFERROR(IF(OR(NOT(ISNUMBER('Price History'!S146)),NOT(ISNUMBER('Price History'!S145)),'Price History'!S145=0),"",'Price History'!S146/'Price History'!S145-1),"")</f>
        <v>0.0568766513697678</v>
      </c>
      <c r="T145" s="154" t="n">
        <f aca="false">IFERROR(IF(OR(NOT(ISNUMBER('Price History'!T146)),NOT(ISNUMBER('Price History'!T145)),'Price History'!T145=0),"",'Price History'!T146/'Price History'!T145-1),"")</f>
        <v>0.00610553859572605</v>
      </c>
      <c r="U145" s="154" t="n">
        <f aca="false">IFERROR(IF(OR(NOT(ISNUMBER('Price History'!U146)),NOT(ISNUMBER('Price History'!U145)),'Price History'!U145=0),"",'Price History'!U146/'Price History'!U145-1),"")</f>
        <v>0.0160427807486629</v>
      </c>
      <c r="V145" s="155" t="n">
        <f aca="false">IFERROR(IF(OR(NOT(ISNUMBER('Price History'!V146)),NOT(ISNUMBER('Price History'!V145)),'Price History'!V145=0),"",'Price History'!V146/'Price History'!V145-1),"")</f>
        <v>-0.00365359011672917</v>
      </c>
      <c r="W145" s="156" t="n">
        <f aca="false">IFERROR('Price History'!B3+(INDEX('Price History'!B:B,MATCH(9.99E+307,'Returns (Calc)'!$A:$A)+1)-'Price History'!B3)*(ROW()-3)/(MATCH(9.99E+307,'Returns (Calc)'!$A:$A)-3),"")</f>
        <v>267.178607594937</v>
      </c>
      <c r="X145" s="156" t="n">
        <f aca="false">IFERROR('Price History'!C3+(INDEX('Price History'!C:C,MATCH(9.99E+307,'Returns (Calc)'!$A:$A)+1)-'Price History'!C3)*(ROW()-3)/(MATCH(9.99E+307,'Returns (Calc)'!$A:$A)-3),"")</f>
        <v>191.028987341772</v>
      </c>
      <c r="Y145" s="156" t="n">
        <f aca="false">IFERROR('Price History'!D3+(INDEX('Price History'!D:D,MATCH(9.99E+307,'Returns (Calc)'!$A:$A)+1)-'Price History'!D3)*(ROW()-3)/(MATCH(9.99E+307,'Returns (Calc)'!$A:$A)-3),"")</f>
        <v>1737.15303797468</v>
      </c>
      <c r="Z145" s="156" t="n">
        <f aca="false">IFERROR('Price History'!E3+(INDEX('Price History'!E:E,MATCH(9.99E+307,'Returns (Calc)'!$A:$A)+1)-'Price History'!E3)*(ROW()-3)/(MATCH(9.99E+307,'Returns (Calc)'!$A:$A)-3),"")</f>
        <v>327.480253164557</v>
      </c>
      <c r="AA145" s="156" t="n">
        <f aca="false">IFERROR('Price History'!F3+(INDEX('Price History'!F:F,MATCH(9.99E+307,'Returns (Calc)'!$A:$A)+1)-'Price History'!F3)*(ROW()-3)/(MATCH(9.99E+307,'Returns (Calc)'!$A:$A)-3),"")</f>
        <v>246.88253164557</v>
      </c>
      <c r="AB145" s="156" t="n">
        <f aca="false">IFERROR('Price History'!G3+(INDEX('Price History'!G:G,MATCH(9.99E+307,'Returns (Calc)'!$A:$A)+1)-'Price History'!G3)*(ROW()-3)/(MATCH(9.99E+307,'Returns (Calc)'!$A:$A)-3),"")</f>
        <v>190.430253164557</v>
      </c>
      <c r="AC145" s="156" t="n">
        <f aca="false">IFERROR('Price History'!H3+(INDEX('Price History'!H:H,MATCH(9.99E+307,'Returns (Calc)'!$A:$A)+1)-'Price History'!H3)*(ROW()-3)/(MATCH(9.99E+307,'Returns (Calc)'!$A:$A)-3),"")</f>
        <v>973.038860759494</v>
      </c>
      <c r="AD145" s="156" t="n">
        <f aca="false">IFERROR('Price History'!I3+(INDEX('Price History'!I:I,MATCH(9.99E+307,'Returns (Calc)'!$A:$A)+1)-'Price History'!I3)*(ROW()-3)/(MATCH(9.99E+307,'Returns (Calc)'!$A:$A)-3),"")</f>
        <v>214.691265822785</v>
      </c>
      <c r="AE145" s="156" t="n">
        <f aca="false">IFERROR('Price History'!J3+(INDEX('Price History'!J:J,MATCH(9.99E+307,'Returns (Calc)'!$A:$A)+1)-'Price History'!J3)*(ROW()-3)/(MATCH(9.99E+307,'Returns (Calc)'!$A:$A)-3),"")</f>
        <v>127.181392405063</v>
      </c>
      <c r="AF145" s="156" t="n">
        <f aca="false">IFERROR('Price History'!K3+(INDEX('Price History'!K:K,MATCH(9.99E+307,'Returns (Calc)'!$A:$A)+1)-'Price History'!K3)*(ROW()-3)/(MATCH(9.99E+307,'Returns (Calc)'!$A:$A)-3),"")</f>
        <v>171.188481012658</v>
      </c>
      <c r="AG145" s="156" t="n">
        <f aca="false">IFERROR('Price History'!L3+(INDEX('Price History'!L:L,MATCH(9.99E+307,'Returns (Calc)'!$A:$A)+1)-'Price History'!L3)*(ROW()-3)/(MATCH(9.99E+307,'Returns (Calc)'!$A:$A)-3),"")</f>
        <v>433.587088607595</v>
      </c>
      <c r="AH145" s="156" t="n">
        <f aca="false">IFERROR('Price History'!M3+(INDEX('Price History'!M:M,MATCH(9.99E+307,'Returns (Calc)'!$A:$A)+1)-'Price History'!M3)*(ROW()-3)/(MATCH(9.99E+307,'Returns (Calc)'!$A:$A)-3),"")</f>
        <v>230.492911392405</v>
      </c>
      <c r="AI145" s="156" t="n">
        <f aca="false">IFERROR('Price History'!N3+(INDEX('Price History'!N:N,MATCH(9.99E+307,'Returns (Calc)'!$A:$A)+1)-'Price History'!N3)*(ROW()-3)/(MATCH(9.99E+307,'Returns (Calc)'!$A:$A)-3),"")</f>
        <v>488.949746835443</v>
      </c>
      <c r="AJ145" s="156" t="n">
        <f aca="false">IFERROR('Price History'!O3+(INDEX('Price History'!O:O,MATCH(9.99E+307,'Returns (Calc)'!$A:$A)+1)-'Price History'!O3)*(ROW()-3)/(MATCH(9.99E+307,'Returns (Calc)'!$A:$A)-3),"")</f>
        <v>115.501392405063</v>
      </c>
      <c r="AK145" s="156" t="n">
        <f aca="false">IFERROR('Price History'!Q3+(INDEX('Price History'!Q:Q,MATCH(9.99E+307,'Returns (Calc)'!$A:$A)+1)-'Price History'!Q3)*(ROW()-3)/(MATCH(9.99E+307,'Returns (Calc)'!$A:$A)-3),"")</f>
        <v>62.3901265822785</v>
      </c>
      <c r="AL145" s="156" t="n">
        <f aca="false">IFERROR('Price History'!R3+(INDEX('Price History'!R:R,MATCH(9.99E+307,'Returns (Calc)'!$A:$A)+1)-'Price History'!R3)*(ROW()-3)/(MATCH(9.99E+307,'Returns (Calc)'!$A:$A)-3),"")</f>
        <v>58.3503797468354</v>
      </c>
      <c r="AM145" s="156" t="n">
        <f aca="false">IFERROR('Price History'!S3+(INDEX('Price History'!S:S,MATCH(9.99E+307,'Returns (Calc)'!$A:$A)+1)-'Price History'!S3)*(ROW()-3)/(MATCH(9.99E+307,'Returns (Calc)'!$A:$A)-3),"")</f>
        <v>143.548987341772</v>
      </c>
      <c r="AN145" s="156" t="n">
        <f aca="false">IFERROR('Price History'!T3+(INDEX('Price History'!T:T,MATCH(9.99E+307,'Returns (Calc)'!$A:$A)+1)-'Price History'!T3)*(ROW()-3)/(MATCH(9.99E+307,'Returns (Calc)'!$A:$A)-3),"")</f>
        <v>49.1283544303797</v>
      </c>
      <c r="AO145" s="157" t="n">
        <f aca="false">IFERROR('Price History'!V3+(INDEX('Price History'!V:V,MATCH(9.99E+307,'Returns (Calc)'!$A:$A)+1)-'Price History'!V3)*(ROW()-3)/(MATCH(9.99E+307,'Returns (Calc)'!$A:$A)-3),"")</f>
        <v>347.998734177215</v>
      </c>
      <c r="AP145" s="155" t="n">
        <f aca="false">IFERROR(IF(OR(NOT(ISNUMBER('Price History'!W146)),NOT(ISNUMBER('Price History'!W145)),'Price History'!W145=0),"",'Price History'!W146/'Price History'!W145-1),"")</f>
        <v>0.0131713554987212</v>
      </c>
      <c r="AQ145" s="155" t="n">
        <f aca="false">IFERROR(IF(OR(NOT(ISNUMBER('Price History'!X146)),NOT(ISNUMBER('Price History'!X145)),'Price History'!X145=0),"",'Price History'!X146/'Price History'!X145-1),"")</f>
        <v>0.00638977635782734</v>
      </c>
      <c r="AR145" s="155" t="n">
        <f aca="false">IFERROR(IF(OR(NOT(ISNUMBER('Price History'!Y146)),NOT(ISNUMBER('Price History'!Y145)),'Price History'!Y145=0),"",'Price History'!Y146/'Price History'!Y145-1),"")</f>
        <v>0.0094269870609982</v>
      </c>
      <c r="AS145" s="155" t="n">
        <f aca="false">IFERROR(IF(OR(NOT(ISNUMBER('Price History'!Z146)),NOT(ISNUMBER('Price History'!Z145)),'Price History'!Z145=0),"",'Price History'!Z146/'Price History'!Z145-1),"")</f>
        <v>0.0222534265392718</v>
      </c>
      <c r="AT145" s="155" t="n">
        <f aca="false">IFERROR(IF(OR(NOT(ISNUMBER('Price History'!AA146)),NOT(ISNUMBER('Price History'!AA145)),'Price History'!AA145=0),"",'Price History'!AA146/'Price History'!AA145-1),"")</f>
        <v>-0.0223898758822099</v>
      </c>
      <c r="AU145" s="155" t="n">
        <f aca="false">IFERROR(IF(OR(NOT(ISNUMBER('Price History'!AB146)),NOT(ISNUMBER('Price History'!AB145)),'Price History'!AB145=0),"",'Price History'!AB146/'Price History'!AB145-1),"")</f>
        <v>-0.0757198308325128</v>
      </c>
    </row>
    <row r="146" customFormat="false" ht="15" hidden="false" customHeight="true" outlineLevel="0" collapsed="false">
      <c r="A146" s="153" t="n">
        <f aca="false">IF('Price History'!A147="","",'Price History'!A147)</f>
        <v>46192</v>
      </c>
      <c r="B146" s="154" t="n">
        <f aca="false">IFERROR(IF(OR(NOT(ISNUMBER('Price History'!B147)),NOT(ISNUMBER('Price History'!B146)),'Price History'!B146=0),"",'Price History'!B147/'Price History'!B146-1),"")</f>
        <v>-0.0434271149887266</v>
      </c>
      <c r="C146" s="154" t="n">
        <f aca="false">IFERROR(IF(OR(NOT(ISNUMBER('Price History'!C147)),NOT(ISNUMBER('Price History'!C146)),'Price History'!C146=0),"",'Price History'!C147/'Price History'!C146-1),"")</f>
        <v>0.0393898554275911</v>
      </c>
      <c r="D146" s="154" t="n">
        <f aca="false">IFERROR(IF(OR(NOT(ISNUMBER('Price History'!D147)),NOT(ISNUMBER('Price History'!D146)),'Price History'!D146=0),"",'Price History'!D147/'Price History'!D146-1),"")</f>
        <v>0.0354890013647549</v>
      </c>
      <c r="E146" s="154" t="n">
        <f aca="false">IFERROR(IF(OR(NOT(ISNUMBER('Price History'!E147)),NOT(ISNUMBER('Price History'!E146)),'Price History'!E146=0),"",'Price History'!E147/'Price History'!E146-1),"")</f>
        <v>0.0766341886178008</v>
      </c>
      <c r="F146" s="154" t="n">
        <f aca="false">IFERROR(IF(OR(NOT(ISNUMBER('Price History'!F147)),NOT(ISNUMBER('Price History'!F146)),'Price History'!F146=0),"",'Price History'!F147/'Price History'!F146-1),"")</f>
        <v>0.00298769771529006</v>
      </c>
      <c r="G146" s="154" t="n">
        <f aca="false">IFERROR(IF(OR(NOT(ISNUMBER('Price History'!G147)),NOT(ISNUMBER('Price History'!G146)),'Price History'!G146=0),"",'Price History'!G147/'Price History'!G146-1),"")</f>
        <v>0.0197443461160274</v>
      </c>
      <c r="H146" s="154" t="n">
        <f aca="false">IFERROR(IF(OR(NOT(ISNUMBER('Price History'!H147)),NOT(ISNUMBER('Price History'!H146)),'Price History'!H146=0),"",'Price History'!H147/'Price History'!H146-1),"")</f>
        <v>0.155238114645528</v>
      </c>
      <c r="I146" s="154" t="n">
        <f aca="false">IFERROR(IF(OR(NOT(ISNUMBER('Price History'!I147)),NOT(ISNUMBER('Price History'!I146)),'Price History'!I146=0),"",'Price History'!I147/'Price History'!I146-1),"")</f>
        <v>0.0267857142857142</v>
      </c>
      <c r="J146" s="154" t="n">
        <f aca="false">IFERROR(IF(OR(NOT(ISNUMBER('Price History'!J147)),NOT(ISNUMBER('Price History'!J146)),'Price History'!J146=0),"",'Price History'!J147/'Price History'!J146-1),"")</f>
        <v>-0.0483243464609924</v>
      </c>
      <c r="K146" s="154" t="n">
        <f aca="false">IFERROR(IF(OR(NOT(ISNUMBER('Price History'!K147)),NOT(ISNUMBER('Price History'!K146)),'Price History'!K146=0),"",'Price History'!K147/'Price History'!K146-1),"")</f>
        <v>0.00375029299163998</v>
      </c>
      <c r="L146" s="154" t="n">
        <f aca="false">IFERROR(IF(OR(NOT(ISNUMBER('Price History'!L147)),NOT(ISNUMBER('Price History'!L146)),'Price History'!L146=0),"",'Price History'!L147/'Price History'!L146-1),"")</f>
        <v>0.0900662251655628</v>
      </c>
      <c r="M146" s="154" t="n">
        <f aca="false">IFERROR(IF(OR(NOT(ISNUMBER('Price History'!M147)),NOT(ISNUMBER('Price History'!M146)),'Price History'!M146=0),"",'Price History'!M147/'Price History'!M146-1),"")</f>
        <v>0.0998909919730453</v>
      </c>
      <c r="N146" s="154" t="n">
        <f aca="false">IFERROR(IF(OR(NOT(ISNUMBER('Price History'!N147)),NOT(ISNUMBER('Price History'!N146)),'Price History'!N146=0),"",'Price History'!N147/'Price History'!N146-1),"")</f>
        <v>0.0150585485357246</v>
      </c>
      <c r="O146" s="154" t="n">
        <f aca="false">IFERROR(IF(OR(NOT(ISNUMBER('Price History'!O147)),NOT(ISNUMBER('Price History'!O146)),'Price History'!O146=0),"",'Price History'!O147/'Price History'!O146-1),"")</f>
        <v>-0.0191175284342987</v>
      </c>
      <c r="P146" s="154" t="n">
        <f aca="false">IFERROR(IF(OR(NOT(ISNUMBER('Price History'!P147)),NOT(ISNUMBER('Price History'!P146)),'Price History'!P146=0),"",'Price History'!P147/'Price History'!P146-1),"")</f>
        <v>-0.027191298784389</v>
      </c>
      <c r="Q146" s="154" t="n">
        <f aca="false">IFERROR(IF(OR(NOT(ISNUMBER('Price History'!Q147)),NOT(ISNUMBER('Price History'!Q146)),'Price History'!Q146=0),"",'Price History'!Q147/'Price History'!Q146-1),"")</f>
        <v>0.0083382966051222</v>
      </c>
      <c r="R146" s="154" t="n">
        <f aca="false">IFERROR(IF(OR(NOT(ISNUMBER('Price History'!R147)),NOT(ISNUMBER('Price History'!R146)),'Price History'!R146=0),"",'Price History'!R147/'Price History'!R146-1),"")</f>
        <v>0.0247732030704815</v>
      </c>
      <c r="S146" s="154" t="n">
        <f aca="false">IFERROR(IF(OR(NOT(ISNUMBER('Price History'!S147)),NOT(ISNUMBER('Price History'!S146)),'Price History'!S146=0),"",'Price History'!S147/'Price History'!S146-1),"")</f>
        <v>0.0486184210526315</v>
      </c>
      <c r="T146" s="154" t="n">
        <f aca="false">IFERROR(IF(OR(NOT(ISNUMBER('Price History'!T147)),NOT(ISNUMBER('Price History'!T146)),'Price History'!T146=0),"",'Price History'!T147/'Price History'!T146-1),"")</f>
        <v>-0.0223233636757694</v>
      </c>
      <c r="U146" s="154" t="n">
        <f aca="false">IFERROR(IF(OR(NOT(ISNUMBER('Price History'!U147)),NOT(ISNUMBER('Price History'!U146)),'Price History'!U146=0),"",'Price History'!U147/'Price History'!U146-1),"")</f>
        <v>-0.0291021671826625</v>
      </c>
      <c r="V146" s="155" t="n">
        <f aca="false">IFERROR(IF(OR(NOT(ISNUMBER('Price History'!V147)),NOT(ISNUMBER('Price History'!V146)),'Price History'!V146=0),"",'Price History'!V147/'Price History'!V146-1),"")</f>
        <v>0.0150408651605083</v>
      </c>
      <c r="W146" s="156" t="n">
        <f aca="false">IFERROR('Price History'!B3+(INDEX('Price History'!B:B,MATCH(9.99E+307,'Returns (Calc)'!$A:$A)+1)-'Price History'!B3)*(ROW()-3)/(MATCH(9.99E+307,'Returns (Calc)'!$A:$A)-3),"")</f>
        <v>265.335569620253</v>
      </c>
      <c r="X146" s="156" t="n">
        <f aca="false">IFERROR('Price History'!C3+(INDEX('Price History'!C:C,MATCH(9.99E+307,'Returns (Calc)'!$A:$A)+1)-'Price History'!C3)*(ROW()-3)/(MATCH(9.99E+307,'Returns (Calc)'!$A:$A)-3),"")</f>
        <v>192.049050632911</v>
      </c>
      <c r="Y146" s="156" t="n">
        <f aca="false">IFERROR('Price History'!D3+(INDEX('Price History'!D:D,MATCH(9.99E+307,'Returns (Calc)'!$A:$A)+1)-'Price History'!D3)*(ROW()-3)/(MATCH(9.99E+307,'Returns (Calc)'!$A:$A)-3),"")</f>
        <v>1745.28784810127</v>
      </c>
      <c r="Z146" s="156" t="n">
        <f aca="false">IFERROR('Price History'!E3+(INDEX('Price History'!E:E,MATCH(9.99E+307,'Returns (Calc)'!$A:$A)+1)-'Price History'!E3)*(ROW()-3)/(MATCH(9.99E+307,'Returns (Calc)'!$A:$A)-3),"")</f>
        <v>329.208987341772</v>
      </c>
      <c r="AA146" s="156" t="n">
        <f aca="false">IFERROR('Price History'!F3+(INDEX('Price History'!F:F,MATCH(9.99E+307,'Returns (Calc)'!$A:$A)+1)-'Price History'!F3)*(ROW()-3)/(MATCH(9.99E+307,'Returns (Calc)'!$A:$A)-3),"")</f>
        <v>248.329873417722</v>
      </c>
      <c r="AB146" s="156" t="n">
        <f aca="false">IFERROR('Price History'!G3+(INDEX('Price History'!G:G,MATCH(9.99E+307,'Returns (Calc)'!$A:$A)+1)-'Price History'!G3)*(ROW()-3)/(MATCH(9.99E+307,'Returns (Calc)'!$A:$A)-3),"")</f>
        <v>191.458987341772</v>
      </c>
      <c r="AC146" s="156" t="n">
        <f aca="false">IFERROR('Price History'!H3+(INDEX('Price History'!H:H,MATCH(9.99E+307,'Returns (Calc)'!$A:$A)+1)-'Price History'!H3)*(ROW()-3)/(MATCH(9.99E+307,'Returns (Calc)'!$A:$A)-3),"")</f>
        <v>979.404556962025</v>
      </c>
      <c r="AD146" s="156" t="n">
        <f aca="false">IFERROR('Price History'!I3+(INDEX('Price History'!I:I,MATCH(9.99E+307,'Returns (Calc)'!$A:$A)+1)-'Price History'!I3)*(ROW()-3)/(MATCH(9.99E+307,'Returns (Calc)'!$A:$A)-3),"")</f>
        <v>215.894936708861</v>
      </c>
      <c r="AE146" s="156" t="n">
        <f aca="false">IFERROR('Price History'!J3+(INDEX('Price History'!J:J,MATCH(9.99E+307,'Returns (Calc)'!$A:$A)+1)-'Price History'!J3)*(ROW()-3)/(MATCH(9.99E+307,'Returns (Calc)'!$A:$A)-3),"")</f>
        <v>127.289430379747</v>
      </c>
      <c r="AF146" s="156" t="n">
        <f aca="false">IFERROR('Price History'!K3+(INDEX('Price History'!K:K,MATCH(9.99E+307,'Returns (Calc)'!$A:$A)+1)-'Price History'!K3)*(ROW()-3)/(MATCH(9.99E+307,'Returns (Calc)'!$A:$A)-3),"")</f>
        <v>172.286075949367</v>
      </c>
      <c r="AG146" s="156" t="n">
        <f aca="false">IFERROR('Price History'!L3+(INDEX('Price History'!L:L,MATCH(9.99E+307,'Returns (Calc)'!$A:$A)+1)-'Price History'!L3)*(ROW()-3)/(MATCH(9.99E+307,'Returns (Calc)'!$A:$A)-3),"")</f>
        <v>436.03664556962</v>
      </c>
      <c r="AH146" s="156" t="n">
        <f aca="false">IFERROR('Price History'!M3+(INDEX('Price History'!M:M,MATCH(9.99E+307,'Returns (Calc)'!$A:$A)+1)-'Price History'!M3)*(ROW()-3)/(MATCH(9.99E+307,'Returns (Calc)'!$A:$A)-3),"")</f>
        <v>231.84835443038</v>
      </c>
      <c r="AI146" s="156" t="n">
        <f aca="false">IFERROR('Price History'!N3+(INDEX('Price History'!N:N,MATCH(9.99E+307,'Returns (Calc)'!$A:$A)+1)-'Price History'!N3)*(ROW()-3)/(MATCH(9.99E+307,'Returns (Calc)'!$A:$A)-3),"")</f>
        <v>489.936012658228</v>
      </c>
      <c r="AJ146" s="156" t="n">
        <f aca="false">IFERROR('Price History'!O3+(INDEX('Price History'!O:O,MATCH(9.99E+307,'Returns (Calc)'!$A:$A)+1)-'Price History'!O3)*(ROW()-3)/(MATCH(9.99E+307,'Returns (Calc)'!$A:$A)-3),"")</f>
        <v>115.784430379747</v>
      </c>
      <c r="AK146" s="156" t="n">
        <f aca="false">IFERROR('Price History'!Q3+(INDEX('Price History'!Q:Q,MATCH(9.99E+307,'Returns (Calc)'!$A:$A)+1)-'Price History'!Q3)*(ROW()-3)/(MATCH(9.99E+307,'Returns (Calc)'!$A:$A)-3),"")</f>
        <v>62.8294936708861</v>
      </c>
      <c r="AL146" s="156" t="n">
        <f aca="false">IFERROR('Price History'!R3+(INDEX('Price History'!R:R,MATCH(9.99E+307,'Returns (Calc)'!$A:$A)+1)-'Price History'!R3)*(ROW()-3)/(MATCH(9.99E+307,'Returns (Calc)'!$A:$A)-3),"")</f>
        <v>58.5184810126582</v>
      </c>
      <c r="AM146" s="156" t="n">
        <f aca="false">IFERROR('Price History'!S3+(INDEX('Price History'!S:S,MATCH(9.99E+307,'Returns (Calc)'!$A:$A)+1)-'Price History'!S3)*(ROW()-3)/(MATCH(9.99E+307,'Returns (Calc)'!$A:$A)-3),"")</f>
        <v>144.154050632911</v>
      </c>
      <c r="AN146" s="156" t="n">
        <f aca="false">IFERROR('Price History'!T3+(INDEX('Price History'!T:T,MATCH(9.99E+307,'Returns (Calc)'!$A:$A)+1)-'Price History'!T3)*(ROW()-3)/(MATCH(9.99E+307,'Returns (Calc)'!$A:$A)-3),"")</f>
        <v>49.296582278481</v>
      </c>
      <c r="AO146" s="157" t="n">
        <f aca="false">IFERROR('Price History'!V3+(INDEX('Price History'!V:V,MATCH(9.99E+307,'Returns (Calc)'!$A:$A)+1)-'Price History'!V3)*(ROW()-3)/(MATCH(9.99E+307,'Returns (Calc)'!$A:$A)-3),"")</f>
        <v>348.790063291139</v>
      </c>
      <c r="AP146" s="155" t="n">
        <f aca="false">IFERROR(IF(OR(NOT(ISNUMBER('Price History'!W147)),NOT(ISNUMBER('Price History'!W146)),'Price History'!W146=0),"",'Price History'!W147/'Price History'!W146-1),"")</f>
        <v>-0.00706802978669696</v>
      </c>
      <c r="AQ146" s="155" t="n">
        <f aca="false">IFERROR(IF(OR(NOT(ISNUMBER('Price History'!X147)),NOT(ISNUMBER('Price History'!X146)),'Price History'!X146=0),"",'Price History'!X147/'Price History'!X146-1),"")</f>
        <v>-0.0220354808590103</v>
      </c>
      <c r="AR146" s="155" t="n">
        <f aca="false">IFERROR(IF(OR(NOT(ISNUMBER('Price History'!Y147)),NOT(ISNUMBER('Price History'!Y146)),'Price History'!Y146=0),"",'Price History'!Y147/'Price History'!Y146-1),"")</f>
        <v>0.00109869987181832</v>
      </c>
      <c r="AS146" s="155" t="n">
        <f aca="false">IFERROR(IF(OR(NOT(ISNUMBER('Price History'!Z147)),NOT(ISNUMBER('Price History'!Z146)),'Price History'!Z146=0),"",'Price History'!Z147/'Price History'!Z146-1),"")</f>
        <v>0.0666208791208791</v>
      </c>
      <c r="AT146" s="155" t="n">
        <f aca="false">IFERROR(IF(OR(NOT(ISNUMBER('Price History'!AA147)),NOT(ISNUMBER('Price History'!AA146)),'Price History'!AA146=0),"",'Price History'!AA147/'Price History'!AA146-1),"")</f>
        <v>-0.0368434154841922</v>
      </c>
      <c r="AU146" s="155" t="n">
        <f aca="false">IFERROR(IF(OR(NOT(ISNUMBER('Price History'!AB147)),NOT(ISNUMBER('Price History'!AB146)),'Price History'!AB146=0),"",'Price History'!AB147/'Price History'!AB146-1),"")</f>
        <v>-0.0391124482888303</v>
      </c>
    </row>
    <row r="147" customFormat="false" ht="15" hidden="false" customHeight="true" outlineLevel="0" collapsed="false">
      <c r="A147" s="153" t="n">
        <f aca="false">IF('Price History'!A148="","",'Price History'!A148)</f>
        <v>46199</v>
      </c>
      <c r="B147" s="154" t="n">
        <f aca="false">IFERROR(IF(OR(NOT(ISNUMBER('Price History'!B148)),NOT(ISNUMBER('Price History'!B147)),'Price History'!B147=0),"",'Price History'!B148/'Price History'!B147-1),"")</f>
        <v>0.0387886862061897</v>
      </c>
      <c r="C147" s="154" t="n">
        <f aca="false">IFERROR(IF(OR(NOT(ISNUMBER('Price History'!C148)),NOT(ISNUMBER('Price History'!C147)),'Price History'!C147=0),"",'Price History'!C148/'Price History'!C147-1),"")</f>
        <v>-0.0711380915895562</v>
      </c>
      <c r="D147" s="154" t="n">
        <f aca="false">IFERROR(IF(OR(NOT(ISNUMBER('Price History'!D148)),NOT(ISNUMBER('Price History'!D147)),'Price History'!D147=0),"",'Price History'!D148/'Price History'!D147-1),"")</f>
        <v>-0.0699930987603714</v>
      </c>
      <c r="E147" s="154" t="n">
        <f aca="false">IFERROR(IF(OR(NOT(ISNUMBER('Price History'!E148)),NOT(ISNUMBER('Price History'!E147)),'Price History'!E147=0),"",'Price History'!E148/'Price History'!E147-1),"")</f>
        <v>-0.111208683985852</v>
      </c>
      <c r="F147" s="154" t="n">
        <f aca="false">IFERROR(IF(OR(NOT(ISNUMBER('Price History'!F148)),NOT(ISNUMBER('Price History'!F147)),'Price History'!F147=0),"",'Price History'!F148/'Price History'!F147-1),"")</f>
        <v>0.0237135681327025</v>
      </c>
      <c r="G147" s="154" t="n">
        <f aca="false">IFERROR(IF(OR(NOT(ISNUMBER('Price History'!G148)),NOT(ISNUMBER('Price History'!G147)),'Price History'!G147=0),"",'Price History'!G148/'Price History'!G147-1),"")</f>
        <v>-0.0420796852701816</v>
      </c>
      <c r="H147" s="154" t="n">
        <f aca="false">IFERROR(IF(OR(NOT(ISNUMBER('Price History'!H148)),NOT(ISNUMBER('Price History'!H147)),'Price History'!H147=0),"",'Price History'!H148/'Price History'!H147-1),"")</f>
        <v>-0.00146407719038277</v>
      </c>
      <c r="I147" s="154" t="n">
        <f aca="false">IFERROR(IF(OR(NOT(ISNUMBER('Price History'!I148)),NOT(ISNUMBER('Price History'!I147)),'Price History'!I147=0),"",'Price History'!I148/'Price History'!I147-1),"")</f>
        <v>-0.0861962461392254</v>
      </c>
      <c r="J147" s="154" t="n">
        <f aca="false">IFERROR(IF(OR(NOT(ISNUMBER('Price History'!J148)),NOT(ISNUMBER('Price History'!J147)),'Price History'!J147=0),"",'Price History'!J148/'Price History'!J147-1),"")</f>
        <v>-0.00401635229147246</v>
      </c>
      <c r="K147" s="154" t="n">
        <f aca="false">IFERROR(IF(OR(NOT(ISNUMBER('Price History'!K148)),NOT(ISNUMBER('Price History'!K147)),'Price History'!K147=0),"",'Price History'!K148/'Price History'!K147-1),"")</f>
        <v>-0.120962092317273</v>
      </c>
      <c r="L147" s="154" t="n">
        <f aca="false">IFERROR(IF(OR(NOT(ISNUMBER('Price History'!L148)),NOT(ISNUMBER('Price History'!L147)),'Price History'!L147=0),"",'Price History'!L148/'Price History'!L147-1),"")</f>
        <v>-0.0644202395417463</v>
      </c>
      <c r="M147" s="154" t="n">
        <f aca="false">IFERROR(IF(OR(NOT(ISNUMBER('Price History'!M148)),NOT(ISNUMBER('Price History'!M147)),'Price History'!M147=0),"",'Price History'!M148/'Price History'!M147-1),"")</f>
        <v>-0.0873652280986276</v>
      </c>
      <c r="N147" s="154" t="n">
        <f aca="false">IFERROR(IF(OR(NOT(ISNUMBER('Price History'!N148)),NOT(ISNUMBER('Price History'!N147)),'Price History'!N147=0),"",'Price History'!N148/'Price History'!N147-1),"")</f>
        <v>0.0879259570887674</v>
      </c>
      <c r="O147" s="154" t="n">
        <f aca="false">IFERROR(IF(OR(NOT(ISNUMBER('Price History'!O148)),NOT(ISNUMBER('Price History'!O147)),'Price History'!O147=0),"",'Price History'!O148/'Price History'!O147-1),"")</f>
        <v>0.0240953947368421</v>
      </c>
      <c r="P147" s="154" t="n">
        <f aca="false">IFERROR(IF(OR(NOT(ISNUMBER('Price History'!P148)),NOT(ISNUMBER('Price History'!P147)),'Price History'!P147=0),"",'Price History'!P148/'Price History'!P147-1),"")</f>
        <v>0.0317000986517593</v>
      </c>
      <c r="Q147" s="154" t="n">
        <f aca="false">IFERROR(IF(OR(NOT(ISNUMBER('Price History'!Q148)),NOT(ISNUMBER('Price History'!Q147)),'Price History'!Q147=0),"",'Price History'!Q148/'Price History'!Q147-1),"")</f>
        <v>-0.0107796810395748</v>
      </c>
      <c r="R147" s="154" t="n">
        <f aca="false">IFERROR(IF(OR(NOT(ISNUMBER('Price History'!R148)),NOT(ISNUMBER('Price History'!R147)),'Price History'!R147=0),"",'Price History'!R148/'Price History'!R147-1),"")</f>
        <v>-0.031324480762683</v>
      </c>
      <c r="S147" s="154" t="n">
        <f aca="false">IFERROR(IF(OR(NOT(ISNUMBER('Price History'!S148)),NOT(ISNUMBER('Price History'!S147)),'Price History'!S147=0),"",'Price History'!S148/'Price History'!S147-1),"")</f>
        <v>-0.0341301210866428</v>
      </c>
      <c r="T147" s="154" t="n">
        <f aca="false">IFERROR(IF(OR(NOT(ISNUMBER('Price History'!T148)),NOT(ISNUMBER('Price History'!T147)),'Price History'!T147=0),"",'Price History'!T148/'Price History'!T147-1),"")</f>
        <v>0.0206162713367324</v>
      </c>
      <c r="U147" s="154" t="n">
        <f aca="false">IFERROR(IF(OR(NOT(ISNUMBER('Price History'!U148)),NOT(ISNUMBER('Price History'!U147)),'Price History'!U147=0),"",'Price History'!U148/'Price History'!U147-1),"")</f>
        <v>0.0153061224489797</v>
      </c>
      <c r="V147" s="155" t="n">
        <f aca="false">IFERROR(IF(OR(NOT(ISNUMBER('Price History'!V148)),NOT(ISNUMBER('Price History'!V147)),'Price History'!V147=0),"",'Price History'!V148/'Price History'!V147-1),"")</f>
        <v>0.0274928818540858</v>
      </c>
      <c r="W147" s="156" t="n">
        <f aca="false">IFERROR('Price History'!B3+(INDEX('Price History'!B:B,MATCH(9.99E+307,'Returns (Calc)'!$A:$A)+1)-'Price History'!B3)*(ROW()-3)/(MATCH(9.99E+307,'Returns (Calc)'!$A:$A)-3),"")</f>
        <v>263.49253164557</v>
      </c>
      <c r="X147" s="156" t="n">
        <f aca="false">IFERROR('Price History'!C3+(INDEX('Price History'!C:C,MATCH(9.99E+307,'Returns (Calc)'!$A:$A)+1)-'Price History'!C3)*(ROW()-3)/(MATCH(9.99E+307,'Returns (Calc)'!$A:$A)-3),"")</f>
        <v>193.069113924051</v>
      </c>
      <c r="Y147" s="156" t="n">
        <f aca="false">IFERROR('Price History'!D3+(INDEX('Price History'!D:D,MATCH(9.99E+307,'Returns (Calc)'!$A:$A)+1)-'Price History'!D3)*(ROW()-3)/(MATCH(9.99E+307,'Returns (Calc)'!$A:$A)-3),"")</f>
        <v>1753.42265822785</v>
      </c>
      <c r="Z147" s="156" t="n">
        <f aca="false">IFERROR('Price History'!E3+(INDEX('Price History'!E:E,MATCH(9.99E+307,'Returns (Calc)'!$A:$A)+1)-'Price History'!E3)*(ROW()-3)/(MATCH(9.99E+307,'Returns (Calc)'!$A:$A)-3),"")</f>
        <v>330.937721518987</v>
      </c>
      <c r="AA147" s="156" t="n">
        <f aca="false">IFERROR('Price History'!F3+(INDEX('Price History'!F:F,MATCH(9.99E+307,'Returns (Calc)'!$A:$A)+1)-'Price History'!F3)*(ROW()-3)/(MATCH(9.99E+307,'Returns (Calc)'!$A:$A)-3),"")</f>
        <v>249.777215189873</v>
      </c>
      <c r="AB147" s="156" t="n">
        <f aca="false">IFERROR('Price History'!G3+(INDEX('Price History'!G:G,MATCH(9.99E+307,'Returns (Calc)'!$A:$A)+1)-'Price History'!G3)*(ROW()-3)/(MATCH(9.99E+307,'Returns (Calc)'!$A:$A)-3),"")</f>
        <v>192.487721518987</v>
      </c>
      <c r="AC147" s="156" t="n">
        <f aca="false">IFERROR('Price History'!H3+(INDEX('Price History'!H:H,MATCH(9.99E+307,'Returns (Calc)'!$A:$A)+1)-'Price History'!H3)*(ROW()-3)/(MATCH(9.99E+307,'Returns (Calc)'!$A:$A)-3),"")</f>
        <v>985.770253164557</v>
      </c>
      <c r="AD147" s="156" t="n">
        <f aca="false">IFERROR('Price History'!I3+(INDEX('Price History'!I:I,MATCH(9.99E+307,'Returns (Calc)'!$A:$A)+1)-'Price History'!I3)*(ROW()-3)/(MATCH(9.99E+307,'Returns (Calc)'!$A:$A)-3),"")</f>
        <v>217.098607594937</v>
      </c>
      <c r="AE147" s="156" t="n">
        <f aca="false">IFERROR('Price History'!J3+(INDEX('Price History'!J:J,MATCH(9.99E+307,'Returns (Calc)'!$A:$A)+1)-'Price History'!J3)*(ROW()-3)/(MATCH(9.99E+307,'Returns (Calc)'!$A:$A)-3),"")</f>
        <v>127.39746835443</v>
      </c>
      <c r="AF147" s="156" t="n">
        <f aca="false">IFERROR('Price History'!K3+(INDEX('Price History'!K:K,MATCH(9.99E+307,'Returns (Calc)'!$A:$A)+1)-'Price History'!K3)*(ROW()-3)/(MATCH(9.99E+307,'Returns (Calc)'!$A:$A)-3),"")</f>
        <v>173.383670886076</v>
      </c>
      <c r="AG147" s="156" t="n">
        <f aca="false">IFERROR('Price History'!L3+(INDEX('Price History'!L:L,MATCH(9.99E+307,'Returns (Calc)'!$A:$A)+1)-'Price History'!L3)*(ROW()-3)/(MATCH(9.99E+307,'Returns (Calc)'!$A:$A)-3),"")</f>
        <v>438.486202531646</v>
      </c>
      <c r="AH147" s="156" t="n">
        <f aca="false">IFERROR('Price History'!M3+(INDEX('Price History'!M:M,MATCH(9.99E+307,'Returns (Calc)'!$A:$A)+1)-'Price History'!M3)*(ROW()-3)/(MATCH(9.99E+307,'Returns (Calc)'!$A:$A)-3),"")</f>
        <v>233.203797468354</v>
      </c>
      <c r="AI147" s="156" t="n">
        <f aca="false">IFERROR('Price History'!N3+(INDEX('Price History'!N:N,MATCH(9.99E+307,'Returns (Calc)'!$A:$A)+1)-'Price History'!N3)*(ROW()-3)/(MATCH(9.99E+307,'Returns (Calc)'!$A:$A)-3),"")</f>
        <v>490.922278481013</v>
      </c>
      <c r="AJ147" s="156" t="n">
        <f aca="false">IFERROR('Price History'!O3+(INDEX('Price History'!O:O,MATCH(9.99E+307,'Returns (Calc)'!$A:$A)+1)-'Price History'!O3)*(ROW()-3)/(MATCH(9.99E+307,'Returns (Calc)'!$A:$A)-3),"")</f>
        <v>116.06746835443</v>
      </c>
      <c r="AK147" s="156" t="n">
        <f aca="false">IFERROR('Price History'!Q3+(INDEX('Price History'!Q:Q,MATCH(9.99E+307,'Returns (Calc)'!$A:$A)+1)-'Price History'!Q3)*(ROW()-3)/(MATCH(9.99E+307,'Returns (Calc)'!$A:$A)-3),"")</f>
        <v>63.2688607594937</v>
      </c>
      <c r="AL147" s="156" t="n">
        <f aca="false">IFERROR('Price History'!R3+(INDEX('Price History'!R:R,MATCH(9.99E+307,'Returns (Calc)'!$A:$A)+1)-'Price History'!R3)*(ROW()-3)/(MATCH(9.99E+307,'Returns (Calc)'!$A:$A)-3),"")</f>
        <v>58.686582278481</v>
      </c>
      <c r="AM147" s="156" t="n">
        <f aca="false">IFERROR('Price History'!S3+(INDEX('Price History'!S:S,MATCH(9.99E+307,'Returns (Calc)'!$A:$A)+1)-'Price History'!S3)*(ROW()-3)/(MATCH(9.99E+307,'Returns (Calc)'!$A:$A)-3),"")</f>
        <v>144.759113924051</v>
      </c>
      <c r="AN147" s="156" t="n">
        <f aca="false">IFERROR('Price History'!T3+(INDEX('Price History'!T:T,MATCH(9.99E+307,'Returns (Calc)'!$A:$A)+1)-'Price History'!T3)*(ROW()-3)/(MATCH(9.99E+307,'Returns (Calc)'!$A:$A)-3),"")</f>
        <v>49.4648101265823</v>
      </c>
      <c r="AO147" s="157" t="n">
        <f aca="false">IFERROR('Price History'!V3+(INDEX('Price History'!V:V,MATCH(9.99E+307,'Returns (Calc)'!$A:$A)+1)-'Price History'!V3)*(ROW()-3)/(MATCH(9.99E+307,'Returns (Calc)'!$A:$A)-3),"")</f>
        <v>349.581392405063</v>
      </c>
      <c r="AP147" s="155" t="n">
        <f aca="false">IFERROR(IF(OR(NOT(ISNUMBER('Price History'!W148)),NOT(ISNUMBER('Price History'!W147)),'Price History'!W147=0),"",'Price History'!W148/'Price History'!W147-1),"")</f>
        <v>6.35566289564071E-005</v>
      </c>
      <c r="AQ147" s="155" t="n">
        <f aca="false">IFERROR(IF(OR(NOT(ISNUMBER('Price History'!X148)),NOT(ISNUMBER('Price History'!X147)),'Price History'!X147=0),"",'Price History'!X148/'Price History'!X147-1),"")</f>
        <v>0.0330341798739737</v>
      </c>
      <c r="AR147" s="155" t="n">
        <f aca="false">IFERROR(IF(OR(NOT(ISNUMBER('Price History'!Y148)),NOT(ISNUMBER('Price History'!Y147)),'Price History'!Y147=0),"",'Price History'!Y148/'Price History'!Y147-1),"")</f>
        <v>0.0010974940552404</v>
      </c>
      <c r="AS147" s="155" t="n">
        <f aca="false">IFERROR(IF(OR(NOT(ISNUMBER('Price History'!Z148)),NOT(ISNUMBER('Price History'!Z147)),'Price History'!Z147=0),"",'Price History'!Z148/'Price History'!Z147-1),"")</f>
        <v>0.0317758055936617</v>
      </c>
      <c r="AT147" s="155" t="n">
        <f aca="false">IFERROR(IF(OR(NOT(ISNUMBER('Price History'!AA148)),NOT(ISNUMBER('Price History'!AA147)),'Price History'!AA147=0),"",'Price History'!AA148/'Price History'!AA147-1),"")</f>
        <v>-0.0461359524424915</v>
      </c>
      <c r="AU147" s="155" t="n">
        <f aca="false">IFERROR(IF(OR(NOT(ISNUMBER('Price History'!AB148)),NOT(ISNUMBER('Price History'!AB147)),'Price History'!AB147=0),"",'Price History'!AB148/'Price History'!AB147-1),"")</f>
        <v>0.117808219178082</v>
      </c>
    </row>
    <row r="148" customFormat="false" ht="15" hidden="false" customHeight="true" outlineLevel="0" collapsed="false">
      <c r="A148" s="153" t="n">
        <f aca="false">IF('Price History'!A149="","",'Price History'!A149)</f>
        <v>46206</v>
      </c>
      <c r="B148" s="154" t="n">
        <f aca="false">IFERROR(IF(OR(NOT(ISNUMBER('Price History'!B149)),NOT(ISNUMBER('Price History'!B148)),'Price History'!B148=0),"",'Price History'!B149/'Price History'!B148-1),"")</f>
        <v>0.0838060474522764</v>
      </c>
      <c r="C148" s="154" t="n">
        <f aca="false">IFERROR(IF(OR(NOT(ISNUMBER('Price History'!C149)),NOT(ISNUMBER('Price History'!C148)),'Price History'!C148=0),"",'Price History'!C149/'Price History'!C148-1),"")</f>
        <v>0.0151649746192895</v>
      </c>
      <c r="D148" s="154" t="n">
        <f aca="false">IFERROR(IF(OR(NOT(ISNUMBER('Price History'!D149)),NOT(ISNUMBER('Price History'!D148)),'Price History'!D148=0),"",'Price History'!D149/'Price History'!D148-1),"")</f>
        <v>-0.0140992021424985</v>
      </c>
      <c r="E148" s="154" t="n">
        <f aca="false">IFERROR(IF(OR(NOT(ISNUMBER('Price History'!E149)),NOT(ISNUMBER('Price History'!E148)),'Price History'!E148=0),"",'Price History'!E149/'Price History'!E148-1),"")</f>
        <v>-0.012542540344714</v>
      </c>
      <c r="F148" s="154" t="n">
        <f aca="false">IFERROR(IF(OR(NOT(ISNUMBER('Price History'!F149)),NOT(ISNUMBER('Price History'!F148)),'Price History'!F148=0),"",'Price History'!F149/'Price History'!F148-1),"")</f>
        <v>0.106749586352485</v>
      </c>
      <c r="G148" s="154" t="n">
        <f aca="false">IFERROR(IF(OR(NOT(ISNUMBER('Price History'!G149)),NOT(ISNUMBER('Price History'!G148)),'Price History'!G148=0),"",'Price History'!G149/'Price History'!G148-1),"")</f>
        <v>-0.0526654855854405</v>
      </c>
      <c r="H148" s="154" t="n">
        <f aca="false">IFERROR(IF(OR(NOT(ISNUMBER('Price History'!H149)),NOT(ISNUMBER('Price History'!H148)),'Price History'!H148=0),"",'Price History'!H149/'Price History'!H148-1),"")</f>
        <v>-0.138452162238553</v>
      </c>
      <c r="I148" s="154" t="n">
        <f aca="false">IFERROR(IF(OR(NOT(ISNUMBER('Price History'!I149)),NOT(ISNUMBER('Price History'!I148)),'Price History'!I148=0),"",'Price History'!I149/'Price History'!I148-1),"")</f>
        <v>0.0119598564817223</v>
      </c>
      <c r="J148" s="154" t="n">
        <f aca="false">IFERROR(IF(OR(NOT(ISNUMBER('Price History'!J149)),NOT(ISNUMBER('Price History'!J148)),'Price History'!J148=0),"",'Price History'!J149/'Price History'!J148-1),"")</f>
        <v>-0.00388852883992219</v>
      </c>
      <c r="K148" s="154" t="n">
        <f aca="false">IFERROR(IF(OR(NOT(ISNUMBER('Price History'!K149)),NOT(ISNUMBER('Price History'!K148)),'Price History'!K148=0),"",'Price History'!K149/'Price History'!K148-1),"")</f>
        <v>0.144957053041707</v>
      </c>
      <c r="L148" s="154" t="n">
        <f aca="false">IFERROR(IF(OR(NOT(ISNUMBER('Price History'!L149)),NOT(ISNUMBER('Price History'!L148)),'Price History'!L148=0),"",'Price History'!L149/'Price History'!L148-1),"")</f>
        <v>0.0041976854750807</v>
      </c>
      <c r="M148" s="154" t="n">
        <f aca="false">IFERROR(IF(OR(NOT(ISNUMBER('Price History'!M149)),NOT(ISNUMBER('Price History'!M148)),'Price History'!M148=0),"",'Price History'!M149/'Price History'!M148-1),"")</f>
        <v>-0.0112544425431091</v>
      </c>
      <c r="N148" s="154" t="n">
        <f aca="false">IFERROR(IF(OR(NOT(ISNUMBER('Price History'!N149)),NOT(ISNUMBER('Price History'!N148)),'Price History'!N148=0),"",'Price History'!N149/'Price History'!N148-1),"")</f>
        <v>0.074693694793829</v>
      </c>
      <c r="O148" s="154" t="n">
        <f aca="false">IFERROR(IF(OR(NOT(ISNUMBER('Price History'!O149)),NOT(ISNUMBER('Price History'!O148)),'Price History'!O148=0),"",'Price History'!O149/'Price History'!O148-1),"")</f>
        <v>-0.0114028748092829</v>
      </c>
      <c r="P148" s="154" t="n">
        <f aca="false">IFERROR(IF(OR(NOT(ISNUMBER('Price History'!P149)),NOT(ISNUMBER('Price History'!P148)),'Price History'!P148=0),"",'Price History'!P149/'Price History'!P148-1),"")</f>
        <v>0.00580098170459609</v>
      </c>
      <c r="Q148" s="154" t="n">
        <f aca="false">IFERROR(IF(OR(NOT(ISNUMBER('Price History'!Q149)),NOT(ISNUMBER('Price History'!Q148)),'Price History'!Q148=0),"",'Price History'!Q149/'Price History'!Q148-1),"")</f>
        <v>0.007613076578594</v>
      </c>
      <c r="R148" s="154" t="n">
        <f aca="false">IFERROR(IF(OR(NOT(ISNUMBER('Price History'!R149)),NOT(ISNUMBER('Price History'!R148)),'Price History'!R148=0),"",'Price History'!R149/'Price History'!R148-1),"")</f>
        <v>0.0100175746924429</v>
      </c>
      <c r="S148" s="154" t="n">
        <f aca="false">IFERROR(IF(OR(NOT(ISNUMBER('Price History'!S149)),NOT(ISNUMBER('Price History'!S148)),'Price History'!S148=0),"",'Price History'!S149/'Price History'!S148-1),"")</f>
        <v>-0.0218902240987332</v>
      </c>
      <c r="T148" s="154" t="n">
        <f aca="false">IFERROR(IF(OR(NOT(ISNUMBER('Price History'!T149)),NOT(ISNUMBER('Price History'!T148)),'Price History'!T148=0),"",'Price History'!T149/'Price History'!T148-1),"")</f>
        <v>0.0175933970460469</v>
      </c>
      <c r="U148" s="154" t="n">
        <f aca="false">IFERROR(IF(OR(NOT(ISNUMBER('Price History'!U149)),NOT(ISNUMBER('Price History'!U148)),'Price History'!U148=0),"",'Price History'!U149/'Price History'!U148-1),"")</f>
        <v>0.00910804020100509</v>
      </c>
      <c r="V148" s="155" t="n">
        <f aca="false">IFERROR(IF(OR(NOT(ISNUMBER('Price History'!V149)),NOT(ISNUMBER('Price History'!V148)),'Price History'!V148=0),"",'Price History'!V149/'Price History'!V148-1),"")</f>
        <v>0.0770239265814485</v>
      </c>
      <c r="W148" s="156" t="n">
        <f aca="false">IFERROR('Price History'!B3+(INDEX('Price History'!B:B,MATCH(9.99E+307,'Returns (Calc)'!$A:$A)+1)-'Price History'!B3)*(ROW()-3)/(MATCH(9.99E+307,'Returns (Calc)'!$A:$A)-3),"")</f>
        <v>261.649493670886</v>
      </c>
      <c r="X148" s="156" t="n">
        <f aca="false">IFERROR('Price History'!C3+(INDEX('Price History'!C:C,MATCH(9.99E+307,'Returns (Calc)'!$A:$A)+1)-'Price History'!C3)*(ROW()-3)/(MATCH(9.99E+307,'Returns (Calc)'!$A:$A)-3),"")</f>
        <v>194.08917721519</v>
      </c>
      <c r="Y148" s="156" t="n">
        <f aca="false">IFERROR('Price History'!D3+(INDEX('Price History'!D:D,MATCH(9.99E+307,'Returns (Calc)'!$A:$A)+1)-'Price History'!D3)*(ROW()-3)/(MATCH(9.99E+307,'Returns (Calc)'!$A:$A)-3),"")</f>
        <v>1761.55746835443</v>
      </c>
      <c r="Z148" s="156" t="n">
        <f aca="false">IFERROR('Price History'!E3+(INDEX('Price History'!E:E,MATCH(9.99E+307,'Returns (Calc)'!$A:$A)+1)-'Price History'!E3)*(ROW()-3)/(MATCH(9.99E+307,'Returns (Calc)'!$A:$A)-3),"")</f>
        <v>332.666455696203</v>
      </c>
      <c r="AA148" s="156" t="n">
        <f aca="false">IFERROR('Price History'!F3+(INDEX('Price History'!F:F,MATCH(9.99E+307,'Returns (Calc)'!$A:$A)+1)-'Price History'!F3)*(ROW()-3)/(MATCH(9.99E+307,'Returns (Calc)'!$A:$A)-3),"")</f>
        <v>251.224556962025</v>
      </c>
      <c r="AB148" s="156" t="n">
        <f aca="false">IFERROR('Price History'!G3+(INDEX('Price History'!G:G,MATCH(9.99E+307,'Returns (Calc)'!$A:$A)+1)-'Price History'!G3)*(ROW()-3)/(MATCH(9.99E+307,'Returns (Calc)'!$A:$A)-3),"")</f>
        <v>193.516455696203</v>
      </c>
      <c r="AC148" s="156" t="n">
        <f aca="false">IFERROR('Price History'!H3+(INDEX('Price History'!H:H,MATCH(9.99E+307,'Returns (Calc)'!$A:$A)+1)-'Price History'!H3)*(ROW()-3)/(MATCH(9.99E+307,'Returns (Calc)'!$A:$A)-3),"")</f>
        <v>992.135949367089</v>
      </c>
      <c r="AD148" s="156" t="n">
        <f aca="false">IFERROR('Price History'!I3+(INDEX('Price History'!I:I,MATCH(9.99E+307,'Returns (Calc)'!$A:$A)+1)-'Price History'!I3)*(ROW()-3)/(MATCH(9.99E+307,'Returns (Calc)'!$A:$A)-3),"")</f>
        <v>218.302278481013</v>
      </c>
      <c r="AE148" s="156" t="n">
        <f aca="false">IFERROR('Price History'!J3+(INDEX('Price History'!J:J,MATCH(9.99E+307,'Returns (Calc)'!$A:$A)+1)-'Price History'!J3)*(ROW()-3)/(MATCH(9.99E+307,'Returns (Calc)'!$A:$A)-3),"")</f>
        <v>127.505506329114</v>
      </c>
      <c r="AF148" s="156" t="n">
        <f aca="false">IFERROR('Price History'!K3+(INDEX('Price History'!K:K,MATCH(9.99E+307,'Returns (Calc)'!$A:$A)+1)-'Price History'!K3)*(ROW()-3)/(MATCH(9.99E+307,'Returns (Calc)'!$A:$A)-3),"")</f>
        <v>174.481265822785</v>
      </c>
      <c r="AG148" s="156" t="n">
        <f aca="false">IFERROR('Price History'!L3+(INDEX('Price History'!L:L,MATCH(9.99E+307,'Returns (Calc)'!$A:$A)+1)-'Price History'!L3)*(ROW()-3)/(MATCH(9.99E+307,'Returns (Calc)'!$A:$A)-3),"")</f>
        <v>440.935759493671</v>
      </c>
      <c r="AH148" s="156" t="n">
        <f aca="false">IFERROR('Price History'!M3+(INDEX('Price History'!M:M,MATCH(9.99E+307,'Returns (Calc)'!$A:$A)+1)-'Price History'!M3)*(ROW()-3)/(MATCH(9.99E+307,'Returns (Calc)'!$A:$A)-3),"")</f>
        <v>234.559240506329</v>
      </c>
      <c r="AI148" s="156" t="n">
        <f aca="false">IFERROR('Price History'!N3+(INDEX('Price History'!N:N,MATCH(9.99E+307,'Returns (Calc)'!$A:$A)+1)-'Price History'!N3)*(ROW()-3)/(MATCH(9.99E+307,'Returns (Calc)'!$A:$A)-3),"")</f>
        <v>491.908544303798</v>
      </c>
      <c r="AJ148" s="156" t="n">
        <f aca="false">IFERROR('Price History'!O3+(INDEX('Price History'!O:O,MATCH(9.99E+307,'Returns (Calc)'!$A:$A)+1)-'Price History'!O3)*(ROW()-3)/(MATCH(9.99E+307,'Returns (Calc)'!$A:$A)-3),"")</f>
        <v>116.350506329114</v>
      </c>
      <c r="AK148" s="156" t="n">
        <f aca="false">IFERROR('Price History'!Q3+(INDEX('Price History'!Q:Q,MATCH(9.99E+307,'Returns (Calc)'!$A:$A)+1)-'Price History'!Q3)*(ROW()-3)/(MATCH(9.99E+307,'Returns (Calc)'!$A:$A)-3),"")</f>
        <v>63.7082278481013</v>
      </c>
      <c r="AL148" s="156" t="n">
        <f aca="false">IFERROR('Price History'!R3+(INDEX('Price History'!R:R,MATCH(9.99E+307,'Returns (Calc)'!$A:$A)+1)-'Price History'!R3)*(ROW()-3)/(MATCH(9.99E+307,'Returns (Calc)'!$A:$A)-3),"")</f>
        <v>58.8546835443038</v>
      </c>
      <c r="AM148" s="156" t="n">
        <f aca="false">IFERROR('Price History'!S3+(INDEX('Price History'!S:S,MATCH(9.99E+307,'Returns (Calc)'!$A:$A)+1)-'Price History'!S3)*(ROW()-3)/(MATCH(9.99E+307,'Returns (Calc)'!$A:$A)-3),"")</f>
        <v>145.36417721519</v>
      </c>
      <c r="AN148" s="156" t="n">
        <f aca="false">IFERROR('Price History'!T3+(INDEX('Price History'!T:T,MATCH(9.99E+307,'Returns (Calc)'!$A:$A)+1)-'Price History'!T3)*(ROW()-3)/(MATCH(9.99E+307,'Returns (Calc)'!$A:$A)-3),"")</f>
        <v>49.6330379746835</v>
      </c>
      <c r="AO148" s="157" t="n">
        <f aca="false">IFERROR('Price History'!V3+(INDEX('Price History'!V:V,MATCH(9.99E+307,'Returns (Calc)'!$A:$A)+1)-'Price History'!V3)*(ROW()-3)/(MATCH(9.99E+307,'Returns (Calc)'!$A:$A)-3),"")</f>
        <v>350.372721518987</v>
      </c>
      <c r="AP148" s="155" t="n">
        <f aca="false">IFERROR(IF(OR(NOT(ISNUMBER('Price History'!W149)),NOT(ISNUMBER('Price History'!W148)),'Price History'!W148=0),"",'Price History'!W149/'Price History'!W148-1),"")</f>
        <v>0.00794407372100414</v>
      </c>
      <c r="AQ148" s="155" t="n">
        <f aca="false">IFERROR(IF(OR(NOT(ISNUMBER('Price History'!X149)),NOT(ISNUMBER('Price History'!X148)),'Price History'!X148=0),"",'Price History'!X149/'Price History'!X148-1),"")</f>
        <v>-0.0181146025878004</v>
      </c>
      <c r="AR148" s="155" t="n">
        <f aca="false">IFERROR(IF(OR(NOT(ISNUMBER('Price History'!Y149)),NOT(ISNUMBER('Price History'!Y148)),'Price History'!Y148=0),"",'Price History'!Y149/'Price History'!Y148-1),"")</f>
        <v>0.0166270783847982</v>
      </c>
      <c r="AS148" s="155" t="n">
        <f aca="false">IFERROR(IF(OR(NOT(ISNUMBER('Price History'!Z149)),NOT(ISNUMBER('Price History'!Z148)),'Price History'!Z148=0),"",'Price History'!Z149/'Price History'!Z148-1),"")</f>
        <v>0.0230911162967384</v>
      </c>
      <c r="AT148" s="155" t="n">
        <f aca="false">IFERROR(IF(OR(NOT(ISNUMBER('Price History'!AA149)),NOT(ISNUMBER('Price History'!AA148)),'Price History'!AA148=0),"",'Price History'!AA149/'Price History'!AA148-1),"")</f>
        <v>0.0520254708034142</v>
      </c>
      <c r="AU148" s="155" t="n">
        <f aca="false">IFERROR(IF(OR(NOT(ISNUMBER('Price History'!AB149)),NOT(ISNUMBER('Price History'!AB148)),'Price History'!AB148=0),"",'Price History'!AB149/'Price History'!AB148-1),"")</f>
        <v>0.124766573295985</v>
      </c>
    </row>
    <row r="149" customFormat="false" ht="15" hidden="false" customHeight="true" outlineLevel="0" collapsed="false">
      <c r="A149" s="153" t="n">
        <f aca="false">IF('Price History'!A150="","",'Price History'!A150)</f>
        <v>46213</v>
      </c>
      <c r="B149" s="154" t="n">
        <f aca="false">IFERROR(IF(OR(NOT(ISNUMBER('Price History'!B150)),NOT(ISNUMBER('Price History'!B149)),'Price History'!B149=0),"",'Price History'!B150/'Price History'!B149-1),"")</f>
        <v>0.0178408884034225</v>
      </c>
      <c r="C149" s="154" t="n">
        <f aca="false">IFERROR(IF(OR(NOT(ISNUMBER('Price History'!C150)),NOT(ISNUMBER('Price History'!C149)),'Price History'!C149=0),"",'Price History'!C150/'Price History'!C149-1),"")</f>
        <v>0.168573035814738</v>
      </c>
      <c r="D149" s="154" t="n">
        <f aca="false">IFERROR(IF(OR(NOT(ISNUMBER('Price History'!D150)),NOT(ISNUMBER('Price History'!D149)),'Price History'!D149=0),"",'Price History'!D150/'Price History'!D149-1),"")</f>
        <v>0.015828820110581</v>
      </c>
      <c r="E149" s="154" t="n">
        <f aca="false">IFERROR(IF(OR(NOT(ISNUMBER('Price History'!E150)),NOT(ISNUMBER('Price History'!E149)),'Price History'!E149=0),"",'Price History'!E150/'Price History'!E149-1),"")</f>
        <v>0.109647294254982</v>
      </c>
      <c r="F149" s="154" t="n">
        <f aca="false">IFERROR(IF(OR(NOT(ISNUMBER('Price History'!F150)),NOT(ISNUMBER('Price History'!F149)),'Price History'!F149=0),"",'Price History'!F150/'Price History'!F149-1),"")</f>
        <v>-0.0350551603258067</v>
      </c>
      <c r="G149" s="154" t="n">
        <f aca="false">IFERROR(IF(OR(NOT(ISNUMBER('Price History'!G150)),NOT(ISNUMBER('Price History'!G149)),'Price History'!G149=0),"",'Price History'!G150/'Price History'!G149-1),"")</f>
        <v>-0.0170860251615097</v>
      </c>
      <c r="H149" s="154" t="n">
        <f aca="false">IFERROR(IF(OR(NOT(ISNUMBER('Price History'!H150)),NOT(ISNUMBER('Price History'!H149)),'Price History'!H149=0),"",'Price History'!H150/'Price History'!H149-1),"")</f>
        <v>0.00398806655662742</v>
      </c>
      <c r="I149" s="154" t="n">
        <f aca="false">IFERROR(IF(OR(NOT(ISNUMBER('Price History'!I150)),NOT(ISNUMBER('Price History'!I149)),'Price History'!I149=0),"",'Price History'!I150/'Price History'!I149-1),"")</f>
        <v>0.0827809465084013</v>
      </c>
      <c r="J149" s="154" t="n">
        <f aca="false">IFERROR(IF(OR(NOT(ISNUMBER('Price History'!J150)),NOT(ISNUMBER('Price History'!J149)),'Price History'!J149=0),"",'Price History'!J150/'Price History'!J149-1),"")</f>
        <v>0.0103375984963492</v>
      </c>
      <c r="K149" s="154" t="n">
        <f aca="false">IFERROR(IF(OR(NOT(ISNUMBER('Price History'!K150)),NOT(ISNUMBER('Price History'!K149)),'Price History'!K149=0),"",'Price History'!K150/'Price History'!K149-1),"")</f>
        <v>-0.0194122196442382</v>
      </c>
      <c r="L149" s="154" t="n">
        <f aca="false">IFERROR(IF(OR(NOT(ISNUMBER('Price History'!L150)),NOT(ISNUMBER('Price History'!L149)),'Price History'!L149=0),"",'Price History'!L150/'Price History'!L149-1),"")</f>
        <v>-0.000115473441108627</v>
      </c>
      <c r="M149" s="154" t="n">
        <f aca="false">IFERROR(IF(OR(NOT(ISNUMBER('Price History'!M150)),NOT(ISNUMBER('Price History'!M149)),'Price History'!M149=0),"",'Price History'!M150/'Price History'!M149-1),"")</f>
        <v>0.0609731744658191</v>
      </c>
      <c r="N149" s="154" t="n">
        <f aca="false">IFERROR(IF(OR(NOT(ISNUMBER('Price History'!N150)),NOT(ISNUMBER('Price History'!N149)),'Price History'!N149=0),"",'Price History'!N150/'Price History'!N149-1),"")</f>
        <v>-0.0807703961821074</v>
      </c>
      <c r="O149" s="154" t="n">
        <f aca="false">IFERROR(IF(OR(NOT(ISNUMBER('Price History'!O150)),NOT(ISNUMBER('Price History'!O149)),'Price History'!O149=0),"",'Price History'!O150/'Price History'!O149-1),"")</f>
        <v>0.00357403947689061</v>
      </c>
      <c r="P149" s="154" t="n">
        <f aca="false">IFERROR(IF(OR(NOT(ISNUMBER('Price History'!P150)),NOT(ISNUMBER('Price History'!P149)),'Price History'!P149=0),"",'Price History'!P150/'Price History'!P149-1),"")</f>
        <v>0.00234503739383962</v>
      </c>
      <c r="Q149" s="154" t="n">
        <f aca="false">IFERROR(IF(OR(NOT(ISNUMBER('Price History'!Q150)),NOT(ISNUMBER('Price History'!Q149)),'Price History'!Q149=0),"",'Price History'!Q150/'Price History'!Q149-1),"")</f>
        <v>0.0109629629629628</v>
      </c>
      <c r="R149" s="154" t="n">
        <f aca="false">IFERROR(IF(OR(NOT(ISNUMBER('Price History'!R150)),NOT(ISNUMBER('Price History'!R149)),'Price History'!R149=0),"",'Price History'!R150/'Price History'!R149-1),"")</f>
        <v>0.0187924134330955</v>
      </c>
      <c r="S149" s="154" t="n">
        <f aca="false">IFERROR(IF(OR(NOT(ISNUMBER('Price History'!S150)),NOT(ISNUMBER('Price History'!S149)),'Price History'!S149=0),"",'Price History'!S150/'Price History'!S149-1),"")</f>
        <v>0.0193916854827998</v>
      </c>
      <c r="T149" s="154" t="n">
        <f aca="false">IFERROR(IF(OR(NOT(ISNUMBER('Price History'!T150)),NOT(ISNUMBER('Price History'!T149)),'Price History'!T149=0),"",'Price History'!T150/'Price History'!T149-1),"")</f>
        <v>0.0089647812166489</v>
      </c>
      <c r="U149" s="154" t="n">
        <f aca="false">IFERROR(IF(OR(NOT(ISNUMBER('Price History'!U150)),NOT(ISNUMBER('Price History'!U149)),'Price History'!U149=0),"",'Price History'!U150/'Price History'!U149-1),"")</f>
        <v>0.000311235605353177</v>
      </c>
      <c r="V149" s="155" t="n">
        <f aca="false">IFERROR(IF(OR(NOT(ISNUMBER('Price History'!V150)),NOT(ISNUMBER('Price History'!V149)),'Price History'!V149=0),"",'Price History'!V150/'Price History'!V149-1),"")</f>
        <v>-0.0363525701322415</v>
      </c>
      <c r="W149" s="156" t="n">
        <f aca="false">IFERROR('Price History'!B3+(INDEX('Price History'!B:B,MATCH(9.99E+307,'Returns (Calc)'!$A:$A)+1)-'Price History'!B3)*(ROW()-3)/(MATCH(9.99E+307,'Returns (Calc)'!$A:$A)-3),"")</f>
        <v>259.806455696203</v>
      </c>
      <c r="X149" s="156" t="n">
        <f aca="false">IFERROR('Price History'!C3+(INDEX('Price History'!C:C,MATCH(9.99E+307,'Returns (Calc)'!$A:$A)+1)-'Price History'!C3)*(ROW()-3)/(MATCH(9.99E+307,'Returns (Calc)'!$A:$A)-3),"")</f>
        <v>195.109240506329</v>
      </c>
      <c r="Y149" s="156" t="n">
        <f aca="false">IFERROR('Price History'!D3+(INDEX('Price History'!D:D,MATCH(9.99E+307,'Returns (Calc)'!$A:$A)+1)-'Price History'!D3)*(ROW()-3)/(MATCH(9.99E+307,'Returns (Calc)'!$A:$A)-3),"")</f>
        <v>1769.69227848101</v>
      </c>
      <c r="Z149" s="156" t="n">
        <f aca="false">IFERROR('Price History'!E3+(INDEX('Price History'!E:E,MATCH(9.99E+307,'Returns (Calc)'!$A:$A)+1)-'Price History'!E3)*(ROW()-3)/(MATCH(9.99E+307,'Returns (Calc)'!$A:$A)-3),"")</f>
        <v>334.395189873418</v>
      </c>
      <c r="AA149" s="156" t="n">
        <f aca="false">IFERROR('Price History'!F3+(INDEX('Price History'!F:F,MATCH(9.99E+307,'Returns (Calc)'!$A:$A)+1)-'Price History'!F3)*(ROW()-3)/(MATCH(9.99E+307,'Returns (Calc)'!$A:$A)-3),"")</f>
        <v>252.671898734177</v>
      </c>
      <c r="AB149" s="156" t="n">
        <f aca="false">IFERROR('Price History'!G3+(INDEX('Price History'!G:G,MATCH(9.99E+307,'Returns (Calc)'!$A:$A)+1)-'Price History'!G3)*(ROW()-3)/(MATCH(9.99E+307,'Returns (Calc)'!$A:$A)-3),"")</f>
        <v>194.545189873418</v>
      </c>
      <c r="AC149" s="156" t="n">
        <f aca="false">IFERROR('Price History'!H3+(INDEX('Price History'!H:H,MATCH(9.99E+307,'Returns (Calc)'!$A:$A)+1)-'Price History'!H3)*(ROW()-3)/(MATCH(9.99E+307,'Returns (Calc)'!$A:$A)-3),"")</f>
        <v>998.50164556962</v>
      </c>
      <c r="AD149" s="156" t="n">
        <f aca="false">IFERROR('Price History'!I3+(INDEX('Price History'!I:I,MATCH(9.99E+307,'Returns (Calc)'!$A:$A)+1)-'Price History'!I3)*(ROW()-3)/(MATCH(9.99E+307,'Returns (Calc)'!$A:$A)-3),"")</f>
        <v>219.505949367089</v>
      </c>
      <c r="AE149" s="156" t="n">
        <f aca="false">IFERROR('Price History'!J3+(INDEX('Price History'!J:J,MATCH(9.99E+307,'Returns (Calc)'!$A:$A)+1)-'Price History'!J3)*(ROW()-3)/(MATCH(9.99E+307,'Returns (Calc)'!$A:$A)-3),"")</f>
        <v>127.613544303797</v>
      </c>
      <c r="AF149" s="156" t="n">
        <f aca="false">IFERROR('Price History'!K3+(INDEX('Price History'!K:K,MATCH(9.99E+307,'Returns (Calc)'!$A:$A)+1)-'Price History'!K3)*(ROW()-3)/(MATCH(9.99E+307,'Returns (Calc)'!$A:$A)-3),"")</f>
        <v>175.578860759494</v>
      </c>
      <c r="AG149" s="156" t="n">
        <f aca="false">IFERROR('Price History'!L3+(INDEX('Price History'!L:L,MATCH(9.99E+307,'Returns (Calc)'!$A:$A)+1)-'Price History'!L3)*(ROW()-3)/(MATCH(9.99E+307,'Returns (Calc)'!$A:$A)-3),"")</f>
        <v>443.385316455696</v>
      </c>
      <c r="AH149" s="156" t="n">
        <f aca="false">IFERROR('Price History'!M3+(INDEX('Price History'!M:M,MATCH(9.99E+307,'Returns (Calc)'!$A:$A)+1)-'Price History'!M3)*(ROW()-3)/(MATCH(9.99E+307,'Returns (Calc)'!$A:$A)-3),"")</f>
        <v>235.914683544304</v>
      </c>
      <c r="AI149" s="156" t="n">
        <f aca="false">IFERROR('Price History'!N3+(INDEX('Price History'!N:N,MATCH(9.99E+307,'Returns (Calc)'!$A:$A)+1)-'Price History'!N3)*(ROW()-3)/(MATCH(9.99E+307,'Returns (Calc)'!$A:$A)-3),"")</f>
        <v>492.894810126582</v>
      </c>
      <c r="AJ149" s="156" t="n">
        <f aca="false">IFERROR('Price History'!O3+(INDEX('Price History'!O:O,MATCH(9.99E+307,'Returns (Calc)'!$A:$A)+1)-'Price History'!O3)*(ROW()-3)/(MATCH(9.99E+307,'Returns (Calc)'!$A:$A)-3),"")</f>
        <v>116.633544303797</v>
      </c>
      <c r="AK149" s="156" t="n">
        <f aca="false">IFERROR('Price History'!Q3+(INDEX('Price History'!Q:Q,MATCH(9.99E+307,'Returns (Calc)'!$A:$A)+1)-'Price History'!Q3)*(ROW()-3)/(MATCH(9.99E+307,'Returns (Calc)'!$A:$A)-3),"")</f>
        <v>64.1475949367089</v>
      </c>
      <c r="AL149" s="156" t="n">
        <f aca="false">IFERROR('Price History'!R3+(INDEX('Price History'!R:R,MATCH(9.99E+307,'Returns (Calc)'!$A:$A)+1)-'Price History'!R3)*(ROW()-3)/(MATCH(9.99E+307,'Returns (Calc)'!$A:$A)-3),"")</f>
        <v>59.0227848101266</v>
      </c>
      <c r="AM149" s="156" t="n">
        <f aca="false">IFERROR('Price History'!S3+(INDEX('Price History'!S:S,MATCH(9.99E+307,'Returns (Calc)'!$A:$A)+1)-'Price History'!S3)*(ROW()-3)/(MATCH(9.99E+307,'Returns (Calc)'!$A:$A)-3),"")</f>
        <v>145.969240506329</v>
      </c>
      <c r="AN149" s="156" t="n">
        <f aca="false">IFERROR('Price History'!T3+(INDEX('Price History'!T:T,MATCH(9.99E+307,'Returns (Calc)'!$A:$A)+1)-'Price History'!T3)*(ROW()-3)/(MATCH(9.99E+307,'Returns (Calc)'!$A:$A)-3),"")</f>
        <v>49.8012658227848</v>
      </c>
      <c r="AO149" s="157" t="n">
        <f aca="false">IFERROR('Price History'!V3+(INDEX('Price History'!V:V,MATCH(9.99E+307,'Returns (Calc)'!$A:$A)+1)-'Price History'!V3)*(ROW()-3)/(MATCH(9.99E+307,'Returns (Calc)'!$A:$A)-3),"")</f>
        <v>351.164050632911</v>
      </c>
      <c r="AP149" s="155" t="n">
        <f aca="false">IFERROR(IF(OR(NOT(ISNUMBER('Price History'!W150)),NOT(ISNUMBER('Price History'!W149)),'Price History'!W149=0),"",'Price History'!W150/'Price History'!W149-1),"")</f>
        <v>0.00989911727616644</v>
      </c>
      <c r="AQ149" s="155" t="n">
        <f aca="false">IFERROR(IF(OR(NOT(ISNUMBER('Price History'!X150)),NOT(ISNUMBER('Price History'!X149)),'Price History'!X149=0),"",'Price History'!X150/'Price History'!X149-1),"")</f>
        <v>0.00790662650602414</v>
      </c>
      <c r="AR149" s="155" t="n">
        <f aca="false">IFERROR(IF(OR(NOT(ISNUMBER('Price History'!Y150)),NOT(ISNUMBER('Price History'!Y149)),'Price History'!Y149=0),"",'Price History'!Y150/'Price History'!Y149-1),"")</f>
        <v>0.000898634076204052</v>
      </c>
      <c r="AS149" s="155" t="n">
        <f aca="false">IFERROR(IF(OR(NOT(ISNUMBER('Price History'!Z150)),NOT(ISNUMBER('Price History'!Z149)),'Price History'!Z149=0),"",'Price History'!Z150/'Price History'!Z149-1),"")</f>
        <v>-0.0471555496618487</v>
      </c>
      <c r="AT149" s="155" t="n">
        <f aca="false">IFERROR(IF(OR(NOT(ISNUMBER('Price History'!AA150)),NOT(ISNUMBER('Price History'!AA149)),'Price History'!AA149=0),"",'Price History'!AA150/'Price History'!AA149-1),"")</f>
        <v>-0.0551191242755956</v>
      </c>
      <c r="AU149" s="155" t="n">
        <f aca="false">IFERROR(IF(OR(NOT(ISNUMBER('Price History'!AB150)),NOT(ISNUMBER('Price History'!AB149)),'Price History'!AB149=0),"",'Price History'!AB150/'Price History'!AB149-1),"")</f>
        <v>-0.0135934419425132</v>
      </c>
    </row>
    <row r="150" customFormat="false" ht="15" hidden="false" customHeight="true" outlineLevel="0" collapsed="false">
      <c r="A150" s="153" t="n">
        <f aca="false">IF('Price History'!A151="","",'Price History'!A151)</f>
        <v>46220</v>
      </c>
      <c r="B150" s="154" t="n">
        <f aca="false">IFERROR(IF(OR(NOT(ISNUMBER('Price History'!B151)),NOT(ISNUMBER('Price History'!B150)),'Price History'!B150=0),"",'Price History'!B151/'Price History'!B150-1),"")</f>
        <v>0.0608567340368449</v>
      </c>
      <c r="C150" s="154" t="n">
        <f aca="false">IFERROR(IF(OR(NOT(ISNUMBER('Price History'!C151)),NOT(ISNUMBER('Price History'!C150)),'Price History'!C150=0),"",'Price History'!C151/'Price History'!C150-1),"")</f>
        <v>-0.0981493367565254</v>
      </c>
      <c r="D150" s="154" t="n">
        <f aca="false">IFERROR(IF(OR(NOT(ISNUMBER('Price History'!D151)),NOT(ISNUMBER('Price History'!D150)),'Price History'!D150=0),"",'Price History'!D151/'Price History'!D150-1),"")</f>
        <v>-0.0276768802228413</v>
      </c>
      <c r="E150" s="154" t="n">
        <f aca="false">IFERROR(IF(OR(NOT(ISNUMBER('Price History'!E151)),NOT(ISNUMBER('Price History'!E150)),'Price History'!E150=0),"",'Price History'!E151/'Price History'!E150-1),"")</f>
        <v>-0.0728383929465984</v>
      </c>
      <c r="F150" s="154" t="n">
        <f aca="false">IFERROR(IF(OR(NOT(ISNUMBER('Price History'!F151)),NOT(ISNUMBER('Price History'!F150)),'Price History'!F150=0),"",'Price History'!F151/'Price History'!F150-1),"")</f>
        <v>0.0849449727534994</v>
      </c>
      <c r="G150" s="154" t="n">
        <f aca="false">IFERROR(IF(OR(NOT(ISNUMBER('Price History'!G151)),NOT(ISNUMBER('Price History'!G150)),'Price History'!G150=0),"",'Price History'!G151/'Price History'!G150-1),"")</f>
        <v>-0.0810775750237828</v>
      </c>
      <c r="H150" s="154" t="n">
        <f aca="false">IFERROR(IF(OR(NOT(ISNUMBER('Price History'!H151)),NOT(ISNUMBER('Price History'!H150)),'Price History'!H150=0),"",'Price History'!H151/'Price History'!H150-1),"")</f>
        <v>-0.133105279281119</v>
      </c>
      <c r="I150" s="154" t="n">
        <f aca="false">IFERROR(IF(OR(NOT(ISNUMBER('Price History'!I151)),NOT(ISNUMBER('Price History'!I150)),'Price History'!I150=0),"",'Price History'!I151/'Price History'!I150-1),"")</f>
        <v>-0.0386294608959756</v>
      </c>
      <c r="J150" s="154" t="n">
        <f aca="false">IFERROR(IF(OR(NOT(ISNUMBER('Price History'!J151)),NOT(ISNUMBER('Price History'!J150)),'Price History'!J150=0),"",'Price History'!J151/'Price History'!J150-1),"")</f>
        <v>0.0633228391528335</v>
      </c>
      <c r="K150" s="154" t="n">
        <f aca="false">IFERROR(IF(OR(NOT(ISNUMBER('Price History'!K151)),NOT(ISNUMBER('Price History'!K150)),'Price History'!K150=0),"",'Price History'!K151/'Price History'!K150-1),"")</f>
        <v>0.0440886505244893</v>
      </c>
      <c r="L150" s="154" t="n">
        <f aca="false">IFERROR(IF(OR(NOT(ISNUMBER('Price History'!L151)),NOT(ISNUMBER('Price History'!L150)),'Price History'!L150=0),"",'Price History'!L151/'Price History'!L150-1),"")</f>
        <v>-0.0823420718327751</v>
      </c>
      <c r="M150" s="154" t="n">
        <f aca="false">IFERROR(IF(OR(NOT(ISNUMBER('Price History'!M151)),NOT(ISNUMBER('Price History'!M150)),'Price History'!M150=0),"",'Price History'!M151/'Price History'!M150-1),"")</f>
        <v>-0.0918815484032874</v>
      </c>
      <c r="N150" s="154" t="n">
        <f aca="false">IFERROR(IF(OR(NOT(ISNUMBER('Price History'!N151)),NOT(ISNUMBER('Price History'!N150)),'Price History'!N150=0),"",'Price History'!N151/'Price History'!N150-1),"")</f>
        <v>0.000535651743958532</v>
      </c>
      <c r="O150" s="154" t="n">
        <f aca="false">IFERROR(IF(OR(NOT(ISNUMBER('Price History'!O151)),NOT(ISNUMBER('Price History'!O150)),'Price History'!O150=0),"",'Price History'!O151/'Price History'!O150-1),"")</f>
        <v>0.0112505058680696</v>
      </c>
      <c r="P150" s="154" t="n">
        <f aca="false">IFERROR(IF(OR(NOT(ISNUMBER('Price History'!P151)),NOT(ISNUMBER('Price History'!P150)),'Price History'!P150=0),"",'Price History'!P151/'Price History'!P150-1),"")</f>
        <v>0.01492254189061</v>
      </c>
      <c r="Q150" s="154" t="n">
        <f aca="false">IFERROR(IF(OR(NOT(ISNUMBER('Price History'!Q151)),NOT(ISNUMBER('Price History'!Q150)),'Price History'!Q150=0),"",'Price History'!Q151/'Price History'!Q150-1),"")</f>
        <v>-0.00923212192262601</v>
      </c>
      <c r="R150" s="154" t="n">
        <f aca="false">IFERROR(IF(OR(NOT(ISNUMBER('Price History'!R151)),NOT(ISNUMBER('Price History'!R150)),'Price History'!R150=0),"",'Price History'!R151/'Price History'!R150-1),"")</f>
        <v>-0.0329632792485055</v>
      </c>
      <c r="S150" s="154" t="n">
        <f aca="false">IFERROR(IF(OR(NOT(ISNUMBER('Price History'!S151)),NOT(ISNUMBER('Price History'!S150)),'Price History'!S150=0),"",'Price History'!S151/'Price History'!S150-1),"")</f>
        <v>-0.0641042345276873</v>
      </c>
      <c r="T150" s="154" t="n">
        <f aca="false">IFERROR(IF(OR(NOT(ISNUMBER('Price History'!T151)),NOT(ISNUMBER('Price History'!T150)),'Price History'!T150=0),"",'Price History'!T151/'Price History'!T150-1),"")</f>
        <v>0.00867357732176854</v>
      </c>
      <c r="U150" s="154" t="n">
        <f aca="false">IFERROR(IF(OR(NOT(ISNUMBER('Price History'!U151)),NOT(ISNUMBER('Price History'!U150)),'Price History'!U150=0),"",'Price History'!U151/'Price History'!U150-1),"")</f>
        <v>0.0158680771624145</v>
      </c>
      <c r="V150" s="155" t="n">
        <f aca="false">IFERROR(IF(OR(NOT(ISNUMBER('Price History'!V151)),NOT(ISNUMBER('Price History'!V150)),'Price History'!V150=0),"",'Price History'!V151/'Price History'!V150-1),"")</f>
        <v>0.0275034451079468</v>
      </c>
      <c r="W150" s="156" t="n">
        <f aca="false">IFERROR('Price History'!B3+(INDEX('Price History'!B:B,MATCH(9.99E+307,'Returns (Calc)'!$A:$A)+1)-'Price History'!B3)*(ROW()-3)/(MATCH(9.99E+307,'Returns (Calc)'!$A:$A)-3),"")</f>
        <v>257.963417721519</v>
      </c>
      <c r="X150" s="156" t="n">
        <f aca="false">IFERROR('Price History'!C3+(INDEX('Price History'!C:C,MATCH(9.99E+307,'Returns (Calc)'!$A:$A)+1)-'Price History'!C3)*(ROW()-3)/(MATCH(9.99E+307,'Returns (Calc)'!$A:$A)-3),"")</f>
        <v>196.129303797468</v>
      </c>
      <c r="Y150" s="156" t="n">
        <f aca="false">IFERROR('Price History'!D3+(INDEX('Price History'!D:D,MATCH(9.99E+307,'Returns (Calc)'!$A:$A)+1)-'Price History'!D3)*(ROW()-3)/(MATCH(9.99E+307,'Returns (Calc)'!$A:$A)-3),"")</f>
        <v>1777.8270886076</v>
      </c>
      <c r="Z150" s="156" t="n">
        <f aca="false">IFERROR('Price History'!E3+(INDEX('Price History'!E:E,MATCH(9.99E+307,'Returns (Calc)'!$A:$A)+1)-'Price History'!E3)*(ROW()-3)/(MATCH(9.99E+307,'Returns (Calc)'!$A:$A)-3),"")</f>
        <v>336.123924050633</v>
      </c>
      <c r="AA150" s="156" t="n">
        <f aca="false">IFERROR('Price History'!F3+(INDEX('Price History'!F:F,MATCH(9.99E+307,'Returns (Calc)'!$A:$A)+1)-'Price History'!F3)*(ROW()-3)/(MATCH(9.99E+307,'Returns (Calc)'!$A:$A)-3),"")</f>
        <v>254.119240506329</v>
      </c>
      <c r="AB150" s="156" t="n">
        <f aca="false">IFERROR('Price History'!G3+(INDEX('Price History'!G:G,MATCH(9.99E+307,'Returns (Calc)'!$A:$A)+1)-'Price History'!G3)*(ROW()-3)/(MATCH(9.99E+307,'Returns (Calc)'!$A:$A)-3),"")</f>
        <v>195.573924050633</v>
      </c>
      <c r="AC150" s="156" t="n">
        <f aca="false">IFERROR('Price History'!H3+(INDEX('Price History'!H:H,MATCH(9.99E+307,'Returns (Calc)'!$A:$A)+1)-'Price History'!H3)*(ROW()-3)/(MATCH(9.99E+307,'Returns (Calc)'!$A:$A)-3),"")</f>
        <v>1004.86734177215</v>
      </c>
      <c r="AD150" s="156" t="n">
        <f aca="false">IFERROR('Price History'!I3+(INDEX('Price History'!I:I,MATCH(9.99E+307,'Returns (Calc)'!$A:$A)+1)-'Price History'!I3)*(ROW()-3)/(MATCH(9.99E+307,'Returns (Calc)'!$A:$A)-3),"")</f>
        <v>220.709620253165</v>
      </c>
      <c r="AE150" s="156" t="n">
        <f aca="false">IFERROR('Price History'!J3+(INDEX('Price History'!J:J,MATCH(9.99E+307,'Returns (Calc)'!$A:$A)+1)-'Price History'!J3)*(ROW()-3)/(MATCH(9.99E+307,'Returns (Calc)'!$A:$A)-3),"")</f>
        <v>127.721582278481</v>
      </c>
      <c r="AF150" s="156" t="n">
        <f aca="false">IFERROR('Price History'!K3+(INDEX('Price History'!K:K,MATCH(9.99E+307,'Returns (Calc)'!$A:$A)+1)-'Price History'!K3)*(ROW()-3)/(MATCH(9.99E+307,'Returns (Calc)'!$A:$A)-3),"")</f>
        <v>176.676455696203</v>
      </c>
      <c r="AG150" s="156" t="n">
        <f aca="false">IFERROR('Price History'!L3+(INDEX('Price History'!L:L,MATCH(9.99E+307,'Returns (Calc)'!$A:$A)+1)-'Price History'!L3)*(ROW()-3)/(MATCH(9.99E+307,'Returns (Calc)'!$A:$A)-3),"")</f>
        <v>445.834873417722</v>
      </c>
      <c r="AH150" s="156" t="n">
        <f aca="false">IFERROR('Price History'!M3+(INDEX('Price History'!M:M,MATCH(9.99E+307,'Returns (Calc)'!$A:$A)+1)-'Price History'!M3)*(ROW()-3)/(MATCH(9.99E+307,'Returns (Calc)'!$A:$A)-3),"")</f>
        <v>237.270126582279</v>
      </c>
      <c r="AI150" s="156" t="n">
        <f aca="false">IFERROR('Price History'!N3+(INDEX('Price History'!N:N,MATCH(9.99E+307,'Returns (Calc)'!$A:$A)+1)-'Price History'!N3)*(ROW()-3)/(MATCH(9.99E+307,'Returns (Calc)'!$A:$A)-3),"")</f>
        <v>493.881075949367</v>
      </c>
      <c r="AJ150" s="156" t="n">
        <f aca="false">IFERROR('Price History'!O3+(INDEX('Price History'!O:O,MATCH(9.99E+307,'Returns (Calc)'!$A:$A)+1)-'Price History'!O3)*(ROW()-3)/(MATCH(9.99E+307,'Returns (Calc)'!$A:$A)-3),"")</f>
        <v>116.916582278481</v>
      </c>
      <c r="AK150" s="156" t="n">
        <f aca="false">IFERROR('Price History'!Q3+(INDEX('Price History'!Q:Q,MATCH(9.99E+307,'Returns (Calc)'!$A:$A)+1)-'Price History'!Q3)*(ROW()-3)/(MATCH(9.99E+307,'Returns (Calc)'!$A:$A)-3),"")</f>
        <v>64.5869620253165</v>
      </c>
      <c r="AL150" s="156" t="n">
        <f aca="false">IFERROR('Price History'!R3+(INDEX('Price History'!R:R,MATCH(9.99E+307,'Returns (Calc)'!$A:$A)+1)-'Price History'!R3)*(ROW()-3)/(MATCH(9.99E+307,'Returns (Calc)'!$A:$A)-3),"")</f>
        <v>59.1908860759494</v>
      </c>
      <c r="AM150" s="156" t="n">
        <f aca="false">IFERROR('Price History'!S3+(INDEX('Price History'!S:S,MATCH(9.99E+307,'Returns (Calc)'!$A:$A)+1)-'Price History'!S3)*(ROW()-3)/(MATCH(9.99E+307,'Returns (Calc)'!$A:$A)-3),"")</f>
        <v>146.574303797468</v>
      </c>
      <c r="AN150" s="156" t="n">
        <f aca="false">IFERROR('Price History'!T3+(INDEX('Price History'!T:T,MATCH(9.99E+307,'Returns (Calc)'!$A:$A)+1)-'Price History'!T3)*(ROW()-3)/(MATCH(9.99E+307,'Returns (Calc)'!$A:$A)-3),"")</f>
        <v>49.9694936708861</v>
      </c>
      <c r="AO150" s="157" t="n">
        <f aca="false">IFERROR('Price History'!V3+(INDEX('Price History'!V:V,MATCH(9.99E+307,'Returns (Calc)'!$A:$A)+1)-'Price History'!V3)*(ROW()-3)/(MATCH(9.99E+307,'Returns (Calc)'!$A:$A)-3),"")</f>
        <v>351.955379746835</v>
      </c>
      <c r="AP150" s="155" t="n">
        <f aca="false">IFERROR(IF(OR(NOT(ISNUMBER('Price History'!W151)),NOT(ISNUMBER('Price History'!W150)),'Price History'!W150=0),"",'Price History'!W151/'Price History'!W150-1),"")</f>
        <v>-0.00555659611662596</v>
      </c>
      <c r="AQ150" s="155" t="n">
        <f aca="false">IFERROR(IF(OR(NOT(ISNUMBER('Price History'!X151)),NOT(ISNUMBER('Price History'!X150)),'Price History'!X150=0),"",'Price History'!X151/'Price History'!X150-1),"")</f>
        <v>0.0138214419125888</v>
      </c>
      <c r="AR150" s="155" t="n">
        <f aca="false">IFERROR(IF(OR(NOT(ISNUMBER('Price History'!Y151)),NOT(ISNUMBER('Price History'!Y150)),'Price History'!Y150=0),"",'Price History'!Y151/'Price History'!Y150-1),"")</f>
        <v>-0.00359130903214211</v>
      </c>
      <c r="AS150" s="155" t="n">
        <f aca="false">IFERROR(IF(OR(NOT(ISNUMBER('Price History'!Z151)),NOT(ISNUMBER('Price History'!Z150)),'Price History'!Z150=0),"",'Price History'!Z151/'Price History'!Z150-1),"")</f>
        <v>-0.0290589250424472</v>
      </c>
      <c r="AT150" s="155" t="n">
        <f aca="false">IFERROR(IF(OR(NOT(ISNUMBER('Price History'!AA151)),NOT(ISNUMBER('Price History'!AA150)),'Price History'!AA150=0),"",'Price History'!AA151/'Price History'!AA150-1),"")</f>
        <v>-0.0602426059697424</v>
      </c>
      <c r="AU150" s="155" t="n">
        <f aca="false">IFERROR(IF(OR(NOT(ISNUMBER('Price History'!AB151)),NOT(ISNUMBER('Price History'!AB150)),'Price History'!AB150=0),"",'Price History'!AB151/'Price History'!AB150-1),"")</f>
        <v>0.0276667367978118</v>
      </c>
    </row>
    <row r="151" customFormat="false" ht="15" hidden="false" customHeight="true" outlineLevel="0" collapsed="false">
      <c r="A151" s="153" t="n">
        <f aca="false">IF('Price History'!A152="","",'Price History'!A152)</f>
        <v>46227</v>
      </c>
      <c r="B151" s="154" t="n">
        <f aca="false">IFERROR(IF(OR(NOT(ISNUMBER('Price History'!B152)),NOT(ISNUMBER('Price History'!B151)),'Price History'!B151=0),"",'Price History'!B152/'Price History'!B151-1),"")</f>
        <v>-0.0511696522655426</v>
      </c>
      <c r="C151" s="154" t="n">
        <f aca="false">IFERROR(IF(OR(NOT(ISNUMBER('Price History'!C152)),NOT(ISNUMBER('Price History'!C151)),'Price History'!C151=0),"",'Price History'!C152/'Price History'!C151-1),"")</f>
        <v>0.0319079532649309</v>
      </c>
      <c r="D151" s="154" t="n">
        <f aca="false">IFERROR(IF(OR(NOT(ISNUMBER('Price History'!D152)),NOT(ISNUMBER('Price History'!D151)),'Price History'!D151=0),"",'Price History'!D152/'Price History'!D151-1),"")</f>
        <v>0.00544312790777624</v>
      </c>
      <c r="E151" s="154" t="n">
        <f aca="false">IFERROR(IF(OR(NOT(ISNUMBER('Price History'!E152)),NOT(ISNUMBER('Price History'!E151)),'Price History'!E151=0),"",'Price History'!E152/'Price History'!E151-1),"")</f>
        <v>0.029905986600389</v>
      </c>
      <c r="F151" s="154" t="n">
        <f aca="false">IFERROR(IF(OR(NOT(ISNUMBER('Price History'!F152)),NOT(ISNUMBER('Price History'!F151)),'Price History'!F151=0),"",'Price History'!F152/'Price History'!F151-1),"")</f>
        <v>-0.0974985227496553</v>
      </c>
      <c r="G151" s="154" t="n">
        <f aca="false">IFERROR(IF(OR(NOT(ISNUMBER('Price History'!G152)),NOT(ISNUMBER('Price History'!G151)),'Price History'!G151=0),"",'Price History'!G152/'Price History'!G151-1),"")</f>
        <v>-0.0104936238294668</v>
      </c>
      <c r="H151" s="154" t="n">
        <f aca="false">IFERROR(IF(OR(NOT(ISNUMBER('Price History'!H152)),NOT(ISNUMBER('Price History'!H151)),'Price History'!H151=0),"",'Price History'!H152/'Price History'!H151-1),"")</f>
        <v>0.0848106484480828</v>
      </c>
      <c r="I151" s="154" t="n">
        <f aca="false">IFERROR(IF(OR(NOT(ISNUMBER('Price History'!I152)),NOT(ISNUMBER('Price History'!I151)),'Price History'!I151=0),"",'Price History'!I152/'Price History'!I151-1),"")</f>
        <v>0.0198933754566097</v>
      </c>
      <c r="J151" s="154" t="n">
        <f aca="false">IFERROR(IF(OR(NOT(ISNUMBER('Price History'!J152)),NOT(ISNUMBER('Price History'!J151)),'Price History'!J151=0),"",'Price History'!J152/'Price History'!J151-1),"")</f>
        <v>-0.0144001076643565</v>
      </c>
      <c r="K151" s="154" t="n">
        <f aca="false">IFERROR(IF(OR(NOT(ISNUMBER('Price History'!K152)),NOT(ISNUMBER('Price History'!K151)),'Price History'!K151=0),"",'Price History'!K152/'Price History'!K151-1),"")</f>
        <v>-0.0714609457621996</v>
      </c>
      <c r="L151" s="154" t="n">
        <f aca="false">IFERROR(IF(OR(NOT(ISNUMBER('Price History'!L152)),NOT(ISNUMBER('Price History'!L151)),'Price History'!L151=0),"",'Price History'!L152/'Price History'!L151-1),"")</f>
        <v>0.0126604580921217</v>
      </c>
      <c r="M151" s="154" t="n">
        <f aca="false">IFERROR(IF(OR(NOT(ISNUMBER('Price History'!M152)),NOT(ISNUMBER('Price History'!M151)),'Price History'!M151=0),"",'Price History'!M152/'Price History'!M151-1),"")</f>
        <v>0.00276348060382059</v>
      </c>
      <c r="N151" s="154" t="n">
        <f aca="false">IFERROR(IF(OR(NOT(ISNUMBER('Price History'!N152)),NOT(ISNUMBER('Price History'!N151)),'Price History'!N151=0),"",'Price History'!N152/'Price History'!N151-1),"")</f>
        <v>-0.0170699063111294</v>
      </c>
      <c r="O151" s="154" t="n">
        <f aca="false">IFERROR(IF(OR(NOT(ISNUMBER('Price History'!O152)),NOT(ISNUMBER('Price History'!O151)),'Price History'!O151=0),"",'Price History'!O152/'Price History'!O151-1),"")</f>
        <v>-0.000560268929085894</v>
      </c>
      <c r="P151" s="154" t="n">
        <f aca="false">IFERROR(IF(OR(NOT(ISNUMBER('Price History'!P152)),NOT(ISNUMBER('Price History'!P151)),'Price History'!P151=0),"",'Price History'!P152/'Price History'!P151-1),"")</f>
        <v>0.00716466263784188</v>
      </c>
      <c r="Q151" s="154" t="n">
        <f aca="false">IFERROR(IF(OR(NOT(ISNUMBER('Price History'!Q152)),NOT(ISNUMBER('Price History'!Q151)),'Price History'!Q151=0),"",'Price History'!Q152/'Price History'!Q151-1),"")</f>
        <v>-0.00177488537198645</v>
      </c>
      <c r="R151" s="154" t="n">
        <f aca="false">IFERROR(IF(OR(NOT(ISNUMBER('Price History'!R152)),NOT(ISNUMBER('Price History'!R151)),'Price History'!R151=0),"",'Price History'!R152/'Price History'!R151-1),"")</f>
        <v>-0.00936064994701513</v>
      </c>
      <c r="S151" s="154" t="n">
        <f aca="false">IFERROR(IF(OR(NOT(ISNUMBER('Price History'!S152)),NOT(ISNUMBER('Price History'!S151)),'Price History'!S151=0),"",'Price History'!S152/'Price History'!S151-1),"")</f>
        <v>0.0181678964221079</v>
      </c>
      <c r="T151" s="154" t="n">
        <f aca="false">IFERROR(IF(OR(NOT(ISNUMBER('Price History'!T152)),NOT(ISNUMBER('Price History'!T151)),'Price History'!T151=0),"",'Price History'!T152/'Price History'!T151-1),"")</f>
        <v>0.00692114093959728</v>
      </c>
      <c r="U151" s="154" t="n">
        <f aca="false">IFERROR(IF(OR(NOT(ISNUMBER('Price History'!U152)),NOT(ISNUMBER('Price History'!U151)),'Price History'!U151=0),"",'Price History'!U152/'Price History'!U151-1),"")</f>
        <v>0.0116385911179173</v>
      </c>
      <c r="V151" s="155" t="n">
        <f aca="false">IFERROR(IF(OR(NOT(ISNUMBER('Price History'!V152)),NOT(ISNUMBER('Price History'!V151)),'Price History'!V151=0),"",'Price History'!V152/'Price History'!V151-1),"")</f>
        <v>-0.00787929589270742</v>
      </c>
      <c r="W151" s="156" t="n">
        <f aca="false">IFERROR('Price History'!B3+(INDEX('Price History'!B:B,MATCH(9.99E+307,'Returns (Calc)'!$A:$A)+1)-'Price History'!B3)*(ROW()-3)/(MATCH(9.99E+307,'Returns (Calc)'!$A:$A)-3),"")</f>
        <v>256.120379746835</v>
      </c>
      <c r="X151" s="156" t="n">
        <f aca="false">IFERROR('Price History'!C3+(INDEX('Price History'!C:C,MATCH(9.99E+307,'Returns (Calc)'!$A:$A)+1)-'Price History'!C3)*(ROW()-3)/(MATCH(9.99E+307,'Returns (Calc)'!$A:$A)-3),"")</f>
        <v>197.149367088608</v>
      </c>
      <c r="Y151" s="156" t="n">
        <f aca="false">IFERROR('Price History'!D3+(INDEX('Price History'!D:D,MATCH(9.99E+307,'Returns (Calc)'!$A:$A)+1)-'Price History'!D3)*(ROW()-3)/(MATCH(9.99E+307,'Returns (Calc)'!$A:$A)-3),"")</f>
        <v>1785.96189873418</v>
      </c>
      <c r="Z151" s="156" t="n">
        <f aca="false">IFERROR('Price History'!E3+(INDEX('Price History'!E:E,MATCH(9.99E+307,'Returns (Calc)'!$A:$A)+1)-'Price History'!E3)*(ROW()-3)/(MATCH(9.99E+307,'Returns (Calc)'!$A:$A)-3),"")</f>
        <v>337.852658227848</v>
      </c>
      <c r="AA151" s="156" t="n">
        <f aca="false">IFERROR('Price History'!F3+(INDEX('Price History'!F:F,MATCH(9.99E+307,'Returns (Calc)'!$A:$A)+1)-'Price History'!F3)*(ROW()-3)/(MATCH(9.99E+307,'Returns (Calc)'!$A:$A)-3),"")</f>
        <v>255.566582278481</v>
      </c>
      <c r="AB151" s="156" t="n">
        <f aca="false">IFERROR('Price History'!G3+(INDEX('Price History'!G:G,MATCH(9.99E+307,'Returns (Calc)'!$A:$A)+1)-'Price History'!G3)*(ROW()-3)/(MATCH(9.99E+307,'Returns (Calc)'!$A:$A)-3),"")</f>
        <v>196.602658227848</v>
      </c>
      <c r="AC151" s="156" t="n">
        <f aca="false">IFERROR('Price History'!H3+(INDEX('Price History'!H:H,MATCH(9.99E+307,'Returns (Calc)'!$A:$A)+1)-'Price History'!H3)*(ROW()-3)/(MATCH(9.99E+307,'Returns (Calc)'!$A:$A)-3),"")</f>
        <v>1011.23303797468</v>
      </c>
      <c r="AD151" s="156" t="n">
        <f aca="false">IFERROR('Price History'!I3+(INDEX('Price History'!I:I,MATCH(9.99E+307,'Returns (Calc)'!$A:$A)+1)-'Price History'!I3)*(ROW()-3)/(MATCH(9.99E+307,'Returns (Calc)'!$A:$A)-3),"")</f>
        <v>221.913291139241</v>
      </c>
      <c r="AE151" s="156" t="n">
        <f aca="false">IFERROR('Price History'!J3+(INDEX('Price History'!J:J,MATCH(9.99E+307,'Returns (Calc)'!$A:$A)+1)-'Price History'!J3)*(ROW()-3)/(MATCH(9.99E+307,'Returns (Calc)'!$A:$A)-3),"")</f>
        <v>127.829620253165</v>
      </c>
      <c r="AF151" s="156" t="n">
        <f aca="false">IFERROR('Price History'!K3+(INDEX('Price History'!K:K,MATCH(9.99E+307,'Returns (Calc)'!$A:$A)+1)-'Price History'!K3)*(ROW()-3)/(MATCH(9.99E+307,'Returns (Calc)'!$A:$A)-3),"")</f>
        <v>177.774050632911</v>
      </c>
      <c r="AG151" s="156" t="n">
        <f aca="false">IFERROR('Price History'!L3+(INDEX('Price History'!L:L,MATCH(9.99E+307,'Returns (Calc)'!$A:$A)+1)-'Price History'!L3)*(ROW()-3)/(MATCH(9.99E+307,'Returns (Calc)'!$A:$A)-3),"")</f>
        <v>448.284430379747</v>
      </c>
      <c r="AH151" s="156" t="n">
        <f aca="false">IFERROR('Price History'!M3+(INDEX('Price History'!M:M,MATCH(9.99E+307,'Returns (Calc)'!$A:$A)+1)-'Price History'!M3)*(ROW()-3)/(MATCH(9.99E+307,'Returns (Calc)'!$A:$A)-3),"")</f>
        <v>238.625569620253</v>
      </c>
      <c r="AI151" s="156" t="n">
        <f aca="false">IFERROR('Price History'!N3+(INDEX('Price History'!N:N,MATCH(9.99E+307,'Returns (Calc)'!$A:$A)+1)-'Price History'!N3)*(ROW()-3)/(MATCH(9.99E+307,'Returns (Calc)'!$A:$A)-3),"")</f>
        <v>494.867341772152</v>
      </c>
      <c r="AJ151" s="156" t="n">
        <f aca="false">IFERROR('Price History'!O3+(INDEX('Price History'!O:O,MATCH(9.99E+307,'Returns (Calc)'!$A:$A)+1)-'Price History'!O3)*(ROW()-3)/(MATCH(9.99E+307,'Returns (Calc)'!$A:$A)-3),"")</f>
        <v>117.199620253165</v>
      </c>
      <c r="AK151" s="156" t="n">
        <f aca="false">IFERROR('Price History'!Q3+(INDEX('Price History'!Q:Q,MATCH(9.99E+307,'Returns (Calc)'!$A:$A)+1)-'Price History'!Q3)*(ROW()-3)/(MATCH(9.99E+307,'Returns (Calc)'!$A:$A)-3),"")</f>
        <v>65.0263291139241</v>
      </c>
      <c r="AL151" s="156" t="n">
        <f aca="false">IFERROR('Price History'!R3+(INDEX('Price History'!R:R,MATCH(9.99E+307,'Returns (Calc)'!$A:$A)+1)-'Price History'!R3)*(ROW()-3)/(MATCH(9.99E+307,'Returns (Calc)'!$A:$A)-3),"")</f>
        <v>59.3589873417722</v>
      </c>
      <c r="AM151" s="156" t="n">
        <f aca="false">IFERROR('Price History'!S3+(INDEX('Price History'!S:S,MATCH(9.99E+307,'Returns (Calc)'!$A:$A)+1)-'Price History'!S3)*(ROW()-3)/(MATCH(9.99E+307,'Returns (Calc)'!$A:$A)-3),"")</f>
        <v>147.179367088608</v>
      </c>
      <c r="AN151" s="156" t="n">
        <f aca="false">IFERROR('Price History'!T3+(INDEX('Price History'!T:T,MATCH(9.99E+307,'Returns (Calc)'!$A:$A)+1)-'Price History'!T3)*(ROW()-3)/(MATCH(9.99E+307,'Returns (Calc)'!$A:$A)-3),"")</f>
        <v>50.1377215189873</v>
      </c>
      <c r="AO151" s="157" t="n">
        <f aca="false">IFERROR('Price History'!V3+(INDEX('Price History'!V:V,MATCH(9.99E+307,'Returns (Calc)'!$A:$A)+1)-'Price History'!V3)*(ROW()-3)/(MATCH(9.99E+307,'Returns (Calc)'!$A:$A)-3),"")</f>
        <v>352.74670886076</v>
      </c>
      <c r="AP151" s="155" t="n">
        <f aca="false">IFERROR(IF(OR(NOT(ISNUMBER('Price History'!W152)),NOT(ISNUMBER('Price History'!W151)),'Price History'!W151=0),"",'Price History'!W152/'Price History'!W151-1),"")</f>
        <v>0.0128704168759417</v>
      </c>
      <c r="AQ151" s="155" t="n">
        <f aca="false">IFERROR(IF(OR(NOT(ISNUMBER('Price History'!X152)),NOT(ISNUMBER('Price History'!X151)),'Price History'!X151=0),"",'Price History'!X152/'Price History'!X151-1),"")</f>
        <v>-0.00018422991893885</v>
      </c>
      <c r="AR151" s="155" t="n">
        <f aca="false">IFERROR(IF(OR(NOT(ISNUMBER('Price History'!Y152)),NOT(ISNUMBER('Price History'!Y151)),'Price History'!Y151=0),"",'Price History'!Y152/'Price History'!Y151-1),"")</f>
        <v>0.00432510362227423</v>
      </c>
      <c r="AS151" s="155" t="n">
        <f aca="false">IFERROR(IF(OR(NOT(ISNUMBER('Price History'!Z152)),NOT(ISNUMBER('Price History'!Z151)),'Price History'!Z151=0),"",'Price History'!Z152/'Price History'!Z151-1),"")</f>
        <v>0.0140469569704442</v>
      </c>
      <c r="AT151" s="155" t="n">
        <f aca="false">IFERROR(IF(OR(NOT(ISNUMBER('Price History'!AA152)),NOT(ISNUMBER('Price History'!AA151)),'Price History'!AA151=0),"",'Price History'!AA152/'Price History'!AA151-1),"")</f>
        <v>0.0165337200870195</v>
      </c>
      <c r="AU151" s="155" t="n">
        <f aca="false">IFERROR(IF(OR(NOT(ISNUMBER('Price History'!AB152)),NOT(ISNUMBER('Price History'!AB151)),'Price History'!AB151=0),"",'Price History'!AB152/'Price History'!AB151-1),"")</f>
        <v>-0.0467806326133687</v>
      </c>
    </row>
    <row r="152" customFormat="false" ht="15" hidden="false" customHeight="true" outlineLevel="0" collapsed="false">
      <c r="A152" s="153" t="n">
        <f aca="false">IF('Price History'!A153="","",'Price History'!A153)</f>
        <v>46234</v>
      </c>
      <c r="B152" s="154" t="n">
        <f aca="false">IFERROR(IF(OR(NOT(ISNUMBER('Price History'!B153)),NOT(ISNUMBER('Price History'!B152)),'Price History'!B152=0),"",'Price History'!B153/'Price History'!B152-1),"")</f>
        <v>0.112389498467416</v>
      </c>
      <c r="C152" s="154" t="n">
        <f aca="false">IFERROR(IF(OR(NOT(ISNUMBER('Price History'!C153)),NOT(ISNUMBER('Price History'!C152)),'Price History'!C152=0),"",'Price History'!C153/'Price History'!C152-1),"")</f>
        <v>0.0365538249324673</v>
      </c>
      <c r="D152" s="154" t="n">
        <f aca="false">IFERROR(IF(OR(NOT(ISNUMBER('Price History'!D153)),NOT(ISNUMBER('Price History'!D152)),'Price History'!D152=0),"",'Price History'!D153/'Price History'!D152-1),"")</f>
        <v>-0.071699661503744</v>
      </c>
      <c r="E152" s="154" t="n">
        <f aca="false">IFERROR(IF(OR(NOT(ISNUMBER('Price History'!E153)),NOT(ISNUMBER('Price History'!E152)),'Price History'!E152=0),"",'Price History'!E153/'Price History'!E152-1),"")</f>
        <v>0.019253469034441</v>
      </c>
      <c r="F152" s="154" t="n">
        <f aca="false">IFERROR(IF(OR(NOT(ISNUMBER('Price History'!F153)),NOT(ISNUMBER('Price History'!F152)),'Price History'!F152=0),"",'Price History'!F153/'Price History'!F152-1),"")</f>
        <v>0.0413574858140551</v>
      </c>
      <c r="G152" s="154" t="n">
        <f aca="false">IFERROR(IF(OR(NOT(ISNUMBER('Price History'!G153)),NOT(ISNUMBER('Price History'!G152)),'Price History'!G152=0),"",'Price History'!G153/'Price History'!G152-1),"")</f>
        <v>-0.1315864561537</v>
      </c>
      <c r="H152" s="154" t="n">
        <f aca="false">IFERROR(IF(OR(NOT(ISNUMBER('Price History'!H153)),NOT(ISNUMBER('Price History'!H152)),'Price History'!H152=0),"",'Price History'!H153/'Price History'!H152-1),"")</f>
        <v>-0.106324990498941</v>
      </c>
      <c r="I152" s="154" t="n">
        <f aca="false">IFERROR(IF(OR(NOT(ISNUMBER('Price History'!I153)),NOT(ISNUMBER('Price History'!I152)),'Price History'!I152=0),"",'Price History'!I153/'Price History'!I152-1),"")</f>
        <v>-0.0294274236484198</v>
      </c>
      <c r="J152" s="154" t="n">
        <f aca="false">IFERROR(IF(OR(NOT(ISNUMBER('Price History'!J153)),NOT(ISNUMBER('Price History'!J152)),'Price History'!J152=0),"",'Price History'!J153/'Price History'!J152-1),"")</f>
        <v>-0.0204820099679115</v>
      </c>
      <c r="K152" s="154" t="n">
        <f aca="false">IFERROR(IF(OR(NOT(ISNUMBER('Price History'!K153)),NOT(ISNUMBER('Price History'!K152)),'Price History'!K152=0),"",'Price History'!K153/'Price History'!K152-1),"")</f>
        <v>0.00113895216400906</v>
      </c>
      <c r="L152" s="154" t="n">
        <f aca="false">IFERROR(IF(OR(NOT(ISNUMBER('Price History'!L153)),NOT(ISNUMBER('Price History'!L152)),'Price History'!L152=0),"",'Price History'!L153/'Price History'!L152-1),"")</f>
        <v>0.00208783834165982</v>
      </c>
      <c r="M152" s="154" t="n">
        <f aca="false">IFERROR(IF(OR(NOT(ISNUMBER('Price History'!M153)),NOT(ISNUMBER('Price History'!M152)),'Price History'!M152=0),"",'Price History'!M153/'Price History'!M152-1),"")</f>
        <v>-0.16803885769403</v>
      </c>
      <c r="N152" s="154" t="n">
        <f aca="false">IFERROR(IF(OR(NOT(ISNUMBER('Price History'!N153)),NOT(ISNUMBER('Price History'!N152)),'Price History'!N152=0),"",'Price History'!N153/'Price History'!N152-1),"")</f>
        <v>-0.000544662309368227</v>
      </c>
      <c r="O152" s="154" t="n">
        <f aca="false">IFERROR(IF(OR(NOT(ISNUMBER('Price History'!O153)),NOT(ISNUMBER('Price History'!O152)),'Price History'!O152=0),"",'Price History'!O153/'Price History'!O152-1),"")</f>
        <v>0</v>
      </c>
      <c r="P152" s="154" t="n">
        <f aca="false">IFERROR(IF(OR(NOT(ISNUMBER('Price History'!P153)),NOT(ISNUMBER('Price History'!P152)),'Price History'!P152=0),"",'Price History'!P153/'Price History'!P152-1),"")</f>
        <v>-0.0109489051094891</v>
      </c>
      <c r="Q152" s="154" t="n">
        <f aca="false">IFERROR(IF(OR(NOT(ISNUMBER('Price History'!Q153)),NOT(ISNUMBER('Price History'!Q152)),'Price History'!Q152=0),"",'Price History'!Q153/'Price History'!Q152-1),"")</f>
        <v>0.0128907986368352</v>
      </c>
      <c r="R152" s="154" t="n">
        <f aca="false">IFERROR(IF(OR(NOT(ISNUMBER('Price History'!R153)),NOT(ISNUMBER('Price History'!R152)),'Price History'!R152=0),"",'Price History'!R153/'Price History'!R152-1),"")</f>
        <v>0.00499197717953281</v>
      </c>
      <c r="S152" s="154" t="n">
        <f aca="false">IFERROR(IF(OR(NOT(ISNUMBER('Price History'!S153)),NOT(ISNUMBER('Price History'!S152)),'Price History'!S152=0),"",'Price History'!S153/'Price History'!S152-1),"")</f>
        <v>-0.0182539139946675</v>
      </c>
      <c r="T152" s="154" t="n">
        <f aca="false">IFERROR(IF(OR(NOT(ISNUMBER('Price History'!T153)),NOT(ISNUMBER('Price History'!T152)),'Price History'!T152=0),"",'Price History'!T153/'Price History'!T152-1),"")</f>
        <v>0.0333263903353469</v>
      </c>
      <c r="U152" s="154" t="n">
        <f aca="false">IFERROR(IF(OR(NOT(ISNUMBER('Price History'!U153)),NOT(ISNUMBER('Price History'!U152)),'Price History'!U152=0),"",'Price History'!U153/'Price History'!U152-1),"")</f>
        <v>0.00544959128065403</v>
      </c>
      <c r="V152" s="155" t="n">
        <f aca="false">IFERROR(IF(OR(NOT(ISNUMBER('Price History'!V153)),NOT(ISNUMBER('Price History'!V152)),'Price History'!V152=0),"",'Price History'!V153/'Price History'!V152-1),"")</f>
        <v>0.0292046862678834</v>
      </c>
      <c r="W152" s="156" t="n">
        <f aca="false">IFERROR('Price History'!B3+(INDEX('Price History'!B:B,MATCH(9.99E+307,'Returns (Calc)'!$A:$A)+1)-'Price History'!B3)*(ROW()-3)/(MATCH(9.99E+307,'Returns (Calc)'!$A:$A)-3),"")</f>
        <v>254.277341772152</v>
      </c>
      <c r="X152" s="156" t="n">
        <f aca="false">IFERROR('Price History'!C3+(INDEX('Price History'!C:C,MATCH(9.99E+307,'Returns (Calc)'!$A:$A)+1)-'Price History'!C3)*(ROW()-3)/(MATCH(9.99E+307,'Returns (Calc)'!$A:$A)-3),"")</f>
        <v>198.169430379747</v>
      </c>
      <c r="Y152" s="156" t="n">
        <f aca="false">IFERROR('Price History'!D3+(INDEX('Price History'!D:D,MATCH(9.99E+307,'Returns (Calc)'!$A:$A)+1)-'Price History'!D3)*(ROW()-3)/(MATCH(9.99E+307,'Returns (Calc)'!$A:$A)-3),"")</f>
        <v>1794.09670886076</v>
      </c>
      <c r="Z152" s="156" t="n">
        <f aca="false">IFERROR('Price History'!E3+(INDEX('Price History'!E:E,MATCH(9.99E+307,'Returns (Calc)'!$A:$A)+1)-'Price History'!E3)*(ROW()-3)/(MATCH(9.99E+307,'Returns (Calc)'!$A:$A)-3),"")</f>
        <v>339.581392405063</v>
      </c>
      <c r="AA152" s="156" t="n">
        <f aca="false">IFERROR('Price History'!F3+(INDEX('Price History'!F:F,MATCH(9.99E+307,'Returns (Calc)'!$A:$A)+1)-'Price History'!F3)*(ROW()-3)/(MATCH(9.99E+307,'Returns (Calc)'!$A:$A)-3),"")</f>
        <v>257.013924050633</v>
      </c>
      <c r="AB152" s="156" t="n">
        <f aca="false">IFERROR('Price History'!G3+(INDEX('Price History'!G:G,MATCH(9.99E+307,'Returns (Calc)'!$A:$A)+1)-'Price History'!G3)*(ROW()-3)/(MATCH(9.99E+307,'Returns (Calc)'!$A:$A)-3),"")</f>
        <v>197.631392405063</v>
      </c>
      <c r="AC152" s="156" t="n">
        <f aca="false">IFERROR('Price History'!H3+(INDEX('Price History'!H:H,MATCH(9.99E+307,'Returns (Calc)'!$A:$A)+1)-'Price History'!H3)*(ROW()-3)/(MATCH(9.99E+307,'Returns (Calc)'!$A:$A)-3),"")</f>
        <v>1017.59873417722</v>
      </c>
      <c r="AD152" s="156" t="n">
        <f aca="false">IFERROR('Price History'!I3+(INDEX('Price History'!I:I,MATCH(9.99E+307,'Returns (Calc)'!$A:$A)+1)-'Price History'!I3)*(ROW()-3)/(MATCH(9.99E+307,'Returns (Calc)'!$A:$A)-3),"")</f>
        <v>223.116962025316</v>
      </c>
      <c r="AE152" s="156" t="n">
        <f aca="false">IFERROR('Price History'!J3+(INDEX('Price History'!J:J,MATCH(9.99E+307,'Returns (Calc)'!$A:$A)+1)-'Price History'!J3)*(ROW()-3)/(MATCH(9.99E+307,'Returns (Calc)'!$A:$A)-3),"")</f>
        <v>127.937658227848</v>
      </c>
      <c r="AF152" s="156" t="n">
        <f aca="false">IFERROR('Price History'!K3+(INDEX('Price History'!K:K,MATCH(9.99E+307,'Returns (Calc)'!$A:$A)+1)-'Price History'!K3)*(ROW()-3)/(MATCH(9.99E+307,'Returns (Calc)'!$A:$A)-3),"")</f>
        <v>178.87164556962</v>
      </c>
      <c r="AG152" s="156" t="n">
        <f aca="false">IFERROR('Price History'!L3+(INDEX('Price History'!L:L,MATCH(9.99E+307,'Returns (Calc)'!$A:$A)+1)-'Price History'!L3)*(ROW()-3)/(MATCH(9.99E+307,'Returns (Calc)'!$A:$A)-3),"")</f>
        <v>450.733987341772</v>
      </c>
      <c r="AH152" s="156" t="n">
        <f aca="false">IFERROR('Price History'!M3+(INDEX('Price History'!M:M,MATCH(9.99E+307,'Returns (Calc)'!$A:$A)+1)-'Price History'!M3)*(ROW()-3)/(MATCH(9.99E+307,'Returns (Calc)'!$A:$A)-3),"")</f>
        <v>239.981012658228</v>
      </c>
      <c r="AI152" s="156" t="n">
        <f aca="false">IFERROR('Price History'!N3+(INDEX('Price History'!N:N,MATCH(9.99E+307,'Returns (Calc)'!$A:$A)+1)-'Price History'!N3)*(ROW()-3)/(MATCH(9.99E+307,'Returns (Calc)'!$A:$A)-3),"")</f>
        <v>495.853607594937</v>
      </c>
      <c r="AJ152" s="156" t="n">
        <f aca="false">IFERROR('Price History'!O3+(INDEX('Price History'!O:O,MATCH(9.99E+307,'Returns (Calc)'!$A:$A)+1)-'Price History'!O3)*(ROW()-3)/(MATCH(9.99E+307,'Returns (Calc)'!$A:$A)-3),"")</f>
        <v>117.482658227848</v>
      </c>
      <c r="AK152" s="156" t="n">
        <f aca="false">IFERROR('Price History'!Q3+(INDEX('Price History'!Q:Q,MATCH(9.99E+307,'Returns (Calc)'!$A:$A)+1)-'Price History'!Q3)*(ROW()-3)/(MATCH(9.99E+307,'Returns (Calc)'!$A:$A)-3),"")</f>
        <v>65.4656962025317</v>
      </c>
      <c r="AL152" s="156" t="n">
        <f aca="false">IFERROR('Price History'!R3+(INDEX('Price History'!R:R,MATCH(9.99E+307,'Returns (Calc)'!$A:$A)+1)-'Price History'!R3)*(ROW()-3)/(MATCH(9.99E+307,'Returns (Calc)'!$A:$A)-3),"")</f>
        <v>59.5270886075949</v>
      </c>
      <c r="AM152" s="156" t="n">
        <f aca="false">IFERROR('Price History'!S3+(INDEX('Price History'!S:S,MATCH(9.99E+307,'Returns (Calc)'!$A:$A)+1)-'Price History'!S3)*(ROW()-3)/(MATCH(9.99E+307,'Returns (Calc)'!$A:$A)-3),"")</f>
        <v>147.784430379747</v>
      </c>
      <c r="AN152" s="156" t="n">
        <f aca="false">IFERROR('Price History'!T3+(INDEX('Price History'!T:T,MATCH(9.99E+307,'Returns (Calc)'!$A:$A)+1)-'Price History'!T3)*(ROW()-3)/(MATCH(9.99E+307,'Returns (Calc)'!$A:$A)-3),"")</f>
        <v>50.3059493670886</v>
      </c>
      <c r="AO152" s="157" t="n">
        <f aca="false">IFERROR('Price History'!V3+(INDEX('Price History'!V:V,MATCH(9.99E+307,'Returns (Calc)'!$A:$A)+1)-'Price History'!V3)*(ROW()-3)/(MATCH(9.99E+307,'Returns (Calc)'!$A:$A)-3),"")</f>
        <v>353.538037974684</v>
      </c>
      <c r="AP152" s="155" t="n">
        <f aca="false">IFERROR(IF(OR(NOT(ISNUMBER('Price History'!W153)),NOT(ISNUMBER('Price History'!W152)),'Price History'!W152=0),"",'Price History'!W153/'Price History'!W152-1),"")</f>
        <v>-0.00161160354552792</v>
      </c>
      <c r="AQ152" s="155" t="n">
        <f aca="false">IFERROR(IF(OR(NOT(ISNUMBER('Price History'!X153)),NOT(ISNUMBER('Price History'!X152)),'Price History'!X152=0),"",'Price History'!X153/'Price History'!X152-1),"")</f>
        <v>-0.0217431361709969</v>
      </c>
      <c r="AR152" s="155" t="n">
        <f aca="false">IFERROR(IF(OR(NOT(ISNUMBER('Price History'!Y153)),NOT(ISNUMBER('Price History'!Y152)),'Price History'!Y152=0),"",'Price History'!Y153/'Price History'!Y152-1),"")</f>
        <v>0.0111250672887135</v>
      </c>
      <c r="AS152" s="155" t="n">
        <f aca="false">IFERROR(IF(OR(NOT(ISNUMBER('Price History'!Z153)),NOT(ISNUMBER('Price History'!Z152)),'Price History'!Z152=0),"",'Price History'!Z153/'Price History'!Z152-1),"")</f>
        <v>0.0179232748141236</v>
      </c>
      <c r="AT152" s="155" t="n">
        <f aca="false">IFERROR(IF(OR(NOT(ISNUMBER('Price History'!AA153)),NOT(ISNUMBER('Price History'!AA152)),'Price History'!AA152=0),"",'Price History'!AA153/'Price History'!AA152-1),"")</f>
        <v>0.0231131402482521</v>
      </c>
      <c r="AU152" s="155" t="n">
        <f aca="false">IFERROR(IF(OR(NOT(ISNUMBER('Price History'!AB153)),NOT(ISNUMBER('Price History'!AB152)),'Price History'!AB152=0),"",'Price History'!AB153/'Price History'!AB152-1),"")</f>
        <v>0.0941795532646048</v>
      </c>
    </row>
    <row r="153" customFormat="false" ht="15" hidden="false" customHeight="true" outlineLevel="0" collapsed="false">
      <c r="A153" s="153" t="n">
        <f aca="false">IF('Price History'!A154="","",'Price History'!A154)</f>
        <v>46241</v>
      </c>
      <c r="B153" s="154" t="n">
        <f aca="false">IFERROR(IF(OR(NOT(ISNUMBER('Price History'!B154)),NOT(ISNUMBER('Price History'!B153)),'Price History'!B153=0),"",'Price History'!B154/'Price History'!B153-1),"")</f>
        <v>0.0591030709636196</v>
      </c>
      <c r="C153" s="154" t="n">
        <f aca="false">IFERROR(IF(OR(NOT(ISNUMBER('Price History'!C154)),NOT(ISNUMBER('Price History'!C153)),'Price History'!C153=0),"",'Price History'!C154/'Price History'!C153-1),"")</f>
        <v>0.046132520099806</v>
      </c>
      <c r="D153" s="154" t="n">
        <f aca="false">IFERROR(IF(OR(NOT(ISNUMBER('Price History'!D154)),NOT(ISNUMBER('Price History'!D153)),'Price History'!D153=0),"",'Price History'!D154/'Price History'!D153-1),"")</f>
        <v>0.0687476979742174</v>
      </c>
      <c r="E153" s="154" t="n">
        <f aca="false">IFERROR(IF(OR(NOT(ISNUMBER('Price History'!E154)),NOT(ISNUMBER('Price History'!E153)),'Price History'!E153=0),"",'Price History'!E154/'Price History'!E153-1),"")</f>
        <v>0.0988496281236329</v>
      </c>
      <c r="F153" s="154" t="n">
        <f aca="false">IFERROR(IF(OR(NOT(ISNUMBER('Price History'!F154)),NOT(ISNUMBER('Price History'!F153)),'Price History'!F153=0),"",'Price History'!F154/'Price History'!F153-1),"")</f>
        <v>0.123441265849314</v>
      </c>
      <c r="G153" s="154" t="n">
        <f aca="false">IFERROR(IF(OR(NOT(ISNUMBER('Price History'!G154)),NOT(ISNUMBER('Price History'!G153)),'Price History'!G153=0),"",'Price History'!G154/'Price History'!G153-1),"")</f>
        <v>0.0836755927933846</v>
      </c>
      <c r="H153" s="154" t="n">
        <f aca="false">IFERROR(IF(OR(NOT(ISNUMBER('Price History'!H154)),NOT(ISNUMBER('Price History'!H153)),'Price History'!H153=0),"",'Price History'!H154/'Price History'!H153-1),"")</f>
        <v>0.066267329258958</v>
      </c>
      <c r="I153" s="154" t="n">
        <f aca="false">IFERROR(IF(OR(NOT(ISNUMBER('Price History'!I154)),NOT(ISNUMBER('Price History'!I153)),'Price History'!I153=0),"",'Price History'!I154/'Price History'!I153-1),"")</f>
        <v>0.115593676756595</v>
      </c>
      <c r="J153" s="154" t="n">
        <f aca="false">IFERROR(IF(OR(NOT(ISNUMBER('Price History'!J154)),NOT(ISNUMBER('Price History'!J153)),'Price History'!J153=0),"",'Price History'!J154/'Price History'!J153-1),"")</f>
        <v>-0.0307381334076811</v>
      </c>
      <c r="K153" s="154" t="n">
        <f aca="false">IFERROR(IF(OR(NOT(ISNUMBER('Price History'!K154)),NOT(ISNUMBER('Price History'!K153)),'Price History'!K153=0),"",'Price History'!K154/'Price History'!K153-1),"")</f>
        <v>0.397773443848529</v>
      </c>
      <c r="L153" s="154" t="n">
        <f aca="false">IFERROR(IF(OR(NOT(ISNUMBER('Price History'!L154)),NOT(ISNUMBER('Price History'!L153)),'Price History'!L153=0),"",'Price History'!L154/'Price History'!L153-1),"")</f>
        <v>0.0390654066522806</v>
      </c>
      <c r="M153" s="154" t="n">
        <f aca="false">IFERROR(IF(OR(NOT(ISNUMBER('Price History'!M154)),NOT(ISNUMBER('Price History'!M153)),'Price History'!M153=0),"",'Price History'!M154/'Price History'!M153-1),"")</f>
        <v>0.127613763405242</v>
      </c>
      <c r="N153" s="154" t="n">
        <f aca="false">IFERROR(IF(OR(NOT(ISNUMBER('Price History'!N154)),NOT(ISNUMBER('Price History'!N153)),'Price History'!N153=0),"",'Price History'!N154/'Price History'!N153-1),"")</f>
        <v>0.0397610563823096</v>
      </c>
      <c r="O153" s="154" t="n">
        <f aca="false">IFERROR(IF(OR(NOT(ISNUMBER('Price History'!O154)),NOT(ISNUMBER('Price History'!O153)),'Price History'!O153=0),"",'Price History'!O154/'Price History'!O153-1),"")</f>
        <v>0.0128133258588932</v>
      </c>
      <c r="P153" s="154" t="n">
        <f aca="false">IFERROR(IF(OR(NOT(ISNUMBER('Price History'!P154)),NOT(ISNUMBER('Price History'!P153)),'Price History'!P153=0),"",'Price History'!P154/'Price History'!P153-1),"")</f>
        <v>0.00431546688348261</v>
      </c>
      <c r="Q153" s="154" t="n">
        <f aca="false">IFERROR(IF(OR(NOT(ISNUMBER('Price History'!Q154)),NOT(ISNUMBER('Price History'!Q153)),'Price History'!Q153=0),"",'Price History'!Q154/'Price History'!Q153-1),"")</f>
        <v>0.0206260971328263</v>
      </c>
      <c r="R153" s="154" t="n">
        <f aca="false">IFERROR(IF(OR(NOT(ISNUMBER('Price History'!R154)),NOT(ISNUMBER('Price History'!R153)),'Price History'!R153=0),"",'Price History'!R154/'Price History'!R153-1),"")</f>
        <v>0.0381408550647508</v>
      </c>
      <c r="S153" s="154" t="n">
        <f aca="false">IFERROR(IF(OR(NOT(ISNUMBER('Price History'!S154)),NOT(ISNUMBER('Price History'!S153)),'Price History'!S153=0),"",'Price History'!S154/'Price History'!S153-1),"")</f>
        <v>0.0407381615598885</v>
      </c>
      <c r="T153" s="154" t="n">
        <f aca="false">IFERROR(IF(OR(NOT(ISNUMBER('Price History'!T154)),NOT(ISNUMBER('Price History'!T153)),'Price History'!T153=0),"",'Price History'!T154/'Price History'!T153-1),"")</f>
        <v>0.0352751461398912</v>
      </c>
      <c r="U153" s="154" t="n">
        <f aca="false">IFERROR(IF(OR(NOT(ISNUMBER('Price History'!U154)),NOT(ISNUMBER('Price History'!U153)),'Price History'!U153=0),"",'Price History'!U154/'Price History'!U153-1),"")</f>
        <v>0.0126467931345982</v>
      </c>
      <c r="V153" s="155" t="n">
        <f aca="false">IFERROR(IF(OR(NOT(ISNUMBER('Price History'!V154)),NOT(ISNUMBER('Price History'!V153)),'Price History'!V153=0),"",'Price History'!V154/'Price History'!V153-1),"")</f>
        <v>-0.00990559584074435</v>
      </c>
      <c r="W153" s="156" t="n">
        <f aca="false">IFERROR('Price History'!B3+(INDEX('Price History'!B:B,MATCH(9.99E+307,'Returns (Calc)'!$A:$A)+1)-'Price History'!B3)*(ROW()-3)/(MATCH(9.99E+307,'Returns (Calc)'!$A:$A)-3),"")</f>
        <v>252.434303797468</v>
      </c>
      <c r="X153" s="156" t="n">
        <f aca="false">IFERROR('Price History'!C3+(INDEX('Price History'!C:C,MATCH(9.99E+307,'Returns (Calc)'!$A:$A)+1)-'Price History'!C3)*(ROW()-3)/(MATCH(9.99E+307,'Returns (Calc)'!$A:$A)-3),"")</f>
        <v>199.189493670886</v>
      </c>
      <c r="Y153" s="156" t="n">
        <f aca="false">IFERROR('Price History'!D3+(INDEX('Price History'!D:D,MATCH(9.99E+307,'Returns (Calc)'!$A:$A)+1)-'Price History'!D3)*(ROW()-3)/(MATCH(9.99E+307,'Returns (Calc)'!$A:$A)-3),"")</f>
        <v>1802.23151898734</v>
      </c>
      <c r="Z153" s="156" t="n">
        <f aca="false">IFERROR('Price History'!E3+(INDEX('Price History'!E:E,MATCH(9.99E+307,'Returns (Calc)'!$A:$A)+1)-'Price History'!E3)*(ROW()-3)/(MATCH(9.99E+307,'Returns (Calc)'!$A:$A)-3),"")</f>
        <v>341.310126582279</v>
      </c>
      <c r="AA153" s="156" t="n">
        <f aca="false">IFERROR('Price History'!F3+(INDEX('Price History'!F:F,MATCH(9.99E+307,'Returns (Calc)'!$A:$A)+1)-'Price History'!F3)*(ROW()-3)/(MATCH(9.99E+307,'Returns (Calc)'!$A:$A)-3),"")</f>
        <v>258.461265822785</v>
      </c>
      <c r="AB153" s="156" t="n">
        <f aca="false">IFERROR('Price History'!G3+(INDEX('Price History'!G:G,MATCH(9.99E+307,'Returns (Calc)'!$A:$A)+1)-'Price History'!G3)*(ROW()-3)/(MATCH(9.99E+307,'Returns (Calc)'!$A:$A)-3),"")</f>
        <v>198.660126582278</v>
      </c>
      <c r="AC153" s="156" t="n">
        <f aca="false">IFERROR('Price History'!H3+(INDEX('Price History'!H:H,MATCH(9.99E+307,'Returns (Calc)'!$A:$A)+1)-'Price History'!H3)*(ROW()-3)/(MATCH(9.99E+307,'Returns (Calc)'!$A:$A)-3),"")</f>
        <v>1023.96443037975</v>
      </c>
      <c r="AD153" s="156" t="n">
        <f aca="false">IFERROR('Price History'!I3+(INDEX('Price History'!I:I,MATCH(9.99E+307,'Returns (Calc)'!$A:$A)+1)-'Price History'!I3)*(ROW()-3)/(MATCH(9.99E+307,'Returns (Calc)'!$A:$A)-3),"")</f>
        <v>224.320632911392</v>
      </c>
      <c r="AE153" s="156" t="n">
        <f aca="false">IFERROR('Price History'!J3+(INDEX('Price History'!J:J,MATCH(9.99E+307,'Returns (Calc)'!$A:$A)+1)-'Price History'!J3)*(ROW()-3)/(MATCH(9.99E+307,'Returns (Calc)'!$A:$A)-3),"")</f>
        <v>128.045696202532</v>
      </c>
      <c r="AF153" s="156" t="n">
        <f aca="false">IFERROR('Price History'!K3+(INDEX('Price History'!K:K,MATCH(9.99E+307,'Returns (Calc)'!$A:$A)+1)-'Price History'!K3)*(ROW()-3)/(MATCH(9.99E+307,'Returns (Calc)'!$A:$A)-3),"")</f>
        <v>179.969240506329</v>
      </c>
      <c r="AG153" s="156" t="n">
        <f aca="false">IFERROR('Price History'!L3+(INDEX('Price History'!L:L,MATCH(9.99E+307,'Returns (Calc)'!$A:$A)+1)-'Price History'!L3)*(ROW()-3)/(MATCH(9.99E+307,'Returns (Calc)'!$A:$A)-3),"")</f>
        <v>453.183544303797</v>
      </c>
      <c r="AH153" s="156" t="n">
        <f aca="false">IFERROR('Price History'!M3+(INDEX('Price History'!M:M,MATCH(9.99E+307,'Returns (Calc)'!$A:$A)+1)-'Price History'!M3)*(ROW()-3)/(MATCH(9.99E+307,'Returns (Calc)'!$A:$A)-3),"")</f>
        <v>241.336455696203</v>
      </c>
      <c r="AI153" s="156" t="n">
        <f aca="false">IFERROR('Price History'!N3+(INDEX('Price History'!N:N,MATCH(9.99E+307,'Returns (Calc)'!$A:$A)+1)-'Price History'!N3)*(ROW()-3)/(MATCH(9.99E+307,'Returns (Calc)'!$A:$A)-3),"")</f>
        <v>496.839873417722</v>
      </c>
      <c r="AJ153" s="156" t="n">
        <f aca="false">IFERROR('Price History'!O3+(INDEX('Price History'!O:O,MATCH(9.99E+307,'Returns (Calc)'!$A:$A)+1)-'Price History'!O3)*(ROW()-3)/(MATCH(9.99E+307,'Returns (Calc)'!$A:$A)-3),"")</f>
        <v>117.765696202532</v>
      </c>
      <c r="AK153" s="156" t="n">
        <f aca="false">IFERROR('Price History'!Q3+(INDEX('Price History'!Q:Q,MATCH(9.99E+307,'Returns (Calc)'!$A:$A)+1)-'Price History'!Q3)*(ROW()-3)/(MATCH(9.99E+307,'Returns (Calc)'!$A:$A)-3),"")</f>
        <v>65.9050632911392</v>
      </c>
      <c r="AL153" s="156" t="n">
        <f aca="false">IFERROR('Price History'!R3+(INDEX('Price History'!R:R,MATCH(9.99E+307,'Returns (Calc)'!$A:$A)+1)-'Price History'!R3)*(ROW()-3)/(MATCH(9.99E+307,'Returns (Calc)'!$A:$A)-3),"")</f>
        <v>59.6951898734177</v>
      </c>
      <c r="AM153" s="156" t="n">
        <f aca="false">IFERROR('Price History'!S3+(INDEX('Price History'!S:S,MATCH(9.99E+307,'Returns (Calc)'!$A:$A)+1)-'Price History'!S3)*(ROW()-3)/(MATCH(9.99E+307,'Returns (Calc)'!$A:$A)-3),"")</f>
        <v>148.389493670886</v>
      </c>
      <c r="AN153" s="156" t="n">
        <f aca="false">IFERROR('Price History'!T3+(INDEX('Price History'!T:T,MATCH(9.99E+307,'Returns (Calc)'!$A:$A)+1)-'Price History'!T3)*(ROW()-3)/(MATCH(9.99E+307,'Returns (Calc)'!$A:$A)-3),"")</f>
        <v>50.4741772151899</v>
      </c>
      <c r="AO153" s="157" t="n">
        <f aca="false">IFERROR('Price History'!V3+(INDEX('Price History'!V:V,MATCH(9.99E+307,'Returns (Calc)'!$A:$A)+1)-'Price History'!V3)*(ROW()-3)/(MATCH(9.99E+307,'Returns (Calc)'!$A:$A)-3),"")</f>
        <v>354.329367088608</v>
      </c>
      <c r="AP153" s="155" t="n">
        <f aca="false">IFERROR(IF(OR(NOT(ISNUMBER('Price History'!W154)),NOT(ISNUMBER('Price History'!W153)),'Price History'!W153=0),"",'Price History'!W154/'Price History'!W153-1),"")</f>
        <v>0.0226609548643448</v>
      </c>
      <c r="AQ153" s="155" t="n">
        <f aca="false">IFERROR(IF(OR(NOT(ISNUMBER('Price History'!X154)),NOT(ISNUMBER('Price History'!X153)),'Price History'!X153=0),"",'Price History'!X154/'Price History'!X153-1),"")</f>
        <v>-0.0261819551704653</v>
      </c>
      <c r="AR153" s="155" t="n">
        <f aca="false">IFERROR(IF(OR(NOT(ISNUMBER('Price History'!Y154)),NOT(ISNUMBER('Price History'!Y153)),'Price History'!Y153=0),"",'Price History'!Y154/'Price History'!Y153-1),"")</f>
        <v>0.00905057675244003</v>
      </c>
      <c r="AS153" s="155" t="n">
        <f aca="false">IFERROR(IF(OR(NOT(ISNUMBER('Price History'!Z154)),NOT(ISNUMBER('Price History'!Z153)),'Price History'!Z153=0),"",'Price History'!Z154/'Price History'!Z153-1),"")</f>
        <v>0.0278001499708389</v>
      </c>
      <c r="AT153" s="155" t="n">
        <f aca="false">IFERROR(IF(OR(NOT(ISNUMBER('Price History'!AA154)),NOT(ISNUMBER('Price History'!AA153)),'Price History'!AA153=0),"",'Price History'!AA154/'Price History'!AA153-1),"")</f>
        <v>0.0338864872402733</v>
      </c>
      <c r="AU153" s="155" t="n">
        <f aca="false">IFERROR(IF(OR(NOT(ISNUMBER('Price History'!AB154)),NOT(ISNUMBER('Price History'!AB153)),'Price History'!AB153=0),"",'Price History'!AB154/'Price History'!AB153-1),"")</f>
        <v>0.130974580429875</v>
      </c>
    </row>
    <row r="154" customFormat="false" ht="15" hidden="false" customHeight="true" outlineLevel="0" collapsed="false">
      <c r="A154" s="153" t="n">
        <f aca="false">IF('Price History'!A155="","",'Price History'!A155)</f>
        <v>46248</v>
      </c>
      <c r="B154" s="154" t="n">
        <f aca="false">IFERROR(IF(OR(NOT(ISNUMBER('Price History'!B155)),NOT(ISNUMBER('Price History'!B154)),'Price History'!B154=0),"",'Price History'!B155/'Price History'!B154-1),"")</f>
        <v>-0.00448701029372944</v>
      </c>
      <c r="C154" s="154" t="n">
        <f aca="false">IFERROR(IF(OR(NOT(ISNUMBER('Price History'!C155)),NOT(ISNUMBER('Price History'!C154)),'Price History'!C154=0),"",'Price History'!C155/'Price History'!C154-1),"")</f>
        <v>0.0537976360841681</v>
      </c>
      <c r="D154" s="154" t="n">
        <f aca="false">IFERROR(IF(OR(NOT(ISNUMBER('Price History'!D155)),NOT(ISNUMBER('Price History'!D154)),'Price History'!D154=0),"",'Price History'!D155/'Price History'!D154-1),"")</f>
        <v>0.059213436033521</v>
      </c>
      <c r="E154" s="154" t="n">
        <f aca="false">IFERROR(IF(OR(NOT(ISNUMBER('Price History'!E155)),NOT(ISNUMBER('Price History'!E154)),'Price History'!E154=0),"",'Price History'!E155/'Price History'!E154-1),"")</f>
        <v>-0.0812684434868145</v>
      </c>
      <c r="F154" s="154" t="n">
        <f aca="false">IFERROR(IF(OR(NOT(ISNUMBER('Price History'!F155)),NOT(ISNUMBER('Price History'!F154)),'Price History'!F154=0),"",'Price History'!F155/'Price History'!F154-1),"")</f>
        <v>0.0117992724559277</v>
      </c>
      <c r="G154" s="154" t="n">
        <f aca="false">IFERROR(IF(OR(NOT(ISNUMBER('Price History'!G155)),NOT(ISNUMBER('Price History'!G154)),'Price History'!G154=0),"",'Price History'!G155/'Price History'!G154-1),"")</f>
        <v>0.028298549699328</v>
      </c>
      <c r="H154" s="154" t="n">
        <f aca="false">IFERROR(IF(OR(NOT(ISNUMBER('Price History'!H155)),NOT(ISNUMBER('Price History'!H154)),'Price History'!H154=0),"",'Price History'!H155/'Price History'!H154-1),"")</f>
        <v>0.107216518340417</v>
      </c>
      <c r="I154" s="154" t="n">
        <f aca="false">IFERROR(IF(OR(NOT(ISNUMBER('Price History'!I155)),NOT(ISNUMBER('Price History'!I154)),'Price History'!I154=0),"",'Price History'!I155/'Price History'!I154-1),"")</f>
        <v>0.00536408743462524</v>
      </c>
      <c r="J154" s="154" t="n">
        <f aca="false">IFERROR(IF(OR(NOT(ISNUMBER('Price History'!J155)),NOT(ISNUMBER('Price History'!J154)),'Price History'!J154=0),"",'Price History'!J155/'Price History'!J154-1),"")</f>
        <v>0.00618438084280149</v>
      </c>
      <c r="K154" s="154" t="n">
        <f aca="false">IFERROR(IF(OR(NOT(ISNUMBER('Price History'!K155)),NOT(ISNUMBER('Price History'!K154)),'Price History'!K154=0),"",'Price History'!K155/'Price History'!K154-1),"")</f>
        <v>0.0118016394395675</v>
      </c>
      <c r="L154" s="154" t="n">
        <f aca="false">IFERROR(IF(OR(NOT(ISNUMBER('Price History'!L155)),NOT(ISNUMBER('Price History'!L154)),'Price History'!L154=0),"",'Price History'!L155/'Price History'!L154-1),"")</f>
        <v>0.0150147999618064</v>
      </c>
      <c r="M154" s="154" t="n">
        <f aca="false">IFERROR(IF(OR(NOT(ISNUMBER('Price History'!M155)),NOT(ISNUMBER('Price History'!M154)),'Price History'!M154=0),"",'Price History'!M155/'Price History'!M154-1),"")</f>
        <v>0.0787280138067785</v>
      </c>
      <c r="N154" s="154" t="n">
        <f aca="false">IFERROR(IF(OR(NOT(ISNUMBER('Price History'!N155)),NOT(ISNUMBER('Price History'!N154)),'Price History'!N154=0),"",'Price History'!N155/'Price History'!N154-1),"")</f>
        <v>0.0195133751285101</v>
      </c>
      <c r="O154" s="154" t="n">
        <f aca="false">IFERROR(IF(OR(NOT(ISNUMBER('Price History'!O155)),NOT(ISNUMBER('Price History'!O154)),'Price History'!O154=0),"",'Price History'!O155/'Price History'!O154-1),"")</f>
        <v>0.0145489048786274</v>
      </c>
      <c r="P154" s="154" t="n">
        <f aca="false">IFERROR(IF(OR(NOT(ISNUMBER('Price History'!P155)),NOT(ISNUMBER('Price History'!P154)),'Price History'!P154=0),"",'Price History'!P155/'Price History'!P154-1),"")</f>
        <v>0.0222319093286836</v>
      </c>
      <c r="Q154" s="154" t="n">
        <f aca="false">IFERROR(IF(OR(NOT(ISNUMBER('Price History'!Q155)),NOT(ISNUMBER('Price History'!Q154)),'Price History'!Q154=0),"",'Price History'!Q155/'Price History'!Q154-1),"")</f>
        <v>0.00415651426114394</v>
      </c>
      <c r="R154" s="154" t="n">
        <f aca="false">IFERROR(IF(OR(NOT(ISNUMBER('Price History'!R155)),NOT(ISNUMBER('Price History'!R154)),'Price History'!R154=0),"",'Price History'!R155/'Price History'!R154-1),"")</f>
        <v>0.013157894736842</v>
      </c>
      <c r="S154" s="154" t="n">
        <f aca="false">IFERROR(IF(OR(NOT(ISNUMBER('Price History'!S155)),NOT(ISNUMBER('Price History'!S154)),'Price History'!S154=0),"",'Price History'!S155/'Price History'!S154-1),"")</f>
        <v>0.0241552358648378</v>
      </c>
      <c r="T154" s="154" t="n">
        <f aca="false">IFERROR(IF(OR(NOT(ISNUMBER('Price History'!T155)),NOT(ISNUMBER('Price History'!T154)),'Price History'!T154=0),"",'Price History'!T155/'Price History'!T154-1),"")</f>
        <v>0.043613707165109</v>
      </c>
      <c r="U154" s="154" t="n">
        <f aca="false">IFERROR(IF(OR(NOT(ISNUMBER('Price History'!U155)),NOT(ISNUMBER('Price History'!U154)),'Price History'!U154=0),"",'Price History'!U155/'Price History'!U154-1),"")</f>
        <v>0.0184359203092477</v>
      </c>
      <c r="V154" s="155" t="n">
        <f aca="false">IFERROR(IF(OR(NOT(ISNUMBER('Price History'!V155)),NOT(ISNUMBER('Price History'!V154)),'Price History'!V154=0),"",'Price History'!V155/'Price History'!V154-1),"")</f>
        <v>0.0064118508691926</v>
      </c>
      <c r="W154" s="156" t="n">
        <f aca="false">IFERROR('Price History'!B3+(INDEX('Price History'!B:B,MATCH(9.99E+307,'Returns (Calc)'!$A:$A)+1)-'Price History'!B3)*(ROW()-3)/(MATCH(9.99E+307,'Returns (Calc)'!$A:$A)-3),"")</f>
        <v>250.591265822785</v>
      </c>
      <c r="X154" s="156" t="n">
        <f aca="false">IFERROR('Price History'!C3+(INDEX('Price History'!C:C,MATCH(9.99E+307,'Returns (Calc)'!$A:$A)+1)-'Price History'!C3)*(ROW()-3)/(MATCH(9.99E+307,'Returns (Calc)'!$A:$A)-3),"")</f>
        <v>200.209556962025</v>
      </c>
      <c r="Y154" s="156" t="n">
        <f aca="false">IFERROR('Price History'!D3+(INDEX('Price History'!D:D,MATCH(9.99E+307,'Returns (Calc)'!$A:$A)+1)-'Price History'!D3)*(ROW()-3)/(MATCH(9.99E+307,'Returns (Calc)'!$A:$A)-3),"")</f>
        <v>1810.36632911392</v>
      </c>
      <c r="Z154" s="156" t="n">
        <f aca="false">IFERROR('Price History'!E3+(INDEX('Price History'!E:E,MATCH(9.99E+307,'Returns (Calc)'!$A:$A)+1)-'Price History'!E3)*(ROW()-3)/(MATCH(9.99E+307,'Returns (Calc)'!$A:$A)-3),"")</f>
        <v>343.038860759494</v>
      </c>
      <c r="AA154" s="156" t="n">
        <f aca="false">IFERROR('Price History'!F3+(INDEX('Price History'!F:F,MATCH(9.99E+307,'Returns (Calc)'!$A:$A)+1)-'Price History'!F3)*(ROW()-3)/(MATCH(9.99E+307,'Returns (Calc)'!$A:$A)-3),"")</f>
        <v>259.908607594937</v>
      </c>
      <c r="AB154" s="156" t="n">
        <f aca="false">IFERROR('Price History'!G3+(INDEX('Price History'!G:G,MATCH(9.99E+307,'Returns (Calc)'!$A:$A)+1)-'Price History'!G3)*(ROW()-3)/(MATCH(9.99E+307,'Returns (Calc)'!$A:$A)-3),"")</f>
        <v>199.688860759494</v>
      </c>
      <c r="AC154" s="156" t="n">
        <f aca="false">IFERROR('Price History'!H3+(INDEX('Price History'!H:H,MATCH(9.99E+307,'Returns (Calc)'!$A:$A)+1)-'Price History'!H3)*(ROW()-3)/(MATCH(9.99E+307,'Returns (Calc)'!$A:$A)-3),"")</f>
        <v>1030.33012658228</v>
      </c>
      <c r="AD154" s="156" t="n">
        <f aca="false">IFERROR('Price History'!I3+(INDEX('Price History'!I:I,MATCH(9.99E+307,'Returns (Calc)'!$A:$A)+1)-'Price History'!I3)*(ROW()-3)/(MATCH(9.99E+307,'Returns (Calc)'!$A:$A)-3),"")</f>
        <v>225.524303797468</v>
      </c>
      <c r="AE154" s="156" t="n">
        <f aca="false">IFERROR('Price History'!J3+(INDEX('Price History'!J:J,MATCH(9.99E+307,'Returns (Calc)'!$A:$A)+1)-'Price History'!J3)*(ROW()-3)/(MATCH(9.99E+307,'Returns (Calc)'!$A:$A)-3),"")</f>
        <v>128.153734177215</v>
      </c>
      <c r="AF154" s="156" t="n">
        <f aca="false">IFERROR('Price History'!K3+(INDEX('Price History'!K:K,MATCH(9.99E+307,'Returns (Calc)'!$A:$A)+1)-'Price History'!K3)*(ROW()-3)/(MATCH(9.99E+307,'Returns (Calc)'!$A:$A)-3),"")</f>
        <v>181.066835443038</v>
      </c>
      <c r="AG154" s="156" t="n">
        <f aca="false">IFERROR('Price History'!L3+(INDEX('Price History'!L:L,MATCH(9.99E+307,'Returns (Calc)'!$A:$A)+1)-'Price History'!L3)*(ROW()-3)/(MATCH(9.99E+307,'Returns (Calc)'!$A:$A)-3),"")</f>
        <v>455.633101265823</v>
      </c>
      <c r="AH154" s="156" t="n">
        <f aca="false">IFERROR('Price History'!M3+(INDEX('Price History'!M:M,MATCH(9.99E+307,'Returns (Calc)'!$A:$A)+1)-'Price History'!M3)*(ROW()-3)/(MATCH(9.99E+307,'Returns (Calc)'!$A:$A)-3),"")</f>
        <v>242.691898734177</v>
      </c>
      <c r="AI154" s="156" t="n">
        <f aca="false">IFERROR('Price History'!N3+(INDEX('Price History'!N:N,MATCH(9.99E+307,'Returns (Calc)'!$A:$A)+1)-'Price History'!N3)*(ROW()-3)/(MATCH(9.99E+307,'Returns (Calc)'!$A:$A)-3),"")</f>
        <v>497.826139240506</v>
      </c>
      <c r="AJ154" s="156" t="n">
        <f aca="false">IFERROR('Price History'!O3+(INDEX('Price History'!O:O,MATCH(9.99E+307,'Returns (Calc)'!$A:$A)+1)-'Price History'!O3)*(ROW()-3)/(MATCH(9.99E+307,'Returns (Calc)'!$A:$A)-3),"")</f>
        <v>118.048734177215</v>
      </c>
      <c r="AK154" s="156" t="n">
        <f aca="false">IFERROR('Price History'!Q3+(INDEX('Price History'!Q:Q,MATCH(9.99E+307,'Returns (Calc)'!$A:$A)+1)-'Price History'!Q3)*(ROW()-3)/(MATCH(9.99E+307,'Returns (Calc)'!$A:$A)-3),"")</f>
        <v>66.3444303797468</v>
      </c>
      <c r="AL154" s="156" t="n">
        <f aca="false">IFERROR('Price History'!R3+(INDEX('Price History'!R:R,MATCH(9.99E+307,'Returns (Calc)'!$A:$A)+1)-'Price History'!R3)*(ROW()-3)/(MATCH(9.99E+307,'Returns (Calc)'!$A:$A)-3),"")</f>
        <v>59.8632911392405</v>
      </c>
      <c r="AM154" s="156" t="n">
        <f aca="false">IFERROR('Price History'!S3+(INDEX('Price History'!S:S,MATCH(9.99E+307,'Returns (Calc)'!$A:$A)+1)-'Price History'!S3)*(ROW()-3)/(MATCH(9.99E+307,'Returns (Calc)'!$A:$A)-3),"")</f>
        <v>148.994556962025</v>
      </c>
      <c r="AN154" s="156" t="n">
        <f aca="false">IFERROR('Price History'!T3+(INDEX('Price History'!T:T,MATCH(9.99E+307,'Returns (Calc)'!$A:$A)+1)-'Price History'!T3)*(ROW()-3)/(MATCH(9.99E+307,'Returns (Calc)'!$A:$A)-3),"")</f>
        <v>50.6424050632911</v>
      </c>
      <c r="AO154" s="157" t="n">
        <f aca="false">IFERROR('Price History'!V3+(INDEX('Price History'!V:V,MATCH(9.99E+307,'Returns (Calc)'!$A:$A)+1)-'Price History'!V3)*(ROW()-3)/(MATCH(9.99E+307,'Returns (Calc)'!$A:$A)-3),"")</f>
        <v>355.120696202532</v>
      </c>
      <c r="AP154" s="155" t="n">
        <f aca="false">IFERROR(IF(OR(NOT(ISNUMBER('Price History'!W155)),NOT(ISNUMBER('Price History'!W154)),'Price History'!W154=0),"",'Price History'!W155/'Price History'!W154-1),"")</f>
        <v>0.00534239922292379</v>
      </c>
      <c r="AQ154" s="155" t="n">
        <f aca="false">IFERROR(IF(OR(NOT(ISNUMBER('Price History'!X155)),NOT(ISNUMBER('Price History'!X154)),'Price History'!X154=0),"",'Price History'!X155/'Price History'!X154-1),"")</f>
        <v>0.0396518375241779</v>
      </c>
      <c r="AR154" s="155" t="n">
        <f aca="false">IFERROR(IF(OR(NOT(ISNUMBER('Price History'!Y155)),NOT(ISNUMBER('Price History'!Y154)),'Price History'!Y154=0),"",'Price History'!Y155/'Price History'!Y154-1),"")</f>
        <v>0.00773830460780856</v>
      </c>
      <c r="AS154" s="155" t="n">
        <f aca="false">IFERROR(IF(OR(NOT(ISNUMBER('Price History'!Z155)),NOT(ISNUMBER('Price History'!Z154)),'Price History'!Z154=0),"",'Price History'!Z155/'Price History'!Z154-1),"")</f>
        <v>-0.00459360138348464</v>
      </c>
      <c r="AT154" s="155" t="n">
        <f aca="false">IFERROR(IF(OR(NOT(ISNUMBER('Price History'!AA155)),NOT(ISNUMBER('Price History'!AA154)),'Price History'!AA154=0),"",'Price History'!AA155/'Price History'!AA154-1),"")</f>
        <v>0.0542217426490423</v>
      </c>
      <c r="AU154" s="155" t="n">
        <f aca="false">IFERROR(IF(OR(NOT(ISNUMBER('Price History'!AB155)),NOT(ISNUMBER('Price History'!AB154)),'Price History'!AB154=0),"",'Price History'!AB155/'Price History'!AB154-1),"")</f>
        <v>0.0576213823925023</v>
      </c>
    </row>
    <row r="155" customFormat="false" ht="15" hidden="false" customHeight="true" outlineLevel="0" collapsed="false">
      <c r="A155" s="153" t="n">
        <f aca="false">IF('Price History'!A156="","",'Price History'!A156)</f>
        <v>46255</v>
      </c>
      <c r="B155" s="154" t="n">
        <f aca="false">IFERROR(IF(OR(NOT(ISNUMBER('Price History'!B156)),NOT(ISNUMBER('Price History'!B155)),'Price History'!B155=0),"",'Price History'!B156/'Price History'!B155-1),"")</f>
        <v>0.0427240360578745</v>
      </c>
      <c r="C155" s="154" t="n">
        <f aca="false">IFERROR(IF(OR(NOT(ISNUMBER('Price History'!C156)),NOT(ISNUMBER('Price History'!C155)),'Price History'!C155=0),"",'Price History'!C156/'Price History'!C155-1),"")</f>
        <v>-0.0511517955940045</v>
      </c>
      <c r="D155" s="154" t="n">
        <f aca="false">IFERROR(IF(OR(NOT(ISNUMBER('Price History'!D156)),NOT(ISNUMBER('Price History'!D155)),'Price History'!D155=0),"",'Price History'!D156/'Price History'!D155-1),"")</f>
        <v>-0.0435555941173919</v>
      </c>
      <c r="E155" s="154" t="n">
        <f aca="false">IFERROR(IF(OR(NOT(ISNUMBER('Price History'!E156)),NOT(ISNUMBER('Price History'!E155)),'Price History'!E155=0),"",'Price History'!E156/'Price History'!E155-1),"")</f>
        <v>-0.0624553890078515</v>
      </c>
      <c r="F155" s="154" t="n">
        <f aca="false">IFERROR(IF(OR(NOT(ISNUMBER('Price History'!F156)),NOT(ISNUMBER('Price History'!F155)),'Price History'!F155=0),"",'Price History'!F156/'Price History'!F155-1),"")</f>
        <v>-0.115233924867481</v>
      </c>
      <c r="G155" s="154" t="n">
        <f aca="false">IFERROR(IF(OR(NOT(ISNUMBER('Price History'!G156)),NOT(ISNUMBER('Price History'!G155)),'Price History'!G155=0),"",'Price History'!G156/'Price History'!G155-1),"")</f>
        <v>-0.095827804806133</v>
      </c>
      <c r="H155" s="154" t="n">
        <f aca="false">IFERROR(IF(OR(NOT(ISNUMBER('Price History'!H156)),NOT(ISNUMBER('Price History'!H155)),'Price History'!H155=0),"",'Price History'!H156/'Price History'!H155-1),"")</f>
        <v>-0.00502233291480558</v>
      </c>
      <c r="I155" s="154" t="n">
        <f aca="false">IFERROR(IF(OR(NOT(ISNUMBER('Price History'!I156)),NOT(ISNUMBER('Price History'!I155)),'Price History'!I155=0),"",'Price History'!I156/'Price History'!I155-1),"")</f>
        <v>-0.0463741051976346</v>
      </c>
      <c r="J155" s="154" t="n">
        <f aca="false">IFERROR(IF(OR(NOT(ISNUMBER('Price History'!J156)),NOT(ISNUMBER('Price History'!J155)),'Price History'!J155=0),"",'Price History'!J156/'Price History'!J155-1),"")</f>
        <v>0.00543167524299615</v>
      </c>
      <c r="K155" s="154" t="n">
        <f aca="false">IFERROR(IF(OR(NOT(ISNUMBER('Price History'!K156)),NOT(ISNUMBER('Price History'!K155)),'Price History'!K155=0),"",'Price History'!K156/'Price History'!K155-1),"")</f>
        <v>0.0339002528154448</v>
      </c>
      <c r="L155" s="154" t="n">
        <f aca="false">IFERROR(IF(OR(NOT(ISNUMBER('Price History'!L156)),NOT(ISNUMBER('Price History'!L155)),'Price History'!L155=0),"",'Price History'!L156/'Price History'!L155-1),"")</f>
        <v>-0.0173561299122786</v>
      </c>
      <c r="M155" s="154" t="n">
        <f aca="false">IFERROR(IF(OR(NOT(ISNUMBER('Price History'!M156)),NOT(ISNUMBER('Price History'!M155)),'Price History'!M155=0),"",'Price History'!M156/'Price History'!M155-1),"")</f>
        <v>-0.108520270960275</v>
      </c>
      <c r="N155" s="154" t="n">
        <f aca="false">IFERROR(IF(OR(NOT(ISNUMBER('Price History'!N156)),NOT(ISNUMBER('Price History'!N155)),'Price History'!N155=0),"",'Price History'!N156/'Price History'!N155-1),"")</f>
        <v>0.0836381611468116</v>
      </c>
      <c r="O155" s="154" t="n">
        <f aca="false">IFERROR(IF(OR(NOT(ISNUMBER('Price History'!O156)),NOT(ISNUMBER('Price History'!O155)),'Price History'!O155=0),"",'Price History'!O156/'Price History'!O155-1),"")</f>
        <v>-0.0176915283298261</v>
      </c>
      <c r="P155" s="154" t="n">
        <f aca="false">IFERROR(IF(OR(NOT(ISNUMBER('Price History'!P156)),NOT(ISNUMBER('Price History'!P155)),'Price History'!P155=0),"",'Price History'!P156/'Price History'!P155-1),"")</f>
        <v>-0.00852878464818763</v>
      </c>
      <c r="Q155" s="154" t="n">
        <f aca="false">IFERROR(IF(OR(NOT(ISNUMBER('Price History'!Q156)),NOT(ISNUMBER('Price History'!Q155)),'Price History'!Q155=0),"",'Price History'!Q156/'Price History'!Q155-1),"")</f>
        <v>-0.0105623751070513</v>
      </c>
      <c r="R155" s="154" t="n">
        <f aca="false">IFERROR(IF(OR(NOT(ISNUMBER('Price History'!R156)),NOT(ISNUMBER('Price History'!R155)),'Price History'!R155=0),"",'Price History'!R156/'Price History'!R155-1),"")</f>
        <v>-0.0114690504300894</v>
      </c>
      <c r="S155" s="154" t="n">
        <f aca="false">IFERROR(IF(OR(NOT(ISNUMBER('Price History'!S156)),NOT(ISNUMBER('Price History'!S155)),'Price History'!S155=0),"",'Price History'!S156/'Price History'!S155-1),"")</f>
        <v>-0.0298575721939108</v>
      </c>
      <c r="T155" s="154" t="n">
        <f aca="false">IFERROR(IF(OR(NOT(ISNUMBER('Price History'!T156)),NOT(ISNUMBER('Price History'!T155)),'Price History'!T155=0),"",'Price History'!T156/'Price History'!T155-1),"")</f>
        <v>0.0324626865671642</v>
      </c>
      <c r="U155" s="154" t="n">
        <f aca="false">IFERROR(IF(OR(NOT(ISNUMBER('Price History'!U156)),NOT(ISNUMBER('Price History'!U155)),'Price History'!U155=0),"",'Price History'!U156/'Price History'!U155-1),"")</f>
        <v>0.016934306569343</v>
      </c>
      <c r="V155" s="155" t="n">
        <f aca="false">IFERROR(IF(OR(NOT(ISNUMBER('Price History'!V156)),NOT(ISNUMBER('Price History'!V155)),'Price History'!V155=0),"",'Price History'!V156/'Price History'!V155-1),"")</f>
        <v>0.0189207744061515</v>
      </c>
      <c r="W155" s="156" t="n">
        <f aca="false">IFERROR('Price History'!B3+(INDEX('Price History'!B:B,MATCH(9.99E+307,'Returns (Calc)'!$A:$A)+1)-'Price History'!B3)*(ROW()-3)/(MATCH(9.99E+307,'Returns (Calc)'!$A:$A)-3),"")</f>
        <v>248.748227848101</v>
      </c>
      <c r="X155" s="156" t="n">
        <f aca="false">IFERROR('Price History'!C3+(INDEX('Price History'!C:C,MATCH(9.99E+307,'Returns (Calc)'!$A:$A)+1)-'Price History'!C3)*(ROW()-3)/(MATCH(9.99E+307,'Returns (Calc)'!$A:$A)-3),"")</f>
        <v>201.229620253165</v>
      </c>
      <c r="Y155" s="156" t="n">
        <f aca="false">IFERROR('Price History'!D3+(INDEX('Price History'!D:D,MATCH(9.99E+307,'Returns (Calc)'!$A:$A)+1)-'Price History'!D3)*(ROW()-3)/(MATCH(9.99E+307,'Returns (Calc)'!$A:$A)-3),"")</f>
        <v>1818.50113924051</v>
      </c>
      <c r="Z155" s="156" t="n">
        <f aca="false">IFERROR('Price History'!E3+(INDEX('Price History'!E:E,MATCH(9.99E+307,'Returns (Calc)'!$A:$A)+1)-'Price History'!E3)*(ROW()-3)/(MATCH(9.99E+307,'Returns (Calc)'!$A:$A)-3),"")</f>
        <v>344.767594936709</v>
      </c>
      <c r="AA155" s="156" t="n">
        <f aca="false">IFERROR('Price History'!F3+(INDEX('Price History'!F:F,MATCH(9.99E+307,'Returns (Calc)'!$A:$A)+1)-'Price History'!F3)*(ROW()-3)/(MATCH(9.99E+307,'Returns (Calc)'!$A:$A)-3),"")</f>
        <v>261.355949367089</v>
      </c>
      <c r="AB155" s="156" t="n">
        <f aca="false">IFERROR('Price History'!G3+(INDEX('Price History'!G:G,MATCH(9.99E+307,'Returns (Calc)'!$A:$A)+1)-'Price History'!G3)*(ROW()-3)/(MATCH(9.99E+307,'Returns (Calc)'!$A:$A)-3),"")</f>
        <v>200.717594936709</v>
      </c>
      <c r="AC155" s="156" t="n">
        <f aca="false">IFERROR('Price History'!H3+(INDEX('Price History'!H:H,MATCH(9.99E+307,'Returns (Calc)'!$A:$A)+1)-'Price History'!H3)*(ROW()-3)/(MATCH(9.99E+307,'Returns (Calc)'!$A:$A)-3),"")</f>
        <v>1036.69582278481</v>
      </c>
      <c r="AD155" s="156" t="n">
        <f aca="false">IFERROR('Price History'!I3+(INDEX('Price History'!I:I,MATCH(9.99E+307,'Returns (Calc)'!$A:$A)+1)-'Price History'!I3)*(ROW()-3)/(MATCH(9.99E+307,'Returns (Calc)'!$A:$A)-3),"")</f>
        <v>226.727974683544</v>
      </c>
      <c r="AE155" s="156" t="n">
        <f aca="false">IFERROR('Price History'!J3+(INDEX('Price History'!J:J,MATCH(9.99E+307,'Returns (Calc)'!$A:$A)+1)-'Price History'!J3)*(ROW()-3)/(MATCH(9.99E+307,'Returns (Calc)'!$A:$A)-3),"")</f>
        <v>128.261772151899</v>
      </c>
      <c r="AF155" s="156" t="n">
        <f aca="false">IFERROR('Price History'!K3+(INDEX('Price History'!K:K,MATCH(9.99E+307,'Returns (Calc)'!$A:$A)+1)-'Price History'!K3)*(ROW()-3)/(MATCH(9.99E+307,'Returns (Calc)'!$A:$A)-3),"")</f>
        <v>182.164430379747</v>
      </c>
      <c r="AG155" s="156" t="n">
        <f aca="false">IFERROR('Price History'!L3+(INDEX('Price History'!L:L,MATCH(9.99E+307,'Returns (Calc)'!$A:$A)+1)-'Price History'!L3)*(ROW()-3)/(MATCH(9.99E+307,'Returns (Calc)'!$A:$A)-3),"")</f>
        <v>458.082658227848</v>
      </c>
      <c r="AH155" s="156" t="n">
        <f aca="false">IFERROR('Price History'!M3+(INDEX('Price History'!M:M,MATCH(9.99E+307,'Returns (Calc)'!$A:$A)+1)-'Price History'!M3)*(ROW()-3)/(MATCH(9.99E+307,'Returns (Calc)'!$A:$A)-3),"")</f>
        <v>244.047341772152</v>
      </c>
      <c r="AI155" s="156" t="n">
        <f aca="false">IFERROR('Price History'!N3+(INDEX('Price History'!N:N,MATCH(9.99E+307,'Returns (Calc)'!$A:$A)+1)-'Price History'!N3)*(ROW()-3)/(MATCH(9.99E+307,'Returns (Calc)'!$A:$A)-3),"")</f>
        <v>498.812405063291</v>
      </c>
      <c r="AJ155" s="156" t="n">
        <f aca="false">IFERROR('Price History'!O3+(INDEX('Price History'!O:O,MATCH(9.99E+307,'Returns (Calc)'!$A:$A)+1)-'Price History'!O3)*(ROW()-3)/(MATCH(9.99E+307,'Returns (Calc)'!$A:$A)-3),"")</f>
        <v>118.331772151899</v>
      </c>
      <c r="AK155" s="156" t="n">
        <f aca="false">IFERROR('Price History'!Q3+(INDEX('Price History'!Q:Q,MATCH(9.99E+307,'Returns (Calc)'!$A:$A)+1)-'Price History'!Q3)*(ROW()-3)/(MATCH(9.99E+307,'Returns (Calc)'!$A:$A)-3),"")</f>
        <v>66.7837974683544</v>
      </c>
      <c r="AL155" s="156" t="n">
        <f aca="false">IFERROR('Price History'!R3+(INDEX('Price History'!R:R,MATCH(9.99E+307,'Returns (Calc)'!$A:$A)+1)-'Price History'!R3)*(ROW()-3)/(MATCH(9.99E+307,'Returns (Calc)'!$A:$A)-3),"")</f>
        <v>60.0313924050633</v>
      </c>
      <c r="AM155" s="156" t="n">
        <f aca="false">IFERROR('Price History'!S3+(INDEX('Price History'!S:S,MATCH(9.99E+307,'Returns (Calc)'!$A:$A)+1)-'Price History'!S3)*(ROW()-3)/(MATCH(9.99E+307,'Returns (Calc)'!$A:$A)-3),"")</f>
        <v>149.599620253165</v>
      </c>
      <c r="AN155" s="156" t="n">
        <f aca="false">IFERROR('Price History'!T3+(INDEX('Price History'!T:T,MATCH(9.99E+307,'Returns (Calc)'!$A:$A)+1)-'Price History'!T3)*(ROW()-3)/(MATCH(9.99E+307,'Returns (Calc)'!$A:$A)-3),"")</f>
        <v>50.8106329113924</v>
      </c>
      <c r="AO155" s="157" t="n">
        <f aca="false">IFERROR('Price History'!V3+(INDEX('Price History'!V:V,MATCH(9.99E+307,'Returns (Calc)'!$A:$A)+1)-'Price History'!V3)*(ROW()-3)/(MATCH(9.99E+307,'Returns (Calc)'!$A:$A)-3),"")</f>
        <v>355.912025316456</v>
      </c>
      <c r="AP155" s="155" t="n">
        <f aca="false">IFERROR(IF(OR(NOT(ISNUMBER('Price History'!W156)),NOT(ISNUMBER('Price History'!W155)),'Price History'!W155=0),"",'Price History'!W156/'Price History'!W155-1),"")</f>
        <v>-0.00929951690821251</v>
      </c>
      <c r="AQ155" s="155" t="n">
        <f aca="false">IFERROR(IF(OR(NOT(ISNUMBER('Price History'!X156)),NOT(ISNUMBER('Price History'!X155)),'Price History'!X155=0),"",'Price History'!X156/'Price History'!X155-1),"")</f>
        <v>-0.00967441860465124</v>
      </c>
      <c r="AR155" s="155" t="n">
        <f aca="false">IFERROR(IF(OR(NOT(ISNUMBER('Price History'!Y156)),NOT(ISNUMBER('Price History'!Y155)),'Price History'!Y155=0),"",'Price History'!Y156/'Price History'!Y155-1),"")</f>
        <v>-0.00174520069808015</v>
      </c>
      <c r="AS155" s="155" t="n">
        <f aca="false">IFERROR(IF(OR(NOT(ISNUMBER('Price History'!Z156)),NOT(ISNUMBER('Price History'!Z155)),'Price History'!Z155=0),"",'Price History'!Z156/'Price History'!Z155-1),"")</f>
        <v>-0.0543189098213801</v>
      </c>
      <c r="AT155" s="155" t="n">
        <f aca="false">IFERROR(IF(OR(NOT(ISNUMBER('Price History'!AA156)),NOT(ISNUMBER('Price History'!AA155)),'Price History'!AA155=0),"",'Price History'!AA156/'Price History'!AA155-1),"")</f>
        <v>0.0182958034800411</v>
      </c>
      <c r="AU155" s="155" t="n">
        <f aca="false">IFERROR(IF(OR(NOT(ISNUMBER('Price History'!AB156)),NOT(ISNUMBER('Price History'!AB155)),'Price History'!AB155=0),"",'Price History'!AB156/'Price History'!AB155-1),"")</f>
        <v>0.0170256410256411</v>
      </c>
    </row>
    <row r="156" customFormat="false" ht="15" hidden="false" customHeight="true" outlineLevel="0" collapsed="false">
      <c r="A156" s="153" t="n">
        <f aca="false">IF('Price History'!A157="","",'Price History'!A157)</f>
        <v>46262</v>
      </c>
      <c r="B156" s="154" t="n">
        <f aca="false">IFERROR(IF(OR(NOT(ISNUMBER('Price History'!B157)),NOT(ISNUMBER('Price History'!B156)),'Price History'!B156=0),"",'Price History'!B157/'Price History'!B156-1),"")</f>
        <v>0.0589175444969123</v>
      </c>
      <c r="C156" s="154" t="n">
        <f aca="false">IFERROR(IF(OR(NOT(ISNUMBER('Price History'!C157)),NOT(ISNUMBER('Price History'!C156)),'Price History'!C156=0),"",'Price History'!C157/'Price History'!C156-1),"")</f>
        <v>0.0356745295520806</v>
      </c>
      <c r="D156" s="154" t="n">
        <f aca="false">IFERROR(IF(OR(NOT(ISNUMBER('Price History'!D157)),NOT(ISNUMBER('Price History'!D156)),'Price History'!D156=0),"",'Price History'!D157/'Price History'!D156-1),"")</f>
        <v>-0.0383272100512541</v>
      </c>
      <c r="E156" s="154" t="n">
        <f aca="false">IFERROR(IF(OR(NOT(ISNUMBER('Price History'!E157)),NOT(ISNUMBER('Price History'!E156)),'Price History'!E156=0),"",'Price History'!E157/'Price History'!E156-1),"")</f>
        <v>0.000924465713198153</v>
      </c>
      <c r="F156" s="154" t="n">
        <f aca="false">IFERROR(IF(OR(NOT(ISNUMBER('Price History'!F157)),NOT(ISNUMBER('Price History'!F156)),'Price History'!F156=0),"",'Price History'!F157/'Price History'!F156-1),"")</f>
        <v>0.137796301120083</v>
      </c>
      <c r="G156" s="154" t="n">
        <f aca="false">IFERROR(IF(OR(NOT(ISNUMBER('Price History'!G157)),NOT(ISNUMBER('Price History'!G156)),'Price History'!G156=0),"",'Price History'!G157/'Price History'!G156-1),"")</f>
        <v>-0.0459264090439698</v>
      </c>
      <c r="H156" s="154" t="n">
        <f aca="false">IFERROR(IF(OR(NOT(ISNUMBER('Price History'!H157)),NOT(ISNUMBER('Price History'!H156)),'Price History'!H156=0),"",'Price History'!H157/'Price History'!H156-1),"")</f>
        <v>-0.0350855416951116</v>
      </c>
      <c r="I156" s="154" t="n">
        <f aca="false">IFERROR(IF(OR(NOT(ISNUMBER('Price History'!I157)),NOT(ISNUMBER('Price History'!I156)),'Price History'!I156=0),"",'Price History'!I157/'Price History'!I156-1),"")</f>
        <v>0.0131947034688549</v>
      </c>
      <c r="J156" s="154" t="n">
        <f aca="false">IFERROR(IF(OR(NOT(ISNUMBER('Price History'!J157)),NOT(ISNUMBER('Price History'!J156)),'Price History'!J156=0),"",'Price History'!J157/'Price History'!J156-1),"")</f>
        <v>-0.00774808075063982</v>
      </c>
      <c r="K156" s="154" t="n">
        <f aca="false">IFERROR(IF(OR(NOT(ISNUMBER('Price History'!K157)),NOT(ISNUMBER('Price History'!K156)),'Price History'!K156=0),"",'Price History'!K157/'Price History'!K156-1),"")</f>
        <v>0.0352895409580971</v>
      </c>
      <c r="L156" s="154" t="n">
        <f aca="false">IFERROR(IF(OR(NOT(ISNUMBER('Price History'!L157)),NOT(ISNUMBER('Price History'!L156)),'Price History'!L156=0),"",'Price History'!L157/'Price History'!L156-1),"")</f>
        <v>-0.00342244453485874</v>
      </c>
      <c r="M156" s="154" t="n">
        <f aca="false">IFERROR(IF(OR(NOT(ISNUMBER('Price History'!M157)),NOT(ISNUMBER('Price History'!M156)),'Price History'!M156=0),"",'Price History'!M157/'Price History'!M156-1),"")</f>
        <v>-0.0185955935698194</v>
      </c>
      <c r="N156" s="154" t="n">
        <f aca="false">IFERROR(IF(OR(NOT(ISNUMBER('Price History'!N157)),NOT(ISNUMBER('Price History'!N156)),'Price History'!N156=0),"",'Price History'!N157/'Price History'!N156-1),"")</f>
        <v>-0.0116047805857128</v>
      </c>
      <c r="O156" s="154" t="n">
        <f aca="false">IFERROR(IF(OR(NOT(ISNUMBER('Price History'!O157)),NOT(ISNUMBER('Price History'!O156)),'Price History'!O156=0),"",'Price History'!O157/'Price History'!O156-1),"")</f>
        <v>-0.00698191050460184</v>
      </c>
      <c r="P156" s="154" t="n">
        <f aca="false">IFERROR(IF(OR(NOT(ISNUMBER('Price History'!P157)),NOT(ISNUMBER('Price History'!P156)),'Price History'!P156=0),"",'Price History'!P157/'Price History'!P156-1),"")</f>
        <v>-0.00178187403993846</v>
      </c>
      <c r="Q156" s="154" t="n">
        <f aca="false">IFERROR(IF(OR(NOT(ISNUMBER('Price History'!Q157)),NOT(ISNUMBER('Price History'!Q156)),'Price History'!Q156=0),"",'Price History'!Q157/'Price History'!Q156-1),"")</f>
        <v>0.0040392383150607</v>
      </c>
      <c r="R156" s="154" t="n">
        <f aca="false">IFERROR(IF(OR(NOT(ISNUMBER('Price History'!R157)),NOT(ISNUMBER('Price History'!R156)),'Price History'!R156=0),"",'Price History'!R157/'Price History'!R156-1),"")</f>
        <v>0.00528919979525688</v>
      </c>
      <c r="S156" s="154" t="n">
        <f aca="false">IFERROR(IF(OR(NOT(ISNUMBER('Price History'!S157)),NOT(ISNUMBER('Price History'!S156)),'Price History'!S156=0),"",'Price History'!S157/'Price History'!S156-1),"")</f>
        <v>-0.0131321974543741</v>
      </c>
      <c r="T156" s="154" t="n">
        <f aca="false">IFERROR(IF(OR(NOT(ISNUMBER('Price History'!T157)),NOT(ISNUMBER('Price History'!T156)),'Price History'!T156=0),"",'Price History'!T157/'Price History'!T156-1),"")</f>
        <v>0.00379472352728572</v>
      </c>
      <c r="U156" s="154" t="n">
        <f aca="false">IFERROR(IF(OR(NOT(ISNUMBER('Price History'!U157)),NOT(ISNUMBER('Price History'!U156)),'Price History'!U156=0),"",'Price History'!U157/'Price History'!U156-1),"")</f>
        <v>-0.00602928509905254</v>
      </c>
      <c r="V156" s="155" t="n">
        <f aca="false">IFERROR(IF(OR(NOT(ISNUMBER('Price History'!V157)),NOT(ISNUMBER('Price History'!V156)),'Price History'!V156=0),"",'Price History'!V157/'Price History'!V156-1),"")</f>
        <v>0.0284605433376455</v>
      </c>
      <c r="W156" s="156" t="n">
        <f aca="false">IFERROR('Price History'!B3+(INDEX('Price History'!B:B,MATCH(9.99E+307,'Returns (Calc)'!$A:$A)+1)-'Price History'!B3)*(ROW()-3)/(MATCH(9.99E+307,'Returns (Calc)'!$A:$A)-3),"")</f>
        <v>246.905189873418</v>
      </c>
      <c r="X156" s="156" t="n">
        <f aca="false">IFERROR('Price History'!C3+(INDEX('Price History'!C:C,MATCH(9.99E+307,'Returns (Calc)'!$A:$A)+1)-'Price History'!C3)*(ROW()-3)/(MATCH(9.99E+307,'Returns (Calc)'!$A:$A)-3),"")</f>
        <v>202.249683544304</v>
      </c>
      <c r="Y156" s="156" t="n">
        <f aca="false">IFERROR('Price History'!D3+(INDEX('Price History'!D:D,MATCH(9.99E+307,'Returns (Calc)'!$A:$A)+1)-'Price History'!D3)*(ROW()-3)/(MATCH(9.99E+307,'Returns (Calc)'!$A:$A)-3),"")</f>
        <v>1826.63594936709</v>
      </c>
      <c r="Z156" s="156" t="n">
        <f aca="false">IFERROR('Price History'!E3+(INDEX('Price History'!E:E,MATCH(9.99E+307,'Returns (Calc)'!$A:$A)+1)-'Price History'!E3)*(ROW()-3)/(MATCH(9.99E+307,'Returns (Calc)'!$A:$A)-3),"")</f>
        <v>346.496329113924</v>
      </c>
      <c r="AA156" s="156" t="n">
        <f aca="false">IFERROR('Price History'!F3+(INDEX('Price History'!F:F,MATCH(9.99E+307,'Returns (Calc)'!$A:$A)+1)-'Price History'!F3)*(ROW()-3)/(MATCH(9.99E+307,'Returns (Calc)'!$A:$A)-3),"")</f>
        <v>262.803291139241</v>
      </c>
      <c r="AB156" s="156" t="n">
        <f aca="false">IFERROR('Price History'!G3+(INDEX('Price History'!G:G,MATCH(9.99E+307,'Returns (Calc)'!$A:$A)+1)-'Price History'!G3)*(ROW()-3)/(MATCH(9.99E+307,'Returns (Calc)'!$A:$A)-3),"")</f>
        <v>201.746329113924</v>
      </c>
      <c r="AC156" s="156" t="n">
        <f aca="false">IFERROR('Price History'!H3+(INDEX('Price History'!H:H,MATCH(9.99E+307,'Returns (Calc)'!$A:$A)+1)-'Price History'!H3)*(ROW()-3)/(MATCH(9.99E+307,'Returns (Calc)'!$A:$A)-3),"")</f>
        <v>1043.06151898734</v>
      </c>
      <c r="AD156" s="156" t="n">
        <f aca="false">IFERROR('Price History'!I3+(INDEX('Price History'!I:I,MATCH(9.99E+307,'Returns (Calc)'!$A:$A)+1)-'Price History'!I3)*(ROW()-3)/(MATCH(9.99E+307,'Returns (Calc)'!$A:$A)-3),"")</f>
        <v>227.93164556962</v>
      </c>
      <c r="AE156" s="156" t="n">
        <f aca="false">IFERROR('Price History'!J3+(INDEX('Price History'!J:J,MATCH(9.99E+307,'Returns (Calc)'!$A:$A)+1)-'Price History'!J3)*(ROW()-3)/(MATCH(9.99E+307,'Returns (Calc)'!$A:$A)-3),"")</f>
        <v>128.369810126582</v>
      </c>
      <c r="AF156" s="156" t="n">
        <f aca="false">IFERROR('Price History'!K3+(INDEX('Price History'!K:K,MATCH(9.99E+307,'Returns (Calc)'!$A:$A)+1)-'Price History'!K3)*(ROW()-3)/(MATCH(9.99E+307,'Returns (Calc)'!$A:$A)-3),"")</f>
        <v>183.262025316456</v>
      </c>
      <c r="AG156" s="156" t="n">
        <f aca="false">IFERROR('Price History'!L3+(INDEX('Price History'!L:L,MATCH(9.99E+307,'Returns (Calc)'!$A:$A)+1)-'Price History'!L3)*(ROW()-3)/(MATCH(9.99E+307,'Returns (Calc)'!$A:$A)-3),"")</f>
        <v>460.532215189873</v>
      </c>
      <c r="AH156" s="156" t="n">
        <f aca="false">IFERROR('Price History'!M3+(INDEX('Price History'!M:M,MATCH(9.99E+307,'Returns (Calc)'!$A:$A)+1)-'Price History'!M3)*(ROW()-3)/(MATCH(9.99E+307,'Returns (Calc)'!$A:$A)-3),"")</f>
        <v>245.402784810127</v>
      </c>
      <c r="AI156" s="156" t="n">
        <f aca="false">IFERROR('Price History'!N3+(INDEX('Price History'!N:N,MATCH(9.99E+307,'Returns (Calc)'!$A:$A)+1)-'Price History'!N3)*(ROW()-3)/(MATCH(9.99E+307,'Returns (Calc)'!$A:$A)-3),"")</f>
        <v>499.798670886076</v>
      </c>
      <c r="AJ156" s="156" t="n">
        <f aca="false">IFERROR('Price History'!O3+(INDEX('Price History'!O:O,MATCH(9.99E+307,'Returns (Calc)'!$A:$A)+1)-'Price History'!O3)*(ROW()-3)/(MATCH(9.99E+307,'Returns (Calc)'!$A:$A)-3),"")</f>
        <v>118.614810126582</v>
      </c>
      <c r="AK156" s="156" t="n">
        <f aca="false">IFERROR('Price History'!Q3+(INDEX('Price History'!Q:Q,MATCH(9.99E+307,'Returns (Calc)'!$A:$A)+1)-'Price History'!Q3)*(ROW()-3)/(MATCH(9.99E+307,'Returns (Calc)'!$A:$A)-3),"")</f>
        <v>67.223164556962</v>
      </c>
      <c r="AL156" s="156" t="n">
        <f aca="false">IFERROR('Price History'!R3+(INDEX('Price History'!R:R,MATCH(9.99E+307,'Returns (Calc)'!$A:$A)+1)-'Price History'!R3)*(ROW()-3)/(MATCH(9.99E+307,'Returns (Calc)'!$A:$A)-3),"")</f>
        <v>60.1994936708861</v>
      </c>
      <c r="AM156" s="156" t="n">
        <f aca="false">IFERROR('Price History'!S3+(INDEX('Price History'!S:S,MATCH(9.99E+307,'Returns (Calc)'!$A:$A)+1)-'Price History'!S3)*(ROW()-3)/(MATCH(9.99E+307,'Returns (Calc)'!$A:$A)-3),"")</f>
        <v>150.204683544304</v>
      </c>
      <c r="AN156" s="156" t="n">
        <f aca="false">IFERROR('Price History'!T3+(INDEX('Price History'!T:T,MATCH(9.99E+307,'Returns (Calc)'!$A:$A)+1)-'Price History'!T3)*(ROW()-3)/(MATCH(9.99E+307,'Returns (Calc)'!$A:$A)-3),"")</f>
        <v>50.9788607594937</v>
      </c>
      <c r="AO156" s="157" t="n">
        <f aca="false">IFERROR('Price History'!V3+(INDEX('Price History'!V:V,MATCH(9.99E+307,'Returns (Calc)'!$A:$A)+1)-'Price History'!V3)*(ROW()-3)/(MATCH(9.99E+307,'Returns (Calc)'!$A:$A)-3),"")</f>
        <v>356.70335443038</v>
      </c>
      <c r="AP156" s="155" t="n">
        <f aca="false">IFERROR(IF(OR(NOT(ISNUMBER('Price History'!W157)),NOT(ISNUMBER('Price History'!W156)),'Price History'!W156=0),"",'Price History'!W157/'Price History'!W156-1),"")</f>
        <v>-0.0043886383030598</v>
      </c>
      <c r="AQ156" s="155" t="n">
        <f aca="false">IFERROR(IF(OR(NOT(ISNUMBER('Price History'!X157)),NOT(ISNUMBER('Price History'!X156)),'Price History'!X156=0),"",'Price History'!X157/'Price History'!X156-1),"")</f>
        <v>0.00770242344542549</v>
      </c>
      <c r="AR156" s="155" t="n">
        <f aca="false">IFERROR(IF(OR(NOT(ISNUMBER('Price History'!Y157)),NOT(ISNUMBER('Price History'!Y156)),'Price History'!Y156=0),"",'Price History'!Y157/'Price History'!Y156-1),"")</f>
        <v>-0.00227272727272732</v>
      </c>
      <c r="AS156" s="155" t="n">
        <f aca="false">IFERROR(IF(OR(NOT(ISNUMBER('Price History'!Z157)),NOT(ISNUMBER('Price History'!Z156)),'Price History'!Z156=0),"",'Price History'!Z157/'Price History'!Z156-1),"")</f>
        <v>-0.0166202600683182</v>
      </c>
      <c r="AT156" s="155" t="n">
        <f aca="false">IFERROR(IF(OR(NOT(ISNUMBER('Price History'!AA157)),NOT(ISNUMBER('Price History'!AA156)),'Price History'!AA156=0),"",'Price History'!AA157/'Price History'!AA156-1),"")</f>
        <v>0.0267621560497549</v>
      </c>
      <c r="AU156" s="155" t="n">
        <f aca="false">IFERROR(IF(OR(NOT(ISNUMBER('Price History'!AB157)),NOT(ISNUMBER('Price History'!AB156)),'Price History'!AB156=0),"",'Price History'!AB157/'Price History'!AB156-1),"")</f>
        <v>0.116135538523598</v>
      </c>
    </row>
    <row r="157" customFormat="false" ht="15" hidden="false" customHeight="true" outlineLevel="0" collapsed="false">
      <c r="A157" s="153" t="n">
        <f aca="false">IF('Price History'!A158="","",'Price History'!A158)</f>
        <v>46269</v>
      </c>
      <c r="B157" s="154" t="n">
        <f aca="false">IFERROR(IF(OR(NOT(ISNUMBER('Price History'!B158)),NOT(ISNUMBER('Price History'!B157)),'Price History'!B157=0),"",'Price History'!B158/'Price History'!B157-1),"")</f>
        <v>-0.0857917124039517</v>
      </c>
      <c r="C157" s="154" t="n">
        <f aca="false">IFERROR(IF(OR(NOT(ISNUMBER('Price History'!C158)),NOT(ISNUMBER('Price History'!C157)),'Price History'!C157=0),"",'Price History'!C158/'Price History'!C157-1),"")</f>
        <v>-0.00818916982290918</v>
      </c>
      <c r="D157" s="154" t="n">
        <f aca="false">IFERROR(IF(OR(NOT(ISNUMBER('Price History'!D158)),NOT(ISNUMBER('Price History'!D157)),'Price History'!D157=0),"",'Price History'!D158/'Price History'!D157-1),"")</f>
        <v>0.011036694651448</v>
      </c>
      <c r="E157" s="154" t="n">
        <f aca="false">IFERROR(IF(OR(NOT(ISNUMBER('Price History'!E158)),NOT(ISNUMBER('Price History'!E157)),'Price History'!E157=0),"",'Price History'!E158/'Price History'!E157-1),"")</f>
        <v>-0.0295284146473976</v>
      </c>
      <c r="F157" s="154" t="n">
        <f aca="false">IFERROR(IF(OR(NOT(ISNUMBER('Price History'!F158)),NOT(ISNUMBER('Price History'!F157)),'Price History'!F157=0),"",'Price History'!F158/'Price History'!F157-1),"")</f>
        <v>-0.0242673992673993</v>
      </c>
      <c r="G157" s="154" t="n">
        <f aca="false">IFERROR(IF(OR(NOT(ISNUMBER('Price History'!G158)),NOT(ISNUMBER('Price History'!G157)),'Price History'!G157=0),"",'Price History'!G158/'Price History'!G157-1),"")</f>
        <v>0.0573088754699784</v>
      </c>
      <c r="H157" s="154" t="n">
        <f aca="false">IFERROR(IF(OR(NOT(ISNUMBER('Price History'!H158)),NOT(ISNUMBER('Price History'!H157)),'Price History'!H157=0),"",'Price History'!H158/'Price History'!H157-1),"")</f>
        <v>0.0897562335184272</v>
      </c>
      <c r="I157" s="154" t="n">
        <f aca="false">IFERROR(IF(OR(NOT(ISNUMBER('Price History'!I158)),NOT(ISNUMBER('Price History'!I157)),'Price History'!I157=0),"",'Price History'!I158/'Price History'!I157-1),"")</f>
        <v>0.0588560121485435</v>
      </c>
      <c r="J157" s="154" t="n">
        <f aca="false">IFERROR(IF(OR(NOT(ISNUMBER('Price History'!J158)),NOT(ISNUMBER('Price History'!J157)),'Price History'!J157=0),"",'Price History'!J158/'Price History'!J157-1),"")</f>
        <v>-0.0238555770470665</v>
      </c>
      <c r="K157" s="154" t="n">
        <f aca="false">IFERROR(IF(OR(NOT(ISNUMBER('Price History'!K158)),NOT(ISNUMBER('Price History'!K157)),'Price History'!K157=0),"",'Price History'!K158/'Price History'!K157-1),"")</f>
        <v>-0.0642009769713886</v>
      </c>
      <c r="L157" s="154" t="n">
        <f aca="false">IFERROR(IF(OR(NOT(ISNUMBER('Price History'!L158)),NOT(ISNUMBER('Price History'!L157)),'Price History'!L157=0),"",'Price History'!L158/'Price History'!L157-1),"")</f>
        <v>0.0272814601344862</v>
      </c>
      <c r="M157" s="154" t="n">
        <f aca="false">IFERROR(IF(OR(NOT(ISNUMBER('Price History'!M158)),NOT(ISNUMBER('Price History'!M157)),'Price History'!M157=0),"",'Price History'!M158/'Price History'!M157-1),"")</f>
        <v>0.0911991284724925</v>
      </c>
      <c r="N157" s="154" t="n">
        <f aca="false">IFERROR(IF(OR(NOT(ISNUMBER('Price History'!N158)),NOT(ISNUMBER('Price History'!N157)),'Price History'!N157=0),"",'Price History'!N158/'Price History'!N157-1),"")</f>
        <v>0.0081781092506783</v>
      </c>
      <c r="O157" s="154" t="n">
        <f aca="false">IFERROR(IF(OR(NOT(ISNUMBER('Price History'!O158)),NOT(ISNUMBER('Price History'!O157)),'Price History'!O157=0),"",'Price History'!O158/'Price History'!O157-1),"")</f>
        <v>0.0108660914030041</v>
      </c>
      <c r="P157" s="154" t="n">
        <f aca="false">IFERROR(IF(OR(NOT(ISNUMBER('Price History'!P158)),NOT(ISNUMBER('Price History'!P157)),'Price History'!P157=0),"",'Price History'!P158/'Price History'!P157-1),"")</f>
        <v>0.00276991259386916</v>
      </c>
      <c r="Q157" s="154" t="n">
        <f aca="false">IFERROR(IF(OR(NOT(ISNUMBER('Price History'!Q158)),NOT(ISNUMBER('Price History'!Q157)),'Price History'!Q157=0),"",'Price History'!Q158/'Price History'!Q157-1),"")</f>
        <v>0.000431034482758719</v>
      </c>
      <c r="R157" s="154" t="n">
        <f aca="false">IFERROR(IF(OR(NOT(ISNUMBER('Price History'!R158)),NOT(ISNUMBER('Price History'!R157)),'Price History'!R157=0),"",'Price History'!R158/'Price History'!R157-1),"")</f>
        <v>0.00678886625933473</v>
      </c>
      <c r="S157" s="154" t="n">
        <f aca="false">IFERROR(IF(OR(NOT(ISNUMBER('Price History'!S158)),NOT(ISNUMBER('Price History'!S157)),'Price History'!S157=0),"",'Price History'!S158/'Price History'!S157-1),"")</f>
        <v>0.0200627814931076</v>
      </c>
      <c r="T157" s="154" t="n">
        <f aca="false">IFERROR(IF(OR(NOT(ISNUMBER('Price History'!T158)),NOT(ISNUMBER('Price History'!T157)),'Price History'!T157=0),"",'Price History'!T158/'Price History'!T157-1),"")</f>
        <v>-0.00666066606660665</v>
      </c>
      <c r="U157" s="154" t="n">
        <f aca="false">IFERROR(IF(OR(NOT(ISNUMBER('Price History'!U158)),NOT(ISNUMBER('Price History'!U157)),'Price History'!U157=0),"",'Price History'!U158/'Price History'!U157-1),"")</f>
        <v>-0.00288850375505467</v>
      </c>
      <c r="V157" s="155" t="n">
        <f aca="false">IFERROR(IF(OR(NOT(ISNUMBER('Price History'!V158)),NOT(ISNUMBER('Price History'!V157)),'Price History'!V157=0),"",'Price History'!V158/'Price History'!V157-1),"")</f>
        <v>-0.0171121593291406</v>
      </c>
      <c r="W157" s="156" t="n">
        <f aca="false">IFERROR('Price History'!B3+(INDEX('Price History'!B:B,MATCH(9.99E+307,'Returns (Calc)'!$A:$A)+1)-'Price History'!B3)*(ROW()-3)/(MATCH(9.99E+307,'Returns (Calc)'!$A:$A)-3),"")</f>
        <v>245.062151898734</v>
      </c>
      <c r="X157" s="156" t="n">
        <f aca="false">IFERROR('Price History'!C3+(INDEX('Price History'!C:C,MATCH(9.99E+307,'Returns (Calc)'!$A:$A)+1)-'Price History'!C3)*(ROW()-3)/(MATCH(9.99E+307,'Returns (Calc)'!$A:$A)-3),"")</f>
        <v>203.269746835443</v>
      </c>
      <c r="Y157" s="156" t="n">
        <f aca="false">IFERROR('Price History'!D3+(INDEX('Price History'!D:D,MATCH(9.99E+307,'Returns (Calc)'!$A:$A)+1)-'Price History'!D3)*(ROW()-3)/(MATCH(9.99E+307,'Returns (Calc)'!$A:$A)-3),"")</f>
        <v>1834.77075949367</v>
      </c>
      <c r="Z157" s="156" t="n">
        <f aca="false">IFERROR('Price History'!E3+(INDEX('Price History'!E:E,MATCH(9.99E+307,'Returns (Calc)'!$A:$A)+1)-'Price History'!E3)*(ROW()-3)/(MATCH(9.99E+307,'Returns (Calc)'!$A:$A)-3),"")</f>
        <v>348.225063291139</v>
      </c>
      <c r="AA157" s="156" t="n">
        <f aca="false">IFERROR('Price History'!F3+(INDEX('Price History'!F:F,MATCH(9.99E+307,'Returns (Calc)'!$A:$A)+1)-'Price History'!F3)*(ROW()-3)/(MATCH(9.99E+307,'Returns (Calc)'!$A:$A)-3),"")</f>
        <v>264.250632911392</v>
      </c>
      <c r="AB157" s="156" t="n">
        <f aca="false">IFERROR('Price History'!G3+(INDEX('Price History'!G:G,MATCH(9.99E+307,'Returns (Calc)'!$A:$A)+1)-'Price History'!G3)*(ROW()-3)/(MATCH(9.99E+307,'Returns (Calc)'!$A:$A)-3),"")</f>
        <v>202.775063291139</v>
      </c>
      <c r="AC157" s="156" t="n">
        <f aca="false">IFERROR('Price History'!H3+(INDEX('Price History'!H:H,MATCH(9.99E+307,'Returns (Calc)'!$A:$A)+1)-'Price History'!H3)*(ROW()-3)/(MATCH(9.99E+307,'Returns (Calc)'!$A:$A)-3),"")</f>
        <v>1049.42721518987</v>
      </c>
      <c r="AD157" s="156" t="n">
        <f aca="false">IFERROR('Price History'!I3+(INDEX('Price History'!I:I,MATCH(9.99E+307,'Returns (Calc)'!$A:$A)+1)-'Price History'!I3)*(ROW()-3)/(MATCH(9.99E+307,'Returns (Calc)'!$A:$A)-3),"")</f>
        <v>229.135316455696</v>
      </c>
      <c r="AE157" s="156" t="n">
        <f aca="false">IFERROR('Price History'!J3+(INDEX('Price History'!J:J,MATCH(9.99E+307,'Returns (Calc)'!$A:$A)+1)-'Price History'!J3)*(ROW()-3)/(MATCH(9.99E+307,'Returns (Calc)'!$A:$A)-3),"")</f>
        <v>128.477848101266</v>
      </c>
      <c r="AF157" s="156" t="n">
        <f aca="false">IFERROR('Price History'!K3+(INDEX('Price History'!K:K,MATCH(9.99E+307,'Returns (Calc)'!$A:$A)+1)-'Price History'!K3)*(ROW()-3)/(MATCH(9.99E+307,'Returns (Calc)'!$A:$A)-3),"")</f>
        <v>184.359620253165</v>
      </c>
      <c r="AG157" s="156" t="n">
        <f aca="false">IFERROR('Price History'!L3+(INDEX('Price History'!L:L,MATCH(9.99E+307,'Returns (Calc)'!$A:$A)+1)-'Price History'!L3)*(ROW()-3)/(MATCH(9.99E+307,'Returns (Calc)'!$A:$A)-3),"")</f>
        <v>462.981772151899</v>
      </c>
      <c r="AH157" s="156" t="n">
        <f aca="false">IFERROR('Price History'!M3+(INDEX('Price History'!M:M,MATCH(9.99E+307,'Returns (Calc)'!$A:$A)+1)-'Price History'!M3)*(ROW()-3)/(MATCH(9.99E+307,'Returns (Calc)'!$A:$A)-3),"")</f>
        <v>246.758227848101</v>
      </c>
      <c r="AI157" s="156" t="n">
        <f aca="false">IFERROR('Price History'!N3+(INDEX('Price History'!N:N,MATCH(9.99E+307,'Returns (Calc)'!$A:$A)+1)-'Price History'!N3)*(ROW()-3)/(MATCH(9.99E+307,'Returns (Calc)'!$A:$A)-3),"")</f>
        <v>500.784936708861</v>
      </c>
      <c r="AJ157" s="156" t="n">
        <f aca="false">IFERROR('Price History'!O3+(INDEX('Price History'!O:O,MATCH(9.99E+307,'Returns (Calc)'!$A:$A)+1)-'Price History'!O3)*(ROW()-3)/(MATCH(9.99E+307,'Returns (Calc)'!$A:$A)-3),"")</f>
        <v>118.897848101266</v>
      </c>
      <c r="AK157" s="156" t="n">
        <f aca="false">IFERROR('Price History'!Q3+(INDEX('Price History'!Q:Q,MATCH(9.99E+307,'Returns (Calc)'!$A:$A)+1)-'Price History'!Q3)*(ROW()-3)/(MATCH(9.99E+307,'Returns (Calc)'!$A:$A)-3),"")</f>
        <v>67.6625316455696</v>
      </c>
      <c r="AL157" s="156" t="n">
        <f aca="false">IFERROR('Price History'!R3+(INDEX('Price History'!R:R,MATCH(9.99E+307,'Returns (Calc)'!$A:$A)+1)-'Price History'!R3)*(ROW()-3)/(MATCH(9.99E+307,'Returns (Calc)'!$A:$A)-3),"")</f>
        <v>60.3675949367089</v>
      </c>
      <c r="AM157" s="156" t="n">
        <f aca="false">IFERROR('Price History'!S3+(INDEX('Price History'!S:S,MATCH(9.99E+307,'Returns (Calc)'!$A:$A)+1)-'Price History'!S3)*(ROW()-3)/(MATCH(9.99E+307,'Returns (Calc)'!$A:$A)-3),"")</f>
        <v>150.809746835443</v>
      </c>
      <c r="AN157" s="156" t="n">
        <f aca="false">IFERROR('Price History'!T3+(INDEX('Price History'!T:T,MATCH(9.99E+307,'Returns (Calc)'!$A:$A)+1)-'Price History'!T3)*(ROW()-3)/(MATCH(9.99E+307,'Returns (Calc)'!$A:$A)-3),"")</f>
        <v>51.1470886075949</v>
      </c>
      <c r="AO157" s="157" t="n">
        <f aca="false">IFERROR('Price History'!V3+(INDEX('Price History'!V:V,MATCH(9.99E+307,'Returns (Calc)'!$A:$A)+1)-'Price History'!V3)*(ROW()-3)/(MATCH(9.99E+307,'Returns (Calc)'!$A:$A)-3),"")</f>
        <v>357.494683544304</v>
      </c>
      <c r="AP157" s="155" t="n">
        <f aca="false">IFERROR(IF(OR(NOT(ISNUMBER('Price History'!W158)),NOT(ISNUMBER('Price History'!W157)),'Price History'!W157=0),"",'Price History'!W158/'Price History'!W157-1),"")</f>
        <v>-0.000122443981878329</v>
      </c>
      <c r="AQ157" s="155" t="n">
        <f aca="false">IFERROR(IF(OR(NOT(ISNUMBER('Price History'!X158)),NOT(ISNUMBER('Price History'!X157)),'Price History'!X157=0),"",'Price History'!X158/'Price History'!X157-1),"")</f>
        <v>0.00652498135719615</v>
      </c>
      <c r="AR157" s="155" t="n">
        <f aca="false">IFERROR(IF(OR(NOT(ISNUMBER('Price History'!Y158)),NOT(ISNUMBER('Price History'!Y157)),'Price History'!Y157=0),"",'Price History'!Y158/'Price History'!Y157-1),"")</f>
        <v>-0.00350446819695116</v>
      </c>
      <c r="AS157" s="155" t="n">
        <f aca="false">IFERROR(IF(OR(NOT(ISNUMBER('Price History'!Z158)),NOT(ISNUMBER('Price History'!Z157)),'Price History'!Z157=0),"",'Price History'!Z158/'Price History'!Z157-1),"")</f>
        <v>-0.0159378831221904</v>
      </c>
      <c r="AT157" s="155" t="n">
        <f aca="false">IFERROR(IF(OR(NOT(ISNUMBER('Price History'!AA158)),NOT(ISNUMBER('Price History'!AA157)),'Price History'!AA157=0),"",'Price History'!AA158/'Price History'!AA157-1),"")</f>
        <v>-0.0424620655898189</v>
      </c>
      <c r="AU157" s="155" t="n">
        <f aca="false">IFERROR(IF(OR(NOT(ISNUMBER('Price History'!AB158)),NOT(ISNUMBER('Price History'!AB157)),'Price History'!AB157=0),"",'Price History'!AB158/'Price History'!AB157-1),"")</f>
        <v>-0.00578264483718249</v>
      </c>
    </row>
    <row r="158" customFormat="false" ht="15" hidden="false" customHeight="true" outlineLevel="0" collapsed="false">
      <c r="A158" s="153" t="n">
        <f aca="false">IF('Price History'!A159="","",'Price History'!A159)</f>
        <v>46276</v>
      </c>
      <c r="B158" s="154" t="n">
        <f aca="false">IFERROR(IF(OR(NOT(ISNUMBER('Price History'!B159)),NOT(ISNUMBER('Price History'!B158)),'Price History'!B158=0),"",'Price History'!B159/'Price History'!B158-1),"")</f>
        <v>-0.0535814791189824</v>
      </c>
      <c r="C158" s="154" t="n">
        <f aca="false">IFERROR(IF(OR(NOT(ISNUMBER('Price History'!C159)),NOT(ISNUMBER('Price History'!C158)),'Price History'!C158=0),"",'Price History'!C159/'Price History'!C158-1),"")</f>
        <v>0.0299824543296523</v>
      </c>
      <c r="D158" s="154" t="n">
        <f aca="false">IFERROR(IF(OR(NOT(ISNUMBER('Price History'!D159)),NOT(ISNUMBER('Price History'!D158)),'Price History'!D158=0),"",'Price History'!D159/'Price History'!D158-1),"")</f>
        <v>-0.00966831498413889</v>
      </c>
      <c r="E158" s="154" t="n">
        <f aca="false">IFERROR(IF(OR(NOT(ISNUMBER('Price History'!E159)),NOT(ISNUMBER('Price History'!E158)),'Price History'!E158=0),"",'Price History'!E159/'Price History'!E158-1),"")</f>
        <v>0.0114205738278517</v>
      </c>
      <c r="F158" s="154" t="n">
        <f aca="false">IFERROR(IF(OR(NOT(ISNUMBER('Price History'!F159)),NOT(ISNUMBER('Price History'!F158)),'Price History'!F158=0),"",'Price History'!F159/'Price History'!F158-1),"")</f>
        <v>-0.0298451431252932</v>
      </c>
      <c r="G158" s="154" t="n">
        <f aca="false">IFERROR(IF(OR(NOT(ISNUMBER('Price History'!G159)),NOT(ISNUMBER('Price History'!G158)),'Price History'!G158=0),"",'Price History'!G159/'Price History'!G158-1),"")</f>
        <v>-0.0267241379310346</v>
      </c>
      <c r="H158" s="154" t="n">
        <f aca="false">IFERROR(IF(OR(NOT(ISNUMBER('Price History'!H159)),NOT(ISNUMBER('Price History'!H158)),'Price History'!H158=0),"",'Price History'!H159/'Price History'!H158-1),"")</f>
        <v>-0.0406555248428571</v>
      </c>
      <c r="I158" s="154" t="n">
        <f aca="false">IFERROR(IF(OR(NOT(ISNUMBER('Price History'!I159)),NOT(ISNUMBER('Price History'!I158)),'Price History'!I158=0),"",'Price History'!I159/'Price History'!I158-1),"")</f>
        <v>-0.0513255106475445</v>
      </c>
      <c r="J158" s="154" t="n">
        <f aca="false">IFERROR(IF(OR(NOT(ISNUMBER('Price History'!J159)),NOT(ISNUMBER('Price History'!J158)),'Price History'!J158=0),"",'Price History'!J159/'Price History'!J158-1),"")</f>
        <v>-0.011595479230882</v>
      </c>
      <c r="K158" s="154" t="n">
        <f aca="false">IFERROR(IF(OR(NOT(ISNUMBER('Price History'!K159)),NOT(ISNUMBER('Price History'!K158)),'Price History'!K158=0),"",'Price History'!K159/'Price History'!K158-1),"")</f>
        <v>-0.0407273561635979</v>
      </c>
      <c r="L158" s="154" t="n">
        <f aca="false">IFERROR(IF(OR(NOT(ISNUMBER('Price History'!L159)),NOT(ISNUMBER('Price History'!L158)),'Price History'!L158=0),"",'Price History'!L159/'Price History'!L158-1),"")</f>
        <v>0.0100991210024313</v>
      </c>
      <c r="M158" s="154" t="n">
        <f aca="false">IFERROR(IF(OR(NOT(ISNUMBER('Price History'!M159)),NOT(ISNUMBER('Price History'!M158)),'Price History'!M158=0),"",'Price History'!M159/'Price History'!M158-1),"")</f>
        <v>-0.0836482920915638</v>
      </c>
      <c r="N158" s="154" t="n">
        <f aca="false">IFERROR(IF(OR(NOT(ISNUMBER('Price History'!N159)),NOT(ISNUMBER('Price History'!N158)),'Price History'!N158=0),"",'Price History'!N159/'Price History'!N158-1),"")</f>
        <v>-0.056178129348861</v>
      </c>
      <c r="O158" s="154" t="n">
        <f aca="false">IFERROR(IF(OR(NOT(ISNUMBER('Price History'!O159)),NOT(ISNUMBER('Price History'!O158)),'Price History'!O158=0),"",'Price History'!O159/'Price History'!O158-1),"")</f>
        <v>-0.0159658552007588</v>
      </c>
      <c r="P158" s="154" t="n">
        <f aca="false">IFERROR(IF(OR(NOT(ISNUMBER('Price History'!P159)),NOT(ISNUMBER('Price History'!P158)),'Price History'!P158=0),"",'Price History'!P159/'Price History'!P158-1),"")</f>
        <v>-0.01154011417347</v>
      </c>
      <c r="Q158" s="154" t="n">
        <f aca="false">IFERROR(IF(OR(NOT(ISNUMBER('Price History'!Q159)),NOT(ISNUMBER('Price History'!Q158)),'Price History'!Q158=0),"",'Price History'!Q159/'Price History'!Q158-1),"")</f>
        <v>-0.00689358035329579</v>
      </c>
      <c r="R158" s="154" t="n">
        <f aca="false">IFERROR(IF(OR(NOT(ISNUMBER('Price History'!R159)),NOT(ISNUMBER('Price History'!R158)),'Price History'!R158=0),"",'Price History'!R159/'Price History'!R158-1),"")</f>
        <v>-0.00151719487525293</v>
      </c>
      <c r="S158" s="154" t="n">
        <f aca="false">IFERROR(IF(OR(NOT(ISNUMBER('Price History'!S159)),NOT(ISNUMBER('Price History'!S158)),'Price History'!S158=0),"",'Price History'!S159/'Price History'!S158-1),"")</f>
        <v>-0.00943270002675944</v>
      </c>
      <c r="T158" s="154" t="n">
        <f aca="false">IFERROR(IF(OR(NOT(ISNUMBER('Price History'!T159)),NOT(ISNUMBER('Price History'!T158)),'Price History'!T158=0),"",'Price History'!T159/'Price History'!T158-1),"")</f>
        <v>-0.0235592606016672</v>
      </c>
      <c r="U158" s="154" t="n">
        <f aca="false">IFERROR(IF(OR(NOT(ISNUMBER('Price History'!U159)),NOT(ISNUMBER('Price History'!U158)),'Price History'!U158=0),"",'Price History'!U159/'Price History'!U158-1),"")</f>
        <v>-0.0194090382387022</v>
      </c>
      <c r="V158" s="155" t="n">
        <f aca="false">IFERROR(IF(OR(NOT(ISNUMBER('Price History'!V159)),NOT(ISNUMBER('Price History'!V158)),'Price History'!V158=0),"",'Price History'!V159/'Price History'!V158-1),"")</f>
        <v>-0.0123177006958701</v>
      </c>
      <c r="W158" s="157" t="n">
        <f aca="false">IFERROR('Price History'!B3+(INDEX('Price History'!B:B,MATCH(9.99E+307,'Returns (Calc)'!$A:$A)+1)-'Price History'!B3)*(ROW()-3)/(MATCH(9.99E+307,'Returns (Calc)'!$A:$A)-3),"")</f>
        <v>243.219113924051</v>
      </c>
      <c r="X158" s="157" t="n">
        <f aca="false">IFERROR('Price History'!C3+(INDEX('Price History'!C:C,MATCH(9.99E+307,'Returns (Calc)'!$A:$A)+1)-'Price History'!C3)*(ROW()-3)/(MATCH(9.99E+307,'Returns (Calc)'!$A:$A)-3),"")</f>
        <v>204.289810126582</v>
      </c>
      <c r="Y158" s="157" t="n">
        <f aca="false">IFERROR('Price History'!D3+(INDEX('Price History'!D:D,MATCH(9.99E+307,'Returns (Calc)'!$A:$A)+1)-'Price History'!D3)*(ROW()-3)/(MATCH(9.99E+307,'Returns (Calc)'!$A:$A)-3),"")</f>
        <v>1842.90556962025</v>
      </c>
      <c r="Z158" s="157" t="n">
        <f aca="false">IFERROR('Price History'!E3+(INDEX('Price History'!E:E,MATCH(9.99E+307,'Returns (Calc)'!$A:$A)+1)-'Price History'!E3)*(ROW()-3)/(MATCH(9.99E+307,'Returns (Calc)'!$A:$A)-3),"")</f>
        <v>349.953797468354</v>
      </c>
      <c r="AA158" s="157" t="n">
        <f aca="false">IFERROR('Price History'!F3+(INDEX('Price History'!F:F,MATCH(9.99E+307,'Returns (Calc)'!$A:$A)+1)-'Price History'!F3)*(ROW()-3)/(MATCH(9.99E+307,'Returns (Calc)'!$A:$A)-3),"")</f>
        <v>265.697974683544</v>
      </c>
      <c r="AB158" s="157" t="n">
        <f aca="false">IFERROR('Price History'!G3+(INDEX('Price History'!G:G,MATCH(9.99E+307,'Returns (Calc)'!$A:$A)+1)-'Price History'!G3)*(ROW()-3)/(MATCH(9.99E+307,'Returns (Calc)'!$A:$A)-3),"")</f>
        <v>203.803797468354</v>
      </c>
      <c r="AC158" s="157" t="n">
        <f aca="false">IFERROR('Price History'!H3+(INDEX('Price History'!H:H,MATCH(9.99E+307,'Returns (Calc)'!$A:$A)+1)-'Price History'!H3)*(ROW()-3)/(MATCH(9.99E+307,'Returns (Calc)'!$A:$A)-3),"")</f>
        <v>1055.79291139241</v>
      </c>
      <c r="AD158" s="157" t="n">
        <f aca="false">IFERROR('Price History'!I3+(INDEX('Price History'!I:I,MATCH(9.99E+307,'Returns (Calc)'!$A:$A)+1)-'Price History'!I3)*(ROW()-3)/(MATCH(9.99E+307,'Returns (Calc)'!$A:$A)-3),"")</f>
        <v>230.338987341772</v>
      </c>
      <c r="AE158" s="157" t="n">
        <f aca="false">IFERROR('Price History'!J3+(INDEX('Price History'!J:J,MATCH(9.99E+307,'Returns (Calc)'!$A:$A)+1)-'Price History'!J3)*(ROW()-3)/(MATCH(9.99E+307,'Returns (Calc)'!$A:$A)-3),"")</f>
        <v>128.585886075949</v>
      </c>
      <c r="AF158" s="157" t="n">
        <f aca="false">IFERROR('Price History'!K3+(INDEX('Price History'!K:K,MATCH(9.99E+307,'Returns (Calc)'!$A:$A)+1)-'Price History'!K3)*(ROW()-3)/(MATCH(9.99E+307,'Returns (Calc)'!$A:$A)-3),"")</f>
        <v>185.457215189873</v>
      </c>
      <c r="AG158" s="157" t="n">
        <f aca="false">IFERROR('Price History'!L3+(INDEX('Price History'!L:L,MATCH(9.99E+307,'Returns (Calc)'!$A:$A)+1)-'Price History'!L3)*(ROW()-3)/(MATCH(9.99E+307,'Returns (Calc)'!$A:$A)-3),"")</f>
        <v>465.431329113924</v>
      </c>
      <c r="AH158" s="157" t="n">
        <f aca="false">IFERROR('Price History'!M3+(INDEX('Price History'!M:M,MATCH(9.99E+307,'Returns (Calc)'!$A:$A)+1)-'Price History'!M3)*(ROW()-3)/(MATCH(9.99E+307,'Returns (Calc)'!$A:$A)-3),"")</f>
        <v>248.113670886076</v>
      </c>
      <c r="AI158" s="157" t="n">
        <f aca="false">IFERROR('Price History'!N3+(INDEX('Price History'!N:N,MATCH(9.99E+307,'Returns (Calc)'!$A:$A)+1)-'Price History'!N3)*(ROW()-3)/(MATCH(9.99E+307,'Returns (Calc)'!$A:$A)-3),"")</f>
        <v>501.771202531646</v>
      </c>
      <c r="AJ158" s="157" t="n">
        <f aca="false">IFERROR('Price History'!O3+(INDEX('Price History'!O:O,MATCH(9.99E+307,'Returns (Calc)'!$A:$A)+1)-'Price History'!O3)*(ROW()-3)/(MATCH(9.99E+307,'Returns (Calc)'!$A:$A)-3),"")</f>
        <v>119.180886075949</v>
      </c>
      <c r="AK158" s="157" t="n">
        <f aca="false">IFERROR('Price History'!Q3+(INDEX('Price History'!Q:Q,MATCH(9.99E+307,'Returns (Calc)'!$A:$A)+1)-'Price History'!Q3)*(ROW()-3)/(MATCH(9.99E+307,'Returns (Calc)'!$A:$A)-3),"")</f>
        <v>68.1018987341772</v>
      </c>
      <c r="AL158" s="157" t="n">
        <f aca="false">IFERROR('Price History'!R3+(INDEX('Price History'!R:R,MATCH(9.99E+307,'Returns (Calc)'!$A:$A)+1)-'Price History'!R3)*(ROW()-3)/(MATCH(9.99E+307,'Returns (Calc)'!$A:$A)-3),"")</f>
        <v>60.5356962025316</v>
      </c>
      <c r="AM158" s="157" t="n">
        <f aca="false">IFERROR('Price History'!S3+(INDEX('Price History'!S:S,MATCH(9.99E+307,'Returns (Calc)'!$A:$A)+1)-'Price History'!S3)*(ROW()-3)/(MATCH(9.99E+307,'Returns (Calc)'!$A:$A)-3),"")</f>
        <v>151.414810126582</v>
      </c>
      <c r="AN158" s="157" t="n">
        <f aca="false">IFERROR('Price History'!T3+(INDEX('Price History'!T:T,MATCH(9.99E+307,'Returns (Calc)'!$A:$A)+1)-'Price History'!T3)*(ROW()-3)/(MATCH(9.99E+307,'Returns (Calc)'!$A:$A)-3),"")</f>
        <v>51.3153164556962</v>
      </c>
      <c r="AO158" s="157" t="n">
        <f aca="false">IFERROR('Price History'!V3+(INDEX('Price History'!V:V,MATCH(9.99E+307,'Returns (Calc)'!$A:$A)+1)-'Price History'!V3)*(ROW()-3)/(MATCH(9.99E+307,'Returns (Calc)'!$A:$A)-3),"")</f>
        <v>358.286012658228</v>
      </c>
      <c r="AP158" s="155" t="n">
        <f aca="false">IFERROR(IF(OR(NOT(ISNUMBER('Price History'!W159)),NOT(ISNUMBER('Price History'!W158)),'Price History'!W158=0),"",'Price History'!W159/'Price History'!W158-1),"")</f>
        <v>-0.00795983345579221</v>
      </c>
      <c r="AQ158" s="155" t="n">
        <f aca="false">IFERROR(IF(OR(NOT(ISNUMBER('Price History'!X159)),NOT(ISNUMBER('Price History'!X158)),'Price History'!X158=0),"",'Price History'!X159/'Price History'!X158-1),"")</f>
        <v>-0.0116688275606595</v>
      </c>
      <c r="AR158" s="155" t="n">
        <f aca="false">IFERROR(IF(OR(NOT(ISNUMBER('Price History'!Y159)),NOT(ISNUMBER('Price History'!Y158)),'Price History'!Y158=0),"",'Price History'!Y159/'Price History'!Y158-1),"")</f>
        <v>-0.00984701951819933</v>
      </c>
      <c r="AS158" s="155" t="n">
        <f aca="false">IFERROR(IF(OR(NOT(ISNUMBER('Price History'!Z159)),NOT(ISNUMBER('Price History'!Z158)),'Price History'!Z158=0),"",'Price History'!Z159/'Price History'!Z158-1),"")</f>
        <v>-0.0399264356905552</v>
      </c>
      <c r="AT158" s="155" t="n">
        <f aca="false">IFERROR(IF(OR(NOT(ISNUMBER('Price History'!AA159)),NOT(ISNUMBER('Price History'!AA158)),'Price History'!AA158=0),"",'Price History'!AA159/'Price History'!AA158-1),"")</f>
        <v>-0.0108626198083066</v>
      </c>
      <c r="AU158" s="155" t="n">
        <f aca="false">IFERROR(IF(OR(NOT(ISNUMBER('Price History'!AB159)),NOT(ISNUMBER('Price History'!AB158)),'Price History'!AB158=0),"",'Price History'!AB159/'Price History'!AB158-1),"")</f>
        <v>-0.0461303573375986</v>
      </c>
    </row>
    <row r="159" customFormat="false" ht="15" hidden="false" customHeight="true" outlineLevel="0" collapsed="false">
      <c r="A159" s="153" t="n">
        <f aca="false">IF('Price History'!A160="","",'Price History'!A160)</f>
        <v>46283</v>
      </c>
      <c r="B159" s="154" t="n">
        <f aca="false">IFERROR(IF(OR(NOT(ISNUMBER('Price History'!B160)),NOT(ISNUMBER('Price History'!B159)),'Price History'!B159=0),"",'Price History'!B160/'Price History'!B159-1),"")</f>
        <v>-0.0131229433453594</v>
      </c>
      <c r="C159" s="154" t="n">
        <f aca="false">IFERROR(IF(OR(NOT(ISNUMBER('Price History'!C160)),NOT(ISNUMBER('Price History'!C159)),'Price History'!C159=0),"",'Price History'!C160/'Price History'!C159-1),"")</f>
        <v>-0.00100205421113286</v>
      </c>
      <c r="D159" s="154" t="n">
        <f aca="false">IFERROR(IF(OR(NOT(ISNUMBER('Price History'!D160)),NOT(ISNUMBER('Price History'!D159)),'Price History'!D159=0),"",'Price History'!D160/'Price History'!D159-1),"")</f>
        <v>-0.0108225872931754</v>
      </c>
      <c r="E159" s="154" t="n">
        <f aca="false">IFERROR(IF(OR(NOT(ISNUMBER('Price History'!E160)),NOT(ISNUMBER('Price History'!E159)),'Price History'!E159=0),"",'Price History'!E160/'Price History'!E159-1),"")</f>
        <v>-0.0120942075111394</v>
      </c>
      <c r="F159" s="154" t="n">
        <f aca="false">IFERROR(IF(OR(NOT(ISNUMBER('Price History'!F160)),NOT(ISNUMBER('Price History'!F159)),'Price History'!F159=0),"",'Price History'!F160/'Price History'!F159-1),"")</f>
        <v>0.14951146367418</v>
      </c>
      <c r="G159" s="154" t="n">
        <f aca="false">IFERROR(IF(OR(NOT(ISNUMBER('Price History'!G160)),NOT(ISNUMBER('Price History'!G159)),'Price History'!G159=0),"",'Price History'!G160/'Price History'!G159-1),"")</f>
        <v>-0.0202059344552701</v>
      </c>
      <c r="H159" s="154" t="n">
        <f aca="false">IFERROR(IF(OR(NOT(ISNUMBER('Price History'!H160)),NOT(ISNUMBER('Price History'!H159)),'Price History'!H159=0),"",'Price History'!H160/'Price History'!H159-1),"")</f>
        <v>0.0415684022722145</v>
      </c>
      <c r="I159" s="154" t="n">
        <f aca="false">IFERROR(IF(OR(NOT(ISNUMBER('Price History'!I160)),NOT(ISNUMBER('Price History'!I159)),'Price History'!I159=0),"",'Price History'!I160/'Price History'!I159-1),"")</f>
        <v>0.0182326263227817</v>
      </c>
      <c r="J159" s="154" t="n">
        <f aca="false">IFERROR(IF(OR(NOT(ISNUMBER('Price History'!J160)),NOT(ISNUMBER('Price History'!J159)),'Price History'!J159=0),"",'Price History'!J160/'Price History'!J159-1),"")</f>
        <v>0.00118800118800122</v>
      </c>
      <c r="K159" s="154" t="n">
        <f aca="false">IFERROR(IF(OR(NOT(ISNUMBER('Price History'!K160)),NOT(ISNUMBER('Price History'!K159)),'Price History'!K159=0),"",'Price History'!K160/'Price History'!K159-1),"")</f>
        <v>0.0622495963642886</v>
      </c>
      <c r="L159" s="154" t="n">
        <f aca="false">IFERROR(IF(OR(NOT(ISNUMBER('Price History'!L160)),NOT(ISNUMBER('Price History'!L159)),'Price History'!L159=0),"",'Price History'!L160/'Price History'!L159-1),"")</f>
        <v>0.00599426032216255</v>
      </c>
      <c r="M159" s="154" t="n">
        <f aca="false">IFERROR(IF(OR(NOT(ISNUMBER('Price History'!M160)),NOT(ISNUMBER('Price History'!M159)),'Price History'!M159=0),"",'Price History'!M160/'Price History'!M159-1),"")</f>
        <v>-0.0296108949416343</v>
      </c>
      <c r="N159" s="154" t="n">
        <f aca="false">IFERROR(IF(OR(NOT(ISNUMBER('Price History'!N160)),NOT(ISNUMBER('Price History'!N159)),'Price History'!N159=0),"",'Price History'!N160/'Price History'!N159-1),"")</f>
        <v>-0.0137746391432564</v>
      </c>
      <c r="O159" s="154" t="n">
        <f aca="false">IFERROR(IF(OR(NOT(ISNUMBER('Price History'!O160)),NOT(ISNUMBER('Price History'!O159)),'Price History'!O159=0),"",'Price History'!O160/'Price History'!O159-1),"")</f>
        <v>-0.0204016064257029</v>
      </c>
      <c r="P159" s="154" t="n">
        <f aca="false">IFERROR(IF(OR(NOT(ISNUMBER('Price History'!P160)),NOT(ISNUMBER('Price History'!P159)),'Price History'!P159=0),"",'Price History'!P160/'Price History'!P159-1),"")</f>
        <v>-0.0173259641060671</v>
      </c>
      <c r="Q159" s="154" t="n">
        <f aca="false">IFERROR(IF(OR(NOT(ISNUMBER('Price History'!Q160)),NOT(ISNUMBER('Price History'!Q159)),'Price History'!Q159=0),"",'Price History'!Q160/'Price History'!Q159-1),"")</f>
        <v>-0.00231381055676083</v>
      </c>
      <c r="R159" s="154" t="n">
        <f aca="false">IFERROR(IF(OR(NOT(ISNUMBER('Price History'!R160)),NOT(ISNUMBER('Price History'!R159)),'Price History'!R159=0),"",'Price History'!R160/'Price History'!R159-1),"")</f>
        <v>0.00759750126625036</v>
      </c>
      <c r="S159" s="154" t="n">
        <f aca="false">IFERROR(IF(OR(NOT(ISNUMBER('Price History'!S160)),NOT(ISNUMBER('Price History'!S159)),'Price History'!S159=0),"",'Price History'!S160/'Price History'!S159-1),"")</f>
        <v>0.00607820625379896</v>
      </c>
      <c r="T159" s="154" t="n">
        <f aca="false">IFERROR(IF(OR(NOT(ISNUMBER('Price History'!T160)),NOT(ISNUMBER('Price History'!T159)),'Price History'!T159=0),"",'Price History'!T160/'Price History'!T159-1),"")</f>
        <v>-0.016332590942836</v>
      </c>
      <c r="U159" s="154" t="n">
        <f aca="false">IFERROR(IF(OR(NOT(ISNUMBER('Price History'!U160)),NOT(ISNUMBER('Price History'!U159)),'Price History'!U159=0),"",'Price History'!U160/'Price History'!U159-1),"")</f>
        <v>-0.0129985228951257</v>
      </c>
      <c r="V159" s="155" t="n">
        <f aca="false">IFERROR(IF(OR(NOT(ISNUMBER('Price History'!V160)),NOT(ISNUMBER('Price History'!V159)),'Price History'!V159=0),"",'Price History'!V160/'Price History'!V159-1),"")</f>
        <v>-0.00583074638952619</v>
      </c>
      <c r="W159" s="157" t="n">
        <f aca="false">IFERROR('Price History'!B3+(INDEX('Price History'!B:B,MATCH(9.99E+307,'Returns (Calc)'!$A:$A)+1)-'Price History'!B3)*(ROW()-3)/(MATCH(9.99E+307,'Returns (Calc)'!$A:$A)-3),"")</f>
        <v>241.376075949367</v>
      </c>
      <c r="X159" s="157" t="n">
        <f aca="false">IFERROR('Price History'!C3+(INDEX('Price History'!C:C,MATCH(9.99E+307,'Returns (Calc)'!$A:$A)+1)-'Price History'!C3)*(ROW()-3)/(MATCH(9.99E+307,'Returns (Calc)'!$A:$A)-3),"")</f>
        <v>205.309873417722</v>
      </c>
      <c r="Y159" s="157" t="n">
        <f aca="false">IFERROR('Price History'!D3+(INDEX('Price History'!D:D,MATCH(9.99E+307,'Returns (Calc)'!$A:$A)+1)-'Price History'!D3)*(ROW()-3)/(MATCH(9.99E+307,'Returns (Calc)'!$A:$A)-3),"")</f>
        <v>1851.04037974684</v>
      </c>
      <c r="Z159" s="157" t="n">
        <f aca="false">IFERROR('Price History'!E3+(INDEX('Price History'!E:E,MATCH(9.99E+307,'Returns (Calc)'!$A:$A)+1)-'Price History'!E3)*(ROW()-3)/(MATCH(9.99E+307,'Returns (Calc)'!$A:$A)-3),"")</f>
        <v>351.68253164557</v>
      </c>
      <c r="AA159" s="157" t="n">
        <f aca="false">IFERROR('Price History'!F3+(INDEX('Price History'!F:F,MATCH(9.99E+307,'Returns (Calc)'!$A:$A)+1)-'Price History'!F3)*(ROW()-3)/(MATCH(9.99E+307,'Returns (Calc)'!$A:$A)-3),"")</f>
        <v>267.145316455696</v>
      </c>
      <c r="AB159" s="157" t="n">
        <f aca="false">IFERROR('Price History'!G3+(INDEX('Price History'!G:G,MATCH(9.99E+307,'Returns (Calc)'!$A:$A)+1)-'Price History'!G3)*(ROW()-3)/(MATCH(9.99E+307,'Returns (Calc)'!$A:$A)-3),"")</f>
        <v>204.83253164557</v>
      </c>
      <c r="AC159" s="157" t="n">
        <f aca="false">IFERROR('Price History'!H3+(INDEX('Price History'!H:H,MATCH(9.99E+307,'Returns (Calc)'!$A:$A)+1)-'Price History'!H3)*(ROW()-3)/(MATCH(9.99E+307,'Returns (Calc)'!$A:$A)-3),"")</f>
        <v>1062.15860759494</v>
      </c>
      <c r="AD159" s="157" t="n">
        <f aca="false">IFERROR('Price History'!I3+(INDEX('Price History'!I:I,MATCH(9.99E+307,'Returns (Calc)'!$A:$A)+1)-'Price History'!I3)*(ROW()-3)/(MATCH(9.99E+307,'Returns (Calc)'!$A:$A)-3),"")</f>
        <v>231.542658227848</v>
      </c>
      <c r="AE159" s="157" t="n">
        <f aca="false">IFERROR('Price History'!J3+(INDEX('Price History'!J:J,MATCH(9.99E+307,'Returns (Calc)'!$A:$A)+1)-'Price History'!J3)*(ROW()-3)/(MATCH(9.99E+307,'Returns (Calc)'!$A:$A)-3),"")</f>
        <v>128.693924050633</v>
      </c>
      <c r="AF159" s="157" t="n">
        <f aca="false">IFERROR('Price History'!K3+(INDEX('Price History'!K:K,MATCH(9.99E+307,'Returns (Calc)'!$A:$A)+1)-'Price History'!K3)*(ROW()-3)/(MATCH(9.99E+307,'Returns (Calc)'!$A:$A)-3),"")</f>
        <v>186.554810126582</v>
      </c>
      <c r="AG159" s="157" t="n">
        <f aca="false">IFERROR('Price History'!L3+(INDEX('Price History'!L:L,MATCH(9.99E+307,'Returns (Calc)'!$A:$A)+1)-'Price History'!L3)*(ROW()-3)/(MATCH(9.99E+307,'Returns (Calc)'!$A:$A)-3),"")</f>
        <v>467.880886075949</v>
      </c>
      <c r="AH159" s="157" t="n">
        <f aca="false">IFERROR('Price History'!M3+(INDEX('Price History'!M:M,MATCH(9.99E+307,'Returns (Calc)'!$A:$A)+1)-'Price History'!M3)*(ROW()-3)/(MATCH(9.99E+307,'Returns (Calc)'!$A:$A)-3),"")</f>
        <v>249.469113924051</v>
      </c>
      <c r="AI159" s="157" t="n">
        <f aca="false">IFERROR('Price History'!N3+(INDEX('Price History'!N:N,MATCH(9.99E+307,'Returns (Calc)'!$A:$A)+1)-'Price History'!N3)*(ROW()-3)/(MATCH(9.99E+307,'Returns (Calc)'!$A:$A)-3),"")</f>
        <v>502.75746835443</v>
      </c>
      <c r="AJ159" s="157" t="n">
        <f aca="false">IFERROR('Price History'!O3+(INDEX('Price History'!O:O,MATCH(9.99E+307,'Returns (Calc)'!$A:$A)+1)-'Price History'!O3)*(ROW()-3)/(MATCH(9.99E+307,'Returns (Calc)'!$A:$A)-3),"")</f>
        <v>119.463924050633</v>
      </c>
      <c r="AK159" s="157" t="n">
        <f aca="false">IFERROR('Price History'!Q3+(INDEX('Price History'!Q:Q,MATCH(9.99E+307,'Returns (Calc)'!$A:$A)+1)-'Price History'!Q3)*(ROW()-3)/(MATCH(9.99E+307,'Returns (Calc)'!$A:$A)-3),"")</f>
        <v>68.5412658227848</v>
      </c>
      <c r="AL159" s="157" t="n">
        <f aca="false">IFERROR('Price History'!R3+(INDEX('Price History'!R:R,MATCH(9.99E+307,'Returns (Calc)'!$A:$A)+1)-'Price History'!R3)*(ROW()-3)/(MATCH(9.99E+307,'Returns (Calc)'!$A:$A)-3),"")</f>
        <v>60.7037974683544</v>
      </c>
      <c r="AM159" s="157" t="n">
        <f aca="false">IFERROR('Price History'!S3+(INDEX('Price History'!S:S,MATCH(9.99E+307,'Returns (Calc)'!$A:$A)+1)-'Price History'!S3)*(ROW()-3)/(MATCH(9.99E+307,'Returns (Calc)'!$A:$A)-3),"")</f>
        <v>152.019873417722</v>
      </c>
      <c r="AN159" s="157" t="n">
        <f aca="false">IFERROR('Price History'!T3+(INDEX('Price History'!T:T,MATCH(9.99E+307,'Returns (Calc)'!$A:$A)+1)-'Price History'!T3)*(ROW()-3)/(MATCH(9.99E+307,'Returns (Calc)'!$A:$A)-3),"")</f>
        <v>51.4835443037975</v>
      </c>
      <c r="AO159" s="157" t="n">
        <f aca="false">IFERROR('Price History'!V3+(INDEX('Price History'!V:V,MATCH(9.99E+307,'Returns (Calc)'!$A:$A)+1)-'Price History'!V3)*(ROW()-3)/(MATCH(9.99E+307,'Returns (Calc)'!$A:$A)-3),"")</f>
        <v>359.077341772152</v>
      </c>
      <c r="AP159" s="155" t="n">
        <f aca="false">IFERROR(IF(OR(NOT(ISNUMBER('Price History'!W160)),NOT(ISNUMBER('Price History'!W159)),'Price History'!W159=0),"",'Price History'!W160/'Price History'!W159-1),"")</f>
        <v>-0.0170349339587707</v>
      </c>
      <c r="AQ159" s="155" t="n">
        <f aca="false">IFERROR(IF(OR(NOT(ISNUMBER('Price History'!X160)),NOT(ISNUMBER('Price History'!X159)),'Price History'!X159=0),"",'Price History'!X160/'Price History'!X159-1),"")</f>
        <v>-0.0103073463268365</v>
      </c>
      <c r="AR159" s="155" t="n">
        <f aca="false">IFERROR(IF(OR(NOT(ISNUMBER('Price History'!Y160)),NOT(ISNUMBER('Price History'!Y159)),'Price History'!Y159=0),"",'Price History'!Y160/'Price History'!Y159-1),"")</f>
        <v>-0.0072811223583733</v>
      </c>
      <c r="AS159" s="155" t="n">
        <f aca="false">IFERROR(IF(OR(NOT(ISNUMBER('Price History'!Z160)),NOT(ISNUMBER('Price History'!Z159)),'Price History'!Z159=0),"",'Price History'!Z160/'Price History'!Z159-1),"")</f>
        <v>-0.0290119260952854</v>
      </c>
      <c r="AT159" s="155" t="n">
        <f aca="false">IFERROR(IF(OR(NOT(ISNUMBER('Price History'!AA160)),NOT(ISNUMBER('Price History'!AA159)),'Price History'!AA159=0),"",'Price History'!AA160/'Price History'!AA159-1),"")</f>
        <v>-0.0724806201550388</v>
      </c>
      <c r="AU159" s="155" t="n">
        <f aca="false">IFERROR(IF(OR(NOT(ISNUMBER('Price History'!AB160)),NOT(ISNUMBER('Price History'!AB159)),'Price History'!AB159=0),"",'Price History'!AB160/'Price History'!AB159-1),"")</f>
        <v>-0.00834603658536581</v>
      </c>
    </row>
    <row r="160" customFormat="false" ht="15" hidden="false" customHeight="true" outlineLevel="0" collapsed="false">
      <c r="A160" s="153" t="n">
        <f aca="false">IF('Price History'!A161="","",'Price History'!A161)</f>
        <v>46290</v>
      </c>
      <c r="B160" s="154" t="n">
        <f aca="false">IFERROR(IF(OR(NOT(ISNUMBER('Price History'!B161)),NOT(ISNUMBER('Price History'!B160)),'Price History'!B160=0),"",'Price History'!B161/'Price History'!B160-1),"")</f>
        <v>-0.0540334243933793</v>
      </c>
      <c r="C160" s="154" t="n">
        <f aca="false">IFERROR(IF(OR(NOT(ISNUMBER('Price History'!C161)),NOT(ISNUMBER('Price History'!C160)),'Price History'!C160=0),"",'Price History'!C161/'Price History'!C160-1),"")</f>
        <v>0.0359095240483476</v>
      </c>
      <c r="D160" s="154" t="n">
        <f aca="false">IFERROR(IF(OR(NOT(ISNUMBER('Price History'!D161)),NOT(ISNUMBER('Price History'!D160)),'Price History'!D160=0),"",'Price History'!D161/'Price History'!D160-1),"")</f>
        <v>0.038108957569408</v>
      </c>
      <c r="E160" s="154" t="n">
        <f aca="false">IFERROR(IF(OR(NOT(ISNUMBER('Price History'!E161)),NOT(ISNUMBER('Price History'!E160)),'Price History'!E160=0),"",'Price History'!E161/'Price History'!E160-1),"")</f>
        <v>-0.0116259524876736</v>
      </c>
      <c r="F160" s="154" t="n">
        <f aca="false">IFERROR(IF(OR(NOT(ISNUMBER('Price History'!F161)),NOT(ISNUMBER('Price History'!F160)),'Price History'!F160=0),"",'Price History'!F161/'Price History'!F160-1),"")</f>
        <v>0.0609299389859035</v>
      </c>
      <c r="G160" s="154" t="n">
        <f aca="false">IFERROR(IF(OR(NOT(ISNUMBER('Price History'!G161)),NOT(ISNUMBER('Price History'!G160)),'Price History'!G160=0),"",'Price History'!G161/'Price History'!G160-1),"")</f>
        <v>0.061754901406859</v>
      </c>
      <c r="H160" s="154" t="n">
        <f aca="false">IFERROR(IF(OR(NOT(ISNUMBER('Price History'!H161)),NOT(ISNUMBER('Price History'!H160)),'Price History'!H160=0),"",'Price History'!H161/'Price History'!H160-1),"")</f>
        <v>0.0654459539279386</v>
      </c>
      <c r="I160" s="154" t="n">
        <f aca="false">IFERROR(IF(OR(NOT(ISNUMBER('Price History'!I161)),NOT(ISNUMBER('Price History'!I160)),'Price History'!I160=0),"",'Price History'!I161/'Price History'!I160-1),"")</f>
        <v>0.0125972915823098</v>
      </c>
      <c r="J160" s="154" t="n">
        <f aca="false">IFERROR(IF(OR(NOT(ISNUMBER('Price History'!J161)),NOT(ISNUMBER('Price History'!J160)),'Price History'!J160=0),"",'Price History'!J161/'Price History'!J160-1),"")</f>
        <v>-0.0132749925838029</v>
      </c>
      <c r="K160" s="154" t="n">
        <f aca="false">IFERROR(IF(OR(NOT(ISNUMBER('Price History'!K161)),NOT(ISNUMBER('Price History'!K160)),'Price History'!K160=0),"",'Price History'!K161/'Price History'!K160-1),"")</f>
        <v>0.0677212339563162</v>
      </c>
      <c r="L160" s="154" t="n">
        <f aca="false">IFERROR(IF(OR(NOT(ISNUMBER('Price History'!L161)),NOT(ISNUMBER('Price History'!L160)),'Price History'!L160=0),"",'Price History'!L161/'Price History'!L160-1),"")</f>
        <v>0.0366714979179608</v>
      </c>
      <c r="M160" s="154" t="n">
        <f aca="false">IFERROR(IF(OR(NOT(ISNUMBER('Price History'!M161)),NOT(ISNUMBER('Price History'!M160)),'Price History'!M160=0),"",'Price History'!M161/'Price History'!M160-1),"")</f>
        <v>0.0155980592646057</v>
      </c>
      <c r="N160" s="154" t="n">
        <f aca="false">IFERROR(IF(OR(NOT(ISNUMBER('Price History'!N161)),NOT(ISNUMBER('Price History'!N160)),'Price History'!N160=0),"",'Price History'!N161/'Price History'!N160-1),"")</f>
        <v>0.0351142935830351</v>
      </c>
      <c r="O160" s="154" t="n">
        <f aca="false">IFERROR(IF(OR(NOT(ISNUMBER('Price History'!O161)),NOT(ISNUMBER('Price History'!O160)),'Price History'!O160=0),"",'Price History'!O161/'Price History'!O160-1),"")</f>
        <v>-0.0127090849458839</v>
      </c>
      <c r="P160" s="154" t="n">
        <f aca="false">IFERROR(IF(OR(NOT(ISNUMBER('Price History'!P161)),NOT(ISNUMBER('Price History'!P160)),'Price History'!P160=0),"",'Price History'!P161/'Price History'!P160-1),"")</f>
        <v>-0.0221814964610719</v>
      </c>
      <c r="Q160" s="154" t="n">
        <f aca="false">IFERROR(IF(OR(NOT(ISNUMBER('Price History'!Q161)),NOT(ISNUMBER('Price History'!Q160)),'Price History'!Q160=0),"",'Price History'!Q161/'Price History'!Q160-1),"")</f>
        <v>0.00855196405276137</v>
      </c>
      <c r="R160" s="154" t="n">
        <f aca="false">IFERROR(IF(OR(NOT(ISNUMBER('Price History'!R161)),NOT(ISNUMBER('Price History'!R160)),'Price History'!R160=0),"",'Price History'!R161/'Price History'!R160-1),"")</f>
        <v>0.0165884718498659</v>
      </c>
      <c r="S160" s="154" t="n">
        <f aca="false">IFERROR(IF(OR(NOT(ISNUMBER('Price History'!S161)),NOT(ISNUMBER('Price History'!S160)),'Price History'!S160=0),"",'Price History'!S161/'Price History'!S160-1),"")</f>
        <v>0.0265154057863999</v>
      </c>
      <c r="T160" s="154" t="n">
        <f aca="false">IFERROR(IF(OR(NOT(ISNUMBER('Price History'!T161)),NOT(ISNUMBER('Price History'!T160)),'Price History'!T160=0),"",'Price History'!T161/'Price History'!T160-1),"")</f>
        <v>-0.0264150943396226</v>
      </c>
      <c r="U160" s="154" t="n">
        <f aca="false">IFERROR(IF(OR(NOT(ISNUMBER('Price History'!U161)),NOT(ISNUMBER('Price History'!U160)),'Price History'!U160=0),"",'Price History'!U161/'Price History'!U160-1),"")</f>
        <v>-0.00598623166716539</v>
      </c>
      <c r="V160" s="155" t="n">
        <f aca="false">IFERROR(IF(OR(NOT(ISNUMBER('Price History'!V161)),NOT(ISNUMBER('Price History'!V160)),'Price History'!V160=0),"",'Price History'!V161/'Price History'!V160-1),"")</f>
        <v>-0.00247087892693265</v>
      </c>
      <c r="W160" s="157" t="n">
        <f aca="false">IFERROR('Price History'!B3+(INDEX('Price History'!B:B,MATCH(9.99E+307,'Returns (Calc)'!$A:$A)+1)-'Price History'!B3)*(ROW()-3)/(MATCH(9.99E+307,'Returns (Calc)'!$A:$A)-3),"")</f>
        <v>239.533037974684</v>
      </c>
      <c r="X160" s="157" t="n">
        <f aca="false">IFERROR('Price History'!C3+(INDEX('Price History'!C:C,MATCH(9.99E+307,'Returns (Calc)'!$A:$A)+1)-'Price History'!C3)*(ROW()-3)/(MATCH(9.99E+307,'Returns (Calc)'!$A:$A)-3),"")</f>
        <v>206.329936708861</v>
      </c>
      <c r="Y160" s="157" t="n">
        <f aca="false">IFERROR('Price History'!D3+(INDEX('Price History'!D:D,MATCH(9.99E+307,'Returns (Calc)'!$A:$A)+1)-'Price History'!D3)*(ROW()-3)/(MATCH(9.99E+307,'Returns (Calc)'!$A:$A)-3),"")</f>
        <v>1859.17518987342</v>
      </c>
      <c r="Z160" s="157" t="n">
        <f aca="false">IFERROR('Price History'!E3+(INDEX('Price History'!E:E,MATCH(9.99E+307,'Returns (Calc)'!$A:$A)+1)-'Price History'!E3)*(ROW()-3)/(MATCH(9.99E+307,'Returns (Calc)'!$A:$A)-3),"")</f>
        <v>353.411265822785</v>
      </c>
      <c r="AA160" s="157" t="n">
        <f aca="false">IFERROR('Price History'!F3+(INDEX('Price History'!F:F,MATCH(9.99E+307,'Returns (Calc)'!$A:$A)+1)-'Price History'!F3)*(ROW()-3)/(MATCH(9.99E+307,'Returns (Calc)'!$A:$A)-3),"")</f>
        <v>268.592658227848</v>
      </c>
      <c r="AB160" s="157" t="n">
        <f aca="false">IFERROR('Price History'!G3+(INDEX('Price History'!G:G,MATCH(9.99E+307,'Returns (Calc)'!$A:$A)+1)-'Price History'!G3)*(ROW()-3)/(MATCH(9.99E+307,'Returns (Calc)'!$A:$A)-3),"")</f>
        <v>205.861265822785</v>
      </c>
      <c r="AC160" s="157" t="n">
        <f aca="false">IFERROR('Price History'!H3+(INDEX('Price History'!H:H,MATCH(9.99E+307,'Returns (Calc)'!$A:$A)+1)-'Price History'!H3)*(ROW()-3)/(MATCH(9.99E+307,'Returns (Calc)'!$A:$A)-3),"")</f>
        <v>1068.52430379747</v>
      </c>
      <c r="AD160" s="157" t="n">
        <f aca="false">IFERROR('Price History'!I3+(INDEX('Price History'!I:I,MATCH(9.99E+307,'Returns (Calc)'!$A:$A)+1)-'Price History'!I3)*(ROW()-3)/(MATCH(9.99E+307,'Returns (Calc)'!$A:$A)-3),"")</f>
        <v>232.746329113924</v>
      </c>
      <c r="AE160" s="157" t="n">
        <f aca="false">IFERROR('Price History'!J3+(INDEX('Price History'!J:J,MATCH(9.99E+307,'Returns (Calc)'!$A:$A)+1)-'Price History'!J3)*(ROW()-3)/(MATCH(9.99E+307,'Returns (Calc)'!$A:$A)-3),"")</f>
        <v>128.801962025316</v>
      </c>
      <c r="AF160" s="157" t="n">
        <f aca="false">IFERROR('Price History'!K3+(INDEX('Price History'!K:K,MATCH(9.99E+307,'Returns (Calc)'!$A:$A)+1)-'Price History'!K3)*(ROW()-3)/(MATCH(9.99E+307,'Returns (Calc)'!$A:$A)-3),"")</f>
        <v>187.652405063291</v>
      </c>
      <c r="AG160" s="157" t="n">
        <f aca="false">IFERROR('Price History'!L3+(INDEX('Price History'!L:L,MATCH(9.99E+307,'Returns (Calc)'!$A:$A)+1)-'Price History'!L3)*(ROW()-3)/(MATCH(9.99E+307,'Returns (Calc)'!$A:$A)-3),"")</f>
        <v>470.330443037975</v>
      </c>
      <c r="AH160" s="157" t="n">
        <f aca="false">IFERROR('Price History'!M3+(INDEX('Price History'!M:M,MATCH(9.99E+307,'Returns (Calc)'!$A:$A)+1)-'Price History'!M3)*(ROW()-3)/(MATCH(9.99E+307,'Returns (Calc)'!$A:$A)-3),"")</f>
        <v>250.824556962025</v>
      </c>
      <c r="AI160" s="157" t="n">
        <f aca="false">IFERROR('Price History'!N3+(INDEX('Price History'!N:N,MATCH(9.99E+307,'Returns (Calc)'!$A:$A)+1)-'Price History'!N3)*(ROW()-3)/(MATCH(9.99E+307,'Returns (Calc)'!$A:$A)-3),"")</f>
        <v>503.743734177215</v>
      </c>
      <c r="AJ160" s="157" t="n">
        <f aca="false">IFERROR('Price History'!O3+(INDEX('Price History'!O:O,MATCH(9.99E+307,'Returns (Calc)'!$A:$A)+1)-'Price History'!O3)*(ROW()-3)/(MATCH(9.99E+307,'Returns (Calc)'!$A:$A)-3),"")</f>
        <v>119.746962025316</v>
      </c>
      <c r="AK160" s="157" t="n">
        <f aca="false">IFERROR('Price History'!Q3+(INDEX('Price History'!Q:Q,MATCH(9.99E+307,'Returns (Calc)'!$A:$A)+1)-'Price History'!Q3)*(ROW()-3)/(MATCH(9.99E+307,'Returns (Calc)'!$A:$A)-3),"")</f>
        <v>68.9806329113924</v>
      </c>
      <c r="AL160" s="157" t="n">
        <f aca="false">IFERROR('Price History'!R3+(INDEX('Price History'!R:R,MATCH(9.99E+307,'Returns (Calc)'!$A:$A)+1)-'Price History'!R3)*(ROW()-3)/(MATCH(9.99E+307,'Returns (Calc)'!$A:$A)-3),"")</f>
        <v>60.8718987341772</v>
      </c>
      <c r="AM160" s="157" t="n">
        <f aca="false">IFERROR('Price History'!S3+(INDEX('Price History'!S:S,MATCH(9.99E+307,'Returns (Calc)'!$A:$A)+1)-'Price History'!S3)*(ROW()-3)/(MATCH(9.99E+307,'Returns (Calc)'!$A:$A)-3),"")</f>
        <v>152.624936708861</v>
      </c>
      <c r="AN160" s="157" t="n">
        <f aca="false">IFERROR('Price History'!T3+(INDEX('Price History'!T:T,MATCH(9.99E+307,'Returns (Calc)'!$A:$A)+1)-'Price History'!T3)*(ROW()-3)/(MATCH(9.99E+307,'Returns (Calc)'!$A:$A)-3),"")</f>
        <v>51.6517721518987</v>
      </c>
      <c r="AO160" s="157" t="n">
        <f aca="false">IFERROR('Price History'!V3+(INDEX('Price History'!V:V,MATCH(9.99E+307,'Returns (Calc)'!$A:$A)+1)-'Price History'!V3)*(ROW()-3)/(MATCH(9.99E+307,'Returns (Calc)'!$A:$A)-3),"")</f>
        <v>359.868670886076</v>
      </c>
      <c r="AP160" s="155" t="n">
        <f aca="false">IFERROR(IF(OR(NOT(ISNUMBER('Price History'!W161)),NOT(ISNUMBER('Price History'!W160)),'Price History'!W160=0),"",'Price History'!W161/'Price History'!W160-1),"")</f>
        <v>-0.00992088408891112</v>
      </c>
      <c r="AQ160" s="155" t="n">
        <f aca="false">IFERROR(IF(OR(NOT(ISNUMBER('Price History'!X161)),NOT(ISNUMBER('Price History'!X160)),'Price History'!X160=0),"",'Price History'!X161/'Price History'!X160-1),"")</f>
        <v>-0.0323802310168528</v>
      </c>
      <c r="AR160" s="155" t="n">
        <f aca="false">IFERROR(IF(OR(NOT(ISNUMBER('Price History'!Y161)),NOT(ISNUMBER('Price History'!Y160)),'Price History'!Y160=0),"",'Price History'!Y161/'Price History'!Y160-1),"")</f>
        <v>0.00930232558139532</v>
      </c>
      <c r="AS160" s="155" t="n">
        <f aca="false">IFERROR(IF(OR(NOT(ISNUMBER('Price History'!Z161)),NOT(ISNUMBER('Price History'!Z160)),'Price History'!Z160=0),"",'Price History'!Z161/'Price History'!Z160-1),"")</f>
        <v>0.040792948738346</v>
      </c>
      <c r="AT160" s="155" t="n">
        <f aca="false">IFERROR(IF(OR(NOT(ISNUMBER('Price History'!AA161)),NOT(ISNUMBER('Price History'!AA160)),'Price History'!AA160=0),"",'Price History'!AA161/'Price History'!AA160-1),"")</f>
        <v>-0.00891489065329432</v>
      </c>
      <c r="AU160" s="155" t="n">
        <f aca="false">IFERROR(IF(OR(NOT(ISNUMBER('Price History'!AB161)),NOT(ISNUMBER('Price History'!AB160)),'Price History'!AB160=0),"",'Price History'!AB161/'Price History'!AB160-1),"")</f>
        <v>0.0786672303139773</v>
      </c>
    </row>
    <row r="161" customFormat="false" ht="15" hidden="false" customHeight="true" outlineLevel="0" collapsed="false">
      <c r="A161" s="153" t="n">
        <f aca="false">IF('Price History'!A162="","",'Price History'!A162)</f>
        <v>46297</v>
      </c>
      <c r="B161" s="154" t="n">
        <f aca="false">IFERROR(IF(OR(NOT(ISNUMBER('Price History'!B162)),NOT(ISNUMBER('Price History'!B161)),'Price History'!B161=0),"",'Price History'!B162/'Price History'!B161-1),"")</f>
        <v>0.0094279526054275</v>
      </c>
      <c r="C161" s="154" t="n">
        <f aca="false">IFERROR(IF(OR(NOT(ISNUMBER('Price History'!C162)),NOT(ISNUMBER('Price History'!C161)),'Price History'!C161=0),"",'Price History'!C162/'Price History'!C161-1),"")</f>
        <v>0.00387315419995149</v>
      </c>
      <c r="D161" s="154" t="n">
        <f aca="false">IFERROR(IF(OR(NOT(ISNUMBER('Price History'!D162)),NOT(ISNUMBER('Price History'!D161)),'Price History'!D161=0),"",'Price History'!D162/'Price History'!D161-1),"")</f>
        <v>0.0707421126873631</v>
      </c>
      <c r="E161" s="154" t="n">
        <f aca="false">IFERROR(IF(OR(NOT(ISNUMBER('Price History'!E162)),NOT(ISNUMBER('Price History'!E161)),'Price History'!E161=0),"",'Price History'!E162/'Price History'!E161-1),"")</f>
        <v>0.00660412119837872</v>
      </c>
      <c r="F161" s="154" t="n">
        <f aca="false">IFERROR(IF(OR(NOT(ISNUMBER('Price History'!F162)),NOT(ISNUMBER('Price History'!F161)),'Price History'!F161=0),"",'Price History'!F162/'Price History'!F161-1),"")</f>
        <v>0.0710347836433587</v>
      </c>
      <c r="G161" s="154" t="n">
        <f aca="false">IFERROR(IF(OR(NOT(ISNUMBER('Price History'!G162)),NOT(ISNUMBER('Price History'!G161)),'Price History'!G161=0),"",'Price History'!G162/'Price History'!G161-1),"")</f>
        <v>0.100947211579395</v>
      </c>
      <c r="H161" s="154" t="n">
        <f aca="false">IFERROR(IF(OR(NOT(ISNUMBER('Price History'!H162)),NOT(ISNUMBER('Price History'!H161)),'Price History'!H161=0),"",'Price History'!H162/'Price History'!H161-1),"")</f>
        <v>-0.00682817755109577</v>
      </c>
      <c r="I161" s="154" t="n">
        <f aca="false">IFERROR(IF(OR(NOT(ISNUMBER('Price History'!I162)),NOT(ISNUMBER('Price History'!I161)),'Price History'!I161=0),"",'Price History'!I162/'Price History'!I161-1),"")</f>
        <v>0.0394543919669437</v>
      </c>
      <c r="J161" s="154" t="n">
        <f aca="false">IFERROR(IF(OR(NOT(ISNUMBER('Price History'!J162)),NOT(ISNUMBER('Price History'!J161)),'Price History'!J161=0),"",'Price History'!J162/'Price History'!J161-1),"")</f>
        <v>-0.0311161217587375</v>
      </c>
      <c r="K161" s="154" t="n">
        <f aca="false">IFERROR(IF(OR(NOT(ISNUMBER('Price History'!K162)),NOT(ISNUMBER('Price History'!K161)),'Price History'!K161=0),"",'Price History'!K162/'Price History'!K161-1),"")</f>
        <v>-0.00485052986766488</v>
      </c>
      <c r="L161" s="154" t="n">
        <f aca="false">IFERROR(IF(OR(NOT(ISNUMBER('Price History'!L162)),NOT(ISNUMBER('Price History'!L161)),'Price History'!L161=0),"",'Price History'!L162/'Price History'!L161-1),"")</f>
        <v>0.0491999733694324</v>
      </c>
      <c r="M161" s="154" t="n">
        <f aca="false">IFERROR(IF(OR(NOT(ISNUMBER('Price History'!M162)),NOT(ISNUMBER('Price History'!M161)),'Price History'!M161=0),"",'Price History'!M162/'Price History'!M161-1),"")</f>
        <v>-0.00434301958307015</v>
      </c>
      <c r="N161" s="154" t="n">
        <f aca="false">IFERROR(IF(OR(NOT(ISNUMBER('Price History'!N162)),NOT(ISNUMBER('Price History'!N161)),'Price History'!N161=0),"",'Price History'!N162/'Price History'!N161-1),"")</f>
        <v>-0.0407837473156085</v>
      </c>
      <c r="O161" s="154" t="n">
        <f aca="false">IFERROR(IF(OR(NOT(ISNUMBER('Price History'!O162)),NOT(ISNUMBER('Price History'!O161)),'Price History'!O161=0),"",'Price History'!O162/'Price History'!O161-1),"")</f>
        <v>-0.00315588406278544</v>
      </c>
      <c r="P161" s="154" t="n">
        <f aca="false">IFERROR(IF(OR(NOT(ISNUMBER('Price History'!P162)),NOT(ISNUMBER('Price History'!P161)),'Price History'!P161=0),"",'Price History'!P162/'Price History'!P161-1),"")</f>
        <v>-0.0108576229561169</v>
      </c>
      <c r="Q161" s="154" t="n">
        <f aca="false">IFERROR(IF(OR(NOT(ISNUMBER('Price History'!Q162)),NOT(ISNUMBER('Price History'!Q161)),'Price History'!Q161=0),"",'Price History'!Q162/'Price History'!Q161-1),"")</f>
        <v>-0.00229951135383721</v>
      </c>
      <c r="R161" s="154" t="n">
        <f aca="false">IFERROR(IF(OR(NOT(ISNUMBER('Price History'!R162)),NOT(ISNUMBER('Price History'!R161)),'Price History'!R161=0),"",'Price History'!R162/'Price History'!R161-1),"")</f>
        <v>0.0060985660128563</v>
      </c>
      <c r="S161" s="154" t="n">
        <f aca="false">IFERROR(IF(OR(NOT(ISNUMBER('Price History'!S162)),NOT(ISNUMBER('Price History'!S161)),'Price History'!S161=0),"",'Price History'!S162/'Price History'!S161-1),"")</f>
        <v>0.00202720376667531</v>
      </c>
      <c r="T161" s="154" t="n">
        <f aca="false">IFERROR(IF(OR(NOT(ISNUMBER('Price History'!T162)),NOT(ISNUMBER('Price History'!T161)),'Price History'!T161=0),"",'Price History'!T162/'Price History'!T161-1),"")</f>
        <v>0.00426356589147292</v>
      </c>
      <c r="U161" s="154" t="n">
        <f aca="false">IFERROR(IF(OR(NOT(ISNUMBER('Price History'!U162)),NOT(ISNUMBER('Price History'!U161)),'Price History'!U161=0),"",'Price History'!U162/'Price History'!U161-1),"")</f>
        <v>-0.0147545919903644</v>
      </c>
      <c r="V161" s="155" t="n">
        <f aca="false">IFERROR(IF(OR(NOT(ISNUMBER('Price History'!V162)),NOT(ISNUMBER('Price History'!V161)),'Price History'!V161=0),"",'Price History'!V162/'Price History'!V161-1),"")</f>
        <v>-0.0182916870814959</v>
      </c>
      <c r="W161" s="157" t="n">
        <f aca="false">IFERROR('Price History'!B3+(INDEX('Price History'!B:B,MATCH(9.99E+307,'Returns (Calc)'!$A:$A)+1)-'Price History'!B3)*(ROW()-3)/(MATCH(9.99E+307,'Returns (Calc)'!$A:$A)-3),"")</f>
        <v>237.69</v>
      </c>
      <c r="X161" s="157" t="n">
        <f aca="false">IFERROR('Price History'!C3+(INDEX('Price History'!C:C,MATCH(9.99E+307,'Returns (Calc)'!$A:$A)+1)-'Price History'!C3)*(ROW()-3)/(MATCH(9.99E+307,'Returns (Calc)'!$A:$A)-3),"")</f>
        <v>207.35</v>
      </c>
      <c r="Y161" s="157" t="n">
        <f aca="false">IFERROR('Price History'!D3+(INDEX('Price History'!D:D,MATCH(9.99E+307,'Returns (Calc)'!$A:$A)+1)-'Price History'!D3)*(ROW()-3)/(MATCH(9.99E+307,'Returns (Calc)'!$A:$A)-3),"")</f>
        <v>1867.31</v>
      </c>
      <c r="Z161" s="157" t="n">
        <f aca="false">IFERROR('Price History'!E3+(INDEX('Price History'!E:E,MATCH(9.99E+307,'Returns (Calc)'!$A:$A)+1)-'Price History'!E3)*(ROW()-3)/(MATCH(9.99E+307,'Returns (Calc)'!$A:$A)-3),"")</f>
        <v>355.14</v>
      </c>
      <c r="AA161" s="157" t="n">
        <f aca="false">IFERROR('Price History'!F3+(INDEX('Price History'!F:F,MATCH(9.99E+307,'Returns (Calc)'!$A:$A)+1)-'Price History'!F3)*(ROW()-3)/(MATCH(9.99E+307,'Returns (Calc)'!$A:$A)-3),"")</f>
        <v>270.04</v>
      </c>
      <c r="AB161" s="157" t="n">
        <f aca="false">IFERROR('Price History'!G3+(INDEX('Price History'!G:G,MATCH(9.99E+307,'Returns (Calc)'!$A:$A)+1)-'Price History'!G3)*(ROW()-3)/(MATCH(9.99E+307,'Returns (Calc)'!$A:$A)-3),"")</f>
        <v>206.89</v>
      </c>
      <c r="AC161" s="157" t="n">
        <f aca="false">IFERROR('Price History'!H3+(INDEX('Price History'!H:H,MATCH(9.99E+307,'Returns (Calc)'!$A:$A)+1)-'Price History'!H3)*(ROW()-3)/(MATCH(9.99E+307,'Returns (Calc)'!$A:$A)-3),"")</f>
        <v>1074.89</v>
      </c>
      <c r="AD161" s="157" t="n">
        <f aca="false">IFERROR('Price History'!I3+(INDEX('Price History'!I:I,MATCH(9.99E+307,'Returns (Calc)'!$A:$A)+1)-'Price History'!I3)*(ROW()-3)/(MATCH(9.99E+307,'Returns (Calc)'!$A:$A)-3),"")</f>
        <v>233.95</v>
      </c>
      <c r="AE161" s="157" t="n">
        <f aca="false">IFERROR('Price History'!J3+(INDEX('Price History'!J:J,MATCH(9.99E+307,'Returns (Calc)'!$A:$A)+1)-'Price History'!J3)*(ROW()-3)/(MATCH(9.99E+307,'Returns (Calc)'!$A:$A)-3),"")</f>
        <v>128.91</v>
      </c>
      <c r="AF161" s="157" t="n">
        <f aca="false">IFERROR('Price History'!K3+(INDEX('Price History'!K:K,MATCH(9.99E+307,'Returns (Calc)'!$A:$A)+1)-'Price History'!K3)*(ROW()-3)/(MATCH(9.99E+307,'Returns (Calc)'!$A:$A)-3),"")</f>
        <v>188.75</v>
      </c>
      <c r="AG161" s="157" t="n">
        <f aca="false">IFERROR('Price History'!L3+(INDEX('Price History'!L:L,MATCH(9.99E+307,'Returns (Calc)'!$A:$A)+1)-'Price History'!L3)*(ROW()-3)/(MATCH(9.99E+307,'Returns (Calc)'!$A:$A)-3),"")</f>
        <v>472.78</v>
      </c>
      <c r="AH161" s="157" t="n">
        <f aca="false">IFERROR('Price History'!M3+(INDEX('Price History'!M:M,MATCH(9.99E+307,'Returns (Calc)'!$A:$A)+1)-'Price History'!M3)*(ROW()-3)/(MATCH(9.99E+307,'Returns (Calc)'!$A:$A)-3),"")</f>
        <v>252.18</v>
      </c>
      <c r="AI161" s="157" t="n">
        <f aca="false">IFERROR('Price History'!N3+(INDEX('Price History'!N:N,MATCH(9.99E+307,'Returns (Calc)'!$A:$A)+1)-'Price History'!N3)*(ROW()-3)/(MATCH(9.99E+307,'Returns (Calc)'!$A:$A)-3),"")</f>
        <v>504.73</v>
      </c>
      <c r="AJ161" s="157" t="n">
        <f aca="false">IFERROR('Price History'!O3+(INDEX('Price History'!O:O,MATCH(9.99E+307,'Returns (Calc)'!$A:$A)+1)-'Price History'!O3)*(ROW()-3)/(MATCH(9.99E+307,'Returns (Calc)'!$A:$A)-3),"")</f>
        <v>120.03</v>
      </c>
      <c r="AK161" s="157" t="n">
        <f aca="false">IFERROR('Price History'!Q3+(INDEX('Price History'!Q:Q,MATCH(9.99E+307,'Returns (Calc)'!$A:$A)+1)-'Price History'!Q3)*(ROW()-3)/(MATCH(9.99E+307,'Returns (Calc)'!$A:$A)-3),"")</f>
        <v>69.42</v>
      </c>
      <c r="AL161" s="157" t="n">
        <f aca="false">IFERROR('Price History'!R3+(INDEX('Price History'!R:R,MATCH(9.99E+307,'Returns (Calc)'!$A:$A)+1)-'Price History'!R3)*(ROW()-3)/(MATCH(9.99E+307,'Returns (Calc)'!$A:$A)-3),"")</f>
        <v>61.04</v>
      </c>
      <c r="AM161" s="157" t="n">
        <f aca="false">IFERROR('Price History'!S3+(INDEX('Price History'!S:S,MATCH(9.99E+307,'Returns (Calc)'!$A:$A)+1)-'Price History'!S3)*(ROW()-3)/(MATCH(9.99E+307,'Returns (Calc)'!$A:$A)-3),"")</f>
        <v>153.23</v>
      </c>
      <c r="AN161" s="157" t="n">
        <f aca="false">IFERROR('Price History'!T3+(INDEX('Price History'!T:T,MATCH(9.99E+307,'Returns (Calc)'!$A:$A)+1)-'Price History'!T3)*(ROW()-3)/(MATCH(9.99E+307,'Returns (Calc)'!$A:$A)-3),"")</f>
        <v>51.82</v>
      </c>
      <c r="AO161" s="157" t="n">
        <f aca="false">IFERROR('Price History'!V3+(INDEX('Price History'!V:V,MATCH(9.99E+307,'Returns (Calc)'!$A:$A)+1)-'Price History'!V3)*(ROW()-3)/(MATCH(9.99E+307,'Returns (Calc)'!$A:$A)-3),"")</f>
        <v>360.66</v>
      </c>
      <c r="AP161" s="155" t="n">
        <f aca="false">IFERROR(IF(OR(NOT(ISNUMBER('Price History'!W162)),NOT(ISNUMBER('Price History'!W161)),'Price History'!W161=0),"",'Price History'!W162/'Price History'!W161-1),"")</f>
        <v>-0.00773718924403855</v>
      </c>
      <c r="AQ161" s="155" t="n">
        <f aca="false">IFERROR(IF(OR(NOT(ISNUMBER('Price History'!X162)),NOT(ISNUMBER('Price History'!X161)),'Price History'!X161=0),"",'Price History'!X162/'Price History'!X161-1),"")</f>
        <v>0.00136986301369868</v>
      </c>
      <c r="AR161" s="155" t="n">
        <f aca="false">IFERROR(IF(OR(NOT(ISNUMBER('Price History'!Y162)),NOT(ISNUMBER('Price History'!Y161)),'Price History'!Y161=0),"",'Price History'!Y162/'Price History'!Y161-1),"")</f>
        <v>-0.00567174760723144</v>
      </c>
      <c r="AS161" s="155" t="n">
        <f aca="false">IFERROR(IF(OR(NOT(ISNUMBER('Price History'!Z162)),NOT(ISNUMBER('Price History'!Z161)),'Price History'!Z161=0),"",'Price History'!Z162/'Price History'!Z161-1),"")</f>
        <v>-0.053593812100645</v>
      </c>
      <c r="AT161" s="155" t="n">
        <f aca="false">IFERROR(IF(OR(NOT(ISNUMBER('Price History'!AA162)),NOT(ISNUMBER('Price History'!AA161)),'Price History'!AA161=0),"",'Price History'!AA162/'Price History'!AA161-1),"")</f>
        <v>-0.0574841883345046</v>
      </c>
      <c r="AU161" s="155" t="n">
        <f aca="false">IFERROR(IF(OR(NOT(ISNUMBER('Price History'!AB162)),NOT(ISNUMBER('Price History'!AB161)),'Price History'!AB161=0),"",'Price History'!AB162/'Price History'!AB161-1),"")</f>
        <v>-0.0261864044463447</v>
      </c>
    </row>
    <row r="162" customFormat="false" ht="15" hidden="false" customHeight="true" outlineLevel="0" collapsed="false">
      <c r="A162" s="153" t="str">
        <f aca="false">IF('Price History'!A163="","",'Price History'!A163)</f>
        <v/>
      </c>
      <c r="B162" s="154" t="str">
        <f aca="false">IFERROR(IF(OR(NOT(ISNUMBER('Price History'!B163)),NOT(ISNUMBER('Price History'!B162)),'Price History'!B162=0),"",'Price History'!B163/'Price History'!B162-1),"")</f>
        <v/>
      </c>
      <c r="C162" s="154" t="str">
        <f aca="false">IFERROR(IF(OR(NOT(ISNUMBER('Price History'!C163)),NOT(ISNUMBER('Price History'!C162)),'Price History'!C162=0),"",'Price History'!C163/'Price History'!C162-1),"")</f>
        <v/>
      </c>
      <c r="D162" s="154" t="str">
        <f aca="false">IFERROR(IF(OR(NOT(ISNUMBER('Price History'!D163)),NOT(ISNUMBER('Price History'!D162)),'Price History'!D162=0),"",'Price History'!D163/'Price History'!D162-1),"")</f>
        <v/>
      </c>
      <c r="E162" s="154" t="str">
        <f aca="false">IFERROR(IF(OR(NOT(ISNUMBER('Price History'!E163)),NOT(ISNUMBER('Price History'!E162)),'Price History'!E162=0),"",'Price History'!E163/'Price History'!E162-1),"")</f>
        <v/>
      </c>
      <c r="F162" s="154" t="str">
        <f aca="false">IFERROR(IF(OR(NOT(ISNUMBER('Price History'!F163)),NOT(ISNUMBER('Price History'!F162)),'Price History'!F162=0),"",'Price History'!F163/'Price History'!F162-1),"")</f>
        <v/>
      </c>
      <c r="G162" s="154" t="str">
        <f aca="false">IFERROR(IF(OR(NOT(ISNUMBER('Price History'!G163)),NOT(ISNUMBER('Price History'!G162)),'Price History'!G162=0),"",'Price History'!G163/'Price History'!G162-1),"")</f>
        <v/>
      </c>
      <c r="H162" s="154" t="str">
        <f aca="false">IFERROR(IF(OR(NOT(ISNUMBER('Price History'!H163)),NOT(ISNUMBER('Price History'!H162)),'Price History'!H162=0),"",'Price History'!H163/'Price History'!H162-1),"")</f>
        <v/>
      </c>
      <c r="I162" s="154" t="str">
        <f aca="false">IFERROR(IF(OR(NOT(ISNUMBER('Price History'!I163)),NOT(ISNUMBER('Price History'!I162)),'Price History'!I162=0),"",'Price History'!I163/'Price History'!I162-1),"")</f>
        <v/>
      </c>
      <c r="J162" s="154" t="str">
        <f aca="false">IFERROR(IF(OR(NOT(ISNUMBER('Price History'!J163)),NOT(ISNUMBER('Price History'!J162)),'Price History'!J162=0),"",'Price History'!J163/'Price History'!J162-1),"")</f>
        <v/>
      </c>
      <c r="K162" s="154" t="str">
        <f aca="false">IFERROR(IF(OR(NOT(ISNUMBER('Price History'!K163)),NOT(ISNUMBER('Price History'!K162)),'Price History'!K162=0),"",'Price History'!K163/'Price History'!K162-1),"")</f>
        <v/>
      </c>
      <c r="L162" s="154" t="str">
        <f aca="false">IFERROR(IF(OR(NOT(ISNUMBER('Price History'!L163)),NOT(ISNUMBER('Price History'!L162)),'Price History'!L162=0),"",'Price History'!L163/'Price History'!L162-1),"")</f>
        <v/>
      </c>
      <c r="M162" s="154" t="str">
        <f aca="false">IFERROR(IF(OR(NOT(ISNUMBER('Price History'!M163)),NOT(ISNUMBER('Price History'!M162)),'Price History'!M162=0),"",'Price History'!M163/'Price History'!M162-1),"")</f>
        <v/>
      </c>
      <c r="N162" s="154" t="str">
        <f aca="false">IFERROR(IF(OR(NOT(ISNUMBER('Price History'!N163)),NOT(ISNUMBER('Price History'!N162)),'Price History'!N162=0),"",'Price History'!N163/'Price History'!N162-1),"")</f>
        <v/>
      </c>
      <c r="O162" s="154" t="str">
        <f aca="false">IFERROR(IF(OR(NOT(ISNUMBER('Price History'!O163)),NOT(ISNUMBER('Price History'!O162)),'Price History'!O162=0),"",'Price History'!O163/'Price History'!O162-1),"")</f>
        <v/>
      </c>
      <c r="P162" s="154" t="str">
        <f aca="false">IFERROR(IF(OR(NOT(ISNUMBER('Price History'!P163)),NOT(ISNUMBER('Price History'!P162)),'Price History'!P162=0),"",'Price History'!P163/'Price History'!P162-1),"")</f>
        <v/>
      </c>
      <c r="Q162" s="154" t="str">
        <f aca="false">IFERROR(IF(OR(NOT(ISNUMBER('Price History'!Q163)),NOT(ISNUMBER('Price History'!Q162)),'Price History'!Q162=0),"",'Price History'!Q163/'Price History'!Q162-1),"")</f>
        <v/>
      </c>
      <c r="R162" s="154" t="str">
        <f aca="false">IFERROR(IF(OR(NOT(ISNUMBER('Price History'!R163)),NOT(ISNUMBER('Price History'!R162)),'Price History'!R162=0),"",'Price History'!R163/'Price History'!R162-1),"")</f>
        <v/>
      </c>
      <c r="S162" s="154" t="str">
        <f aca="false">IFERROR(IF(OR(NOT(ISNUMBER('Price History'!S163)),NOT(ISNUMBER('Price History'!S162)),'Price History'!S162=0),"",'Price History'!S163/'Price History'!S162-1),"")</f>
        <v/>
      </c>
      <c r="T162" s="154" t="str">
        <f aca="false">IFERROR(IF(OR(NOT(ISNUMBER('Price History'!T163)),NOT(ISNUMBER('Price History'!T162)),'Price History'!T162=0),"",'Price History'!T163/'Price History'!T162-1),"")</f>
        <v/>
      </c>
      <c r="U162" s="154" t="str">
        <f aca="false">IFERROR(IF(OR(NOT(ISNUMBER('Price History'!U163)),NOT(ISNUMBER('Price History'!U162)),'Price History'!U162=0),"",'Price History'!U163/'Price History'!U162-1),"")</f>
        <v/>
      </c>
      <c r="V162" s="155" t="str">
        <f aca="false">IFERROR(IF(OR(NOT(ISNUMBER('Price History'!V163)),NOT(ISNUMBER('Price History'!V162)),'Price History'!V162=0),"",'Price History'!V163/'Price History'!V162-1),"")</f>
        <v/>
      </c>
      <c r="W162" s="157" t="n">
        <f aca="false">IFERROR('Price History'!B3+(INDEX('Price History'!B:B,MATCH(9.99E+307,'Returns (Calc)'!$A:$A)+1)-'Price History'!B3)*(ROW()-3)/(MATCH(9.99E+307,'Returns (Calc)'!$A:$A)-3),"")</f>
        <v>235.846962025317</v>
      </c>
      <c r="X162" s="157" t="n">
        <f aca="false">IFERROR('Price History'!C3+(INDEX('Price History'!C:C,MATCH(9.99E+307,'Returns (Calc)'!$A:$A)+1)-'Price History'!C3)*(ROW()-3)/(MATCH(9.99E+307,'Returns (Calc)'!$A:$A)-3),"")</f>
        <v>208.370063291139</v>
      </c>
      <c r="Y162" s="157" t="n">
        <f aca="false">IFERROR('Price History'!D3+(INDEX('Price History'!D:D,MATCH(9.99E+307,'Returns (Calc)'!$A:$A)+1)-'Price History'!D3)*(ROW()-3)/(MATCH(9.99E+307,'Returns (Calc)'!$A:$A)-3),"")</f>
        <v>1875.44481012658</v>
      </c>
      <c r="Z162" s="157" t="n">
        <f aca="false">IFERROR('Price History'!E3+(INDEX('Price History'!E:E,MATCH(9.99E+307,'Returns (Calc)'!$A:$A)+1)-'Price History'!E3)*(ROW()-3)/(MATCH(9.99E+307,'Returns (Calc)'!$A:$A)-3),"")</f>
        <v>356.868734177215</v>
      </c>
      <c r="AA162" s="157" t="n">
        <f aca="false">IFERROR('Price History'!F3+(INDEX('Price History'!F:F,MATCH(9.99E+307,'Returns (Calc)'!$A:$A)+1)-'Price History'!F3)*(ROW()-3)/(MATCH(9.99E+307,'Returns (Calc)'!$A:$A)-3),"")</f>
        <v>271.487341772152</v>
      </c>
      <c r="AB162" s="157" t="n">
        <f aca="false">IFERROR('Price History'!G3+(INDEX('Price History'!G:G,MATCH(9.99E+307,'Returns (Calc)'!$A:$A)+1)-'Price History'!G3)*(ROW()-3)/(MATCH(9.99E+307,'Returns (Calc)'!$A:$A)-3),"")</f>
        <v>207.918734177215</v>
      </c>
      <c r="AC162" s="157" t="n">
        <f aca="false">IFERROR('Price History'!H3+(INDEX('Price History'!H:H,MATCH(9.99E+307,'Returns (Calc)'!$A:$A)+1)-'Price History'!H3)*(ROW()-3)/(MATCH(9.99E+307,'Returns (Calc)'!$A:$A)-3),"")</f>
        <v>1081.25569620253</v>
      </c>
      <c r="AD162" s="157" t="n">
        <f aca="false">IFERROR('Price History'!I3+(INDEX('Price History'!I:I,MATCH(9.99E+307,'Returns (Calc)'!$A:$A)+1)-'Price History'!I3)*(ROW()-3)/(MATCH(9.99E+307,'Returns (Calc)'!$A:$A)-3),"")</f>
        <v>235.153670886076</v>
      </c>
      <c r="AE162" s="157" t="n">
        <f aca="false">IFERROR('Price History'!J3+(INDEX('Price History'!J:J,MATCH(9.99E+307,'Returns (Calc)'!$A:$A)+1)-'Price History'!J3)*(ROW()-3)/(MATCH(9.99E+307,'Returns (Calc)'!$A:$A)-3),"")</f>
        <v>129.018037974684</v>
      </c>
      <c r="AF162" s="157" t="n">
        <f aca="false">IFERROR('Price History'!K3+(INDEX('Price History'!K:K,MATCH(9.99E+307,'Returns (Calc)'!$A:$A)+1)-'Price History'!K3)*(ROW()-3)/(MATCH(9.99E+307,'Returns (Calc)'!$A:$A)-3),"")</f>
        <v>189.847594936709</v>
      </c>
      <c r="AG162" s="157" t="n">
        <f aca="false">IFERROR('Price History'!L3+(INDEX('Price History'!L:L,MATCH(9.99E+307,'Returns (Calc)'!$A:$A)+1)-'Price History'!L3)*(ROW()-3)/(MATCH(9.99E+307,'Returns (Calc)'!$A:$A)-3),"")</f>
        <v>475.229556962025</v>
      </c>
      <c r="AH162" s="157" t="n">
        <f aca="false">IFERROR('Price History'!M3+(INDEX('Price History'!M:M,MATCH(9.99E+307,'Returns (Calc)'!$A:$A)+1)-'Price History'!M3)*(ROW()-3)/(MATCH(9.99E+307,'Returns (Calc)'!$A:$A)-3),"")</f>
        <v>253.535443037975</v>
      </c>
      <c r="AI162" s="157" t="n">
        <f aca="false">IFERROR('Price History'!N3+(INDEX('Price History'!N:N,MATCH(9.99E+307,'Returns (Calc)'!$A:$A)+1)-'Price History'!N3)*(ROW()-3)/(MATCH(9.99E+307,'Returns (Calc)'!$A:$A)-3),"")</f>
        <v>505.716265822785</v>
      </c>
      <c r="AJ162" s="157" t="n">
        <f aca="false">IFERROR('Price History'!O3+(INDEX('Price History'!O:O,MATCH(9.99E+307,'Returns (Calc)'!$A:$A)+1)-'Price History'!O3)*(ROW()-3)/(MATCH(9.99E+307,'Returns (Calc)'!$A:$A)-3),"")</f>
        <v>120.313037974684</v>
      </c>
      <c r="AK162" s="157" t="n">
        <f aca="false">IFERROR('Price History'!Q3+(INDEX('Price History'!Q:Q,MATCH(9.99E+307,'Returns (Calc)'!$A:$A)+1)-'Price History'!Q3)*(ROW()-3)/(MATCH(9.99E+307,'Returns (Calc)'!$A:$A)-3),"")</f>
        <v>69.8593670886076</v>
      </c>
      <c r="AL162" s="157" t="n">
        <f aca="false">IFERROR('Price History'!R3+(INDEX('Price History'!R:R,MATCH(9.99E+307,'Returns (Calc)'!$A:$A)+1)-'Price History'!R3)*(ROW()-3)/(MATCH(9.99E+307,'Returns (Calc)'!$A:$A)-3),"")</f>
        <v>61.2081012658228</v>
      </c>
      <c r="AM162" s="157" t="n">
        <f aca="false">IFERROR('Price History'!S3+(INDEX('Price History'!S:S,MATCH(9.99E+307,'Returns (Calc)'!$A:$A)+1)-'Price History'!S3)*(ROW()-3)/(MATCH(9.99E+307,'Returns (Calc)'!$A:$A)-3),"")</f>
        <v>153.835063291139</v>
      </c>
      <c r="AN162" s="157" t="n">
        <f aca="false">IFERROR('Price History'!T3+(INDEX('Price History'!T:T,MATCH(9.99E+307,'Returns (Calc)'!$A:$A)+1)-'Price History'!T3)*(ROW()-3)/(MATCH(9.99E+307,'Returns (Calc)'!$A:$A)-3),"")</f>
        <v>51.9882278481013</v>
      </c>
      <c r="AO162" s="157" t="n">
        <f aca="false">IFERROR('Price History'!V3+(INDEX('Price History'!V:V,MATCH(9.99E+307,'Returns (Calc)'!$A:$A)+1)-'Price History'!V3)*(ROW()-3)/(MATCH(9.99E+307,'Returns (Calc)'!$A:$A)-3),"")</f>
        <v>361.451329113924</v>
      </c>
      <c r="AP162" s="155" t="str">
        <f aca="false">IFERROR(IF(OR(NOT(ISNUMBER('Price History'!W163)),NOT(ISNUMBER('Price History'!W162)),'Price History'!W162=0),"",'Price History'!W163/'Price History'!W162-1),"")</f>
        <v/>
      </c>
      <c r="AQ162" s="155" t="str">
        <f aca="false">IFERROR(IF(OR(NOT(ISNUMBER('Price History'!X163)),NOT(ISNUMBER('Price History'!X162)),'Price History'!X162=0),"",'Price History'!X163/'Price History'!X162-1),"")</f>
        <v/>
      </c>
      <c r="AR162" s="155" t="str">
        <f aca="false">IFERROR(IF(OR(NOT(ISNUMBER('Price History'!Y163)),NOT(ISNUMBER('Price History'!Y162)),'Price History'!Y162=0),"",'Price History'!Y163/'Price History'!Y162-1),"")</f>
        <v/>
      </c>
      <c r="AS162" s="155" t="str">
        <f aca="false">IFERROR(IF(OR(NOT(ISNUMBER('Price History'!Z163)),NOT(ISNUMBER('Price History'!Z162)),'Price History'!Z162=0),"",'Price History'!Z163/'Price History'!Z162-1),"")</f>
        <v/>
      </c>
      <c r="AT162" s="155" t="str">
        <f aca="false">IFERROR(IF(OR(NOT(ISNUMBER('Price History'!AA163)),NOT(ISNUMBER('Price History'!AA162)),'Price History'!AA162=0),"",'Price History'!AA163/'Price History'!AA162-1),"")</f>
        <v/>
      </c>
      <c r="AU162" s="155" t="str">
        <f aca="false">IFERROR(IF(OR(NOT(ISNUMBER('Price History'!AB163)),NOT(ISNUMBER('Price History'!AB162)),'Price History'!AB162=0),"",'Price History'!AB163/'Price History'!AB162-1),"")</f>
        <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17" activePane="bottomRight" state="frozen"/>
      <selection pane="topLeft" activeCell="A1" activeCellId="0" sqref="A1"/>
      <selection pane="topRight" activeCell="B1" activeCellId="0" sqref="B1"/>
      <selection pane="bottomLeft" activeCell="A17" activeCellId="0" sqref="A17"/>
      <selection pane="bottomRight" activeCell="S33" activeCellId="0" sqref="S3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23" width="6.83"/>
    <col collapsed="false" customWidth="false" hidden="false" outlineLevel="0" max="21" min="3" style="23" width="8.67"/>
    <col collapsed="false" customWidth="true" hidden="false" outlineLevel="0" max="22" min="22" style="23" width="9"/>
  </cols>
  <sheetData>
    <row r="1" customFormat="false" ht="15" hidden="false" customHeight="true" outlineLevel="0" collapsed="false">
      <c r="A1" s="158" t="s">
        <v>471</v>
      </c>
      <c r="B1" s="158"/>
      <c r="C1" s="158"/>
      <c r="D1" s="158"/>
      <c r="E1" s="158"/>
      <c r="F1" s="158"/>
      <c r="G1" s="158"/>
      <c r="H1" s="158"/>
      <c r="I1" s="158"/>
      <c r="J1" s="158"/>
      <c r="K1" s="158"/>
      <c r="L1" s="158"/>
      <c r="M1" s="158"/>
      <c r="N1" s="158"/>
      <c r="O1" s="158"/>
      <c r="P1" s="158"/>
      <c r="Q1" s="158"/>
      <c r="R1" s="158"/>
      <c r="S1" s="158"/>
      <c r="T1" s="158"/>
      <c r="U1" s="158"/>
      <c r="V1" s="158"/>
      <c r="W1" s="158"/>
      <c r="X1" s="158"/>
      <c r="Y1" s="158"/>
      <c r="Z1" s="158"/>
      <c r="AA1" s="158"/>
      <c r="AB1" s="158"/>
      <c r="AC1" s="158"/>
      <c r="AD1" s="158"/>
      <c r="AE1" s="158"/>
      <c r="AF1" s="158"/>
      <c r="AG1" s="158"/>
    </row>
    <row r="2" customFormat="false" ht="15" hidden="false" customHeight="true" outlineLevel="0" collapsed="false">
      <c r="A2" s="159" t="s">
        <v>472</v>
      </c>
      <c r="J2" s="160" t="n">
        <f aca="false">COUNTIF(AG6:AG32,"&gt;1")</f>
        <v>11</v>
      </c>
    </row>
    <row r="3" customFormat="false" ht="15" hidden="false" customHeight="true" outlineLevel="0" collapsed="false">
      <c r="A3" s="159" t="s">
        <v>473</v>
      </c>
      <c r="J3" s="160" t="str">
        <f aca="false">IF(J2&gt;0,"REVIEW REQUIRED","OK")</f>
        <v>REVIEW REQUIRED</v>
      </c>
    </row>
    <row r="5" customFormat="false" ht="27.75" hidden="false" customHeight="true" outlineLevel="0" collapsed="false">
      <c r="A5" s="161" t="s">
        <v>82</v>
      </c>
      <c r="B5" s="161" t="str">
        <f aca="false">'Returns (Calc)'!B2</f>
        <v>ADBE</v>
      </c>
      <c r="C5" s="161" t="str">
        <f aca="false">'Returns (Calc)'!C2</f>
        <v>ANET</v>
      </c>
      <c r="D5" s="161" t="str">
        <f aca="false">'Returns (Calc)'!D2</f>
        <v>ASML</v>
      </c>
      <c r="E5" s="161" t="str">
        <f aca="false">'Returns (Calc)'!E2</f>
        <v>AVGO</v>
      </c>
      <c r="F5" s="161" t="str">
        <f aca="false">'Returns (Calc)'!F2</f>
        <v>CRWD</v>
      </c>
      <c r="G5" s="161" t="str">
        <f aca="false">'Returns (Calc)'!G2</f>
        <v>KLAC</v>
      </c>
      <c r="H5" s="161" t="str">
        <f aca="false">'Returns (Calc)'!H2</f>
        <v>MU</v>
      </c>
      <c r="I5" s="161" t="str">
        <f aca="false">'Returns (Calc)'!I2</f>
        <v>NVDA</v>
      </c>
      <c r="J5" s="161" t="str">
        <f aca="false">'Returns (Calc)'!J2</f>
        <v>PLD</v>
      </c>
      <c r="K5" s="161" t="str">
        <f aca="false">'Returns (Calc)'!K2</f>
        <v>PLTR</v>
      </c>
      <c r="L5" s="161" t="str">
        <f aca="false">'Returns (Calc)'!L2</f>
        <v>TSM</v>
      </c>
      <c r="M5" s="161" t="str">
        <f aca="false">'Returns (Calc)'!M2</f>
        <v>VRT</v>
      </c>
      <c r="N5" s="161" t="str">
        <f aca="false">'Returns (Calc)'!N2</f>
        <v>VRTX</v>
      </c>
      <c r="O5" s="161" t="str">
        <f aca="false">'Returns (Calc)'!O2</f>
        <v>AVUV</v>
      </c>
      <c r="P5" s="161" t="str">
        <f aca="false">'Returns (Calc)'!P2</f>
        <v>DVY</v>
      </c>
      <c r="Q5" s="161" t="str">
        <f aca="false">'Returns (Calc)'!Q2</f>
        <v>HELO</v>
      </c>
      <c r="R5" s="161" t="str">
        <f aca="false">'Returns (Calc)'!R2</f>
        <v>JEPQ</v>
      </c>
      <c r="S5" s="161" t="str">
        <f aca="false">'Returns (Calc)'!S2</f>
        <v>SPMO</v>
      </c>
      <c r="T5" s="161" t="str">
        <f aca="false">'Returns (Calc)'!T2</f>
        <v>VFLO</v>
      </c>
      <c r="U5" s="161" t="str">
        <f aca="false">'Returns (Calc)'!U2</f>
        <v>SCHD</v>
      </c>
      <c r="V5" s="161" t="str">
        <f aca="false">'Returns (Calc)'!V2</f>
        <v>V</v>
      </c>
      <c r="W5" s="161" t="str">
        <f aca="false">'Returns (Calc)'!AP2</f>
        <v>VYM</v>
      </c>
      <c r="X5" s="161" t="str">
        <f aca="false">'Returns (Calc)'!AQ2</f>
        <v>MLPI</v>
      </c>
      <c r="Y5" s="161" t="str">
        <f aca="false">'Returns (Calc)'!AR2</f>
        <v>JEPI</v>
      </c>
      <c r="Z5" s="161" t="str">
        <f aca="false">'Returns (Calc)'!AS2</f>
        <v>GE</v>
      </c>
      <c r="AA5" s="161" t="str">
        <f aca="false">'Returns (Calc)'!AT2</f>
        <v>NFLX</v>
      </c>
      <c r="AB5" s="161" t="str">
        <f aca="false">'Returns (Calc)'!AU2</f>
        <v>VEEV</v>
      </c>
      <c r="AC5" s="162"/>
      <c r="AD5" s="162"/>
      <c r="AE5" s="162"/>
      <c r="AF5" s="162"/>
      <c r="AG5" s="161" t="s">
        <v>474</v>
      </c>
    </row>
    <row r="6" customFormat="false" ht="15" hidden="false" customHeight="true" outlineLevel="0" collapsed="false">
      <c r="A6" s="163" t="str">
        <f aca="false">'Returns (Calc)'!B2</f>
        <v>ADBE</v>
      </c>
      <c r="B6" s="164" t="n">
        <v>1</v>
      </c>
      <c r="C6" s="164" t="n">
        <f aca="false">IFERROR(ROUND(CORREL('Returns (Calc)'!$B$3:$B$500,'Returns (Calc)'!$C$3:$C$500),2),"")</f>
        <v>0.2</v>
      </c>
      <c r="D6" s="164" t="n">
        <f aca="false">IFERROR(ROUND(CORREL('Returns (Calc)'!$B$3:$B$500,'Returns (Calc)'!$D$3:$D$500),2),"")</f>
        <v>0.01</v>
      </c>
      <c r="E6" s="164" t="n">
        <f aca="false">IFERROR(ROUND(CORREL('Returns (Calc)'!$B$3:$B$500,'Returns (Calc)'!$E$3:$E$500),2),"")</f>
        <v>0.16</v>
      </c>
      <c r="F6" s="164" t="n">
        <f aca="false">IFERROR(ROUND(CORREL('Returns (Calc)'!$B$3:$B$500,'Returns (Calc)'!$F$3:$F$500),2),"")</f>
        <v>0.4</v>
      </c>
      <c r="G6" s="164" t="n">
        <f aca="false">IFERROR(ROUND(CORREL('Returns (Calc)'!$B$3:$B$500,'Returns (Calc)'!$G$3:$G$500),2),"")</f>
        <v>-0.06</v>
      </c>
      <c r="H6" s="164" t="n">
        <f aca="false">IFERROR(ROUND(CORREL('Returns (Calc)'!$B$3:$B$500,'Returns (Calc)'!$H$3:$H$500),2),"")</f>
        <v>0.04</v>
      </c>
      <c r="I6" s="164" t="n">
        <f aca="false">IFERROR(ROUND(CORREL('Returns (Calc)'!$B$3:$B$500,'Returns (Calc)'!$I$3:$I$500),2),"")</f>
        <v>0.21</v>
      </c>
      <c r="J6" s="164" t="n">
        <f aca="false">IFERROR(ROUND(CORREL('Returns (Calc)'!$B$3:$B$500,'Returns (Calc)'!$J$3:$J$500),2),"")</f>
        <v>0.17</v>
      </c>
      <c r="K6" s="164" t="n">
        <f aca="false">IFERROR(ROUND(CORREL('Returns (Calc)'!$B$3:$B$500,'Returns (Calc)'!$K$3:$K$500),2),"")</f>
        <v>0.37</v>
      </c>
      <c r="L6" s="164" t="n">
        <f aca="false">IFERROR(ROUND(CORREL('Returns (Calc)'!$B$3:$B$500,'Returns (Calc)'!$L$3:$L$500),2),"")</f>
        <v>0.15</v>
      </c>
      <c r="M6" s="164" t="n">
        <f aca="false">IFERROR(ROUND(CORREL('Returns (Calc)'!$B$3:$B$500,'Returns (Calc)'!$M$3:$M$500),2),"")</f>
        <v>0.06</v>
      </c>
      <c r="N6" s="164" t="n">
        <f aca="false">IFERROR(ROUND(CORREL('Returns (Calc)'!$B$3:$B$500,'Returns (Calc)'!$N$3:$N$500),2),"")</f>
        <v>0.14</v>
      </c>
      <c r="O6" s="164" t="n">
        <f aca="false">IFERROR(ROUND(CORREL('Returns (Calc)'!$B$3:$B$500,'Returns (Calc)'!$O$3:$O$500),2),"")</f>
        <v>0.16</v>
      </c>
      <c r="P6" s="164" t="n">
        <f aca="false">IFERROR(ROUND(CORREL('Returns (Calc)'!$B$3:$B$500,'Returns (Calc)'!$P$3:$P$500),2),"")</f>
        <v>0.14</v>
      </c>
      <c r="Q6" s="164" t="n">
        <f aca="false">IFERROR(ROUND(CORREL('Returns (Calc)'!$B$3:$B$500,'Returns (Calc)'!$Q$3:$Q$500),2),"")</f>
        <v>0.44</v>
      </c>
      <c r="R6" s="164" t="n">
        <f aca="false">IFERROR(ROUND(CORREL('Returns (Calc)'!$B$3:$B$500,'Returns (Calc)'!$R$3:$R$500),2),"")</f>
        <v>0.34</v>
      </c>
      <c r="S6" s="164" t="n">
        <f aca="false">IFERROR(ROUND(CORREL('Returns (Calc)'!$B$3:$B$500,'Returns (Calc)'!$S$3:$S$500),2),"")</f>
        <v>0.23</v>
      </c>
      <c r="T6" s="164" t="n">
        <f aca="false">IFERROR(ROUND(CORREL('Returns (Calc)'!$B$3:$B$500,'Returns (Calc)'!$T$3:$T$500),2),"")</f>
        <v>0.42</v>
      </c>
      <c r="U6" s="164" t="n">
        <f aca="false">IFERROR(ROUND(CORREL('Returns (Calc)'!$B$3:$B$500,'Returns (Calc)'!$U$3:$U$500),2),"")</f>
        <v>0.22</v>
      </c>
      <c r="V6" s="164" t="n">
        <f aca="false">IFERROR(ROUND(CORREL('Returns (Calc)'!$B$3:$B$500,'Returns (Calc)'!$V$3:$V$500),2),"")</f>
        <v>0.4</v>
      </c>
      <c r="W6" s="164" t="n">
        <f aca="false">IFERROR(ROUND(CORREL('Returns (Calc)'!$B$3:$B$500,'Returns (Calc)'!$AP$3:$AP$500),2),"")</f>
        <v>0.22</v>
      </c>
      <c r="X6" s="164" t="n">
        <f aca="false">IFERROR(ROUND(CORREL('Returns (Calc)'!$B$3:$B$500,'Returns (Calc)'!$AQ$3:$AQ$500),2),"")</f>
        <v>-0.24</v>
      </c>
      <c r="Y6" s="164" t="n">
        <f aca="false">IFERROR(ROUND(CORREL('Returns (Calc)'!$B$3:$B$500,'Returns (Calc)'!$AR$3:$AR$500),2),"")</f>
        <v>0.33</v>
      </c>
      <c r="Z6" s="164" t="n">
        <f aca="false">IFERROR(ROUND(CORREL('Returns (Calc)'!$B$3:$B$500,'Returns (Calc)'!$AS$3:$AS$500),2),"")</f>
        <v>0.09</v>
      </c>
      <c r="AA6" s="164" t="n">
        <f aca="false">IFERROR(ROUND(CORREL('Returns (Calc)'!$B$3:$B$500,'Returns (Calc)'!$AT$3:$AT$500),2),"")</f>
        <v>0.21</v>
      </c>
      <c r="AB6" s="164" t="n">
        <f aca="false">IFERROR(ROUND(CORREL('Returns (Calc)'!$B$3:$B$500,'Returns (Calc)'!$AU$3:$AU$500),2),"")</f>
        <v>0.51</v>
      </c>
      <c r="AG6" s="165" t="n">
        <f aca="false">COUNTIF(B6:AB6,"&gt;0.7")-1</f>
        <v>0</v>
      </c>
    </row>
    <row r="7" customFormat="false" ht="15" hidden="false" customHeight="true" outlineLevel="0" collapsed="false">
      <c r="A7" s="163" t="str">
        <f aca="false">'Returns (Calc)'!C2</f>
        <v>ANET</v>
      </c>
      <c r="B7" s="164" t="n">
        <f aca="false">IFERROR(ROUND(CORREL('Returns (Calc)'!$C$3:$C$500,'Returns (Calc)'!$B$3:$B$500),2),"")</f>
        <v>0.2</v>
      </c>
      <c r="C7" s="164" t="n">
        <v>1</v>
      </c>
      <c r="D7" s="164" t="n">
        <f aca="false">IFERROR(ROUND(CORREL('Returns (Calc)'!$C$3:$C$500,'Returns (Calc)'!$D$3:$D$500),2),"")</f>
        <v>0.39</v>
      </c>
      <c r="E7" s="164" t="n">
        <f aca="false">IFERROR(ROUND(CORREL('Returns (Calc)'!$C$3:$C$500,'Returns (Calc)'!$E$3:$E$500),2),"")</f>
        <v>0.59</v>
      </c>
      <c r="F7" s="164" t="n">
        <f aca="false">IFERROR(ROUND(CORREL('Returns (Calc)'!$C$3:$C$500,'Returns (Calc)'!$F$3:$F$500),2),"")</f>
        <v>0.37</v>
      </c>
      <c r="G7" s="164" t="n">
        <f aca="false">IFERROR(ROUND(CORREL('Returns (Calc)'!$C$3:$C$500,'Returns (Calc)'!$G$3:$G$500),2),"")</f>
        <v>0.43</v>
      </c>
      <c r="H7" s="164" t="n">
        <f aca="false">IFERROR(ROUND(CORREL('Returns (Calc)'!$C$3:$C$500,'Returns (Calc)'!$H$3:$H$500),2),"")</f>
        <v>0.34</v>
      </c>
      <c r="I7" s="164" t="n">
        <f aca="false">IFERROR(ROUND(CORREL('Returns (Calc)'!$C$3:$C$500,'Returns (Calc)'!$I$3:$I$500),2),"")</f>
        <v>0.52</v>
      </c>
      <c r="J7" s="164" t="n">
        <f aca="false">IFERROR(ROUND(CORREL('Returns (Calc)'!$C$3:$C$500,'Returns (Calc)'!$J$3:$J$500),2),"")</f>
        <v>0.18</v>
      </c>
      <c r="K7" s="164" t="n">
        <f aca="false">IFERROR(ROUND(CORREL('Returns (Calc)'!$C$3:$C$500,'Returns (Calc)'!$K$3:$K$500),2),"")</f>
        <v>0.34</v>
      </c>
      <c r="L7" s="164" t="n">
        <f aca="false">IFERROR(ROUND(CORREL('Returns (Calc)'!$C$3:$C$500,'Returns (Calc)'!$L$3:$L$500),2),"")</f>
        <v>0.55</v>
      </c>
      <c r="M7" s="164" t="n">
        <f aca="false">IFERROR(ROUND(CORREL('Returns (Calc)'!$C$3:$C$500,'Returns (Calc)'!$M$3:$M$500),2),"")</f>
        <v>0.58</v>
      </c>
      <c r="N7" s="164" t="n">
        <f aca="false">IFERROR(ROUND(CORREL('Returns (Calc)'!$C$3:$C$500,'Returns (Calc)'!$N$3:$N$500),2),"")</f>
        <v>0.05</v>
      </c>
      <c r="O7" s="164" t="n">
        <f aca="false">IFERROR(ROUND(CORREL('Returns (Calc)'!$C$3:$C$500,'Returns (Calc)'!$O$3:$O$500),2),"")</f>
        <v>0.35</v>
      </c>
      <c r="P7" s="164" t="n">
        <f aca="false">IFERROR(ROUND(CORREL('Returns (Calc)'!$C$3:$C$500,'Returns (Calc)'!$P$3:$P$500),2),"")</f>
        <v>0.24</v>
      </c>
      <c r="Q7" s="164" t="n">
        <f aca="false">IFERROR(ROUND(CORREL('Returns (Calc)'!$C$3:$C$500,'Returns (Calc)'!$Q$3:$Q$500),2),"")</f>
        <v>0.65</v>
      </c>
      <c r="R7" s="164" t="n">
        <f aca="false">IFERROR(ROUND(CORREL('Returns (Calc)'!$C$3:$C$500,'Returns (Calc)'!$R$3:$R$500),2),"")</f>
        <v>0.67</v>
      </c>
      <c r="S7" s="164" t="n">
        <f aca="false">IFERROR(ROUND(CORREL('Returns (Calc)'!$C$3:$C$500,'Returns (Calc)'!$S$3:$S$500),2),"")</f>
        <v>0.64</v>
      </c>
      <c r="T7" s="164" t="n">
        <f aca="false">IFERROR(ROUND(CORREL('Returns (Calc)'!$C$3:$C$500,'Returns (Calc)'!$T$3:$T$500),2),"")</f>
        <v>0.33</v>
      </c>
      <c r="U7" s="164" t="n">
        <f aca="false">IFERROR(ROUND(CORREL('Returns (Calc)'!$C$3:$C$500,'Returns (Calc)'!$U$3:$U$500),2),"")</f>
        <v>0.27</v>
      </c>
      <c r="V7" s="164" t="n">
        <f aca="false">IFERROR(ROUND(CORREL('Returns (Calc)'!$C$3:$C$500,'Returns (Calc)'!$V$3:$V$500),2),"")</f>
        <v>0.25</v>
      </c>
      <c r="W7" s="164" t="n">
        <f aca="false">IFERROR(ROUND(CORREL('Returns (Calc)'!$C$3:$C$500,'Returns (Calc)'!$AP$3:$AP$500),2),"")</f>
        <v>0.46</v>
      </c>
      <c r="X7" s="164" t="n">
        <f aca="false">IFERROR(ROUND(CORREL('Returns (Calc)'!$C$3:$C$500,'Returns (Calc)'!$AQ$3:$AQ$500),2),"")</f>
        <v>-0.04</v>
      </c>
      <c r="Y7" s="164" t="n">
        <f aca="false">IFERROR(ROUND(CORREL('Returns (Calc)'!$C$3:$C$500,'Returns (Calc)'!$AR$3:$AR$500),2),"")</f>
        <v>0.51</v>
      </c>
      <c r="Z7" s="164" t="n">
        <f aca="false">IFERROR(ROUND(CORREL('Returns (Calc)'!$C$3:$C$500,'Returns (Calc)'!$AS$3:$AS$500),2),"")</f>
        <v>0.34</v>
      </c>
      <c r="AA7" s="164" t="n">
        <f aca="false">IFERROR(ROUND(CORREL('Returns (Calc)'!$C$3:$C$500,'Returns (Calc)'!$AT$3:$AT$500),2),"")</f>
        <v>0.39</v>
      </c>
      <c r="AB7" s="164" t="n">
        <f aca="false">IFERROR(ROUND(CORREL('Returns (Calc)'!$C$3:$C$500,'Returns (Calc)'!$AU$3:$AU$500),2),"")</f>
        <v>0.12</v>
      </c>
      <c r="AG7" s="165" t="n">
        <f aca="false">COUNTIF(B7:AB7,"&gt;0.7")-1</f>
        <v>0</v>
      </c>
    </row>
    <row r="8" customFormat="false" ht="15" hidden="false" customHeight="true" outlineLevel="0" collapsed="false">
      <c r="A8" s="163" t="str">
        <f aca="false">'Returns (Calc)'!D2</f>
        <v>ASML</v>
      </c>
      <c r="B8" s="164" t="n">
        <f aca="false">IFERROR(ROUND(CORREL('Returns (Calc)'!$D$3:$D$500,'Returns (Calc)'!$B$3:$B$500),2),"")</f>
        <v>0.01</v>
      </c>
      <c r="C8" s="164" t="n">
        <f aca="false">IFERROR(ROUND(CORREL('Returns (Calc)'!$D$3:$D$500,'Returns (Calc)'!$C$3:$C$500),2),"")</f>
        <v>0.39</v>
      </c>
      <c r="D8" s="164" t="n">
        <v>1</v>
      </c>
      <c r="E8" s="164" t="n">
        <f aca="false">IFERROR(ROUND(CORREL('Returns (Calc)'!$D$3:$D$500,'Returns (Calc)'!$E$3:$E$500),2),"")</f>
        <v>0.49</v>
      </c>
      <c r="F8" s="164" t="n">
        <f aca="false">IFERROR(ROUND(CORREL('Returns (Calc)'!$D$3:$D$500,'Returns (Calc)'!$F$3:$F$500),2),"")</f>
        <v>0.33</v>
      </c>
      <c r="G8" s="164" t="n">
        <f aca="false">IFERROR(ROUND(CORREL('Returns (Calc)'!$D$3:$D$500,'Returns (Calc)'!$G$3:$G$500),2),"")</f>
        <v>0.77</v>
      </c>
      <c r="H8" s="164" t="n">
        <f aca="false">IFERROR(ROUND(CORREL('Returns (Calc)'!$D$3:$D$500,'Returns (Calc)'!$H$3:$H$500),2),"")</f>
        <v>0.6</v>
      </c>
      <c r="I8" s="164" t="n">
        <f aca="false">IFERROR(ROUND(CORREL('Returns (Calc)'!$D$3:$D$500,'Returns (Calc)'!$I$3:$I$500),2),"")</f>
        <v>0.49</v>
      </c>
      <c r="J8" s="164" t="n">
        <f aca="false">IFERROR(ROUND(CORREL('Returns (Calc)'!$D$3:$D$500,'Returns (Calc)'!$J$3:$J$500),2),"")</f>
        <v>0.27</v>
      </c>
      <c r="K8" s="164" t="n">
        <f aca="false">IFERROR(ROUND(CORREL('Returns (Calc)'!$D$3:$D$500,'Returns (Calc)'!$K$3:$K$500),2),"")</f>
        <v>0.21</v>
      </c>
      <c r="L8" s="164" t="n">
        <f aca="false">IFERROR(ROUND(CORREL('Returns (Calc)'!$D$3:$D$500,'Returns (Calc)'!$L$3:$L$500),2),"")</f>
        <v>0.64</v>
      </c>
      <c r="M8" s="164" t="n">
        <f aca="false">IFERROR(ROUND(CORREL('Returns (Calc)'!$D$3:$D$500,'Returns (Calc)'!$M$3:$M$500),2),"")</f>
        <v>0.43</v>
      </c>
      <c r="N8" s="164" t="n">
        <f aca="false">IFERROR(ROUND(CORREL('Returns (Calc)'!$D$3:$D$500,'Returns (Calc)'!$N$3:$N$500),2),"")</f>
        <v>0.11</v>
      </c>
      <c r="O8" s="164" t="n">
        <f aca="false">IFERROR(ROUND(CORREL('Returns (Calc)'!$D$3:$D$500,'Returns (Calc)'!$O$3:$O$500),2),"")</f>
        <v>0.38</v>
      </c>
      <c r="P8" s="164" t="n">
        <f aca="false">IFERROR(ROUND(CORREL('Returns (Calc)'!$D$3:$D$500,'Returns (Calc)'!$P$3:$P$500),2),"")</f>
        <v>0.23</v>
      </c>
      <c r="Q8" s="164" t="n">
        <f aca="false">IFERROR(ROUND(CORREL('Returns (Calc)'!$D$3:$D$500,'Returns (Calc)'!$Q$3:$Q$500),2),"")</f>
        <v>0.51</v>
      </c>
      <c r="R8" s="164" t="n">
        <f aca="false">IFERROR(ROUND(CORREL('Returns (Calc)'!$D$3:$D$500,'Returns (Calc)'!$R$3:$R$500),2),"")</f>
        <v>0.61</v>
      </c>
      <c r="S8" s="164" t="n">
        <f aca="false">IFERROR(ROUND(CORREL('Returns (Calc)'!$D$3:$D$500,'Returns (Calc)'!$S$3:$S$500),2),"")</f>
        <v>0.61</v>
      </c>
      <c r="T8" s="164" t="n">
        <f aca="false">IFERROR(ROUND(CORREL('Returns (Calc)'!$D$3:$D$500,'Returns (Calc)'!$T$3:$T$500),2),"")</f>
        <v>0.3</v>
      </c>
      <c r="U8" s="164" t="n">
        <f aca="false">IFERROR(ROUND(CORREL('Returns (Calc)'!$D$3:$D$500,'Returns (Calc)'!$U$3:$U$500),2),"")</f>
        <v>0.26</v>
      </c>
      <c r="V8" s="164" t="n">
        <f aca="false">IFERROR(ROUND(CORREL('Returns (Calc)'!$D$3:$D$500,'Returns (Calc)'!$V$3:$V$500),2),"")</f>
        <v>0.04</v>
      </c>
      <c r="W8" s="164" t="n">
        <f aca="false">IFERROR(ROUND(CORREL('Returns (Calc)'!$D$3:$D$500,'Returns (Calc)'!$AP$3:$AP$500),2),"")</f>
        <v>0.42</v>
      </c>
      <c r="X8" s="164" t="n">
        <f aca="false">IFERROR(ROUND(CORREL('Returns (Calc)'!$D$3:$D$500,'Returns (Calc)'!$AQ$3:$AQ$500),2),"")</f>
        <v>-0.18</v>
      </c>
      <c r="Y8" s="164" t="n">
        <f aca="false">IFERROR(ROUND(CORREL('Returns (Calc)'!$D$3:$D$500,'Returns (Calc)'!$AR$3:$AR$500),2),"")</f>
        <v>0.43</v>
      </c>
      <c r="Z8" s="164" t="n">
        <f aca="false">IFERROR(ROUND(CORREL('Returns (Calc)'!$D$3:$D$500,'Returns (Calc)'!$AS$3:$AS$500),2),"")</f>
        <v>0.39</v>
      </c>
      <c r="AA8" s="164" t="n">
        <f aca="false">IFERROR(ROUND(CORREL('Returns (Calc)'!$D$3:$D$500,'Returns (Calc)'!$AT$3:$AT$500),2),"")</f>
        <v>0.21</v>
      </c>
      <c r="AB8" s="164" t="n">
        <f aca="false">IFERROR(ROUND(CORREL('Returns (Calc)'!$D$3:$D$500,'Returns (Calc)'!$AU$3:$AU$500),2),"")</f>
        <v>0.03</v>
      </c>
      <c r="AG8" s="165" t="n">
        <f aca="false">COUNTIF(B8:AB8,"&gt;0.7")-1</f>
        <v>1</v>
      </c>
    </row>
    <row r="9" customFormat="false" ht="15" hidden="false" customHeight="true" outlineLevel="0" collapsed="false">
      <c r="A9" s="163" t="str">
        <f aca="false">'Returns (Calc)'!E2</f>
        <v>AVGO</v>
      </c>
      <c r="B9" s="164" t="n">
        <f aca="false">IFERROR(ROUND(CORREL('Returns (Calc)'!$E$3:$E$500,'Returns (Calc)'!$B$3:$B$500),2),"")</f>
        <v>0.16</v>
      </c>
      <c r="C9" s="164" t="n">
        <f aca="false">IFERROR(ROUND(CORREL('Returns (Calc)'!$E$3:$E$500,'Returns (Calc)'!$C$3:$C$500),2),"")</f>
        <v>0.59</v>
      </c>
      <c r="D9" s="164" t="n">
        <f aca="false">IFERROR(ROUND(CORREL('Returns (Calc)'!$E$3:$E$500,'Returns (Calc)'!$D$3:$D$500),2),"")</f>
        <v>0.49</v>
      </c>
      <c r="E9" s="164" t="n">
        <v>1</v>
      </c>
      <c r="F9" s="164" t="n">
        <f aca="false">IFERROR(ROUND(CORREL('Returns (Calc)'!$E$3:$E$500,'Returns (Calc)'!$F$3:$F$500),2),"")</f>
        <v>0.4</v>
      </c>
      <c r="G9" s="164" t="n">
        <f aca="false">IFERROR(ROUND(CORREL('Returns (Calc)'!$E$3:$E$500,'Returns (Calc)'!$G$3:$G$500),2),"")</f>
        <v>0.53</v>
      </c>
      <c r="H9" s="164" t="n">
        <f aca="false">IFERROR(ROUND(CORREL('Returns (Calc)'!$E$3:$E$500,'Returns (Calc)'!$H$3:$H$500),2),"")</f>
        <v>0.48</v>
      </c>
      <c r="I9" s="164" t="n">
        <f aca="false">IFERROR(ROUND(CORREL('Returns (Calc)'!$E$3:$E$500,'Returns (Calc)'!$I$3:$I$500),2),"")</f>
        <v>0.62</v>
      </c>
      <c r="J9" s="164" t="n">
        <f aca="false">IFERROR(ROUND(CORREL('Returns (Calc)'!$E$3:$E$500,'Returns (Calc)'!$J$3:$J$500),2),"")</f>
        <v>0.22</v>
      </c>
      <c r="K9" s="164" t="n">
        <f aca="false">IFERROR(ROUND(CORREL('Returns (Calc)'!$E$3:$E$500,'Returns (Calc)'!$K$3:$K$500),2),"")</f>
        <v>0.38</v>
      </c>
      <c r="L9" s="164" t="n">
        <f aca="false">IFERROR(ROUND(CORREL('Returns (Calc)'!$E$3:$E$500,'Returns (Calc)'!$L$3:$L$500),2),"")</f>
        <v>0.63</v>
      </c>
      <c r="M9" s="164" t="n">
        <f aca="false">IFERROR(ROUND(CORREL('Returns (Calc)'!$E$3:$E$500,'Returns (Calc)'!$M$3:$M$500),2),"")</f>
        <v>0.52</v>
      </c>
      <c r="N9" s="164" t="n">
        <f aca="false">IFERROR(ROUND(CORREL('Returns (Calc)'!$E$3:$E$500,'Returns (Calc)'!$N$3:$N$500),2),"")</f>
        <v>0.14</v>
      </c>
      <c r="O9" s="164" t="n">
        <f aca="false">IFERROR(ROUND(CORREL('Returns (Calc)'!$E$3:$E$500,'Returns (Calc)'!$O$3:$O$500),2),"")</f>
        <v>0.29</v>
      </c>
      <c r="P9" s="164" t="n">
        <f aca="false">IFERROR(ROUND(CORREL('Returns (Calc)'!$E$3:$E$500,'Returns (Calc)'!$P$3:$P$500),2),"")</f>
        <v>0.11</v>
      </c>
      <c r="Q9" s="164" t="n">
        <f aca="false">IFERROR(ROUND(CORREL('Returns (Calc)'!$E$3:$E$500,'Returns (Calc)'!$Q$3:$Q$500),2),"")</f>
        <v>0.67</v>
      </c>
      <c r="R9" s="164" t="n">
        <f aca="false">IFERROR(ROUND(CORREL('Returns (Calc)'!$E$3:$E$500,'Returns (Calc)'!$R$3:$R$500),2),"")</f>
        <v>0.73</v>
      </c>
      <c r="S9" s="164" t="n">
        <f aca="false">IFERROR(ROUND(CORREL('Returns (Calc)'!$E$3:$E$500,'Returns (Calc)'!$S$3:$S$500),2),"")</f>
        <v>0.73</v>
      </c>
      <c r="T9" s="164" t="n">
        <f aca="false">IFERROR(ROUND(CORREL('Returns (Calc)'!$E$3:$E$500,'Returns (Calc)'!$T$3:$T$500),2),"")</f>
        <v>0.27</v>
      </c>
      <c r="U9" s="164" t="n">
        <f aca="false">IFERROR(ROUND(CORREL('Returns (Calc)'!$E$3:$E$500,'Returns (Calc)'!$U$3:$U$500),2),"")</f>
        <v>0.16</v>
      </c>
      <c r="V9" s="164" t="n">
        <f aca="false">IFERROR(ROUND(CORREL('Returns (Calc)'!$E$3:$E$500,'Returns (Calc)'!$V$3:$V$500),2),"")</f>
        <v>0.2</v>
      </c>
      <c r="W9" s="164" t="n">
        <f aca="false">IFERROR(ROUND(CORREL('Returns (Calc)'!$E$3:$E$500,'Returns (Calc)'!$AP$3:$AP$500),2),"")</f>
        <v>0.45</v>
      </c>
      <c r="X9" s="164" t="n">
        <f aca="false">IFERROR(ROUND(CORREL('Returns (Calc)'!$E$3:$E$500,'Returns (Calc)'!$AQ$3:$AQ$500),2),"")</f>
        <v>-0.45</v>
      </c>
      <c r="Y9" s="164" t="n">
        <f aca="false">IFERROR(ROUND(CORREL('Returns (Calc)'!$E$3:$E$500,'Returns (Calc)'!$AR$3:$AR$500),2),"")</f>
        <v>0.44</v>
      </c>
      <c r="Z9" s="164" t="n">
        <f aca="false">IFERROR(ROUND(CORREL('Returns (Calc)'!$E$3:$E$500,'Returns (Calc)'!$AS$3:$AS$500),2),"")</f>
        <v>0.36</v>
      </c>
      <c r="AA9" s="164" t="n">
        <f aca="false">IFERROR(ROUND(CORREL('Returns (Calc)'!$E$3:$E$500,'Returns (Calc)'!$AT$3:$AT$500),2),"")</f>
        <v>0.3</v>
      </c>
      <c r="AB9" s="164" t="n">
        <f aca="false">IFERROR(ROUND(CORREL('Returns (Calc)'!$E$3:$E$500,'Returns (Calc)'!$AU$3:$AU$500),2),"")</f>
        <v>0.1</v>
      </c>
      <c r="AG9" s="165" t="n">
        <f aca="false">COUNTIF(B9:AB9,"&gt;0.7")-1</f>
        <v>2</v>
      </c>
    </row>
    <row r="10" customFormat="false" ht="15" hidden="false" customHeight="true" outlineLevel="0" collapsed="false">
      <c r="A10" s="163" t="str">
        <f aca="false">'Returns (Calc)'!F2</f>
        <v>CRWD</v>
      </c>
      <c r="B10" s="164" t="n">
        <f aca="false">IFERROR(ROUND(CORREL('Returns (Calc)'!$F$3:$F$500,'Returns (Calc)'!$B$3:$B$500),2),"")</f>
        <v>0.4</v>
      </c>
      <c r="C10" s="164" t="n">
        <f aca="false">IFERROR(ROUND(CORREL('Returns (Calc)'!$F$3:$F$500,'Returns (Calc)'!$C$3:$C$500),2),"")</f>
        <v>0.37</v>
      </c>
      <c r="D10" s="164" t="n">
        <f aca="false">IFERROR(ROUND(CORREL('Returns (Calc)'!$F$3:$F$500,'Returns (Calc)'!$D$3:$D$500),2),"")</f>
        <v>0.33</v>
      </c>
      <c r="E10" s="164" t="n">
        <f aca="false">IFERROR(ROUND(CORREL('Returns (Calc)'!$F$3:$F$500,'Returns (Calc)'!$E$3:$E$500),2),"")</f>
        <v>0.4</v>
      </c>
      <c r="F10" s="164" t="n">
        <v>1</v>
      </c>
      <c r="G10" s="164" t="n">
        <f aca="false">IFERROR(ROUND(CORREL('Returns (Calc)'!$F$3:$F$500,'Returns (Calc)'!$G$3:$G$500),2),"")</f>
        <v>0.33</v>
      </c>
      <c r="H10" s="164" t="n">
        <f aca="false">IFERROR(ROUND(CORREL('Returns (Calc)'!$F$3:$F$500,'Returns (Calc)'!$H$3:$H$500),2),"")</f>
        <v>0.32</v>
      </c>
      <c r="I10" s="164" t="n">
        <f aca="false">IFERROR(ROUND(CORREL('Returns (Calc)'!$F$3:$F$500,'Returns (Calc)'!$I$3:$I$500),2),"")</f>
        <v>0.46</v>
      </c>
      <c r="J10" s="164" t="n">
        <f aca="false">IFERROR(ROUND(CORREL('Returns (Calc)'!$F$3:$F$500,'Returns (Calc)'!$J$3:$J$500),2),"")</f>
        <v>0.1</v>
      </c>
      <c r="K10" s="164" t="n">
        <f aca="false">IFERROR(ROUND(CORREL('Returns (Calc)'!$F$3:$F$500,'Returns (Calc)'!$K$3:$K$500),2),"")</f>
        <v>0.5</v>
      </c>
      <c r="L10" s="164" t="n">
        <f aca="false">IFERROR(ROUND(CORREL('Returns (Calc)'!$F$3:$F$500,'Returns (Calc)'!$L$3:$L$500),2),"")</f>
        <v>0.39</v>
      </c>
      <c r="M10" s="164" t="n">
        <f aca="false">IFERROR(ROUND(CORREL('Returns (Calc)'!$F$3:$F$500,'Returns (Calc)'!$M$3:$M$500),2),"")</f>
        <v>0.4</v>
      </c>
      <c r="N10" s="164" t="n">
        <f aca="false">IFERROR(ROUND(CORREL('Returns (Calc)'!$F$3:$F$500,'Returns (Calc)'!$N$3:$N$500),2),"")</f>
        <v>0.17</v>
      </c>
      <c r="O10" s="164" t="n">
        <f aca="false">IFERROR(ROUND(CORREL('Returns (Calc)'!$F$3:$F$500,'Returns (Calc)'!$O$3:$O$500),2),"")</f>
        <v>0.19</v>
      </c>
      <c r="P10" s="164" t="n">
        <f aca="false">IFERROR(ROUND(CORREL('Returns (Calc)'!$F$3:$F$500,'Returns (Calc)'!$P$3:$P$500),2),"")</f>
        <v>0.1</v>
      </c>
      <c r="Q10" s="164" t="n">
        <f aca="false">IFERROR(ROUND(CORREL('Returns (Calc)'!$F$3:$F$500,'Returns (Calc)'!$Q$3:$Q$500),2),"")</f>
        <v>0.47</v>
      </c>
      <c r="R10" s="164" t="n">
        <f aca="false">IFERROR(ROUND(CORREL('Returns (Calc)'!$F$3:$F$500,'Returns (Calc)'!$R$3:$R$500),2),"")</f>
        <v>0.55</v>
      </c>
      <c r="S10" s="164" t="n">
        <f aca="false">IFERROR(ROUND(CORREL('Returns (Calc)'!$F$3:$F$500,'Returns (Calc)'!$S$3:$S$500),2),"")</f>
        <v>0.52</v>
      </c>
      <c r="T10" s="164" t="n">
        <f aca="false">IFERROR(ROUND(CORREL('Returns (Calc)'!$F$3:$F$500,'Returns (Calc)'!$T$3:$T$500),2),"")</f>
        <v>0.29</v>
      </c>
      <c r="U10" s="164" t="n">
        <f aca="false">IFERROR(ROUND(CORREL('Returns (Calc)'!$F$3:$F$500,'Returns (Calc)'!$U$3:$U$500),2),"")</f>
        <v>0.11</v>
      </c>
      <c r="V10" s="164" t="n">
        <f aca="false">IFERROR(ROUND(CORREL('Returns (Calc)'!$F$3:$F$500,'Returns (Calc)'!$V$3:$V$500),2),"")</f>
        <v>0.27</v>
      </c>
      <c r="W10" s="164" t="n">
        <f aca="false">IFERROR(ROUND(CORREL('Returns (Calc)'!$F$3:$F$500,'Returns (Calc)'!$AP$3:$AP$500),2),"")</f>
        <v>0.24</v>
      </c>
      <c r="X10" s="164" t="n">
        <f aca="false">IFERROR(ROUND(CORREL('Returns (Calc)'!$F$3:$F$500,'Returns (Calc)'!$AQ$3:$AQ$500),2),"")</f>
        <v>-0.3</v>
      </c>
      <c r="Y10" s="164" t="n">
        <f aca="false">IFERROR(ROUND(CORREL('Returns (Calc)'!$F$3:$F$500,'Returns (Calc)'!$AR$3:$AR$500),2),"")</f>
        <v>0.29</v>
      </c>
      <c r="Z10" s="164" t="n">
        <f aca="false">IFERROR(ROUND(CORREL('Returns (Calc)'!$F$3:$F$500,'Returns (Calc)'!$AS$3:$AS$500),2),"")</f>
        <v>0.24</v>
      </c>
      <c r="AA10" s="164" t="n">
        <f aca="false">IFERROR(ROUND(CORREL('Returns (Calc)'!$F$3:$F$500,'Returns (Calc)'!$AT$3:$AT$500),2),"")</f>
        <v>0.24</v>
      </c>
      <c r="AB10" s="164" t="n">
        <f aca="false">IFERROR(ROUND(CORREL('Returns (Calc)'!$F$3:$F$500,'Returns (Calc)'!$AU$3:$AU$500),2),"")</f>
        <v>0.36</v>
      </c>
      <c r="AG10" s="165" t="n">
        <f aca="false">COUNTIF(B10:AB10,"&gt;0.7")-1</f>
        <v>0</v>
      </c>
    </row>
    <row r="11" customFormat="false" ht="15" hidden="false" customHeight="true" outlineLevel="0" collapsed="false">
      <c r="A11" s="163" t="str">
        <f aca="false">'Returns (Calc)'!G2</f>
        <v>KLAC</v>
      </c>
      <c r="B11" s="164" t="n">
        <f aca="false">IFERROR(ROUND(CORREL('Returns (Calc)'!$G$3:$G$500,'Returns (Calc)'!$B$3:$B$500),2),"")</f>
        <v>-0.06</v>
      </c>
      <c r="C11" s="164" t="n">
        <f aca="false">IFERROR(ROUND(CORREL('Returns (Calc)'!$G$3:$G$500,'Returns (Calc)'!$C$3:$C$500),2),"")</f>
        <v>0.43</v>
      </c>
      <c r="D11" s="164" t="n">
        <f aca="false">IFERROR(ROUND(CORREL('Returns (Calc)'!$G$3:$G$500,'Returns (Calc)'!$D$3:$D$500),2),"")</f>
        <v>0.77</v>
      </c>
      <c r="E11" s="164" t="n">
        <f aca="false">IFERROR(ROUND(CORREL('Returns (Calc)'!$G$3:$G$500,'Returns (Calc)'!$E$3:$E$500),2),"")</f>
        <v>0.53</v>
      </c>
      <c r="F11" s="164" t="n">
        <f aca="false">IFERROR(ROUND(CORREL('Returns (Calc)'!$G$3:$G$500,'Returns (Calc)'!$F$3:$F$500),2),"")</f>
        <v>0.33</v>
      </c>
      <c r="G11" s="164" t="n">
        <v>1</v>
      </c>
      <c r="H11" s="164" t="n">
        <f aca="false">IFERROR(ROUND(CORREL('Returns (Calc)'!$G$3:$G$500,'Returns (Calc)'!$H$3:$H$500),2),"")</f>
        <v>0.59</v>
      </c>
      <c r="I11" s="164" t="n">
        <f aca="false">IFERROR(ROUND(CORREL('Returns (Calc)'!$G$3:$G$500,'Returns (Calc)'!$I$3:$I$500),2),"")</f>
        <v>0.52</v>
      </c>
      <c r="J11" s="164" t="n">
        <f aca="false">IFERROR(ROUND(CORREL('Returns (Calc)'!$G$3:$G$500,'Returns (Calc)'!$J$3:$J$500),2),"")</f>
        <v>0.27</v>
      </c>
      <c r="K11" s="164" t="n">
        <f aca="false">IFERROR(ROUND(CORREL('Returns (Calc)'!$G$3:$G$500,'Returns (Calc)'!$K$3:$K$500),2),"")</f>
        <v>0.25</v>
      </c>
      <c r="L11" s="164" t="n">
        <f aca="false">IFERROR(ROUND(CORREL('Returns (Calc)'!$G$3:$G$500,'Returns (Calc)'!$L$3:$L$500),2),"")</f>
        <v>0.62</v>
      </c>
      <c r="M11" s="164" t="n">
        <f aca="false">IFERROR(ROUND(CORREL('Returns (Calc)'!$G$3:$G$500,'Returns (Calc)'!$M$3:$M$500),2),"")</f>
        <v>0.5</v>
      </c>
      <c r="N11" s="164" t="n">
        <f aca="false">IFERROR(ROUND(CORREL('Returns (Calc)'!$G$3:$G$500,'Returns (Calc)'!$N$3:$N$500),2),"")</f>
        <v>0.16</v>
      </c>
      <c r="O11" s="164" t="n">
        <f aca="false">IFERROR(ROUND(CORREL('Returns (Calc)'!$G$3:$G$500,'Returns (Calc)'!$O$3:$O$500),2),"")</f>
        <v>0.43</v>
      </c>
      <c r="P11" s="164" t="n">
        <f aca="false">IFERROR(ROUND(CORREL('Returns (Calc)'!$G$3:$G$500,'Returns (Calc)'!$P$3:$P$500),2),"")</f>
        <v>0.25</v>
      </c>
      <c r="Q11" s="164" t="n">
        <f aca="false">IFERROR(ROUND(CORREL('Returns (Calc)'!$G$3:$G$500,'Returns (Calc)'!$Q$3:$Q$500),2),"")</f>
        <v>0.52</v>
      </c>
      <c r="R11" s="164" t="n">
        <f aca="false">IFERROR(ROUND(CORREL('Returns (Calc)'!$G$3:$G$500,'Returns (Calc)'!$R$3:$R$500),2),"")</f>
        <v>0.62</v>
      </c>
      <c r="S11" s="164" t="n">
        <f aca="false">IFERROR(ROUND(CORREL('Returns (Calc)'!$G$3:$G$500,'Returns (Calc)'!$S$3:$S$500),2),"")</f>
        <v>0.67</v>
      </c>
      <c r="T11" s="164" t="n">
        <f aca="false">IFERROR(ROUND(CORREL('Returns (Calc)'!$G$3:$G$500,'Returns (Calc)'!$T$3:$T$500),2),"")</f>
        <v>0.31</v>
      </c>
      <c r="U11" s="164" t="n">
        <f aca="false">IFERROR(ROUND(CORREL('Returns (Calc)'!$G$3:$G$500,'Returns (Calc)'!$U$3:$U$500),2),"")</f>
        <v>0.28</v>
      </c>
      <c r="V11" s="164" t="n">
        <f aca="false">IFERROR(ROUND(CORREL('Returns (Calc)'!$G$3:$G$500,'Returns (Calc)'!$V$3:$V$500),2),"")</f>
        <v>0.02</v>
      </c>
      <c r="W11" s="164" t="n">
        <f aca="false">IFERROR(ROUND(CORREL('Returns (Calc)'!$G$3:$G$500,'Returns (Calc)'!$AP$3:$AP$500),2),"")</f>
        <v>0.45</v>
      </c>
      <c r="X11" s="164" t="n">
        <f aca="false">IFERROR(ROUND(CORREL('Returns (Calc)'!$G$3:$G$500,'Returns (Calc)'!$AQ$3:$AQ$500),2),"")</f>
        <v>-0.17</v>
      </c>
      <c r="Y11" s="164" t="n">
        <f aca="false">IFERROR(ROUND(CORREL('Returns (Calc)'!$G$3:$G$500,'Returns (Calc)'!$AR$3:$AR$500),2),"")</f>
        <v>0.45</v>
      </c>
      <c r="Z11" s="164" t="n">
        <f aca="false">IFERROR(ROUND(CORREL('Returns (Calc)'!$G$3:$G$500,'Returns (Calc)'!$AS$3:$AS$500),2),"")</f>
        <v>0.38</v>
      </c>
      <c r="AA11" s="164" t="n">
        <f aca="false">IFERROR(ROUND(CORREL('Returns (Calc)'!$G$3:$G$500,'Returns (Calc)'!$AT$3:$AT$500),2),"")</f>
        <v>0.11</v>
      </c>
      <c r="AB11" s="164" t="n">
        <f aca="false">IFERROR(ROUND(CORREL('Returns (Calc)'!$G$3:$G$500,'Returns (Calc)'!$AU$3:$AU$500),2),"")</f>
        <v>0.02</v>
      </c>
      <c r="AG11" s="165" t="n">
        <f aca="false">COUNTIF(B11:AB11,"&gt;0.7")-1</f>
        <v>1</v>
      </c>
    </row>
    <row r="12" customFormat="false" ht="15" hidden="false" customHeight="true" outlineLevel="0" collapsed="false">
      <c r="A12" s="163" t="str">
        <f aca="false">'Returns (Calc)'!H2</f>
        <v>MU</v>
      </c>
      <c r="B12" s="164" t="n">
        <f aca="false">IFERROR(ROUND(CORREL('Returns (Calc)'!$H$3:$H$500,'Returns (Calc)'!$B$3:$B$500),2),"")</f>
        <v>0.04</v>
      </c>
      <c r="C12" s="164" t="n">
        <f aca="false">IFERROR(ROUND(CORREL('Returns (Calc)'!$H$3:$H$500,'Returns (Calc)'!$C$3:$C$500),2),"")</f>
        <v>0.34</v>
      </c>
      <c r="D12" s="164" t="n">
        <f aca="false">IFERROR(ROUND(CORREL('Returns (Calc)'!$H$3:$H$500,'Returns (Calc)'!$D$3:$D$500),2),"")</f>
        <v>0.6</v>
      </c>
      <c r="E12" s="164" t="n">
        <f aca="false">IFERROR(ROUND(CORREL('Returns (Calc)'!$H$3:$H$500,'Returns (Calc)'!$E$3:$E$500),2),"")</f>
        <v>0.48</v>
      </c>
      <c r="F12" s="164" t="n">
        <f aca="false">IFERROR(ROUND(CORREL('Returns (Calc)'!$H$3:$H$500,'Returns (Calc)'!$F$3:$F$500),2),"")</f>
        <v>0.32</v>
      </c>
      <c r="G12" s="164" t="n">
        <f aca="false">IFERROR(ROUND(CORREL('Returns (Calc)'!$H$3:$H$500,'Returns (Calc)'!$G$3:$G$500),2),"")</f>
        <v>0.59</v>
      </c>
      <c r="H12" s="164" t="n">
        <v>1</v>
      </c>
      <c r="I12" s="164" t="n">
        <f aca="false">IFERROR(ROUND(CORREL('Returns (Calc)'!$H$3:$H$500,'Returns (Calc)'!$I$3:$I$500),2),"")</f>
        <v>0.5</v>
      </c>
      <c r="J12" s="164" t="n">
        <f aca="false">IFERROR(ROUND(CORREL('Returns (Calc)'!$H$3:$H$500,'Returns (Calc)'!$J$3:$J$500),2),"")</f>
        <v>0.2</v>
      </c>
      <c r="K12" s="164" t="n">
        <f aca="false">IFERROR(ROUND(CORREL('Returns (Calc)'!$H$3:$H$500,'Returns (Calc)'!$K$3:$K$500),2),"")</f>
        <v>0.17</v>
      </c>
      <c r="L12" s="164" t="n">
        <f aca="false">IFERROR(ROUND(CORREL('Returns (Calc)'!$H$3:$H$500,'Returns (Calc)'!$L$3:$L$500),2),"")</f>
        <v>0.56</v>
      </c>
      <c r="M12" s="164" t="n">
        <f aca="false">IFERROR(ROUND(CORREL('Returns (Calc)'!$H$3:$H$500,'Returns (Calc)'!$M$3:$M$500),2),"")</f>
        <v>0.5</v>
      </c>
      <c r="N12" s="164" t="n">
        <f aca="false">IFERROR(ROUND(CORREL('Returns (Calc)'!$H$3:$H$500,'Returns (Calc)'!$N$3:$N$500),2),"")</f>
        <v>0.18</v>
      </c>
      <c r="O12" s="164" t="n">
        <f aca="false">IFERROR(ROUND(CORREL('Returns (Calc)'!$H$3:$H$500,'Returns (Calc)'!$O$3:$O$500),2),"")</f>
        <v>0.35</v>
      </c>
      <c r="P12" s="164" t="n">
        <f aca="false">IFERROR(ROUND(CORREL('Returns (Calc)'!$H$3:$H$500,'Returns (Calc)'!$P$3:$P$500),2),"")</f>
        <v>0.23</v>
      </c>
      <c r="Q12" s="164" t="n">
        <f aca="false">IFERROR(ROUND(CORREL('Returns (Calc)'!$H$3:$H$500,'Returns (Calc)'!$Q$3:$Q$500),2),"")</f>
        <v>0.51</v>
      </c>
      <c r="R12" s="164" t="n">
        <f aca="false">IFERROR(ROUND(CORREL('Returns (Calc)'!$H$3:$H$500,'Returns (Calc)'!$R$3:$R$500),2),"")</f>
        <v>0.61</v>
      </c>
      <c r="S12" s="164" t="n">
        <f aca="false">IFERROR(ROUND(CORREL('Returns (Calc)'!$H$3:$H$500,'Returns (Calc)'!$S$3:$S$500),2),"")</f>
        <v>0.66</v>
      </c>
      <c r="T12" s="164" t="n">
        <f aca="false">IFERROR(ROUND(CORREL('Returns (Calc)'!$H$3:$H$500,'Returns (Calc)'!$T$3:$T$500),2),"")</f>
        <v>0.42</v>
      </c>
      <c r="U12" s="164" t="n">
        <f aca="false">IFERROR(ROUND(CORREL('Returns (Calc)'!$H$3:$H$500,'Returns (Calc)'!$U$3:$U$500),2),"")</f>
        <v>0.26</v>
      </c>
      <c r="V12" s="164" t="n">
        <f aca="false">IFERROR(ROUND(CORREL('Returns (Calc)'!$H$3:$H$500,'Returns (Calc)'!$V$3:$V$500),2),"")</f>
        <v>0.02</v>
      </c>
      <c r="W12" s="164" t="n">
        <f aca="false">IFERROR(ROUND(CORREL('Returns (Calc)'!$H$3:$H$500,'Returns (Calc)'!$AP$3:$AP$500),2),"")</f>
        <v>0.39</v>
      </c>
      <c r="X12" s="164" t="n">
        <f aca="false">IFERROR(ROUND(CORREL('Returns (Calc)'!$H$3:$H$500,'Returns (Calc)'!$AQ$3:$AQ$500),2),"")</f>
        <v>-0.35</v>
      </c>
      <c r="Y12" s="164" t="n">
        <f aca="false">IFERROR(ROUND(CORREL('Returns (Calc)'!$H$3:$H$500,'Returns (Calc)'!$AR$3:$AR$500),2),"")</f>
        <v>0.35</v>
      </c>
      <c r="Z12" s="164" t="n">
        <f aca="false">IFERROR(ROUND(CORREL('Returns (Calc)'!$H$3:$H$500,'Returns (Calc)'!$AS$3:$AS$500),2),"")</f>
        <v>0.36</v>
      </c>
      <c r="AA12" s="164" t="n">
        <f aca="false">IFERROR(ROUND(CORREL('Returns (Calc)'!$H$3:$H$500,'Returns (Calc)'!$AT$3:$AT$500),2),"")</f>
        <v>0.1</v>
      </c>
      <c r="AB12" s="164" t="n">
        <f aca="false">IFERROR(ROUND(CORREL('Returns (Calc)'!$H$3:$H$500,'Returns (Calc)'!$AU$3:$AU$500),2),"")</f>
        <v>0.11</v>
      </c>
      <c r="AG12" s="165" t="n">
        <f aca="false">COUNTIF(B12:AB12,"&gt;0.7")-1</f>
        <v>0</v>
      </c>
    </row>
    <row r="13" customFormat="false" ht="15" hidden="false" customHeight="true" outlineLevel="0" collapsed="false">
      <c r="A13" s="163" t="str">
        <f aca="false">'Returns (Calc)'!I2</f>
        <v>NVDA</v>
      </c>
      <c r="B13" s="164" t="n">
        <f aca="false">IFERROR(ROUND(CORREL('Returns (Calc)'!$I$3:$I$500,'Returns (Calc)'!$B$3:$B$500),2),"")</f>
        <v>0.21</v>
      </c>
      <c r="C13" s="164" t="n">
        <f aca="false">IFERROR(ROUND(CORREL('Returns (Calc)'!$I$3:$I$500,'Returns (Calc)'!$C$3:$C$500),2),"")</f>
        <v>0.52</v>
      </c>
      <c r="D13" s="164" t="n">
        <f aca="false">IFERROR(ROUND(CORREL('Returns (Calc)'!$I$3:$I$500,'Returns (Calc)'!$D$3:$D$500),2),"")</f>
        <v>0.49</v>
      </c>
      <c r="E13" s="164" t="n">
        <f aca="false">IFERROR(ROUND(CORREL('Returns (Calc)'!$I$3:$I$500,'Returns (Calc)'!$E$3:$E$500),2),"")</f>
        <v>0.62</v>
      </c>
      <c r="F13" s="164" t="n">
        <f aca="false">IFERROR(ROUND(CORREL('Returns (Calc)'!$I$3:$I$500,'Returns (Calc)'!$F$3:$F$500),2),"")</f>
        <v>0.46</v>
      </c>
      <c r="G13" s="164" t="n">
        <f aca="false">IFERROR(ROUND(CORREL('Returns (Calc)'!$I$3:$I$500,'Returns (Calc)'!$G$3:$G$500),2),"")</f>
        <v>0.52</v>
      </c>
      <c r="H13" s="164" t="n">
        <f aca="false">IFERROR(ROUND(CORREL('Returns (Calc)'!$I$3:$I$500,'Returns (Calc)'!$H$3:$H$500),2),"")</f>
        <v>0.5</v>
      </c>
      <c r="I13" s="164" t="n">
        <v>1</v>
      </c>
      <c r="J13" s="164" t="n">
        <f aca="false">IFERROR(ROUND(CORREL('Returns (Calc)'!$I$3:$I$500,'Returns (Calc)'!$J$3:$J$500),2),"")</f>
        <v>0.16</v>
      </c>
      <c r="K13" s="164" t="n">
        <f aca="false">IFERROR(ROUND(CORREL('Returns (Calc)'!$I$3:$I$500,'Returns (Calc)'!$K$3:$K$500),2),"")</f>
        <v>0.46</v>
      </c>
      <c r="L13" s="164" t="n">
        <f aca="false">IFERROR(ROUND(CORREL('Returns (Calc)'!$I$3:$I$500,'Returns (Calc)'!$L$3:$L$500),2),"")</f>
        <v>0.64</v>
      </c>
      <c r="M13" s="164" t="n">
        <f aca="false">IFERROR(ROUND(CORREL('Returns (Calc)'!$I$3:$I$500,'Returns (Calc)'!$M$3:$M$500),2),"")</f>
        <v>0.65</v>
      </c>
      <c r="N13" s="164" t="n">
        <f aca="false">IFERROR(ROUND(CORREL('Returns (Calc)'!$I$3:$I$500,'Returns (Calc)'!$N$3:$N$500),2),"")</f>
        <v>0.14</v>
      </c>
      <c r="O13" s="164" t="n">
        <f aca="false">IFERROR(ROUND(CORREL('Returns (Calc)'!$I$3:$I$500,'Returns (Calc)'!$O$3:$O$500),2),"")</f>
        <v>0.28</v>
      </c>
      <c r="P13" s="164" t="n">
        <f aca="false">IFERROR(ROUND(CORREL('Returns (Calc)'!$I$3:$I$500,'Returns (Calc)'!$P$3:$P$500),2),"")</f>
        <v>0.14</v>
      </c>
      <c r="Q13" s="164" t="n">
        <f aca="false">IFERROR(ROUND(CORREL('Returns (Calc)'!$I$3:$I$500,'Returns (Calc)'!$Q$3:$Q$500),2),"")</f>
        <v>0.7</v>
      </c>
      <c r="R13" s="164" t="n">
        <f aca="false">IFERROR(ROUND(CORREL('Returns (Calc)'!$I$3:$I$500,'Returns (Calc)'!$R$3:$R$500),2),"")</f>
        <v>0.74</v>
      </c>
      <c r="S13" s="164" t="n">
        <f aca="false">IFERROR(ROUND(CORREL('Returns (Calc)'!$I$3:$I$500,'Returns (Calc)'!$S$3:$S$500),2),"")</f>
        <v>0.75</v>
      </c>
      <c r="T13" s="164" t="n">
        <f aca="false">IFERROR(ROUND(CORREL('Returns (Calc)'!$I$3:$I$500,'Returns (Calc)'!$T$3:$T$500),2),"")</f>
        <v>0.3</v>
      </c>
      <c r="U13" s="164" t="n">
        <f aca="false">IFERROR(ROUND(CORREL('Returns (Calc)'!$I$3:$I$500,'Returns (Calc)'!$U$3:$U$500),2),"")</f>
        <v>0.18</v>
      </c>
      <c r="V13" s="164" t="n">
        <f aca="false">IFERROR(ROUND(CORREL('Returns (Calc)'!$I$3:$I$500,'Returns (Calc)'!$V$3:$V$500),2),"")</f>
        <v>0.2</v>
      </c>
      <c r="W13" s="164" t="n">
        <f aca="false">IFERROR(ROUND(CORREL('Returns (Calc)'!$I$3:$I$500,'Returns (Calc)'!$AP$3:$AP$500),2),"")</f>
        <v>0.38</v>
      </c>
      <c r="X13" s="164" t="n">
        <f aca="false">IFERROR(ROUND(CORREL('Returns (Calc)'!$I$3:$I$500,'Returns (Calc)'!$AQ$3:$AQ$500),2),"")</f>
        <v>-0.31</v>
      </c>
      <c r="Y13" s="164" t="n">
        <f aca="false">IFERROR(ROUND(CORREL('Returns (Calc)'!$I$3:$I$500,'Returns (Calc)'!$AR$3:$AR$500),2),"")</f>
        <v>0.44</v>
      </c>
      <c r="Z13" s="164" t="n">
        <f aca="false">IFERROR(ROUND(CORREL('Returns (Calc)'!$I$3:$I$500,'Returns (Calc)'!$AS$3:$AS$500),2),"")</f>
        <v>0.38</v>
      </c>
      <c r="AA13" s="164" t="n">
        <f aca="false">IFERROR(ROUND(CORREL('Returns (Calc)'!$I$3:$I$500,'Returns (Calc)'!$AT$3:$AT$500),2),"")</f>
        <v>0.27</v>
      </c>
      <c r="AB13" s="164" t="n">
        <f aca="false">IFERROR(ROUND(CORREL('Returns (Calc)'!$I$3:$I$500,'Returns (Calc)'!$AU$3:$AU$500),2),"")</f>
        <v>0.15</v>
      </c>
      <c r="AG13" s="165" t="n">
        <f aca="false">COUNTIF(B13:AB13,"&gt;0.7")-1</f>
        <v>2</v>
      </c>
    </row>
    <row r="14" customFormat="false" ht="15" hidden="false" customHeight="true" outlineLevel="0" collapsed="false">
      <c r="A14" s="163" t="str">
        <f aca="false">'Returns (Calc)'!J2</f>
        <v>PLD</v>
      </c>
      <c r="B14" s="164" t="n">
        <f aca="false">IFERROR(ROUND(CORREL('Returns (Calc)'!$J$3:$J$500,'Returns (Calc)'!$B$3:$B$500),2),"")</f>
        <v>0.17</v>
      </c>
      <c r="C14" s="164" t="n">
        <f aca="false">IFERROR(ROUND(CORREL('Returns (Calc)'!$J$3:$J$500,'Returns (Calc)'!$C$3:$C$500),2),"")</f>
        <v>0.18</v>
      </c>
      <c r="D14" s="164" t="n">
        <f aca="false">IFERROR(ROUND(CORREL('Returns (Calc)'!$J$3:$J$500,'Returns (Calc)'!$D$3:$D$500),2),"")</f>
        <v>0.27</v>
      </c>
      <c r="E14" s="164" t="n">
        <f aca="false">IFERROR(ROUND(CORREL('Returns (Calc)'!$J$3:$J$500,'Returns (Calc)'!$E$3:$E$500),2),"")</f>
        <v>0.22</v>
      </c>
      <c r="F14" s="164" t="n">
        <f aca="false">IFERROR(ROUND(CORREL('Returns (Calc)'!$J$3:$J$500,'Returns (Calc)'!$F$3:$F$500),2),"")</f>
        <v>0.1</v>
      </c>
      <c r="G14" s="164" t="n">
        <f aca="false">IFERROR(ROUND(CORREL('Returns (Calc)'!$J$3:$J$500,'Returns (Calc)'!$G$3:$G$500),2),"")</f>
        <v>0.27</v>
      </c>
      <c r="H14" s="164" t="n">
        <f aca="false">IFERROR(ROUND(CORREL('Returns (Calc)'!$J$3:$J$500,'Returns (Calc)'!$H$3:$H$500),2),"")</f>
        <v>0.2</v>
      </c>
      <c r="I14" s="164" t="n">
        <f aca="false">IFERROR(ROUND(CORREL('Returns (Calc)'!$J$3:$J$500,'Returns (Calc)'!$I$3:$I$500),2),"")</f>
        <v>0.16</v>
      </c>
      <c r="J14" s="164" t="n">
        <v>1</v>
      </c>
      <c r="K14" s="164" t="n">
        <f aca="false">IFERROR(ROUND(CORREL('Returns (Calc)'!$J$3:$J$500,'Returns (Calc)'!$K$3:$K$500),2),"")</f>
        <v>0.13</v>
      </c>
      <c r="L14" s="164" t="n">
        <f aca="false">IFERROR(ROUND(CORREL('Returns (Calc)'!$J$3:$J$500,'Returns (Calc)'!$L$3:$L$500),2),"")</f>
        <v>0.2</v>
      </c>
      <c r="M14" s="164" t="n">
        <f aca="false">IFERROR(ROUND(CORREL('Returns (Calc)'!$J$3:$J$500,'Returns (Calc)'!$M$3:$M$500),2),"")</f>
        <v>0.15</v>
      </c>
      <c r="N14" s="164" t="n">
        <f aca="false">IFERROR(ROUND(CORREL('Returns (Calc)'!$J$3:$J$500,'Returns (Calc)'!$N$3:$N$500),2),"")</f>
        <v>0.25</v>
      </c>
      <c r="O14" s="164" t="n">
        <f aca="false">IFERROR(ROUND(CORREL('Returns (Calc)'!$J$3:$J$500,'Returns (Calc)'!$O$3:$O$500),2),"")</f>
        <v>0.62</v>
      </c>
      <c r="P14" s="164" t="n">
        <f aca="false">IFERROR(ROUND(CORREL('Returns (Calc)'!$J$3:$J$500,'Returns (Calc)'!$P$3:$P$500),2),"")</f>
        <v>0.65</v>
      </c>
      <c r="Q14" s="164" t="n">
        <f aca="false">IFERROR(ROUND(CORREL('Returns (Calc)'!$J$3:$J$500,'Returns (Calc)'!$Q$3:$Q$500),2),"")</f>
        <v>0.48</v>
      </c>
      <c r="R14" s="164" t="n">
        <f aca="false">IFERROR(ROUND(CORREL('Returns (Calc)'!$J$3:$J$500,'Returns (Calc)'!$R$3:$R$500),2),"")</f>
        <v>0.36</v>
      </c>
      <c r="S14" s="164" t="n">
        <f aca="false">IFERROR(ROUND(CORREL('Returns (Calc)'!$J$3:$J$500,'Returns (Calc)'!$S$3:$S$500),2),"")</f>
        <v>0.34</v>
      </c>
      <c r="T14" s="164" t="n">
        <f aca="false">IFERROR(ROUND(CORREL('Returns (Calc)'!$J$3:$J$500,'Returns (Calc)'!$T$3:$T$500),2),"")</f>
        <v>0.52</v>
      </c>
      <c r="U14" s="164" t="n">
        <f aca="false">IFERROR(ROUND(CORREL('Returns (Calc)'!$J$3:$J$500,'Returns (Calc)'!$U$3:$U$500),2),"")</f>
        <v>0.66</v>
      </c>
      <c r="V14" s="164" t="n">
        <f aca="false">IFERROR(ROUND(CORREL('Returns (Calc)'!$J$3:$J$500,'Returns (Calc)'!$V$3:$V$500),2),"")</f>
        <v>0.37</v>
      </c>
      <c r="W14" s="164" t="n">
        <f aca="false">IFERROR(ROUND(CORREL('Returns (Calc)'!$J$3:$J$500,'Returns (Calc)'!$AP$3:$AP$500),2),"")</f>
        <v>0.65</v>
      </c>
      <c r="X14" s="164" t="n">
        <f aca="false">IFERROR(ROUND(CORREL('Returns (Calc)'!$J$3:$J$500,'Returns (Calc)'!$AQ$3:$AQ$500),2),"")</f>
        <v>0.09</v>
      </c>
      <c r="Y14" s="164" t="n">
        <f aca="false">IFERROR(ROUND(CORREL('Returns (Calc)'!$J$3:$J$500,'Returns (Calc)'!$AR$3:$AR$500),2),"")</f>
        <v>0.61</v>
      </c>
      <c r="Z14" s="164" t="n">
        <f aca="false">IFERROR(ROUND(CORREL('Returns (Calc)'!$J$3:$J$500,'Returns (Calc)'!$AS$3:$AS$500),2),"")</f>
        <v>0.3</v>
      </c>
      <c r="AA14" s="164" t="n">
        <f aca="false">IFERROR(ROUND(CORREL('Returns (Calc)'!$J$3:$J$500,'Returns (Calc)'!$AT$3:$AT$500),2),"")</f>
        <v>0.13</v>
      </c>
      <c r="AB14" s="164" t="n">
        <f aca="false">IFERROR(ROUND(CORREL('Returns (Calc)'!$J$3:$J$500,'Returns (Calc)'!$AU$3:$AU$500),2),"")</f>
        <v>0.15</v>
      </c>
      <c r="AG14" s="165" t="n">
        <f aca="false">COUNTIF(B14:AB14,"&gt;0.7")-1</f>
        <v>0</v>
      </c>
    </row>
    <row r="15" customFormat="false" ht="15" hidden="false" customHeight="true" outlineLevel="0" collapsed="false">
      <c r="A15" s="163" t="str">
        <f aca="false">'Returns (Calc)'!K2</f>
        <v>PLTR</v>
      </c>
      <c r="B15" s="164" t="n">
        <f aca="false">IFERROR(ROUND(CORREL('Returns (Calc)'!$K$3:$K$500,'Returns (Calc)'!$B$3:$B$500),2),"")</f>
        <v>0.37</v>
      </c>
      <c r="C15" s="164" t="n">
        <f aca="false">IFERROR(ROUND(CORREL('Returns (Calc)'!$K$3:$K$500,'Returns (Calc)'!$C$3:$C$500),2),"")</f>
        <v>0.34</v>
      </c>
      <c r="D15" s="164" t="n">
        <f aca="false">IFERROR(ROUND(CORREL('Returns (Calc)'!$K$3:$K$500,'Returns (Calc)'!$D$3:$D$500),2),"")</f>
        <v>0.21</v>
      </c>
      <c r="E15" s="164" t="n">
        <f aca="false">IFERROR(ROUND(CORREL('Returns (Calc)'!$K$3:$K$500,'Returns (Calc)'!$E$3:$E$500),2),"")</f>
        <v>0.38</v>
      </c>
      <c r="F15" s="164" t="n">
        <f aca="false">IFERROR(ROUND(CORREL('Returns (Calc)'!$K$3:$K$500,'Returns (Calc)'!$F$3:$F$500),2),"")</f>
        <v>0.5</v>
      </c>
      <c r="G15" s="164" t="n">
        <f aca="false">IFERROR(ROUND(CORREL('Returns (Calc)'!$K$3:$K$500,'Returns (Calc)'!$G$3:$G$500),2),"")</f>
        <v>0.25</v>
      </c>
      <c r="H15" s="164" t="n">
        <f aca="false">IFERROR(ROUND(CORREL('Returns (Calc)'!$K$3:$K$500,'Returns (Calc)'!$H$3:$H$500),2),"")</f>
        <v>0.17</v>
      </c>
      <c r="I15" s="164" t="n">
        <f aca="false">IFERROR(ROUND(CORREL('Returns (Calc)'!$K$3:$K$500,'Returns (Calc)'!$I$3:$I$500),2),"")</f>
        <v>0.46</v>
      </c>
      <c r="J15" s="164" t="n">
        <f aca="false">IFERROR(ROUND(CORREL('Returns (Calc)'!$K$3:$K$500,'Returns (Calc)'!$J$3:$J$500),2),"")</f>
        <v>0.13</v>
      </c>
      <c r="K15" s="164" t="n">
        <v>1</v>
      </c>
      <c r="L15" s="164" t="n">
        <f aca="false">IFERROR(ROUND(CORREL('Returns (Calc)'!$K$3:$K$500,'Returns (Calc)'!$L$3:$L$500),2),"")</f>
        <v>0.38</v>
      </c>
      <c r="M15" s="164" t="n">
        <f aca="false">IFERROR(ROUND(CORREL('Returns (Calc)'!$K$3:$K$500,'Returns (Calc)'!$M$3:$M$500),2),"")</f>
        <v>0.32</v>
      </c>
      <c r="N15" s="164" t="n">
        <f aca="false">IFERROR(ROUND(CORREL('Returns (Calc)'!$K$3:$K$500,'Returns (Calc)'!$N$3:$N$500),2),"")</f>
        <v>0.07</v>
      </c>
      <c r="O15" s="164" t="n">
        <f aca="false">IFERROR(ROUND(CORREL('Returns (Calc)'!$K$3:$K$500,'Returns (Calc)'!$O$3:$O$500),2),"")</f>
        <v>0.23</v>
      </c>
      <c r="P15" s="164" t="n">
        <f aca="false">IFERROR(ROUND(CORREL('Returns (Calc)'!$K$3:$K$500,'Returns (Calc)'!$P$3:$P$500),2),"")</f>
        <v>0.1</v>
      </c>
      <c r="Q15" s="164" t="n">
        <f aca="false">IFERROR(ROUND(CORREL('Returns (Calc)'!$K$3:$K$500,'Returns (Calc)'!$Q$3:$Q$500),2),"")</f>
        <v>0.48</v>
      </c>
      <c r="R15" s="164" t="n">
        <f aca="false">IFERROR(ROUND(CORREL('Returns (Calc)'!$K$3:$K$500,'Returns (Calc)'!$R$3:$R$500),2),"")</f>
        <v>0.52</v>
      </c>
      <c r="S15" s="164" t="n">
        <f aca="false">IFERROR(ROUND(CORREL('Returns (Calc)'!$K$3:$K$500,'Returns (Calc)'!$S$3:$S$500),2),"")</f>
        <v>0.44</v>
      </c>
      <c r="T15" s="164" t="n">
        <f aca="false">IFERROR(ROUND(CORREL('Returns (Calc)'!$K$3:$K$500,'Returns (Calc)'!$T$3:$T$500),2),"")</f>
        <v>0.34</v>
      </c>
      <c r="U15" s="164" t="n">
        <f aca="false">IFERROR(ROUND(CORREL('Returns (Calc)'!$K$3:$K$500,'Returns (Calc)'!$U$3:$U$500),2),"")</f>
        <v>0.14</v>
      </c>
      <c r="V15" s="164" t="n">
        <f aca="false">IFERROR(ROUND(CORREL('Returns (Calc)'!$K$3:$K$500,'Returns (Calc)'!$V$3:$V$500),2),"")</f>
        <v>0.24</v>
      </c>
      <c r="W15" s="164" t="n">
        <f aca="false">IFERROR(ROUND(CORREL('Returns (Calc)'!$K$3:$K$500,'Returns (Calc)'!$AP$3:$AP$500),2),"")</f>
        <v>0.26</v>
      </c>
      <c r="X15" s="164" t="n">
        <f aca="false">IFERROR(ROUND(CORREL('Returns (Calc)'!$K$3:$K$500,'Returns (Calc)'!$AQ$3:$AQ$500),2),"")</f>
        <v>-0.48</v>
      </c>
      <c r="Y15" s="164" t="n">
        <f aca="false">IFERROR(ROUND(CORREL('Returns (Calc)'!$K$3:$K$500,'Returns (Calc)'!$AR$3:$AR$500),2),"")</f>
        <v>0.31</v>
      </c>
      <c r="Z15" s="164" t="n">
        <f aca="false">IFERROR(ROUND(CORREL('Returns (Calc)'!$K$3:$K$500,'Returns (Calc)'!$AS$3:$AS$500),2),"")</f>
        <v>0.26</v>
      </c>
      <c r="AA15" s="164" t="n">
        <f aca="false">IFERROR(ROUND(CORREL('Returns (Calc)'!$K$3:$K$500,'Returns (Calc)'!$AT$3:$AT$500),2),"")</f>
        <v>0.3</v>
      </c>
      <c r="AB15" s="164" t="n">
        <f aca="false">IFERROR(ROUND(CORREL('Returns (Calc)'!$K$3:$K$500,'Returns (Calc)'!$AU$3:$AU$500),2),"")</f>
        <v>0.41</v>
      </c>
      <c r="AG15" s="165" t="n">
        <f aca="false">COUNTIF(B15:AB15,"&gt;0.7")-1</f>
        <v>0</v>
      </c>
    </row>
    <row r="16" customFormat="false" ht="15" hidden="false" customHeight="true" outlineLevel="0" collapsed="false">
      <c r="A16" s="163" t="str">
        <f aca="false">'Returns (Calc)'!L2</f>
        <v>TSM</v>
      </c>
      <c r="B16" s="164" t="n">
        <f aca="false">IFERROR(ROUND(CORREL('Returns (Calc)'!$L$3:$L$500,'Returns (Calc)'!$B$3:$B$500),2),"")</f>
        <v>0.15</v>
      </c>
      <c r="C16" s="164" t="n">
        <f aca="false">IFERROR(ROUND(CORREL('Returns (Calc)'!$L$3:$L$500,'Returns (Calc)'!$C$3:$C$500),2),"")</f>
        <v>0.55</v>
      </c>
      <c r="D16" s="164" t="n">
        <f aca="false">IFERROR(ROUND(CORREL('Returns (Calc)'!$L$3:$L$500,'Returns (Calc)'!$D$3:$D$500),2),"")</f>
        <v>0.64</v>
      </c>
      <c r="E16" s="164" t="n">
        <f aca="false">IFERROR(ROUND(CORREL('Returns (Calc)'!$L$3:$L$500,'Returns (Calc)'!$E$3:$E$500),2),"")</f>
        <v>0.63</v>
      </c>
      <c r="F16" s="164" t="n">
        <f aca="false">IFERROR(ROUND(CORREL('Returns (Calc)'!$L$3:$L$500,'Returns (Calc)'!$F$3:$F$500),2),"")</f>
        <v>0.39</v>
      </c>
      <c r="G16" s="164" t="n">
        <f aca="false">IFERROR(ROUND(CORREL('Returns (Calc)'!$L$3:$L$500,'Returns (Calc)'!$G$3:$G$500),2),"")</f>
        <v>0.62</v>
      </c>
      <c r="H16" s="164" t="n">
        <f aca="false">IFERROR(ROUND(CORREL('Returns (Calc)'!$L$3:$L$500,'Returns (Calc)'!$H$3:$H$500),2),"")</f>
        <v>0.56</v>
      </c>
      <c r="I16" s="164" t="n">
        <f aca="false">IFERROR(ROUND(CORREL('Returns (Calc)'!$L$3:$L$500,'Returns (Calc)'!$I$3:$I$500),2),"")</f>
        <v>0.64</v>
      </c>
      <c r="J16" s="164" t="n">
        <f aca="false">IFERROR(ROUND(CORREL('Returns (Calc)'!$L$3:$L$500,'Returns (Calc)'!$J$3:$J$500),2),"")</f>
        <v>0.2</v>
      </c>
      <c r="K16" s="164" t="n">
        <f aca="false">IFERROR(ROUND(CORREL('Returns (Calc)'!$L$3:$L$500,'Returns (Calc)'!$K$3:$K$500),2),"")</f>
        <v>0.38</v>
      </c>
      <c r="L16" s="164" t="n">
        <v>1</v>
      </c>
      <c r="M16" s="164" t="n">
        <f aca="false">IFERROR(ROUND(CORREL('Returns (Calc)'!$L$3:$L$500,'Returns (Calc)'!$M$3:$M$500),2),"")</f>
        <v>0.6</v>
      </c>
      <c r="N16" s="164" t="n">
        <f aca="false">IFERROR(ROUND(CORREL('Returns (Calc)'!$L$3:$L$500,'Returns (Calc)'!$N$3:$N$500),2),"")</f>
        <v>0.15</v>
      </c>
      <c r="O16" s="164" t="n">
        <f aca="false">IFERROR(ROUND(CORREL('Returns (Calc)'!$L$3:$L$500,'Returns (Calc)'!$O$3:$O$500),2),"")</f>
        <v>0.33</v>
      </c>
      <c r="P16" s="164" t="n">
        <f aca="false">IFERROR(ROUND(CORREL('Returns (Calc)'!$L$3:$L$500,'Returns (Calc)'!$P$3:$P$500),2),"")</f>
        <v>0.16</v>
      </c>
      <c r="Q16" s="164" t="n">
        <f aca="false">IFERROR(ROUND(CORREL('Returns (Calc)'!$L$3:$L$500,'Returns (Calc)'!$Q$3:$Q$500),2),"")</f>
        <v>0.63</v>
      </c>
      <c r="R16" s="164" t="n">
        <f aca="false">IFERROR(ROUND(CORREL('Returns (Calc)'!$L$3:$L$500,'Returns (Calc)'!$R$3:$R$500),2),"")</f>
        <v>0.69</v>
      </c>
      <c r="S16" s="164" t="n">
        <f aca="false">IFERROR(ROUND(CORREL('Returns (Calc)'!$L$3:$L$500,'Returns (Calc)'!$S$3:$S$500),2),"")</f>
        <v>0.7</v>
      </c>
      <c r="T16" s="164" t="n">
        <f aca="false">IFERROR(ROUND(CORREL('Returns (Calc)'!$L$3:$L$500,'Returns (Calc)'!$T$3:$T$500),2),"")</f>
        <v>0.28</v>
      </c>
      <c r="U16" s="164" t="n">
        <f aca="false">IFERROR(ROUND(CORREL('Returns (Calc)'!$L$3:$L$500,'Returns (Calc)'!$U$3:$U$500),2),"")</f>
        <v>0.21</v>
      </c>
      <c r="V16" s="164" t="n">
        <f aca="false">IFERROR(ROUND(CORREL('Returns (Calc)'!$L$3:$L$500,'Returns (Calc)'!$V$3:$V$500),2),"")</f>
        <v>0.13</v>
      </c>
      <c r="W16" s="164" t="n">
        <f aca="false">IFERROR(ROUND(CORREL('Returns (Calc)'!$L$3:$L$500,'Returns (Calc)'!$AP$3:$AP$500),2),"")</f>
        <v>0.42</v>
      </c>
      <c r="X16" s="164" t="n">
        <f aca="false">IFERROR(ROUND(CORREL('Returns (Calc)'!$L$3:$L$500,'Returns (Calc)'!$AQ$3:$AQ$500),2),"")</f>
        <v>-0.25</v>
      </c>
      <c r="Y16" s="164" t="n">
        <f aca="false">IFERROR(ROUND(CORREL('Returns (Calc)'!$L$3:$L$500,'Returns (Calc)'!$AR$3:$AR$500),2),"")</f>
        <v>0.48</v>
      </c>
      <c r="Z16" s="164" t="n">
        <f aca="false">IFERROR(ROUND(CORREL('Returns (Calc)'!$L$3:$L$500,'Returns (Calc)'!$AS$3:$AS$500),2),"")</f>
        <v>0.44</v>
      </c>
      <c r="AA16" s="164" t="n">
        <f aca="false">IFERROR(ROUND(CORREL('Returns (Calc)'!$L$3:$L$500,'Returns (Calc)'!$AT$3:$AT$500),2),"")</f>
        <v>0.3</v>
      </c>
      <c r="AB16" s="164" t="n">
        <f aca="false">IFERROR(ROUND(CORREL('Returns (Calc)'!$L$3:$L$500,'Returns (Calc)'!$AU$3:$AU$500),2),"")</f>
        <v>0.13</v>
      </c>
      <c r="AG16" s="165" t="n">
        <f aca="false">COUNTIF(B16:AB16,"&gt;0.7")-1</f>
        <v>0</v>
      </c>
    </row>
    <row r="17" customFormat="false" ht="15" hidden="false" customHeight="true" outlineLevel="0" collapsed="false">
      <c r="A17" s="163" t="str">
        <f aca="false">'Returns (Calc)'!M2</f>
        <v>VRT</v>
      </c>
      <c r="B17" s="164" t="n">
        <f aca="false">IFERROR(ROUND(CORREL('Returns (Calc)'!$M$3:$M$500,'Returns (Calc)'!$B$3:$B$500),2),"")</f>
        <v>0.06</v>
      </c>
      <c r="C17" s="164" t="n">
        <f aca="false">IFERROR(ROUND(CORREL('Returns (Calc)'!$M$3:$M$500,'Returns (Calc)'!$C$3:$C$500),2),"")</f>
        <v>0.58</v>
      </c>
      <c r="D17" s="164" t="n">
        <f aca="false">IFERROR(ROUND(CORREL('Returns (Calc)'!$M$3:$M$500,'Returns (Calc)'!$D$3:$D$500),2),"")</f>
        <v>0.43</v>
      </c>
      <c r="E17" s="164" t="n">
        <f aca="false">IFERROR(ROUND(CORREL('Returns (Calc)'!$M$3:$M$500,'Returns (Calc)'!$E$3:$E$500),2),"")</f>
        <v>0.52</v>
      </c>
      <c r="F17" s="164" t="n">
        <f aca="false">IFERROR(ROUND(CORREL('Returns (Calc)'!$M$3:$M$500,'Returns (Calc)'!$F$3:$F$500),2),"")</f>
        <v>0.4</v>
      </c>
      <c r="G17" s="164" t="n">
        <f aca="false">IFERROR(ROUND(CORREL('Returns (Calc)'!$M$3:$M$500,'Returns (Calc)'!$G$3:$G$500),2),"")</f>
        <v>0.5</v>
      </c>
      <c r="H17" s="164" t="n">
        <f aca="false">IFERROR(ROUND(CORREL('Returns (Calc)'!$M$3:$M$500,'Returns (Calc)'!$H$3:$H$500),2),"")</f>
        <v>0.5</v>
      </c>
      <c r="I17" s="164" t="n">
        <f aca="false">IFERROR(ROUND(CORREL('Returns (Calc)'!$M$3:$M$500,'Returns (Calc)'!$I$3:$I$500),2),"")</f>
        <v>0.65</v>
      </c>
      <c r="J17" s="164" t="n">
        <f aca="false">IFERROR(ROUND(CORREL('Returns (Calc)'!$M$3:$M$500,'Returns (Calc)'!$J$3:$J$500),2),"")</f>
        <v>0.15</v>
      </c>
      <c r="K17" s="164" t="n">
        <f aca="false">IFERROR(ROUND(CORREL('Returns (Calc)'!$M$3:$M$500,'Returns (Calc)'!$K$3:$K$500),2),"")</f>
        <v>0.32</v>
      </c>
      <c r="L17" s="164" t="n">
        <f aca="false">IFERROR(ROUND(CORREL('Returns (Calc)'!$M$3:$M$500,'Returns (Calc)'!$L$3:$L$500),2),"")</f>
        <v>0.6</v>
      </c>
      <c r="M17" s="164" t="n">
        <v>1</v>
      </c>
      <c r="N17" s="164" t="n">
        <f aca="false">IFERROR(ROUND(CORREL('Returns (Calc)'!$M$3:$M$500,'Returns (Calc)'!$N$3:$N$500),2),"")</f>
        <v>0.12</v>
      </c>
      <c r="O17" s="164" t="n">
        <f aca="false">IFERROR(ROUND(CORREL('Returns (Calc)'!$M$3:$M$500,'Returns (Calc)'!$O$3:$O$500),2),"")</f>
        <v>0.35</v>
      </c>
      <c r="P17" s="164" t="n">
        <f aca="false">IFERROR(ROUND(CORREL('Returns (Calc)'!$M$3:$M$500,'Returns (Calc)'!$P$3:$P$500),2),"")</f>
        <v>0.21</v>
      </c>
      <c r="Q17" s="164" t="n">
        <f aca="false">IFERROR(ROUND(CORREL('Returns (Calc)'!$M$3:$M$500,'Returns (Calc)'!$Q$3:$Q$500),2),"")</f>
        <v>0.57</v>
      </c>
      <c r="R17" s="164" t="n">
        <f aca="false">IFERROR(ROUND(CORREL('Returns (Calc)'!$M$3:$M$500,'Returns (Calc)'!$R$3:$R$500),2),"")</f>
        <v>0.63</v>
      </c>
      <c r="S17" s="164" t="n">
        <f aca="false">IFERROR(ROUND(CORREL('Returns (Calc)'!$M$3:$M$500,'Returns (Calc)'!$S$3:$S$500),2),"")</f>
        <v>0.66</v>
      </c>
      <c r="T17" s="164" t="n">
        <f aca="false">IFERROR(ROUND(CORREL('Returns (Calc)'!$M$3:$M$500,'Returns (Calc)'!$T$3:$T$500),2),"")</f>
        <v>0.3</v>
      </c>
      <c r="U17" s="164" t="n">
        <f aca="false">IFERROR(ROUND(CORREL('Returns (Calc)'!$M$3:$M$500,'Returns (Calc)'!$U$3:$U$500),2),"")</f>
        <v>0.21</v>
      </c>
      <c r="V17" s="164" t="n">
        <f aca="false">IFERROR(ROUND(CORREL('Returns (Calc)'!$M$3:$M$500,'Returns (Calc)'!$V$3:$V$500),2),"")</f>
        <v>0.14</v>
      </c>
      <c r="W17" s="164" t="n">
        <f aca="false">IFERROR(ROUND(CORREL('Returns (Calc)'!$M$3:$M$500,'Returns (Calc)'!$AP$3:$AP$500),2),"")</f>
        <v>0.42</v>
      </c>
      <c r="X17" s="164" t="n">
        <f aca="false">IFERROR(ROUND(CORREL('Returns (Calc)'!$M$3:$M$500,'Returns (Calc)'!$AQ$3:$AQ$500),2),"")</f>
        <v>0.2</v>
      </c>
      <c r="Y17" s="164" t="n">
        <f aca="false">IFERROR(ROUND(CORREL('Returns (Calc)'!$M$3:$M$500,'Returns (Calc)'!$AR$3:$AR$500),2),"")</f>
        <v>0.44</v>
      </c>
      <c r="Z17" s="164" t="n">
        <f aca="false">IFERROR(ROUND(CORREL('Returns (Calc)'!$M$3:$M$500,'Returns (Calc)'!$AS$3:$AS$500),2),"")</f>
        <v>0.44</v>
      </c>
      <c r="AA17" s="164" t="n">
        <f aca="false">IFERROR(ROUND(CORREL('Returns (Calc)'!$M$3:$M$500,'Returns (Calc)'!$AT$3:$AT$500),2),"")</f>
        <v>0.32</v>
      </c>
      <c r="AB17" s="164" t="n">
        <f aca="false">IFERROR(ROUND(CORREL('Returns (Calc)'!$M$3:$M$500,'Returns (Calc)'!$AU$3:$AU$500),2),"")</f>
        <v>0.07</v>
      </c>
      <c r="AG17" s="165" t="n">
        <f aca="false">COUNTIF(B17:AB17,"&gt;0.7")-1</f>
        <v>0</v>
      </c>
    </row>
    <row r="18" customFormat="false" ht="15" hidden="false" customHeight="true" outlineLevel="0" collapsed="false">
      <c r="A18" s="163" t="str">
        <f aca="false">'Returns (Calc)'!N2</f>
        <v>VRTX</v>
      </c>
      <c r="B18" s="164" t="n">
        <f aca="false">IFERROR(ROUND(CORREL('Returns (Calc)'!$N$3:$N$500,'Returns (Calc)'!$B$3:$B$500),2),"")</f>
        <v>0.14</v>
      </c>
      <c r="C18" s="164" t="n">
        <f aca="false">IFERROR(ROUND(CORREL('Returns (Calc)'!$N$3:$N$500,'Returns (Calc)'!$C$3:$C$500),2),"")</f>
        <v>0.05</v>
      </c>
      <c r="D18" s="164" t="n">
        <f aca="false">IFERROR(ROUND(CORREL('Returns (Calc)'!$N$3:$N$500,'Returns (Calc)'!$D$3:$D$500),2),"")</f>
        <v>0.11</v>
      </c>
      <c r="E18" s="164" t="n">
        <f aca="false">IFERROR(ROUND(CORREL('Returns (Calc)'!$N$3:$N$500,'Returns (Calc)'!$E$3:$E$500),2),"")</f>
        <v>0.14</v>
      </c>
      <c r="F18" s="164" t="n">
        <f aca="false">IFERROR(ROUND(CORREL('Returns (Calc)'!$N$3:$N$500,'Returns (Calc)'!$F$3:$F$500),2),"")</f>
        <v>0.17</v>
      </c>
      <c r="G18" s="164" t="n">
        <f aca="false">IFERROR(ROUND(CORREL('Returns (Calc)'!$N$3:$N$500,'Returns (Calc)'!$G$3:$G$500),2),"")</f>
        <v>0.16</v>
      </c>
      <c r="H18" s="164" t="n">
        <f aca="false">IFERROR(ROUND(CORREL('Returns (Calc)'!$N$3:$N$500,'Returns (Calc)'!$H$3:$H$500),2),"")</f>
        <v>0.18</v>
      </c>
      <c r="I18" s="164" t="n">
        <f aca="false">IFERROR(ROUND(CORREL('Returns (Calc)'!$N$3:$N$500,'Returns (Calc)'!$I$3:$I$500),2),"")</f>
        <v>0.14</v>
      </c>
      <c r="J18" s="164" t="n">
        <f aca="false">IFERROR(ROUND(CORREL('Returns (Calc)'!$N$3:$N$500,'Returns (Calc)'!$J$3:$J$500),2),"")</f>
        <v>0.25</v>
      </c>
      <c r="K18" s="164" t="n">
        <f aca="false">IFERROR(ROUND(CORREL('Returns (Calc)'!$N$3:$N$500,'Returns (Calc)'!$K$3:$K$500),2),"")</f>
        <v>0.07</v>
      </c>
      <c r="L18" s="164" t="n">
        <f aca="false">IFERROR(ROUND(CORREL('Returns (Calc)'!$N$3:$N$500,'Returns (Calc)'!$L$3:$L$500),2),"")</f>
        <v>0.15</v>
      </c>
      <c r="M18" s="164" t="n">
        <f aca="false">IFERROR(ROUND(CORREL('Returns (Calc)'!$N$3:$N$500,'Returns (Calc)'!$M$3:$M$500),2),"")</f>
        <v>0.12</v>
      </c>
      <c r="N18" s="164" t="n">
        <v>1</v>
      </c>
      <c r="O18" s="164" t="n">
        <f aca="false">IFERROR(ROUND(CORREL('Returns (Calc)'!$N$3:$N$500,'Returns (Calc)'!$O$3:$O$500),2),"")</f>
        <v>0.23</v>
      </c>
      <c r="P18" s="164" t="n">
        <f aca="false">IFERROR(ROUND(CORREL('Returns (Calc)'!$N$3:$N$500,'Returns (Calc)'!$P$3:$P$500),2),"")</f>
        <v>0.23</v>
      </c>
      <c r="Q18" s="164" t="n">
        <f aca="false">IFERROR(ROUND(CORREL('Returns (Calc)'!$N$3:$N$500,'Returns (Calc)'!$Q$3:$Q$500),2),"")</f>
        <v>0.27</v>
      </c>
      <c r="R18" s="164" t="n">
        <f aca="false">IFERROR(ROUND(CORREL('Returns (Calc)'!$N$3:$N$500,'Returns (Calc)'!$R$3:$R$500),2),"")</f>
        <v>0.2</v>
      </c>
      <c r="S18" s="164" t="n">
        <f aca="false">IFERROR(ROUND(CORREL('Returns (Calc)'!$N$3:$N$500,'Returns (Calc)'!$S$3:$S$500),2),"")</f>
        <v>0.17</v>
      </c>
      <c r="T18" s="164" t="n">
        <f aca="false">IFERROR(ROUND(CORREL('Returns (Calc)'!$N$3:$N$500,'Returns (Calc)'!$T$3:$T$500),2),"")</f>
        <v>0.32</v>
      </c>
      <c r="U18" s="164" t="n">
        <f aca="false">IFERROR(ROUND(CORREL('Returns (Calc)'!$N$3:$N$500,'Returns (Calc)'!$U$3:$U$500),2),"")</f>
        <v>0.35</v>
      </c>
      <c r="V18" s="164" t="n">
        <f aca="false">IFERROR(ROUND(CORREL('Returns (Calc)'!$N$3:$N$500,'Returns (Calc)'!$V$3:$V$500),2),"")</f>
        <v>0.26</v>
      </c>
      <c r="W18" s="164" t="n">
        <f aca="false">IFERROR(ROUND(CORREL('Returns (Calc)'!$N$3:$N$500,'Returns (Calc)'!$AP$3:$AP$500),2),"")</f>
        <v>0.28</v>
      </c>
      <c r="X18" s="164" t="n">
        <f aca="false">IFERROR(ROUND(CORREL('Returns (Calc)'!$N$3:$N$500,'Returns (Calc)'!$AQ$3:$AQ$500),2),"")</f>
        <v>-0.16</v>
      </c>
      <c r="Y18" s="164" t="n">
        <f aca="false">IFERROR(ROUND(CORREL('Returns (Calc)'!$N$3:$N$500,'Returns (Calc)'!$AR$3:$AR$500),2),"")</f>
        <v>0.34</v>
      </c>
      <c r="Z18" s="164" t="n">
        <f aca="false">IFERROR(ROUND(CORREL('Returns (Calc)'!$N$3:$N$500,'Returns (Calc)'!$AS$3:$AS$500),2),"")</f>
        <v>0.08</v>
      </c>
      <c r="AA18" s="164" t="n">
        <f aca="false">IFERROR(ROUND(CORREL('Returns (Calc)'!$N$3:$N$500,'Returns (Calc)'!$AT$3:$AT$500),2),"")</f>
        <v>0.08</v>
      </c>
      <c r="AB18" s="164" t="n">
        <f aca="false">IFERROR(ROUND(CORREL('Returns (Calc)'!$N$3:$N$500,'Returns (Calc)'!$AU$3:$AU$500),2),"")</f>
        <v>0.27</v>
      </c>
      <c r="AG18" s="165" t="n">
        <f aca="false">COUNTIF(B18:AB18,"&gt;0.7")-1</f>
        <v>0</v>
      </c>
    </row>
    <row r="19" customFormat="false" ht="15" hidden="false" customHeight="true" outlineLevel="0" collapsed="false">
      <c r="A19" s="163" t="str">
        <f aca="false">'Returns (Calc)'!O2</f>
        <v>AVUV</v>
      </c>
      <c r="B19" s="164" t="n">
        <f aca="false">IFERROR(ROUND(CORREL('Returns (Calc)'!$O$3:$O$500,'Returns (Calc)'!$B$3:$B$500),2),"")</f>
        <v>0.16</v>
      </c>
      <c r="C19" s="164" t="n">
        <f aca="false">IFERROR(ROUND(CORREL('Returns (Calc)'!$O$3:$O$500,'Returns (Calc)'!$C$3:$C$500),2),"")</f>
        <v>0.35</v>
      </c>
      <c r="D19" s="164" t="n">
        <f aca="false">IFERROR(ROUND(CORREL('Returns (Calc)'!$O$3:$O$500,'Returns (Calc)'!$D$3:$D$500),2),"")</f>
        <v>0.38</v>
      </c>
      <c r="E19" s="164" t="n">
        <f aca="false">IFERROR(ROUND(CORREL('Returns (Calc)'!$O$3:$O$500,'Returns (Calc)'!$E$3:$E$500),2),"")</f>
        <v>0.29</v>
      </c>
      <c r="F19" s="164" t="n">
        <f aca="false">IFERROR(ROUND(CORREL('Returns (Calc)'!$O$3:$O$500,'Returns (Calc)'!$F$3:$F$500),2),"")</f>
        <v>0.19</v>
      </c>
      <c r="G19" s="164" t="n">
        <f aca="false">IFERROR(ROUND(CORREL('Returns (Calc)'!$O$3:$O$500,'Returns (Calc)'!$G$3:$G$500),2),"")</f>
        <v>0.43</v>
      </c>
      <c r="H19" s="164" t="n">
        <f aca="false">IFERROR(ROUND(CORREL('Returns (Calc)'!$O$3:$O$500,'Returns (Calc)'!$H$3:$H$500),2),"")</f>
        <v>0.35</v>
      </c>
      <c r="I19" s="164" t="n">
        <f aca="false">IFERROR(ROUND(CORREL('Returns (Calc)'!$O$3:$O$500,'Returns (Calc)'!$I$3:$I$500),2),"")</f>
        <v>0.28</v>
      </c>
      <c r="J19" s="164" t="n">
        <f aca="false">IFERROR(ROUND(CORREL('Returns (Calc)'!$O$3:$O$500,'Returns (Calc)'!$J$3:$J$500),2),"")</f>
        <v>0.62</v>
      </c>
      <c r="K19" s="164" t="n">
        <f aca="false">IFERROR(ROUND(CORREL('Returns (Calc)'!$O$3:$O$500,'Returns (Calc)'!$K$3:$K$500),2),"")</f>
        <v>0.23</v>
      </c>
      <c r="L19" s="164" t="n">
        <f aca="false">IFERROR(ROUND(CORREL('Returns (Calc)'!$O$3:$O$500,'Returns (Calc)'!$L$3:$L$500),2),"")</f>
        <v>0.33</v>
      </c>
      <c r="M19" s="164" t="n">
        <f aca="false">IFERROR(ROUND(CORREL('Returns (Calc)'!$O$3:$O$500,'Returns (Calc)'!$M$3:$M$500),2),"")</f>
        <v>0.35</v>
      </c>
      <c r="N19" s="164" t="n">
        <f aca="false">IFERROR(ROUND(CORREL('Returns (Calc)'!$O$3:$O$500,'Returns (Calc)'!$N$3:$N$500),2),"")</f>
        <v>0.23</v>
      </c>
      <c r="O19" s="164" t="n">
        <v>1</v>
      </c>
      <c r="P19" s="164" t="n">
        <f aca="false">IFERROR(ROUND(CORREL('Returns (Calc)'!$O$3:$O$500,'Returns (Calc)'!$P$3:$P$500),2),"")</f>
        <v>0.86</v>
      </c>
      <c r="Q19" s="164" t="n">
        <f aca="false">IFERROR(ROUND(CORREL('Returns (Calc)'!$O$3:$O$500,'Returns (Calc)'!$Q$3:$Q$500),2),"")</f>
        <v>0.64</v>
      </c>
      <c r="R19" s="164" t="n">
        <f aca="false">IFERROR(ROUND(CORREL('Returns (Calc)'!$O$3:$O$500,'Returns (Calc)'!$R$3:$R$500),2),"")</f>
        <v>0.52</v>
      </c>
      <c r="S19" s="164" t="n">
        <f aca="false">IFERROR(ROUND(CORREL('Returns (Calc)'!$O$3:$O$500,'Returns (Calc)'!$S$3:$S$500),2),"")</f>
        <v>0.5</v>
      </c>
      <c r="T19" s="164" t="n">
        <f aca="false">IFERROR(ROUND(CORREL('Returns (Calc)'!$O$3:$O$500,'Returns (Calc)'!$T$3:$T$500),2),"")</f>
        <v>0.78</v>
      </c>
      <c r="U19" s="164" t="n">
        <f aca="false">IFERROR(ROUND(CORREL('Returns (Calc)'!$O$3:$O$500,'Returns (Calc)'!$U$3:$U$500),2),"")</f>
        <v>0.83</v>
      </c>
      <c r="V19" s="164" t="n">
        <f aca="false">IFERROR(ROUND(CORREL('Returns (Calc)'!$O$3:$O$500,'Returns (Calc)'!$V$3:$V$500),2),"")</f>
        <v>0.36</v>
      </c>
      <c r="W19" s="164" t="n">
        <f aca="false">IFERROR(ROUND(CORREL('Returns (Calc)'!$O$3:$O$500,'Returns (Calc)'!$AP$3:$AP$500),2),"")</f>
        <v>0.87</v>
      </c>
      <c r="X19" s="164" t="n">
        <f aca="false">IFERROR(ROUND(CORREL('Returns (Calc)'!$O$3:$O$500,'Returns (Calc)'!$AQ$3:$AQ$500),2),"")</f>
        <v>0.11</v>
      </c>
      <c r="Y19" s="164" t="n">
        <f aca="false">IFERROR(ROUND(CORREL('Returns (Calc)'!$O$3:$O$500,'Returns (Calc)'!$AR$3:$AR$500),2),"")</f>
        <v>0.73</v>
      </c>
      <c r="Z19" s="164" t="n">
        <f aca="false">IFERROR(ROUND(CORREL('Returns (Calc)'!$O$3:$O$500,'Returns (Calc)'!$AS$3:$AS$500),2),"")</f>
        <v>0.46</v>
      </c>
      <c r="AA19" s="164" t="n">
        <f aca="false">IFERROR(ROUND(CORREL('Returns (Calc)'!$O$3:$O$500,'Returns (Calc)'!$AT$3:$AT$500),2),"")</f>
        <v>0.21</v>
      </c>
      <c r="AB19" s="164" t="n">
        <f aca="false">IFERROR(ROUND(CORREL('Returns (Calc)'!$O$3:$O$500,'Returns (Calc)'!$AU$3:$AU$500),2),"")</f>
        <v>0.22</v>
      </c>
      <c r="AG19" s="165" t="n">
        <f aca="false">COUNTIF(B19:AB19,"&gt;0.7")-1</f>
        <v>5</v>
      </c>
    </row>
    <row r="20" customFormat="false" ht="15" hidden="false" customHeight="true" outlineLevel="0" collapsed="false">
      <c r="A20" s="163" t="str">
        <f aca="false">'Returns (Calc)'!P2</f>
        <v>DVY</v>
      </c>
      <c r="B20" s="164" t="n">
        <f aca="false">IFERROR(ROUND(CORREL('Returns (Calc)'!$P$3:$P$500,'Returns (Calc)'!$B$3:$B$500),2),"")</f>
        <v>0.14</v>
      </c>
      <c r="C20" s="164" t="n">
        <f aca="false">IFERROR(ROUND(CORREL('Returns (Calc)'!$P$3:$P$500,'Returns (Calc)'!$C$3:$C$500),2),"")</f>
        <v>0.24</v>
      </c>
      <c r="D20" s="164" t="n">
        <f aca="false">IFERROR(ROUND(CORREL('Returns (Calc)'!$P$3:$P$500,'Returns (Calc)'!$D$3:$D$500),2),"")</f>
        <v>0.23</v>
      </c>
      <c r="E20" s="164" t="n">
        <f aca="false">IFERROR(ROUND(CORREL('Returns (Calc)'!$P$3:$P$500,'Returns (Calc)'!$E$3:$E$500),2),"")</f>
        <v>0.11</v>
      </c>
      <c r="F20" s="164" t="n">
        <f aca="false">IFERROR(ROUND(CORREL('Returns (Calc)'!$P$3:$P$500,'Returns (Calc)'!$F$3:$F$500),2),"")</f>
        <v>0.1</v>
      </c>
      <c r="G20" s="164" t="n">
        <f aca="false">IFERROR(ROUND(CORREL('Returns (Calc)'!$P$3:$P$500,'Returns (Calc)'!$G$3:$G$500),2),"")</f>
        <v>0.25</v>
      </c>
      <c r="H20" s="164" t="n">
        <f aca="false">IFERROR(ROUND(CORREL('Returns (Calc)'!$P$3:$P$500,'Returns (Calc)'!$H$3:$H$500),2),"")</f>
        <v>0.23</v>
      </c>
      <c r="I20" s="164" t="n">
        <f aca="false">IFERROR(ROUND(CORREL('Returns (Calc)'!$P$3:$P$500,'Returns (Calc)'!$I$3:$I$500),2),"")</f>
        <v>0.14</v>
      </c>
      <c r="J20" s="164" t="n">
        <f aca="false">IFERROR(ROUND(CORREL('Returns (Calc)'!$P$3:$P$500,'Returns (Calc)'!$J$3:$J$500),2),"")</f>
        <v>0.65</v>
      </c>
      <c r="K20" s="164" t="n">
        <f aca="false">IFERROR(ROUND(CORREL('Returns (Calc)'!$P$3:$P$500,'Returns (Calc)'!$K$3:$K$500),2),"")</f>
        <v>0.1</v>
      </c>
      <c r="L20" s="164" t="n">
        <f aca="false">IFERROR(ROUND(CORREL('Returns (Calc)'!$P$3:$P$500,'Returns (Calc)'!$L$3:$L$500),2),"")</f>
        <v>0.16</v>
      </c>
      <c r="M20" s="164" t="n">
        <f aca="false">IFERROR(ROUND(CORREL('Returns (Calc)'!$P$3:$P$500,'Returns (Calc)'!$M$3:$M$500),2),"")</f>
        <v>0.21</v>
      </c>
      <c r="N20" s="164" t="n">
        <f aca="false">IFERROR(ROUND(CORREL('Returns (Calc)'!$P$3:$P$500,'Returns (Calc)'!$N$3:$N$500),2),"")</f>
        <v>0.23</v>
      </c>
      <c r="O20" s="164" t="n">
        <f aca="false">IFERROR(ROUND(CORREL('Returns (Calc)'!$P$3:$P$500,'Returns (Calc)'!$O$3:$O$500),2),"")</f>
        <v>0.86</v>
      </c>
      <c r="P20" s="164" t="n">
        <v>1</v>
      </c>
      <c r="Q20" s="164" t="n">
        <f aca="false">IFERROR(ROUND(CORREL('Returns (Calc)'!$P$3:$P$500,'Returns (Calc)'!$Q$3:$Q$500),2),"")</f>
        <v>0.52</v>
      </c>
      <c r="R20" s="164" t="n">
        <f aca="false">IFERROR(ROUND(CORREL('Returns (Calc)'!$P$3:$P$500,'Returns (Calc)'!$R$3:$R$500),2),"")</f>
        <v>0.38</v>
      </c>
      <c r="S20" s="164" t="n">
        <f aca="false">IFERROR(ROUND(CORREL('Returns (Calc)'!$P$3:$P$500,'Returns (Calc)'!$S$3:$S$500),2),"")</f>
        <v>0.34</v>
      </c>
      <c r="T20" s="164" t="n">
        <f aca="false">IFERROR(ROUND(CORREL('Returns (Calc)'!$P$3:$P$500,'Returns (Calc)'!$T$3:$T$500),2),"")</f>
        <v>0.73</v>
      </c>
      <c r="U20" s="164" t="n">
        <f aca="false">IFERROR(ROUND(CORREL('Returns (Calc)'!$P$3:$P$500,'Returns (Calc)'!$U$3:$U$500),2),"")</f>
        <v>0.89</v>
      </c>
      <c r="V20" s="164" t="n">
        <f aca="false">IFERROR(ROUND(CORREL('Returns (Calc)'!$P$3:$P$500,'Returns (Calc)'!$V$3:$V$500),2),"")</f>
        <v>0.43</v>
      </c>
      <c r="W20" s="164" t="n">
        <f aca="false">IFERROR(ROUND(CORREL('Returns (Calc)'!$P$3:$P$500,'Returns (Calc)'!$AP$3:$AP$500),2),"")</f>
        <v>0.88</v>
      </c>
      <c r="X20" s="164" t="n">
        <f aca="false">IFERROR(ROUND(CORREL('Returns (Calc)'!$P$3:$P$500,'Returns (Calc)'!$AQ$3:$AQ$500),2),"")</f>
        <v>0.45</v>
      </c>
      <c r="Y20" s="164" t="n">
        <f aca="false">IFERROR(ROUND(CORREL('Returns (Calc)'!$P$3:$P$500,'Returns (Calc)'!$AR$3:$AR$500),2),"")</f>
        <v>0.76</v>
      </c>
      <c r="Z20" s="164" t="n">
        <f aca="false">IFERROR(ROUND(CORREL('Returns (Calc)'!$P$3:$P$500,'Returns (Calc)'!$AS$3:$AS$500),2),"")</f>
        <v>0.4</v>
      </c>
      <c r="AA20" s="164" t="n">
        <f aca="false">IFERROR(ROUND(CORREL('Returns (Calc)'!$P$3:$P$500,'Returns (Calc)'!$AT$3:$AT$500),2),"")</f>
        <v>0.18</v>
      </c>
      <c r="AB20" s="164" t="n">
        <f aca="false">IFERROR(ROUND(CORREL('Returns (Calc)'!$P$3:$P$500,'Returns (Calc)'!$AU$3:$AU$500),2),"")</f>
        <v>0.19</v>
      </c>
      <c r="AG20" s="165" t="n">
        <f aca="false">COUNTIF(B20:AB20,"&gt;0.7")-1</f>
        <v>5</v>
      </c>
    </row>
    <row r="21" customFormat="false" ht="15" hidden="false" customHeight="true" outlineLevel="0" collapsed="false">
      <c r="A21" s="163" t="str">
        <f aca="false">'Returns (Calc)'!Q2</f>
        <v>HELO</v>
      </c>
      <c r="B21" s="164" t="n">
        <f aca="false">IFERROR(ROUND(CORREL('Returns (Calc)'!$Q$3:$Q$500,'Returns (Calc)'!$B$3:$B$500),2),"")</f>
        <v>0.44</v>
      </c>
      <c r="C21" s="164" t="n">
        <f aca="false">IFERROR(ROUND(CORREL('Returns (Calc)'!$Q$3:$Q$500,'Returns (Calc)'!$C$3:$C$500),2),"")</f>
        <v>0.65</v>
      </c>
      <c r="D21" s="164" t="n">
        <f aca="false">IFERROR(ROUND(CORREL('Returns (Calc)'!$Q$3:$Q$500,'Returns (Calc)'!$D$3:$D$500),2),"")</f>
        <v>0.51</v>
      </c>
      <c r="E21" s="164" t="n">
        <f aca="false">IFERROR(ROUND(CORREL('Returns (Calc)'!$Q$3:$Q$500,'Returns (Calc)'!$E$3:$E$500),2),"")</f>
        <v>0.67</v>
      </c>
      <c r="F21" s="164" t="n">
        <f aca="false">IFERROR(ROUND(CORREL('Returns (Calc)'!$Q$3:$Q$500,'Returns (Calc)'!$F$3:$F$500),2),"")</f>
        <v>0.47</v>
      </c>
      <c r="G21" s="164" t="n">
        <f aca="false">IFERROR(ROUND(CORREL('Returns (Calc)'!$Q$3:$Q$500,'Returns (Calc)'!$G$3:$G$500),2),"")</f>
        <v>0.52</v>
      </c>
      <c r="H21" s="164" t="n">
        <f aca="false">IFERROR(ROUND(CORREL('Returns (Calc)'!$Q$3:$Q$500,'Returns (Calc)'!$H$3:$H$500),2),"")</f>
        <v>0.51</v>
      </c>
      <c r="I21" s="164" t="n">
        <f aca="false">IFERROR(ROUND(CORREL('Returns (Calc)'!$Q$3:$Q$500,'Returns (Calc)'!$I$3:$I$500),2),"")</f>
        <v>0.7</v>
      </c>
      <c r="J21" s="164" t="n">
        <f aca="false">IFERROR(ROUND(CORREL('Returns (Calc)'!$Q$3:$Q$500,'Returns (Calc)'!$J$3:$J$500),2),"")</f>
        <v>0.48</v>
      </c>
      <c r="K21" s="164" t="n">
        <f aca="false">IFERROR(ROUND(CORREL('Returns (Calc)'!$Q$3:$Q$500,'Returns (Calc)'!$K$3:$K$500),2),"")</f>
        <v>0.48</v>
      </c>
      <c r="L21" s="164" t="n">
        <f aca="false">IFERROR(ROUND(CORREL('Returns (Calc)'!$Q$3:$Q$500,'Returns (Calc)'!$L$3:$L$500),2),"")</f>
        <v>0.63</v>
      </c>
      <c r="M21" s="164" t="n">
        <f aca="false">IFERROR(ROUND(CORREL('Returns (Calc)'!$Q$3:$Q$500,'Returns (Calc)'!$M$3:$M$500),2),"")</f>
        <v>0.57</v>
      </c>
      <c r="N21" s="164" t="n">
        <f aca="false">IFERROR(ROUND(CORREL('Returns (Calc)'!$Q$3:$Q$500,'Returns (Calc)'!$N$3:$N$500),2),"")</f>
        <v>0.27</v>
      </c>
      <c r="O21" s="164" t="n">
        <f aca="false">IFERROR(ROUND(CORREL('Returns (Calc)'!$Q$3:$Q$500,'Returns (Calc)'!$O$3:$O$500),2),"")</f>
        <v>0.64</v>
      </c>
      <c r="P21" s="164" t="n">
        <f aca="false">IFERROR(ROUND(CORREL('Returns (Calc)'!$Q$3:$Q$500,'Returns (Calc)'!$P$3:$P$500),2),"")</f>
        <v>0.52</v>
      </c>
      <c r="Q21" s="164" t="n">
        <v>1</v>
      </c>
      <c r="R21" s="164" t="n">
        <f aca="false">IFERROR(ROUND(CORREL('Returns (Calc)'!$Q$3:$Q$500,'Returns (Calc)'!$R$3:$R$500),2),"")</f>
        <v>0.9</v>
      </c>
      <c r="S21" s="164" t="n">
        <f aca="false">IFERROR(ROUND(CORREL('Returns (Calc)'!$Q$3:$Q$500,'Returns (Calc)'!$S$3:$S$500),2),"")</f>
        <v>0.84</v>
      </c>
      <c r="T21" s="164" t="n">
        <f aca="false">IFERROR(ROUND(CORREL('Returns (Calc)'!$Q$3:$Q$500,'Returns (Calc)'!$T$3:$T$500),2),"")</f>
        <v>0.66</v>
      </c>
      <c r="U21" s="164" t="n">
        <f aca="false">IFERROR(ROUND(CORREL('Returns (Calc)'!$Q$3:$Q$500,'Returns (Calc)'!$U$3:$U$500),2),"")</f>
        <v>0.58</v>
      </c>
      <c r="V21" s="164" t="n">
        <f aca="false">IFERROR(ROUND(CORREL('Returns (Calc)'!$Q$3:$Q$500,'Returns (Calc)'!$V$3:$V$500),2),"")</f>
        <v>0.52</v>
      </c>
      <c r="W21" s="164" t="n">
        <f aca="false">IFERROR(ROUND(CORREL('Returns (Calc)'!$Q$3:$Q$500,'Returns (Calc)'!$AP$3:$AP$500),2),"")</f>
        <v>0.78</v>
      </c>
      <c r="X21" s="164" t="n">
        <f aca="false">IFERROR(ROUND(CORREL('Returns (Calc)'!$Q$3:$Q$500,'Returns (Calc)'!$AQ$3:$AQ$500),2),"")</f>
        <v>-0.43</v>
      </c>
      <c r="Y21" s="164" t="n">
        <f aca="false">IFERROR(ROUND(CORREL('Returns (Calc)'!$Q$3:$Q$500,'Returns (Calc)'!$AR$3:$AR$500),2),"")</f>
        <v>0.83</v>
      </c>
      <c r="Z21" s="164" t="n">
        <f aca="false">IFERROR(ROUND(CORREL('Returns (Calc)'!$Q$3:$Q$500,'Returns (Calc)'!$AS$3:$AS$500),2),"")</f>
        <v>0.53</v>
      </c>
      <c r="AA21" s="164" t="n">
        <f aca="false">IFERROR(ROUND(CORREL('Returns (Calc)'!$Q$3:$Q$500,'Returns (Calc)'!$AT$3:$AT$500),2),"")</f>
        <v>0.39</v>
      </c>
      <c r="AB21" s="164" t="n">
        <f aca="false">IFERROR(ROUND(CORREL('Returns (Calc)'!$Q$3:$Q$500,'Returns (Calc)'!$AU$3:$AU$500),2),"")</f>
        <v>0.34</v>
      </c>
      <c r="AG21" s="165" t="n">
        <f aca="false">COUNTIF(B21:AB21,"&gt;0.7")-1</f>
        <v>4</v>
      </c>
    </row>
    <row r="22" customFormat="false" ht="15" hidden="false" customHeight="true" outlineLevel="0" collapsed="false">
      <c r="A22" s="163" t="str">
        <f aca="false">'Returns (Calc)'!R2</f>
        <v>JEPQ</v>
      </c>
      <c r="B22" s="164" t="n">
        <f aca="false">IFERROR(ROUND(CORREL('Returns (Calc)'!$R$3:$R$500,'Returns (Calc)'!$B$3:$B$500),2),"")</f>
        <v>0.34</v>
      </c>
      <c r="C22" s="164" t="n">
        <f aca="false">IFERROR(ROUND(CORREL('Returns (Calc)'!$R$3:$R$500,'Returns (Calc)'!$C$3:$C$500),2),"")</f>
        <v>0.67</v>
      </c>
      <c r="D22" s="164" t="n">
        <f aca="false">IFERROR(ROUND(CORREL('Returns (Calc)'!$R$3:$R$500,'Returns (Calc)'!$D$3:$D$500),2),"")</f>
        <v>0.61</v>
      </c>
      <c r="E22" s="164" t="n">
        <f aca="false">IFERROR(ROUND(CORREL('Returns (Calc)'!$R$3:$R$500,'Returns (Calc)'!$E$3:$E$500),2),"")</f>
        <v>0.73</v>
      </c>
      <c r="F22" s="164" t="n">
        <f aca="false">IFERROR(ROUND(CORREL('Returns (Calc)'!$R$3:$R$500,'Returns (Calc)'!$F$3:$F$500),2),"")</f>
        <v>0.55</v>
      </c>
      <c r="G22" s="164" t="n">
        <f aca="false">IFERROR(ROUND(CORREL('Returns (Calc)'!$R$3:$R$500,'Returns (Calc)'!$G$3:$G$500),2),"")</f>
        <v>0.62</v>
      </c>
      <c r="H22" s="164" t="n">
        <f aca="false">IFERROR(ROUND(CORREL('Returns (Calc)'!$R$3:$R$500,'Returns (Calc)'!$H$3:$H$500),2),"")</f>
        <v>0.61</v>
      </c>
      <c r="I22" s="164" t="n">
        <f aca="false">IFERROR(ROUND(CORREL('Returns (Calc)'!$R$3:$R$500,'Returns (Calc)'!$I$3:$I$500),2),"")</f>
        <v>0.74</v>
      </c>
      <c r="J22" s="164" t="n">
        <f aca="false">IFERROR(ROUND(CORREL('Returns (Calc)'!$R$3:$R$500,'Returns (Calc)'!$J$3:$J$500),2),"")</f>
        <v>0.36</v>
      </c>
      <c r="K22" s="164" t="n">
        <f aca="false">IFERROR(ROUND(CORREL('Returns (Calc)'!$R$3:$R$500,'Returns (Calc)'!$K$3:$K$500),2),"")</f>
        <v>0.52</v>
      </c>
      <c r="L22" s="164" t="n">
        <f aca="false">IFERROR(ROUND(CORREL('Returns (Calc)'!$R$3:$R$500,'Returns (Calc)'!$L$3:$L$500),2),"")</f>
        <v>0.69</v>
      </c>
      <c r="M22" s="164" t="n">
        <f aca="false">IFERROR(ROUND(CORREL('Returns (Calc)'!$R$3:$R$500,'Returns (Calc)'!$M$3:$M$500),2),"")</f>
        <v>0.63</v>
      </c>
      <c r="N22" s="164" t="n">
        <f aca="false">IFERROR(ROUND(CORREL('Returns (Calc)'!$R$3:$R$500,'Returns (Calc)'!$N$3:$N$500),2),"")</f>
        <v>0.2</v>
      </c>
      <c r="O22" s="164" t="n">
        <f aca="false">IFERROR(ROUND(CORREL('Returns (Calc)'!$R$3:$R$500,'Returns (Calc)'!$O$3:$O$500),2),"")</f>
        <v>0.52</v>
      </c>
      <c r="P22" s="164" t="n">
        <f aca="false">IFERROR(ROUND(CORREL('Returns (Calc)'!$R$3:$R$500,'Returns (Calc)'!$P$3:$P$500),2),"")</f>
        <v>0.38</v>
      </c>
      <c r="Q22" s="164" t="n">
        <f aca="false">IFERROR(ROUND(CORREL('Returns (Calc)'!$R$3:$R$500,'Returns (Calc)'!$Q$3:$Q$500),2),"")</f>
        <v>0.9</v>
      </c>
      <c r="R22" s="164" t="n">
        <v>1</v>
      </c>
      <c r="S22" s="164" t="n">
        <f aca="false">IFERROR(ROUND(CORREL('Returns (Calc)'!$R$3:$R$500,'Returns (Calc)'!$S$3:$S$500),2),"")</f>
        <v>0.89</v>
      </c>
      <c r="T22" s="164" t="n">
        <f aca="false">IFERROR(ROUND(CORREL('Returns (Calc)'!$R$3:$R$500,'Returns (Calc)'!$T$3:$T$500),2),"")</f>
        <v>0.55</v>
      </c>
      <c r="U22" s="164" t="n">
        <f aca="false">IFERROR(ROUND(CORREL('Returns (Calc)'!$R$3:$R$500,'Returns (Calc)'!$U$3:$U$500),2),"")</f>
        <v>0.41</v>
      </c>
      <c r="V22" s="164" t="n">
        <f aca="false">IFERROR(ROUND(CORREL('Returns (Calc)'!$R$3:$R$500,'Returns (Calc)'!$V$3:$V$500),2),"")</f>
        <v>0.43</v>
      </c>
      <c r="W22" s="164" t="n">
        <f aca="false">IFERROR(ROUND(CORREL('Returns (Calc)'!$R$3:$R$500,'Returns (Calc)'!$AP$3:$AP$500),2),"")</f>
        <v>0.66</v>
      </c>
      <c r="X22" s="164" t="n">
        <f aca="false">IFERROR(ROUND(CORREL('Returns (Calc)'!$R$3:$R$500,'Returns (Calc)'!$AQ$3:$AQ$500),2),"")</f>
        <v>-0.49</v>
      </c>
      <c r="Y22" s="164" t="n">
        <f aca="false">IFERROR(ROUND(CORREL('Returns (Calc)'!$R$3:$R$500,'Returns (Calc)'!$AR$3:$AR$500),2),"")</f>
        <v>0.76</v>
      </c>
      <c r="Z22" s="164" t="n">
        <f aca="false">IFERROR(ROUND(CORREL('Returns (Calc)'!$R$3:$R$500,'Returns (Calc)'!$AS$3:$AS$500),2),"")</f>
        <v>0.52</v>
      </c>
      <c r="AA22" s="164" t="n">
        <f aca="false">IFERROR(ROUND(CORREL('Returns (Calc)'!$R$3:$R$500,'Returns (Calc)'!$AT$3:$AT$500),2),"")</f>
        <v>0.43</v>
      </c>
      <c r="AB22" s="164" t="n">
        <f aca="false">IFERROR(ROUND(CORREL('Returns (Calc)'!$R$3:$R$500,'Returns (Calc)'!$AU$3:$AU$500),2),"")</f>
        <v>0.29</v>
      </c>
      <c r="AG22" s="165" t="n">
        <f aca="false">COUNTIF(B22:AB22,"&gt;0.7")-1</f>
        <v>5</v>
      </c>
    </row>
    <row r="23" customFormat="false" ht="15" hidden="false" customHeight="true" outlineLevel="0" collapsed="false">
      <c r="A23" s="163" t="str">
        <f aca="false">'Returns (Calc)'!S2</f>
        <v>SPMO</v>
      </c>
      <c r="B23" s="164" t="n">
        <f aca="false">IFERROR(ROUND(CORREL('Returns (Calc)'!$S$3:$S$500,'Returns (Calc)'!$B$3:$B$500),2),"")</f>
        <v>0.23</v>
      </c>
      <c r="C23" s="164" t="n">
        <f aca="false">IFERROR(ROUND(CORREL('Returns (Calc)'!$S$3:$S$500,'Returns (Calc)'!$C$3:$C$500),2),"")</f>
        <v>0.64</v>
      </c>
      <c r="D23" s="164" t="n">
        <f aca="false">IFERROR(ROUND(CORREL('Returns (Calc)'!$S$3:$S$500,'Returns (Calc)'!$D$3:$D$500),2),"")</f>
        <v>0.61</v>
      </c>
      <c r="E23" s="164" t="n">
        <f aca="false">IFERROR(ROUND(CORREL('Returns (Calc)'!$S$3:$S$500,'Returns (Calc)'!$E$3:$E$500),2),"")</f>
        <v>0.73</v>
      </c>
      <c r="F23" s="164" t="n">
        <f aca="false">IFERROR(ROUND(CORREL('Returns (Calc)'!$S$3:$S$500,'Returns (Calc)'!$F$3:$F$500),2),"")</f>
        <v>0.52</v>
      </c>
      <c r="G23" s="164" t="n">
        <f aca="false">IFERROR(ROUND(CORREL('Returns (Calc)'!$S$3:$S$500,'Returns (Calc)'!$G$3:$G$500),2),"")</f>
        <v>0.67</v>
      </c>
      <c r="H23" s="164" t="n">
        <f aca="false">IFERROR(ROUND(CORREL('Returns (Calc)'!$S$3:$S$500,'Returns (Calc)'!$H$3:$H$500),2),"")</f>
        <v>0.66</v>
      </c>
      <c r="I23" s="164" t="n">
        <f aca="false">IFERROR(ROUND(CORREL('Returns (Calc)'!$S$3:$S$500,'Returns (Calc)'!$I$3:$I$500),2),"")</f>
        <v>0.75</v>
      </c>
      <c r="J23" s="164" t="n">
        <f aca="false">IFERROR(ROUND(CORREL('Returns (Calc)'!$S$3:$S$500,'Returns (Calc)'!$J$3:$J$500),2),"")</f>
        <v>0.34</v>
      </c>
      <c r="K23" s="164" t="n">
        <f aca="false">IFERROR(ROUND(CORREL('Returns (Calc)'!$S$3:$S$500,'Returns (Calc)'!$K$3:$K$500),2),"")</f>
        <v>0.44</v>
      </c>
      <c r="L23" s="164" t="n">
        <f aca="false">IFERROR(ROUND(CORREL('Returns (Calc)'!$S$3:$S$500,'Returns (Calc)'!$L$3:$L$500),2),"")</f>
        <v>0.7</v>
      </c>
      <c r="M23" s="164" t="n">
        <f aca="false">IFERROR(ROUND(CORREL('Returns (Calc)'!$S$3:$S$500,'Returns (Calc)'!$M$3:$M$500),2),"")</f>
        <v>0.66</v>
      </c>
      <c r="N23" s="164" t="n">
        <f aca="false">IFERROR(ROUND(CORREL('Returns (Calc)'!$S$3:$S$500,'Returns (Calc)'!$N$3:$N$500),2),"")</f>
        <v>0.17</v>
      </c>
      <c r="O23" s="164" t="n">
        <f aca="false">IFERROR(ROUND(CORREL('Returns (Calc)'!$S$3:$S$500,'Returns (Calc)'!$O$3:$O$500),2),"")</f>
        <v>0.5</v>
      </c>
      <c r="P23" s="164" t="n">
        <f aca="false">IFERROR(ROUND(CORREL('Returns (Calc)'!$S$3:$S$500,'Returns (Calc)'!$P$3:$P$500),2),"")</f>
        <v>0.34</v>
      </c>
      <c r="Q23" s="164" t="n">
        <f aca="false">IFERROR(ROUND(CORREL('Returns (Calc)'!$S$3:$S$500,'Returns (Calc)'!$Q$3:$Q$500),2),"")</f>
        <v>0.84</v>
      </c>
      <c r="R23" s="164" t="n">
        <f aca="false">IFERROR(ROUND(CORREL('Returns (Calc)'!$S$3:$S$500,'Returns (Calc)'!$R$3:$R$500),2),"")</f>
        <v>0.89</v>
      </c>
      <c r="S23" s="164" t="n">
        <v>1</v>
      </c>
      <c r="T23" s="164" t="n">
        <f aca="false">IFERROR(ROUND(CORREL('Returns (Calc)'!$S$3:$S$500,'Returns (Calc)'!$T$3:$T$500),2),"")</f>
        <v>0.51</v>
      </c>
      <c r="U23" s="164" t="n">
        <f aca="false">IFERROR(ROUND(CORREL('Returns (Calc)'!$S$3:$S$500,'Returns (Calc)'!$U$3:$U$500),2),"")</f>
        <v>0.36</v>
      </c>
      <c r="V23" s="164" t="n">
        <f aca="false">IFERROR(ROUND(CORREL('Returns (Calc)'!$S$3:$S$500,'Returns (Calc)'!$V$3:$V$500),2),"")</f>
        <v>0.37</v>
      </c>
      <c r="W23" s="164" t="n">
        <f aca="false">IFERROR(ROUND(CORREL('Returns (Calc)'!$S$3:$S$500,'Returns (Calc)'!$AP$3:$AP$500),2),"")</f>
        <v>0.64</v>
      </c>
      <c r="X23" s="164" t="n">
        <f aca="false">IFERROR(ROUND(CORREL('Returns (Calc)'!$S$3:$S$500,'Returns (Calc)'!$AQ$3:$AQ$500),2),"")</f>
        <v>-0.39</v>
      </c>
      <c r="Y23" s="164" t="n">
        <f aca="false">IFERROR(ROUND(CORREL('Returns (Calc)'!$S$3:$S$500,'Returns (Calc)'!$AR$3:$AR$500),2),"")</f>
        <v>0.67</v>
      </c>
      <c r="Z23" s="164" t="n">
        <f aca="false">IFERROR(ROUND(CORREL('Returns (Calc)'!$S$3:$S$500,'Returns (Calc)'!$AS$3:$AS$500),2),"")</f>
        <v>0.61</v>
      </c>
      <c r="AA23" s="164" t="n">
        <f aca="false">IFERROR(ROUND(CORREL('Returns (Calc)'!$S$3:$S$500,'Returns (Calc)'!$AT$3:$AT$500),2),"")</f>
        <v>0.41</v>
      </c>
      <c r="AB23" s="164" t="n">
        <f aca="false">IFERROR(ROUND(CORREL('Returns (Calc)'!$S$3:$S$500,'Returns (Calc)'!$AU$3:$AU$500),2),"")</f>
        <v>0.2</v>
      </c>
      <c r="AG23" s="165" t="n">
        <f aca="false">COUNTIF(B23:AB23,"&gt;0.7")-1</f>
        <v>4</v>
      </c>
    </row>
    <row r="24" customFormat="false" ht="15" hidden="false" customHeight="true" outlineLevel="0" collapsed="false">
      <c r="A24" s="163" t="str">
        <f aca="false">'Returns (Calc)'!T2</f>
        <v>VFLO</v>
      </c>
      <c r="B24" s="164" t="n">
        <f aca="false">IFERROR(ROUND(CORREL('Returns (Calc)'!$T$3:$T$500,'Returns (Calc)'!$B$3:$B$500),2),"")</f>
        <v>0.42</v>
      </c>
      <c r="C24" s="164" t="n">
        <f aca="false">IFERROR(ROUND(CORREL('Returns (Calc)'!$T$3:$T$500,'Returns (Calc)'!$C$3:$C$500),2),"")</f>
        <v>0.33</v>
      </c>
      <c r="D24" s="164" t="n">
        <f aca="false">IFERROR(ROUND(CORREL('Returns (Calc)'!$T$3:$T$500,'Returns (Calc)'!$D$3:$D$500),2),"")</f>
        <v>0.3</v>
      </c>
      <c r="E24" s="164" t="n">
        <f aca="false">IFERROR(ROUND(CORREL('Returns (Calc)'!$T$3:$T$500,'Returns (Calc)'!$E$3:$E$500),2),"")</f>
        <v>0.27</v>
      </c>
      <c r="F24" s="164" t="n">
        <f aca="false">IFERROR(ROUND(CORREL('Returns (Calc)'!$T$3:$T$500,'Returns (Calc)'!$F$3:$F$500),2),"")</f>
        <v>0.29</v>
      </c>
      <c r="G24" s="164" t="n">
        <f aca="false">IFERROR(ROUND(CORREL('Returns (Calc)'!$T$3:$T$500,'Returns (Calc)'!$G$3:$G$500),2),"")</f>
        <v>0.31</v>
      </c>
      <c r="H24" s="164" t="n">
        <f aca="false">IFERROR(ROUND(CORREL('Returns (Calc)'!$T$3:$T$500,'Returns (Calc)'!$H$3:$H$500),2),"")</f>
        <v>0.42</v>
      </c>
      <c r="I24" s="164" t="n">
        <f aca="false">IFERROR(ROUND(CORREL('Returns (Calc)'!$T$3:$T$500,'Returns (Calc)'!$I$3:$I$500),2),"")</f>
        <v>0.3</v>
      </c>
      <c r="J24" s="164" t="n">
        <f aca="false">IFERROR(ROUND(CORREL('Returns (Calc)'!$T$3:$T$500,'Returns (Calc)'!$J$3:$J$500),2),"")</f>
        <v>0.52</v>
      </c>
      <c r="K24" s="164" t="n">
        <f aca="false">IFERROR(ROUND(CORREL('Returns (Calc)'!$T$3:$T$500,'Returns (Calc)'!$K$3:$K$500),2),"")</f>
        <v>0.34</v>
      </c>
      <c r="L24" s="164" t="n">
        <f aca="false">IFERROR(ROUND(CORREL('Returns (Calc)'!$T$3:$T$500,'Returns (Calc)'!$L$3:$L$500),2),"")</f>
        <v>0.28</v>
      </c>
      <c r="M24" s="164" t="n">
        <f aca="false">IFERROR(ROUND(CORREL('Returns (Calc)'!$T$3:$T$500,'Returns (Calc)'!$M$3:$M$500),2),"")</f>
        <v>0.3</v>
      </c>
      <c r="N24" s="164" t="n">
        <f aca="false">IFERROR(ROUND(CORREL('Returns (Calc)'!$T$3:$T$500,'Returns (Calc)'!$N$3:$N$500),2),"")</f>
        <v>0.32</v>
      </c>
      <c r="O24" s="164" t="n">
        <f aca="false">IFERROR(ROUND(CORREL('Returns (Calc)'!$T$3:$T$500,'Returns (Calc)'!$O$3:$O$500),2),"")</f>
        <v>0.78</v>
      </c>
      <c r="P24" s="164" t="n">
        <f aca="false">IFERROR(ROUND(CORREL('Returns (Calc)'!$T$3:$T$500,'Returns (Calc)'!$P$3:$P$500),2),"")</f>
        <v>0.73</v>
      </c>
      <c r="Q24" s="164" t="n">
        <f aca="false">IFERROR(ROUND(CORREL('Returns (Calc)'!$T$3:$T$500,'Returns (Calc)'!$Q$3:$Q$500),2),"")</f>
        <v>0.66</v>
      </c>
      <c r="R24" s="164" t="n">
        <f aca="false">IFERROR(ROUND(CORREL('Returns (Calc)'!$T$3:$T$500,'Returns (Calc)'!$R$3:$R$500),2),"")</f>
        <v>0.55</v>
      </c>
      <c r="S24" s="164" t="n">
        <f aca="false">IFERROR(ROUND(CORREL('Returns (Calc)'!$T$3:$T$500,'Returns (Calc)'!$S$3:$S$500),2),"")</f>
        <v>0.51</v>
      </c>
      <c r="T24" s="164" t="n">
        <v>1</v>
      </c>
      <c r="U24" s="164" t="n">
        <f aca="false">IFERROR(ROUND(CORREL('Returns (Calc)'!$T$3:$T$500,'Returns (Calc)'!$U$3:$U$500),2),"")</f>
        <v>0.78</v>
      </c>
      <c r="V24" s="164" t="n">
        <f aca="false">IFERROR(ROUND(CORREL('Returns (Calc)'!$T$3:$T$500,'Returns (Calc)'!$V$3:$V$500),2),"")</f>
        <v>0.45</v>
      </c>
      <c r="W24" s="164" t="n">
        <f aca="false">IFERROR(ROUND(CORREL('Returns (Calc)'!$T$3:$T$500,'Returns (Calc)'!$AP$3:$AP$500),2),"")</f>
        <v>0.79</v>
      </c>
      <c r="X24" s="164" t="n">
        <f aca="false">IFERROR(ROUND(CORREL('Returns (Calc)'!$T$3:$T$500,'Returns (Calc)'!$AQ$3:$AQ$500),2),"")</f>
        <v>-0.27</v>
      </c>
      <c r="Y24" s="164" t="n">
        <f aca="false">IFERROR(ROUND(CORREL('Returns (Calc)'!$T$3:$T$500,'Returns (Calc)'!$AR$3:$AR$500),2),"")</f>
        <v>0.72</v>
      </c>
      <c r="Z24" s="164" t="n">
        <f aca="false">IFERROR(ROUND(CORREL('Returns (Calc)'!$T$3:$T$500,'Returns (Calc)'!$AS$3:$AS$500),2),"")</f>
        <v>0.44</v>
      </c>
      <c r="AA24" s="164" t="n">
        <f aca="false">IFERROR(ROUND(CORREL('Returns (Calc)'!$T$3:$T$500,'Returns (Calc)'!$AT$3:$AT$500),2),"")</f>
        <v>0.25</v>
      </c>
      <c r="AB24" s="164" t="n">
        <f aca="false">IFERROR(ROUND(CORREL('Returns (Calc)'!$T$3:$T$500,'Returns (Calc)'!$AU$3:$AU$500),2),"")</f>
        <v>0.43</v>
      </c>
      <c r="AG24" s="165" t="n">
        <f aca="false">COUNTIF(B24:AB24,"&gt;0.7")-1</f>
        <v>5</v>
      </c>
    </row>
    <row r="25" customFormat="false" ht="15" hidden="false" customHeight="true" outlineLevel="0" collapsed="false">
      <c r="A25" s="163" t="str">
        <f aca="false">'Returns (Calc)'!U2</f>
        <v>SCHD</v>
      </c>
      <c r="B25" s="164" t="n">
        <f aca="false">IFERROR(ROUND(CORREL('Returns (Calc)'!$U$3:$U$500,'Returns (Calc)'!$B$3:$B$500),2),"")</f>
        <v>0.22</v>
      </c>
      <c r="C25" s="164" t="n">
        <f aca="false">IFERROR(ROUND(CORREL('Returns (Calc)'!$U$3:$U$500,'Returns (Calc)'!$C$3:$C$500),2),"")</f>
        <v>0.27</v>
      </c>
      <c r="D25" s="164" t="n">
        <f aca="false">IFERROR(ROUND(CORREL('Returns (Calc)'!$U$3:$U$500,'Returns (Calc)'!$D$3:$D$500),2),"")</f>
        <v>0.26</v>
      </c>
      <c r="E25" s="164" t="n">
        <f aca="false">IFERROR(ROUND(CORREL('Returns (Calc)'!$U$3:$U$500,'Returns (Calc)'!$E$3:$E$500),2),"")</f>
        <v>0.16</v>
      </c>
      <c r="F25" s="164" t="n">
        <f aca="false">IFERROR(ROUND(CORREL('Returns (Calc)'!$U$3:$U$500,'Returns (Calc)'!$F$3:$F$500),2),"")</f>
        <v>0.11</v>
      </c>
      <c r="G25" s="164" t="n">
        <f aca="false">IFERROR(ROUND(CORREL('Returns (Calc)'!$U$3:$U$500,'Returns (Calc)'!$G$3:$G$500),2),"")</f>
        <v>0.28</v>
      </c>
      <c r="H25" s="164" t="n">
        <f aca="false">IFERROR(ROUND(CORREL('Returns (Calc)'!$U$3:$U$500,'Returns (Calc)'!$H$3:$H$500),2),"")</f>
        <v>0.26</v>
      </c>
      <c r="I25" s="164" t="n">
        <f aca="false">IFERROR(ROUND(CORREL('Returns (Calc)'!$U$3:$U$500,'Returns (Calc)'!$I$3:$I$500),2),"")</f>
        <v>0.18</v>
      </c>
      <c r="J25" s="164" t="n">
        <f aca="false">IFERROR(ROUND(CORREL('Returns (Calc)'!$U$3:$U$500,'Returns (Calc)'!$J$3:$J$500),2),"")</f>
        <v>0.66</v>
      </c>
      <c r="K25" s="164" t="n">
        <f aca="false">IFERROR(ROUND(CORREL('Returns (Calc)'!$U$3:$U$500,'Returns (Calc)'!$K$3:$K$500),2),"")</f>
        <v>0.14</v>
      </c>
      <c r="L25" s="164" t="n">
        <f aca="false">IFERROR(ROUND(CORREL('Returns (Calc)'!$U$3:$U$500,'Returns (Calc)'!$L$3:$L$500),2),"")</f>
        <v>0.21</v>
      </c>
      <c r="M25" s="164" t="n">
        <f aca="false">IFERROR(ROUND(CORREL('Returns (Calc)'!$U$3:$U$500,'Returns (Calc)'!$M$3:$M$500),2),"")</f>
        <v>0.21</v>
      </c>
      <c r="N25" s="164" t="n">
        <f aca="false">IFERROR(ROUND(CORREL('Returns (Calc)'!$U$3:$U$500,'Returns (Calc)'!$N$3:$N$500),2),"")</f>
        <v>0.35</v>
      </c>
      <c r="O25" s="164" t="n">
        <f aca="false">IFERROR(ROUND(CORREL('Returns (Calc)'!$U$3:$U$500,'Returns (Calc)'!$O$3:$O$500),2),"")</f>
        <v>0.83</v>
      </c>
      <c r="P25" s="164" t="n">
        <f aca="false">IFERROR(ROUND(CORREL('Returns (Calc)'!$U$3:$U$500,'Returns (Calc)'!$P$3:$P$500),2),"")</f>
        <v>0.89</v>
      </c>
      <c r="Q25" s="164" t="n">
        <f aca="false">IFERROR(ROUND(CORREL('Returns (Calc)'!$U$3:$U$500,'Returns (Calc)'!$Q$3:$Q$500),2),"")</f>
        <v>0.58</v>
      </c>
      <c r="R25" s="164" t="n">
        <f aca="false">IFERROR(ROUND(CORREL('Returns (Calc)'!$U$3:$U$500,'Returns (Calc)'!$R$3:$R$500),2),"")</f>
        <v>0.41</v>
      </c>
      <c r="S25" s="164" t="n">
        <f aca="false">IFERROR(ROUND(CORREL('Returns (Calc)'!$U$3:$U$500,'Returns (Calc)'!$S$3:$S$500),2),"")</f>
        <v>0.36</v>
      </c>
      <c r="T25" s="164" t="n">
        <f aca="false">IFERROR(ROUND(CORREL('Returns (Calc)'!$U$3:$U$500,'Returns (Calc)'!$T$3:$T$500),2),"")</f>
        <v>0.78</v>
      </c>
      <c r="U25" s="164" t="n">
        <v>1</v>
      </c>
      <c r="V25" s="164" t="n">
        <f aca="false">IFERROR(ROUND(CORREL('Returns (Calc)'!$U$3:$U$500,'Returns (Calc)'!$V$3:$V$500),2),"")</f>
        <v>0.44</v>
      </c>
      <c r="W25" s="164" t="n">
        <f aca="false">IFERROR(ROUND(CORREL('Returns (Calc)'!$U$3:$U$500,'Returns (Calc)'!$AP$3:$AP$500),2),"")</f>
        <v>0.88</v>
      </c>
      <c r="X25" s="164" t="n">
        <f aca="false">IFERROR(ROUND(CORREL('Returns (Calc)'!$U$3:$U$500,'Returns (Calc)'!$AQ$3:$AQ$500),2),"")</f>
        <v>0.31</v>
      </c>
      <c r="Y25" s="164" t="n">
        <f aca="false">IFERROR(ROUND(CORREL('Returns (Calc)'!$U$3:$U$500,'Returns (Calc)'!$AR$3:$AR$500),2),"")</f>
        <v>0.78</v>
      </c>
      <c r="Z25" s="164" t="n">
        <f aca="false">IFERROR(ROUND(CORREL('Returns (Calc)'!$U$3:$U$500,'Returns (Calc)'!$AS$3:$AS$500),2),"")</f>
        <v>0.34</v>
      </c>
      <c r="AA25" s="164" t="n">
        <f aca="false">IFERROR(ROUND(CORREL('Returns (Calc)'!$U$3:$U$500,'Returns (Calc)'!$AT$3:$AT$500),2),"")</f>
        <v>0.16</v>
      </c>
      <c r="AB25" s="164" t="n">
        <f aca="false">IFERROR(ROUND(CORREL('Returns (Calc)'!$U$3:$U$500,'Returns (Calc)'!$AU$3:$AU$500),2),"")</f>
        <v>0.26</v>
      </c>
      <c r="AG25" s="165" t="n">
        <f aca="false">COUNTIF(B25:AB25,"&gt;0.7")-1</f>
        <v>5</v>
      </c>
    </row>
    <row r="26" customFormat="false" ht="15" hidden="false" customHeight="true" outlineLevel="0" collapsed="false">
      <c r="A26" s="163" t="str">
        <f aca="false">'Returns (Calc)'!V2</f>
        <v>V</v>
      </c>
      <c r="B26" s="164" t="n">
        <f aca="false">IFERROR(ROUND(CORREL('Returns (Calc)'!$V$3:$V$500,'Returns (Calc)'!$B$3:$B$500),2),"")</f>
        <v>0.4</v>
      </c>
      <c r="C26" s="164" t="n">
        <f aca="false">IFERROR(ROUND(CORREL('Returns (Calc)'!$V$3:$V$500,'Returns (Calc)'!$C$3:$C$500),2),"")</f>
        <v>0.25</v>
      </c>
      <c r="D26" s="164" t="n">
        <f aca="false">IFERROR(ROUND(CORREL('Returns (Calc)'!$V$3:$V$500,'Returns (Calc)'!$D$3:$D$500),2),"")</f>
        <v>0.04</v>
      </c>
      <c r="E26" s="164" t="n">
        <f aca="false">IFERROR(ROUND(CORREL('Returns (Calc)'!$V$3:$V$500,'Returns (Calc)'!$E$3:$E$500),2),"")</f>
        <v>0.2</v>
      </c>
      <c r="F26" s="164" t="n">
        <f aca="false">IFERROR(ROUND(CORREL('Returns (Calc)'!$V$3:$V$500,'Returns (Calc)'!$F$3:$F$500),2),"")</f>
        <v>0.27</v>
      </c>
      <c r="G26" s="164" t="n">
        <f aca="false">IFERROR(ROUND(CORREL('Returns (Calc)'!$V$3:$V$500,'Returns (Calc)'!$G$3:$G$500),2),"")</f>
        <v>0.02</v>
      </c>
      <c r="H26" s="164" t="n">
        <f aca="false">IFERROR(ROUND(CORREL('Returns (Calc)'!$V$3:$V$500,'Returns (Calc)'!$H$3:$H$500),2),"")</f>
        <v>0.02</v>
      </c>
      <c r="I26" s="164" t="n">
        <f aca="false">IFERROR(ROUND(CORREL('Returns (Calc)'!$V$3:$V$500,'Returns (Calc)'!$I$3:$I$500),2),"")</f>
        <v>0.2</v>
      </c>
      <c r="J26" s="164" t="n">
        <f aca="false">IFERROR(ROUND(CORREL('Returns (Calc)'!$V$3:$V$500,'Returns (Calc)'!$J$3:$J$500),2),"")</f>
        <v>0.37</v>
      </c>
      <c r="K26" s="164" t="n">
        <f aca="false">IFERROR(ROUND(CORREL('Returns (Calc)'!$V$3:$V$500,'Returns (Calc)'!$K$3:$K$500),2),"")</f>
        <v>0.24</v>
      </c>
      <c r="L26" s="164" t="n">
        <f aca="false">IFERROR(ROUND(CORREL('Returns (Calc)'!$V$3:$V$500,'Returns (Calc)'!$L$3:$L$500),2),"")</f>
        <v>0.13</v>
      </c>
      <c r="M26" s="164" t="n">
        <f aca="false">IFERROR(ROUND(CORREL('Returns (Calc)'!$V$3:$V$500,'Returns (Calc)'!$M$3:$M$500),2),"")</f>
        <v>0.14</v>
      </c>
      <c r="N26" s="164" t="n">
        <f aca="false">IFERROR(ROUND(CORREL('Returns (Calc)'!$V$3:$V$500,'Returns (Calc)'!$N$3:$N$500),2),"")</f>
        <v>0.26</v>
      </c>
      <c r="O26" s="164" t="n">
        <f aca="false">IFERROR(ROUND(CORREL('Returns (Calc)'!$V$3:$V$500,'Returns (Calc)'!$O$3:$O$500),2),"")</f>
        <v>0.36</v>
      </c>
      <c r="P26" s="164" t="n">
        <f aca="false">IFERROR(ROUND(CORREL('Returns (Calc)'!$V$3:$V$500,'Returns (Calc)'!$P$3:$P$500),2),"")</f>
        <v>0.43</v>
      </c>
      <c r="Q26" s="164" t="n">
        <f aca="false">IFERROR(ROUND(CORREL('Returns (Calc)'!$V$3:$V$500,'Returns (Calc)'!$Q$3:$Q$500),2),"")</f>
        <v>0.52</v>
      </c>
      <c r="R26" s="164" t="n">
        <f aca="false">IFERROR(ROUND(CORREL('Returns (Calc)'!$V$3:$V$500,'Returns (Calc)'!$R$3:$R$500),2),"")</f>
        <v>0.43</v>
      </c>
      <c r="S26" s="164" t="n">
        <f aca="false">IFERROR(ROUND(CORREL('Returns (Calc)'!$V$3:$V$500,'Returns (Calc)'!$S$3:$S$500),2),"")</f>
        <v>0.37</v>
      </c>
      <c r="T26" s="164" t="n">
        <f aca="false">IFERROR(ROUND(CORREL('Returns (Calc)'!$V$3:$V$500,'Returns (Calc)'!$T$3:$T$500),2),"")</f>
        <v>0.45</v>
      </c>
      <c r="U26" s="164" t="n">
        <f aca="false">IFERROR(ROUND(CORREL('Returns (Calc)'!$V$3:$V$500,'Returns (Calc)'!$U$3:$U$500),2),"")</f>
        <v>0.44</v>
      </c>
      <c r="V26" s="164" t="n">
        <v>1</v>
      </c>
      <c r="W26" s="164" t="n">
        <f aca="false">IFERROR(ROUND(CORREL('Returns (Calc)'!$V$3:$V$500,'Returns (Calc)'!$AP$3:$AP$500),2),"")</f>
        <v>0.51</v>
      </c>
      <c r="X26" s="164" t="n">
        <f aca="false">IFERROR(ROUND(CORREL('Returns (Calc)'!$V$3:$V$500,'Returns (Calc)'!$AQ$3:$AQ$500),2),"")</f>
        <v>-0.06</v>
      </c>
      <c r="Y26" s="164" t="n">
        <f aca="false">IFERROR(ROUND(CORREL('Returns (Calc)'!$V$3:$V$500,'Returns (Calc)'!$AR$3:$AR$500),2),"")</f>
        <v>0.63</v>
      </c>
      <c r="Z26" s="164" t="n">
        <f aca="false">IFERROR(ROUND(CORREL('Returns (Calc)'!$V$3:$V$500,'Returns (Calc)'!$AS$3:$AS$500),2),"")</f>
        <v>0.41</v>
      </c>
      <c r="AA26" s="164" t="n">
        <f aca="false">IFERROR(ROUND(CORREL('Returns (Calc)'!$V$3:$V$500,'Returns (Calc)'!$AT$3:$AT$500),2),"")</f>
        <v>0.29</v>
      </c>
      <c r="AB26" s="164" t="n">
        <f aca="false">IFERROR(ROUND(CORREL('Returns (Calc)'!$V$3:$V$500,'Returns (Calc)'!$AU$3:$AU$500),2),"")</f>
        <v>0.35</v>
      </c>
      <c r="AG26" s="165" t="n">
        <f aca="false">COUNTIF(B26:AB26,"&gt;0.7")-1</f>
        <v>0</v>
      </c>
    </row>
    <row r="27" customFormat="false" ht="15" hidden="false" customHeight="true" outlineLevel="0" collapsed="false">
      <c r="A27" s="163" t="str">
        <f aca="false">'Returns (Calc)'!AP2</f>
        <v>VYM</v>
      </c>
      <c r="B27" s="164" t="n">
        <f aca="false">IFERROR(ROUND(CORREL('Returns (Calc)'!$AP$3:$AP$500,'Returns (Calc)'!$B$3:$B$500),2),"")</f>
        <v>0.22</v>
      </c>
      <c r="C27" s="164" t="n">
        <f aca="false">IFERROR(ROUND(CORREL('Returns (Calc)'!$AP$3:$AP$500,'Returns (Calc)'!$C$3:$C$500),2),"")</f>
        <v>0.46</v>
      </c>
      <c r="D27" s="164" t="n">
        <f aca="false">IFERROR(ROUND(CORREL('Returns (Calc)'!$AP$3:$AP$500,'Returns (Calc)'!$D$3:$D$500),2),"")</f>
        <v>0.42</v>
      </c>
      <c r="E27" s="164" t="n">
        <f aca="false">IFERROR(ROUND(CORREL('Returns (Calc)'!$AP$3:$AP$500,'Returns (Calc)'!$E$3:$E$500),2),"")</f>
        <v>0.45</v>
      </c>
      <c r="F27" s="164" t="n">
        <f aca="false">IFERROR(ROUND(CORREL('Returns (Calc)'!$AP$3:$AP$500,'Returns (Calc)'!$F$3:$F$500),2),"")</f>
        <v>0.24</v>
      </c>
      <c r="G27" s="164" t="n">
        <f aca="false">IFERROR(ROUND(CORREL('Returns (Calc)'!$AP$3:$AP$500,'Returns (Calc)'!$G$3:$G$500),2),"")</f>
        <v>0.45</v>
      </c>
      <c r="H27" s="164" t="n">
        <f aca="false">IFERROR(ROUND(CORREL('Returns (Calc)'!$AP$3:$AP$500,'Returns (Calc)'!$H$3:$H$500),2),"")</f>
        <v>0.39</v>
      </c>
      <c r="I27" s="164" t="n">
        <f aca="false">IFERROR(ROUND(CORREL('Returns (Calc)'!$AP$3:$AP$500,'Returns (Calc)'!$I$3:$I$500),2),"")</f>
        <v>0.38</v>
      </c>
      <c r="J27" s="164" t="n">
        <f aca="false">IFERROR(ROUND(CORREL('Returns (Calc)'!$AP$3:$AP$500,'Returns (Calc)'!$J$3:$J$500),2),"")</f>
        <v>0.65</v>
      </c>
      <c r="K27" s="164" t="n">
        <f aca="false">IFERROR(ROUND(CORREL('Returns (Calc)'!$AP$3:$AP$500,'Returns (Calc)'!$K$3:$K$500),2),"")</f>
        <v>0.26</v>
      </c>
      <c r="L27" s="164" t="n">
        <f aca="false">IFERROR(ROUND(CORREL('Returns (Calc)'!$AP$3:$AP$500,'Returns (Calc)'!$L$3:$L$500),2),"")</f>
        <v>0.42</v>
      </c>
      <c r="M27" s="164" t="n">
        <f aca="false">IFERROR(ROUND(CORREL('Returns (Calc)'!$AP$3:$AP$500,'Returns (Calc)'!$M$3:$M$500),2),"")</f>
        <v>0.42</v>
      </c>
      <c r="N27" s="164" t="n">
        <f aca="false">IFERROR(ROUND(CORREL('Returns (Calc)'!$AP$3:$AP$500,'Returns (Calc)'!$N$3:$N$500),2),"")</f>
        <v>0.28</v>
      </c>
      <c r="O27" s="164" t="n">
        <f aca="false">IFERROR(ROUND(CORREL('Returns (Calc)'!$AP$3:$AP$500,'Returns (Calc)'!$O$3:$O$500),2),"")</f>
        <v>0.87</v>
      </c>
      <c r="P27" s="164" t="n">
        <f aca="false">IFERROR(ROUND(CORREL('Returns (Calc)'!$AP$3:$AP$500,'Returns (Calc)'!$P$3:$P$500),2),"")</f>
        <v>0.88</v>
      </c>
      <c r="Q27" s="164" t="n">
        <f aca="false">IFERROR(ROUND(CORREL('Returns (Calc)'!$AP$3:$AP$500,'Returns (Calc)'!$Q$3:$Q$500),2),"")</f>
        <v>0.78</v>
      </c>
      <c r="R27" s="164" t="n">
        <f aca="false">IFERROR(ROUND(CORREL('Returns (Calc)'!$AP$3:$AP$500,'Returns (Calc)'!$R$3:$R$500),2),"")</f>
        <v>0.66</v>
      </c>
      <c r="S27" s="164" t="n">
        <f aca="false">IFERROR(ROUND(CORREL('Returns (Calc)'!$AP$3:$AP$500,'Returns (Calc)'!$S$3:$S$500),2),"")</f>
        <v>0.64</v>
      </c>
      <c r="T27" s="164" t="n">
        <f aca="false">IFERROR(ROUND(CORREL('Returns (Calc)'!$AP$3:$AP$500,'Returns (Calc)'!$T$3:$T$500),2),"")</f>
        <v>0.79</v>
      </c>
      <c r="U27" s="164" t="n">
        <f aca="false">IFERROR(ROUND(CORREL('Returns (Calc)'!$AP$3:$AP$500,'Returns (Calc)'!$U$3:$U$500),2),"")</f>
        <v>0.88</v>
      </c>
      <c r="V27" s="164" t="n">
        <f aca="false">IFERROR(ROUND(CORREL('Returns (Calc)'!$AP$3:$AP$500,'Returns (Calc)'!$V$3:$V$500),2),"")</f>
        <v>0.51</v>
      </c>
      <c r="W27" s="164" t="n">
        <v>1</v>
      </c>
      <c r="X27" s="164" t="n">
        <f aca="false">IFERROR(ROUND(CORREL('Returns (Calc)'!$AP$3:$AP$500,'Returns (Calc)'!$AQ$3:$AQ$500),2),"")</f>
        <v>0.03</v>
      </c>
      <c r="Y27" s="164" t="n">
        <f aca="false">IFERROR(ROUND(CORREL('Returns (Calc)'!$AP$3:$AP$500,'Returns (Calc)'!$AR$3:$AR$500),2),"")</f>
        <v>0.9</v>
      </c>
      <c r="Z27" s="164" t="n">
        <f aca="false">IFERROR(ROUND(CORREL('Returns (Calc)'!$AP$3:$AP$500,'Returns (Calc)'!$AS$3:$AS$500),2),"")</f>
        <v>0.54</v>
      </c>
      <c r="AA27" s="164" t="n">
        <f aca="false">IFERROR(ROUND(CORREL('Returns (Calc)'!$AP$3:$AP$500,'Returns (Calc)'!$AT$3:$AT$500),2),"")</f>
        <v>0.3</v>
      </c>
      <c r="AB27" s="164" t="n">
        <f aca="false">IFERROR(ROUND(CORREL('Returns (Calc)'!$AP$3:$AP$500,'Returns (Calc)'!$AU$3:$AU$500),2),"")</f>
        <v>0.24</v>
      </c>
      <c r="AG27" s="165" t="n">
        <f aca="false">COUNTIF(B27:AB27,"&gt;0.7")-1</f>
        <v>6</v>
      </c>
    </row>
    <row r="28" customFormat="false" ht="15" hidden="false" customHeight="true" outlineLevel="0" collapsed="false">
      <c r="A28" s="163" t="str">
        <f aca="false">'Returns (Calc)'!AQ2</f>
        <v>MLPI</v>
      </c>
      <c r="B28" s="164" t="n">
        <f aca="false">IFERROR(ROUND(CORREL('Returns (Calc)'!$AQ$3:$AQ$500,'Returns (Calc)'!$B$3:$B$500),2),"")</f>
        <v>-0.24</v>
      </c>
      <c r="C28" s="164" t="n">
        <f aca="false">IFERROR(ROUND(CORREL('Returns (Calc)'!$AQ$3:$AQ$500,'Returns (Calc)'!$C$3:$C$500),2),"")</f>
        <v>-0.04</v>
      </c>
      <c r="D28" s="164" t="n">
        <f aca="false">IFERROR(ROUND(CORREL('Returns (Calc)'!$AQ$3:$AQ$500,'Returns (Calc)'!$D$3:$D$500),2),"")</f>
        <v>-0.18</v>
      </c>
      <c r="E28" s="164" t="n">
        <f aca="false">IFERROR(ROUND(CORREL('Returns (Calc)'!$AQ$3:$AQ$500,'Returns (Calc)'!$E$3:$E$500),2),"")</f>
        <v>-0.45</v>
      </c>
      <c r="F28" s="164" t="n">
        <f aca="false">IFERROR(ROUND(CORREL('Returns (Calc)'!$AQ$3:$AQ$500,'Returns (Calc)'!$F$3:$F$500),2),"")</f>
        <v>-0.3</v>
      </c>
      <c r="G28" s="164" t="n">
        <f aca="false">IFERROR(ROUND(CORREL('Returns (Calc)'!$AQ$3:$AQ$500,'Returns (Calc)'!$G$3:$G$500),2),"")</f>
        <v>-0.17</v>
      </c>
      <c r="H28" s="164" t="n">
        <f aca="false">IFERROR(ROUND(CORREL('Returns (Calc)'!$AQ$3:$AQ$500,'Returns (Calc)'!$H$3:$H$500),2),"")</f>
        <v>-0.35</v>
      </c>
      <c r="I28" s="164" t="n">
        <f aca="false">IFERROR(ROUND(CORREL('Returns (Calc)'!$AQ$3:$AQ$500,'Returns (Calc)'!$I$3:$I$500),2),"")</f>
        <v>-0.31</v>
      </c>
      <c r="J28" s="164" t="n">
        <f aca="false">IFERROR(ROUND(CORREL('Returns (Calc)'!$AQ$3:$AQ$500,'Returns (Calc)'!$J$3:$J$500),2),"")</f>
        <v>0.09</v>
      </c>
      <c r="K28" s="164" t="n">
        <f aca="false">IFERROR(ROUND(CORREL('Returns (Calc)'!$AQ$3:$AQ$500,'Returns (Calc)'!$K$3:$K$500),2),"")</f>
        <v>-0.48</v>
      </c>
      <c r="L28" s="164" t="n">
        <f aca="false">IFERROR(ROUND(CORREL('Returns (Calc)'!$AQ$3:$AQ$500,'Returns (Calc)'!$L$3:$L$500),2),"")</f>
        <v>-0.25</v>
      </c>
      <c r="M28" s="164" t="n">
        <f aca="false">IFERROR(ROUND(CORREL('Returns (Calc)'!$AQ$3:$AQ$500,'Returns (Calc)'!$M$3:$M$500),2),"")</f>
        <v>0.2</v>
      </c>
      <c r="N28" s="164" t="n">
        <f aca="false">IFERROR(ROUND(CORREL('Returns (Calc)'!$AQ$3:$AQ$500,'Returns (Calc)'!$N$3:$N$500),2),"")</f>
        <v>-0.16</v>
      </c>
      <c r="O28" s="164" t="n">
        <f aca="false">IFERROR(ROUND(CORREL('Returns (Calc)'!$AQ$3:$AQ$500,'Returns (Calc)'!$O$3:$O$500),2),"")</f>
        <v>0.11</v>
      </c>
      <c r="P28" s="164" t="n">
        <f aca="false">IFERROR(ROUND(CORREL('Returns (Calc)'!$AQ$3:$AQ$500,'Returns (Calc)'!$P$3:$P$500),2),"")</f>
        <v>0.45</v>
      </c>
      <c r="Q28" s="164" t="n">
        <f aca="false">IFERROR(ROUND(CORREL('Returns (Calc)'!$AQ$3:$AQ$500,'Returns (Calc)'!$Q$3:$Q$500),2),"")</f>
        <v>-0.43</v>
      </c>
      <c r="R28" s="164" t="n">
        <f aca="false">IFERROR(ROUND(CORREL('Returns (Calc)'!$AQ$3:$AQ$500,'Returns (Calc)'!$R$3:$R$500),2),"")</f>
        <v>-0.49</v>
      </c>
      <c r="S28" s="164" t="n">
        <f aca="false">IFERROR(ROUND(CORREL('Returns (Calc)'!$AQ$3:$AQ$500,'Returns (Calc)'!$S$3:$S$500),2),"")</f>
        <v>-0.39</v>
      </c>
      <c r="T28" s="164" t="n">
        <f aca="false">IFERROR(ROUND(CORREL('Returns (Calc)'!$AQ$3:$AQ$500,'Returns (Calc)'!$T$3:$T$500),2),"")</f>
        <v>-0.27</v>
      </c>
      <c r="U28" s="164" t="n">
        <f aca="false">IFERROR(ROUND(CORREL('Returns (Calc)'!$AQ$3:$AQ$500,'Returns (Calc)'!$U$3:$U$500),2),"")</f>
        <v>0.31</v>
      </c>
      <c r="V28" s="164" t="n">
        <f aca="false">IFERROR(ROUND(CORREL('Returns (Calc)'!$AQ$3:$AQ$500,'Returns (Calc)'!$V$3:$V$500),2),"")</f>
        <v>-0.06</v>
      </c>
      <c r="W28" s="164" t="n">
        <f aca="false">IFERROR(ROUND(CORREL('Returns (Calc)'!$AQ$3:$AQ$500,'Returns (Calc)'!$AP$3:$AP$500),2),"")</f>
        <v>0.03</v>
      </c>
      <c r="X28" s="164" t="n">
        <v>1</v>
      </c>
      <c r="Y28" s="164" t="n">
        <f aca="false">IFERROR(ROUND(CORREL('Returns (Calc)'!$AQ$3:$AQ$500,'Returns (Calc)'!$AR$3:$AR$500),2),"")</f>
        <v>-0.1</v>
      </c>
      <c r="Z28" s="164" t="n">
        <f aca="false">IFERROR(ROUND(CORREL('Returns (Calc)'!$AQ$3:$AQ$500,'Returns (Calc)'!$AS$3:$AS$500),2),"")</f>
        <v>-0.26</v>
      </c>
      <c r="AA28" s="164" t="n">
        <f aca="false">IFERROR(ROUND(CORREL('Returns (Calc)'!$AQ$3:$AQ$500,'Returns (Calc)'!$AT$3:$AT$500),2),"")</f>
        <v>-0.01</v>
      </c>
      <c r="AB28" s="164" t="n">
        <f aca="false">IFERROR(ROUND(CORREL('Returns (Calc)'!$AQ$3:$AQ$500,'Returns (Calc)'!$AU$3:$AU$500),2),"")</f>
        <v>-0.29</v>
      </c>
      <c r="AG28" s="165" t="n">
        <f aca="false">COUNTIF(B28:AB28,"&gt;0.7")-1</f>
        <v>0</v>
      </c>
    </row>
    <row r="29" customFormat="false" ht="15" hidden="false" customHeight="true" outlineLevel="0" collapsed="false">
      <c r="A29" s="163" t="str">
        <f aca="false">'Returns (Calc)'!AR2</f>
        <v>JEPI</v>
      </c>
      <c r="B29" s="164" t="n">
        <f aca="false">IFERROR(ROUND(CORREL('Returns (Calc)'!$AR$3:$AR$500,'Returns (Calc)'!$B$3:$B$500),2),"")</f>
        <v>0.33</v>
      </c>
      <c r="C29" s="164" t="n">
        <f aca="false">IFERROR(ROUND(CORREL('Returns (Calc)'!$AR$3:$AR$500,'Returns (Calc)'!$C$3:$C$500),2),"")</f>
        <v>0.51</v>
      </c>
      <c r="D29" s="164" t="n">
        <f aca="false">IFERROR(ROUND(CORREL('Returns (Calc)'!$AR$3:$AR$500,'Returns (Calc)'!$D$3:$D$500),2),"")</f>
        <v>0.43</v>
      </c>
      <c r="E29" s="164" t="n">
        <f aca="false">IFERROR(ROUND(CORREL('Returns (Calc)'!$AR$3:$AR$500,'Returns (Calc)'!$E$3:$E$500),2),"")</f>
        <v>0.44</v>
      </c>
      <c r="F29" s="164" t="n">
        <f aca="false">IFERROR(ROUND(CORREL('Returns (Calc)'!$AR$3:$AR$500,'Returns (Calc)'!$F$3:$F$500),2),"")</f>
        <v>0.29</v>
      </c>
      <c r="G29" s="164" t="n">
        <f aca="false">IFERROR(ROUND(CORREL('Returns (Calc)'!$AR$3:$AR$500,'Returns (Calc)'!$G$3:$G$500),2),"")</f>
        <v>0.45</v>
      </c>
      <c r="H29" s="164" t="n">
        <f aca="false">IFERROR(ROUND(CORREL('Returns (Calc)'!$AR$3:$AR$500,'Returns (Calc)'!$H$3:$H$500),2),"")</f>
        <v>0.35</v>
      </c>
      <c r="I29" s="164" t="n">
        <f aca="false">IFERROR(ROUND(CORREL('Returns (Calc)'!$AR$3:$AR$500,'Returns (Calc)'!$I$3:$I$500),2),"")</f>
        <v>0.44</v>
      </c>
      <c r="J29" s="164" t="n">
        <f aca="false">IFERROR(ROUND(CORREL('Returns (Calc)'!$AR$3:$AR$500,'Returns (Calc)'!$J$3:$J$500),2),"")</f>
        <v>0.61</v>
      </c>
      <c r="K29" s="164" t="n">
        <f aca="false">IFERROR(ROUND(CORREL('Returns (Calc)'!$AR$3:$AR$500,'Returns (Calc)'!$K$3:$K$500),2),"")</f>
        <v>0.31</v>
      </c>
      <c r="L29" s="164" t="n">
        <f aca="false">IFERROR(ROUND(CORREL('Returns (Calc)'!$AR$3:$AR$500,'Returns (Calc)'!$L$3:$L$500),2),"")</f>
        <v>0.48</v>
      </c>
      <c r="M29" s="164" t="n">
        <f aca="false">IFERROR(ROUND(CORREL('Returns (Calc)'!$AR$3:$AR$500,'Returns (Calc)'!$M$3:$M$500),2),"")</f>
        <v>0.44</v>
      </c>
      <c r="N29" s="164" t="n">
        <f aca="false">IFERROR(ROUND(CORREL('Returns (Calc)'!$AR$3:$AR$500,'Returns (Calc)'!$N$3:$N$500),2),"")</f>
        <v>0.34</v>
      </c>
      <c r="O29" s="164" t="n">
        <f aca="false">IFERROR(ROUND(CORREL('Returns (Calc)'!$AR$3:$AR$500,'Returns (Calc)'!$O$3:$O$500),2),"")</f>
        <v>0.73</v>
      </c>
      <c r="P29" s="164" t="n">
        <f aca="false">IFERROR(ROUND(CORREL('Returns (Calc)'!$AR$3:$AR$500,'Returns (Calc)'!$P$3:$P$500),2),"")</f>
        <v>0.76</v>
      </c>
      <c r="Q29" s="164" t="n">
        <f aca="false">IFERROR(ROUND(CORREL('Returns (Calc)'!$AR$3:$AR$500,'Returns (Calc)'!$Q$3:$Q$500),2),"")</f>
        <v>0.83</v>
      </c>
      <c r="R29" s="164" t="n">
        <f aca="false">IFERROR(ROUND(CORREL('Returns (Calc)'!$AR$3:$AR$500,'Returns (Calc)'!$R$3:$R$500),2),"")</f>
        <v>0.76</v>
      </c>
      <c r="S29" s="164" t="n">
        <f aca="false">IFERROR(ROUND(CORREL('Returns (Calc)'!$AR$3:$AR$500,'Returns (Calc)'!$S$3:$S$500),2),"")</f>
        <v>0.67</v>
      </c>
      <c r="T29" s="164" t="n">
        <f aca="false">IFERROR(ROUND(CORREL('Returns (Calc)'!$AR$3:$AR$500,'Returns (Calc)'!$T$3:$T$500),2),"")</f>
        <v>0.72</v>
      </c>
      <c r="U29" s="164" t="n">
        <f aca="false">IFERROR(ROUND(CORREL('Returns (Calc)'!$AR$3:$AR$500,'Returns (Calc)'!$U$3:$U$500),2),"")</f>
        <v>0.78</v>
      </c>
      <c r="V29" s="164" t="n">
        <f aca="false">IFERROR(ROUND(CORREL('Returns (Calc)'!$AR$3:$AR$500,'Returns (Calc)'!$V$3:$V$500),2),"")</f>
        <v>0.63</v>
      </c>
      <c r="W29" s="164" t="n">
        <f aca="false">IFERROR(ROUND(CORREL('Returns (Calc)'!$AR$3:$AR$500,'Returns (Calc)'!$AP$3:$AP$500),2),"")</f>
        <v>0.9</v>
      </c>
      <c r="X29" s="164" t="n">
        <f aca="false">IFERROR(ROUND(CORREL('Returns (Calc)'!$AR$3:$AR$500,'Returns (Calc)'!$AQ$3:$AQ$500),2),"")</f>
        <v>-0.1</v>
      </c>
      <c r="Y29" s="164" t="n">
        <v>1</v>
      </c>
      <c r="Z29" s="164" t="n">
        <f aca="false">IFERROR(ROUND(CORREL('Returns (Calc)'!$AR$3:$AR$500,'Returns (Calc)'!$AS$3:$AS$500),2),"")</f>
        <v>0.57</v>
      </c>
      <c r="AA29" s="164" t="n">
        <f aca="false">IFERROR(ROUND(CORREL('Returns (Calc)'!$AR$3:$AR$500,'Returns (Calc)'!$AT$3:$AT$500),2),"")</f>
        <v>0.38</v>
      </c>
      <c r="AB29" s="164" t="n">
        <f aca="false">IFERROR(ROUND(CORREL('Returns (Calc)'!$AR$3:$AR$500,'Returns (Calc)'!$AU$3:$AU$500),2),"")</f>
        <v>0.31</v>
      </c>
      <c r="AG29" s="165" t="n">
        <f aca="false">COUNTIF(B29:AB29,"&gt;0.7")-1</f>
        <v>7</v>
      </c>
    </row>
    <row r="30" customFormat="false" ht="15" hidden="false" customHeight="true" outlineLevel="0" collapsed="false">
      <c r="A30" s="163" t="str">
        <f aca="false">'Returns (Calc)'!AS2</f>
        <v>GE</v>
      </c>
      <c r="B30" s="164" t="n">
        <f aca="false">IFERROR(ROUND(CORREL('Returns (Calc)'!$AS$3:$AS$500,'Returns (Calc)'!$B$3:$B$500),2),"")</f>
        <v>0.09</v>
      </c>
      <c r="C30" s="164" t="n">
        <f aca="false">IFERROR(ROUND(CORREL('Returns (Calc)'!$AS$3:$AS$500,'Returns (Calc)'!$C$3:$C$500),2),"")</f>
        <v>0.34</v>
      </c>
      <c r="D30" s="164" t="n">
        <f aca="false">IFERROR(ROUND(CORREL('Returns (Calc)'!$AS$3:$AS$500,'Returns (Calc)'!$D$3:$D$500),2),"")</f>
        <v>0.39</v>
      </c>
      <c r="E30" s="164" t="n">
        <f aca="false">IFERROR(ROUND(CORREL('Returns (Calc)'!$AS$3:$AS$500,'Returns (Calc)'!$E$3:$E$500),2),"")</f>
        <v>0.36</v>
      </c>
      <c r="F30" s="164" t="n">
        <f aca="false">IFERROR(ROUND(CORREL('Returns (Calc)'!$AS$3:$AS$500,'Returns (Calc)'!$F$3:$F$500),2),"")</f>
        <v>0.24</v>
      </c>
      <c r="G30" s="164" t="n">
        <f aca="false">IFERROR(ROUND(CORREL('Returns (Calc)'!$AS$3:$AS$500,'Returns (Calc)'!$G$3:$G$500),2),"")</f>
        <v>0.38</v>
      </c>
      <c r="H30" s="164" t="n">
        <f aca="false">IFERROR(ROUND(CORREL('Returns (Calc)'!$AS$3:$AS$500,'Returns (Calc)'!$H$3:$H$500),2),"")</f>
        <v>0.36</v>
      </c>
      <c r="I30" s="164" t="n">
        <f aca="false">IFERROR(ROUND(CORREL('Returns (Calc)'!$AS$3:$AS$500,'Returns (Calc)'!$I$3:$I$500),2),"")</f>
        <v>0.38</v>
      </c>
      <c r="J30" s="164" t="n">
        <f aca="false">IFERROR(ROUND(CORREL('Returns (Calc)'!$AS$3:$AS$500,'Returns (Calc)'!$J$3:$J$500),2),"")</f>
        <v>0.3</v>
      </c>
      <c r="K30" s="164" t="n">
        <f aca="false">IFERROR(ROUND(CORREL('Returns (Calc)'!$AS$3:$AS$500,'Returns (Calc)'!$K$3:$K$500),2),"")</f>
        <v>0.26</v>
      </c>
      <c r="L30" s="164" t="n">
        <f aca="false">IFERROR(ROUND(CORREL('Returns (Calc)'!$AS$3:$AS$500,'Returns (Calc)'!$L$3:$L$500),2),"")</f>
        <v>0.44</v>
      </c>
      <c r="M30" s="164" t="n">
        <f aca="false">IFERROR(ROUND(CORREL('Returns (Calc)'!$AS$3:$AS$500,'Returns (Calc)'!$M$3:$M$500),2),"")</f>
        <v>0.44</v>
      </c>
      <c r="N30" s="164" t="n">
        <f aca="false">IFERROR(ROUND(CORREL('Returns (Calc)'!$AS$3:$AS$500,'Returns (Calc)'!$N$3:$N$500),2),"")</f>
        <v>0.08</v>
      </c>
      <c r="O30" s="164" t="n">
        <f aca="false">IFERROR(ROUND(CORREL('Returns (Calc)'!$AS$3:$AS$500,'Returns (Calc)'!$O$3:$O$500),2),"")</f>
        <v>0.46</v>
      </c>
      <c r="P30" s="164" t="n">
        <f aca="false">IFERROR(ROUND(CORREL('Returns (Calc)'!$AS$3:$AS$500,'Returns (Calc)'!$P$3:$P$500),2),"")</f>
        <v>0.4</v>
      </c>
      <c r="Q30" s="164" t="n">
        <f aca="false">IFERROR(ROUND(CORREL('Returns (Calc)'!$AS$3:$AS$500,'Returns (Calc)'!$Q$3:$Q$500),2),"")</f>
        <v>0.53</v>
      </c>
      <c r="R30" s="164" t="n">
        <f aca="false">IFERROR(ROUND(CORREL('Returns (Calc)'!$AS$3:$AS$500,'Returns (Calc)'!$R$3:$R$500),2),"")</f>
        <v>0.52</v>
      </c>
      <c r="S30" s="164" t="n">
        <f aca="false">IFERROR(ROUND(CORREL('Returns (Calc)'!$AS$3:$AS$500,'Returns (Calc)'!$S$3:$S$500),2),"")</f>
        <v>0.61</v>
      </c>
      <c r="T30" s="164" t="n">
        <f aca="false">IFERROR(ROUND(CORREL('Returns (Calc)'!$AS$3:$AS$500,'Returns (Calc)'!$T$3:$T$500),2),"")</f>
        <v>0.44</v>
      </c>
      <c r="U30" s="164" t="n">
        <f aca="false">IFERROR(ROUND(CORREL('Returns (Calc)'!$AS$3:$AS$500,'Returns (Calc)'!$U$3:$U$500),2),"")</f>
        <v>0.34</v>
      </c>
      <c r="V30" s="164" t="n">
        <f aca="false">IFERROR(ROUND(CORREL('Returns (Calc)'!$AS$3:$AS$500,'Returns (Calc)'!$V$3:$V$500),2),"")</f>
        <v>0.41</v>
      </c>
      <c r="W30" s="164" t="n">
        <f aca="false">IFERROR(ROUND(CORREL('Returns (Calc)'!$AS$3:$AS$500,'Returns (Calc)'!$AP$3:$AP$500),2),"")</f>
        <v>0.54</v>
      </c>
      <c r="X30" s="164" t="n">
        <f aca="false">IFERROR(ROUND(CORREL('Returns (Calc)'!$AS$3:$AS$500,'Returns (Calc)'!$AQ$3:$AQ$500),2),"")</f>
        <v>-0.26</v>
      </c>
      <c r="Y30" s="164" t="n">
        <f aca="false">IFERROR(ROUND(CORREL('Returns (Calc)'!$AS$3:$AS$500,'Returns (Calc)'!$AR$3:$AR$500),2),"")</f>
        <v>0.57</v>
      </c>
      <c r="Z30" s="164" t="n">
        <v>1</v>
      </c>
      <c r="AA30" s="164" t="n">
        <f aca="false">IFERROR(ROUND(CORREL('Returns (Calc)'!$AS$3:$AS$500,'Returns (Calc)'!$AT$3:$AT$500),2),"")</f>
        <v>0.39</v>
      </c>
      <c r="AB30" s="164" t="n">
        <f aca="false">IFERROR(ROUND(CORREL('Returns (Calc)'!$AS$3:$AS$500,'Returns (Calc)'!$AU$3:$AU$500),2),"")</f>
        <v>0.18</v>
      </c>
      <c r="AG30" s="165" t="n">
        <f aca="false">COUNTIF(B30:AB30,"&gt;0.7")-1</f>
        <v>0</v>
      </c>
    </row>
    <row r="31" customFormat="false" ht="15" hidden="false" customHeight="true" outlineLevel="0" collapsed="false">
      <c r="A31" s="163" t="str">
        <f aca="false">'Returns (Calc)'!AT2</f>
        <v>NFLX</v>
      </c>
      <c r="B31" s="164" t="n">
        <f aca="false">IFERROR(ROUND(CORREL('Returns (Calc)'!$AT$3:$AT$500,'Returns (Calc)'!$B$3:$B$500),2),"")</f>
        <v>0.21</v>
      </c>
      <c r="C31" s="164" t="n">
        <f aca="false">IFERROR(ROUND(CORREL('Returns (Calc)'!$AT$3:$AT$500,'Returns (Calc)'!$C$3:$C$500),2),"")</f>
        <v>0.39</v>
      </c>
      <c r="D31" s="164" t="n">
        <f aca="false">IFERROR(ROUND(CORREL('Returns (Calc)'!$AT$3:$AT$500,'Returns (Calc)'!$D$3:$D$500),2),"")</f>
        <v>0.21</v>
      </c>
      <c r="E31" s="164" t="n">
        <f aca="false">IFERROR(ROUND(CORREL('Returns (Calc)'!$AT$3:$AT$500,'Returns (Calc)'!$E$3:$E$500),2),"")</f>
        <v>0.3</v>
      </c>
      <c r="F31" s="164" t="n">
        <f aca="false">IFERROR(ROUND(CORREL('Returns (Calc)'!$AT$3:$AT$500,'Returns (Calc)'!$F$3:$F$500),2),"")</f>
        <v>0.24</v>
      </c>
      <c r="G31" s="164" t="n">
        <f aca="false">IFERROR(ROUND(CORREL('Returns (Calc)'!$AT$3:$AT$500,'Returns (Calc)'!$G$3:$G$500),2),"")</f>
        <v>0.11</v>
      </c>
      <c r="H31" s="164" t="n">
        <f aca="false">IFERROR(ROUND(CORREL('Returns (Calc)'!$AT$3:$AT$500,'Returns (Calc)'!$H$3:$H$500),2),"")</f>
        <v>0.1</v>
      </c>
      <c r="I31" s="164" t="n">
        <f aca="false">IFERROR(ROUND(CORREL('Returns (Calc)'!$AT$3:$AT$500,'Returns (Calc)'!$I$3:$I$500),2),"")</f>
        <v>0.27</v>
      </c>
      <c r="J31" s="164" t="n">
        <f aca="false">IFERROR(ROUND(CORREL('Returns (Calc)'!$AT$3:$AT$500,'Returns (Calc)'!$J$3:$J$500),2),"")</f>
        <v>0.13</v>
      </c>
      <c r="K31" s="164" t="n">
        <f aca="false">IFERROR(ROUND(CORREL('Returns (Calc)'!$AT$3:$AT$500,'Returns (Calc)'!$K$3:$K$500),2),"")</f>
        <v>0.3</v>
      </c>
      <c r="L31" s="164" t="n">
        <f aca="false">IFERROR(ROUND(CORREL('Returns (Calc)'!$AT$3:$AT$500,'Returns (Calc)'!$L$3:$L$500),2),"")</f>
        <v>0.3</v>
      </c>
      <c r="M31" s="164" t="n">
        <f aca="false">IFERROR(ROUND(CORREL('Returns (Calc)'!$AT$3:$AT$500,'Returns (Calc)'!$M$3:$M$500),2),"")</f>
        <v>0.32</v>
      </c>
      <c r="N31" s="164" t="n">
        <f aca="false">IFERROR(ROUND(CORREL('Returns (Calc)'!$AT$3:$AT$500,'Returns (Calc)'!$N$3:$N$500),2),"")</f>
        <v>0.08</v>
      </c>
      <c r="O31" s="164" t="n">
        <f aca="false">IFERROR(ROUND(CORREL('Returns (Calc)'!$AT$3:$AT$500,'Returns (Calc)'!$O$3:$O$500),2),"")</f>
        <v>0.21</v>
      </c>
      <c r="P31" s="164" t="n">
        <f aca="false">IFERROR(ROUND(CORREL('Returns (Calc)'!$AT$3:$AT$500,'Returns (Calc)'!$P$3:$P$500),2),"")</f>
        <v>0.18</v>
      </c>
      <c r="Q31" s="164" t="n">
        <f aca="false">IFERROR(ROUND(CORREL('Returns (Calc)'!$AT$3:$AT$500,'Returns (Calc)'!$Q$3:$Q$500),2),"")</f>
        <v>0.39</v>
      </c>
      <c r="R31" s="164" t="n">
        <f aca="false">IFERROR(ROUND(CORREL('Returns (Calc)'!$AT$3:$AT$500,'Returns (Calc)'!$R$3:$R$500),2),"")</f>
        <v>0.43</v>
      </c>
      <c r="S31" s="164" t="n">
        <f aca="false">IFERROR(ROUND(CORREL('Returns (Calc)'!$AT$3:$AT$500,'Returns (Calc)'!$S$3:$S$500),2),"")</f>
        <v>0.41</v>
      </c>
      <c r="T31" s="164" t="n">
        <f aca="false">IFERROR(ROUND(CORREL('Returns (Calc)'!$AT$3:$AT$500,'Returns (Calc)'!$T$3:$T$500),2),"")</f>
        <v>0.25</v>
      </c>
      <c r="U31" s="164" t="n">
        <f aca="false">IFERROR(ROUND(CORREL('Returns (Calc)'!$AT$3:$AT$500,'Returns (Calc)'!$U$3:$U$500),2),"")</f>
        <v>0.16</v>
      </c>
      <c r="V31" s="164" t="n">
        <f aca="false">IFERROR(ROUND(CORREL('Returns (Calc)'!$AT$3:$AT$500,'Returns (Calc)'!$V$3:$V$500),2),"")</f>
        <v>0.29</v>
      </c>
      <c r="W31" s="164" t="n">
        <f aca="false">IFERROR(ROUND(CORREL('Returns (Calc)'!$AT$3:$AT$500,'Returns (Calc)'!$AP$3:$AP$500),2),"")</f>
        <v>0.3</v>
      </c>
      <c r="X31" s="164" t="n">
        <f aca="false">IFERROR(ROUND(CORREL('Returns (Calc)'!$AT$3:$AT$500,'Returns (Calc)'!$AQ$3:$AQ$500),2),"")</f>
        <v>-0.01</v>
      </c>
      <c r="Y31" s="164" t="n">
        <f aca="false">IFERROR(ROUND(CORREL('Returns (Calc)'!$AT$3:$AT$500,'Returns (Calc)'!$AR$3:$AR$500),2),"")</f>
        <v>0.38</v>
      </c>
      <c r="Z31" s="164" t="n">
        <f aca="false">IFERROR(ROUND(CORREL('Returns (Calc)'!$AT$3:$AT$500,'Returns (Calc)'!$AS$3:$AS$500),2),"")</f>
        <v>0.39</v>
      </c>
      <c r="AA31" s="164" t="n">
        <v>1</v>
      </c>
      <c r="AB31" s="164" t="n">
        <f aca="false">IFERROR(ROUND(CORREL('Returns (Calc)'!$AT$3:$AT$500,'Returns (Calc)'!$AU$3:$AU$500),2),"")</f>
        <v>0.16</v>
      </c>
      <c r="AG31" s="165" t="n">
        <f aca="false">COUNTIF(B31:AB31,"&gt;0.7")-1</f>
        <v>0</v>
      </c>
    </row>
    <row r="32" customFormat="false" ht="15" hidden="false" customHeight="true" outlineLevel="0" collapsed="false">
      <c r="A32" s="163" t="str">
        <f aca="false">'Returns (Calc)'!AU2</f>
        <v>VEEV</v>
      </c>
      <c r="B32" s="164" t="n">
        <f aca="false">IFERROR(ROUND(CORREL('Returns (Calc)'!$AU$3:$AU$500,'Returns (Calc)'!$B$3:$B$500),2),"")</f>
        <v>0.51</v>
      </c>
      <c r="C32" s="164" t="n">
        <f aca="false">IFERROR(ROUND(CORREL('Returns (Calc)'!$AU$3:$AU$500,'Returns (Calc)'!$C$3:$C$500),2),"")</f>
        <v>0.12</v>
      </c>
      <c r="D32" s="164" t="n">
        <f aca="false">IFERROR(ROUND(CORREL('Returns (Calc)'!$AU$3:$AU$500,'Returns (Calc)'!$D$3:$D$500),2),"")</f>
        <v>0.03</v>
      </c>
      <c r="E32" s="164" t="n">
        <f aca="false">IFERROR(ROUND(CORREL('Returns (Calc)'!$AU$3:$AU$500,'Returns (Calc)'!$E$3:$E$500),2),"")</f>
        <v>0.1</v>
      </c>
      <c r="F32" s="164" t="n">
        <f aca="false">IFERROR(ROUND(CORREL('Returns (Calc)'!$AU$3:$AU$500,'Returns (Calc)'!$F$3:$F$500),2),"")</f>
        <v>0.36</v>
      </c>
      <c r="G32" s="164" t="n">
        <f aca="false">IFERROR(ROUND(CORREL('Returns (Calc)'!$AU$3:$AU$500,'Returns (Calc)'!$G$3:$G$500),2),"")</f>
        <v>0.02</v>
      </c>
      <c r="H32" s="164" t="n">
        <f aca="false">IFERROR(ROUND(CORREL('Returns (Calc)'!$AU$3:$AU$500,'Returns (Calc)'!$H$3:$H$500),2),"")</f>
        <v>0.11</v>
      </c>
      <c r="I32" s="164" t="n">
        <f aca="false">IFERROR(ROUND(CORREL('Returns (Calc)'!$AU$3:$AU$500,'Returns (Calc)'!$I$3:$I$500),2),"")</f>
        <v>0.15</v>
      </c>
      <c r="J32" s="164" t="n">
        <f aca="false">IFERROR(ROUND(CORREL('Returns (Calc)'!$AU$3:$AU$500,'Returns (Calc)'!$J$3:$J$500),2),"")</f>
        <v>0.15</v>
      </c>
      <c r="K32" s="164" t="n">
        <f aca="false">IFERROR(ROUND(CORREL('Returns (Calc)'!$AU$3:$AU$500,'Returns (Calc)'!$K$3:$K$500),2),"")</f>
        <v>0.41</v>
      </c>
      <c r="L32" s="164" t="n">
        <f aca="false">IFERROR(ROUND(CORREL('Returns (Calc)'!$AU$3:$AU$500,'Returns (Calc)'!$L$3:$L$500),2),"")</f>
        <v>0.13</v>
      </c>
      <c r="M32" s="164" t="n">
        <f aca="false">IFERROR(ROUND(CORREL('Returns (Calc)'!$AU$3:$AU$500,'Returns (Calc)'!$M$3:$M$500),2),"")</f>
        <v>0.07</v>
      </c>
      <c r="N32" s="164" t="n">
        <f aca="false">IFERROR(ROUND(CORREL('Returns (Calc)'!$AU$3:$AU$500,'Returns (Calc)'!$N$3:$N$500),2),"")</f>
        <v>0.27</v>
      </c>
      <c r="O32" s="164" t="n">
        <f aca="false">IFERROR(ROUND(CORREL('Returns (Calc)'!$AU$3:$AU$500,'Returns (Calc)'!$O$3:$O$500),2),"")</f>
        <v>0.22</v>
      </c>
      <c r="P32" s="164" t="n">
        <f aca="false">IFERROR(ROUND(CORREL('Returns (Calc)'!$AU$3:$AU$500,'Returns (Calc)'!$P$3:$P$500),2),"")</f>
        <v>0.19</v>
      </c>
      <c r="Q32" s="164" t="n">
        <f aca="false">IFERROR(ROUND(CORREL('Returns (Calc)'!$AU$3:$AU$500,'Returns (Calc)'!$Q$3:$Q$500),2),"")</f>
        <v>0.34</v>
      </c>
      <c r="R32" s="164" t="n">
        <f aca="false">IFERROR(ROUND(CORREL('Returns (Calc)'!$AU$3:$AU$500,'Returns (Calc)'!$R$3:$R$500),2),"")</f>
        <v>0.29</v>
      </c>
      <c r="S32" s="164" t="n">
        <f aca="false">IFERROR(ROUND(CORREL('Returns (Calc)'!$AU$3:$AU$500,'Returns (Calc)'!$S$3:$S$500),2),"")</f>
        <v>0.2</v>
      </c>
      <c r="T32" s="164" t="n">
        <f aca="false">IFERROR(ROUND(CORREL('Returns (Calc)'!$AU$3:$AU$500,'Returns (Calc)'!$T$3:$T$500),2),"")</f>
        <v>0.43</v>
      </c>
      <c r="U32" s="164" t="n">
        <f aca="false">IFERROR(ROUND(CORREL('Returns (Calc)'!$AU$3:$AU$500,'Returns (Calc)'!$U$3:$U$500),2),"")</f>
        <v>0.26</v>
      </c>
      <c r="V32" s="164" t="n">
        <f aca="false">IFERROR(ROUND(CORREL('Returns (Calc)'!$AU$3:$AU$500,'Returns (Calc)'!$V$3:$V$500),2),"")</f>
        <v>0.35</v>
      </c>
      <c r="W32" s="164" t="n">
        <f aca="false">IFERROR(ROUND(CORREL('Returns (Calc)'!$AU$3:$AU$500,'Returns (Calc)'!$AP$3:$AP$500),2),"")</f>
        <v>0.24</v>
      </c>
      <c r="X32" s="164" t="n">
        <f aca="false">IFERROR(ROUND(CORREL('Returns (Calc)'!$AU$3:$AU$500,'Returns (Calc)'!$AQ$3:$AQ$500),2),"")</f>
        <v>-0.29</v>
      </c>
      <c r="Y32" s="164" t="n">
        <f aca="false">IFERROR(ROUND(CORREL('Returns (Calc)'!$AU$3:$AU$500,'Returns (Calc)'!$AR$3:$AR$500),2),"")</f>
        <v>0.31</v>
      </c>
      <c r="Z32" s="164" t="n">
        <f aca="false">IFERROR(ROUND(CORREL('Returns (Calc)'!$AU$3:$AU$500,'Returns (Calc)'!$AS$3:$AS$500),2),"")</f>
        <v>0.18</v>
      </c>
      <c r="AA32" s="164" t="n">
        <f aca="false">IFERROR(ROUND(CORREL('Returns (Calc)'!$AU$3:$AU$500,'Returns (Calc)'!$AT$3:$AT$500),2),"")</f>
        <v>0.16</v>
      </c>
      <c r="AB32" s="164" t="n">
        <v>1</v>
      </c>
      <c r="AG32" s="165" t="n">
        <f aca="false">COUNTIF(B32:AB32,"&gt;0.7")-1</f>
        <v>0</v>
      </c>
    </row>
  </sheetData>
  <mergeCells count="1">
    <mergeCell ref="A1:AG1"/>
  </mergeCells>
  <conditionalFormatting sqref="B6:AB32">
    <cfRule type="expression" priority="2" aboveAverage="0" equalAverage="0" bottom="0" percent="0" rank="0" text="" dxfId="28">
      <formula>AND(B6&lt;&gt;1,ABS(B6)&gt;0.7)</formula>
    </cfRule>
  </conditionalFormatting>
  <conditionalFormatting sqref="AG6:AG32">
    <cfRule type="cellIs" priority="3" operator="greaterThan" aboveAverage="0" equalAverage="0" bottom="0" percent="0" rank="0" text="" dxfId="28">
      <formula>1</formula>
    </cfRule>
  </conditionalFormatting>
  <conditionalFormatting sqref="J3">
    <cfRule type="cellIs" priority="4" operator="equal" aboveAverage="0" equalAverage="0" bottom="0" percent="0" rank="0" text="" dxfId="28">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5" customHeight="false" zeroHeight="false" outlineLevelRow="0" outlineLevelCol="0"/>
  <cols>
    <col collapsed="false" customWidth="true" hidden="false" outlineLevel="0" max="1" min="1" style="1" width="10.66"/>
    <col collapsed="false" customWidth="true" hidden="false" outlineLevel="0" max="3" min="2" style="1" width="15"/>
    <col collapsed="false" customWidth="true" hidden="false" outlineLevel="0" max="4" min="4" style="1" width="10.51"/>
    <col collapsed="false" customWidth="true" hidden="false" outlineLevel="0" max="6" min="5" style="1" width="10.33"/>
    <col collapsed="false" customWidth="true" hidden="false" outlineLevel="0" max="7" min="7" style="1" width="22"/>
    <col collapsed="false" customWidth="true" hidden="false" outlineLevel="0" max="8" min="8" style="145" width="69.16"/>
  </cols>
  <sheetData>
    <row r="1" customFormat="false" ht="24" hidden="false" customHeight="true" outlineLevel="0" collapsed="false">
      <c r="A1" s="166" t="s">
        <v>475</v>
      </c>
      <c r="B1" s="166"/>
      <c r="C1" s="166"/>
      <c r="D1" s="166"/>
      <c r="E1" s="166"/>
      <c r="F1" s="166"/>
      <c r="G1" s="166"/>
      <c r="H1" s="166"/>
    </row>
    <row r="2" customFormat="false" ht="27.75" hidden="false" customHeight="true" outlineLevel="0" collapsed="false">
      <c r="A2" s="121" t="s">
        <v>476</v>
      </c>
      <c r="B2" s="121" t="s">
        <v>477</v>
      </c>
      <c r="C2" s="121" t="s">
        <v>478</v>
      </c>
      <c r="D2" s="121" t="s">
        <v>479</v>
      </c>
      <c r="E2" s="121" t="s">
        <v>480</v>
      </c>
      <c r="F2" s="121" t="s">
        <v>481</v>
      </c>
      <c r="G2" s="121" t="s">
        <v>482</v>
      </c>
      <c r="H2" s="121" t="s">
        <v>219</v>
      </c>
    </row>
    <row r="3" customFormat="false" ht="15" hidden="false" customHeight="true" outlineLevel="0" collapsed="false">
      <c r="A3" s="167" t="n">
        <v>46245</v>
      </c>
      <c r="B3" s="168" t="n">
        <v>700739.19</v>
      </c>
      <c r="C3" s="169" t="n">
        <f aca="false">IF(B3="","",B3)</f>
        <v>700739.19</v>
      </c>
      <c r="D3" s="170" t="n">
        <f aca="false">IF(OR(B3="",C3=""),"",B3/C3-1)</f>
        <v>0</v>
      </c>
      <c r="E3" s="171" t="str">
        <f aca="false">IF(D3="","",IF(D3&gt;=-0.1,"Normal",IF(D3&gt;=-0.2,"Elevated",IF(D3&gt;=-0.3,"Severe","Critical"))))</f>
        <v>Normal</v>
      </c>
      <c r="F3" s="172" t="str">
        <f aca="false">IF(E3="","",IF(E3="Normal","5-15%",IF(E3="Elevated","15%",IF(E3="Severe","20%","25%"))))</f>
        <v>5-15%</v>
      </c>
      <c r="G3" s="172" t="str">
        <f aca="false">IF(E3="","",IF(E3="Normal","Standard (score &gt;=65)",IF(E3="Elevated","Restricted (score &gt;=80 only)","Suspended")))</f>
        <v>Standard (score &gt;=65)</v>
      </c>
      <c r="H3" s="173"/>
    </row>
    <row r="4" customFormat="false" ht="15" hidden="false" customHeight="true" outlineLevel="0" collapsed="false">
      <c r="A4" s="167" t="n">
        <v>46269</v>
      </c>
      <c r="B4" s="168" t="n">
        <v>751223.12</v>
      </c>
      <c r="C4" s="169" t="n">
        <f aca="false">IF(B4="","",MAX(C3,B4))</f>
        <v>751223.12</v>
      </c>
      <c r="D4" s="170" t="n">
        <f aca="false">IF(OR(B4="",C4=""),"",B4/C4-1)</f>
        <v>0</v>
      </c>
      <c r="E4" s="171" t="str">
        <f aca="false">IF(D4="","",IF(D4&gt;=-0.1,"Normal",IF(D4&gt;=-0.2,"Elevated",IF(D4&gt;=-0.3,"Severe","Critical"))))</f>
        <v>Normal</v>
      </c>
      <c r="F4" s="172" t="str">
        <f aca="false">IF(E4="","",IF(E4="Normal","5-15%",IF(E4="Elevated","15%",IF(E4="Severe","20%","25%"))))</f>
        <v>5-15%</v>
      </c>
      <c r="G4" s="172" t="str">
        <f aca="false">IF(E4="","",IF(E4="Normal","Standard (score &gt;=65)",IF(E4="Elevated","Restricted (score &gt;=80 only)","Suspended")))</f>
        <v>Standard (score &gt;=65)</v>
      </c>
      <c r="H4" s="173" t="s">
        <v>483</v>
      </c>
    </row>
    <row r="5" customFormat="false" ht="15" hidden="false" customHeight="true" outlineLevel="0" collapsed="false">
      <c r="A5" s="167" t="n">
        <v>46295</v>
      </c>
      <c r="B5" s="168" t="n">
        <v>741557.65</v>
      </c>
      <c r="C5" s="169" t="n">
        <f aca="false">IF(B5="","",MAX(C4,B5))</f>
        <v>751223.12</v>
      </c>
      <c r="D5" s="170" t="n">
        <f aca="false">IF(OR(B5="",C5=""),"",B5/C5-1)</f>
        <v>-0.0128663106108875</v>
      </c>
      <c r="E5" s="171" t="str">
        <f aca="false">IF(D5="","",IF(D5&gt;=-0.1,"Normal",IF(D5&gt;=-0.2,"Elevated",IF(D5&gt;=-0.3,"Severe","Critical"))))</f>
        <v>Normal</v>
      </c>
      <c r="F5" s="172" t="str">
        <f aca="false">IF(E5="","",IF(E5="Normal","5-15%",IF(E5="Elevated","15%",IF(E5="Severe","20%","25%"))))</f>
        <v>5-15%</v>
      </c>
      <c r="G5" s="172" t="str">
        <f aca="false">IF(E5="","",IF(E5="Normal","Standard (score &gt;=65)",IF(E5="Elevated","Restricted (score &gt;=80 only)","Suspended")))</f>
        <v>Standard (score &gt;=65)</v>
      </c>
      <c r="H5" s="173" t="s">
        <v>484</v>
      </c>
    </row>
    <row r="6" customFormat="false" ht="15" hidden="false" customHeight="true" outlineLevel="0" collapsed="false">
      <c r="A6" s="167" t="n">
        <v>46301</v>
      </c>
      <c r="B6" s="168" t="n">
        <v>753520.32</v>
      </c>
      <c r="C6" s="169" t="n">
        <f aca="false">IF(B6="","",MAX(C5,B6))</f>
        <v>753520.32</v>
      </c>
      <c r="D6" s="170" t="n">
        <f aca="false">IF(OR(B6="",C6=""),"",B6/C6-1)</f>
        <v>0</v>
      </c>
      <c r="E6" s="171" t="str">
        <f aca="false">IF(D6="","",IF(D6&gt;=-0.1,"Normal",IF(D6&gt;=-0.2,"Elevated",IF(D6&gt;=-0.3,"Severe","Critical"))))</f>
        <v>Normal</v>
      </c>
      <c r="F6" s="172" t="str">
        <f aca="false">IF(E6="","",IF(E6="Normal","5-15%",IF(E6="Elevated","15%",IF(E6="Severe","20%","25%"))))</f>
        <v>5-15%</v>
      </c>
      <c r="G6" s="172" t="str">
        <f aca="false">IF(E6="","",IF(E6="Normal","Standard (score &gt;=65)",IF(E6="Elevated","Restricted (score &gt;=80 only)","Suspended")))</f>
        <v>Standard (score &gt;=65)</v>
      </c>
      <c r="H6" s="173" t="s">
        <v>485</v>
      </c>
    </row>
    <row r="7" customFormat="false" ht="15" hidden="false" customHeight="true" outlineLevel="0" collapsed="false">
      <c r="A7" s="167"/>
      <c r="B7" s="168"/>
      <c r="C7" s="169" t="str">
        <f aca="false">IF(B7="","",MAX(C6,B7))</f>
        <v/>
      </c>
      <c r="D7" s="170" t="str">
        <f aca="false">IF(OR(B7="",C7=""),"",B7/C7-1)</f>
        <v/>
      </c>
      <c r="E7" s="171" t="str">
        <f aca="false">IF(D7="","",IF(D7&gt;=-0.1,"Normal",IF(D7&gt;=-0.2,"Elevated",IF(D7&gt;=-0.3,"Severe","Critical"))))</f>
        <v/>
      </c>
      <c r="F7" s="172" t="str">
        <f aca="false">IF(E7="","",IF(E7="Normal","5-15%",IF(E7="Elevated","15%",IF(E7="Severe","20%","25%"))))</f>
        <v/>
      </c>
      <c r="G7" s="172" t="str">
        <f aca="false">IF(E7="","",IF(E7="Normal","Standard (score &gt;=65)",IF(E7="Elevated","Restricted (score &gt;=80 only)","Suspended")))</f>
        <v/>
      </c>
      <c r="H7" s="173"/>
    </row>
    <row r="8" customFormat="false" ht="15" hidden="false" customHeight="true" outlineLevel="0" collapsed="false">
      <c r="A8" s="167"/>
      <c r="B8" s="168"/>
      <c r="C8" s="169" t="str">
        <f aca="false">IF(B8="","",MAX(C7,B8))</f>
        <v/>
      </c>
      <c r="D8" s="170" t="str">
        <f aca="false">IF(OR(B8="",C8=""),"",B8/C8-1)</f>
        <v/>
      </c>
      <c r="E8" s="171" t="str">
        <f aca="false">IF(D8="","",IF(D8&gt;=-0.1,"Normal",IF(D8&gt;=-0.2,"Elevated",IF(D8&gt;=-0.3,"Severe","Critical"))))</f>
        <v/>
      </c>
      <c r="F8" s="172" t="str">
        <f aca="false">IF(E8="","",IF(E8="Normal","5-15%",IF(E8="Elevated","15%",IF(E8="Severe","20%","25%"))))</f>
        <v/>
      </c>
      <c r="G8" s="172" t="str">
        <f aca="false">IF(E8="","",IF(E8="Normal","Standard (score &gt;=65)",IF(E8="Elevated","Restricted (score &gt;=80 only)","Suspended")))</f>
        <v/>
      </c>
      <c r="H8" s="173"/>
    </row>
    <row r="9" customFormat="false" ht="15" hidden="false" customHeight="true" outlineLevel="0" collapsed="false">
      <c r="A9" s="167"/>
      <c r="B9" s="168"/>
      <c r="C9" s="169" t="str">
        <f aca="false">IF(B9="","",MAX(C8,B9))</f>
        <v/>
      </c>
      <c r="D9" s="170" t="str">
        <f aca="false">IF(OR(B9="",C9=""),"",B9/C9-1)</f>
        <v/>
      </c>
      <c r="E9" s="171" t="str">
        <f aca="false">IF(D9="","",IF(D9&gt;=-0.1,"Normal",IF(D9&gt;=-0.2,"Elevated",IF(D9&gt;=-0.3,"Severe","Critical"))))</f>
        <v/>
      </c>
      <c r="F9" s="172" t="str">
        <f aca="false">IF(E9="","",IF(E9="Normal","5-15%",IF(E9="Elevated","15%",IF(E9="Severe","20%","25%"))))</f>
        <v/>
      </c>
      <c r="G9" s="172" t="str">
        <f aca="false">IF(E9="","",IF(E9="Normal","Standard (score &gt;=65)",IF(E9="Elevated","Restricted (score &gt;=80 only)","Suspended")))</f>
        <v/>
      </c>
      <c r="H9" s="173"/>
    </row>
    <row r="10" customFormat="false" ht="15" hidden="false" customHeight="true" outlineLevel="0" collapsed="false">
      <c r="A10" s="167"/>
      <c r="B10" s="168"/>
      <c r="C10" s="169" t="str">
        <f aca="false">IF(B10="","",MAX(C9,B10))</f>
        <v/>
      </c>
      <c r="D10" s="170" t="str">
        <f aca="false">IF(OR(B10="",C10=""),"",B10/C10-1)</f>
        <v/>
      </c>
      <c r="E10" s="171" t="str">
        <f aca="false">IF(D10="","",IF(D10&gt;=-0.1,"Normal",IF(D10&gt;=-0.2,"Elevated",IF(D10&gt;=-0.3,"Severe","Critical"))))</f>
        <v/>
      </c>
      <c r="F10" s="172" t="str">
        <f aca="false">IF(E10="","",IF(E10="Normal","5-15%",IF(E10="Elevated","15%",IF(E10="Severe","20%","25%"))))</f>
        <v/>
      </c>
      <c r="G10" s="172" t="str">
        <f aca="false">IF(E10="","",IF(E10="Normal","Standard (score &gt;=65)",IF(E10="Elevated","Restricted (score &gt;=80 only)","Suspended")))</f>
        <v/>
      </c>
      <c r="H10" s="173"/>
    </row>
    <row r="11" customFormat="false" ht="15" hidden="false" customHeight="true" outlineLevel="0" collapsed="false">
      <c r="A11" s="167"/>
      <c r="B11" s="168"/>
      <c r="C11" s="169" t="str">
        <f aca="false">IF(B11="","",MAX(C10,B11))</f>
        <v/>
      </c>
      <c r="D11" s="170" t="str">
        <f aca="false">IF(OR(B11="",C11=""),"",B11/C11-1)</f>
        <v/>
      </c>
      <c r="E11" s="171" t="str">
        <f aca="false">IF(D11="","",IF(D11&gt;=-0.1,"Normal",IF(D11&gt;=-0.2,"Elevated",IF(D11&gt;=-0.3,"Severe","Critical"))))</f>
        <v/>
      </c>
      <c r="F11" s="172" t="str">
        <f aca="false">IF(E11="","",IF(E11="Normal","5-15%",IF(E11="Elevated","15%",IF(E11="Severe","20%","25%"))))</f>
        <v/>
      </c>
      <c r="G11" s="172" t="str">
        <f aca="false">IF(E11="","",IF(E11="Normal","Standard (score &gt;=65)",IF(E11="Elevated","Restricted (score &gt;=80 only)","Suspended")))</f>
        <v/>
      </c>
      <c r="H11" s="173"/>
    </row>
    <row r="12" customFormat="false" ht="15" hidden="false" customHeight="true" outlineLevel="0" collapsed="false">
      <c r="A12" s="167"/>
      <c r="B12" s="168"/>
      <c r="C12" s="169" t="str">
        <f aca="false">IF(B12="","",MAX(C11,B12))</f>
        <v/>
      </c>
      <c r="D12" s="170" t="str">
        <f aca="false">IF(OR(B12="",C12=""),"",B12/C12-1)</f>
        <v/>
      </c>
      <c r="E12" s="171" t="str">
        <f aca="false">IF(D12="","",IF(D12&gt;=-0.1,"Normal",IF(D12&gt;=-0.2,"Elevated",IF(D12&gt;=-0.3,"Severe","Critical"))))</f>
        <v/>
      </c>
      <c r="F12" s="172" t="str">
        <f aca="false">IF(E12="","",IF(E12="Normal","5-15%",IF(E12="Elevated","15%",IF(E12="Severe","20%","25%"))))</f>
        <v/>
      </c>
      <c r="G12" s="172" t="str">
        <f aca="false">IF(E12="","",IF(E12="Normal","Standard (score &gt;=65)",IF(E12="Elevated","Restricted (score &gt;=80 only)","Suspended")))</f>
        <v/>
      </c>
      <c r="H12" s="173"/>
    </row>
    <row r="13" customFormat="false" ht="15" hidden="false" customHeight="true" outlineLevel="0" collapsed="false">
      <c r="A13" s="167"/>
      <c r="B13" s="168"/>
      <c r="C13" s="169" t="str">
        <f aca="false">IF(B13="","",MAX(C12,B13))</f>
        <v/>
      </c>
      <c r="D13" s="170" t="str">
        <f aca="false">IF(OR(B13="",C13=""),"",B13/C13-1)</f>
        <v/>
      </c>
      <c r="E13" s="171" t="str">
        <f aca="false">IF(D13="","",IF(D13&gt;=-0.1,"Normal",IF(D13&gt;=-0.2,"Elevated",IF(D13&gt;=-0.3,"Severe","Critical"))))</f>
        <v/>
      </c>
      <c r="F13" s="172" t="str">
        <f aca="false">IF(E13="","",IF(E13="Normal","5-15%",IF(E13="Elevated","15%",IF(E13="Severe","20%","25%"))))</f>
        <v/>
      </c>
      <c r="G13" s="172" t="str">
        <f aca="false">IF(E13="","",IF(E13="Normal","Standard (score &gt;=65)",IF(E13="Elevated","Restricted (score &gt;=80 only)","Suspended")))</f>
        <v/>
      </c>
      <c r="H13" s="173"/>
    </row>
    <row r="14" customFormat="false" ht="15" hidden="false" customHeight="true" outlineLevel="0" collapsed="false">
      <c r="A14" s="167"/>
      <c r="B14" s="168"/>
      <c r="C14" s="169" t="str">
        <f aca="false">IF(B14="","",MAX(C13,B14))</f>
        <v/>
      </c>
      <c r="D14" s="170" t="str">
        <f aca="false">IF(OR(B14="",C14=""),"",B14/C14-1)</f>
        <v/>
      </c>
      <c r="E14" s="171" t="str">
        <f aca="false">IF(D14="","",IF(D14&gt;=-0.1,"Normal",IF(D14&gt;=-0.2,"Elevated",IF(D14&gt;=-0.3,"Severe","Critical"))))</f>
        <v/>
      </c>
      <c r="F14" s="172" t="str">
        <f aca="false">IF(E14="","",IF(E14="Normal","5-15%",IF(E14="Elevated","15%",IF(E14="Severe","20%","25%"))))</f>
        <v/>
      </c>
      <c r="G14" s="172" t="str">
        <f aca="false">IF(E14="","",IF(E14="Normal","Standard (score &gt;=65)",IF(E14="Elevated","Restricted (score &gt;=80 only)","Suspended")))</f>
        <v/>
      </c>
      <c r="H14" s="173"/>
    </row>
    <row r="15" customFormat="false" ht="15" hidden="false" customHeight="true" outlineLevel="0" collapsed="false">
      <c r="A15" s="167"/>
      <c r="B15" s="168"/>
      <c r="C15" s="169" t="str">
        <f aca="false">IF(B15="","",MAX(C14,B15))</f>
        <v/>
      </c>
      <c r="D15" s="170" t="str">
        <f aca="false">IF(OR(B15="",C15=""),"",B15/C15-1)</f>
        <v/>
      </c>
      <c r="E15" s="171" t="str">
        <f aca="false">IF(D15="","",IF(D15&gt;=-0.1,"Normal",IF(D15&gt;=-0.2,"Elevated",IF(D15&gt;=-0.3,"Severe","Critical"))))</f>
        <v/>
      </c>
      <c r="F15" s="172" t="str">
        <f aca="false">IF(E15="","",IF(E15="Normal","5-15%",IF(E15="Elevated","15%",IF(E15="Severe","20%","25%"))))</f>
        <v/>
      </c>
      <c r="G15" s="172" t="str">
        <f aca="false">IF(E15="","",IF(E15="Normal","Standard (score &gt;=65)",IF(E15="Elevated","Restricted (score &gt;=80 only)","Suspended")))</f>
        <v/>
      </c>
      <c r="H15" s="173"/>
    </row>
    <row r="16" customFormat="false" ht="15" hidden="false" customHeight="true" outlineLevel="0" collapsed="false">
      <c r="A16" s="167"/>
      <c r="B16" s="168"/>
      <c r="C16" s="169" t="str">
        <f aca="false">IF(B16="","",MAX(C15,B16))</f>
        <v/>
      </c>
      <c r="D16" s="170" t="str">
        <f aca="false">IF(OR(B16="",C16=""),"",B16/C16-1)</f>
        <v/>
      </c>
      <c r="E16" s="171" t="str">
        <f aca="false">IF(D16="","",IF(D16&gt;=-0.1,"Normal",IF(D16&gt;=-0.2,"Elevated",IF(D16&gt;=-0.3,"Severe","Critical"))))</f>
        <v/>
      </c>
      <c r="F16" s="172" t="str">
        <f aca="false">IF(E16="","",IF(E16="Normal","5-15%",IF(E16="Elevated","15%",IF(E16="Severe","20%","25%"))))</f>
        <v/>
      </c>
      <c r="G16" s="172" t="str">
        <f aca="false">IF(E16="","",IF(E16="Normal","Standard (score &gt;=65)",IF(E16="Elevated","Restricted (score &gt;=80 only)","Suspended")))</f>
        <v/>
      </c>
      <c r="H16" s="173"/>
    </row>
    <row r="17" customFormat="false" ht="15" hidden="false" customHeight="true" outlineLevel="0" collapsed="false">
      <c r="A17" s="167"/>
      <c r="B17" s="168"/>
      <c r="C17" s="169" t="str">
        <f aca="false">IF(B17="","",MAX(C16,B17))</f>
        <v/>
      </c>
      <c r="D17" s="170" t="str">
        <f aca="false">IF(OR(B17="",C17=""),"",B17/C17-1)</f>
        <v/>
      </c>
      <c r="E17" s="171" t="str">
        <f aca="false">IF(D17="","",IF(D17&gt;=-0.1,"Normal",IF(D17&gt;=-0.2,"Elevated",IF(D17&gt;=-0.3,"Severe","Critical"))))</f>
        <v/>
      </c>
      <c r="F17" s="172" t="str">
        <f aca="false">IF(E17="","",IF(E17="Normal","5-15%",IF(E17="Elevated","15%",IF(E17="Severe","20%","25%"))))</f>
        <v/>
      </c>
      <c r="G17" s="172" t="str">
        <f aca="false">IF(E17="","",IF(E17="Normal","Standard (score &gt;=65)",IF(E17="Elevated","Restricted (score &gt;=80 only)","Suspended")))</f>
        <v/>
      </c>
      <c r="H17" s="173"/>
    </row>
    <row r="18" customFormat="false" ht="15" hidden="false" customHeight="true" outlineLevel="0" collapsed="false">
      <c r="A18" s="167"/>
      <c r="B18" s="168"/>
      <c r="C18" s="169" t="str">
        <f aca="false">IF(B18="","",MAX(C17,B18))</f>
        <v/>
      </c>
      <c r="D18" s="170" t="str">
        <f aca="false">IF(OR(B18="",C18=""),"",B18/C18-1)</f>
        <v/>
      </c>
      <c r="E18" s="171" t="str">
        <f aca="false">IF(D18="","",IF(D18&gt;=-0.1,"Normal",IF(D18&gt;=-0.2,"Elevated",IF(D18&gt;=-0.3,"Severe","Critical"))))</f>
        <v/>
      </c>
      <c r="F18" s="172" t="str">
        <f aca="false">IF(E18="","",IF(E18="Normal","5-15%",IF(E18="Elevated","15%",IF(E18="Severe","20%","25%"))))</f>
        <v/>
      </c>
      <c r="G18" s="172" t="str">
        <f aca="false">IF(E18="","",IF(E18="Normal","Standard (score &gt;=65)",IF(E18="Elevated","Restricted (score &gt;=80 only)","Suspended")))</f>
        <v/>
      </c>
      <c r="H18" s="173"/>
    </row>
    <row r="19" customFormat="false" ht="15" hidden="false" customHeight="true" outlineLevel="0" collapsed="false">
      <c r="A19" s="167"/>
      <c r="B19" s="168"/>
      <c r="C19" s="169" t="str">
        <f aca="false">IF(B19="","",MAX(C18,B19))</f>
        <v/>
      </c>
      <c r="D19" s="170" t="str">
        <f aca="false">IF(OR(B19="",C19=""),"",B19/C19-1)</f>
        <v/>
      </c>
      <c r="E19" s="171" t="str">
        <f aca="false">IF(D19="","",IF(D19&gt;=-0.1,"Normal",IF(D19&gt;=-0.2,"Elevated",IF(D19&gt;=-0.3,"Severe","Critical"))))</f>
        <v/>
      </c>
      <c r="F19" s="172" t="str">
        <f aca="false">IF(E19="","",IF(E19="Normal","5-15%",IF(E19="Elevated","15%",IF(E19="Severe","20%","25%"))))</f>
        <v/>
      </c>
      <c r="G19" s="172" t="str">
        <f aca="false">IF(E19="","",IF(E19="Normal","Standard (score &gt;=65)",IF(E19="Elevated","Restricted (score &gt;=80 only)","Suspended")))</f>
        <v/>
      </c>
      <c r="H19" s="173"/>
    </row>
    <row r="20" customFormat="false" ht="15" hidden="false" customHeight="true" outlineLevel="0" collapsed="false">
      <c r="A20" s="167"/>
      <c r="B20" s="168"/>
      <c r="C20" s="169" t="str">
        <f aca="false">IF(B20="","",MAX(C19,B20))</f>
        <v/>
      </c>
      <c r="D20" s="170" t="str">
        <f aca="false">IF(OR(B20="",C20=""),"",B20/C20-1)</f>
        <v/>
      </c>
      <c r="E20" s="171" t="str">
        <f aca="false">IF(D20="","",IF(D20&gt;=-0.1,"Normal",IF(D20&gt;=-0.2,"Elevated",IF(D20&gt;=-0.3,"Severe","Critical"))))</f>
        <v/>
      </c>
      <c r="F20" s="172" t="str">
        <f aca="false">IF(E20="","",IF(E20="Normal","5-15%",IF(E20="Elevated","15%",IF(E20="Severe","20%","25%"))))</f>
        <v/>
      </c>
      <c r="G20" s="172" t="str">
        <f aca="false">IF(E20="","",IF(E20="Normal","Standard (score &gt;=65)",IF(E20="Elevated","Restricted (score &gt;=80 only)","Suspended")))</f>
        <v/>
      </c>
      <c r="H20" s="173"/>
    </row>
    <row r="21" customFormat="false" ht="15" hidden="false" customHeight="true" outlineLevel="0" collapsed="false">
      <c r="A21" s="167"/>
      <c r="B21" s="168"/>
      <c r="C21" s="169" t="str">
        <f aca="false">IF(B21="","",MAX(C20,B21))</f>
        <v/>
      </c>
      <c r="D21" s="170" t="str">
        <f aca="false">IF(OR(B21="",C21=""),"",B21/C21-1)</f>
        <v/>
      </c>
      <c r="E21" s="171" t="str">
        <f aca="false">IF(D21="","",IF(D21&gt;=-0.1,"Normal",IF(D21&gt;=-0.2,"Elevated",IF(D21&gt;=-0.3,"Severe","Critical"))))</f>
        <v/>
      </c>
      <c r="F21" s="172" t="str">
        <f aca="false">IF(E21="","",IF(E21="Normal","5-15%",IF(E21="Elevated","15%",IF(E21="Severe","20%","25%"))))</f>
        <v/>
      </c>
      <c r="G21" s="172" t="str">
        <f aca="false">IF(E21="","",IF(E21="Normal","Standard (score &gt;=65)",IF(E21="Elevated","Restricted (score &gt;=80 only)","Suspended")))</f>
        <v/>
      </c>
      <c r="H21" s="173"/>
    </row>
    <row r="22" customFormat="false" ht="15" hidden="false" customHeight="true" outlineLevel="0" collapsed="false">
      <c r="A22" s="167"/>
      <c r="B22" s="168"/>
      <c r="C22" s="169" t="str">
        <f aca="false">IF(B22="","",MAX(C21,B22))</f>
        <v/>
      </c>
      <c r="D22" s="170" t="str">
        <f aca="false">IF(OR(B22="",C22=""),"",B22/C22-1)</f>
        <v/>
      </c>
      <c r="E22" s="171" t="str">
        <f aca="false">IF(D22="","",IF(D22&gt;=-0.1,"Normal",IF(D22&gt;=-0.2,"Elevated",IF(D22&gt;=-0.3,"Severe","Critical"))))</f>
        <v/>
      </c>
      <c r="F22" s="172" t="str">
        <f aca="false">IF(E22="","",IF(E22="Normal","5-15%",IF(E22="Elevated","15%",IF(E22="Severe","20%","25%"))))</f>
        <v/>
      </c>
      <c r="G22" s="172" t="str">
        <f aca="false">IF(E22="","",IF(E22="Normal","Standard (score &gt;=65)",IF(E22="Elevated","Restricted (score &gt;=80 only)","Suspended")))</f>
        <v/>
      </c>
      <c r="H22" s="173"/>
    </row>
    <row r="23" customFormat="false" ht="15" hidden="false" customHeight="true" outlineLevel="0" collapsed="false">
      <c r="A23" s="167"/>
      <c r="B23" s="168"/>
      <c r="C23" s="169" t="str">
        <f aca="false">IF(B23="","",MAX(C22,B23))</f>
        <v/>
      </c>
      <c r="D23" s="170" t="str">
        <f aca="false">IF(OR(B23="",C23=""),"",B23/C23-1)</f>
        <v/>
      </c>
      <c r="E23" s="171" t="str">
        <f aca="false">IF(D23="","",IF(D23&gt;=-0.1,"Normal",IF(D23&gt;=-0.2,"Elevated",IF(D23&gt;=-0.3,"Severe","Critical"))))</f>
        <v/>
      </c>
      <c r="F23" s="172" t="str">
        <f aca="false">IF(E23="","",IF(E23="Normal","5-15%",IF(E23="Elevated","15%",IF(E23="Severe","20%","25%"))))</f>
        <v/>
      </c>
      <c r="G23" s="172" t="str">
        <f aca="false">IF(E23="","",IF(E23="Normal","Standard (score &gt;=65)",IF(E23="Elevated","Restricted (score &gt;=80 only)","Suspended")))</f>
        <v/>
      </c>
      <c r="H23" s="173"/>
    </row>
    <row r="24" customFormat="false" ht="15" hidden="false" customHeight="true" outlineLevel="0" collapsed="false">
      <c r="A24" s="167"/>
      <c r="B24" s="168"/>
      <c r="C24" s="169" t="str">
        <f aca="false">IF(B24="","",MAX(C23,B24))</f>
        <v/>
      </c>
      <c r="D24" s="170" t="str">
        <f aca="false">IF(OR(B24="",C24=""),"",B24/C24-1)</f>
        <v/>
      </c>
      <c r="E24" s="171" t="str">
        <f aca="false">IF(D24="","",IF(D24&gt;=-0.1,"Normal",IF(D24&gt;=-0.2,"Elevated",IF(D24&gt;=-0.3,"Severe","Critical"))))</f>
        <v/>
      </c>
      <c r="F24" s="172" t="str">
        <f aca="false">IF(E24="","",IF(E24="Normal","5-15%",IF(E24="Elevated","15%",IF(E24="Severe","20%","25%"))))</f>
        <v/>
      </c>
      <c r="G24" s="172" t="str">
        <f aca="false">IF(E24="","",IF(E24="Normal","Standard (score &gt;=65)",IF(E24="Elevated","Restricted (score &gt;=80 only)","Suspended")))</f>
        <v/>
      </c>
      <c r="H24" s="173"/>
    </row>
    <row r="25" customFormat="false" ht="15" hidden="false" customHeight="true" outlineLevel="0" collapsed="false">
      <c r="A25" s="167"/>
      <c r="B25" s="168"/>
      <c r="C25" s="169" t="str">
        <f aca="false">IF(B25="","",MAX(C24,B25))</f>
        <v/>
      </c>
      <c r="D25" s="170" t="str">
        <f aca="false">IF(OR(B25="",C25=""),"",B25/C25-1)</f>
        <v/>
      </c>
      <c r="E25" s="171" t="str">
        <f aca="false">IF(D25="","",IF(D25&gt;=-0.1,"Normal",IF(D25&gt;=-0.2,"Elevated",IF(D25&gt;=-0.3,"Severe","Critical"))))</f>
        <v/>
      </c>
      <c r="F25" s="172" t="str">
        <f aca="false">IF(E25="","",IF(E25="Normal","5-15%",IF(E25="Elevated","15%",IF(E25="Severe","20%","25%"))))</f>
        <v/>
      </c>
      <c r="G25" s="172" t="str">
        <f aca="false">IF(E25="","",IF(E25="Normal","Standard (score &gt;=65)",IF(E25="Elevated","Restricted (score &gt;=80 only)","Suspended")))</f>
        <v/>
      </c>
      <c r="H25" s="173"/>
    </row>
    <row r="26" customFormat="false" ht="15" hidden="false" customHeight="true" outlineLevel="0" collapsed="false">
      <c r="A26" s="167"/>
      <c r="B26" s="168"/>
      <c r="C26" s="169" t="str">
        <f aca="false">IF(B26="","",MAX(C25,B26))</f>
        <v/>
      </c>
      <c r="D26" s="170" t="str">
        <f aca="false">IF(OR(B26="",C26=""),"",B26/C26-1)</f>
        <v/>
      </c>
      <c r="E26" s="171" t="str">
        <f aca="false">IF(D26="","",IF(D26&gt;=-0.1,"Normal",IF(D26&gt;=-0.2,"Elevated",IF(D26&gt;=-0.3,"Severe","Critical"))))</f>
        <v/>
      </c>
      <c r="F26" s="172" t="str">
        <f aca="false">IF(E26="","",IF(E26="Normal","5-15%",IF(E26="Elevated","15%",IF(E26="Severe","20%","25%"))))</f>
        <v/>
      </c>
      <c r="G26" s="172" t="str">
        <f aca="false">IF(E26="","",IF(E26="Normal","Standard (score &gt;=65)",IF(E26="Elevated","Restricted (score &gt;=80 only)","Suspended")))</f>
        <v/>
      </c>
      <c r="H26" s="173"/>
    </row>
    <row r="27" customFormat="false" ht="15" hidden="false" customHeight="true" outlineLevel="0" collapsed="false">
      <c r="A27" s="167"/>
      <c r="B27" s="168"/>
      <c r="C27" s="169" t="str">
        <f aca="false">IF(B27="","",MAX(C26,B27))</f>
        <v/>
      </c>
      <c r="D27" s="170" t="str">
        <f aca="false">IF(OR(B27="",C27=""),"",B27/C27-1)</f>
        <v/>
      </c>
      <c r="E27" s="171" t="str">
        <f aca="false">IF(D27="","",IF(D27&gt;=-0.1,"Normal",IF(D27&gt;=-0.2,"Elevated",IF(D27&gt;=-0.3,"Severe","Critical"))))</f>
        <v/>
      </c>
      <c r="F27" s="172" t="str">
        <f aca="false">IF(E27="","",IF(E27="Normal","5-15%",IF(E27="Elevated","15%",IF(E27="Severe","20%","25%"))))</f>
        <v/>
      </c>
      <c r="G27" s="172" t="str">
        <f aca="false">IF(E27="","",IF(E27="Normal","Standard (score &gt;=65)",IF(E27="Elevated","Restricted (score &gt;=80 only)","Suspended")))</f>
        <v/>
      </c>
      <c r="H27" s="173"/>
    </row>
    <row r="28" customFormat="false" ht="15" hidden="false" customHeight="true" outlineLevel="0" collapsed="false">
      <c r="A28" s="167"/>
      <c r="B28" s="168"/>
      <c r="C28" s="169" t="str">
        <f aca="false">IF(B28="","",MAX(C27,B28))</f>
        <v/>
      </c>
      <c r="D28" s="170" t="str">
        <f aca="false">IF(OR(B28="",C28=""),"",B28/C28-1)</f>
        <v/>
      </c>
      <c r="E28" s="171" t="str">
        <f aca="false">IF(D28="","",IF(D28&gt;=-0.1,"Normal",IF(D28&gt;=-0.2,"Elevated",IF(D28&gt;=-0.3,"Severe","Critical"))))</f>
        <v/>
      </c>
      <c r="F28" s="172" t="str">
        <f aca="false">IF(E28="","",IF(E28="Normal","5-15%",IF(E28="Elevated","15%",IF(E28="Severe","20%","25%"))))</f>
        <v/>
      </c>
      <c r="G28" s="172" t="str">
        <f aca="false">IF(E28="","",IF(E28="Normal","Standard (score &gt;=65)",IF(E28="Elevated","Restricted (score &gt;=80 only)","Suspended")))</f>
        <v/>
      </c>
      <c r="H28" s="173"/>
    </row>
    <row r="29" customFormat="false" ht="15" hidden="false" customHeight="true" outlineLevel="0" collapsed="false">
      <c r="A29" s="167"/>
      <c r="B29" s="168"/>
      <c r="C29" s="169" t="str">
        <f aca="false">IF(B29="","",MAX(C28,B29))</f>
        <v/>
      </c>
      <c r="D29" s="170" t="str">
        <f aca="false">IF(OR(B29="",C29=""),"",B29/C29-1)</f>
        <v/>
      </c>
      <c r="E29" s="171" t="str">
        <f aca="false">IF(D29="","",IF(D29&gt;=-0.1,"Normal",IF(D29&gt;=-0.2,"Elevated",IF(D29&gt;=-0.3,"Severe","Critical"))))</f>
        <v/>
      </c>
      <c r="F29" s="172" t="str">
        <f aca="false">IF(E29="","",IF(E29="Normal","5-15%",IF(E29="Elevated","15%",IF(E29="Severe","20%","25%"))))</f>
        <v/>
      </c>
      <c r="G29" s="172" t="str">
        <f aca="false">IF(E29="","",IF(E29="Normal","Standard (score &gt;=65)",IF(E29="Elevated","Restricted (score &gt;=80 only)","Suspended")))</f>
        <v/>
      </c>
      <c r="H29" s="173"/>
    </row>
    <row r="30" customFormat="false" ht="15" hidden="false" customHeight="true" outlineLevel="0" collapsed="false">
      <c r="A30" s="167"/>
      <c r="B30" s="168"/>
      <c r="C30" s="169" t="str">
        <f aca="false">IF(B30="","",MAX(C29,B30))</f>
        <v/>
      </c>
      <c r="D30" s="170" t="str">
        <f aca="false">IF(OR(B30="",C30=""),"",B30/C30-1)</f>
        <v/>
      </c>
      <c r="E30" s="171" t="str">
        <f aca="false">IF(D30="","",IF(D30&gt;=-0.1,"Normal",IF(D30&gt;=-0.2,"Elevated",IF(D30&gt;=-0.3,"Severe","Critical"))))</f>
        <v/>
      </c>
      <c r="F30" s="172" t="str">
        <f aca="false">IF(E30="","",IF(E30="Normal","5-15%",IF(E30="Elevated","15%",IF(E30="Severe","20%","25%"))))</f>
        <v/>
      </c>
      <c r="G30" s="172" t="str">
        <f aca="false">IF(E30="","",IF(E30="Normal","Standard (score &gt;=65)",IF(E30="Elevated","Restricted (score &gt;=80 only)","Suspended")))</f>
        <v/>
      </c>
      <c r="H30" s="173"/>
    </row>
    <row r="31" customFormat="false" ht="15" hidden="false" customHeight="true" outlineLevel="0" collapsed="false">
      <c r="A31" s="167"/>
      <c r="B31" s="168"/>
      <c r="C31" s="169" t="str">
        <f aca="false">IF(B31="","",MAX(C30,B31))</f>
        <v/>
      </c>
      <c r="D31" s="170" t="str">
        <f aca="false">IF(OR(B31="",C31=""),"",B31/C31-1)</f>
        <v/>
      </c>
      <c r="E31" s="171" t="str">
        <f aca="false">IF(D31="","",IF(D31&gt;=-0.1,"Normal",IF(D31&gt;=-0.2,"Elevated",IF(D31&gt;=-0.3,"Severe","Critical"))))</f>
        <v/>
      </c>
      <c r="F31" s="172" t="str">
        <f aca="false">IF(E31="","",IF(E31="Normal","5-15%",IF(E31="Elevated","15%",IF(E31="Severe","20%","25%"))))</f>
        <v/>
      </c>
      <c r="G31" s="172" t="str">
        <f aca="false">IF(E31="","",IF(E31="Normal","Standard (score &gt;=65)",IF(E31="Elevated","Restricted (score &gt;=80 only)","Suspended")))</f>
        <v/>
      </c>
      <c r="H31" s="173"/>
    </row>
    <row r="32" customFormat="false" ht="15" hidden="false" customHeight="true" outlineLevel="0" collapsed="false">
      <c r="A32" s="167"/>
      <c r="B32" s="168"/>
      <c r="C32" s="169" t="str">
        <f aca="false">IF(B32="","",MAX(C31,B32))</f>
        <v/>
      </c>
      <c r="D32" s="170" t="str">
        <f aca="false">IF(OR(B32="",C32=""),"",B32/C32-1)</f>
        <v/>
      </c>
      <c r="E32" s="171" t="str">
        <f aca="false">IF(D32="","",IF(D32&gt;=-0.1,"Normal",IF(D32&gt;=-0.2,"Elevated",IF(D32&gt;=-0.3,"Severe","Critical"))))</f>
        <v/>
      </c>
      <c r="F32" s="172" t="str">
        <f aca="false">IF(E32="","",IF(E32="Normal","5-15%",IF(E32="Elevated","15%",IF(E32="Severe","20%","25%"))))</f>
        <v/>
      </c>
      <c r="G32" s="172" t="str">
        <f aca="false">IF(E32="","",IF(E32="Normal","Standard (score &gt;=65)",IF(E32="Elevated","Restricted (score &gt;=80 only)","Suspended")))</f>
        <v/>
      </c>
      <c r="H32" s="173"/>
    </row>
    <row r="33" customFormat="false" ht="15" hidden="false" customHeight="true" outlineLevel="0" collapsed="false">
      <c r="A33" s="167"/>
      <c r="B33" s="168"/>
      <c r="C33" s="169" t="str">
        <f aca="false">IF(B33="","",MAX(C32,B33))</f>
        <v/>
      </c>
      <c r="D33" s="170" t="str">
        <f aca="false">IF(OR(B33="",C33=""),"",B33/C33-1)</f>
        <v/>
      </c>
      <c r="E33" s="171" t="str">
        <f aca="false">IF(D33="","",IF(D33&gt;=-0.1,"Normal",IF(D33&gt;=-0.2,"Elevated",IF(D33&gt;=-0.3,"Severe","Critical"))))</f>
        <v/>
      </c>
      <c r="F33" s="172" t="str">
        <f aca="false">IF(E33="","",IF(E33="Normal","5-15%",IF(E33="Elevated","15%",IF(E33="Severe","20%","25%"))))</f>
        <v/>
      </c>
      <c r="G33" s="172" t="str">
        <f aca="false">IF(E33="","",IF(E33="Normal","Standard (score &gt;=65)",IF(E33="Elevated","Restricted (score &gt;=80 only)","Suspended")))</f>
        <v/>
      </c>
      <c r="H33" s="173"/>
    </row>
    <row r="34" customFormat="false" ht="15" hidden="false" customHeight="true" outlineLevel="0" collapsed="false">
      <c r="A34" s="167"/>
      <c r="B34" s="168"/>
      <c r="C34" s="169" t="str">
        <f aca="false">IF(B34="","",MAX(C33,B34))</f>
        <v/>
      </c>
      <c r="D34" s="170" t="str">
        <f aca="false">IF(OR(B34="",C34=""),"",B34/C34-1)</f>
        <v/>
      </c>
      <c r="E34" s="171" t="str">
        <f aca="false">IF(D34="","",IF(D34&gt;=-0.1,"Normal",IF(D34&gt;=-0.2,"Elevated",IF(D34&gt;=-0.3,"Severe","Critical"))))</f>
        <v/>
      </c>
      <c r="F34" s="172" t="str">
        <f aca="false">IF(E34="","",IF(E34="Normal","5-15%",IF(E34="Elevated","15%",IF(E34="Severe","20%","25%"))))</f>
        <v/>
      </c>
      <c r="G34" s="172" t="str">
        <f aca="false">IF(E34="","",IF(E34="Normal","Standard (score &gt;=65)",IF(E34="Elevated","Restricted (score &gt;=80 only)","Suspended")))</f>
        <v/>
      </c>
      <c r="H34" s="173"/>
    </row>
    <row r="35" customFormat="false" ht="15" hidden="false" customHeight="true" outlineLevel="0" collapsed="false">
      <c r="A35" s="167"/>
      <c r="B35" s="168"/>
      <c r="C35" s="169" t="str">
        <f aca="false">IF(B35="","",MAX(C34,B35))</f>
        <v/>
      </c>
      <c r="D35" s="170" t="str">
        <f aca="false">IF(OR(B35="",C35=""),"",B35/C35-1)</f>
        <v/>
      </c>
      <c r="E35" s="171" t="str">
        <f aca="false">IF(D35="","",IF(D35&gt;=-0.1,"Normal",IF(D35&gt;=-0.2,"Elevated",IF(D35&gt;=-0.3,"Severe","Critical"))))</f>
        <v/>
      </c>
      <c r="F35" s="172" t="str">
        <f aca="false">IF(E35="","",IF(E35="Normal","5-15%",IF(E35="Elevated","15%",IF(E35="Severe","20%","25%"))))</f>
        <v/>
      </c>
      <c r="G35" s="172" t="str">
        <f aca="false">IF(E35="","",IF(E35="Normal","Standard (score &gt;=65)",IF(E35="Elevated","Restricted (score &gt;=80 only)","Suspended")))</f>
        <v/>
      </c>
      <c r="H35" s="173"/>
    </row>
    <row r="36" customFormat="false" ht="15" hidden="false" customHeight="true" outlineLevel="0" collapsed="false">
      <c r="A36" s="167"/>
      <c r="B36" s="168"/>
      <c r="C36" s="169" t="str">
        <f aca="false">IF(B36="","",MAX(C35,B36))</f>
        <v/>
      </c>
      <c r="D36" s="170" t="str">
        <f aca="false">IF(OR(B36="",C36=""),"",B36/C36-1)</f>
        <v/>
      </c>
      <c r="E36" s="171" t="str">
        <f aca="false">IF(D36="","",IF(D36&gt;=-0.1,"Normal",IF(D36&gt;=-0.2,"Elevated",IF(D36&gt;=-0.3,"Severe","Critical"))))</f>
        <v/>
      </c>
      <c r="F36" s="172" t="str">
        <f aca="false">IF(E36="","",IF(E36="Normal","5-15%",IF(E36="Elevated","15%",IF(E36="Severe","20%","25%"))))</f>
        <v/>
      </c>
      <c r="G36" s="172" t="str">
        <f aca="false">IF(E36="","",IF(E36="Normal","Standard (score &gt;=65)",IF(E36="Elevated","Restricted (score &gt;=80 only)","Suspended")))</f>
        <v/>
      </c>
      <c r="H36" s="173"/>
    </row>
    <row r="37" customFormat="false" ht="15" hidden="false" customHeight="true" outlineLevel="0" collapsed="false">
      <c r="A37" s="167"/>
      <c r="B37" s="168"/>
      <c r="C37" s="169" t="str">
        <f aca="false">IF(B37="","",MAX(C36,B37))</f>
        <v/>
      </c>
      <c r="D37" s="170" t="str">
        <f aca="false">IF(OR(B37="",C37=""),"",B37/C37-1)</f>
        <v/>
      </c>
      <c r="E37" s="171" t="str">
        <f aca="false">IF(D37="","",IF(D37&gt;=-0.1,"Normal",IF(D37&gt;=-0.2,"Elevated",IF(D37&gt;=-0.3,"Severe","Critical"))))</f>
        <v/>
      </c>
      <c r="F37" s="172" t="str">
        <f aca="false">IF(E37="","",IF(E37="Normal","5-15%",IF(E37="Elevated","15%",IF(E37="Severe","20%","25%"))))</f>
        <v/>
      </c>
      <c r="G37" s="172" t="str">
        <f aca="false">IF(E37="","",IF(E37="Normal","Standard (score &gt;=65)",IF(E37="Elevated","Restricted (score &gt;=80 only)","Suspended")))</f>
        <v/>
      </c>
      <c r="H37" s="173"/>
    </row>
    <row r="38" customFormat="false" ht="15" hidden="false" customHeight="true" outlineLevel="0" collapsed="false">
      <c r="A38" s="167"/>
      <c r="B38" s="168"/>
      <c r="C38" s="169" t="str">
        <f aca="false">IF(B38="","",MAX(C37,B38))</f>
        <v/>
      </c>
      <c r="D38" s="170" t="str">
        <f aca="false">IF(OR(B38="",C38=""),"",B38/C38-1)</f>
        <v/>
      </c>
      <c r="E38" s="171" t="str">
        <f aca="false">IF(D38="","",IF(D38&gt;=-0.1,"Normal",IF(D38&gt;=-0.2,"Elevated",IF(D38&gt;=-0.3,"Severe","Critical"))))</f>
        <v/>
      </c>
      <c r="F38" s="172" t="str">
        <f aca="false">IF(E38="","",IF(E38="Normal","5-15%",IF(E38="Elevated","15%",IF(E38="Severe","20%","25%"))))</f>
        <v/>
      </c>
      <c r="G38" s="172" t="str">
        <f aca="false">IF(E38="","",IF(E38="Normal","Standard (score &gt;=65)",IF(E38="Elevated","Restricted (score &gt;=80 only)","Suspended")))</f>
        <v/>
      </c>
      <c r="H38" s="173"/>
    </row>
    <row r="39" customFormat="false" ht="15" hidden="false" customHeight="true" outlineLevel="0" collapsed="false">
      <c r="A39" s="167"/>
      <c r="B39" s="168"/>
      <c r="C39" s="169" t="str">
        <f aca="false">IF(B39="","",MAX(C38,B39))</f>
        <v/>
      </c>
      <c r="D39" s="170" t="str">
        <f aca="false">IF(OR(B39="",C39=""),"",B39/C39-1)</f>
        <v/>
      </c>
      <c r="E39" s="171" t="str">
        <f aca="false">IF(D39="","",IF(D39&gt;=-0.1,"Normal",IF(D39&gt;=-0.2,"Elevated",IF(D39&gt;=-0.3,"Severe","Critical"))))</f>
        <v/>
      </c>
      <c r="F39" s="172" t="str">
        <f aca="false">IF(E39="","",IF(E39="Normal","5-15%",IF(E39="Elevated","15%",IF(E39="Severe","20%","25%"))))</f>
        <v/>
      </c>
      <c r="G39" s="172" t="str">
        <f aca="false">IF(E39="","",IF(E39="Normal","Standard (score &gt;=65)",IF(E39="Elevated","Restricted (score &gt;=80 only)","Suspended")))</f>
        <v/>
      </c>
      <c r="H39" s="173"/>
    </row>
    <row r="40" customFormat="false" ht="15" hidden="false" customHeight="true" outlineLevel="0" collapsed="false">
      <c r="A40" s="167"/>
      <c r="B40" s="168"/>
      <c r="C40" s="169" t="str">
        <f aca="false">IF(B40="","",MAX(C39,B40))</f>
        <v/>
      </c>
      <c r="D40" s="170" t="str">
        <f aca="false">IF(OR(B40="",C40=""),"",B40/C40-1)</f>
        <v/>
      </c>
      <c r="E40" s="171" t="str">
        <f aca="false">IF(D40="","",IF(D40&gt;=-0.1,"Normal",IF(D40&gt;=-0.2,"Elevated",IF(D40&gt;=-0.3,"Severe","Critical"))))</f>
        <v/>
      </c>
      <c r="F40" s="172" t="str">
        <f aca="false">IF(E40="","",IF(E40="Normal","5-15%",IF(E40="Elevated","15%",IF(E40="Severe","20%","25%"))))</f>
        <v/>
      </c>
      <c r="G40" s="172" t="str">
        <f aca="false">IF(E40="","",IF(E40="Normal","Standard (score &gt;=65)",IF(E40="Elevated","Restricted (score &gt;=80 only)","Suspended")))</f>
        <v/>
      </c>
      <c r="H40" s="173"/>
    </row>
    <row r="41" customFormat="false" ht="15" hidden="false" customHeight="true" outlineLevel="0" collapsed="false">
      <c r="A41" s="167"/>
      <c r="B41" s="168"/>
      <c r="C41" s="169" t="str">
        <f aca="false">IF(B41="","",MAX(C40,B41))</f>
        <v/>
      </c>
      <c r="D41" s="170" t="str">
        <f aca="false">IF(OR(B41="",C41=""),"",B41/C41-1)</f>
        <v/>
      </c>
      <c r="E41" s="171" t="str">
        <f aca="false">IF(D41="","",IF(D41&gt;=-0.1,"Normal",IF(D41&gt;=-0.2,"Elevated",IF(D41&gt;=-0.3,"Severe","Critical"))))</f>
        <v/>
      </c>
      <c r="F41" s="172" t="str">
        <f aca="false">IF(E41="","",IF(E41="Normal","5-15%",IF(E41="Elevated","15%",IF(E41="Severe","20%","25%"))))</f>
        <v/>
      </c>
      <c r="G41" s="172" t="str">
        <f aca="false">IF(E41="","",IF(E41="Normal","Standard (score &gt;=65)",IF(E41="Elevated","Restricted (score &gt;=80 only)","Suspended")))</f>
        <v/>
      </c>
      <c r="H41" s="173"/>
    </row>
    <row r="42" customFormat="false" ht="15" hidden="false" customHeight="true" outlineLevel="0" collapsed="false">
      <c r="A42" s="167"/>
      <c r="B42" s="168"/>
      <c r="C42" s="169" t="str">
        <f aca="false">IF(B42="","",MAX(C41,B42))</f>
        <v/>
      </c>
      <c r="D42" s="170" t="str">
        <f aca="false">IF(OR(B42="",C42=""),"",B42/C42-1)</f>
        <v/>
      </c>
      <c r="E42" s="171" t="str">
        <f aca="false">IF(D42="","",IF(D42&gt;=-0.1,"Normal",IF(D42&gt;=-0.2,"Elevated",IF(D42&gt;=-0.3,"Severe","Critical"))))</f>
        <v/>
      </c>
      <c r="F42" s="172" t="str">
        <f aca="false">IF(E42="","",IF(E42="Normal","5-15%",IF(E42="Elevated","15%",IF(E42="Severe","20%","25%"))))</f>
        <v/>
      </c>
      <c r="G42" s="172" t="str">
        <f aca="false">IF(E42="","",IF(E42="Normal","Standard (score &gt;=65)",IF(E42="Elevated","Restricted (score &gt;=80 only)","Suspended")))</f>
        <v/>
      </c>
      <c r="H42" s="173"/>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9">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L11" activeCellId="0" sqref="L11"/>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9"/>
    <col collapsed="false" customWidth="true" hidden="false" outlineLevel="0" max="6" min="5" style="1" width="8"/>
    <col collapsed="false" customWidth="true" hidden="false" outlineLevel="0" max="7" min="7" style="1" width="9.52"/>
    <col collapsed="false" customWidth="true" hidden="false" outlineLevel="0" max="8" min="8" style="1" width="12"/>
    <col collapsed="false" customWidth="true" hidden="false" outlineLevel="0" max="9" min="9" style="174" width="9.52"/>
    <col collapsed="false" customWidth="true" hidden="false" outlineLevel="0" max="10" min="10" style="1" width="9.33"/>
    <col collapsed="false" customWidth="true" hidden="false" outlineLevel="0" max="11" min="11" style="1" width="20"/>
    <col collapsed="false" customWidth="true" hidden="false" outlineLevel="0" max="12" min="12" style="1" width="90.16"/>
    <col collapsed="false" customWidth="true" hidden="false" outlineLevel="0" max="13" min="13" style="1" width="14"/>
  </cols>
  <sheetData>
    <row r="1" customFormat="false" ht="21" hidden="false" customHeight="true" outlineLevel="0" collapsed="false">
      <c r="A1" s="175" t="s">
        <v>486</v>
      </c>
      <c r="B1" s="175"/>
      <c r="C1" s="175"/>
      <c r="D1" s="175"/>
      <c r="E1" s="175"/>
      <c r="F1" s="175"/>
      <c r="G1" s="175"/>
      <c r="H1" s="175"/>
      <c r="I1" s="176"/>
      <c r="J1" s="175"/>
      <c r="K1" s="175"/>
      <c r="L1" s="175"/>
      <c r="M1" s="175"/>
    </row>
    <row r="2" customFormat="false" ht="45.75" hidden="false" customHeight="true" outlineLevel="0" collapsed="false">
      <c r="A2" s="60" t="s">
        <v>82</v>
      </c>
      <c r="B2" s="60" t="s">
        <v>296</v>
      </c>
      <c r="C2" s="60" t="s">
        <v>487</v>
      </c>
      <c r="D2" s="60" t="s">
        <v>488</v>
      </c>
      <c r="E2" s="60" t="s">
        <v>489</v>
      </c>
      <c r="F2" s="60" t="s">
        <v>490</v>
      </c>
      <c r="G2" s="60" t="s">
        <v>491</v>
      </c>
      <c r="H2" s="60" t="s">
        <v>492</v>
      </c>
      <c r="I2" s="60" t="s">
        <v>493</v>
      </c>
      <c r="J2" s="60" t="s">
        <v>494</v>
      </c>
      <c r="K2" s="60" t="s">
        <v>495</v>
      </c>
      <c r="L2" s="60" t="s">
        <v>496</v>
      </c>
      <c r="M2" s="27" t="s">
        <v>497</v>
      </c>
    </row>
    <row r="3" customFormat="false" ht="81.75" hidden="false" customHeight="true" outlineLevel="0" collapsed="false">
      <c r="A3" s="129" t="s">
        <v>105</v>
      </c>
      <c r="B3" s="129" t="s">
        <v>106</v>
      </c>
      <c r="C3" s="129" t="s">
        <v>498</v>
      </c>
      <c r="D3" s="177" t="n">
        <v>46299</v>
      </c>
      <c r="E3" s="129" t="n">
        <v>63.4</v>
      </c>
      <c r="F3" s="129" t="n">
        <v>63.4</v>
      </c>
      <c r="G3" s="177" t="n">
        <v>46278</v>
      </c>
      <c r="H3" s="129" t="s">
        <v>224</v>
      </c>
      <c r="I3" s="178" t="n">
        <f aca="false">IF(D3="","",D3+90)</f>
        <v>46389</v>
      </c>
      <c r="J3" s="179" t="n">
        <f aca="true">IF(I3="","",I3-TODAY())</f>
        <v>86</v>
      </c>
      <c r="K3" s="180" t="str">
        <f aca="false">IF(OR(C3="",F3=""),"",IF(AND(C3="Exit Review",H3="N"),"NO CREDIBLE PLAN — SELL WITHIN 30 DAYS",IF(AND(C3="Probationary Hold",F3&gt;=65,IFERROR(INDEX(Scoring!$AJ$3:$AJ$62,MATCH($A3,Scoring!$A$3:$A$62,0)),"")&lt;&gt;"AVOID"),"RECOVERED — REMOVE FROM WATCH LIST",IF(AND(C3="Exit Review",F3&gt;=50,IFERROR(INDEX(Scoring!$AJ$3:$AJ$62,MATCH($A3,Scoring!$A$3:$A$62,0)),"")&lt;&gt;"AVOID"),"RECOVERED — MOVE TO PROBATIONARY HOLD",IF(J3&lt;0,"DEADLINE PASSED — SELL WITHIN 30 DAYS",IF(J3&lt;=14,"DEADLINE APPROACHING","ON TRACK"))))))</f>
        <v>NO CREDIBLE PLAN — SELL WITHIN 30 DAYS</v>
      </c>
      <c r="L3" s="181" t="s">
        <v>499</v>
      </c>
      <c r="M3" s="182" t="n">
        <v>0</v>
      </c>
    </row>
    <row r="4" customFormat="false" ht="51.75" hidden="false" customHeight="true" outlineLevel="0" collapsed="false">
      <c r="A4" s="129"/>
      <c r="B4" s="129"/>
      <c r="C4" s="129"/>
      <c r="D4" s="177"/>
      <c r="E4" s="129"/>
      <c r="F4" s="129"/>
      <c r="G4" s="177"/>
      <c r="H4" s="129"/>
      <c r="I4" s="178" t="str">
        <f aca="false">IF(D4="","",D4+90)</f>
        <v/>
      </c>
      <c r="J4" s="179" t="str">
        <f aca="true">IF(I4="","",I4-TODAY())</f>
        <v/>
      </c>
      <c r="K4" s="180" t="str">
        <f aca="false">IF(OR(C4="",F4=""),"",IF(AND(C4="Exit Review",H4="N"),"NO CREDIBLE PLAN — SELL WITHIN 30 DAYS",IF(AND(C4="Probationary Hold",F4&gt;=65,IFERROR(INDEX(Scoring!$AJ$3:$AJ$62,MATCH($A4,Scoring!$A$3:$A$62,0)),"")&lt;&gt;"AVOID"),"RECOVERED — REMOVE FROM WATCH LIST",IF(AND(C4="Exit Review",F4&gt;=50,IFERROR(INDEX(Scoring!$AJ$3:$AJ$62,MATCH($A4,Scoring!$A$3:$A$62,0)),"")&lt;&gt;"AVOID"),"RECOVERED — MOVE TO PROBATIONARY HOLD",IF(J4&lt;0,"DEADLINE PASSED — SELL WITHIN 30 DAYS",IF(J4&lt;=14,"DEADLINE APPROACHING","ON TRACK"))))))</f>
        <v/>
      </c>
      <c r="L4" s="181"/>
      <c r="M4" s="183"/>
    </row>
    <row r="5" customFormat="false" ht="51.75" hidden="false" customHeight="true" outlineLevel="0" collapsed="false">
      <c r="A5" s="129"/>
      <c r="B5" s="129"/>
      <c r="C5" s="129"/>
      <c r="D5" s="177"/>
      <c r="E5" s="129"/>
      <c r="F5" s="129"/>
      <c r="G5" s="177"/>
      <c r="H5" s="129"/>
      <c r="I5" s="178" t="str">
        <f aca="false">IF(D5="","",D5+90)</f>
        <v/>
      </c>
      <c r="J5" s="179" t="str">
        <f aca="true">IF(I5="","",I5-TODAY())</f>
        <v/>
      </c>
      <c r="K5" s="180" t="str">
        <f aca="false">IF(OR(C5="",F5=""),"",IF(AND(C5="Exit Review",H5="N"),"NO CREDIBLE PLAN — SELL WITHIN 30 DAYS",IF(AND(C5="Probationary Hold",F5&gt;=65,IFERROR(INDEX(Scoring!$AJ$3:$AJ$62,MATCH($A5,Scoring!$A$3:$A$62,0)),"")&lt;&gt;"AVOID"),"RECOVERED — REMOVE FROM WATCH LIST",IF(AND(C5="Exit Review",F5&gt;=50,IFERROR(INDEX(Scoring!$AJ$3:$AJ$62,MATCH($A5,Scoring!$A$3:$A$62,0)),"")&lt;&gt;"AVOID"),"RECOVERED — MOVE TO PROBATIONARY HOLD",IF(J5&lt;0,"DEADLINE PASSED — SELL WITHIN 30 DAYS",IF(J5&lt;=14,"DEADLINE APPROACHING","ON TRACK"))))))</f>
        <v/>
      </c>
      <c r="L5" s="181"/>
      <c r="M5" s="183"/>
    </row>
    <row r="6" customFormat="false" ht="15" hidden="false" customHeight="true" outlineLevel="0" collapsed="false">
      <c r="A6" s="129"/>
      <c r="B6" s="129"/>
      <c r="C6" s="129"/>
      <c r="D6" s="177"/>
      <c r="E6" s="129"/>
      <c r="F6" s="129"/>
      <c r="G6" s="177"/>
      <c r="H6" s="129"/>
      <c r="I6" s="178" t="str">
        <f aca="false">IF(D6="","",D6+90)</f>
        <v/>
      </c>
      <c r="J6" s="179" t="str">
        <f aca="true">IF(I6="","",I6-TODAY())</f>
        <v/>
      </c>
      <c r="K6" s="180" t="str">
        <f aca="false">IF(OR(C6="",F6=""),"",IF(AND(C6="Exit Review",H6="N"),"NO CREDIBLE PLAN — SELL WITHIN 30 DAYS",IF(AND(C6="Probationary Hold",F6&gt;=65,IFERROR(INDEX(Scoring!$AJ$3:$AJ$62,MATCH($A6,Scoring!$A$3:$A$62,0)),"")&lt;&gt;"AVOID"),"RECOVERED — REMOVE FROM WATCH LIST",IF(AND(C6="Exit Review",F6&gt;=50,IFERROR(INDEX(Scoring!$AJ$3:$AJ$62,MATCH($A6,Scoring!$A$3:$A$62,0)),"")&lt;&gt;"AVOID"),"RECOVERED — MOVE TO PROBATIONARY HOLD",IF(J6&lt;0,"DEADLINE PASSED — SELL WITHIN 30 DAYS",IF(J6&lt;=14,"DEADLINE APPROACHING","ON TRACK"))))))</f>
        <v/>
      </c>
      <c r="L6" s="184"/>
      <c r="M6" s="183"/>
    </row>
    <row r="7" customFormat="false" ht="15" hidden="false" customHeight="true" outlineLevel="0" collapsed="false">
      <c r="A7" s="129"/>
      <c r="B7" s="129"/>
      <c r="C7" s="129"/>
      <c r="D7" s="177"/>
      <c r="E7" s="129"/>
      <c r="F7" s="129"/>
      <c r="G7" s="177"/>
      <c r="H7" s="129"/>
      <c r="I7" s="178" t="str">
        <f aca="false">IF(D7="","",D7+90)</f>
        <v/>
      </c>
      <c r="J7" s="179" t="str">
        <f aca="true">IF(I7="","",I7-TODAY())</f>
        <v/>
      </c>
      <c r="K7" s="180" t="str">
        <f aca="false">IF(OR(C7="",F7=""),"",IF(AND(C7="Exit Review",H7="N"),"NO CREDIBLE PLAN — SELL WITHIN 30 DAYS",IF(AND(C7="Probationary Hold",F7&gt;=65,IFERROR(INDEX(Scoring!$AJ$3:$AJ$62,MATCH($A7,Scoring!$A$3:$A$62,0)),"")&lt;&gt;"AVOID"),"RECOVERED — REMOVE FROM WATCH LIST",IF(AND(C7="Exit Review",F7&gt;=50,IFERROR(INDEX(Scoring!$AJ$3:$AJ$62,MATCH($A7,Scoring!$A$3:$A$62,0)),"")&lt;&gt;"AVOID"),"RECOVERED — MOVE TO PROBATIONARY HOLD",IF(J7&lt;0,"DEADLINE PASSED — SELL WITHIN 30 DAYS",IF(J7&lt;=14,"DEADLINE APPROACHING","ON TRACK"))))))</f>
        <v/>
      </c>
      <c r="L7" s="184"/>
      <c r="M7" s="183"/>
    </row>
    <row r="8" customFormat="false" ht="15" hidden="false" customHeight="true" outlineLevel="0" collapsed="false">
      <c r="A8" s="129"/>
      <c r="B8" s="129"/>
      <c r="C8" s="129"/>
      <c r="D8" s="177"/>
      <c r="E8" s="129"/>
      <c r="F8" s="129"/>
      <c r="G8" s="177"/>
      <c r="H8" s="129"/>
      <c r="I8" s="178" t="str">
        <f aca="false">IF(D8="","",D8+90)</f>
        <v/>
      </c>
      <c r="J8" s="179" t="str">
        <f aca="true">IF(I8="","",I8-TODAY())</f>
        <v/>
      </c>
      <c r="K8" s="180" t="str">
        <f aca="false">IF(OR(C8="",F8=""),"",IF(AND(C8="Exit Review",H8="N"),"NO CREDIBLE PLAN — SELL WITHIN 30 DAYS",IF(AND(C8="Probationary Hold",F8&gt;=65,IFERROR(INDEX(Scoring!$AJ$3:$AJ$62,MATCH($A8,Scoring!$A$3:$A$62,0)),"")&lt;&gt;"AVOID"),"RECOVERED — REMOVE FROM WATCH LIST",IF(AND(C8="Exit Review",F8&gt;=50,IFERROR(INDEX(Scoring!$AJ$3:$AJ$62,MATCH($A8,Scoring!$A$3:$A$62,0)),"")&lt;&gt;"AVOID"),"RECOVERED — MOVE TO PROBATIONARY HOLD",IF(J8&lt;0,"DEADLINE PASSED — SELL WITHIN 30 DAYS",IF(J8&lt;=14,"DEADLINE APPROACHING","ON TRACK"))))))</f>
        <v/>
      </c>
      <c r="L8" s="184"/>
      <c r="M8" s="183"/>
    </row>
    <row r="9" customFormat="false" ht="15" hidden="false" customHeight="true" outlineLevel="0" collapsed="false">
      <c r="A9" s="129"/>
      <c r="B9" s="129"/>
      <c r="C9" s="129"/>
      <c r="D9" s="177"/>
      <c r="E9" s="129"/>
      <c r="F9" s="129"/>
      <c r="G9" s="177"/>
      <c r="H9" s="129"/>
      <c r="I9" s="178" t="str">
        <f aca="false">IF(D9="","",D9+90)</f>
        <v/>
      </c>
      <c r="J9" s="179" t="str">
        <f aca="true">IF(I9="","",I9-TODAY())</f>
        <v/>
      </c>
      <c r="K9" s="180" t="str">
        <f aca="false">IF(OR(C9="",F9=""),"",IF(AND(C9="Exit Review",H9="N"),"NO CREDIBLE PLAN — SELL WITHIN 30 DAYS",IF(AND(C9="Probationary Hold",F9&gt;=65,IFERROR(INDEX(Scoring!$AJ$3:$AJ$62,MATCH($A9,Scoring!$A$3:$A$62,0)),"")&lt;&gt;"AVOID"),"RECOVERED — REMOVE FROM WATCH LIST",IF(AND(C9="Exit Review",F9&gt;=50,IFERROR(INDEX(Scoring!$AJ$3:$AJ$62,MATCH($A9,Scoring!$A$3:$A$62,0)),"")&lt;&gt;"AVOID"),"RECOVERED — MOVE TO PROBATIONARY HOLD",IF(J9&lt;0,"DEADLINE PASSED — SELL WITHIN 30 DAYS",IF(J9&lt;=14,"DEADLINE APPROACHING","ON TRACK"))))))</f>
        <v/>
      </c>
      <c r="L9" s="184"/>
      <c r="M9" s="183"/>
    </row>
    <row r="10" customFormat="false" ht="15" hidden="false" customHeight="true" outlineLevel="0" collapsed="false">
      <c r="A10" s="129"/>
      <c r="B10" s="129"/>
      <c r="C10" s="129"/>
      <c r="D10" s="177"/>
      <c r="E10" s="129"/>
      <c r="F10" s="129"/>
      <c r="G10" s="177"/>
      <c r="H10" s="129"/>
      <c r="I10" s="178" t="str">
        <f aca="false">IF(D10="","",D10+90)</f>
        <v/>
      </c>
      <c r="J10" s="179" t="str">
        <f aca="true">IF(I10="","",I10-TODAY())</f>
        <v/>
      </c>
      <c r="K10" s="180" t="str">
        <f aca="false">IF(OR(C10="",F10=""),"",IF(AND(C10="Exit Review",H10="N"),"NO CREDIBLE PLAN — SELL WITHIN 30 DAYS",IF(AND(C10="Probationary Hold",F10&gt;=65,IFERROR(INDEX(Scoring!$AJ$3:$AJ$62,MATCH($A10,Scoring!$A$3:$A$62,0)),"")&lt;&gt;"AVOID"),"RECOVERED — REMOVE FROM WATCH LIST",IF(AND(C10="Exit Review",F10&gt;=50,IFERROR(INDEX(Scoring!$AJ$3:$AJ$62,MATCH($A10,Scoring!$A$3:$A$62,0)),"")&lt;&gt;"AVOID"),"RECOVERED — MOVE TO PROBATIONARY HOLD",IF(J10&lt;0,"DEADLINE PASSED — SELL WITHIN 30 DAYS",IF(J10&lt;=14,"DEADLINE APPROACHING","ON TRACK"))))))</f>
        <v/>
      </c>
      <c r="L10" s="184"/>
      <c r="M10" s="183"/>
    </row>
    <row r="11" customFormat="false" ht="15" hidden="false" customHeight="true" outlineLevel="0" collapsed="false">
      <c r="A11" s="129"/>
      <c r="B11" s="129"/>
      <c r="C11" s="129"/>
      <c r="D11" s="177"/>
      <c r="E11" s="129"/>
      <c r="F11" s="129"/>
      <c r="G11" s="177"/>
      <c r="H11" s="129"/>
      <c r="I11" s="178" t="str">
        <f aca="false">IF(D11="","",D11+90)</f>
        <v/>
      </c>
      <c r="J11" s="179" t="str">
        <f aca="true">IF(I11="","",I11-TODAY())</f>
        <v/>
      </c>
      <c r="K11" s="180" t="str">
        <f aca="false">IF(OR(C11="",F11=""),"",IF(AND(C11="Exit Review",H11="N"),"NO CREDIBLE PLAN — SELL WITHIN 30 DAYS",IF(AND(C11="Probationary Hold",F11&gt;=65,IFERROR(INDEX(Scoring!$AJ$3:$AJ$62,MATCH($A11,Scoring!$A$3:$A$62,0)),"")&lt;&gt;"AVOID"),"RECOVERED — REMOVE FROM WATCH LIST",IF(AND(C11="Exit Review",F11&gt;=50,IFERROR(INDEX(Scoring!$AJ$3:$AJ$62,MATCH($A11,Scoring!$A$3:$A$62,0)),"")&lt;&gt;"AVOID"),"RECOVERED — MOVE TO PROBATIONARY HOLD",IF(J11&lt;0,"DEADLINE PASSED — SELL WITHIN 30 DAYS",IF(J11&lt;=14,"DEADLINE APPROACHING","ON TRACK"))))))</f>
        <v/>
      </c>
      <c r="L11" s="184"/>
      <c r="M11" s="183"/>
    </row>
    <row r="12" customFormat="false" ht="15" hidden="false" customHeight="true" outlineLevel="0" collapsed="false">
      <c r="A12" s="129"/>
      <c r="B12" s="129"/>
      <c r="C12" s="129"/>
      <c r="D12" s="177"/>
      <c r="E12" s="129"/>
      <c r="F12" s="129"/>
      <c r="G12" s="177"/>
      <c r="H12" s="129"/>
      <c r="I12" s="178" t="str">
        <f aca="false">IF(D12="","",D12+90)</f>
        <v/>
      </c>
      <c r="J12" s="179" t="str">
        <f aca="true">IF(I12="","",I12-TODAY())</f>
        <v/>
      </c>
      <c r="K12" s="180" t="str">
        <f aca="false">IF(OR(C12="",F12=""),"",IF(AND(C12="Exit Review",H12="N"),"NO CREDIBLE PLAN — SELL WITHIN 30 DAYS",IF(AND(C12="Probationary Hold",F12&gt;=65,IFERROR(INDEX(Scoring!$AJ$3:$AJ$62,MATCH($A12,Scoring!$A$3:$A$62,0)),"")&lt;&gt;"AVOID"),"RECOVERED — REMOVE FROM WATCH LIST",IF(AND(C12="Exit Review",F12&gt;=50,IFERROR(INDEX(Scoring!$AJ$3:$AJ$62,MATCH($A12,Scoring!$A$3:$A$62,0)),"")&lt;&gt;"AVOID"),"RECOVERED — MOVE TO PROBATIONARY HOLD",IF(J12&lt;0,"DEADLINE PASSED — SELL WITHIN 30 DAYS",IF(J12&lt;=14,"DEADLINE APPROACHING","ON TRACK"))))))</f>
        <v/>
      </c>
      <c r="L12" s="184"/>
      <c r="M12" s="183"/>
    </row>
    <row r="13" customFormat="false" ht="15" hidden="false" customHeight="true" outlineLevel="0" collapsed="false">
      <c r="A13" s="129"/>
      <c r="B13" s="129"/>
      <c r="C13" s="129"/>
      <c r="D13" s="177"/>
      <c r="E13" s="129"/>
      <c r="F13" s="129"/>
      <c r="G13" s="177"/>
      <c r="H13" s="129"/>
      <c r="I13" s="178" t="str">
        <f aca="false">IF(D13="","",D13+90)</f>
        <v/>
      </c>
      <c r="J13" s="179" t="str">
        <f aca="true">IF(I13="","",I13-TODAY())</f>
        <v/>
      </c>
      <c r="K13" s="180" t="str">
        <f aca="false">IF(OR(C13="",F13=""),"",IF(AND(C13="Exit Review",H13="N"),"NO CREDIBLE PLAN — SELL WITHIN 30 DAYS",IF(AND(C13="Probationary Hold",F13&gt;=65,IFERROR(INDEX(Scoring!$AJ$3:$AJ$62,MATCH($A13,Scoring!$A$3:$A$62,0)),"")&lt;&gt;"AVOID"),"RECOVERED — REMOVE FROM WATCH LIST",IF(AND(C13="Exit Review",F13&gt;=50,IFERROR(INDEX(Scoring!$AJ$3:$AJ$62,MATCH($A13,Scoring!$A$3:$A$62,0)),"")&lt;&gt;"AVOID"),"RECOVERED — MOVE TO PROBATIONARY HOLD",IF(J13&lt;0,"DEADLINE PASSED — SELL WITHIN 30 DAYS",IF(J13&lt;=14,"DEADLINE APPROACHING","ON TRACK"))))))</f>
        <v/>
      </c>
      <c r="L13" s="184"/>
      <c r="M13" s="183"/>
    </row>
    <row r="14" customFormat="false" ht="15" hidden="false" customHeight="true" outlineLevel="0" collapsed="false">
      <c r="A14" s="129"/>
      <c r="B14" s="129"/>
      <c r="C14" s="129"/>
      <c r="D14" s="177"/>
      <c r="E14" s="129"/>
      <c r="F14" s="129"/>
      <c r="G14" s="177"/>
      <c r="H14" s="129"/>
      <c r="I14" s="178" t="str">
        <f aca="false">IF(D14="","",D14+90)</f>
        <v/>
      </c>
      <c r="J14" s="179" t="str">
        <f aca="true">IF(I14="","",I14-TODAY())</f>
        <v/>
      </c>
      <c r="K14" s="180" t="str">
        <f aca="false">IF(OR(C14="",F14=""),"",IF(AND(C14="Exit Review",H14="N"),"NO CREDIBLE PLAN — SELL WITHIN 30 DAYS",IF(AND(C14="Probationary Hold",F14&gt;=65,IFERROR(INDEX(Scoring!$AJ$3:$AJ$62,MATCH($A14,Scoring!$A$3:$A$62,0)),"")&lt;&gt;"AVOID"),"RECOVERED — REMOVE FROM WATCH LIST",IF(AND(C14="Exit Review",F14&gt;=50,IFERROR(INDEX(Scoring!$AJ$3:$AJ$62,MATCH($A14,Scoring!$A$3:$A$62,0)),"")&lt;&gt;"AVOID"),"RECOVERED — MOVE TO PROBATIONARY HOLD",IF(J14&lt;0,"DEADLINE PASSED — SELL WITHIN 30 DAYS",IF(J14&lt;=14,"DEADLINE APPROACHING","ON TRACK"))))))</f>
        <v/>
      </c>
      <c r="L14" s="184"/>
      <c r="M14" s="183"/>
    </row>
    <row r="15" customFormat="false" ht="15" hidden="false" customHeight="true" outlineLevel="0" collapsed="false">
      <c r="A15" s="129"/>
      <c r="B15" s="129"/>
      <c r="C15" s="129"/>
      <c r="D15" s="177"/>
      <c r="E15" s="129"/>
      <c r="F15" s="129"/>
      <c r="G15" s="177"/>
      <c r="H15" s="129"/>
      <c r="I15" s="178" t="str">
        <f aca="false">IF(D15="","",D15+90)</f>
        <v/>
      </c>
      <c r="J15" s="179" t="str">
        <f aca="true">IF(I15="","",I15-TODAY())</f>
        <v/>
      </c>
      <c r="K15" s="180" t="str">
        <f aca="false">IF(OR(C15="",F15=""),"",IF(AND(C15="Exit Review",H15="N"),"NO CREDIBLE PLAN — SELL WITHIN 30 DAYS",IF(AND(C15="Probationary Hold",F15&gt;=65,IFERROR(INDEX(Scoring!$AJ$3:$AJ$62,MATCH($A15,Scoring!$A$3:$A$62,0)),"")&lt;&gt;"AVOID"),"RECOVERED — REMOVE FROM WATCH LIST",IF(AND(C15="Exit Review",F15&gt;=50,IFERROR(INDEX(Scoring!$AJ$3:$AJ$62,MATCH($A15,Scoring!$A$3:$A$62,0)),"")&lt;&gt;"AVOID"),"RECOVERED — MOVE TO PROBATIONARY HOLD",IF(J15&lt;0,"DEADLINE PASSED — SELL WITHIN 30 DAYS",IF(J15&lt;=14,"DEADLINE APPROACHING","ON TRACK"))))))</f>
        <v/>
      </c>
      <c r="L15" s="184"/>
      <c r="M15" s="183"/>
    </row>
    <row r="16" customFormat="false" ht="15" hidden="false" customHeight="true" outlineLevel="0" collapsed="false">
      <c r="A16" s="129"/>
      <c r="B16" s="129"/>
      <c r="C16" s="129"/>
      <c r="D16" s="177"/>
      <c r="E16" s="129"/>
      <c r="F16" s="129"/>
      <c r="G16" s="177"/>
      <c r="H16" s="129"/>
      <c r="I16" s="178" t="str">
        <f aca="false">IF(D16="","",D16+90)</f>
        <v/>
      </c>
      <c r="J16" s="179" t="str">
        <f aca="true">IF(I16="","",I16-TODAY())</f>
        <v/>
      </c>
      <c r="K16" s="180" t="str">
        <f aca="false">IF(OR(C16="",F16=""),"",IF(AND(C16="Exit Review",H16="N"),"NO CREDIBLE PLAN — SELL WITHIN 30 DAYS",IF(AND(C16="Probationary Hold",F16&gt;=65,IFERROR(INDEX(Scoring!$AJ$3:$AJ$62,MATCH($A16,Scoring!$A$3:$A$62,0)),"")&lt;&gt;"AVOID"),"RECOVERED — REMOVE FROM WATCH LIST",IF(AND(C16="Exit Review",F16&gt;=50,IFERROR(INDEX(Scoring!$AJ$3:$AJ$62,MATCH($A16,Scoring!$A$3:$A$62,0)),"")&lt;&gt;"AVOID"),"RECOVERED — MOVE TO PROBATIONARY HOLD",IF(J16&lt;0,"DEADLINE PASSED — SELL WITHIN 30 DAYS",IF(J16&lt;=14,"DEADLINE APPROACHING","ON TRACK"))))))</f>
        <v/>
      </c>
      <c r="L16" s="184"/>
      <c r="M16" s="183"/>
    </row>
    <row r="17" customFormat="false" ht="15" hidden="false" customHeight="true" outlineLevel="0" collapsed="false">
      <c r="A17" s="129"/>
      <c r="B17" s="129"/>
      <c r="C17" s="129"/>
      <c r="D17" s="177"/>
      <c r="E17" s="129"/>
      <c r="F17" s="129"/>
      <c r="G17" s="177"/>
      <c r="H17" s="129"/>
      <c r="I17" s="178" t="str">
        <f aca="false">IF(D17="","",D17+90)</f>
        <v/>
      </c>
      <c r="J17" s="179" t="str">
        <f aca="true">IF(I17="","",I17-TODAY())</f>
        <v/>
      </c>
      <c r="K17" s="180" t="str">
        <f aca="false">IF(OR(C17="",F17=""),"",IF(AND(C17="Exit Review",H17="N"),"NO CREDIBLE PLAN — SELL WITHIN 30 DAYS",IF(AND(C17="Probationary Hold",F17&gt;=65,IFERROR(INDEX(Scoring!$AJ$3:$AJ$62,MATCH($A17,Scoring!$A$3:$A$62,0)),"")&lt;&gt;"AVOID"),"RECOVERED — REMOVE FROM WATCH LIST",IF(AND(C17="Exit Review",F17&gt;=50,IFERROR(INDEX(Scoring!$AJ$3:$AJ$62,MATCH($A17,Scoring!$A$3:$A$62,0)),"")&lt;&gt;"AVOID"),"RECOVERED — MOVE TO PROBATIONARY HOLD",IF(J17&lt;0,"DEADLINE PASSED — SELL WITHIN 30 DAYS",IF(J17&lt;=14,"DEADLINE APPROACHING","ON TRACK"))))))</f>
        <v/>
      </c>
      <c r="L17" s="184"/>
      <c r="M17" s="183"/>
    </row>
    <row r="18" customFormat="false" ht="15" hidden="false" customHeight="true" outlineLevel="0" collapsed="false">
      <c r="A18" s="129"/>
      <c r="B18" s="129"/>
      <c r="C18" s="129"/>
      <c r="D18" s="177"/>
      <c r="E18" s="129"/>
      <c r="F18" s="129"/>
      <c r="G18" s="177"/>
      <c r="H18" s="129"/>
      <c r="I18" s="178" t="str">
        <f aca="false">IF(D18="","",D18+90)</f>
        <v/>
      </c>
      <c r="J18" s="179" t="str">
        <f aca="true">IF(I18="","",I18-TODAY())</f>
        <v/>
      </c>
      <c r="K18" s="180" t="str">
        <f aca="false">IF(OR(C18="",F18=""),"",IF(AND(C18="Exit Review",H18="N"),"NO CREDIBLE PLAN — SELL WITHIN 30 DAYS",IF(AND(C18="Probationary Hold",F18&gt;=65,IFERROR(INDEX(Scoring!$AJ$3:$AJ$62,MATCH($A18,Scoring!$A$3:$A$62,0)),"")&lt;&gt;"AVOID"),"RECOVERED — REMOVE FROM WATCH LIST",IF(AND(C18="Exit Review",F18&gt;=50,IFERROR(INDEX(Scoring!$AJ$3:$AJ$62,MATCH($A18,Scoring!$A$3:$A$62,0)),"")&lt;&gt;"AVOID"),"RECOVERED — MOVE TO PROBATIONARY HOLD",IF(J18&lt;0,"DEADLINE PASSED — SELL WITHIN 30 DAYS",IF(J18&lt;=14,"DEADLINE APPROACHING","ON TRACK"))))))</f>
        <v/>
      </c>
      <c r="L18" s="184"/>
      <c r="M18" s="183"/>
    </row>
    <row r="19" customFormat="false" ht="15" hidden="false" customHeight="true" outlineLevel="0" collapsed="false">
      <c r="A19" s="129"/>
      <c r="B19" s="129"/>
      <c r="C19" s="129"/>
      <c r="D19" s="177"/>
      <c r="E19" s="129"/>
      <c r="F19" s="129"/>
      <c r="G19" s="177"/>
      <c r="H19" s="129"/>
      <c r="I19" s="178" t="str">
        <f aca="false">IF(D19="","",D19+90)</f>
        <v/>
      </c>
      <c r="J19" s="179" t="str">
        <f aca="true">IF(I19="","",I19-TODAY())</f>
        <v/>
      </c>
      <c r="K19" s="180" t="str">
        <f aca="false">IF(OR(C19="",F19=""),"",IF(AND(C19="Exit Review",H19="N"),"NO CREDIBLE PLAN — SELL WITHIN 30 DAYS",IF(AND(C19="Probationary Hold",F19&gt;=65,IFERROR(INDEX(Scoring!$AJ$3:$AJ$62,MATCH($A19,Scoring!$A$3:$A$62,0)),"")&lt;&gt;"AVOID"),"RECOVERED — REMOVE FROM WATCH LIST",IF(AND(C19="Exit Review",F19&gt;=50,IFERROR(INDEX(Scoring!$AJ$3:$AJ$62,MATCH($A19,Scoring!$A$3:$A$62,0)),"")&lt;&gt;"AVOID"),"RECOVERED — MOVE TO PROBATIONARY HOLD",IF(J19&lt;0,"DEADLINE PASSED — SELL WITHIN 30 DAYS",IF(J19&lt;=14,"DEADLINE APPROACHING","ON TRACK"))))))</f>
        <v/>
      </c>
      <c r="L19" s="184"/>
      <c r="M19" s="183"/>
    </row>
    <row r="20" customFormat="false" ht="15" hidden="false" customHeight="true" outlineLevel="0" collapsed="false">
      <c r="A20" s="129"/>
      <c r="B20" s="129"/>
      <c r="C20" s="129"/>
      <c r="D20" s="177"/>
      <c r="E20" s="129"/>
      <c r="F20" s="129"/>
      <c r="G20" s="177"/>
      <c r="H20" s="129"/>
      <c r="I20" s="178" t="str">
        <f aca="false">IF(D20="","",D20+90)</f>
        <v/>
      </c>
      <c r="J20" s="179" t="str">
        <f aca="true">IF(I20="","",I20-TODAY())</f>
        <v/>
      </c>
      <c r="K20" s="180" t="str">
        <f aca="false">IF(OR(C20="",F20=""),"",IF(AND(C20="Exit Review",H20="N"),"NO CREDIBLE PLAN — SELL WITHIN 30 DAYS",IF(AND(C20="Probationary Hold",F20&gt;=65,IFERROR(INDEX(Scoring!$AJ$3:$AJ$62,MATCH($A20,Scoring!$A$3:$A$62,0)),"")&lt;&gt;"AVOID"),"RECOVERED — REMOVE FROM WATCH LIST",IF(AND(C20="Exit Review",F20&gt;=50,IFERROR(INDEX(Scoring!$AJ$3:$AJ$62,MATCH($A20,Scoring!$A$3:$A$62,0)),"")&lt;&gt;"AVOID"),"RECOVERED — MOVE TO PROBATIONARY HOLD",IF(J20&lt;0,"DEADLINE PASSED — SELL WITHIN 30 DAYS",IF(J20&lt;=14,"DEADLINE APPROACHING","ON TRACK"))))))</f>
        <v/>
      </c>
      <c r="L20" s="184"/>
      <c r="M20" s="183"/>
    </row>
    <row r="21" customFormat="false" ht="15" hidden="false" customHeight="true" outlineLevel="0" collapsed="false">
      <c r="A21" s="129"/>
      <c r="B21" s="129"/>
      <c r="C21" s="129"/>
      <c r="D21" s="177"/>
      <c r="E21" s="129"/>
      <c r="F21" s="129"/>
      <c r="G21" s="177"/>
      <c r="H21" s="129"/>
      <c r="I21" s="178" t="str">
        <f aca="false">IF(D21="","",D21+90)</f>
        <v/>
      </c>
      <c r="J21" s="179" t="str">
        <f aca="true">IF(I21="","",I21-TODAY())</f>
        <v/>
      </c>
      <c r="K21" s="180" t="str">
        <f aca="false">IF(OR(C21="",F21=""),"",IF(AND(C21="Exit Review",H21="N"),"NO CREDIBLE PLAN — SELL WITHIN 30 DAYS",IF(AND(C21="Probationary Hold",F21&gt;=65,IFERROR(INDEX(Scoring!$AJ$3:$AJ$62,MATCH($A21,Scoring!$A$3:$A$62,0)),"")&lt;&gt;"AVOID"),"RECOVERED — REMOVE FROM WATCH LIST",IF(AND(C21="Exit Review",F21&gt;=50,IFERROR(INDEX(Scoring!$AJ$3:$AJ$62,MATCH($A21,Scoring!$A$3:$A$62,0)),"")&lt;&gt;"AVOID"),"RECOVERED — MOVE TO PROBATIONARY HOLD",IF(J21&lt;0,"DEADLINE PASSED — SELL WITHIN 30 DAYS",IF(J21&lt;=14,"DEADLINE APPROACHING","ON TRACK"))))))</f>
        <v/>
      </c>
      <c r="L21" s="184"/>
      <c r="M21" s="183"/>
    </row>
    <row r="22" customFormat="false" ht="15" hidden="false" customHeight="true" outlineLevel="0" collapsed="false">
      <c r="A22" s="129"/>
      <c r="B22" s="129"/>
      <c r="C22" s="129"/>
      <c r="D22" s="177"/>
      <c r="E22" s="129"/>
      <c r="F22" s="129"/>
      <c r="G22" s="177"/>
      <c r="H22" s="129"/>
      <c r="I22" s="178" t="str">
        <f aca="false">IF(D22="","",D22+90)</f>
        <v/>
      </c>
      <c r="J22" s="179" t="str">
        <f aca="true">IF(I22="","",I22-TODAY())</f>
        <v/>
      </c>
      <c r="K22" s="180" t="str">
        <f aca="false">IF(OR(C22="",F22=""),"",IF(AND(C22="Exit Review",H22="N"),"NO CREDIBLE PLAN — SELL WITHIN 30 DAYS",IF(AND(C22="Probationary Hold",F22&gt;=65,IFERROR(INDEX(Scoring!$AJ$3:$AJ$62,MATCH($A22,Scoring!$A$3:$A$62,0)),"")&lt;&gt;"AVOID"),"RECOVERED — REMOVE FROM WATCH LIST",IF(AND(C22="Exit Review",F22&gt;=50,IFERROR(INDEX(Scoring!$AJ$3:$AJ$62,MATCH($A22,Scoring!$A$3:$A$62,0)),"")&lt;&gt;"AVOID"),"RECOVERED — MOVE TO PROBATIONARY HOLD",IF(J22&lt;0,"DEADLINE PASSED — SELL WITHIN 30 DAYS",IF(J22&lt;=14,"DEADLINE APPROACHING","ON TRACK"))))))</f>
        <v/>
      </c>
      <c r="L22" s="184"/>
      <c r="M22" s="183"/>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R35" activeCellId="0" sqref="R35"/>
    </sheetView>
  </sheetViews>
  <sheetFormatPr defaultColWidth="8.66796875" defaultRowHeight="15" customHeight="false" zeroHeight="false" outlineLevelRow="0" outlineLevelCol="0"/>
  <cols>
    <col collapsed="false" customWidth="true" hidden="false" outlineLevel="0" max="1" min="1" style="174" width="6.67"/>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75" t="s">
        <v>500</v>
      </c>
      <c r="B1" s="175"/>
      <c r="C1" s="175"/>
      <c r="D1" s="175"/>
      <c r="E1" s="175"/>
      <c r="F1" s="175"/>
      <c r="G1" s="175"/>
      <c r="H1" s="175"/>
      <c r="I1" s="175"/>
      <c r="J1" s="175"/>
      <c r="K1" s="175"/>
      <c r="L1" s="175"/>
      <c r="M1" s="175"/>
      <c r="N1" s="175"/>
      <c r="O1" s="175"/>
      <c r="P1" s="175"/>
      <c r="Q1" s="175"/>
      <c r="R1" s="175"/>
      <c r="S1" s="175"/>
      <c r="T1" s="175"/>
    </row>
    <row r="2" customFormat="false" ht="15.75" hidden="false" customHeight="true" outlineLevel="0" collapsed="false">
      <c r="D2" s="185" t="s">
        <v>501</v>
      </c>
      <c r="E2" s="185"/>
      <c r="F2" s="185"/>
      <c r="G2" s="185"/>
      <c r="H2" s="185"/>
      <c r="I2" s="186" t="s">
        <v>502</v>
      </c>
      <c r="J2" s="186"/>
      <c r="K2" s="186"/>
      <c r="L2" s="186"/>
      <c r="M2" s="186"/>
      <c r="N2" s="187" t="s">
        <v>503</v>
      </c>
      <c r="O2" s="187"/>
      <c r="P2" s="187"/>
      <c r="Q2" s="187"/>
      <c r="R2" s="187"/>
      <c r="S2" s="188" t="s">
        <v>504</v>
      </c>
      <c r="T2" s="188"/>
      <c r="U2" s="188"/>
    </row>
    <row r="3" customFormat="false" ht="42.75" hidden="false" customHeight="true" outlineLevel="0" collapsed="false">
      <c r="A3" s="121" t="s">
        <v>82</v>
      </c>
      <c r="B3" s="121" t="s">
        <v>296</v>
      </c>
      <c r="C3" s="121" t="s">
        <v>505</v>
      </c>
      <c r="D3" s="121" t="s">
        <v>506</v>
      </c>
      <c r="E3" s="121" t="s">
        <v>507</v>
      </c>
      <c r="F3" s="121" t="s">
        <v>508</v>
      </c>
      <c r="G3" s="121" t="s">
        <v>509</v>
      </c>
      <c r="H3" s="121" t="s">
        <v>510</v>
      </c>
      <c r="I3" s="121" t="s">
        <v>506</v>
      </c>
      <c r="J3" s="121" t="s">
        <v>507</v>
      </c>
      <c r="K3" s="121" t="s">
        <v>508</v>
      </c>
      <c r="L3" s="121" t="s">
        <v>509</v>
      </c>
      <c r="M3" s="121" t="s">
        <v>510</v>
      </c>
      <c r="N3" s="121" t="s">
        <v>506</v>
      </c>
      <c r="O3" s="121" t="s">
        <v>507</v>
      </c>
      <c r="P3" s="121" t="s">
        <v>508</v>
      </c>
      <c r="Q3" s="121" t="s">
        <v>509</v>
      </c>
      <c r="R3" s="121" t="s">
        <v>510</v>
      </c>
      <c r="S3" s="121" t="s">
        <v>511</v>
      </c>
      <c r="T3" s="121" t="s">
        <v>512</v>
      </c>
      <c r="U3" s="121" t="s">
        <v>513</v>
      </c>
    </row>
    <row r="4" customFormat="false" ht="15" hidden="false" customHeight="true" outlineLevel="0" collapsed="false">
      <c r="A4" s="63"/>
      <c r="B4" s="64"/>
      <c r="C4" s="68"/>
      <c r="D4" s="68"/>
      <c r="E4" s="189"/>
      <c r="F4" s="68"/>
      <c r="G4" s="69" t="str">
        <f aca="false">IF(OR(C4="",D4="",E4="",F4=""),"",IFERROR(((D4*E4+F4)/C4)^(1/5)-1,"n/a"))</f>
        <v/>
      </c>
      <c r="H4" s="64"/>
      <c r="I4" s="68"/>
      <c r="J4" s="189"/>
      <c r="K4" s="68"/>
      <c r="L4" s="69" t="str">
        <f aca="false">IF(OR(C4="",I4="",J4="",K4=""),"",IFERROR(((I4*J4+K4)/C4)^(1/5)-1,"n/a"))</f>
        <v/>
      </c>
      <c r="M4" s="64"/>
      <c r="N4" s="68"/>
      <c r="O4" s="189"/>
      <c r="P4" s="68"/>
      <c r="Q4" s="69" t="str">
        <f aca="false">IF(OR(C4="",N4="",O4="",P4=""),"",IFERROR(((N4*O4+P4)/C4)^(1/5)-1,"n/a"))</f>
        <v/>
      </c>
      <c r="R4" s="64"/>
      <c r="S4" s="73" t="str">
        <f aca="false">IF(G4="","",IF(G4&gt;0.1,"PASS","FAIL"))</f>
        <v/>
      </c>
      <c r="T4" s="73" t="str">
        <f aca="false">IF(L4="","",IF(L4&gt;=0,"PASS","FAIL"))</f>
        <v/>
      </c>
      <c r="U4" s="73" t="str">
        <f aca="false">IF(COUNTA(H4,M4,R4)=0,"",IF((COUNTIF(H4,"Likely")+COUNTIF(M4,"Likely")+COUNTIF(R4,"Likely"))=1,"OK","CHECK TAGS"))</f>
        <v/>
      </c>
    </row>
    <row r="5" customFormat="false" ht="15" hidden="false" customHeight="true" outlineLevel="0" collapsed="false">
      <c r="A5" s="63"/>
      <c r="B5" s="64"/>
      <c r="C5" s="68"/>
      <c r="D5" s="68"/>
      <c r="E5" s="189"/>
      <c r="F5" s="68"/>
      <c r="G5" s="69" t="str">
        <f aca="false">IF(OR(C5="",D5="",E5="",F5=""),"",IFERROR(((D5*E5+F5)/C5)^(1/5)-1,"n/a"))</f>
        <v/>
      </c>
      <c r="H5" s="64"/>
      <c r="I5" s="68"/>
      <c r="J5" s="189"/>
      <c r="K5" s="68"/>
      <c r="L5" s="69" t="str">
        <f aca="false">IF(OR(C5="",I5="",J5="",K5=""),"",IFERROR(((I5*J5+K5)/C5)^(1/5)-1,"n/a"))</f>
        <v/>
      </c>
      <c r="M5" s="64"/>
      <c r="N5" s="68"/>
      <c r="O5" s="189"/>
      <c r="P5" s="68"/>
      <c r="Q5" s="69" t="str">
        <f aca="false">IF(OR(C5="",N5="",O5="",P5=""),"",IFERROR(((N5*O5+P5)/C5)^(1/5)-1,"n/a"))</f>
        <v/>
      </c>
      <c r="R5" s="64"/>
      <c r="S5" s="73" t="str">
        <f aca="false">IF(G5="","",IF(G5&gt;0.1,"PASS","FAIL"))</f>
        <v/>
      </c>
      <c r="T5" s="73" t="str">
        <f aca="false">IF(L5="","",IF(L5&gt;=0,"PASS","FAIL"))</f>
        <v/>
      </c>
      <c r="U5" s="73" t="str">
        <f aca="false">IF(COUNTA(H5,M5,R5)=0,"",IF((COUNTIF(H5,"Likely")+COUNTIF(M5,"Likely")+COUNTIF(R5,"Likely"))=1,"OK","CHECK TAGS"))</f>
        <v/>
      </c>
    </row>
    <row r="6" customFormat="false" ht="15" hidden="false" customHeight="true" outlineLevel="0" collapsed="false">
      <c r="A6" s="63"/>
      <c r="B6" s="64"/>
      <c r="C6" s="68"/>
      <c r="D6" s="68"/>
      <c r="E6" s="189"/>
      <c r="F6" s="68"/>
      <c r="G6" s="69" t="str">
        <f aca="false">IF(OR(C6="",D6="",E6="",F6=""),"",IFERROR(((D6*E6+F6)/C6)^(1/5)-1,"n/a"))</f>
        <v/>
      </c>
      <c r="H6" s="64"/>
      <c r="I6" s="68"/>
      <c r="J6" s="189"/>
      <c r="K6" s="68"/>
      <c r="L6" s="69" t="str">
        <f aca="false">IF(OR(C6="",I6="",J6="",K6=""),"",IFERROR(((I6*J6+K6)/C6)^(1/5)-1,"n/a"))</f>
        <v/>
      </c>
      <c r="M6" s="64"/>
      <c r="N6" s="68"/>
      <c r="O6" s="189"/>
      <c r="P6" s="68"/>
      <c r="Q6" s="69" t="str">
        <f aca="false">IF(OR(C6="",N6="",O6="",P6=""),"",IFERROR(((N6*O6+P6)/C6)^(1/5)-1,"n/a"))</f>
        <v/>
      </c>
      <c r="R6" s="64"/>
      <c r="S6" s="73" t="str">
        <f aca="false">IF(G6="","",IF(G6&gt;0.1,"PASS","FAIL"))</f>
        <v/>
      </c>
      <c r="T6" s="73" t="str">
        <f aca="false">IF(L6="","",IF(L6&gt;=0,"PASS","FAIL"))</f>
        <v/>
      </c>
      <c r="U6" s="73" t="str">
        <f aca="false">IF(COUNTA(H6,M6,R6)=0,"",IF((COUNTIF(H6,"Likely")+COUNTIF(M6,"Likely")+COUNTIF(R6,"Likely"))=1,"OK","CHECK TAGS"))</f>
        <v/>
      </c>
    </row>
    <row r="7" customFormat="false" ht="15" hidden="false" customHeight="true" outlineLevel="0" collapsed="false">
      <c r="A7" s="63"/>
      <c r="B7" s="71"/>
      <c r="C7" s="68"/>
      <c r="D7" s="68"/>
      <c r="E7" s="189"/>
      <c r="F7" s="68"/>
      <c r="G7" s="69" t="str">
        <f aca="false">IF(OR(C7="",D7="",E7="",F7=""),"",IFERROR(((D7*E7+F7)/C7)^(1/5)-1,"n/a"))</f>
        <v/>
      </c>
      <c r="H7" s="64"/>
      <c r="I7" s="68"/>
      <c r="J7" s="189"/>
      <c r="K7" s="68"/>
      <c r="L7" s="69" t="str">
        <f aca="false">IF(OR(C7="",I7="",J7="",K7=""),"",IFERROR(((I7*J7+K7)/C7)^(1/5)-1,"n/a"))</f>
        <v/>
      </c>
      <c r="M7" s="64"/>
      <c r="N7" s="68"/>
      <c r="O7" s="189"/>
      <c r="P7" s="68"/>
      <c r="Q7" s="69" t="str">
        <f aca="false">IF(OR(C7="",N7="",O7="",P7=""),"",IFERROR(((N7*O7+P7)/C7)^(1/5)-1,"n/a"))</f>
        <v/>
      </c>
      <c r="R7" s="64"/>
      <c r="S7" s="73" t="str">
        <f aca="false">IF(G7="","",IF(G7&gt;0.1,"PASS","FAIL"))</f>
        <v/>
      </c>
      <c r="T7" s="73" t="str">
        <f aca="false">IF(L7="","",IF(L7&gt;=0,"PASS","FAIL"))</f>
        <v/>
      </c>
      <c r="U7" s="73" t="str">
        <f aca="false">IF(COUNTA(H7,M7,R7)=0,"",IF((COUNTIF(H7,"Likely")+COUNTIF(M7,"Likely")+COUNTIF(R7,"Likely"))=1,"OK","CHECK TAGS"))</f>
        <v/>
      </c>
    </row>
    <row r="8" customFormat="false" ht="15" hidden="false" customHeight="true" outlineLevel="0" collapsed="false">
      <c r="A8" s="63"/>
      <c r="B8" s="71"/>
      <c r="C8" s="68"/>
      <c r="D8" s="68"/>
      <c r="E8" s="189"/>
      <c r="F8" s="68"/>
      <c r="G8" s="69" t="str">
        <f aca="false">IF(OR(C8="",D8="",E8="",F8=""),"",IFERROR(((D8*E8+F8)/C8)^(1/5)-1,"n/a"))</f>
        <v/>
      </c>
      <c r="H8" s="64"/>
      <c r="I8" s="68"/>
      <c r="J8" s="189"/>
      <c r="K8" s="68"/>
      <c r="L8" s="69" t="str">
        <f aca="false">IF(OR(C8="",I8="",J8="",K8=""),"",IFERROR(((I8*J8+K8)/C8)^(1/5)-1,"n/a"))</f>
        <v/>
      </c>
      <c r="M8" s="64"/>
      <c r="N8" s="68"/>
      <c r="O8" s="189"/>
      <c r="P8" s="68"/>
      <c r="Q8" s="69" t="str">
        <f aca="false">IF(OR(C8="",N8="",O8="",P8=""),"",IFERROR(((N8*O8+P8)/C8)^(1/5)-1,"n/a"))</f>
        <v/>
      </c>
      <c r="R8" s="64"/>
      <c r="S8" s="73" t="str">
        <f aca="false">IF(G8="","",IF(G8&gt;0.1,"PASS","FAIL"))</f>
        <v/>
      </c>
      <c r="T8" s="73" t="str">
        <f aca="false">IF(L8="","",IF(L8&gt;=0,"PASS","FAIL"))</f>
        <v/>
      </c>
      <c r="U8" s="73" t="str">
        <f aca="false">IF(COUNTA(H8,M8,R8)=0,"",IF((COUNTIF(H8,"Likely")+COUNTIF(M8,"Likely")+COUNTIF(R8,"Likely"))=1,"OK","CHECK TAGS"))</f>
        <v/>
      </c>
    </row>
    <row r="9" customFormat="false" ht="15" hidden="false" customHeight="true" outlineLevel="0" collapsed="false">
      <c r="A9" s="63"/>
      <c r="B9" s="71"/>
      <c r="C9" s="68"/>
      <c r="D9" s="68"/>
      <c r="E9" s="189"/>
      <c r="F9" s="68"/>
      <c r="G9" s="69" t="str">
        <f aca="false">IF(OR(C9="",D9="",E9="",F9=""),"",IFERROR(((D9*E9+F9)/C9)^(1/5)-1,"n/a"))</f>
        <v/>
      </c>
      <c r="H9" s="64"/>
      <c r="I9" s="68"/>
      <c r="J9" s="189"/>
      <c r="K9" s="68"/>
      <c r="L9" s="69" t="str">
        <f aca="false">IF(OR(C9="",I9="",J9="",K9=""),"",IFERROR(((I9*J9+K9)/C9)^(1/5)-1,"n/a"))</f>
        <v/>
      </c>
      <c r="M9" s="64"/>
      <c r="N9" s="68"/>
      <c r="O9" s="189"/>
      <c r="P9" s="68"/>
      <c r="Q9" s="69" t="str">
        <f aca="false">IF(OR(C9="",N9="",O9="",P9=""),"",IFERROR(((N9*O9+P9)/C9)^(1/5)-1,"n/a"))</f>
        <v/>
      </c>
      <c r="R9" s="64"/>
      <c r="S9" s="73" t="str">
        <f aca="false">IF(G9="","",IF(G9&gt;0.1,"PASS","FAIL"))</f>
        <v/>
      </c>
      <c r="T9" s="73" t="str">
        <f aca="false">IF(L9="","",IF(L9&gt;=0,"PASS","FAIL"))</f>
        <v/>
      </c>
      <c r="U9" s="73" t="str">
        <f aca="false">IF(COUNTA(H9,M9,R9)=0,"",IF((COUNTIF(H9,"Likely")+COUNTIF(M9,"Likely")+COUNTIF(R9,"Likely"))=1,"OK","CHECK TAGS"))</f>
        <v/>
      </c>
    </row>
    <row r="10" customFormat="false" ht="15" hidden="false" customHeight="true" outlineLevel="0" collapsed="false">
      <c r="A10" s="63"/>
      <c r="B10" s="71"/>
      <c r="C10" s="68"/>
      <c r="D10" s="68"/>
      <c r="E10" s="189"/>
      <c r="F10" s="68"/>
      <c r="G10" s="69" t="str">
        <f aca="false">IF(OR(C10="",D10="",E10="",F10=""),"",IFERROR(((D10*E10+F10)/C10)^(1/5)-1,"n/a"))</f>
        <v/>
      </c>
      <c r="H10" s="64"/>
      <c r="I10" s="68"/>
      <c r="J10" s="189"/>
      <c r="K10" s="68"/>
      <c r="L10" s="69" t="str">
        <f aca="false">IF(OR(C10="",I10="",J10="",K10=""),"",IFERROR(((I10*J10+K10)/C10)^(1/5)-1,"n/a"))</f>
        <v/>
      </c>
      <c r="M10" s="64"/>
      <c r="N10" s="68"/>
      <c r="O10" s="189"/>
      <c r="P10" s="68"/>
      <c r="Q10" s="69" t="str">
        <f aca="false">IF(OR(C10="",N10="",O10="",P10=""),"",IFERROR(((N10*O10+P10)/C10)^(1/5)-1,"n/a"))</f>
        <v/>
      </c>
      <c r="R10" s="64"/>
      <c r="S10" s="73" t="str">
        <f aca="false">IF(G10="","",IF(G10&gt;0.1,"PASS","FAIL"))</f>
        <v/>
      </c>
      <c r="T10" s="73" t="str">
        <f aca="false">IF(L10="","",IF(L10&gt;=0,"PASS","FAIL"))</f>
        <v/>
      </c>
      <c r="U10" s="73" t="str">
        <f aca="false">IF(COUNTA(H10,M10,R10)=0,"",IF((COUNTIF(H10,"Likely")+COUNTIF(M10,"Likely")+COUNTIF(R10,"Likely"))=1,"OK","CHECK TAGS"))</f>
        <v/>
      </c>
    </row>
    <row r="11" customFormat="false" ht="15" hidden="false" customHeight="true" outlineLevel="0" collapsed="false">
      <c r="A11" s="63"/>
      <c r="B11" s="71"/>
      <c r="C11" s="68"/>
      <c r="D11" s="68"/>
      <c r="E11" s="189"/>
      <c r="F11" s="68"/>
      <c r="G11" s="69" t="str">
        <f aca="false">IF(OR(C11="",D11="",E11="",F11=""),"",IFERROR(((D11*E11+F11)/C11)^(1/5)-1,"n/a"))</f>
        <v/>
      </c>
      <c r="H11" s="64"/>
      <c r="I11" s="68"/>
      <c r="J11" s="189"/>
      <c r="K11" s="68"/>
      <c r="L11" s="69" t="str">
        <f aca="false">IF(OR(C11="",I11="",J11="",K11=""),"",IFERROR(((I11*J11+K11)/C11)^(1/5)-1,"n/a"))</f>
        <v/>
      </c>
      <c r="M11" s="64"/>
      <c r="N11" s="68"/>
      <c r="O11" s="189"/>
      <c r="P11" s="68"/>
      <c r="Q11" s="69" t="str">
        <f aca="false">IF(OR(C11="",N11="",O11="",P11=""),"",IFERROR(((N11*O11+P11)/C11)^(1/5)-1,"n/a"))</f>
        <v/>
      </c>
      <c r="R11" s="64"/>
      <c r="S11" s="73" t="str">
        <f aca="false">IF(G11="","",IF(G11&gt;0.1,"PASS","FAIL"))</f>
        <v/>
      </c>
      <c r="T11" s="73" t="str">
        <f aca="false">IF(L11="","",IF(L11&gt;=0,"PASS","FAIL"))</f>
        <v/>
      </c>
      <c r="U11" s="73" t="str">
        <f aca="false">IF(COUNTA(H11,M11,R11)=0,"",IF((COUNTIF(H11,"Likely")+COUNTIF(M11,"Likely")+COUNTIF(R11,"Likely"))=1,"OK","CHECK TAGS"))</f>
        <v/>
      </c>
    </row>
    <row r="12" customFormat="false" ht="15" hidden="false" customHeight="true" outlineLevel="0" collapsed="false">
      <c r="A12" s="63"/>
      <c r="B12" s="71"/>
      <c r="C12" s="68"/>
      <c r="D12" s="68"/>
      <c r="E12" s="189"/>
      <c r="F12" s="68"/>
      <c r="G12" s="69" t="str">
        <f aca="false">IF(OR(C12="",D12="",E12="",F12=""),"",IFERROR(((D12*E12+F12)/C12)^(1/5)-1,"n/a"))</f>
        <v/>
      </c>
      <c r="H12" s="64"/>
      <c r="I12" s="68"/>
      <c r="J12" s="189"/>
      <c r="K12" s="68"/>
      <c r="L12" s="69" t="str">
        <f aca="false">IF(OR(C12="",I12="",J12="",K12=""),"",IFERROR(((I12*J12+K12)/C12)^(1/5)-1,"n/a"))</f>
        <v/>
      </c>
      <c r="M12" s="64"/>
      <c r="N12" s="68"/>
      <c r="O12" s="189"/>
      <c r="P12" s="68"/>
      <c r="Q12" s="69" t="str">
        <f aca="false">IF(OR(C12="",N12="",O12="",P12=""),"",IFERROR(((N12*O12+P12)/C12)^(1/5)-1,"n/a"))</f>
        <v/>
      </c>
      <c r="R12" s="64"/>
      <c r="S12" s="73" t="str">
        <f aca="false">IF(G12="","",IF(G12&gt;0.1,"PASS","FAIL"))</f>
        <v/>
      </c>
      <c r="T12" s="73" t="str">
        <f aca="false">IF(L12="","",IF(L12&gt;=0,"PASS","FAIL"))</f>
        <v/>
      </c>
      <c r="U12" s="73" t="str">
        <f aca="false">IF(COUNTA(H12,M12,R12)=0,"",IF((COUNTIF(H12,"Likely")+COUNTIF(M12,"Likely")+COUNTIF(R12,"Likely"))=1,"OK","CHECK TAGS"))</f>
        <v/>
      </c>
    </row>
    <row r="13" customFormat="false" ht="15" hidden="false" customHeight="true" outlineLevel="0" collapsed="false">
      <c r="A13" s="63"/>
      <c r="B13" s="71"/>
      <c r="C13" s="68"/>
      <c r="D13" s="68"/>
      <c r="E13" s="189"/>
      <c r="F13" s="68"/>
      <c r="G13" s="69" t="str">
        <f aca="false">IF(OR(C13="",D13="",E13="",F13=""),"",IFERROR(((D13*E13+F13)/C13)^(1/5)-1,"n/a"))</f>
        <v/>
      </c>
      <c r="H13" s="64"/>
      <c r="I13" s="68"/>
      <c r="J13" s="189"/>
      <c r="K13" s="68"/>
      <c r="L13" s="69" t="str">
        <f aca="false">IF(OR(C13="",I13="",J13="",K13=""),"",IFERROR(((I13*J13+K13)/C13)^(1/5)-1,"n/a"))</f>
        <v/>
      </c>
      <c r="M13" s="64"/>
      <c r="N13" s="68"/>
      <c r="O13" s="189"/>
      <c r="P13" s="68"/>
      <c r="Q13" s="69" t="str">
        <f aca="false">IF(OR(C13="",N13="",O13="",P13=""),"",IFERROR(((N13*O13+P13)/C13)^(1/5)-1,"n/a"))</f>
        <v/>
      </c>
      <c r="R13" s="64"/>
      <c r="S13" s="73" t="str">
        <f aca="false">IF(G13="","",IF(G13&gt;0.1,"PASS","FAIL"))</f>
        <v/>
      </c>
      <c r="T13" s="73" t="str">
        <f aca="false">IF(L13="","",IF(L13&gt;=0,"PASS","FAIL"))</f>
        <v/>
      </c>
      <c r="U13" s="73" t="str">
        <f aca="false">IF(COUNTA(H13,M13,R13)=0,"",IF((COUNTIF(H13,"Likely")+COUNTIF(M13,"Likely")+COUNTIF(R13,"Likely"))=1,"OK","CHECK TAGS"))</f>
        <v/>
      </c>
    </row>
    <row r="14" customFormat="false" ht="15" hidden="false" customHeight="true" outlineLevel="0" collapsed="false">
      <c r="A14" s="63"/>
      <c r="B14" s="71"/>
      <c r="C14" s="68"/>
      <c r="D14" s="68"/>
      <c r="E14" s="189"/>
      <c r="F14" s="68"/>
      <c r="G14" s="69" t="str">
        <f aca="false">IF(OR(C14="",D14="",E14="",F14=""),"",IFERROR(((D14*E14+F14)/C14)^(1/5)-1,"n/a"))</f>
        <v/>
      </c>
      <c r="H14" s="64"/>
      <c r="I14" s="68"/>
      <c r="J14" s="189"/>
      <c r="K14" s="68"/>
      <c r="L14" s="69" t="str">
        <f aca="false">IF(OR(C14="",I14="",J14="",K14=""),"",IFERROR(((I14*J14+K14)/C14)^(1/5)-1,"n/a"))</f>
        <v/>
      </c>
      <c r="M14" s="64"/>
      <c r="N14" s="68"/>
      <c r="O14" s="189"/>
      <c r="P14" s="68"/>
      <c r="Q14" s="69" t="str">
        <f aca="false">IF(OR(C14="",N14="",O14="",P14=""),"",IFERROR(((N14*O14+P14)/C14)^(1/5)-1,"n/a"))</f>
        <v/>
      </c>
      <c r="R14" s="64"/>
      <c r="S14" s="73" t="str">
        <f aca="false">IF(G14="","",IF(G14&gt;0.1,"PASS","FAIL"))</f>
        <v/>
      </c>
      <c r="T14" s="73" t="str">
        <f aca="false">IF(L14="","",IF(L14&gt;=0,"PASS","FAIL"))</f>
        <v/>
      </c>
      <c r="U14" s="73" t="str">
        <f aca="false">IF(COUNTA(H14,M14,R14)=0,"",IF((COUNTIF(H14,"Likely")+COUNTIF(M14,"Likely")+COUNTIF(R14,"Likely"))=1,"OK","CHECK TAGS"))</f>
        <v/>
      </c>
    </row>
    <row r="15" customFormat="false" ht="15" hidden="false" customHeight="true" outlineLevel="0" collapsed="false">
      <c r="A15" s="63"/>
      <c r="B15" s="71"/>
      <c r="C15" s="68"/>
      <c r="D15" s="68"/>
      <c r="E15" s="189"/>
      <c r="F15" s="68"/>
      <c r="G15" s="69" t="str">
        <f aca="false">IF(OR(C15="",D15="",E15="",F15=""),"",IFERROR(((D15*E15+F15)/C15)^(1/5)-1,"n/a"))</f>
        <v/>
      </c>
      <c r="H15" s="64"/>
      <c r="I15" s="68"/>
      <c r="J15" s="189"/>
      <c r="K15" s="68"/>
      <c r="L15" s="69" t="str">
        <f aca="false">IF(OR(C15="",I15="",J15="",K15=""),"",IFERROR(((I15*J15+K15)/C15)^(1/5)-1,"n/a"))</f>
        <v/>
      </c>
      <c r="M15" s="64"/>
      <c r="N15" s="68"/>
      <c r="O15" s="189"/>
      <c r="P15" s="68"/>
      <c r="Q15" s="69" t="str">
        <f aca="false">IF(OR(C15="",N15="",O15="",P15=""),"",IFERROR(((N15*O15+P15)/C15)^(1/5)-1,"n/a"))</f>
        <v/>
      </c>
      <c r="R15" s="64"/>
      <c r="S15" s="73" t="str">
        <f aca="false">IF(G15="","",IF(G15&gt;0.1,"PASS","FAIL"))</f>
        <v/>
      </c>
      <c r="T15" s="73" t="str">
        <f aca="false">IF(L15="","",IF(L15&gt;=0,"PASS","FAIL"))</f>
        <v/>
      </c>
      <c r="U15" s="73" t="str">
        <f aca="false">IF(COUNTA(H15,M15,R15)=0,"",IF((COUNTIF(H15,"Likely")+COUNTIF(M15,"Likely")+COUNTIF(R15,"Likely"))=1,"OK","CHECK TAGS"))</f>
        <v/>
      </c>
    </row>
    <row r="16" customFormat="false" ht="15" hidden="false" customHeight="true" outlineLevel="0" collapsed="false">
      <c r="A16" s="63"/>
      <c r="B16" s="71"/>
      <c r="C16" s="68"/>
      <c r="D16" s="68"/>
      <c r="E16" s="189"/>
      <c r="F16" s="68"/>
      <c r="G16" s="69" t="str">
        <f aca="false">IF(OR(C16="",D16="",E16="",F16=""),"",IFERROR(((D16*E16+F16)/C16)^(1/5)-1,"n/a"))</f>
        <v/>
      </c>
      <c r="H16" s="64"/>
      <c r="I16" s="68"/>
      <c r="J16" s="189"/>
      <c r="K16" s="68"/>
      <c r="L16" s="69" t="str">
        <f aca="false">IF(OR(C16="",I16="",J16="",K16=""),"",IFERROR(((I16*J16+K16)/C16)^(1/5)-1,"n/a"))</f>
        <v/>
      </c>
      <c r="M16" s="64"/>
      <c r="N16" s="68"/>
      <c r="O16" s="189"/>
      <c r="P16" s="68"/>
      <c r="Q16" s="69" t="str">
        <f aca="false">IF(OR(C16="",N16="",O16="",P16=""),"",IFERROR(((N16*O16+P16)/C16)^(1/5)-1,"n/a"))</f>
        <v/>
      </c>
      <c r="R16" s="64"/>
      <c r="S16" s="73" t="str">
        <f aca="false">IF(G16="","",IF(G16&gt;0.1,"PASS","FAIL"))</f>
        <v/>
      </c>
      <c r="T16" s="73" t="str">
        <f aca="false">IF(L16="","",IF(L16&gt;=0,"PASS","FAIL"))</f>
        <v/>
      </c>
      <c r="U16" s="73" t="str">
        <f aca="false">IF(COUNTA(H16,M16,R16)=0,"",IF((COUNTIF(H16,"Likely")+COUNTIF(M16,"Likely")+COUNTIF(R16,"Likely"))=1,"OK","CHECK TAGS"))</f>
        <v/>
      </c>
    </row>
    <row r="17" customFormat="false" ht="15" hidden="false" customHeight="true" outlineLevel="0" collapsed="false">
      <c r="A17" s="63"/>
      <c r="B17" s="71"/>
      <c r="C17" s="68"/>
      <c r="D17" s="68"/>
      <c r="E17" s="189"/>
      <c r="F17" s="68"/>
      <c r="G17" s="69" t="str">
        <f aca="false">IF(OR(C17="",D17="",E17="",F17=""),"",IFERROR(((D17*E17+F17)/C17)^(1/5)-1,"n/a"))</f>
        <v/>
      </c>
      <c r="H17" s="64"/>
      <c r="I17" s="68"/>
      <c r="J17" s="189"/>
      <c r="K17" s="68"/>
      <c r="L17" s="69" t="str">
        <f aca="false">IF(OR(C17="",I17="",J17="",K17=""),"",IFERROR(((I17*J17+K17)/C17)^(1/5)-1,"n/a"))</f>
        <v/>
      </c>
      <c r="M17" s="64"/>
      <c r="N17" s="68"/>
      <c r="O17" s="189"/>
      <c r="P17" s="68"/>
      <c r="Q17" s="69" t="str">
        <f aca="false">IF(OR(C17="",N17="",O17="",P17=""),"",IFERROR(((N17*O17+P17)/C17)^(1/5)-1,"n/a"))</f>
        <v/>
      </c>
      <c r="R17" s="64"/>
      <c r="S17" s="73" t="str">
        <f aca="false">IF(G17="","",IF(G17&gt;0.1,"PASS","FAIL"))</f>
        <v/>
      </c>
      <c r="T17" s="73" t="str">
        <f aca="false">IF(L17="","",IF(L17&gt;=0,"PASS","FAIL"))</f>
        <v/>
      </c>
      <c r="U17" s="73" t="str">
        <f aca="false">IF(COUNTA(H17,M17,R17)=0,"",IF((COUNTIF(H17,"Likely")+COUNTIF(M17,"Likely")+COUNTIF(R17,"Likely"))=1,"OK","CHECK TAGS"))</f>
        <v/>
      </c>
    </row>
    <row r="18" customFormat="false" ht="15" hidden="false" customHeight="true" outlineLevel="0" collapsed="false">
      <c r="A18" s="63"/>
      <c r="B18" s="71"/>
      <c r="C18" s="68"/>
      <c r="D18" s="68"/>
      <c r="E18" s="189"/>
      <c r="F18" s="68"/>
      <c r="G18" s="69" t="str">
        <f aca="false">IF(OR(C18="",D18="",E18="",F18=""),"",IFERROR(((D18*E18+F18)/C18)^(1/5)-1,"n/a"))</f>
        <v/>
      </c>
      <c r="H18" s="64"/>
      <c r="I18" s="68"/>
      <c r="J18" s="189"/>
      <c r="K18" s="68"/>
      <c r="L18" s="69" t="str">
        <f aca="false">IF(OR(C18="",I18="",J18="",K18=""),"",IFERROR(((I18*J18+K18)/C18)^(1/5)-1,"n/a"))</f>
        <v/>
      </c>
      <c r="M18" s="64"/>
      <c r="N18" s="68"/>
      <c r="O18" s="189"/>
      <c r="P18" s="68"/>
      <c r="Q18" s="69" t="str">
        <f aca="false">IF(OR(C18="",N18="",O18="",P18=""),"",IFERROR(((N18*O18+P18)/C18)^(1/5)-1,"n/a"))</f>
        <v/>
      </c>
      <c r="R18" s="64"/>
      <c r="S18" s="73" t="str">
        <f aca="false">IF(G18="","",IF(G18&gt;0.1,"PASS","FAIL"))</f>
        <v/>
      </c>
      <c r="T18" s="73" t="str">
        <f aca="false">IF(L18="","",IF(L18&gt;=0,"PASS","FAIL"))</f>
        <v/>
      </c>
      <c r="U18" s="73" t="str">
        <f aca="false">IF(COUNTA(H18,M18,R18)=0,"",IF((COUNTIF(H18,"Likely")+COUNTIF(M18,"Likely")+COUNTIF(R18,"Likely"))=1,"OK","CHECK TAGS"))</f>
        <v/>
      </c>
    </row>
    <row r="19" customFormat="false" ht="15" hidden="false" customHeight="true" outlineLevel="0" collapsed="false">
      <c r="A19" s="63"/>
      <c r="B19" s="71"/>
      <c r="C19" s="68"/>
      <c r="D19" s="68"/>
      <c r="E19" s="189"/>
      <c r="F19" s="68"/>
      <c r="G19" s="69" t="str">
        <f aca="false">IF(OR(C19="",D19="",E19="",F19=""),"",IFERROR(((D19*E19+F19)/C19)^(1/5)-1,"n/a"))</f>
        <v/>
      </c>
      <c r="H19" s="64"/>
      <c r="I19" s="68"/>
      <c r="J19" s="189"/>
      <c r="K19" s="68"/>
      <c r="L19" s="69" t="str">
        <f aca="false">IF(OR(C19="",I19="",J19="",K19=""),"",IFERROR(((I19*J19+K19)/C19)^(1/5)-1,"n/a"))</f>
        <v/>
      </c>
      <c r="M19" s="64"/>
      <c r="N19" s="68"/>
      <c r="O19" s="189"/>
      <c r="P19" s="68"/>
      <c r="Q19" s="69" t="str">
        <f aca="false">IF(OR(C19="",N19="",O19="",P19=""),"",IFERROR(((N19*O19+P19)/C19)^(1/5)-1,"n/a"))</f>
        <v/>
      </c>
      <c r="R19" s="64"/>
      <c r="S19" s="73" t="str">
        <f aca="false">IF(G19="","",IF(G19&gt;0.1,"PASS","FAIL"))</f>
        <v/>
      </c>
      <c r="T19" s="73" t="str">
        <f aca="false">IF(L19="","",IF(L19&gt;=0,"PASS","FAIL"))</f>
        <v/>
      </c>
      <c r="U19" s="73" t="str">
        <f aca="false">IF(COUNTA(H19,M19,R19)=0,"",IF((COUNTIF(H19,"Likely")+COUNTIF(M19,"Likely")+COUNTIF(R19,"Likely"))=1,"OK","CHECK TAGS"))</f>
        <v/>
      </c>
    </row>
    <row r="20" customFormat="false" ht="15" hidden="false" customHeight="true" outlineLevel="0" collapsed="false">
      <c r="A20" s="63" t="s">
        <v>244</v>
      </c>
      <c r="B20" s="71" t="s">
        <v>514</v>
      </c>
      <c r="C20" s="68" t="n">
        <v>967.17</v>
      </c>
      <c r="D20" s="68" t="n">
        <v>23.11</v>
      </c>
      <c r="E20" s="189" t="n">
        <v>61.48</v>
      </c>
      <c r="F20" s="68" t="n">
        <v>32</v>
      </c>
      <c r="G20" s="69" t="n">
        <f aca="false">IF(OR(C20="",D20="",E20="",F20=""),"",IFERROR(((D20*E20+F20)/C20)^(1/5)-1,"n/a"))</f>
        <v>0.0847777537329333</v>
      </c>
      <c r="H20" s="64" t="s">
        <v>515</v>
      </c>
      <c r="I20" s="68" t="n">
        <v>19.14</v>
      </c>
      <c r="J20" s="189" t="n">
        <v>50</v>
      </c>
      <c r="K20" s="68" t="n">
        <v>28</v>
      </c>
      <c r="L20" s="69" t="n">
        <f aca="false">IF(OR(C20="",I20="",J20="",K20=""),"",IFERROR(((I20*J20+K20)/C20)^(1/5)-1,"n/a"))</f>
        <v>0.00366015400817998</v>
      </c>
      <c r="M20" s="64" t="s">
        <v>515</v>
      </c>
      <c r="N20" s="68" t="n">
        <v>26.51</v>
      </c>
      <c r="O20" s="189" t="n">
        <v>61.48</v>
      </c>
      <c r="P20" s="68" t="n">
        <v>35</v>
      </c>
      <c r="Q20" s="69" t="n">
        <f aca="false">IF(OR(C20="",N20="",O20="",P20=""),"",IFERROR(((N20*O20+P20)/C20)^(1/5)-1,"n/a"))</f>
        <v>0.114740206784953</v>
      </c>
      <c r="R20" s="64" t="s">
        <v>516</v>
      </c>
      <c r="S20" s="73" t="str">
        <f aca="false">IF(G20="","",IF(G20&gt;0.1,"PASS","FAIL"))</f>
        <v>FAIL</v>
      </c>
      <c r="T20" s="73" t="str">
        <f aca="false">IF(L20="","",IF(L20&gt;=0,"PASS","FAIL"))</f>
        <v>PASS</v>
      </c>
      <c r="U20" s="73" t="str">
        <f aca="false">IF(COUNTA(H20,M20,R20)=0,"",IF((COUNTIF(H20,"Likely")+COUNTIF(M20,"Likely")+COUNTIF(R20,"Likely"))=1,"OK","CHECK TAGS"))</f>
        <v>OK</v>
      </c>
    </row>
    <row r="21" customFormat="false" ht="15" hidden="false" customHeight="true" outlineLevel="0" collapsed="false">
      <c r="A21" s="63" t="s">
        <v>119</v>
      </c>
      <c r="B21" s="71" t="s">
        <v>120</v>
      </c>
      <c r="C21" s="68" t="n">
        <v>380.63</v>
      </c>
      <c r="D21" s="68" t="n">
        <v>17.84</v>
      </c>
      <c r="E21" s="189" t="n">
        <v>34.36</v>
      </c>
      <c r="F21" s="68" t="n">
        <v>16</v>
      </c>
      <c r="G21" s="69" t="n">
        <f aca="false">IF(OR(C21="",D21="",E21="",F21=""),"",IFERROR(((D21*E21+F21)/C21)^(1/5)-1,"n/a"))</f>
        <v>0.105673995986338</v>
      </c>
      <c r="H21" s="64" t="s">
        <v>516</v>
      </c>
      <c r="I21" s="68" t="n">
        <v>14.14</v>
      </c>
      <c r="J21" s="189" t="n">
        <v>28</v>
      </c>
      <c r="K21" s="68" t="n">
        <v>14</v>
      </c>
      <c r="L21" s="69" t="n">
        <f aca="false">IF(OR(C21="",I21="",J21="",K21=""),"",IFERROR(((I21*J21+K21)/C21)^(1/5)-1,"n/a"))</f>
        <v>0.0149373117952127</v>
      </c>
      <c r="M21" s="64" t="s">
        <v>515</v>
      </c>
      <c r="N21" s="68" t="n">
        <v>21.33</v>
      </c>
      <c r="O21" s="189" t="n">
        <v>38</v>
      </c>
      <c r="P21" s="68" t="n">
        <v>18</v>
      </c>
      <c r="Q21" s="69" t="n">
        <f aca="false">IF(OR(C21="",N21="",O21="",P21=""),"",IFERROR(((N21*O21+P21)/C21)^(1/5)-1,"n/a"))</f>
        <v>0.168320757920451</v>
      </c>
      <c r="R21" s="64" t="s">
        <v>515</v>
      </c>
      <c r="S21" s="73" t="str">
        <f aca="false">IF(G21="","",IF(G21&gt;0.1,"PASS","FAIL"))</f>
        <v>PASS</v>
      </c>
      <c r="T21" s="73" t="str">
        <f aca="false">IF(L21="","",IF(L21&gt;=0,"PASS","FAIL"))</f>
        <v>PASS</v>
      </c>
      <c r="U21" s="73" t="str">
        <f aca="false">IF(COUNTA(H21,M21,R21)=0,"",IF((COUNTIF(H21,"Likely")+COUNTIF(M21,"Likely")+COUNTIF(R21,"Likely"))=1,"OK","CHECK TAGS"))</f>
        <v>OK</v>
      </c>
    </row>
    <row r="22" customFormat="false" ht="15" hidden="false" customHeight="true" outlineLevel="0" collapsed="false">
      <c r="A22" s="63"/>
      <c r="B22" s="71"/>
      <c r="C22" s="68"/>
      <c r="D22" s="68"/>
      <c r="E22" s="189"/>
      <c r="F22" s="68"/>
      <c r="G22" s="69" t="str">
        <f aca="false">IF(OR(C22="",D22="",E22="",F22=""),"",IFERROR(((D22*E22+F22)/C22)^(1/5)-1,"n/a"))</f>
        <v/>
      </c>
      <c r="H22" s="64"/>
      <c r="I22" s="68"/>
      <c r="J22" s="189"/>
      <c r="K22" s="68"/>
      <c r="L22" s="69" t="str">
        <f aca="false">IF(OR(C22="",I22="",J22="",K22=""),"",IFERROR(((I22*J22+K22)/C22)^(1/5)-1,"n/a"))</f>
        <v/>
      </c>
      <c r="M22" s="64"/>
      <c r="N22" s="68"/>
      <c r="O22" s="189"/>
      <c r="P22" s="68"/>
      <c r="Q22" s="69" t="str">
        <f aca="false">IF(OR(C22="",N22="",O22="",P22=""),"",IFERROR(((N22*O22+P22)/C22)^(1/5)-1,"n/a"))</f>
        <v/>
      </c>
      <c r="R22" s="64"/>
      <c r="S22" s="73" t="str">
        <f aca="false">IF(G22="","",IF(G22&gt;0.1,"PASS","FAIL"))</f>
        <v/>
      </c>
      <c r="T22" s="73" t="str">
        <f aca="false">IF(L22="","",IF(L22&gt;=0,"PASS","FAIL"))</f>
        <v/>
      </c>
      <c r="U22" s="73" t="str">
        <f aca="false">IF(COUNTA(H22,M22,R22)=0,"",IF((COUNTIF(H22,"Likely")+COUNTIF(M22,"Likely")+COUNTIF(R22,"Likely"))=1,"OK","CHECK TAGS"))</f>
        <v/>
      </c>
    </row>
    <row r="23" customFormat="false" ht="15" hidden="false" customHeight="true" outlineLevel="0" collapsed="false">
      <c r="A23" s="63"/>
      <c r="B23" s="71"/>
      <c r="C23" s="68"/>
      <c r="D23" s="68"/>
      <c r="E23" s="189"/>
      <c r="F23" s="68"/>
      <c r="G23" s="69" t="str">
        <f aca="false">IF(OR(C23="",D23="",E23="",F23=""),"",IFERROR(((D23*E23+F23)/C23)^(1/5)-1,"n/a"))</f>
        <v/>
      </c>
      <c r="H23" s="64"/>
      <c r="I23" s="68"/>
      <c r="J23" s="189"/>
      <c r="K23" s="68"/>
      <c r="L23" s="69" t="str">
        <f aca="false">IF(OR(C23="",I23="",J23="",K23=""),"",IFERROR(((I23*J23+K23)/C23)^(1/5)-1,"n/a"))</f>
        <v/>
      </c>
      <c r="M23" s="64"/>
      <c r="N23" s="68"/>
      <c r="O23" s="189"/>
      <c r="P23" s="68"/>
      <c r="Q23" s="69" t="str">
        <f aca="false">IF(OR(C23="",N23="",O23="",P23=""),"",IFERROR(((N23*O23+P23)/C23)^(1/5)-1,"n/a"))</f>
        <v/>
      </c>
      <c r="R23" s="64"/>
      <c r="S23" s="73" t="str">
        <f aca="false">IF(G23="","",IF(G23&gt;0.1,"PASS","FAIL"))</f>
        <v/>
      </c>
      <c r="T23" s="73" t="str">
        <f aca="false">IF(L23="","",IF(L23&gt;=0,"PASS","FAIL"))</f>
        <v/>
      </c>
      <c r="U23" s="73" t="str">
        <f aca="false">IF(COUNTA(H23,M23,R23)=0,"",IF((COUNTIF(H23,"Likely")+COUNTIF(M23,"Likely")+COUNTIF(R23,"Likely"))=1,"OK","CHECK TAGS"))</f>
        <v/>
      </c>
    </row>
    <row r="24" customFormat="false" ht="15" hidden="false" customHeight="true" outlineLevel="0" collapsed="false">
      <c r="A24" s="190"/>
      <c r="B24" s="191"/>
      <c r="C24" s="192"/>
      <c r="D24" s="192"/>
      <c r="E24" s="193"/>
      <c r="F24" s="192"/>
      <c r="G24" s="194" t="str">
        <f aca="false">IF(OR(C24="",D24="",E24="",F24=""),"",IFERROR(((D24*E24+F24)/C24)^(1/5)-1,"n/a"))</f>
        <v/>
      </c>
      <c r="H24" s="195"/>
      <c r="I24" s="192"/>
      <c r="J24" s="193"/>
      <c r="K24" s="192"/>
      <c r="L24" s="194" t="str">
        <f aca="false">IF(OR(C24="",I24="",J24="",K24=""),"",IFERROR(((I24*J24+K24)/C24)^(1/5)-1,"n/a"))</f>
        <v/>
      </c>
      <c r="M24" s="195"/>
      <c r="N24" s="192"/>
      <c r="O24" s="193"/>
      <c r="P24" s="192"/>
      <c r="Q24" s="194" t="str">
        <f aca="false">IF(OR(C24="",N24="",O24="",P24=""),"",IFERROR(((N24*O24+P24)/C24)^(1/5)-1,"n/a"))</f>
        <v/>
      </c>
      <c r="R24" s="196"/>
      <c r="S24" s="73" t="str">
        <f aca="false">IF(G24="","",IF(G24&gt;0.1,"PASS","FAIL"))</f>
        <v/>
      </c>
      <c r="T24" s="73" t="str">
        <f aca="false">IF(L24="","",IF(L24&gt;=0,"PASS","FAIL"))</f>
        <v/>
      </c>
      <c r="U24" s="73" t="str">
        <f aca="false">IF(COUNTA(H24,M24,R24)=0,"",IF((COUNTIF(H24,"Likely")+COUNTIF(M24,"Likely")+COUNTIF(R24,"Likely"))=1,"OK","CHECK TAGS"))</f>
        <v/>
      </c>
    </row>
    <row r="25" customFormat="false" ht="15" hidden="false" customHeight="true" outlineLevel="0" collapsed="false">
      <c r="A25" s="190"/>
      <c r="B25" s="191"/>
      <c r="C25" s="192"/>
      <c r="D25" s="192"/>
      <c r="E25" s="193"/>
      <c r="F25" s="192"/>
      <c r="G25" s="194" t="str">
        <f aca="false">IF(OR(C25="",D25="",E25="",F25=""),"",IFERROR(((D25*E25+F25)/C25)^(1/5)-1,"n/a"))</f>
        <v/>
      </c>
      <c r="H25" s="195"/>
      <c r="I25" s="192"/>
      <c r="J25" s="193"/>
      <c r="K25" s="192"/>
      <c r="L25" s="194" t="str">
        <f aca="false">IF(OR(C25="",I25="",J25="",K25=""),"",IFERROR(((I25*J25+K25)/C25)^(1/5)-1,"n/a"))</f>
        <v/>
      </c>
      <c r="M25" s="195"/>
      <c r="N25" s="192"/>
      <c r="O25" s="193"/>
      <c r="P25" s="192"/>
      <c r="Q25" s="194" t="str">
        <f aca="false">IF(OR(C25="",N25="",O25="",P25=""),"",IFERROR(((N25*O25+P25)/C25)^(1/5)-1,"n/a"))</f>
        <v/>
      </c>
      <c r="R25" s="196"/>
      <c r="S25" s="73" t="str">
        <f aca="false">IF(G25="","",IF(G25&gt;0.1,"PASS","FAIL"))</f>
        <v/>
      </c>
      <c r="T25" s="73" t="str">
        <f aca="false">IF(L25="","",IF(L25&gt;=0,"PASS","FAIL"))</f>
        <v/>
      </c>
      <c r="U25" s="73" t="str">
        <f aca="false">IF(COUNTA(H25,M25,R25)=0,"",IF((COUNTIF(H25,"Likely")+COUNTIF(M25,"Likely")+COUNTIF(R25,"Likely"))=1,"OK","CHECK TAGS"))</f>
        <v/>
      </c>
    </row>
    <row r="26" customFormat="false" ht="15" hidden="false" customHeight="true" outlineLevel="0" collapsed="false">
      <c r="A26" s="190"/>
      <c r="B26" s="191"/>
      <c r="C26" s="192"/>
      <c r="D26" s="192"/>
      <c r="E26" s="193"/>
      <c r="F26" s="192"/>
      <c r="G26" s="194" t="str">
        <f aca="false">IF(OR(C26="",D26="",E26="",F26=""),"",IFERROR(((D26*E26+F26)/C26)^(1/5)-1,"n/a"))</f>
        <v/>
      </c>
      <c r="H26" s="195"/>
      <c r="I26" s="192"/>
      <c r="J26" s="193"/>
      <c r="K26" s="192"/>
      <c r="L26" s="194" t="str">
        <f aca="false">IF(OR(C26="",I26="",J26="",K26=""),"",IFERROR(((I26*J26+K26)/C26)^(1/5)-1,"n/a"))</f>
        <v/>
      </c>
      <c r="M26" s="195"/>
      <c r="N26" s="192"/>
      <c r="O26" s="193"/>
      <c r="P26" s="192"/>
      <c r="Q26" s="194" t="str">
        <f aca="false">IF(OR(C26="",N26="",O26="",P26=""),"",IFERROR(((N26*O26+P26)/C26)^(1/5)-1,"n/a"))</f>
        <v/>
      </c>
      <c r="R26" s="196"/>
      <c r="S26" s="73" t="str">
        <f aca="false">IF(G26="","",IF(G26&gt;0.1,"PASS","FAIL"))</f>
        <v/>
      </c>
      <c r="T26" s="73" t="str">
        <f aca="false">IF(L26="","",IF(L26&gt;=0,"PASS","FAIL"))</f>
        <v/>
      </c>
      <c r="U26" s="73" t="str">
        <f aca="false">IF(COUNTA(H26,M26,R26)=0,"",IF((COUNTIF(H26,"Likely")+COUNTIF(M26,"Likely")+COUNTIF(R26,"Likely"))=1,"OK","CHECK TAGS"))</f>
        <v/>
      </c>
    </row>
    <row r="27" customFormat="false" ht="15" hidden="false" customHeight="true" outlineLevel="0" collapsed="false">
      <c r="A27" s="190"/>
      <c r="B27" s="191"/>
      <c r="C27" s="192"/>
      <c r="D27" s="192"/>
      <c r="E27" s="193"/>
      <c r="F27" s="192"/>
      <c r="G27" s="194" t="str">
        <f aca="false">IF(OR(C27="",D27="",E27="",F27=""),"",IFERROR(((D27*E27+F27)/C27)^(1/5)-1,"n/a"))</f>
        <v/>
      </c>
      <c r="H27" s="195"/>
      <c r="I27" s="192"/>
      <c r="J27" s="193"/>
      <c r="K27" s="192"/>
      <c r="L27" s="194" t="str">
        <f aca="false">IF(OR(C27="",I27="",J27="",K27=""),"",IFERROR(((I27*J27+K27)/C27)^(1/5)-1,"n/a"))</f>
        <v/>
      </c>
      <c r="M27" s="195"/>
      <c r="N27" s="192"/>
      <c r="O27" s="193"/>
      <c r="P27" s="192"/>
      <c r="Q27" s="194" t="str">
        <f aca="false">IF(OR(C27="",N27="",O27="",P27=""),"",IFERROR(((N27*O27+P27)/C27)^(1/5)-1,"n/a"))</f>
        <v/>
      </c>
      <c r="R27" s="196"/>
      <c r="S27" s="73" t="str">
        <f aca="false">IF(G27="","",IF(G27&gt;0.1,"PASS","FAIL"))</f>
        <v/>
      </c>
      <c r="T27" s="73" t="str">
        <f aca="false">IF(L27="","",IF(L27&gt;=0,"PASS","FAIL"))</f>
        <v/>
      </c>
      <c r="U27" s="73" t="str">
        <f aca="false">IF(COUNTA(H27,M27,R27)=0,"",IF((COUNTIF(H27,"Likely")+COUNTIF(M27,"Likely")+COUNTIF(R27,"Likely"))=1,"OK","CHECK TAGS"))</f>
        <v/>
      </c>
    </row>
    <row r="28" customFormat="false" ht="15" hidden="false" customHeight="true" outlineLevel="0" collapsed="false">
      <c r="A28" s="190"/>
      <c r="B28" s="191"/>
      <c r="C28" s="192"/>
      <c r="D28" s="192"/>
      <c r="E28" s="193"/>
      <c r="F28" s="192"/>
      <c r="G28" s="194" t="str">
        <f aca="false">IF(OR(C28="",D28="",E28="",F28=""),"",IFERROR(((D28*E28+F28)/C28)^(1/5)-1,"n/a"))</f>
        <v/>
      </c>
      <c r="H28" s="195"/>
      <c r="I28" s="192"/>
      <c r="J28" s="193"/>
      <c r="K28" s="192"/>
      <c r="L28" s="194" t="str">
        <f aca="false">IF(OR(C28="",I28="",J28="",K28=""),"",IFERROR(((I28*J28+K28)/C28)^(1/5)-1,"n/a"))</f>
        <v/>
      </c>
      <c r="M28" s="195"/>
      <c r="N28" s="192"/>
      <c r="O28" s="193"/>
      <c r="P28" s="192"/>
      <c r="Q28" s="194" t="str">
        <f aca="false">IF(OR(C28="",N28="",O28="",P28=""),"",IFERROR(((N28*O28+P28)/C28)^(1/5)-1,"n/a"))</f>
        <v/>
      </c>
      <c r="R28" s="196"/>
      <c r="S28" s="73" t="str">
        <f aca="false">IF(G28="","",IF(G28&gt;0.1,"PASS","FAIL"))</f>
        <v/>
      </c>
      <c r="T28" s="73" t="str">
        <f aca="false">IF(L28="","",IF(L28&gt;=0,"PASS","FAIL"))</f>
        <v/>
      </c>
      <c r="U28" s="73" t="str">
        <f aca="false">IF(COUNTA(H28,M28,R28)=0,"",IF((COUNTIF(H28,"Likely")+COUNTIF(M28,"Likely")+COUNTIF(R28,"Likely"))=1,"OK","CHECK TAGS"))</f>
        <v/>
      </c>
    </row>
    <row r="29" customFormat="false" ht="15" hidden="false" customHeight="true" outlineLevel="0" collapsed="false">
      <c r="A29" s="190"/>
      <c r="B29" s="191"/>
      <c r="C29" s="192"/>
      <c r="D29" s="192"/>
      <c r="E29" s="193"/>
      <c r="F29" s="192"/>
      <c r="G29" s="194" t="str">
        <f aca="false">IF(OR(C29="",D29="",E29="",F29=""),"",IFERROR(((D29*E29+F29)/C29)^(1/5)-1,"n/a"))</f>
        <v/>
      </c>
      <c r="H29" s="195"/>
      <c r="I29" s="192"/>
      <c r="J29" s="193"/>
      <c r="K29" s="192"/>
      <c r="L29" s="194" t="str">
        <f aca="false">IF(OR(C29="",I29="",J29="",K29=""),"",IFERROR(((I29*J29+K29)/C29)^(1/5)-1,"n/a"))</f>
        <v/>
      </c>
      <c r="M29" s="195"/>
      <c r="N29" s="192"/>
      <c r="O29" s="193"/>
      <c r="P29" s="192"/>
      <c r="Q29" s="194" t="str">
        <f aca="false">IF(OR(C29="",N29="",O29="",P29=""),"",IFERROR(((N29*O29+P29)/C29)^(1/5)-1,"n/a"))</f>
        <v/>
      </c>
      <c r="R29" s="196"/>
      <c r="S29" s="73" t="str">
        <f aca="false">IF(G29="","",IF(G29&gt;0.1,"PASS","FAIL"))</f>
        <v/>
      </c>
      <c r="T29" s="73" t="str">
        <f aca="false">IF(L29="","",IF(L29&gt;=0,"PASS","FAIL"))</f>
        <v/>
      </c>
      <c r="U29" s="73" t="str">
        <f aca="false">IF(COUNTA(H29,M29,R29)=0,"",IF((COUNTIF(H29,"Likely")+COUNTIF(M29,"Likely")+COUNTIF(R29,"Likely"))=1,"OK","CHECK TAGS"))</f>
        <v/>
      </c>
    </row>
    <row r="30" customFormat="false" ht="15" hidden="false" customHeight="true" outlineLevel="0" collapsed="false">
      <c r="A30" s="190"/>
      <c r="B30" s="191"/>
      <c r="C30" s="192"/>
      <c r="D30" s="192"/>
      <c r="E30" s="193"/>
      <c r="F30" s="192"/>
      <c r="G30" s="194" t="str">
        <f aca="false">IF(OR(C30="",D30="",E30="",F30=""),"",IFERROR(((D30*E30+F30)/C30)^(1/5)-1,"n/a"))</f>
        <v/>
      </c>
      <c r="H30" s="195"/>
      <c r="I30" s="192"/>
      <c r="J30" s="193"/>
      <c r="K30" s="192"/>
      <c r="L30" s="194" t="str">
        <f aca="false">IF(OR(C30="",I30="",J30="",K30=""),"",IFERROR(((I30*J30+K30)/C30)^(1/5)-1,"n/a"))</f>
        <v/>
      </c>
      <c r="M30" s="195"/>
      <c r="N30" s="192"/>
      <c r="O30" s="193"/>
      <c r="P30" s="192"/>
      <c r="Q30" s="194" t="str">
        <f aca="false">IF(OR(C30="",N30="",O30="",P30=""),"",IFERROR(((N30*O30+P30)/C30)^(1/5)-1,"n/a"))</f>
        <v/>
      </c>
      <c r="R30" s="196"/>
      <c r="S30" s="73" t="str">
        <f aca="false">IF(G30="","",IF(G30&gt;0.1,"PASS","FAIL"))</f>
        <v/>
      </c>
      <c r="T30" s="73" t="str">
        <f aca="false">IF(L30="","",IF(L30&gt;=0,"PASS","FAIL"))</f>
        <v/>
      </c>
      <c r="U30" s="73" t="str">
        <f aca="false">IF(COUNTA(H30,M30,R30)=0,"",IF((COUNTIF(H30,"Likely")+COUNTIF(M30,"Likely")+COUNTIF(R30,"Likely"))=1,"OK","CHECK TAGS"))</f>
        <v/>
      </c>
    </row>
    <row r="31" customFormat="false" ht="15" hidden="false" customHeight="true" outlineLevel="0" collapsed="false">
      <c r="A31" s="190"/>
      <c r="B31" s="191"/>
      <c r="C31" s="192"/>
      <c r="D31" s="192"/>
      <c r="E31" s="193"/>
      <c r="F31" s="192"/>
      <c r="G31" s="194" t="str">
        <f aca="false">IF(OR(C31="",D31="",E31="",F31=""),"",IFERROR(((D31*E31+F31)/C31)^(1/5)-1,"n/a"))</f>
        <v/>
      </c>
      <c r="H31" s="195"/>
      <c r="I31" s="192"/>
      <c r="J31" s="193"/>
      <c r="K31" s="192"/>
      <c r="L31" s="194" t="str">
        <f aca="false">IF(OR(C31="",I31="",J31="",K31=""),"",IFERROR(((I31*J31+K31)/C31)^(1/5)-1,"n/a"))</f>
        <v/>
      </c>
      <c r="M31" s="195"/>
      <c r="N31" s="192"/>
      <c r="O31" s="193"/>
      <c r="P31" s="192"/>
      <c r="Q31" s="194" t="str">
        <f aca="false">IF(OR(C31="",N31="",O31="",P31=""),"",IFERROR(((N31*O31+P31)/C31)^(1/5)-1,"n/a"))</f>
        <v/>
      </c>
      <c r="R31" s="196"/>
      <c r="S31" s="73" t="str">
        <f aca="false">IF(G31="","",IF(G31&gt;0.1,"PASS","FAIL"))</f>
        <v/>
      </c>
      <c r="T31" s="73" t="str">
        <f aca="false">IF(L31="","",IF(L31&gt;=0,"PASS","FAIL"))</f>
        <v/>
      </c>
      <c r="U31" s="73" t="str">
        <f aca="false">IF(COUNTA(H31,M31,R31)=0,"",IF((COUNTIF(H31,"Likely")+COUNTIF(M31,"Likely")+COUNTIF(R31,"Likely"))=1,"OK","CHECK TAGS"))</f>
        <v/>
      </c>
    </row>
    <row r="32" customFormat="false" ht="15" hidden="false" customHeight="true" outlineLevel="0" collapsed="false">
      <c r="A32" s="190"/>
      <c r="B32" s="191"/>
      <c r="C32" s="192"/>
      <c r="D32" s="192"/>
      <c r="E32" s="193"/>
      <c r="F32" s="192"/>
      <c r="G32" s="194" t="str">
        <f aca="false">IF(OR(C32="",D32="",E32="",F32=""),"",IFERROR(((D32*E32+F32)/C32)^(1/5)-1,"n/a"))</f>
        <v/>
      </c>
      <c r="H32" s="195"/>
      <c r="I32" s="192"/>
      <c r="J32" s="193"/>
      <c r="K32" s="192"/>
      <c r="L32" s="194" t="str">
        <f aca="false">IF(OR(C32="",I32="",J32="",K32=""),"",IFERROR(((I32*J32+K32)/C32)^(1/5)-1,"n/a"))</f>
        <v/>
      </c>
      <c r="M32" s="195"/>
      <c r="N32" s="192"/>
      <c r="O32" s="193"/>
      <c r="P32" s="192"/>
      <c r="Q32" s="194" t="str">
        <f aca="false">IF(OR(C32="",N32="",O32="",P32=""),"",IFERROR(((N32*O32+P32)/C32)^(1/5)-1,"n/a"))</f>
        <v/>
      </c>
      <c r="R32" s="196"/>
      <c r="S32" s="73" t="str">
        <f aca="false">IF(G32="","",IF(G32&gt;0.1,"PASS","FAIL"))</f>
        <v/>
      </c>
      <c r="T32" s="73" t="str">
        <f aca="false">IF(L32="","",IF(L32&gt;=0,"PASS","FAIL"))</f>
        <v/>
      </c>
      <c r="U32" s="73" t="str">
        <f aca="false">IF(COUNTA(H32,M32,R32)=0,"",IF((COUNTIF(H32,"Likely")+COUNTIF(M32,"Likely")+COUNTIF(R32,"Likely"))=1,"OK","CHECK TAGS"))</f>
        <v/>
      </c>
    </row>
    <row r="33" customFormat="false" ht="15" hidden="false" customHeight="true" outlineLevel="0" collapsed="false">
      <c r="A33" s="190"/>
      <c r="B33" s="191"/>
      <c r="C33" s="192"/>
      <c r="D33" s="192"/>
      <c r="E33" s="193"/>
      <c r="F33" s="192"/>
      <c r="G33" s="194" t="str">
        <f aca="false">IF(OR(C33="",D33="",E33="",F33=""),"",IFERROR(((D33*E33+F33)/C33)^(1/5)-1,"n/a"))</f>
        <v/>
      </c>
      <c r="H33" s="195"/>
      <c r="I33" s="192"/>
      <c r="J33" s="193"/>
      <c r="K33" s="192"/>
      <c r="L33" s="194" t="str">
        <f aca="false">IF(OR(C33="",I33="",J33="",K33=""),"",IFERROR(((I33*J33+K33)/C33)^(1/5)-1,"n/a"))</f>
        <v/>
      </c>
      <c r="M33" s="195"/>
      <c r="N33" s="192"/>
      <c r="O33" s="193"/>
      <c r="P33" s="192"/>
      <c r="Q33" s="194" t="str">
        <f aca="false">IF(OR(C33="",N33="",O33="",P33=""),"",IFERROR(((N33*O33+P33)/C33)^(1/5)-1,"n/a"))</f>
        <v/>
      </c>
      <c r="R33" s="196"/>
      <c r="S33" s="73" t="str">
        <f aca="false">IF(G33="","",IF(G33&gt;0.1,"PASS","FAIL"))</f>
        <v/>
      </c>
      <c r="T33" s="73" t="str">
        <f aca="false">IF(L33="","",IF(L33&gt;=0,"PASS","FAIL"))</f>
        <v/>
      </c>
      <c r="U33" s="73" t="str">
        <f aca="false">IF(COUNTA(H33,M33,R33)=0,"",IF((COUNTIF(H33,"Likely")+COUNTIF(M33,"Likely")+COUNTIF(R33,"Likely"))=1,"OK","CHECK TAGS"))</f>
        <v/>
      </c>
    </row>
    <row r="34" customFormat="false" ht="15" hidden="false" customHeight="true" outlineLevel="0" collapsed="false">
      <c r="A34" s="190"/>
      <c r="B34" s="191"/>
      <c r="C34" s="192"/>
      <c r="D34" s="192"/>
      <c r="E34" s="193"/>
      <c r="F34" s="192"/>
      <c r="G34" s="194" t="str">
        <f aca="false">IF(OR(C34="",D34="",E34="",F34=""),"",IFERROR(((D34*E34+F34)/C34)^(1/5)-1,"n/a"))</f>
        <v/>
      </c>
      <c r="H34" s="195"/>
      <c r="I34" s="192"/>
      <c r="J34" s="193"/>
      <c r="K34" s="192"/>
      <c r="L34" s="194" t="str">
        <f aca="false">IF(OR(C34="",I34="",J34="",K34=""),"",IFERROR(((I34*J34+K34)/C34)^(1/5)-1,"n/a"))</f>
        <v/>
      </c>
      <c r="M34" s="195"/>
      <c r="N34" s="192"/>
      <c r="O34" s="193"/>
      <c r="P34" s="192"/>
      <c r="Q34" s="194" t="str">
        <f aca="false">IF(OR(C34="",N34="",O34="",P34=""),"",IFERROR(((N34*O34+P34)/C34)^(1/5)-1,"n/a"))</f>
        <v/>
      </c>
      <c r="R34" s="196"/>
      <c r="S34" s="73" t="str">
        <f aca="false">IF(G34="","",IF(G34&gt;0.1,"PASS","FAIL"))</f>
        <v/>
      </c>
      <c r="T34" s="73" t="str">
        <f aca="false">IF(L34="","",IF(L34&gt;=0,"PASS","FAIL"))</f>
        <v/>
      </c>
      <c r="U34" s="73" t="str">
        <f aca="false">IF(COUNTA(H34,M34,R34)=0,"",IF((COUNTIF(H34,"Likely")+COUNTIF(M34,"Likely")+COUNTIF(R34,"Likely"))=1,"OK","CHECK TAGS"))</f>
        <v/>
      </c>
    </row>
    <row r="35" customFormat="false" ht="15" hidden="false" customHeight="true" outlineLevel="0" collapsed="false">
      <c r="A35" s="190"/>
      <c r="B35" s="191"/>
      <c r="C35" s="192"/>
      <c r="D35" s="192"/>
      <c r="E35" s="193"/>
      <c r="F35" s="192"/>
      <c r="G35" s="194" t="str">
        <f aca="false">IF(OR(C35="",D35="",E35="",F35=""),"",IFERROR(((D35*E35+F35)/C35)^(1/5)-1,"n/a"))</f>
        <v/>
      </c>
      <c r="H35" s="195"/>
      <c r="I35" s="192"/>
      <c r="J35" s="193"/>
      <c r="K35" s="192"/>
      <c r="L35" s="194" t="str">
        <f aca="false">IF(OR(C35="",I35="",J35="",K35=""),"",IFERROR(((I35*J35+K35)/C35)^(1/5)-1,"n/a"))</f>
        <v/>
      </c>
      <c r="M35" s="195"/>
      <c r="N35" s="192"/>
      <c r="O35" s="193"/>
      <c r="P35" s="192"/>
      <c r="Q35" s="194" t="str">
        <f aca="false">IF(OR(C35="",N35="",O35="",P35=""),"",IFERROR(((N35*O35+P35)/C35)^(1/5)-1,"n/a"))</f>
        <v/>
      </c>
      <c r="R35" s="196"/>
      <c r="S35" s="73" t="str">
        <f aca="false">IF(G35="","",IF(G35&gt;0.1,"PASS","FAIL"))</f>
        <v/>
      </c>
      <c r="T35" s="73" t="str">
        <f aca="false">IF(L35="","",IF(L35&gt;=0,"PASS","FAIL"))</f>
        <v/>
      </c>
      <c r="U35" s="73" t="str">
        <f aca="false">IF(COUNTA(H35,M35,R35)=0,"",IF((COUNTIF(H35,"Likely")+COUNTIF(M35,"Likely")+COUNTIF(R35,"Likely"))=1,"OK","CHECK TAGS"))</f>
        <v/>
      </c>
    </row>
    <row r="36" customFormat="false" ht="15" hidden="false" customHeight="true" outlineLevel="0" collapsed="false">
      <c r="A36" s="190"/>
      <c r="B36" s="191"/>
      <c r="C36" s="192"/>
      <c r="D36" s="192"/>
      <c r="E36" s="193"/>
      <c r="F36" s="192"/>
      <c r="G36" s="194" t="str">
        <f aca="false">IF(OR(C36="",D36="",E36="",F36=""),"",IFERROR(((D36*E36+F36)/C36)^(1/5)-1,"n/a"))</f>
        <v/>
      </c>
      <c r="H36" s="195"/>
      <c r="I36" s="192"/>
      <c r="J36" s="193"/>
      <c r="K36" s="192"/>
      <c r="L36" s="194" t="str">
        <f aca="false">IF(OR(C36="",I36="",J36="",K36=""),"",IFERROR(((I36*J36+K36)/C36)^(1/5)-1,"n/a"))</f>
        <v/>
      </c>
      <c r="M36" s="195"/>
      <c r="N36" s="192"/>
      <c r="O36" s="193"/>
      <c r="P36" s="192"/>
      <c r="Q36" s="194" t="str">
        <f aca="false">IF(OR(C36="",N36="",O36="",P36=""),"",IFERROR(((N36*O36+P36)/C36)^(1/5)-1,"n/a"))</f>
        <v/>
      </c>
      <c r="R36" s="196"/>
      <c r="S36" s="73" t="str">
        <f aca="false">IF(G36="","",IF(G36&gt;0.1,"PASS","FAIL"))</f>
        <v/>
      </c>
      <c r="T36" s="73" t="str">
        <f aca="false">IF(L36="","",IF(L36&gt;=0,"PASS","FAIL"))</f>
        <v/>
      </c>
      <c r="U36" s="73" t="str">
        <f aca="false">IF(COUNTA(H36,M36,R36)=0,"",IF((COUNTIF(H36,"Likely")+COUNTIF(M36,"Likely")+COUNTIF(R36,"Likely"))=1,"OK","CHECK TAGS"))</f>
        <v/>
      </c>
    </row>
    <row r="37" customFormat="false" ht="15" hidden="false" customHeight="true" outlineLevel="0" collapsed="false">
      <c r="A37" s="190"/>
      <c r="B37" s="191"/>
      <c r="C37" s="192"/>
      <c r="D37" s="192"/>
      <c r="E37" s="193"/>
      <c r="F37" s="192"/>
      <c r="G37" s="194" t="str">
        <f aca="false">IF(OR(C37="",D37="",E37="",F37=""),"",IFERROR(((D37*E37+F37)/C37)^(1/5)-1,"n/a"))</f>
        <v/>
      </c>
      <c r="H37" s="195"/>
      <c r="I37" s="192"/>
      <c r="J37" s="193"/>
      <c r="K37" s="192"/>
      <c r="L37" s="194" t="str">
        <f aca="false">IF(OR(C37="",I37="",J37="",K37=""),"",IFERROR(((I37*J37+K37)/C37)^(1/5)-1,"n/a"))</f>
        <v/>
      </c>
      <c r="M37" s="195"/>
      <c r="N37" s="192"/>
      <c r="O37" s="193"/>
      <c r="P37" s="192"/>
      <c r="Q37" s="194" t="str">
        <f aca="false">IF(OR(C37="",N37="",O37="",P37=""),"",IFERROR(((N37*O37+P37)/C37)^(1/5)-1,"n/a"))</f>
        <v/>
      </c>
      <c r="R37" s="196"/>
      <c r="S37" s="73" t="str">
        <f aca="false">IF(G37="","",IF(G37&gt;0.1,"PASS","FAIL"))</f>
        <v/>
      </c>
      <c r="T37" s="73" t="str">
        <f aca="false">IF(L37="","",IF(L37&gt;=0,"PASS","FAIL"))</f>
        <v/>
      </c>
      <c r="U37" s="73" t="str">
        <f aca="false">IF(COUNTA(H37,M37,R37)=0,"",IF((COUNTIF(H37,"Likely")+COUNTIF(M37,"Likely")+COUNTIF(R37,"Likely"))=1,"OK","CHECK TAGS"))</f>
        <v/>
      </c>
    </row>
    <row r="38" customFormat="false" ht="15" hidden="false" customHeight="true" outlineLevel="0" collapsed="false">
      <c r="A38" s="190"/>
      <c r="B38" s="191"/>
      <c r="C38" s="192"/>
      <c r="D38" s="192"/>
      <c r="E38" s="193"/>
      <c r="F38" s="192"/>
      <c r="G38" s="194" t="str">
        <f aca="false">IF(OR(C38="",D38="",E38="",F38=""),"",IFERROR(((D38*E38+F38)/C38)^(1/5)-1,"n/a"))</f>
        <v/>
      </c>
      <c r="H38" s="195"/>
      <c r="I38" s="192"/>
      <c r="J38" s="193"/>
      <c r="K38" s="192"/>
      <c r="L38" s="194" t="str">
        <f aca="false">IF(OR(C38="",I38="",J38="",K38=""),"",IFERROR(((I38*J38+K38)/C38)^(1/5)-1,"n/a"))</f>
        <v/>
      </c>
      <c r="M38" s="195"/>
      <c r="N38" s="192"/>
      <c r="O38" s="193"/>
      <c r="P38" s="192"/>
      <c r="Q38" s="194" t="str">
        <f aca="false">IF(OR(C38="",N38="",O38="",P38=""),"",IFERROR(((N38*O38+P38)/C38)^(1/5)-1,"n/a"))</f>
        <v/>
      </c>
      <c r="R38" s="196"/>
      <c r="S38" s="73" t="str">
        <f aca="false">IF(G38="","",IF(G38&gt;0.1,"PASS","FAIL"))</f>
        <v/>
      </c>
      <c r="T38" s="73" t="str">
        <f aca="false">IF(L38="","",IF(L38&gt;=0,"PASS","FAIL"))</f>
        <v/>
      </c>
      <c r="U38" s="73" t="str">
        <f aca="false">IF(COUNTA(H38,M38,R38)=0,"",IF((COUNTIF(H38,"Likely")+COUNTIF(M38,"Likely")+COUNTIF(R38,"Likely"))=1,"OK","CHECK TAGS"))</f>
        <v/>
      </c>
    </row>
    <row r="39" customFormat="false" ht="15" hidden="false" customHeight="true" outlineLevel="0" collapsed="false">
      <c r="A39" s="190"/>
      <c r="B39" s="191"/>
      <c r="C39" s="192"/>
      <c r="D39" s="192"/>
      <c r="E39" s="193"/>
      <c r="F39" s="192"/>
      <c r="G39" s="194" t="str">
        <f aca="false">IF(OR(C39="",D39="",E39="",F39=""),"",IFERROR(((D39*E39+F39)/C39)^(1/5)-1,"n/a"))</f>
        <v/>
      </c>
      <c r="H39" s="195"/>
      <c r="I39" s="192"/>
      <c r="J39" s="193"/>
      <c r="K39" s="192"/>
      <c r="L39" s="194" t="str">
        <f aca="false">IF(OR(C39="",I39="",J39="",K39=""),"",IFERROR(((I39*J39+K39)/C39)^(1/5)-1,"n/a"))</f>
        <v/>
      </c>
      <c r="M39" s="195"/>
      <c r="N39" s="192"/>
      <c r="O39" s="193"/>
      <c r="P39" s="192"/>
      <c r="Q39" s="194" t="str">
        <f aca="false">IF(OR(C39="",N39="",O39="",P39=""),"",IFERROR(((N39*O39+P39)/C39)^(1/5)-1,"n/a"))</f>
        <v/>
      </c>
      <c r="R39" s="196"/>
      <c r="S39" s="73" t="str">
        <f aca="false">IF(G39="","",IF(G39&gt;0.1,"PASS","FAIL"))</f>
        <v/>
      </c>
      <c r="T39" s="73" t="str">
        <f aca="false">IF(L39="","",IF(L39&gt;=0,"PASS","FAIL"))</f>
        <v/>
      </c>
      <c r="U39" s="73" t="str">
        <f aca="false">IF(COUNTA(H39,M39,R39)=0,"",IF((COUNTIF(H39,"Likely")+COUNTIF(M39,"Likely")+COUNTIF(R39,"Likely"))=1,"OK","CHECK TAGS"))</f>
        <v/>
      </c>
    </row>
    <row r="40" customFormat="false" ht="15" hidden="false" customHeight="true" outlineLevel="0" collapsed="false">
      <c r="A40" s="190"/>
      <c r="B40" s="191"/>
      <c r="C40" s="192"/>
      <c r="D40" s="192"/>
      <c r="E40" s="193"/>
      <c r="F40" s="192"/>
      <c r="G40" s="194" t="str">
        <f aca="false">IF(OR(C40="",D40="",E40="",F40=""),"",IFERROR(((D40*E40+F40)/C40)^(1/5)-1,"n/a"))</f>
        <v/>
      </c>
      <c r="H40" s="195"/>
      <c r="I40" s="192"/>
      <c r="J40" s="193"/>
      <c r="K40" s="192"/>
      <c r="L40" s="194" t="str">
        <f aca="false">IF(OR(C40="",I40="",J40="",K40=""),"",IFERROR(((I40*J40+K40)/C40)^(1/5)-1,"n/a"))</f>
        <v/>
      </c>
      <c r="M40" s="195"/>
      <c r="N40" s="192"/>
      <c r="O40" s="193"/>
      <c r="P40" s="192"/>
      <c r="Q40" s="194" t="str">
        <f aca="false">IF(OR(C40="",N40="",O40="",P40=""),"",IFERROR(((N40*O40+P40)/C40)^(1/5)-1,"n/a"))</f>
        <v/>
      </c>
      <c r="R40" s="196"/>
      <c r="S40" s="73" t="str">
        <f aca="false">IF(G40="","",IF(G40&gt;0.1,"PASS","FAIL"))</f>
        <v/>
      </c>
      <c r="T40" s="73" t="str">
        <f aca="false">IF(L40="","",IF(L40&gt;=0,"PASS","FAIL"))</f>
        <v/>
      </c>
      <c r="U40" s="73" t="str">
        <f aca="false">IF(COUNTA(H40,M40,R40)=0,"",IF((COUNTIF(H40,"Likely")+COUNTIF(M40,"Likely")+COUNTIF(R40,"Likely"))=1,"OK","CHECK TAGS"))</f>
        <v/>
      </c>
    </row>
    <row r="41" customFormat="false" ht="15" hidden="false" customHeight="true" outlineLevel="0" collapsed="false">
      <c r="A41" s="190"/>
      <c r="B41" s="191"/>
      <c r="C41" s="192"/>
      <c r="D41" s="192"/>
      <c r="E41" s="193"/>
      <c r="F41" s="192"/>
      <c r="G41" s="194" t="str">
        <f aca="false">IF(OR(C41="",D41="",E41="",F41=""),"",IFERROR(((D41*E41+F41)/C41)^(1/5)-1,"n/a"))</f>
        <v/>
      </c>
      <c r="H41" s="195"/>
      <c r="I41" s="192"/>
      <c r="J41" s="193"/>
      <c r="K41" s="192"/>
      <c r="L41" s="194" t="str">
        <f aca="false">IF(OR(C41="",I41="",J41="",K41=""),"",IFERROR(((I41*J41+K41)/C41)^(1/5)-1,"n/a"))</f>
        <v/>
      </c>
      <c r="M41" s="195"/>
      <c r="N41" s="192"/>
      <c r="O41" s="193"/>
      <c r="P41" s="192"/>
      <c r="Q41" s="194" t="str">
        <f aca="false">IF(OR(C41="",N41="",O41="",P41=""),"",IFERROR(((N41*O41+P41)/C41)^(1/5)-1,"n/a"))</f>
        <v/>
      </c>
      <c r="R41" s="196"/>
      <c r="S41" s="73" t="str">
        <f aca="false">IF(G41="","",IF(G41&gt;0.1,"PASS","FAIL"))</f>
        <v/>
      </c>
      <c r="T41" s="73" t="str">
        <f aca="false">IF(L41="","",IF(L41&gt;=0,"PASS","FAIL"))</f>
        <v/>
      </c>
      <c r="U41" s="73" t="str">
        <f aca="false">IF(COUNTA(H41,M41,R41)=0,"",IF((COUNTIF(H41,"Likely")+COUNTIF(M41,"Likely")+COUNTIF(R41,"Likely"))=1,"OK","CHECK TAGS"))</f>
        <v/>
      </c>
    </row>
    <row r="42" customFormat="false" ht="15" hidden="false" customHeight="true" outlineLevel="0" collapsed="false">
      <c r="A42" s="190"/>
      <c r="B42" s="191"/>
      <c r="C42" s="192"/>
      <c r="D42" s="192"/>
      <c r="E42" s="193"/>
      <c r="F42" s="192"/>
      <c r="G42" s="194" t="str">
        <f aca="false">IF(OR(C42="",D42="",E42="",F42=""),"",IFERROR(((D42*E42+F42)/C42)^(1/5)-1,"n/a"))</f>
        <v/>
      </c>
      <c r="H42" s="195"/>
      <c r="I42" s="192"/>
      <c r="J42" s="193"/>
      <c r="K42" s="192"/>
      <c r="L42" s="194" t="str">
        <f aca="false">IF(OR(C42="",I42="",J42="",K42=""),"",IFERROR(((I42*J42+K42)/C42)^(1/5)-1,"n/a"))</f>
        <v/>
      </c>
      <c r="M42" s="195"/>
      <c r="N42" s="192"/>
      <c r="O42" s="193"/>
      <c r="P42" s="192"/>
      <c r="Q42" s="194" t="str">
        <f aca="false">IF(OR(C42="",N42="",O42="",P42=""),"",IFERROR(((N42*O42+P42)/C42)^(1/5)-1,"n/a"))</f>
        <v/>
      </c>
      <c r="R42" s="196"/>
      <c r="S42" s="73" t="str">
        <f aca="false">IF(G42="","",IF(G42&gt;0.1,"PASS","FAIL"))</f>
        <v/>
      </c>
      <c r="T42" s="73" t="str">
        <f aca="false">IF(L42="","",IF(L42&gt;=0,"PASS","FAIL"))</f>
        <v/>
      </c>
      <c r="U42" s="73" t="str">
        <f aca="false">IF(COUNTA(H42,M42,R42)=0,"",IF((COUNTIF(H42,"Likely")+COUNTIF(M42,"Likely")+COUNTIF(R42,"Likely"))=1,"OK","CHECK TAGS"))</f>
        <v/>
      </c>
    </row>
    <row r="43" customFormat="false" ht="15" hidden="false" customHeight="true" outlineLevel="0" collapsed="false">
      <c r="A43" s="190"/>
      <c r="B43" s="191"/>
      <c r="C43" s="192"/>
      <c r="D43" s="192"/>
      <c r="E43" s="193"/>
      <c r="F43" s="192"/>
      <c r="G43" s="194" t="str">
        <f aca="false">IF(OR(C43="",D43="",E43="",F43=""),"",IFERROR(((D43*E43+F43)/C43)^(1/5)-1,"n/a"))</f>
        <v/>
      </c>
      <c r="H43" s="195"/>
      <c r="I43" s="192"/>
      <c r="J43" s="193"/>
      <c r="K43" s="192"/>
      <c r="L43" s="194" t="str">
        <f aca="false">IF(OR(C43="",I43="",J43="",K43=""),"",IFERROR(((I43*J43+K43)/C43)^(1/5)-1,"n/a"))</f>
        <v/>
      </c>
      <c r="M43" s="195"/>
      <c r="N43" s="192"/>
      <c r="O43" s="193"/>
      <c r="P43" s="192"/>
      <c r="Q43" s="194" t="str">
        <f aca="false">IF(OR(C43="",N43="",O43="",P43=""),"",IFERROR(((N43*O43+P43)/C43)^(1/5)-1,"n/a"))</f>
        <v/>
      </c>
      <c r="R43" s="196"/>
      <c r="S43" s="73" t="str">
        <f aca="false">IF(G43="","",IF(G43&gt;0.1,"PASS","FAIL"))</f>
        <v/>
      </c>
      <c r="T43" s="73" t="str">
        <f aca="false">IF(L43="","",IF(L43&gt;=0,"PASS","FAIL"))</f>
        <v/>
      </c>
      <c r="U43" s="73" t="str">
        <f aca="false">IF(COUNTA(H43,M43,R43)=0,"",IF((COUNTIF(H43,"Likely")+COUNTIF(M43,"Likely")+COUNTIF(R43,"Likely"))=1,"OK","CHECK TAGS"))</f>
        <v/>
      </c>
    </row>
    <row r="44" customFormat="false" ht="15" hidden="false" customHeight="true" outlineLevel="0" collapsed="false">
      <c r="A44" s="63" t="s">
        <v>143</v>
      </c>
      <c r="B44" s="71" t="s">
        <v>144</v>
      </c>
      <c r="C44" s="68" t="n">
        <v>314.71</v>
      </c>
      <c r="D44" s="68" t="n">
        <v>14.8</v>
      </c>
      <c r="E44" s="189" t="n">
        <v>36</v>
      </c>
      <c r="F44" s="68" t="n">
        <v>11.91</v>
      </c>
      <c r="G44" s="69" t="n">
        <f aca="false">IF(OR(C44="",D44="",E44="",F44=""),"",IFERROR(((D44*E44+F44)/C44)^(1/5)-1,"n/a"))</f>
        <v>0.115965994501476</v>
      </c>
      <c r="H44" s="64" t="s">
        <v>516</v>
      </c>
      <c r="I44" s="68" t="n">
        <v>10.78</v>
      </c>
      <c r="J44" s="189" t="n">
        <v>29.2</v>
      </c>
      <c r="K44" s="68" t="n">
        <v>9.4</v>
      </c>
      <c r="L44" s="69" t="n">
        <f aca="false">IF(OR(C44="",I44="",J44="",K44=""),"",IFERROR(((I44*J44+K44)/C44)^(1/5)-1,"n/a"))</f>
        <v>0.00594459908059064</v>
      </c>
      <c r="M44" s="64" t="s">
        <v>515</v>
      </c>
      <c r="N44" s="68" t="n">
        <v>17.59</v>
      </c>
      <c r="O44" s="189" t="n">
        <v>40.9</v>
      </c>
      <c r="P44" s="68" t="n">
        <v>13.38</v>
      </c>
      <c r="Q44" s="69" t="n">
        <f aca="false">IF(OR(C44="",N44="",O44="",P44=""),"",IFERROR(((N44*O44+P44)/C44)^(1/5)-1,"n/a"))</f>
        <v>0.184176088573328</v>
      </c>
      <c r="R44" s="64" t="s">
        <v>515</v>
      </c>
      <c r="S44" s="73" t="str">
        <f aca="false">IF(G44="","",IF(G44&gt;0.1,"PASS","FAIL"))</f>
        <v>PASS</v>
      </c>
      <c r="T44" s="73" t="str">
        <f aca="false">IF(L44="","",IF(L44&gt;=0,"PASS","FAIL"))</f>
        <v>PASS</v>
      </c>
      <c r="U44" s="73" t="str">
        <f aca="false">IF(COUNTA(H44,M44,R44)=0,"",IF((COUNTIF(H44,"Likely")+COUNTIF(M44,"Likely")+COUNTIF(R44,"Likely"))=1,"OK","CHECK TAGS"))</f>
        <v>OK</v>
      </c>
    </row>
    <row r="45" customFormat="false" ht="15" hidden="false" customHeight="true" outlineLevel="0" collapsed="false">
      <c r="A45" s="190"/>
      <c r="B45" s="191"/>
      <c r="C45" s="192"/>
      <c r="D45" s="192"/>
      <c r="E45" s="193"/>
      <c r="F45" s="192"/>
      <c r="G45" s="194" t="str">
        <f aca="false">IF(OR(C45="",D45="",E45="",F45=""),"",IFERROR(((D45*E45+F45)/C45)^(1/5)-1,"n/a"))</f>
        <v/>
      </c>
      <c r="H45" s="195"/>
      <c r="I45" s="192"/>
      <c r="J45" s="193"/>
      <c r="K45" s="192"/>
      <c r="L45" s="194" t="str">
        <f aca="false">IF(OR(C45="",I45="",J45="",K45=""),"",IFERROR(((I45*J45+K45)/C45)^(1/5)-1,"n/a"))</f>
        <v/>
      </c>
      <c r="M45" s="195"/>
      <c r="N45" s="192"/>
      <c r="O45" s="193"/>
      <c r="P45" s="192"/>
      <c r="Q45" s="194" t="str">
        <f aca="false">IF(OR(C45="",N45="",O45="",P45=""),"",IFERROR(((N45*O45+P45)/C45)^(1/5)-1,"n/a"))</f>
        <v/>
      </c>
      <c r="R45" s="196"/>
      <c r="S45" s="73" t="str">
        <f aca="false">IF(G45="","",IF(G45&gt;0.1,"PASS","FAIL"))</f>
        <v/>
      </c>
      <c r="T45" s="73" t="str">
        <f aca="false">IF(L45="","",IF(L45&gt;=0,"PASS","FAIL"))</f>
        <v/>
      </c>
      <c r="U45" s="73" t="str">
        <f aca="false">IF(COUNTA(H45,M45,R45)=0,"",IF((COUNTIF(H45,"Likely")+COUNTIF(M45,"Likely")+COUNTIF(R45,"Likely"))=1,"OK","CHECK TAGS"))</f>
        <v/>
      </c>
    </row>
    <row r="46" customFormat="false" ht="15" hidden="false" customHeight="true" outlineLevel="0" collapsed="false">
      <c r="A46" s="190"/>
      <c r="B46" s="191"/>
      <c r="C46" s="192"/>
      <c r="D46" s="192"/>
      <c r="E46" s="193"/>
      <c r="F46" s="192"/>
      <c r="G46" s="194" t="str">
        <f aca="false">IF(OR(C46="",D46="",E46="",F46=""),"",IFERROR(((D46*E46+F46)/C46)^(1/5)-1,"n/a"))</f>
        <v/>
      </c>
      <c r="H46" s="195"/>
      <c r="I46" s="192"/>
      <c r="J46" s="193"/>
      <c r="K46" s="192"/>
      <c r="L46" s="194" t="str">
        <f aca="false">IF(OR(C46="",I46="",J46="",K46=""),"",IFERROR(((I46*J46+K46)/C46)^(1/5)-1,"n/a"))</f>
        <v/>
      </c>
      <c r="M46" s="195"/>
      <c r="N46" s="192"/>
      <c r="O46" s="193"/>
      <c r="P46" s="192"/>
      <c r="Q46" s="194" t="str">
        <f aca="false">IF(OR(C46="",N46="",O46="",P46=""),"",IFERROR(((N46*O46+P46)/C46)^(1/5)-1,"n/a"))</f>
        <v/>
      </c>
      <c r="R46" s="196"/>
      <c r="S46" s="73" t="str">
        <f aca="false">IF(G46="","",IF(G46&gt;0.1,"PASS","FAIL"))</f>
        <v/>
      </c>
      <c r="T46" s="73" t="str">
        <f aca="false">IF(L46="","",IF(L46&gt;=0,"PASS","FAIL"))</f>
        <v/>
      </c>
      <c r="U46" s="73" t="str">
        <f aca="false">IF(COUNTA(H46,M46,R46)=0,"",IF((COUNTIF(H46,"Likely")+COUNTIF(M46,"Likely")+COUNTIF(R46,"Likely"))=1,"OK","CHECK TAGS"))</f>
        <v/>
      </c>
    </row>
    <row r="47" customFormat="false" ht="15" hidden="false" customHeight="true" outlineLevel="0" collapsed="false">
      <c r="A47" s="190"/>
      <c r="B47" s="191"/>
      <c r="C47" s="192"/>
      <c r="D47" s="192"/>
      <c r="E47" s="193"/>
      <c r="F47" s="192"/>
      <c r="G47" s="194" t="str">
        <f aca="false">IF(OR(C47="",D47="",E47="",F47=""),"",IFERROR(((D47*E47+F47)/C47)^(1/5)-1,"n/a"))</f>
        <v/>
      </c>
      <c r="H47" s="195"/>
      <c r="I47" s="192"/>
      <c r="J47" s="193"/>
      <c r="K47" s="192"/>
      <c r="L47" s="194" t="str">
        <f aca="false">IF(OR(C47="",I47="",J47="",K47=""),"",IFERROR(((I47*J47+K47)/C47)^(1/5)-1,"n/a"))</f>
        <v/>
      </c>
      <c r="M47" s="195"/>
      <c r="N47" s="192"/>
      <c r="O47" s="193"/>
      <c r="P47" s="192"/>
      <c r="Q47" s="194" t="str">
        <f aca="false">IF(OR(C47="",N47="",O47="",P47=""),"",IFERROR(((N47*O47+P47)/C47)^(1/5)-1,"n/a"))</f>
        <v/>
      </c>
      <c r="R47" s="196"/>
      <c r="S47" s="73" t="str">
        <f aca="false">IF(G47="","",IF(G47&gt;0.1,"PASS","FAIL"))</f>
        <v/>
      </c>
      <c r="T47" s="73" t="str">
        <f aca="false">IF(L47="","",IF(L47&gt;=0,"PASS","FAIL"))</f>
        <v/>
      </c>
      <c r="U47" s="73" t="str">
        <f aca="false">IF(COUNTA(H47,M47,R47)=0,"",IF((COUNTIF(H47,"Likely")+COUNTIF(M47,"Likely")+COUNTIF(R47,"Likely"))=1,"OK","CHECK TAGS"))</f>
        <v/>
      </c>
    </row>
    <row r="48" customFormat="false" ht="15" hidden="false" customHeight="true" outlineLevel="0" collapsed="false">
      <c r="A48" s="63" t="s">
        <v>146</v>
      </c>
      <c r="B48" s="71" t="s">
        <v>147</v>
      </c>
      <c r="C48" s="68" t="n">
        <v>69.795</v>
      </c>
      <c r="D48" s="68" t="n">
        <v>3.71</v>
      </c>
      <c r="E48" s="189" t="n">
        <v>37.8</v>
      </c>
      <c r="F48" s="68" t="n">
        <v>0</v>
      </c>
      <c r="G48" s="69" t="n">
        <f aca="false">IF(OR(C48="",D48="",E48="",F48=""),"",IFERROR(((D48*E48+F48)/C48)^(1/5)-1,"n/a"))</f>
        <v>0.149762869934483</v>
      </c>
      <c r="H48" s="64" t="s">
        <v>516</v>
      </c>
      <c r="I48" s="68" t="n">
        <v>2.65</v>
      </c>
      <c r="J48" s="189" t="n">
        <v>30.6</v>
      </c>
      <c r="K48" s="68" t="n">
        <v>0</v>
      </c>
      <c r="L48" s="69" t="n">
        <f aca="false">IF(OR(C48="",I48="",J48="",K48=""),"",IFERROR(((I48*J48+K48)/C48)^(1/5)-1,"n/a"))</f>
        <v>0.0304539723542474</v>
      </c>
      <c r="M48" s="64" t="s">
        <v>515</v>
      </c>
      <c r="N48" s="68" t="n">
        <v>4.4</v>
      </c>
      <c r="O48" s="189" t="n">
        <v>41.6</v>
      </c>
      <c r="P48" s="68" t="n">
        <v>0</v>
      </c>
      <c r="Q48" s="69" t="n">
        <f aca="false">IF(OR(C48="",N48="",O48="",P48=""),"",IFERROR(((N48*O48+P48)/C48)^(1/5)-1,"n/a"))</f>
        <v>0.21267476175</v>
      </c>
      <c r="R48" s="64" t="s">
        <v>515</v>
      </c>
      <c r="S48" s="73" t="str">
        <f aca="false">IF(G48="","",IF(G48&gt;0.1,"PASS","FAIL"))</f>
        <v>PASS</v>
      </c>
      <c r="T48" s="73" t="str">
        <f aca="false">IF(L48="","",IF(L48&gt;=0,"PASS","FAIL"))</f>
        <v>PASS</v>
      </c>
      <c r="U48" s="73" t="str">
        <f aca="false">IF(COUNTA(H48,M48,R48)=0,"",IF((COUNTIF(H48,"Likely")+COUNTIF(M48,"Likely")+COUNTIF(R48,"Likely"))=1,"OK","CHECK TAGS"))</f>
        <v>OK</v>
      </c>
    </row>
    <row r="49" customFormat="false" ht="15" hidden="false" customHeight="true" outlineLevel="0" collapsed="false">
      <c r="A49" s="190"/>
      <c r="B49" s="191"/>
      <c r="C49" s="192"/>
      <c r="D49" s="192"/>
      <c r="E49" s="193"/>
      <c r="F49" s="192"/>
      <c r="G49" s="194" t="str">
        <f aca="false">IF(OR(C49="",D49="",E49="",F49=""),"",IFERROR(((D49*E49+F49)/C49)^(1/5)-1,"n/a"))</f>
        <v/>
      </c>
      <c r="H49" s="195"/>
      <c r="I49" s="192"/>
      <c r="J49" s="193"/>
      <c r="K49" s="192"/>
      <c r="L49" s="194" t="str">
        <f aca="false">IF(OR(C49="",I49="",J49="",K49=""),"",IFERROR(((I49*J49+K49)/C49)^(1/5)-1,"n/a"))</f>
        <v/>
      </c>
      <c r="M49" s="195"/>
      <c r="N49" s="192"/>
      <c r="O49" s="193"/>
      <c r="P49" s="192"/>
      <c r="Q49" s="194" t="str">
        <f aca="false">IF(OR(C49="",N49="",O49="",P49=""),"",IFERROR(((N49*O49+P49)/C49)^(1/5)-1,"n/a"))</f>
        <v/>
      </c>
      <c r="R49" s="196"/>
      <c r="S49" s="73" t="str">
        <f aca="false">IF(G49="","",IF(G49&gt;0.1,"PASS","FAIL"))</f>
        <v/>
      </c>
      <c r="T49" s="73" t="str">
        <f aca="false">IF(L49="","",IF(L49&gt;=0,"PASS","FAIL"))</f>
        <v/>
      </c>
      <c r="U49" s="73" t="str">
        <f aca="false">IF(COUNTA(H49,M49,R49)=0,"",IF((COUNTIF(H49,"Likely")+COUNTIF(M49,"Likely")+COUNTIF(R49,"Likely"))=1,"OK","CHECK TAGS"))</f>
        <v/>
      </c>
    </row>
    <row r="50" customFormat="false" ht="15" hidden="false" customHeight="true" outlineLevel="0" collapsed="false">
      <c r="A50" s="190"/>
      <c r="B50" s="191"/>
      <c r="C50" s="192"/>
      <c r="D50" s="192"/>
      <c r="E50" s="193"/>
      <c r="F50" s="192"/>
      <c r="G50" s="194" t="str">
        <f aca="false">IF(OR(C50="",D50="",E50="",F50=""),"",IFERROR(((D50*E50+F50)/C50)^(1/5)-1,"n/a"))</f>
        <v/>
      </c>
      <c r="H50" s="195"/>
      <c r="I50" s="192"/>
      <c r="J50" s="193"/>
      <c r="K50" s="192"/>
      <c r="L50" s="194" t="str">
        <f aca="false">IF(OR(C50="",I50="",J50="",K50=""),"",IFERROR(((I50*J50+K50)/C50)^(1/5)-1,"n/a"))</f>
        <v/>
      </c>
      <c r="M50" s="195"/>
      <c r="N50" s="192"/>
      <c r="O50" s="193"/>
      <c r="P50" s="192"/>
      <c r="Q50" s="194" t="str">
        <f aca="false">IF(OR(C50="",N50="",O50="",P50=""),"",IFERROR(((N50*O50+P50)/C50)^(1/5)-1,"n/a"))</f>
        <v/>
      </c>
      <c r="R50" s="196"/>
      <c r="S50" s="73" t="str">
        <f aca="false">IF(G50="","",IF(G50&gt;0.1,"PASS","FAIL"))</f>
        <v/>
      </c>
      <c r="T50" s="73" t="str">
        <f aca="false">IF(L50="","",IF(L50&gt;=0,"PASS","FAIL"))</f>
        <v/>
      </c>
      <c r="U50" s="73" t="str">
        <f aca="false">IF(COUNTA(H50,M50,R50)=0,"",IF((COUNTIF(H50,"Likely")+COUNTIF(M50,"Likely")+COUNTIF(R50,"Likely"))=1,"OK","CHECK TAGS"))</f>
        <v/>
      </c>
    </row>
    <row r="51" customFormat="false" ht="15" hidden="false" customHeight="true" outlineLevel="0" collapsed="false">
      <c r="A51" s="63" t="s">
        <v>289</v>
      </c>
      <c r="B51" s="71" t="s">
        <v>422</v>
      </c>
      <c r="C51" s="68" t="n">
        <v>50.16</v>
      </c>
      <c r="D51" s="68" t="n">
        <v>3.63</v>
      </c>
      <c r="E51" s="189" t="n">
        <v>16.8</v>
      </c>
      <c r="F51" s="68" t="n">
        <v>6.65</v>
      </c>
      <c r="G51" s="69" t="n">
        <f aca="false">IF(OR(C51="",D51="",E51="",F51=""),"",IFERROR(((D51*E51+F51)/C51)^(1/5)-1,"n/a"))</f>
        <v>0.0616014647295038</v>
      </c>
      <c r="H51" s="64" t="s">
        <v>516</v>
      </c>
      <c r="I51" s="68" t="n">
        <v>1.82</v>
      </c>
      <c r="J51" s="189" t="n">
        <v>13.6</v>
      </c>
      <c r="K51" s="68" t="n">
        <v>5.9</v>
      </c>
      <c r="L51" s="69" t="n">
        <f aca="false">IF(OR(C51="",I51="",J51="",K51=""),"",IFERROR(((I51*J51+K51)/C51)^(1/5)-1,"n/a"))</f>
        <v>-0.0938079291194365</v>
      </c>
      <c r="M51" s="64" t="s">
        <v>515</v>
      </c>
      <c r="N51" s="68" t="n">
        <v>5</v>
      </c>
      <c r="O51" s="189" t="n">
        <v>17.7</v>
      </c>
      <c r="P51" s="68" t="n">
        <v>7.05</v>
      </c>
      <c r="Q51" s="69" t="n">
        <f aca="false">IF(OR(C51="",N51="",O51="",P51=""),"",IFERROR(((N51*O51+P51)/C51)^(1/5)-1,"n/a"))</f>
        <v>0.137560838572792</v>
      </c>
      <c r="R51" s="64" t="s">
        <v>515</v>
      </c>
      <c r="S51" s="73" t="str">
        <f aca="false">IF(G51="","",IF(G51&gt;0.1,"PASS","FAIL"))</f>
        <v>FAIL</v>
      </c>
      <c r="T51" s="73" t="str">
        <f aca="false">IF(L51="","",IF(L51&gt;=0,"PASS","FAIL"))</f>
        <v>FAIL</v>
      </c>
      <c r="U51" s="73" t="str">
        <f aca="false">IF(COUNTA(H51,M51,R51)=0,"",IF((COUNTIF(H51,"Likely")+COUNTIF(M51,"Likely")+COUNTIF(R51,"Likely"))=1,"OK","CHECK TAGS"))</f>
        <v>OK</v>
      </c>
    </row>
    <row r="52" customFormat="false" ht="15" hidden="false" customHeight="true" outlineLevel="0" collapsed="false">
      <c r="A52" s="63" t="s">
        <v>149</v>
      </c>
      <c r="B52" s="71" t="s">
        <v>423</v>
      </c>
      <c r="C52" s="68" t="n">
        <v>285.65</v>
      </c>
      <c r="D52" s="68" t="n">
        <v>12.73</v>
      </c>
      <c r="E52" s="189" t="n">
        <v>40.4</v>
      </c>
      <c r="F52" s="68" t="n">
        <v>0</v>
      </c>
      <c r="G52" s="69" t="n">
        <f aca="false">IF(OR(C52="",D52="",E52="",F52=""),"",IFERROR(((D52*E52+F52)/C52)^(1/5)-1,"n/a"))</f>
        <v>0.124799483040831</v>
      </c>
      <c r="H52" s="64" t="s">
        <v>516</v>
      </c>
      <c r="I52" s="68" t="n">
        <v>9.57</v>
      </c>
      <c r="J52" s="189" t="n">
        <v>32.7</v>
      </c>
      <c r="K52" s="68" t="n">
        <v>0</v>
      </c>
      <c r="L52" s="69" t="n">
        <f aca="false">IF(OR(C52="",I52="",J52="",K52=""),"",IFERROR(((I52*J52+K52)/C52)^(1/5)-1,"n/a"))</f>
        <v>0.018415715437079</v>
      </c>
      <c r="M52" s="64" t="s">
        <v>515</v>
      </c>
      <c r="N52" s="68" t="n">
        <v>15.16</v>
      </c>
      <c r="O52" s="189" t="n">
        <v>44.5</v>
      </c>
      <c r="P52" s="68" t="n">
        <v>0</v>
      </c>
      <c r="Q52" s="69" t="n">
        <f aca="false">IF(OR(C52="",N52="",O52="",P52=""),"",IFERROR(((N52*O52+P52)/C52)^(1/5)-1,"n/a"))</f>
        <v>0.187531112808455</v>
      </c>
      <c r="R52" s="64" t="s">
        <v>515</v>
      </c>
      <c r="S52" s="73" t="str">
        <f aca="false">IF(G52="","",IF(G52&gt;0.1,"PASS","FAIL"))</f>
        <v>PASS</v>
      </c>
      <c r="T52" s="73" t="str">
        <f aca="false">IF(L52="","",IF(L52&gt;=0,"PASS","FAIL"))</f>
        <v>PASS</v>
      </c>
      <c r="U52" s="73" t="str">
        <f aca="false">IF(COUNTA(H52,M52,R52)=0,"",IF((COUNTIF(H52,"Likely")+COUNTIF(M52,"Likely")+COUNTIF(R52,"Likely"))=1,"OK","CHECK TAGS"))</f>
        <v>OK</v>
      </c>
    </row>
  </sheetData>
  <mergeCells count="4">
    <mergeCell ref="D2:H2"/>
    <mergeCell ref="I2:M2"/>
    <mergeCell ref="N2:R2"/>
    <mergeCell ref="S2:U2"/>
  </mergeCells>
  <conditionalFormatting sqref="S4:T52">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2">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52 M4:M52 R4:R52"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97" t="s">
        <v>517</v>
      </c>
      <c r="B1" s="197"/>
      <c r="C1" s="197"/>
      <c r="D1" s="197"/>
      <c r="E1" s="197"/>
      <c r="F1" s="197"/>
      <c r="G1" s="197"/>
      <c r="H1" s="197"/>
      <c r="I1" s="197"/>
      <c r="J1" s="197"/>
      <c r="K1" s="197"/>
      <c r="L1" s="197"/>
      <c r="M1" s="197"/>
      <c r="N1" s="197"/>
      <c r="O1" s="197"/>
      <c r="P1" s="197"/>
      <c r="Q1" s="197"/>
      <c r="R1" s="197"/>
      <c r="S1" s="197"/>
      <c r="T1" s="197"/>
      <c r="U1" s="198"/>
      <c r="V1" s="198"/>
    </row>
    <row r="2" customFormat="false" ht="25.5" hidden="false" customHeight="true" outlineLevel="0" collapsed="false">
      <c r="E2" s="116" t="s">
        <v>518</v>
      </c>
      <c r="F2" s="116"/>
      <c r="G2" s="116"/>
      <c r="H2" s="116"/>
      <c r="I2" s="116"/>
      <c r="J2" s="116"/>
      <c r="K2" s="116"/>
      <c r="L2" s="116"/>
      <c r="M2" s="116"/>
      <c r="N2" s="116"/>
      <c r="O2" s="116"/>
      <c r="P2" s="116"/>
      <c r="Q2" s="116"/>
      <c r="R2" s="116"/>
      <c r="S2" s="116"/>
      <c r="T2" s="199" t="s">
        <v>519</v>
      </c>
      <c r="U2" s="199"/>
      <c r="V2" s="199"/>
      <c r="W2" s="199"/>
      <c r="X2" s="199"/>
      <c r="Y2" s="199"/>
      <c r="Z2" s="199"/>
    </row>
    <row r="3" customFormat="false" ht="54" hidden="false" customHeight="true" outlineLevel="0" collapsed="false">
      <c r="A3" s="118" t="s">
        <v>82</v>
      </c>
      <c r="B3" s="118" t="s">
        <v>296</v>
      </c>
      <c r="C3" s="118" t="s">
        <v>520</v>
      </c>
      <c r="D3" s="118" t="s">
        <v>521</v>
      </c>
      <c r="E3" s="118" t="s">
        <v>522</v>
      </c>
      <c r="F3" s="118" t="s">
        <v>523</v>
      </c>
      <c r="G3" s="118" t="s">
        <v>524</v>
      </c>
      <c r="H3" s="118" t="s">
        <v>525</v>
      </c>
      <c r="I3" s="118" t="s">
        <v>526</v>
      </c>
      <c r="J3" s="118" t="s">
        <v>524</v>
      </c>
      <c r="K3" s="118" t="s">
        <v>527</v>
      </c>
      <c r="L3" s="118" t="s">
        <v>528</v>
      </c>
      <c r="M3" s="118" t="s">
        <v>524</v>
      </c>
      <c r="N3" s="118" t="s">
        <v>529</v>
      </c>
      <c r="O3" s="118" t="s">
        <v>530</v>
      </c>
      <c r="P3" s="118" t="s">
        <v>524</v>
      </c>
      <c r="Q3" s="118" t="s">
        <v>531</v>
      </c>
      <c r="R3" s="118" t="s">
        <v>532</v>
      </c>
      <c r="S3" s="118" t="s">
        <v>524</v>
      </c>
      <c r="T3" s="118" t="s">
        <v>533</v>
      </c>
      <c r="U3" s="118" t="s">
        <v>534</v>
      </c>
      <c r="V3" s="118" t="s">
        <v>535</v>
      </c>
      <c r="W3" s="118" t="s">
        <v>536</v>
      </c>
      <c r="X3" s="118" t="s">
        <v>537</v>
      </c>
      <c r="Y3" s="118" t="s">
        <v>538</v>
      </c>
      <c r="Z3" s="118" t="s">
        <v>539</v>
      </c>
      <c r="AA3" s="118" t="s">
        <v>540</v>
      </c>
      <c r="AB3" s="118" t="s">
        <v>495</v>
      </c>
    </row>
    <row r="4" customFormat="false" ht="15" hidden="false" customHeight="true" outlineLevel="0" collapsed="false">
      <c r="A4" s="200"/>
      <c r="B4" s="128"/>
      <c r="C4" s="201"/>
      <c r="D4" s="201"/>
      <c r="E4" s="128"/>
      <c r="F4" s="128"/>
      <c r="G4" s="202" t="str">
        <f aca="false">IF(OR(E4="",F4=""),"",IF(AND(E4&lt;=2,F4&lt;=2),"TRIGGER","OK"))</f>
        <v/>
      </c>
      <c r="H4" s="128"/>
      <c r="I4" s="128"/>
      <c r="J4" s="202" t="str">
        <f aca="false">IF(OR(H4="",I4=""),"",IF(AND(H4&lt;=2,I4&lt;=2),"TRIGGER","OK"))</f>
        <v/>
      </c>
      <c r="K4" s="128"/>
      <c r="L4" s="128"/>
      <c r="M4" s="202" t="str">
        <f aca="false">IF(OR(K4="",L4=""),"",IF(AND(K4&lt;=2,L4&lt;=2),"TRIGGER","OK"))</f>
        <v/>
      </c>
      <c r="N4" s="128"/>
      <c r="O4" s="128"/>
      <c r="P4" s="202" t="str">
        <f aca="false">IF(OR(N4="",O4=""),"",IF(AND(N4&lt;=2,O4&lt;=2),"TRIGGER","OK"))</f>
        <v/>
      </c>
      <c r="Q4" s="128"/>
      <c r="R4" s="128"/>
      <c r="S4" s="202" t="str">
        <f aca="false">IF(OR(Q4="",R4=""),"",IF(AND(Q4&lt;=2,R4&lt;=2),"TRIGGER","OK"))</f>
        <v/>
      </c>
      <c r="T4" s="203"/>
      <c r="U4" s="203"/>
      <c r="V4" s="201"/>
      <c r="W4" s="201"/>
      <c r="X4" s="128"/>
      <c r="Y4" s="128"/>
      <c r="Z4" s="202"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28"/>
      <c r="AB4" s="133"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200"/>
      <c r="B5" s="128"/>
      <c r="C5" s="201"/>
      <c r="D5" s="201"/>
      <c r="E5" s="128"/>
      <c r="F5" s="128"/>
      <c r="G5" s="202" t="str">
        <f aca="false">IF(OR(E5="",F5=""),"",IF(AND(E5&lt;=2,F5&lt;=2),"TRIGGER","OK"))</f>
        <v/>
      </c>
      <c r="H5" s="128"/>
      <c r="I5" s="128"/>
      <c r="J5" s="202" t="str">
        <f aca="false">IF(OR(H5="",I5=""),"",IF(AND(H5&lt;=2,I5&lt;=2),"TRIGGER","OK"))</f>
        <v/>
      </c>
      <c r="K5" s="128"/>
      <c r="L5" s="128"/>
      <c r="M5" s="202" t="str">
        <f aca="false">IF(OR(K5="",L5=""),"",IF(AND(K5&lt;=2,L5&lt;=2),"TRIGGER","OK"))</f>
        <v/>
      </c>
      <c r="N5" s="128"/>
      <c r="O5" s="128"/>
      <c r="P5" s="202" t="str">
        <f aca="false">IF(OR(N5="",O5=""),"",IF(AND(N5&lt;=2,O5&lt;=2),"TRIGGER","OK"))</f>
        <v/>
      </c>
      <c r="Q5" s="128"/>
      <c r="R5" s="128"/>
      <c r="S5" s="202" t="str">
        <f aca="false">IF(OR(Q5="",R5=""),"",IF(AND(Q5&lt;=2,R5&lt;=2),"TRIGGER","OK"))</f>
        <v/>
      </c>
      <c r="T5" s="203"/>
      <c r="U5" s="203"/>
      <c r="V5" s="201"/>
      <c r="W5" s="201"/>
      <c r="X5" s="128"/>
      <c r="Y5" s="128"/>
      <c r="Z5" s="202"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28"/>
      <c r="AB5" s="133"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200"/>
      <c r="B6" s="128"/>
      <c r="C6" s="201"/>
      <c r="D6" s="201"/>
      <c r="E6" s="128"/>
      <c r="F6" s="128"/>
      <c r="G6" s="202" t="str">
        <f aca="false">IF(OR(E6="",F6=""),"",IF(AND(E6&lt;=2,F6&lt;=2),"TRIGGER","OK"))</f>
        <v/>
      </c>
      <c r="H6" s="128"/>
      <c r="I6" s="128"/>
      <c r="J6" s="202" t="str">
        <f aca="false">IF(OR(H6="",I6=""),"",IF(AND(H6&lt;=2,I6&lt;=2),"TRIGGER","OK"))</f>
        <v/>
      </c>
      <c r="K6" s="128"/>
      <c r="L6" s="128"/>
      <c r="M6" s="202" t="str">
        <f aca="false">IF(OR(K6="",L6=""),"",IF(AND(K6&lt;=2,L6&lt;=2),"TRIGGER","OK"))</f>
        <v/>
      </c>
      <c r="N6" s="128"/>
      <c r="O6" s="128"/>
      <c r="P6" s="202" t="str">
        <f aca="false">IF(OR(N6="",O6=""),"",IF(AND(N6&lt;=2,O6&lt;=2),"TRIGGER","OK"))</f>
        <v/>
      </c>
      <c r="Q6" s="128"/>
      <c r="R6" s="128"/>
      <c r="S6" s="202" t="str">
        <f aca="false">IF(OR(Q6="",R6=""),"",IF(AND(Q6&lt;=2,R6&lt;=2),"TRIGGER","OK"))</f>
        <v/>
      </c>
      <c r="T6" s="203"/>
      <c r="U6" s="203"/>
      <c r="V6" s="201"/>
      <c r="W6" s="201"/>
      <c r="X6" s="128"/>
      <c r="Y6" s="128"/>
      <c r="Z6" s="202"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28"/>
      <c r="AB6" s="133"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200"/>
      <c r="B7" s="128"/>
      <c r="C7" s="201"/>
      <c r="D7" s="201"/>
      <c r="E7" s="128"/>
      <c r="F7" s="128"/>
      <c r="G7" s="202" t="str">
        <f aca="false">IF(OR(E7="",F7=""),"",IF(AND(E7&lt;=2,F7&lt;=2),"TRIGGER","OK"))</f>
        <v/>
      </c>
      <c r="H7" s="128"/>
      <c r="I7" s="128"/>
      <c r="J7" s="202" t="str">
        <f aca="false">IF(OR(H7="",I7=""),"",IF(AND(H7&lt;=2,I7&lt;=2),"TRIGGER","OK"))</f>
        <v/>
      </c>
      <c r="K7" s="128"/>
      <c r="L7" s="128"/>
      <c r="M7" s="202" t="str">
        <f aca="false">IF(OR(K7="",L7=""),"",IF(AND(K7&lt;=2,L7&lt;=2),"TRIGGER","OK"))</f>
        <v/>
      </c>
      <c r="N7" s="128"/>
      <c r="O7" s="128"/>
      <c r="P7" s="202" t="str">
        <f aca="false">IF(OR(N7="",O7=""),"",IF(AND(N7&lt;=2,O7&lt;=2),"TRIGGER","OK"))</f>
        <v/>
      </c>
      <c r="Q7" s="128"/>
      <c r="R7" s="128"/>
      <c r="S7" s="202" t="str">
        <f aca="false">IF(OR(Q7="",R7=""),"",IF(AND(Q7&lt;=2,R7&lt;=2),"TRIGGER","OK"))</f>
        <v/>
      </c>
      <c r="T7" s="203"/>
      <c r="U7" s="203"/>
      <c r="V7" s="201"/>
      <c r="W7" s="201"/>
      <c r="X7" s="128"/>
      <c r="Y7" s="128"/>
      <c r="Z7" s="202"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28"/>
      <c r="AB7" s="133"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200"/>
      <c r="B8" s="128"/>
      <c r="C8" s="201"/>
      <c r="D8" s="201"/>
      <c r="E8" s="128"/>
      <c r="F8" s="128"/>
      <c r="G8" s="202" t="str">
        <f aca="false">IF(OR(E8="",F8=""),"",IF(AND(E8&lt;=2,F8&lt;=2),"TRIGGER","OK"))</f>
        <v/>
      </c>
      <c r="H8" s="128"/>
      <c r="I8" s="128"/>
      <c r="J8" s="202" t="str">
        <f aca="false">IF(OR(H8="",I8=""),"",IF(AND(H8&lt;=2,I8&lt;=2),"TRIGGER","OK"))</f>
        <v/>
      </c>
      <c r="K8" s="128"/>
      <c r="L8" s="128"/>
      <c r="M8" s="202" t="str">
        <f aca="false">IF(OR(K8="",L8=""),"",IF(AND(K8&lt;=2,L8&lt;=2),"TRIGGER","OK"))</f>
        <v/>
      </c>
      <c r="N8" s="128"/>
      <c r="O8" s="128"/>
      <c r="P8" s="202" t="str">
        <f aca="false">IF(OR(N8="",O8=""),"",IF(AND(N8&lt;=2,O8&lt;=2),"TRIGGER","OK"))</f>
        <v/>
      </c>
      <c r="Q8" s="128"/>
      <c r="R8" s="128"/>
      <c r="S8" s="202" t="str">
        <f aca="false">IF(OR(Q8="",R8=""),"",IF(AND(Q8&lt;=2,R8&lt;=2),"TRIGGER","OK"))</f>
        <v/>
      </c>
      <c r="T8" s="203"/>
      <c r="U8" s="203"/>
      <c r="V8" s="201"/>
      <c r="W8" s="201"/>
      <c r="X8" s="128"/>
      <c r="Y8" s="128"/>
      <c r="Z8" s="202"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28"/>
      <c r="AB8" s="133"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200"/>
      <c r="B9" s="128"/>
      <c r="C9" s="201"/>
      <c r="D9" s="201"/>
      <c r="E9" s="128"/>
      <c r="F9" s="128"/>
      <c r="G9" s="202" t="str">
        <f aca="false">IF(OR(E9="",F9=""),"",IF(AND(E9&lt;=2,F9&lt;=2),"TRIGGER","OK"))</f>
        <v/>
      </c>
      <c r="H9" s="128"/>
      <c r="I9" s="128"/>
      <c r="J9" s="202" t="str">
        <f aca="false">IF(OR(H9="",I9=""),"",IF(AND(H9&lt;=2,I9&lt;=2),"TRIGGER","OK"))</f>
        <v/>
      </c>
      <c r="K9" s="128"/>
      <c r="L9" s="128"/>
      <c r="M9" s="202" t="str">
        <f aca="false">IF(OR(K9="",L9=""),"",IF(AND(K9&lt;=2,L9&lt;=2),"TRIGGER","OK"))</f>
        <v/>
      </c>
      <c r="N9" s="128"/>
      <c r="O9" s="128"/>
      <c r="P9" s="202" t="str">
        <f aca="false">IF(OR(N9="",O9=""),"",IF(AND(N9&lt;=2,O9&lt;=2),"TRIGGER","OK"))</f>
        <v/>
      </c>
      <c r="Q9" s="128"/>
      <c r="R9" s="128"/>
      <c r="S9" s="202" t="str">
        <f aca="false">IF(OR(Q9="",R9=""),"",IF(AND(Q9&lt;=2,R9&lt;=2),"TRIGGER","OK"))</f>
        <v/>
      </c>
      <c r="T9" s="203"/>
      <c r="U9" s="203"/>
      <c r="V9" s="201"/>
      <c r="W9" s="201"/>
      <c r="X9" s="128"/>
      <c r="Y9" s="128"/>
      <c r="Z9" s="202"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28"/>
      <c r="AB9" s="133"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200"/>
      <c r="B10" s="128"/>
      <c r="C10" s="201"/>
      <c r="D10" s="201"/>
      <c r="E10" s="128"/>
      <c r="F10" s="128"/>
      <c r="G10" s="202" t="str">
        <f aca="false">IF(OR(E10="",F10=""),"",IF(AND(E10&lt;=2,F10&lt;=2),"TRIGGER","OK"))</f>
        <v/>
      </c>
      <c r="H10" s="128"/>
      <c r="I10" s="128"/>
      <c r="J10" s="202" t="str">
        <f aca="false">IF(OR(H10="",I10=""),"",IF(AND(H10&lt;=2,I10&lt;=2),"TRIGGER","OK"))</f>
        <v/>
      </c>
      <c r="K10" s="128"/>
      <c r="L10" s="128"/>
      <c r="M10" s="202" t="str">
        <f aca="false">IF(OR(K10="",L10=""),"",IF(AND(K10&lt;=2,L10&lt;=2),"TRIGGER","OK"))</f>
        <v/>
      </c>
      <c r="N10" s="128"/>
      <c r="O10" s="128"/>
      <c r="P10" s="202" t="str">
        <f aca="false">IF(OR(N10="",O10=""),"",IF(AND(N10&lt;=2,O10&lt;=2),"TRIGGER","OK"))</f>
        <v/>
      </c>
      <c r="Q10" s="128"/>
      <c r="R10" s="128"/>
      <c r="S10" s="202" t="str">
        <f aca="false">IF(OR(Q10="",R10=""),"",IF(AND(Q10&lt;=2,R10&lt;=2),"TRIGGER","OK"))</f>
        <v/>
      </c>
      <c r="T10" s="203"/>
      <c r="U10" s="203"/>
      <c r="V10" s="201"/>
      <c r="W10" s="201"/>
      <c r="X10" s="128"/>
      <c r="Y10" s="128"/>
      <c r="Z10" s="202"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28"/>
      <c r="AB10" s="133"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200"/>
      <c r="B11" s="128"/>
      <c r="C11" s="201"/>
      <c r="D11" s="201"/>
      <c r="E11" s="128"/>
      <c r="F11" s="128"/>
      <c r="G11" s="202" t="str">
        <f aca="false">IF(OR(E11="",F11=""),"",IF(AND(E11&lt;=2,F11&lt;=2),"TRIGGER","OK"))</f>
        <v/>
      </c>
      <c r="H11" s="128"/>
      <c r="I11" s="128"/>
      <c r="J11" s="202" t="str">
        <f aca="false">IF(OR(H11="",I11=""),"",IF(AND(H11&lt;=2,I11&lt;=2),"TRIGGER","OK"))</f>
        <v/>
      </c>
      <c r="K11" s="128"/>
      <c r="L11" s="128"/>
      <c r="M11" s="202" t="str">
        <f aca="false">IF(OR(K11="",L11=""),"",IF(AND(K11&lt;=2,L11&lt;=2),"TRIGGER","OK"))</f>
        <v/>
      </c>
      <c r="N11" s="128"/>
      <c r="O11" s="128"/>
      <c r="P11" s="202" t="str">
        <f aca="false">IF(OR(N11="",O11=""),"",IF(AND(N11&lt;=2,O11&lt;=2),"TRIGGER","OK"))</f>
        <v/>
      </c>
      <c r="Q11" s="128"/>
      <c r="R11" s="128"/>
      <c r="S11" s="202" t="str">
        <f aca="false">IF(OR(Q11="",R11=""),"",IF(AND(Q11&lt;=2,R11&lt;=2),"TRIGGER","OK"))</f>
        <v/>
      </c>
      <c r="T11" s="203"/>
      <c r="U11" s="203"/>
      <c r="V11" s="201"/>
      <c r="W11" s="201"/>
      <c r="X11" s="128"/>
      <c r="Y11" s="128"/>
      <c r="Z11" s="202"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28"/>
      <c r="AB11" s="133"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200"/>
      <c r="B12" s="128"/>
      <c r="C12" s="201"/>
      <c r="D12" s="201"/>
      <c r="E12" s="128"/>
      <c r="F12" s="128"/>
      <c r="G12" s="202" t="str">
        <f aca="false">IF(OR(E12="",F12=""),"",IF(AND(E12&lt;=2,F12&lt;=2),"TRIGGER","OK"))</f>
        <v/>
      </c>
      <c r="H12" s="128"/>
      <c r="I12" s="128"/>
      <c r="J12" s="202" t="str">
        <f aca="false">IF(OR(H12="",I12=""),"",IF(AND(H12&lt;=2,I12&lt;=2),"TRIGGER","OK"))</f>
        <v/>
      </c>
      <c r="K12" s="128"/>
      <c r="L12" s="128"/>
      <c r="M12" s="202" t="str">
        <f aca="false">IF(OR(K12="",L12=""),"",IF(AND(K12&lt;=2,L12&lt;=2),"TRIGGER","OK"))</f>
        <v/>
      </c>
      <c r="N12" s="128"/>
      <c r="O12" s="128"/>
      <c r="P12" s="202" t="str">
        <f aca="false">IF(OR(N12="",O12=""),"",IF(AND(N12&lt;=2,O12&lt;=2),"TRIGGER","OK"))</f>
        <v/>
      </c>
      <c r="Q12" s="128"/>
      <c r="R12" s="128"/>
      <c r="S12" s="202" t="str">
        <f aca="false">IF(OR(Q12="",R12=""),"",IF(AND(Q12&lt;=2,R12&lt;=2),"TRIGGER","OK"))</f>
        <v/>
      </c>
      <c r="T12" s="203"/>
      <c r="U12" s="203"/>
      <c r="V12" s="201"/>
      <c r="W12" s="201"/>
      <c r="X12" s="128"/>
      <c r="Y12" s="128"/>
      <c r="Z12" s="202"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28"/>
      <c r="AB12" s="133"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200"/>
      <c r="B13" s="128"/>
      <c r="C13" s="201"/>
      <c r="D13" s="201"/>
      <c r="E13" s="128"/>
      <c r="F13" s="128"/>
      <c r="G13" s="202" t="str">
        <f aca="false">IF(OR(E13="",F13=""),"",IF(AND(E13&lt;=2,F13&lt;=2),"TRIGGER","OK"))</f>
        <v/>
      </c>
      <c r="H13" s="128"/>
      <c r="I13" s="128"/>
      <c r="J13" s="202" t="str">
        <f aca="false">IF(OR(H13="",I13=""),"",IF(AND(H13&lt;=2,I13&lt;=2),"TRIGGER","OK"))</f>
        <v/>
      </c>
      <c r="K13" s="128"/>
      <c r="L13" s="128"/>
      <c r="M13" s="202" t="str">
        <f aca="false">IF(OR(K13="",L13=""),"",IF(AND(K13&lt;=2,L13&lt;=2),"TRIGGER","OK"))</f>
        <v/>
      </c>
      <c r="N13" s="128"/>
      <c r="O13" s="128"/>
      <c r="P13" s="202" t="str">
        <f aca="false">IF(OR(N13="",O13=""),"",IF(AND(N13&lt;=2,O13&lt;=2),"TRIGGER","OK"))</f>
        <v/>
      </c>
      <c r="Q13" s="128"/>
      <c r="R13" s="128"/>
      <c r="S13" s="202" t="str">
        <f aca="false">IF(OR(Q13="",R13=""),"",IF(AND(Q13&lt;=2,R13&lt;=2),"TRIGGER","OK"))</f>
        <v/>
      </c>
      <c r="T13" s="203"/>
      <c r="U13" s="203"/>
      <c r="V13" s="201"/>
      <c r="W13" s="201"/>
      <c r="X13" s="128"/>
      <c r="Y13" s="128"/>
      <c r="Z13" s="202"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28"/>
      <c r="AB13" s="133"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200"/>
      <c r="B14" s="128"/>
      <c r="C14" s="201"/>
      <c r="D14" s="201"/>
      <c r="E14" s="128"/>
      <c r="F14" s="128"/>
      <c r="G14" s="202" t="str">
        <f aca="false">IF(OR(E14="",F14=""),"",IF(AND(E14&lt;=2,F14&lt;=2),"TRIGGER","OK"))</f>
        <v/>
      </c>
      <c r="H14" s="128"/>
      <c r="I14" s="128"/>
      <c r="J14" s="202" t="str">
        <f aca="false">IF(OR(H14="",I14=""),"",IF(AND(H14&lt;=2,I14&lt;=2),"TRIGGER","OK"))</f>
        <v/>
      </c>
      <c r="K14" s="128"/>
      <c r="L14" s="128"/>
      <c r="M14" s="202" t="str">
        <f aca="false">IF(OR(K14="",L14=""),"",IF(AND(K14&lt;=2,L14&lt;=2),"TRIGGER","OK"))</f>
        <v/>
      </c>
      <c r="N14" s="128"/>
      <c r="O14" s="128"/>
      <c r="P14" s="202" t="str">
        <f aca="false">IF(OR(N14="",O14=""),"",IF(AND(N14&lt;=2,O14&lt;=2),"TRIGGER","OK"))</f>
        <v/>
      </c>
      <c r="Q14" s="128"/>
      <c r="R14" s="128"/>
      <c r="S14" s="202" t="str">
        <f aca="false">IF(OR(Q14="",R14=""),"",IF(AND(Q14&lt;=2,R14&lt;=2),"TRIGGER","OK"))</f>
        <v/>
      </c>
      <c r="T14" s="203"/>
      <c r="U14" s="203"/>
      <c r="V14" s="201"/>
      <c r="W14" s="201"/>
      <c r="X14" s="128"/>
      <c r="Y14" s="128"/>
      <c r="Z14" s="202"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28"/>
      <c r="AB14" s="133"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200"/>
      <c r="B15" s="128"/>
      <c r="C15" s="201"/>
      <c r="D15" s="201"/>
      <c r="E15" s="128"/>
      <c r="F15" s="128"/>
      <c r="G15" s="202" t="str">
        <f aca="false">IF(OR(E15="",F15=""),"",IF(AND(E15&lt;=2,F15&lt;=2),"TRIGGER","OK"))</f>
        <v/>
      </c>
      <c r="H15" s="128"/>
      <c r="I15" s="128"/>
      <c r="J15" s="202" t="str">
        <f aca="false">IF(OR(H15="",I15=""),"",IF(AND(H15&lt;=2,I15&lt;=2),"TRIGGER","OK"))</f>
        <v/>
      </c>
      <c r="K15" s="128"/>
      <c r="L15" s="128"/>
      <c r="M15" s="202" t="str">
        <f aca="false">IF(OR(K15="",L15=""),"",IF(AND(K15&lt;=2,L15&lt;=2),"TRIGGER","OK"))</f>
        <v/>
      </c>
      <c r="N15" s="128"/>
      <c r="O15" s="128"/>
      <c r="P15" s="202" t="str">
        <f aca="false">IF(OR(N15="",O15=""),"",IF(AND(N15&lt;=2,O15&lt;=2),"TRIGGER","OK"))</f>
        <v/>
      </c>
      <c r="Q15" s="128"/>
      <c r="R15" s="128"/>
      <c r="S15" s="202" t="str">
        <f aca="false">IF(OR(Q15="",R15=""),"",IF(AND(Q15&lt;=2,R15&lt;=2),"TRIGGER","OK"))</f>
        <v/>
      </c>
      <c r="T15" s="203"/>
      <c r="U15" s="203"/>
      <c r="V15" s="201"/>
      <c r="W15" s="201"/>
      <c r="X15" s="128"/>
      <c r="Y15" s="128"/>
      <c r="Z15" s="202"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28"/>
      <c r="AB15" s="133"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200"/>
      <c r="B16" s="128"/>
      <c r="C16" s="201"/>
      <c r="D16" s="201"/>
      <c r="E16" s="128"/>
      <c r="F16" s="128"/>
      <c r="G16" s="202" t="str">
        <f aca="false">IF(OR(E16="",F16=""),"",IF(AND(E16&lt;=2,F16&lt;=2),"TRIGGER","OK"))</f>
        <v/>
      </c>
      <c r="H16" s="128"/>
      <c r="I16" s="128"/>
      <c r="J16" s="202" t="str">
        <f aca="false">IF(OR(H16="",I16=""),"",IF(AND(H16&lt;=2,I16&lt;=2),"TRIGGER","OK"))</f>
        <v/>
      </c>
      <c r="K16" s="128"/>
      <c r="L16" s="128"/>
      <c r="M16" s="202" t="str">
        <f aca="false">IF(OR(K16="",L16=""),"",IF(AND(K16&lt;=2,L16&lt;=2),"TRIGGER","OK"))</f>
        <v/>
      </c>
      <c r="N16" s="128"/>
      <c r="O16" s="128"/>
      <c r="P16" s="202" t="str">
        <f aca="false">IF(OR(N16="",O16=""),"",IF(AND(N16&lt;=2,O16&lt;=2),"TRIGGER","OK"))</f>
        <v/>
      </c>
      <c r="Q16" s="128"/>
      <c r="R16" s="128"/>
      <c r="S16" s="202" t="str">
        <f aca="false">IF(OR(Q16="",R16=""),"",IF(AND(Q16&lt;=2,R16&lt;=2),"TRIGGER","OK"))</f>
        <v/>
      </c>
      <c r="T16" s="203"/>
      <c r="U16" s="203"/>
      <c r="V16" s="201"/>
      <c r="W16" s="201"/>
      <c r="X16" s="128"/>
      <c r="Y16" s="128"/>
      <c r="Z16" s="202"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28"/>
      <c r="AB16" s="133"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200"/>
      <c r="B17" s="128"/>
      <c r="C17" s="201"/>
      <c r="D17" s="201"/>
      <c r="E17" s="128"/>
      <c r="F17" s="128"/>
      <c r="G17" s="202" t="str">
        <f aca="false">IF(OR(E17="",F17=""),"",IF(AND(E17&lt;=2,F17&lt;=2),"TRIGGER","OK"))</f>
        <v/>
      </c>
      <c r="H17" s="128"/>
      <c r="I17" s="128"/>
      <c r="J17" s="202" t="str">
        <f aca="false">IF(OR(H17="",I17=""),"",IF(AND(H17&lt;=2,I17&lt;=2),"TRIGGER","OK"))</f>
        <v/>
      </c>
      <c r="K17" s="128"/>
      <c r="L17" s="128"/>
      <c r="M17" s="202" t="str">
        <f aca="false">IF(OR(K17="",L17=""),"",IF(AND(K17&lt;=2,L17&lt;=2),"TRIGGER","OK"))</f>
        <v/>
      </c>
      <c r="N17" s="128"/>
      <c r="O17" s="128"/>
      <c r="P17" s="202" t="str">
        <f aca="false">IF(OR(N17="",O17=""),"",IF(AND(N17&lt;=2,O17&lt;=2),"TRIGGER","OK"))</f>
        <v/>
      </c>
      <c r="Q17" s="128"/>
      <c r="R17" s="128"/>
      <c r="S17" s="202" t="str">
        <f aca="false">IF(OR(Q17="",R17=""),"",IF(AND(Q17&lt;=2,R17&lt;=2),"TRIGGER","OK"))</f>
        <v/>
      </c>
      <c r="T17" s="203"/>
      <c r="U17" s="203"/>
      <c r="V17" s="201"/>
      <c r="W17" s="201"/>
      <c r="X17" s="128"/>
      <c r="Y17" s="128"/>
      <c r="Z17" s="202"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28"/>
      <c r="AB17" s="133"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200"/>
      <c r="B18" s="128"/>
      <c r="C18" s="201"/>
      <c r="D18" s="201"/>
      <c r="E18" s="128"/>
      <c r="F18" s="128"/>
      <c r="G18" s="202" t="str">
        <f aca="false">IF(OR(E18="",F18=""),"",IF(AND(E18&lt;=2,F18&lt;=2),"TRIGGER","OK"))</f>
        <v/>
      </c>
      <c r="H18" s="128"/>
      <c r="I18" s="128"/>
      <c r="J18" s="202" t="str">
        <f aca="false">IF(OR(H18="",I18=""),"",IF(AND(H18&lt;=2,I18&lt;=2),"TRIGGER","OK"))</f>
        <v/>
      </c>
      <c r="K18" s="128"/>
      <c r="L18" s="128"/>
      <c r="M18" s="202" t="str">
        <f aca="false">IF(OR(K18="",L18=""),"",IF(AND(K18&lt;=2,L18&lt;=2),"TRIGGER","OK"))</f>
        <v/>
      </c>
      <c r="N18" s="128"/>
      <c r="O18" s="128"/>
      <c r="P18" s="202" t="str">
        <f aca="false">IF(OR(N18="",O18=""),"",IF(AND(N18&lt;=2,O18&lt;=2),"TRIGGER","OK"))</f>
        <v/>
      </c>
      <c r="Q18" s="128"/>
      <c r="R18" s="128"/>
      <c r="S18" s="202" t="str">
        <f aca="false">IF(OR(Q18="",R18=""),"",IF(AND(Q18&lt;=2,R18&lt;=2),"TRIGGER","OK"))</f>
        <v/>
      </c>
      <c r="T18" s="203"/>
      <c r="U18" s="203"/>
      <c r="V18" s="201"/>
      <c r="W18" s="201"/>
      <c r="X18" s="128"/>
      <c r="Y18" s="128"/>
      <c r="Z18" s="202"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28"/>
      <c r="AB18" s="133"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200"/>
      <c r="B19" s="128"/>
      <c r="C19" s="201"/>
      <c r="D19" s="201"/>
      <c r="E19" s="128"/>
      <c r="F19" s="128"/>
      <c r="G19" s="202" t="str">
        <f aca="false">IF(OR(E19="",F19=""),"",IF(AND(E19&lt;=2,F19&lt;=2),"TRIGGER","OK"))</f>
        <v/>
      </c>
      <c r="H19" s="128"/>
      <c r="I19" s="128"/>
      <c r="J19" s="202" t="str">
        <f aca="false">IF(OR(H19="",I19=""),"",IF(AND(H19&lt;=2,I19&lt;=2),"TRIGGER","OK"))</f>
        <v/>
      </c>
      <c r="K19" s="128"/>
      <c r="L19" s="128"/>
      <c r="M19" s="202" t="str">
        <f aca="false">IF(OR(K19="",L19=""),"",IF(AND(K19&lt;=2,L19&lt;=2),"TRIGGER","OK"))</f>
        <v/>
      </c>
      <c r="N19" s="128"/>
      <c r="O19" s="128"/>
      <c r="P19" s="202" t="str">
        <f aca="false">IF(OR(N19="",O19=""),"",IF(AND(N19&lt;=2,O19&lt;=2),"TRIGGER","OK"))</f>
        <v/>
      </c>
      <c r="Q19" s="128"/>
      <c r="R19" s="128"/>
      <c r="S19" s="202" t="str">
        <f aca="false">IF(OR(Q19="",R19=""),"",IF(AND(Q19&lt;=2,R19&lt;=2),"TRIGGER","OK"))</f>
        <v/>
      </c>
      <c r="T19" s="203"/>
      <c r="U19" s="203"/>
      <c r="V19" s="201"/>
      <c r="W19" s="201"/>
      <c r="X19" s="128"/>
      <c r="Y19" s="128"/>
      <c r="Z19" s="202"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28"/>
      <c r="AB19" s="133"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200"/>
      <c r="B20" s="128"/>
      <c r="C20" s="201"/>
      <c r="D20" s="201"/>
      <c r="E20" s="128"/>
      <c r="F20" s="128"/>
      <c r="G20" s="202" t="str">
        <f aca="false">IF(OR(E20="",F20=""),"",IF(AND(E20&lt;=2,F20&lt;=2),"TRIGGER","OK"))</f>
        <v/>
      </c>
      <c r="H20" s="128"/>
      <c r="I20" s="128"/>
      <c r="J20" s="202" t="str">
        <f aca="false">IF(OR(H20="",I20=""),"",IF(AND(H20&lt;=2,I20&lt;=2),"TRIGGER","OK"))</f>
        <v/>
      </c>
      <c r="K20" s="128"/>
      <c r="L20" s="128"/>
      <c r="M20" s="202" t="str">
        <f aca="false">IF(OR(K20="",L20=""),"",IF(AND(K20&lt;=2,L20&lt;=2),"TRIGGER","OK"))</f>
        <v/>
      </c>
      <c r="N20" s="128"/>
      <c r="O20" s="128"/>
      <c r="P20" s="202" t="str">
        <f aca="false">IF(OR(N20="",O20=""),"",IF(AND(N20&lt;=2,O20&lt;=2),"TRIGGER","OK"))</f>
        <v/>
      </c>
      <c r="Q20" s="128"/>
      <c r="R20" s="128"/>
      <c r="S20" s="202" t="str">
        <f aca="false">IF(OR(Q20="",R20=""),"",IF(AND(Q20&lt;=2,R20&lt;=2),"TRIGGER","OK"))</f>
        <v/>
      </c>
      <c r="T20" s="203"/>
      <c r="U20" s="203"/>
      <c r="V20" s="201"/>
      <c r="W20" s="201"/>
      <c r="X20" s="128"/>
      <c r="Y20" s="128"/>
      <c r="Z20" s="202"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28"/>
      <c r="AB20" s="133"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200"/>
      <c r="B21" s="128"/>
      <c r="C21" s="201"/>
      <c r="D21" s="201"/>
      <c r="E21" s="128"/>
      <c r="F21" s="128"/>
      <c r="G21" s="202" t="str">
        <f aca="false">IF(OR(E21="",F21=""),"",IF(AND(E21&lt;=2,F21&lt;=2),"TRIGGER","OK"))</f>
        <v/>
      </c>
      <c r="H21" s="128"/>
      <c r="I21" s="128"/>
      <c r="J21" s="202" t="str">
        <f aca="false">IF(OR(H21="",I21=""),"",IF(AND(H21&lt;=2,I21&lt;=2),"TRIGGER","OK"))</f>
        <v/>
      </c>
      <c r="K21" s="128"/>
      <c r="L21" s="128"/>
      <c r="M21" s="202" t="str">
        <f aca="false">IF(OR(K21="",L21=""),"",IF(AND(K21&lt;=2,L21&lt;=2),"TRIGGER","OK"))</f>
        <v/>
      </c>
      <c r="N21" s="128"/>
      <c r="O21" s="128"/>
      <c r="P21" s="202" t="str">
        <f aca="false">IF(OR(N21="",O21=""),"",IF(AND(N21&lt;=2,O21&lt;=2),"TRIGGER","OK"))</f>
        <v/>
      </c>
      <c r="Q21" s="128"/>
      <c r="R21" s="128"/>
      <c r="S21" s="202" t="str">
        <f aca="false">IF(OR(Q21="",R21=""),"",IF(AND(Q21&lt;=2,R21&lt;=2),"TRIGGER","OK"))</f>
        <v/>
      </c>
      <c r="T21" s="203"/>
      <c r="U21" s="203"/>
      <c r="V21" s="201"/>
      <c r="W21" s="201"/>
      <c r="X21" s="128"/>
      <c r="Y21" s="128"/>
      <c r="Z21" s="202"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28"/>
      <c r="AB21" s="133"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200"/>
      <c r="B22" s="128"/>
      <c r="C22" s="201"/>
      <c r="D22" s="201"/>
      <c r="E22" s="128"/>
      <c r="F22" s="128"/>
      <c r="G22" s="202" t="str">
        <f aca="false">IF(OR(E22="",F22=""),"",IF(AND(E22&lt;=2,F22&lt;=2),"TRIGGER","OK"))</f>
        <v/>
      </c>
      <c r="H22" s="128"/>
      <c r="I22" s="128"/>
      <c r="J22" s="202" t="str">
        <f aca="false">IF(OR(H22="",I22=""),"",IF(AND(H22&lt;=2,I22&lt;=2),"TRIGGER","OK"))</f>
        <v/>
      </c>
      <c r="K22" s="128"/>
      <c r="L22" s="128"/>
      <c r="M22" s="202" t="str">
        <f aca="false">IF(OR(K22="",L22=""),"",IF(AND(K22&lt;=2,L22&lt;=2),"TRIGGER","OK"))</f>
        <v/>
      </c>
      <c r="N22" s="128"/>
      <c r="O22" s="128"/>
      <c r="P22" s="202" t="str">
        <f aca="false">IF(OR(N22="",O22=""),"",IF(AND(N22&lt;=2,O22&lt;=2),"TRIGGER","OK"))</f>
        <v/>
      </c>
      <c r="Q22" s="128"/>
      <c r="R22" s="128"/>
      <c r="S22" s="202" t="str">
        <f aca="false">IF(OR(Q22="",R22=""),"",IF(AND(Q22&lt;=2,R22&lt;=2),"TRIGGER","OK"))</f>
        <v/>
      </c>
      <c r="T22" s="203"/>
      <c r="U22" s="203"/>
      <c r="V22" s="201"/>
      <c r="W22" s="201"/>
      <c r="X22" s="128"/>
      <c r="Y22" s="128"/>
      <c r="Z22" s="202"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28"/>
      <c r="AB22" s="133"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200"/>
      <c r="B23" s="128"/>
      <c r="C23" s="201"/>
      <c r="D23" s="201"/>
      <c r="E23" s="128"/>
      <c r="F23" s="128"/>
      <c r="G23" s="202" t="str">
        <f aca="false">IF(OR(E23="",F23=""),"",IF(AND(E23&lt;=2,F23&lt;=2),"TRIGGER","OK"))</f>
        <v/>
      </c>
      <c r="H23" s="128"/>
      <c r="I23" s="128"/>
      <c r="J23" s="202" t="str">
        <f aca="false">IF(OR(H23="",I23=""),"",IF(AND(H23&lt;=2,I23&lt;=2),"TRIGGER","OK"))</f>
        <v/>
      </c>
      <c r="K23" s="128"/>
      <c r="L23" s="128"/>
      <c r="M23" s="202" t="str">
        <f aca="false">IF(OR(K23="",L23=""),"",IF(AND(K23&lt;=2,L23&lt;=2),"TRIGGER","OK"))</f>
        <v/>
      </c>
      <c r="N23" s="128"/>
      <c r="O23" s="128"/>
      <c r="P23" s="202" t="str">
        <f aca="false">IF(OR(N23="",O23=""),"",IF(AND(N23&lt;=2,O23&lt;=2),"TRIGGER","OK"))</f>
        <v/>
      </c>
      <c r="Q23" s="128"/>
      <c r="R23" s="128"/>
      <c r="S23" s="202" t="str">
        <f aca="false">IF(OR(Q23="",R23=""),"",IF(AND(Q23&lt;=2,R23&lt;=2),"TRIGGER","OK"))</f>
        <v/>
      </c>
      <c r="T23" s="203"/>
      <c r="U23" s="203"/>
      <c r="V23" s="201"/>
      <c r="W23" s="201"/>
      <c r="X23" s="128"/>
      <c r="Y23" s="128"/>
      <c r="Z23" s="202"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28"/>
      <c r="AB23" s="133"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I23" activeCellId="0" sqref="I23"/>
    </sheetView>
  </sheetViews>
  <sheetFormatPr defaultColWidth="8.66796875" defaultRowHeight="15" customHeight="false" zeroHeight="false" outlineLevelRow="0" outlineLevelCol="0"/>
  <cols>
    <col collapsed="false" customWidth="true" hidden="false" outlineLevel="0" max="1" min="1" style="1" width="6.83"/>
    <col collapsed="false" customWidth="true" hidden="false" outlineLevel="0" max="2" min="2" style="1" width="15"/>
    <col collapsed="false" customWidth="true" hidden="false" outlineLevel="0" max="3" min="3" style="1" width="7.5"/>
    <col collapsed="false" customWidth="true" hidden="false" outlineLevel="0" max="4" min="4" style="1" width="7.83"/>
    <col collapsed="false" customWidth="true" hidden="false" outlineLevel="0" max="5" min="5" style="1" width="8"/>
    <col collapsed="false" customWidth="true" hidden="false" outlineLevel="0" max="6" min="6" style="1" width="9.67"/>
    <col collapsed="false" customWidth="true" hidden="false" outlineLevel="0" max="7" min="7" style="1" width="9.33"/>
    <col collapsed="false" customWidth="true" hidden="false" outlineLevel="0" max="8" min="8" style="1" width="8.5"/>
    <col collapsed="false" customWidth="true" hidden="false" outlineLevel="0" max="9" min="9" style="1" width="6.83"/>
    <col collapsed="false" customWidth="true" hidden="false" outlineLevel="0" max="10" min="10" style="1" width="7.5"/>
    <col collapsed="false" customWidth="true" hidden="false" outlineLevel="0" max="11" min="11" style="1" width="9"/>
    <col collapsed="false" customWidth="true" hidden="false" outlineLevel="0" max="12" min="12" style="1" width="20"/>
    <col collapsed="false" customWidth="true" hidden="false" outlineLevel="0" max="13" min="13" style="1" width="7.83"/>
    <col collapsed="false" customWidth="true" hidden="false" outlineLevel="0" max="14" min="14" style="1" width="8.5"/>
    <col collapsed="false" customWidth="true" hidden="false" outlineLevel="0" max="15" min="15" style="1" width="10"/>
    <col collapsed="false" customWidth="true" hidden="false" outlineLevel="0" max="16" min="16" style="1" width="9.67"/>
    <col collapsed="false" customWidth="true" hidden="false" outlineLevel="0" max="18" min="18" style="1" width="7.5"/>
    <col collapsed="false" customWidth="true" hidden="false" outlineLevel="0" max="20" min="19" style="1" width="8"/>
    <col collapsed="false" customWidth="true" hidden="false" outlineLevel="0" max="21" min="21" style="1" width="6.33"/>
    <col collapsed="false" customWidth="true" hidden="false" outlineLevel="0" max="24" min="22" style="1" width="7.33"/>
    <col collapsed="false" customWidth="true" hidden="false" outlineLevel="0" max="25" min="25" style="1" width="9"/>
    <col collapsed="false" customWidth="true" hidden="false" outlineLevel="0" max="27" min="26" style="1" width="11.5"/>
    <col collapsed="false" customWidth="true" hidden="false" outlineLevel="0" max="28" min="28" style="1" width="7"/>
    <col collapsed="false" customWidth="true" hidden="false" outlineLevel="0" max="29" min="29" style="1" width="8.16"/>
  </cols>
  <sheetData>
    <row r="1" customFormat="false" ht="141.75" hidden="false" customHeight="true" outlineLevel="0" collapsed="false">
      <c r="A1" s="204" t="s">
        <v>541</v>
      </c>
      <c r="B1" s="204"/>
      <c r="C1" s="204"/>
      <c r="D1" s="204"/>
      <c r="E1" s="204"/>
      <c r="F1" s="204"/>
      <c r="G1" s="204"/>
      <c r="H1" s="204"/>
      <c r="I1" s="204"/>
      <c r="J1" s="204"/>
      <c r="K1" s="204"/>
      <c r="L1" s="204"/>
      <c r="M1" s="204"/>
      <c r="N1" s="204"/>
      <c r="O1" s="204"/>
      <c r="P1" s="204"/>
      <c r="Q1" s="198"/>
    </row>
    <row r="2" customFormat="false" ht="42.75" hidden="false" customHeight="true" outlineLevel="0" collapsed="false">
      <c r="A2" s="60" t="s">
        <v>82</v>
      </c>
      <c r="B2" s="60" t="s">
        <v>296</v>
      </c>
      <c r="C2" s="60" t="s">
        <v>542</v>
      </c>
      <c r="D2" s="60" t="s">
        <v>543</v>
      </c>
      <c r="E2" s="60" t="s">
        <v>489</v>
      </c>
      <c r="F2" s="60" t="s">
        <v>544</v>
      </c>
      <c r="G2" s="60" t="s">
        <v>545</v>
      </c>
      <c r="H2" s="60" t="s">
        <v>546</v>
      </c>
      <c r="I2" s="60" t="s">
        <v>547</v>
      </c>
      <c r="J2" s="60" t="s">
        <v>548</v>
      </c>
      <c r="K2" s="60" t="s">
        <v>549</v>
      </c>
      <c r="L2" s="60" t="s">
        <v>550</v>
      </c>
      <c r="M2" s="60" t="s">
        <v>551</v>
      </c>
      <c r="N2" s="60" t="s">
        <v>552</v>
      </c>
      <c r="O2" s="60" t="s">
        <v>553</v>
      </c>
      <c r="P2" s="60" t="s">
        <v>554</v>
      </c>
      <c r="Q2" s="60" t="s">
        <v>555</v>
      </c>
      <c r="R2" s="60" t="s">
        <v>556</v>
      </c>
      <c r="S2" s="60" t="s">
        <v>557</v>
      </c>
      <c r="T2" s="60" t="s">
        <v>558</v>
      </c>
      <c r="U2" s="60" t="s">
        <v>559</v>
      </c>
      <c r="V2" s="60" t="s">
        <v>560</v>
      </c>
      <c r="W2" s="60" t="s">
        <v>561</v>
      </c>
      <c r="X2" s="60" t="s">
        <v>562</v>
      </c>
      <c r="Y2" s="60" t="s">
        <v>563</v>
      </c>
      <c r="Z2" s="60" t="s">
        <v>564</v>
      </c>
      <c r="AA2" s="60" t="s">
        <v>565</v>
      </c>
      <c r="AB2" s="60" t="s">
        <v>566</v>
      </c>
      <c r="AC2" s="60" t="s">
        <v>567</v>
      </c>
    </row>
    <row r="3" customFormat="false" ht="15" hidden="false" customHeight="true" outlineLevel="0" collapsed="false">
      <c r="A3" s="205" t="s">
        <v>96</v>
      </c>
      <c r="B3" s="128" t="s">
        <v>97</v>
      </c>
      <c r="C3" s="206" t="n">
        <v>46241</v>
      </c>
      <c r="D3" s="207" t="n">
        <v>266.38</v>
      </c>
      <c r="E3" s="208" t="n">
        <v>85.8</v>
      </c>
      <c r="F3" s="128" t="s">
        <v>349</v>
      </c>
      <c r="G3" s="128" t="s">
        <v>568</v>
      </c>
      <c r="H3" s="207" t="n">
        <v>773.26</v>
      </c>
      <c r="I3" s="128" t="s">
        <v>569</v>
      </c>
      <c r="J3" s="177"/>
      <c r="K3" s="207"/>
      <c r="L3" s="128"/>
      <c r="M3" s="207" t="n">
        <f aca="false">IFERROR(INDEX('Market Data'!$C$3:$C$300,MATCH($A3,'Market Data'!$A$3:$A$300,0)),"")</f>
        <v>237.69</v>
      </c>
      <c r="N3" s="207" t="n">
        <f aca="false">PT_SPY_Now</f>
        <v>769.64</v>
      </c>
      <c r="O3" s="209" t="n">
        <f aca="false">IF(OR(D3="",M3=""),"",M3/D3-1)</f>
        <v>-0.107703281027104</v>
      </c>
      <c r="P3" s="209" t="n">
        <f aca="false">IF(OR(H3="",N3=""),"",N3/H3-1)</f>
        <v>-0.00468147841605671</v>
      </c>
      <c r="Q3" s="209" t="n">
        <f aca="false">IF(OR(O3="",P3=""),"",O3-P3)</f>
        <v>-0.103021802611047</v>
      </c>
      <c r="R3" s="207" t="s">
        <v>570</v>
      </c>
      <c r="S3" s="207" t="s">
        <v>571</v>
      </c>
      <c r="T3" s="210" t="n">
        <v>20</v>
      </c>
      <c r="U3" s="211" t="n">
        <f aca="false">IF($A3="","",IF(OR($S3="System",$I3="Exited"),$T3,SUMIFS(CurrentPositionsTable[Quantity],CurrentPositionsTable[Ticker],$A3)-SUMIFS($T$3:$T$44,$A$3:$A$44,$A3,$S$3:$S$44,"System",$I$3:$I$44,"Held")))</f>
        <v>20</v>
      </c>
      <c r="V3" s="212" t="n">
        <f aca="false">IF(OR($U3="",$D3=""),"",$U3*$D3)</f>
        <v>5327.6</v>
      </c>
      <c r="W3" s="212" t="n">
        <f aca="false">IF(OR($U3="",$M3=""),"",$U3*$M3)</f>
        <v>4753.8</v>
      </c>
      <c r="X3" s="213" t="n">
        <f aca="false">IF(OR($V3="",$W3=""),"",$W3-$V3)</f>
        <v>-573.8</v>
      </c>
      <c r="Y3" s="207" t="n">
        <f aca="false">$D3</f>
        <v>266.38</v>
      </c>
      <c r="Z3" s="212" t="n">
        <f aca="false">IF(OR($U3="",$Y3=""),"",$U3*$Y3)</f>
        <v>5327.6</v>
      </c>
      <c r="AA3" s="213" t="n">
        <f aca="false">IF(OR($Z3="",$W3=""),"",$W3-$Z3)</f>
        <v>-573.8</v>
      </c>
      <c r="AB3" s="209" t="n">
        <f aca="false">IF(OR($Z3="",$W3=""),"",IF($Z3=0,"",$W3/$Z3-1))</f>
        <v>-0.107703281027104</v>
      </c>
      <c r="AC3" s="213" t="n">
        <f aca="false">IF(OR($V3="",$P3=""),"",$V3*$P3)</f>
        <v>-24.9410444093837</v>
      </c>
    </row>
    <row r="4" customFormat="false" ht="15" hidden="false" customHeight="true" outlineLevel="0" collapsed="false">
      <c r="A4" s="205" t="s">
        <v>174</v>
      </c>
      <c r="B4" s="128" t="s">
        <v>175</v>
      </c>
      <c r="C4" s="206" t="n">
        <v>46241</v>
      </c>
      <c r="D4" s="207" t="n">
        <v>488.77</v>
      </c>
      <c r="E4" s="208" t="n">
        <v>75.6</v>
      </c>
      <c r="F4" s="128" t="s">
        <v>349</v>
      </c>
      <c r="G4" s="128" t="s">
        <v>572</v>
      </c>
      <c r="H4" s="207" t="n">
        <v>773.26</v>
      </c>
      <c r="I4" s="128" t="s">
        <v>569</v>
      </c>
      <c r="J4" s="177"/>
      <c r="K4" s="207"/>
      <c r="L4" s="128"/>
      <c r="M4" s="207" t="n">
        <f aca="false">IFERROR(INDEX('Market Data'!$C$3:$C$300,MATCH($A4,'Market Data'!$A$3:$A$300,0)),"")</f>
        <v>504.73</v>
      </c>
      <c r="N4" s="207" t="n">
        <f aca="false">PT_SPY_Now</f>
        <v>769.64</v>
      </c>
      <c r="O4" s="209" t="n">
        <f aca="false">IF(OR(D4="",M4=""),"",M4/D4-1)</f>
        <v>0.0326533952574832</v>
      </c>
      <c r="P4" s="209" t="n">
        <f aca="false">IF(OR(H4="",N4=""),"",N4/H4-1)</f>
        <v>-0.00468147841605671</v>
      </c>
      <c r="Q4" s="209" t="n">
        <f aca="false">IF(OR(O4="",P4=""),"",O4-P4)</f>
        <v>0.0373348736735399</v>
      </c>
      <c r="R4" s="207" t="s">
        <v>570</v>
      </c>
      <c r="S4" s="207" t="s">
        <v>571</v>
      </c>
      <c r="T4" s="210" t="n">
        <v>25</v>
      </c>
      <c r="U4" s="211" t="n">
        <f aca="false">IF($A4="","",IF(OR($S4="System",$I4="Exited"),$T4,SUMIFS(CurrentPositionsTable[Quantity],CurrentPositionsTable[Ticker],$A4)-SUMIFS($T$3:$T$44,$A$3:$A$44,$A4,$S$3:$S$44,"System",$I$3:$I$44,"Held")))</f>
        <v>25</v>
      </c>
      <c r="V4" s="212" t="n">
        <f aca="false">IF(OR($U4="",$D4=""),"",$U4*$D4)</f>
        <v>12219.25</v>
      </c>
      <c r="W4" s="212" t="n">
        <f aca="false">IF(OR($U4="",$M4=""),"",$U4*$M4)</f>
        <v>12618.25</v>
      </c>
      <c r="X4" s="213" t="n">
        <f aca="false">IF(OR($V4="",$W4=""),"",$W4-$V4)</f>
        <v>399</v>
      </c>
      <c r="Y4" s="207" t="n">
        <f aca="false">$D4</f>
        <v>488.77</v>
      </c>
      <c r="Z4" s="212" t="n">
        <f aca="false">IF(OR($U4="",$Y4=""),"",$U4*$Y4)</f>
        <v>12219.25</v>
      </c>
      <c r="AA4" s="213" t="n">
        <f aca="false">IF(OR($Z4="",$W4=""),"",$W4-$Z4)</f>
        <v>399</v>
      </c>
      <c r="AB4" s="209" t="n">
        <f aca="false">IF(OR($Z4="",$W4=""),"",IF($Z4=0,"",$W4/$Z4-1))</f>
        <v>0.032653395257483</v>
      </c>
      <c r="AC4" s="213" t="n">
        <f aca="false">IF(OR($V4="",$P4=""),"",$V4*$P4)</f>
        <v>-57.2041551354009</v>
      </c>
    </row>
    <row r="5" customFormat="false" ht="15" hidden="false" customHeight="true" outlineLevel="0" collapsed="false">
      <c r="A5" s="205" t="s">
        <v>177</v>
      </c>
      <c r="B5" s="128" t="s">
        <v>355</v>
      </c>
      <c r="C5" s="206" t="n">
        <v>46241</v>
      </c>
      <c r="D5" s="207" t="n">
        <v>139.92</v>
      </c>
      <c r="E5" s="208" t="n">
        <v>82</v>
      </c>
      <c r="F5" s="128" t="s">
        <v>349</v>
      </c>
      <c r="G5" s="128" t="s">
        <v>568</v>
      </c>
      <c r="H5" s="207" t="n">
        <v>773.26</v>
      </c>
      <c r="I5" s="128" t="s">
        <v>569</v>
      </c>
      <c r="J5" s="177"/>
      <c r="K5" s="207"/>
      <c r="L5" s="128"/>
      <c r="M5" s="207" t="n">
        <f aca="false">IFERROR(INDEX('Market Data'!$C$3:$C$300,MATCH($A5,'Market Data'!$A$3:$A$300,0)),"")</f>
        <v>128.91</v>
      </c>
      <c r="N5" s="207" t="n">
        <f aca="false">PT_SPY_Now</f>
        <v>769.64</v>
      </c>
      <c r="O5" s="209" t="n">
        <f aca="false">IF(OR(D5="",M5=""),"",M5/D5-1)</f>
        <v>-0.0786878216123499</v>
      </c>
      <c r="P5" s="209" t="n">
        <f aca="false">IF(OR(H5="",N5=""),"",N5/H5-1)</f>
        <v>-0.00468147841605671</v>
      </c>
      <c r="Q5" s="209" t="n">
        <f aca="false">IF(OR(O5="",P5=""),"",O5-P5)</f>
        <v>-0.0740063431962932</v>
      </c>
      <c r="R5" s="207" t="s">
        <v>570</v>
      </c>
      <c r="S5" s="207" t="s">
        <v>571</v>
      </c>
      <c r="T5" s="210" t="n">
        <v>64</v>
      </c>
      <c r="U5" s="211" t="n">
        <f aca="false">IF($A5="","",IF(OR($S5="System",$I5="Exited"),$T5,SUMIFS(CurrentPositionsTable[Quantity],CurrentPositionsTable[Ticker],$A5)-SUMIFS($T$3:$T$44,$A$3:$A$44,$A5,$S$3:$S$44,"System",$I$3:$I$44,"Held")))</f>
        <v>64</v>
      </c>
      <c r="V5" s="212" t="n">
        <f aca="false">IF(OR($U5="",$D5=""),"",$U5*$D5)</f>
        <v>8954.88</v>
      </c>
      <c r="W5" s="212" t="n">
        <f aca="false">IF(OR($U5="",$M5=""),"",$U5*$M5)</f>
        <v>8250.24</v>
      </c>
      <c r="X5" s="213" t="n">
        <f aca="false">IF(OR($V5="",$W5=""),"",$W5-$V5)</f>
        <v>-704.639999999999</v>
      </c>
      <c r="Y5" s="207" t="n">
        <f aca="false">$D5</f>
        <v>139.92</v>
      </c>
      <c r="Z5" s="212" t="n">
        <f aca="false">IF(OR($U5="",$Y5=""),"",$U5*$Y5)</f>
        <v>8954.88</v>
      </c>
      <c r="AA5" s="213" t="n">
        <f aca="false">IF(OR($Z5="",$W5=""),"",$W5-$Z5)</f>
        <v>-704.639999999999</v>
      </c>
      <c r="AB5" s="209" t="n">
        <f aca="false">IF(OR($Z5="",$W5=""),"",IF($Z5=0,"",$W5/$Z5-1))</f>
        <v>-0.0786878216123499</v>
      </c>
      <c r="AC5" s="213" t="n">
        <f aca="false">IF(OR($V5="",$P5=""),"",$V5*$P5)</f>
        <v>-41.9220774383779</v>
      </c>
    </row>
    <row r="6" customFormat="false" ht="15" hidden="false" customHeight="true" outlineLevel="0" collapsed="false">
      <c r="A6" s="205" t="s">
        <v>119</v>
      </c>
      <c r="B6" s="128" t="s">
        <v>120</v>
      </c>
      <c r="C6" s="206" t="n">
        <v>46273</v>
      </c>
      <c r="D6" s="207" t="n">
        <v>368.97</v>
      </c>
      <c r="E6" s="208" t="n">
        <v>86.4</v>
      </c>
      <c r="F6" s="128" t="s">
        <v>349</v>
      </c>
      <c r="G6" s="128" t="s">
        <v>568</v>
      </c>
      <c r="H6" s="207" t="n">
        <v>767.53</v>
      </c>
      <c r="I6" s="128" t="s">
        <v>569</v>
      </c>
      <c r="J6" s="177"/>
      <c r="K6" s="207"/>
      <c r="L6" s="128"/>
      <c r="M6" s="207" t="n">
        <f aca="false">IFERROR(INDEX('Market Data'!$C$3:$C$300,MATCH($A6,'Market Data'!$A$3:$A$300,0)),"")</f>
        <v>360.66</v>
      </c>
      <c r="N6" s="207" t="n">
        <f aca="false">PT_SPY_Now</f>
        <v>769.64</v>
      </c>
      <c r="O6" s="209" t="n">
        <f aca="false">IF(OR(D6="",M6=""),"",M6/D6-1)</f>
        <v>-0.0225221562728677</v>
      </c>
      <c r="P6" s="209" t="n">
        <f aca="false">IF(OR(H6="",N6=""),"",N6/H6-1)</f>
        <v>0.0027490782119266</v>
      </c>
      <c r="Q6" s="209" t="n">
        <f aca="false">IF(OR(O6="",P6=""),"",O6-P6)</f>
        <v>-0.0252712344847943</v>
      </c>
      <c r="R6" s="207" t="s">
        <v>570</v>
      </c>
      <c r="S6" s="207" t="s">
        <v>571</v>
      </c>
      <c r="T6" s="210" t="n">
        <v>50</v>
      </c>
      <c r="U6" s="211" t="n">
        <f aca="false">IF($A6="","",IF(OR($S6="System",$I6="Exited"),$T6,SUMIFS(CurrentPositionsTable[Quantity],CurrentPositionsTable[Ticker],$A6)-SUMIFS($T$3:$T$44,$A$3:$A$44,$A6,$S$3:$S$44,"System",$I$3:$I$44,"Held")))</f>
        <v>50</v>
      </c>
      <c r="V6" s="212" t="n">
        <f aca="false">IF(OR($U6="",$D6=""),"",$U6*$D6)</f>
        <v>18448.5</v>
      </c>
      <c r="W6" s="212" t="n">
        <f aca="false">IF(OR($U6="",$M6=""),"",$U6*$M6)</f>
        <v>18033</v>
      </c>
      <c r="X6" s="213" t="n">
        <f aca="false">IF(OR($V6="",$W6=""),"",$W6-$V6)</f>
        <v>-415.5</v>
      </c>
      <c r="Y6" s="207" t="n">
        <f aca="false">$D6</f>
        <v>368.97</v>
      </c>
      <c r="Z6" s="212" t="n">
        <f aca="false">IF(OR($U6="",$Y6=""),"",$U6*$Y6)</f>
        <v>18448.5</v>
      </c>
      <c r="AA6" s="213" t="n">
        <f aca="false">IF(OR($Z6="",$W6=""),"",$W6-$Z6)</f>
        <v>-415.5</v>
      </c>
      <c r="AB6" s="209" t="n">
        <f aca="false">IF(OR($Z6="",$W6=""),"",IF($Z6=0,"",$W6/$Z6-1))</f>
        <v>-0.0225221562728677</v>
      </c>
      <c r="AC6" s="213" t="n">
        <f aca="false">IF(OR($V6="",$P6=""),"",$V6*$P6)</f>
        <v>50.7163693927279</v>
      </c>
    </row>
    <row r="7" customFormat="false" ht="15" hidden="false" customHeight="true" outlineLevel="0" collapsed="false">
      <c r="A7" s="205" t="s">
        <v>174</v>
      </c>
      <c r="B7" s="128" t="s">
        <v>573</v>
      </c>
      <c r="C7" s="206" t="n">
        <v>46273</v>
      </c>
      <c r="D7" s="207" t="n">
        <v>527.47</v>
      </c>
      <c r="E7" s="208"/>
      <c r="F7" s="128"/>
      <c r="G7" s="128"/>
      <c r="H7" s="207" t="n">
        <v>767.53</v>
      </c>
      <c r="I7" s="128" t="s">
        <v>569</v>
      </c>
      <c r="J7" s="177"/>
      <c r="K7" s="207"/>
      <c r="L7" s="128"/>
      <c r="M7" s="207" t="n">
        <f aca="false">IFERROR(INDEX('Market Data'!$C$3:$C$300,MATCH($A7,'Market Data'!$A$3:$A$300,0)),"")</f>
        <v>504.73</v>
      </c>
      <c r="N7" s="207" t="n">
        <f aca="false">PT_SPY_Now</f>
        <v>769.64</v>
      </c>
      <c r="O7" s="209" t="n">
        <f aca="false">IF(OR(D7="",M7=""),"",M7/D7-1)</f>
        <v>-0.0431114565757295</v>
      </c>
      <c r="P7" s="209" t="n">
        <f aca="false">IF(OR(H7="",N7=""),"",N7/H7-1)</f>
        <v>0.0027490782119266</v>
      </c>
      <c r="Q7" s="209" t="n">
        <f aca="false">IF(OR(O7="",P7=""),"",O7-P7)</f>
        <v>-0.0458605347876561</v>
      </c>
      <c r="R7" s="207" t="s">
        <v>570</v>
      </c>
      <c r="S7" s="207" t="s">
        <v>571</v>
      </c>
      <c r="T7" s="210" t="n">
        <v>15</v>
      </c>
      <c r="U7" s="211" t="n">
        <f aca="false">IF($A7="","",IF(OR($S7="System",$I7="Exited"),$T7,SUMIFS(CurrentPositionsTable[Quantity],CurrentPositionsTable[Ticker],$A7)-SUMIFS($T$3:$T$44,$A$3:$A$44,$A7,$S$3:$S$44,"System",$I$3:$I$44,"Held")))</f>
        <v>15</v>
      </c>
      <c r="V7" s="212" t="n">
        <f aca="false">IF(OR($U7="",$D7=""),"",$U7*$D7)</f>
        <v>7912.05</v>
      </c>
      <c r="W7" s="212" t="n">
        <f aca="false">IF(OR($U7="",$M7=""),"",$U7*$M7)</f>
        <v>7570.95</v>
      </c>
      <c r="X7" s="213" t="n">
        <f aca="false">IF(OR($V7="",$W7=""),"",$W7-$V7)</f>
        <v>-341.099999999999</v>
      </c>
      <c r="Y7" s="207" t="n">
        <f aca="false">$D7</f>
        <v>527.47</v>
      </c>
      <c r="Z7" s="212" t="n">
        <f aca="false">IF(OR($U7="",$Y7=""),"",$U7*$Y7)</f>
        <v>7912.05</v>
      </c>
      <c r="AA7" s="213" t="n">
        <f aca="false">IF(OR($Z7="",$W7=""),"",$W7-$Z7)</f>
        <v>-341.099999999999</v>
      </c>
      <c r="AB7" s="209" t="n">
        <f aca="false">IF(OR($Z7="",$W7=""),"",IF($Z7=0,"",$W7/$Z7-1))</f>
        <v>-0.0431114565757293</v>
      </c>
      <c r="AC7" s="213" t="n">
        <f aca="false">IF(OR($V7="",$P7=""),"",$V7*$P7)</f>
        <v>21.7508442666739</v>
      </c>
    </row>
    <row r="8" customFormat="false" ht="15" hidden="false" customHeight="true" outlineLevel="0" collapsed="false">
      <c r="A8" s="205" t="s">
        <v>143</v>
      </c>
      <c r="B8" s="128" t="s">
        <v>144</v>
      </c>
      <c r="C8" s="206" t="n">
        <v>46295</v>
      </c>
      <c r="D8" s="207" t="n">
        <v>314.71</v>
      </c>
      <c r="E8" s="208" t="n">
        <v>84.2</v>
      </c>
      <c r="F8" s="128" t="s">
        <v>349</v>
      </c>
      <c r="G8" s="128" t="s">
        <v>568</v>
      </c>
      <c r="H8" s="207" t="n">
        <v>766.29</v>
      </c>
      <c r="I8" s="128" t="s">
        <v>569</v>
      </c>
      <c r="J8" s="177"/>
      <c r="K8" s="207"/>
      <c r="L8" s="128"/>
      <c r="M8" s="207" t="n">
        <f aca="false">IFERROR(INDEX('Market Data'!$C$3:$C$300,MATCH($A8,'Market Data'!$A$3:$A$300,0)),"")</f>
        <v>309.56</v>
      </c>
      <c r="N8" s="207" t="n">
        <f aca="false">PT_SPY_Now</f>
        <v>769.64</v>
      </c>
      <c r="O8" s="209" t="n">
        <f aca="false">IF(OR(D8="",M8=""),"",M8/D8-1)</f>
        <v>-0.01636427186934</v>
      </c>
      <c r="P8" s="209" t="n">
        <f aca="false">IF(OR(H8="",N8=""),"",N8/H8-1)</f>
        <v>0.00437171305902462</v>
      </c>
      <c r="Q8" s="209" t="n">
        <f aca="false">IF(OR(O8="",P8=""),"",O8-P8)</f>
        <v>-0.0207359849283646</v>
      </c>
      <c r="R8" s="207" t="s">
        <v>570</v>
      </c>
      <c r="S8" s="207" t="s">
        <v>571</v>
      </c>
      <c r="T8" s="210" t="n">
        <v>75</v>
      </c>
      <c r="U8" s="211" t="n">
        <f aca="false">IF($A8="","",IF(OR($S8="System",$I8="Exited"),$T8,SUMIFS(CurrentPositionsTable[Quantity],CurrentPositionsTable[Ticker],$A8)-SUMIFS($T$3:$T$44,$A$3:$A$44,$A8,$S$3:$S$44,"System",$I$3:$I$44,"Held")))</f>
        <v>75</v>
      </c>
      <c r="V8" s="212" t="n">
        <f aca="false">IF(OR($U8="",$D8=""),"",$U8*$D8)</f>
        <v>23603.25</v>
      </c>
      <c r="W8" s="212" t="n">
        <f aca="false">IF(OR($U8="",$M8=""),"",$U8*$M8)</f>
        <v>23217</v>
      </c>
      <c r="X8" s="213" t="n">
        <f aca="false">IF(OR($V8="",$W8=""),"",$W8-$V8)</f>
        <v>-386.25</v>
      </c>
      <c r="Y8" s="207" t="n">
        <f aca="false">$D8</f>
        <v>314.71</v>
      </c>
      <c r="Z8" s="212" t="n">
        <f aca="false">IF(OR($U8="",$Y8=""),"",$U8*$Y8)</f>
        <v>23603.25</v>
      </c>
      <c r="AA8" s="213" t="n">
        <f aca="false">IF(OR($Z8="",$W8=""),"",$W8-$Z8)</f>
        <v>-386.25</v>
      </c>
      <c r="AB8" s="209" t="n">
        <f aca="false">IF(OR($Z8="",$W8=""),"",IF($Z8=0,"",$W8/$Z8-1))</f>
        <v>-0.01636427186934</v>
      </c>
      <c r="AC8" s="213" t="n">
        <f aca="false">IF(OR($V8="",$P8=""),"",$V8*$P8)</f>
        <v>103.186636260423</v>
      </c>
    </row>
    <row r="9" customFormat="false" ht="15" hidden="false" customHeight="true" outlineLevel="0" collapsed="false">
      <c r="A9" s="205" t="s">
        <v>146</v>
      </c>
      <c r="B9" s="128" t="s">
        <v>147</v>
      </c>
      <c r="C9" s="206" t="n">
        <v>46295</v>
      </c>
      <c r="D9" s="207" t="n">
        <v>69.795</v>
      </c>
      <c r="E9" s="208" t="n">
        <v>83.8</v>
      </c>
      <c r="F9" s="128" t="s">
        <v>349</v>
      </c>
      <c r="G9" s="128" t="s">
        <v>568</v>
      </c>
      <c r="H9" s="207" t="n">
        <v>766.29</v>
      </c>
      <c r="I9" s="128" t="s">
        <v>569</v>
      </c>
      <c r="J9" s="177"/>
      <c r="K9" s="207"/>
      <c r="L9" s="128"/>
      <c r="M9" s="207" t="n">
        <f aca="false">IFERROR(INDEX('Market Data'!$C$3:$C$300,MATCH($A9,'Market Data'!$A$3:$A$300,0)),"")</f>
        <v>67.06</v>
      </c>
      <c r="N9" s="207" t="n">
        <f aca="false">PT_SPY_Now</f>
        <v>769.64</v>
      </c>
      <c r="O9" s="209" t="n">
        <f aca="false">IF(OR(D9="",M9=""),"",M9/D9-1)</f>
        <v>-0.0391861881223583</v>
      </c>
      <c r="P9" s="209" t="n">
        <f aca="false">IF(OR(H9="",N9=""),"",N9/H9-1)</f>
        <v>0.00437171305902462</v>
      </c>
      <c r="Q9" s="209" t="n">
        <f aca="false">IF(OR(O9="",P9=""),"",O9-P9)</f>
        <v>-0.0435579011813829</v>
      </c>
      <c r="R9" s="207" t="s">
        <v>570</v>
      </c>
      <c r="S9" s="207" t="s">
        <v>571</v>
      </c>
      <c r="T9" s="210" t="n">
        <v>300</v>
      </c>
      <c r="U9" s="211" t="n">
        <f aca="false">IF($A9="","",IF(OR($S9="System",$I9="Exited"),$T9,SUMIFS(CurrentPositionsTable[Quantity],CurrentPositionsTable[Ticker],$A9)-SUMIFS($T$3:$T$44,$A$3:$A$44,$A9,$S$3:$S$44,"System",$I$3:$I$44,"Held")))</f>
        <v>300</v>
      </c>
      <c r="V9" s="212" t="n">
        <f aca="false">IF(OR($U9="",$D9=""),"",$U9*$D9)</f>
        <v>20938.5</v>
      </c>
      <c r="W9" s="212" t="n">
        <f aca="false">IF(OR($U9="",$M9=""),"",$U9*$M9)</f>
        <v>20118</v>
      </c>
      <c r="X9" s="213" t="n">
        <f aca="false">IF(OR($V9="",$W9=""),"",$W9-$V9)</f>
        <v>-820.5</v>
      </c>
      <c r="Y9" s="207" t="n">
        <f aca="false">$D9</f>
        <v>69.795</v>
      </c>
      <c r="Z9" s="212" t="n">
        <f aca="false">IF(OR($U9="",$Y9=""),"",$U9*$Y9)</f>
        <v>20938.5</v>
      </c>
      <c r="AA9" s="213" t="n">
        <f aca="false">IF(OR($Z9="",$W9=""),"",$W9-$Z9)</f>
        <v>-820.5</v>
      </c>
      <c r="AB9" s="209" t="n">
        <f aca="false">IF(OR($Z9="",$W9=""),"",IF($Z9=0,"",$W9/$Z9-1))</f>
        <v>-0.0391861881223583</v>
      </c>
      <c r="AC9" s="213" t="n">
        <f aca="false">IF(OR($V9="",$P9=""),"",$V9*$P9)</f>
        <v>91.537113886387</v>
      </c>
    </row>
    <row r="10" customFormat="false" ht="15" hidden="false" customHeight="true" outlineLevel="0" collapsed="false">
      <c r="A10" s="205" t="s">
        <v>96</v>
      </c>
      <c r="B10" s="128" t="s">
        <v>574</v>
      </c>
      <c r="C10" s="177" t="n">
        <v>46239</v>
      </c>
      <c r="D10" s="207" t="n">
        <v>259.32</v>
      </c>
      <c r="E10" s="208"/>
      <c r="F10" s="128"/>
      <c r="G10" s="128"/>
      <c r="H10" s="207" t="n">
        <f aca="false">PT_SPY_0805</f>
        <v>769.79</v>
      </c>
      <c r="I10" s="128" t="s">
        <v>569</v>
      </c>
      <c r="J10" s="177"/>
      <c r="K10" s="207"/>
      <c r="L10" s="128"/>
      <c r="M10" s="207" t="n">
        <f aca="false">IFERROR(INDEX('Market Data'!$C$3:$C$300,MATCH($A10,'Market Data'!$A$3:$A$300,0)),"")</f>
        <v>237.69</v>
      </c>
      <c r="N10" s="207" t="n">
        <f aca="false">PT_SPY_Now</f>
        <v>769.64</v>
      </c>
      <c r="O10" s="209" t="n">
        <f aca="false">IF(OR(D10="",M10=""),"",M10/D10-1)</f>
        <v>-0.0834104581212402</v>
      </c>
      <c r="P10" s="209" t="n">
        <f aca="false">IF(OR(H10="",N10=""),"",N10/H10-1)</f>
        <v>-0.000194858337988268</v>
      </c>
      <c r="Q10" s="209" t="n">
        <f aca="false">IF(OR(O10="",P10=""),"",O10-P10)</f>
        <v>-0.0832155997832519</v>
      </c>
      <c r="R10" s="207" t="s">
        <v>570</v>
      </c>
      <c r="S10" s="207" t="s">
        <v>575</v>
      </c>
      <c r="T10" s="210" t="n">
        <v>45</v>
      </c>
      <c r="U10" s="211" t="n">
        <f aca="false">IF($A10="","",IF(OR($S10="System",$I10="Exited"),$T10,SUMIFS(CurrentPositionsTable[Quantity],CurrentPositionsTable[Ticker],$A10)-SUMIFS($T$3:$T$44,$A$3:$A$44,$A10,$S$3:$S$44,"System",$I$3:$I$44,"Held")))</f>
        <v>45</v>
      </c>
      <c r="V10" s="212" t="n">
        <f aca="false">IF(OR($U10="",$D10=""),"",$U10*$D10)</f>
        <v>11669.4</v>
      </c>
      <c r="W10" s="212" t="n">
        <f aca="false">IF(OR($U10="",$M10=""),"",$U10*$M10)</f>
        <v>10696.05</v>
      </c>
      <c r="X10" s="213" t="n">
        <f aca="false">IF(OR($V10="",$W10=""),"",$W10-$V10)</f>
        <v>-973.35</v>
      </c>
      <c r="Y10" s="207" t="n">
        <v>349.99</v>
      </c>
      <c r="Z10" s="212" t="n">
        <f aca="false">IF(OR($U10="",$Y10=""),"",$U10*$Y10)</f>
        <v>15749.55</v>
      </c>
      <c r="AA10" s="213" t="n">
        <f aca="false">IF(OR($Z10="",$W10=""),"",$W10-$Z10)</f>
        <v>-5053.5</v>
      </c>
      <c r="AB10" s="209" t="n">
        <f aca="false">IF(OR($Z10="",$W10=""),"",IF($Z10=0,"",$W10/$Z10-1))</f>
        <v>-0.320866310466013</v>
      </c>
      <c r="AC10" s="213" t="n">
        <f aca="false">IF(OR($V10="",$P10=""),"",$V10*$P10)</f>
        <v>-2.2738798893203</v>
      </c>
    </row>
    <row r="11" customFormat="false" ht="15" hidden="false" customHeight="true" outlineLevel="0" collapsed="false">
      <c r="A11" s="205" t="s">
        <v>174</v>
      </c>
      <c r="B11" s="128" t="s">
        <v>576</v>
      </c>
      <c r="C11" s="177" t="n">
        <v>46239</v>
      </c>
      <c r="D11" s="207" t="n">
        <v>484.83</v>
      </c>
      <c r="E11" s="208"/>
      <c r="F11" s="128"/>
      <c r="G11" s="128"/>
      <c r="H11" s="207" t="n">
        <f aca="false">PT_SPY_0805</f>
        <v>769.79</v>
      </c>
      <c r="I11" s="128" t="s">
        <v>569</v>
      </c>
      <c r="J11" s="177"/>
      <c r="K11" s="207"/>
      <c r="L11" s="128"/>
      <c r="M11" s="207" t="n">
        <f aca="false">IFERROR(INDEX('Market Data'!$C$3:$C$300,MATCH($A11,'Market Data'!$A$3:$A$300,0)),"")</f>
        <v>504.73</v>
      </c>
      <c r="N11" s="207" t="n">
        <f aca="false">PT_SPY_Now</f>
        <v>769.64</v>
      </c>
      <c r="O11" s="209" t="n">
        <f aca="false">IF(OR(D11="",M11=""),"",M11/D11-1)</f>
        <v>0.0410453148526289</v>
      </c>
      <c r="P11" s="209" t="n">
        <f aca="false">IF(OR(H11="",N11=""),"",N11/H11-1)</f>
        <v>-0.000194858337988268</v>
      </c>
      <c r="Q11" s="209" t="n">
        <f aca="false">IF(OR(O11="",P11=""),"",O11-P11)</f>
        <v>0.0412401731906171</v>
      </c>
      <c r="R11" s="207" t="s">
        <v>570</v>
      </c>
      <c r="S11" s="207" t="s">
        <v>575</v>
      </c>
      <c r="T11" s="210" t="n">
        <v>25</v>
      </c>
      <c r="U11" s="211" t="n">
        <f aca="false">IF($A11="","",IF(OR($S11="System",$I11="Exited"),$T11,SUMIFS(CurrentPositionsTable[Quantity],CurrentPositionsTable[Ticker],$A11)-SUMIFS($T$3:$T$44,$A$3:$A$44,$A11,$S$3:$S$44,"System",$I$3:$I$44,"Held")))</f>
        <v>25</v>
      </c>
      <c r="V11" s="212" t="n">
        <f aca="false">IF(OR($U11="",$D11=""),"",$U11*$D11)</f>
        <v>12120.75</v>
      </c>
      <c r="W11" s="212" t="n">
        <f aca="false">IF(OR($U11="",$M11=""),"",$U11*$M11)</f>
        <v>12618.25</v>
      </c>
      <c r="X11" s="213" t="n">
        <f aca="false">IF(OR($V11="",$W11=""),"",$W11-$V11)</f>
        <v>497.5</v>
      </c>
      <c r="Y11" s="207" t="n">
        <v>453.36</v>
      </c>
      <c r="Z11" s="212" t="n">
        <f aca="false">IF(OR($U11="",$Y11=""),"",$U11*$Y11)</f>
        <v>11334</v>
      </c>
      <c r="AA11" s="213" t="n">
        <f aca="false">IF(OR($Z11="",$W11=""),"",$W11-$Z11)</f>
        <v>1284.25</v>
      </c>
      <c r="AB11" s="209" t="n">
        <f aca="false">IF(OR($Z11="",$W11=""),"",IF($Z11=0,"",$W11/$Z11-1))</f>
        <v>0.113309511205223</v>
      </c>
      <c r="AC11" s="213" t="n">
        <f aca="false">IF(OR($V11="",$P11=""),"",$V11*$P11)</f>
        <v>-2.36182920017131</v>
      </c>
    </row>
    <row r="12" customFormat="false" ht="15" hidden="false" customHeight="true" outlineLevel="0" collapsed="false">
      <c r="A12" s="205" t="s">
        <v>177</v>
      </c>
      <c r="B12" s="128" t="s">
        <v>577</v>
      </c>
      <c r="C12" s="177" t="n">
        <v>46239</v>
      </c>
      <c r="D12" s="207" t="n">
        <v>140.76</v>
      </c>
      <c r="E12" s="208"/>
      <c r="F12" s="128"/>
      <c r="G12" s="128"/>
      <c r="H12" s="207" t="n">
        <f aca="false">PT_SPY_0805</f>
        <v>769.79</v>
      </c>
      <c r="I12" s="128" t="s">
        <v>569</v>
      </c>
      <c r="J12" s="177"/>
      <c r="K12" s="207"/>
      <c r="L12" s="128"/>
      <c r="M12" s="207" t="n">
        <f aca="false">IFERROR(INDEX('Market Data'!$C$3:$C$300,MATCH($A12,'Market Data'!$A$3:$A$300,0)),"")</f>
        <v>128.91</v>
      </c>
      <c r="N12" s="207" t="n">
        <f aca="false">PT_SPY_Now</f>
        <v>769.64</v>
      </c>
      <c r="O12" s="209" t="n">
        <f aca="false">IF(OR(D12="",M12=""),"",M12/D12-1)</f>
        <v>-0.0841858482523444</v>
      </c>
      <c r="P12" s="209" t="n">
        <f aca="false">IF(OR(H12="",N12=""),"",N12/H12-1)</f>
        <v>-0.000194858337988268</v>
      </c>
      <c r="Q12" s="209" t="n">
        <f aca="false">IF(OR(O12="",P12=""),"",O12-P12)</f>
        <v>-0.0839909899143562</v>
      </c>
      <c r="R12" s="207" t="s">
        <v>570</v>
      </c>
      <c r="S12" s="207" t="s">
        <v>575</v>
      </c>
      <c r="T12" s="210" t="n">
        <v>61.44837</v>
      </c>
      <c r="U12" s="211" t="n">
        <f aca="false">IF($A12="","",IF(OR($S12="System",$I12="Exited"),$T12,SUMIFS(CurrentPositionsTable[Quantity],CurrentPositionsTable[Ticker],$A12)-SUMIFS($T$3:$T$44,$A$3:$A$44,$A12,$S$3:$S$44,"System",$I$3:$I$44,"Held")))</f>
        <v>61.44837</v>
      </c>
      <c r="V12" s="212" t="n">
        <f aca="false">IF(OR($U12="",$D12=""),"",$U12*$D12)</f>
        <v>8649.4725612</v>
      </c>
      <c r="W12" s="212" t="n">
        <f aca="false">IF(OR($U12="",$M12=""),"",$U12*$M12)</f>
        <v>7921.3093767</v>
      </c>
      <c r="X12" s="213" t="n">
        <f aca="false">IF(OR($V12="",$W12=""),"",$W12-$V12)</f>
        <v>-728.163184499999</v>
      </c>
      <c r="Y12" s="207" t="n">
        <v>127.66</v>
      </c>
      <c r="Z12" s="212" t="n">
        <f aca="false">IF(OR($U12="",$Y12=""),"",$U12*$Y12)</f>
        <v>7844.4989142</v>
      </c>
      <c r="AA12" s="213" t="n">
        <f aca="false">IF(OR($Z12="",$W12=""),"",$W12-$Z12)</f>
        <v>76.8104624999996</v>
      </c>
      <c r="AB12" s="209" t="n">
        <f aca="false">IF(OR($Z12="",$W12=""),"",IF($Z12=0,"",$W12/$Z12-1))</f>
        <v>0.00979163402788652</v>
      </c>
      <c r="AC12" s="213" t="n">
        <f aca="false">IF(OR($V12="",$P12=""),"",$V12*$P12)</f>
        <v>-1.68542184775056</v>
      </c>
    </row>
    <row r="13" customFormat="false" ht="15" hidden="false" customHeight="true" outlineLevel="0" collapsed="false">
      <c r="A13" s="205" t="s">
        <v>101</v>
      </c>
      <c r="B13" s="128" t="s">
        <v>102</v>
      </c>
      <c r="C13" s="177" t="n">
        <v>46239</v>
      </c>
      <c r="D13" s="207" t="n">
        <v>197.31</v>
      </c>
      <c r="E13" s="208"/>
      <c r="F13" s="128"/>
      <c r="G13" s="128"/>
      <c r="H13" s="207" t="n">
        <f aca="false">PT_SPY_0805</f>
        <v>769.79</v>
      </c>
      <c r="I13" s="128" t="s">
        <v>569</v>
      </c>
      <c r="J13" s="177"/>
      <c r="K13" s="207"/>
      <c r="L13" s="128"/>
      <c r="M13" s="207" t="n">
        <f aca="false">IFERROR(INDEX('Market Data'!$C$3:$C$300,MATCH($A13,'Market Data'!$A$3:$A$300,0)),"")</f>
        <v>207.35</v>
      </c>
      <c r="N13" s="207" t="n">
        <f aca="false">PT_SPY_Now</f>
        <v>769.64</v>
      </c>
      <c r="O13" s="209" t="n">
        <f aca="false">IF(OR(D13="",M13=""),"",M13/D13-1)</f>
        <v>0.0508843951142872</v>
      </c>
      <c r="P13" s="209" t="n">
        <f aca="false">IF(OR(H13="",N13=""),"",N13/H13-1)</f>
        <v>-0.000194858337988268</v>
      </c>
      <c r="Q13" s="209" t="n">
        <f aca="false">IF(OR(O13="",P13=""),"",O13-P13)</f>
        <v>0.0510792534522755</v>
      </c>
      <c r="R13" s="207" t="s">
        <v>570</v>
      </c>
      <c r="S13" s="207" t="s">
        <v>575</v>
      </c>
      <c r="T13" s="210" t="n">
        <v>120</v>
      </c>
      <c r="U13" s="211" t="n">
        <f aca="false">IF($A13="","",IF(OR($S13="System",$I13="Exited"),$T13,SUMIFS(CurrentPositionsTable[Quantity],CurrentPositionsTable[Ticker],$A13)-SUMIFS($T$3:$T$44,$A$3:$A$44,$A13,$S$3:$S$44,"System",$I$3:$I$44,"Held")))</f>
        <v>120</v>
      </c>
      <c r="V13" s="212" t="n">
        <f aca="false">IF(OR($U13="",$D13=""),"",$U13*$D13)</f>
        <v>23677.2</v>
      </c>
      <c r="W13" s="212" t="n">
        <f aca="false">IF(OR($U13="",$M13=""),"",$U13*$M13)</f>
        <v>24882</v>
      </c>
      <c r="X13" s="213" t="n">
        <f aca="false">IF(OR($V13="",$W13=""),"",$W13-$V13)</f>
        <v>1204.8</v>
      </c>
      <c r="Y13" s="207" t="n">
        <v>131.03</v>
      </c>
      <c r="Z13" s="212" t="n">
        <f aca="false">IF(OR($U13="",$Y13=""),"",$U13*$Y13)</f>
        <v>15723.6</v>
      </c>
      <c r="AA13" s="213" t="n">
        <f aca="false">IF(OR($Z13="",$W13=""),"",$W13-$Z13)</f>
        <v>9158.4</v>
      </c>
      <c r="AB13" s="209" t="n">
        <f aca="false">IF(OR($Z13="",$W13=""),"",IF($Z13=0,"",$W13/$Z13-1))</f>
        <v>0.582462031595818</v>
      </c>
      <c r="AC13" s="213" t="n">
        <f aca="false">IF(OR($V13="",$P13=""),"",$V13*$P13)</f>
        <v>-4.61369984021583</v>
      </c>
    </row>
    <row r="14" customFormat="false" ht="15" hidden="false" customHeight="true" outlineLevel="0" collapsed="false">
      <c r="A14" s="205" t="s">
        <v>103</v>
      </c>
      <c r="B14" s="128" t="s">
        <v>104</v>
      </c>
      <c r="C14" s="177" t="n">
        <v>46239</v>
      </c>
      <c r="D14" s="207" t="n">
        <v>1678.22</v>
      </c>
      <c r="E14" s="208"/>
      <c r="F14" s="128"/>
      <c r="G14" s="128"/>
      <c r="H14" s="207" t="n">
        <f aca="false">PT_SPY_0805</f>
        <v>769.79</v>
      </c>
      <c r="I14" s="128" t="s">
        <v>569</v>
      </c>
      <c r="J14" s="177"/>
      <c r="K14" s="207"/>
      <c r="L14" s="128"/>
      <c r="M14" s="207" t="n">
        <f aca="false">IFERROR(INDEX('Market Data'!$C$3:$C$300,MATCH($A14,'Market Data'!$A$3:$A$300,0)),"")</f>
        <v>1867.31</v>
      </c>
      <c r="N14" s="207" t="n">
        <f aca="false">PT_SPY_Now</f>
        <v>769.64</v>
      </c>
      <c r="O14" s="209" t="n">
        <f aca="false">IF(OR(D14="",M14=""),"",M14/D14-1)</f>
        <v>0.112672951102954</v>
      </c>
      <c r="P14" s="209" t="n">
        <f aca="false">IF(OR(H14="",N14=""),"",N14/H14-1)</f>
        <v>-0.000194858337988268</v>
      </c>
      <c r="Q14" s="209" t="n">
        <f aca="false">IF(OR(O14="",P14=""),"",O14-P14)</f>
        <v>0.112867809440943</v>
      </c>
      <c r="R14" s="207" t="s">
        <v>570</v>
      </c>
      <c r="S14" s="207" t="s">
        <v>575</v>
      </c>
      <c r="T14" s="210" t="n">
        <v>7</v>
      </c>
      <c r="U14" s="211" t="n">
        <f aca="false">IF($A14="","",IF(OR($S14="System",$I14="Exited"),$T14,SUMIFS(CurrentPositionsTable[Quantity],CurrentPositionsTable[Ticker],$A14)-SUMIFS($T$3:$T$44,$A$3:$A$44,$A14,$S$3:$S$44,"System",$I$3:$I$44,"Held")))</f>
        <v>7</v>
      </c>
      <c r="V14" s="212" t="n">
        <f aca="false">IF(OR($U14="",$D14=""),"",$U14*$D14)</f>
        <v>11747.54</v>
      </c>
      <c r="W14" s="212" t="n">
        <f aca="false">IF(OR($U14="",$M14=""),"",$U14*$M14)</f>
        <v>13071.17</v>
      </c>
      <c r="X14" s="213" t="n">
        <f aca="false">IF(OR($V14="",$W14=""),"",$W14-$V14)</f>
        <v>1323.63</v>
      </c>
      <c r="Y14" s="207" t="n">
        <v>1069.86</v>
      </c>
      <c r="Z14" s="212" t="n">
        <f aca="false">IF(OR($U14="",$Y14=""),"",$U14*$Y14)</f>
        <v>7489.02</v>
      </c>
      <c r="AA14" s="213" t="n">
        <f aca="false">IF(OR($Z14="",$W14=""),"",$W14-$Z14)</f>
        <v>5582.15</v>
      </c>
      <c r="AB14" s="209" t="n">
        <f aca="false">IF(OR($Z14="",$W14=""),"",IF($Z14=0,"",$W14/$Z14-1))</f>
        <v>0.745377899912138</v>
      </c>
      <c r="AC14" s="213" t="n">
        <f aca="false">IF(OR($V14="",$P14=""),"",$V14*$P14)</f>
        <v>-2.2891061198507</v>
      </c>
    </row>
    <row r="15" customFormat="false" ht="15" hidden="false" customHeight="true" outlineLevel="0" collapsed="false">
      <c r="A15" s="205" t="s">
        <v>172</v>
      </c>
      <c r="B15" s="128" t="s">
        <v>173</v>
      </c>
      <c r="C15" s="177" t="n">
        <v>46239</v>
      </c>
      <c r="D15" s="207" t="n">
        <v>418.28</v>
      </c>
      <c r="E15" s="208"/>
      <c r="F15" s="128"/>
      <c r="G15" s="128"/>
      <c r="H15" s="207" t="n">
        <f aca="false">PT_SPY_0805</f>
        <v>769.79</v>
      </c>
      <c r="I15" s="128" t="s">
        <v>569</v>
      </c>
      <c r="J15" s="177"/>
      <c r="K15" s="207"/>
      <c r="L15" s="128"/>
      <c r="M15" s="207" t="n">
        <f aca="false">IFERROR(INDEX('Market Data'!$C$3:$C$300,MATCH($A15,'Market Data'!$A$3:$A$300,0)),"")</f>
        <v>355.14</v>
      </c>
      <c r="N15" s="207" t="n">
        <f aca="false">PT_SPY_Now</f>
        <v>769.64</v>
      </c>
      <c r="O15" s="209" t="n">
        <f aca="false">IF(OR(D15="",M15=""),"",M15/D15-1)</f>
        <v>-0.150951515731089</v>
      </c>
      <c r="P15" s="209" t="n">
        <f aca="false">IF(OR(H15="",N15=""),"",N15/H15-1)</f>
        <v>-0.000194858337988268</v>
      </c>
      <c r="Q15" s="209" t="n">
        <f aca="false">IF(OR(O15="",P15=""),"",O15-P15)</f>
        <v>-0.150756657393101</v>
      </c>
      <c r="R15" s="207" t="s">
        <v>570</v>
      </c>
      <c r="S15" s="207" t="s">
        <v>575</v>
      </c>
      <c r="T15" s="210" t="n">
        <v>35.07587</v>
      </c>
      <c r="U15" s="211" t="n">
        <f aca="false">IF($A15="","",IF(OR($S15="System",$I15="Exited"),$T15,SUMIFS(CurrentPositionsTable[Quantity],CurrentPositionsTable[Ticker],$A15)-SUMIFS($T$3:$T$44,$A$3:$A$44,$A15,$S$3:$S$44,"System",$I$3:$I$44,"Held")))</f>
        <v>35.07587</v>
      </c>
      <c r="V15" s="212" t="n">
        <f aca="false">IF(OR($U15="",$D15=""),"",$U15*$D15)</f>
        <v>14671.5349036</v>
      </c>
      <c r="W15" s="212" t="n">
        <f aca="false">IF(OR($U15="",$M15=""),"",$U15*$M15)</f>
        <v>12456.8444718</v>
      </c>
      <c r="X15" s="213" t="n">
        <f aca="false">IF(OR($V15="",$W15=""),"",$W15-$V15)</f>
        <v>-2214.6904318</v>
      </c>
      <c r="Y15" s="207" t="n">
        <v>346.1</v>
      </c>
      <c r="Z15" s="212" t="n">
        <f aca="false">IF(OR($U15="",$Y15=""),"",$U15*$Y15)</f>
        <v>12139.758607</v>
      </c>
      <c r="AA15" s="213" t="n">
        <f aca="false">IF(OR($Z15="",$W15=""),"",$W15-$Z15)</f>
        <v>317.085864799999</v>
      </c>
      <c r="AB15" s="209" t="n">
        <f aca="false">IF(OR($Z15="",$W15=""),"",IF($Z15=0,"",$W15/$Z15-1))</f>
        <v>0.0261196186073389</v>
      </c>
      <c r="AC15" s="213" t="n">
        <f aca="false">IF(OR($V15="",$P15=""),"",$V15*$P15)</f>
        <v>-2.85887090705237</v>
      </c>
    </row>
    <row r="16" customFormat="false" ht="15" hidden="false" customHeight="true" outlineLevel="0" collapsed="false">
      <c r="A16" s="205" t="s">
        <v>105</v>
      </c>
      <c r="B16" s="128" t="s">
        <v>106</v>
      </c>
      <c r="C16" s="177" t="n">
        <v>46239</v>
      </c>
      <c r="D16" s="207" t="n">
        <v>209.86</v>
      </c>
      <c r="E16" s="208"/>
      <c r="F16" s="128"/>
      <c r="G16" s="128"/>
      <c r="H16" s="207" t="n">
        <f aca="false">PT_SPY_0805</f>
        <v>769.79</v>
      </c>
      <c r="I16" s="128" t="s">
        <v>569</v>
      </c>
      <c r="J16" s="177"/>
      <c r="K16" s="207"/>
      <c r="L16" s="128"/>
      <c r="M16" s="207" t="n">
        <f aca="false">IFERROR(INDEX('Market Data'!$C$3:$C$300,MATCH($A16,'Market Data'!$A$3:$A$300,0)),"")</f>
        <v>270.04</v>
      </c>
      <c r="N16" s="207" t="n">
        <f aca="false">PT_SPY_Now</f>
        <v>769.64</v>
      </c>
      <c r="O16" s="209" t="n">
        <f aca="false">IF(OR(D16="",M16=""),"",M16/D16-1)</f>
        <v>0.286762603640522</v>
      </c>
      <c r="P16" s="209" t="n">
        <f aca="false">IF(OR(H16="",N16=""),"",N16/H16-1)</f>
        <v>-0.000194858337988268</v>
      </c>
      <c r="Q16" s="209" t="n">
        <f aca="false">IF(OR(O16="",P16=""),"",O16-P16)</f>
        <v>0.28695746197851</v>
      </c>
      <c r="R16" s="207" t="s">
        <v>570</v>
      </c>
      <c r="S16" s="207" t="s">
        <v>575</v>
      </c>
      <c r="T16" s="210" t="n">
        <v>85</v>
      </c>
      <c r="U16" s="211" t="n">
        <f aca="false">IF($A16="","",IF(OR($S16="System",$I16="Exited"),$T16,SUMIFS(CurrentPositionsTable[Quantity],CurrentPositionsTable[Ticker],$A16)-SUMIFS($T$3:$T$44,$A$3:$A$44,$A16,$S$3:$S$44,"System",$I$3:$I$44,"Held")))</f>
        <v>85</v>
      </c>
      <c r="V16" s="212" t="n">
        <f aca="false">IF(OR($U16="",$D16=""),"",$U16*$D16)</f>
        <v>17838.1</v>
      </c>
      <c r="W16" s="212" t="n">
        <f aca="false">IF(OR($U16="",$M16=""),"",$U16*$M16)</f>
        <v>22953.4</v>
      </c>
      <c r="X16" s="213" t="n">
        <f aca="false">IF(OR($V16="",$W16=""),"",$W16-$V16)</f>
        <v>5115.3</v>
      </c>
      <c r="Y16" s="207" t="n">
        <v>117.19</v>
      </c>
      <c r="Z16" s="212" t="n">
        <f aca="false">IF(OR($U16="",$Y16=""),"",$U16*$Y16)</f>
        <v>9961.15</v>
      </c>
      <c r="AA16" s="213" t="n">
        <f aca="false">IF(OR($Z16="",$W16=""),"",$W16-$Z16)</f>
        <v>12992.25</v>
      </c>
      <c r="AB16" s="209" t="n">
        <f aca="false">IF(OR($Z16="",$W16=""),"",IF($Z16=0,"",$W16/$Z16-1))</f>
        <v>1.30429217510026</v>
      </c>
      <c r="AC16" s="213" t="n">
        <f aca="false">IF(OR($V16="",$P16=""),"",$V16*$P16)</f>
        <v>-3.47590251886853</v>
      </c>
    </row>
    <row r="17" customFormat="false" ht="15" hidden="false" customHeight="true" outlineLevel="0" collapsed="false">
      <c r="A17" s="205" t="s">
        <v>107</v>
      </c>
      <c r="B17" s="128" t="s">
        <v>108</v>
      </c>
      <c r="C17" s="177" t="n">
        <v>46239</v>
      </c>
      <c r="D17" s="207" t="n">
        <v>192.8</v>
      </c>
      <c r="E17" s="208"/>
      <c r="F17" s="128"/>
      <c r="G17" s="128"/>
      <c r="H17" s="207" t="n">
        <f aca="false">PT_SPY_0805</f>
        <v>769.79</v>
      </c>
      <c r="I17" s="128" t="s">
        <v>569</v>
      </c>
      <c r="J17" s="177"/>
      <c r="K17" s="207"/>
      <c r="L17" s="128"/>
      <c r="M17" s="207" t="n">
        <f aca="false">IFERROR(INDEX('Market Data'!$C$3:$C$300,MATCH($A17,'Market Data'!$A$3:$A$300,0)),"")</f>
        <v>206.89</v>
      </c>
      <c r="N17" s="207" t="n">
        <f aca="false">PT_SPY_Now</f>
        <v>769.64</v>
      </c>
      <c r="O17" s="209" t="n">
        <f aca="false">IF(OR(D17="",M17=""),"",M17/D17-1)</f>
        <v>0.0730809128630705</v>
      </c>
      <c r="P17" s="209" t="n">
        <f aca="false">IF(OR(H17="",N17=""),"",N17/H17-1)</f>
        <v>-0.000194858337988268</v>
      </c>
      <c r="Q17" s="209" t="n">
        <f aca="false">IF(OR(O17="",P17=""),"",O17-P17)</f>
        <v>0.0732757712010588</v>
      </c>
      <c r="R17" s="207" t="s">
        <v>570</v>
      </c>
      <c r="S17" s="207" t="s">
        <v>575</v>
      </c>
      <c r="T17" s="210" t="n">
        <v>100</v>
      </c>
      <c r="U17" s="211" t="n">
        <f aca="false">IF($A17="","",IF(OR($S17="System",$I17="Exited"),$T17,SUMIFS(CurrentPositionsTable[Quantity],CurrentPositionsTable[Ticker],$A17)-SUMIFS($T$3:$T$44,$A$3:$A$44,$A17,$S$3:$S$44,"System",$I$3:$I$44,"Held")))</f>
        <v>100</v>
      </c>
      <c r="V17" s="212" t="n">
        <f aca="false">IF(OR($U17="",$D17=""),"",$U17*$D17)</f>
        <v>19280</v>
      </c>
      <c r="W17" s="212" t="n">
        <f aca="false">IF(OR($U17="",$M17=""),"",$U17*$M17)</f>
        <v>20689</v>
      </c>
      <c r="X17" s="213" t="n">
        <f aca="false">IF(OR($V17="",$W17=""),"",$W17-$V17)</f>
        <v>1409</v>
      </c>
      <c r="Y17" s="207" t="n">
        <v>121.508</v>
      </c>
      <c r="Z17" s="212" t="n">
        <f aca="false">IF(OR($U17="",$Y17=""),"",$U17*$Y17)</f>
        <v>12150.8</v>
      </c>
      <c r="AA17" s="213" t="n">
        <f aca="false">IF(OR($Z17="",$W17=""),"",$W17-$Z17)</f>
        <v>8538.2</v>
      </c>
      <c r="AB17" s="209" t="n">
        <f aca="false">IF(OR($Z17="",$W17=""),"",IF($Z17=0,"",$W17/$Z17-1))</f>
        <v>0.702686242881127</v>
      </c>
      <c r="AC17" s="213" t="n">
        <f aca="false">IF(OR($V17="",$P17=""),"",$V17*$P17)</f>
        <v>-3.75686875641382</v>
      </c>
    </row>
    <row r="18" customFormat="false" ht="15" hidden="false" customHeight="true" outlineLevel="0" collapsed="false">
      <c r="A18" s="205" t="s">
        <v>109</v>
      </c>
      <c r="B18" s="128" t="s">
        <v>110</v>
      </c>
      <c r="C18" s="177" t="n">
        <v>46239</v>
      </c>
      <c r="D18" s="207" t="n">
        <v>893.19</v>
      </c>
      <c r="E18" s="208"/>
      <c r="F18" s="128"/>
      <c r="G18" s="128"/>
      <c r="H18" s="207" t="n">
        <f aca="false">PT_SPY_0805</f>
        <v>769.79</v>
      </c>
      <c r="I18" s="128" t="s">
        <v>569</v>
      </c>
      <c r="J18" s="177"/>
      <c r="K18" s="207"/>
      <c r="L18" s="128"/>
      <c r="M18" s="207" t="n">
        <f aca="false">IFERROR(INDEX('Market Data'!$C$3:$C$300,MATCH($A18,'Market Data'!$A$3:$A$300,0)),"")</f>
        <v>1074.89</v>
      </c>
      <c r="N18" s="207" t="n">
        <f aca="false">PT_SPY_Now</f>
        <v>769.64</v>
      </c>
      <c r="O18" s="209" t="n">
        <f aca="false">IF(OR(D18="",M18=""),"",M18/D18-1)</f>
        <v>0.203428161981214</v>
      </c>
      <c r="P18" s="209" t="n">
        <f aca="false">IF(OR(H18="",N18=""),"",N18/H18-1)</f>
        <v>-0.000194858337988268</v>
      </c>
      <c r="Q18" s="209" t="n">
        <f aca="false">IF(OR(O18="",P18=""),"",O18-P18)</f>
        <v>0.203623020319202</v>
      </c>
      <c r="R18" s="207" t="s">
        <v>570</v>
      </c>
      <c r="S18" s="207" t="s">
        <v>575</v>
      </c>
      <c r="T18" s="210" t="n">
        <v>7</v>
      </c>
      <c r="U18" s="211" t="n">
        <f aca="false">IF($A18="","",IF(OR($S18="System",$I18="Exited"),$T18,SUMIFS(CurrentPositionsTable[Quantity],CurrentPositionsTable[Ticker],$A18)-SUMIFS($T$3:$T$44,$A$3:$A$44,$A18,$S$3:$S$44,"System",$I$3:$I$44,"Held")))</f>
        <v>7</v>
      </c>
      <c r="V18" s="212" t="n">
        <f aca="false">IF(OR($U18="",$D18=""),"",$U18*$D18)</f>
        <v>6252.33</v>
      </c>
      <c r="W18" s="212" t="n">
        <f aca="false">IF(OR($U18="",$M18=""),"",$U18*$M18)</f>
        <v>7524.23</v>
      </c>
      <c r="X18" s="213" t="n">
        <f aca="false">IF(OR($V18="",$W18=""),"",$W18-$V18)</f>
        <v>1271.9</v>
      </c>
      <c r="Y18" s="207" t="n">
        <v>285.41</v>
      </c>
      <c r="Z18" s="212" t="n">
        <f aca="false">IF(OR($U18="",$Y18=""),"",$U18*$Y18)</f>
        <v>1997.87</v>
      </c>
      <c r="AA18" s="213" t="n">
        <f aca="false">IF(OR($Z18="",$W18=""),"",$W18-$Z18)</f>
        <v>5526.36</v>
      </c>
      <c r="AB18" s="209" t="n">
        <f aca="false">IF(OR($Z18="",$W18=""),"",IF($Z18=0,"",$W18/$Z18-1))</f>
        <v>2.76612592410918</v>
      </c>
      <c r="AC18" s="213" t="n">
        <f aca="false">IF(OR($V18="",$P18=""),"",$V18*$P18)</f>
        <v>-1.21831863235419</v>
      </c>
    </row>
    <row r="19" customFormat="false" ht="15" hidden="false" customHeight="true" outlineLevel="0" collapsed="false">
      <c r="A19" s="205" t="s">
        <v>111</v>
      </c>
      <c r="B19" s="128" t="s">
        <v>112</v>
      </c>
      <c r="C19" s="177" t="n">
        <v>46239</v>
      </c>
      <c r="D19" s="207" t="n">
        <v>219.22</v>
      </c>
      <c r="E19" s="208"/>
      <c r="F19" s="128"/>
      <c r="G19" s="128"/>
      <c r="H19" s="207" t="n">
        <f aca="false">PT_SPY_0805</f>
        <v>769.79</v>
      </c>
      <c r="I19" s="128" t="s">
        <v>569</v>
      </c>
      <c r="J19" s="177"/>
      <c r="K19" s="207"/>
      <c r="L19" s="128"/>
      <c r="M19" s="207" t="n">
        <f aca="false">IFERROR(INDEX('Market Data'!$C$3:$C$300,MATCH($A19,'Market Data'!$A$3:$A$300,0)),"")</f>
        <v>233.95</v>
      </c>
      <c r="N19" s="207" t="n">
        <f aca="false">PT_SPY_Now</f>
        <v>769.64</v>
      </c>
      <c r="O19" s="209" t="n">
        <f aca="false">IF(OR(D19="",M19=""),"",M19/D19-1)</f>
        <v>0.0671927743818994</v>
      </c>
      <c r="P19" s="209" t="n">
        <f aca="false">IF(OR(H19="",N19=""),"",N19/H19-1)</f>
        <v>-0.000194858337988268</v>
      </c>
      <c r="Q19" s="209" t="n">
        <f aca="false">IF(OR(O19="",P19=""),"",O19-P19)</f>
        <v>0.0673876327198877</v>
      </c>
      <c r="R19" s="207" t="s">
        <v>570</v>
      </c>
      <c r="S19" s="207" t="s">
        <v>575</v>
      </c>
      <c r="T19" s="210" t="n">
        <v>214.02188</v>
      </c>
      <c r="U19" s="211" t="n">
        <f aca="false">IF($A19="","",IF(OR($S19="System",$I19="Exited"),$T19,SUMIFS(CurrentPositionsTable[Quantity],CurrentPositionsTable[Ticker],$A19)-SUMIFS($T$3:$T$44,$A$3:$A$44,$A19,$S$3:$S$44,"System",$I$3:$I$44,"Held")))</f>
        <v>214.02188</v>
      </c>
      <c r="V19" s="212" t="n">
        <f aca="false">IF(OR($U19="",$D19=""),"",$U19*$D19)</f>
        <v>46917.8765336</v>
      </c>
      <c r="W19" s="212" t="n">
        <f aca="false">IF(OR($U19="",$M19=""),"",$U19*$M19)</f>
        <v>50070.418826</v>
      </c>
      <c r="X19" s="213" t="n">
        <f aca="false">IF(OR($V19="",$W19=""),"",$W19-$V19)</f>
        <v>3152.5422924</v>
      </c>
      <c r="Y19" s="207" t="n">
        <v>186.5</v>
      </c>
      <c r="Z19" s="212" t="n">
        <f aca="false">IF(OR($U19="",$Y19=""),"",$U19*$Y19)</f>
        <v>39915.08062</v>
      </c>
      <c r="AA19" s="213" t="n">
        <f aca="false">IF(OR($Z19="",$W19=""),"",$W19-$Z19)</f>
        <v>10155.338206</v>
      </c>
      <c r="AB19" s="209" t="n">
        <f aca="false">IF(OR($Z19="",$W19=""),"",IF($Z19=0,"",$W19/$Z19-1))</f>
        <v>0.254423592493298</v>
      </c>
      <c r="AC19" s="213" t="n">
        <f aca="false">IF(OR($V19="",$P19=""),"",$V19*$P19)</f>
        <v>-9.14233944327608</v>
      </c>
    </row>
    <row r="20" customFormat="false" ht="15" hidden="false" customHeight="true" outlineLevel="0" collapsed="false">
      <c r="A20" s="205" t="s">
        <v>113</v>
      </c>
      <c r="B20" s="128" t="s">
        <v>114</v>
      </c>
      <c r="C20" s="177" t="n">
        <v>46239</v>
      </c>
      <c r="D20" s="207" t="n">
        <v>158.43</v>
      </c>
      <c r="E20" s="208"/>
      <c r="F20" s="128"/>
      <c r="G20" s="128"/>
      <c r="H20" s="207" t="n">
        <f aca="false">PT_SPY_0805</f>
        <v>769.79</v>
      </c>
      <c r="I20" s="128" t="s">
        <v>569</v>
      </c>
      <c r="J20" s="177"/>
      <c r="K20" s="207"/>
      <c r="L20" s="128"/>
      <c r="M20" s="207" t="n">
        <f aca="false">IFERROR(INDEX('Market Data'!$C$3:$C$300,MATCH($A20,'Market Data'!$A$3:$A$300,0)),"")</f>
        <v>188.75</v>
      </c>
      <c r="N20" s="207" t="n">
        <f aca="false">PT_SPY_Now</f>
        <v>769.64</v>
      </c>
      <c r="O20" s="209" t="n">
        <f aca="false">IF(OR(D20="",M20=""),"",M20/D20-1)</f>
        <v>0.191377895600581</v>
      </c>
      <c r="P20" s="209" t="n">
        <f aca="false">IF(OR(H20="",N20=""),"",N20/H20-1)</f>
        <v>-0.000194858337988268</v>
      </c>
      <c r="Q20" s="209" t="n">
        <f aca="false">IF(OR(O20="",P20=""),"",O20-P20)</f>
        <v>0.191572753938569</v>
      </c>
      <c r="R20" s="207" t="s">
        <v>570</v>
      </c>
      <c r="S20" s="207" t="s">
        <v>575</v>
      </c>
      <c r="T20" s="210" t="n">
        <v>90</v>
      </c>
      <c r="U20" s="211" t="n">
        <f aca="false">IF($A20="","",IF(OR($S20="System",$I20="Exited"),$T20,SUMIFS(CurrentPositionsTable[Quantity],CurrentPositionsTable[Ticker],$A20)-SUMIFS($T$3:$T$44,$A$3:$A$44,$A20,$S$3:$S$44,"System",$I$3:$I$44,"Held")))</f>
        <v>90</v>
      </c>
      <c r="V20" s="212" t="n">
        <f aca="false">IF(OR($U20="",$D20=""),"",$U20*$D20)</f>
        <v>14258.7</v>
      </c>
      <c r="W20" s="212" t="n">
        <f aca="false">IF(OR($U20="",$M20=""),"",$U20*$M20)</f>
        <v>16987.5</v>
      </c>
      <c r="X20" s="213" t="n">
        <f aca="false">IF(OR($V20="",$W20=""),"",$W20-$V20)</f>
        <v>2728.8</v>
      </c>
      <c r="Y20" s="207" t="n">
        <v>177.75</v>
      </c>
      <c r="Z20" s="212" t="n">
        <f aca="false">IF(OR($U20="",$Y20=""),"",$U20*$Y20)</f>
        <v>15997.5</v>
      </c>
      <c r="AA20" s="213" t="n">
        <f aca="false">IF(OR($Z20="",$W20=""),"",$W20-$Z20)</f>
        <v>990</v>
      </c>
      <c r="AB20" s="209" t="n">
        <f aca="false">IF(OR($Z20="",$W20=""),"",IF($Z20=0,"",$W20/$Z20-1))</f>
        <v>0.0618846694796063</v>
      </c>
      <c r="AC20" s="213" t="n">
        <f aca="false">IF(OR($V20="",$P20=""),"",$V20*$P20)</f>
        <v>-2.77842658387332</v>
      </c>
    </row>
    <row r="21" customFormat="false" ht="15" hidden="false" customHeight="true" outlineLevel="0" collapsed="false">
      <c r="A21" s="205" t="s">
        <v>115</v>
      </c>
      <c r="B21" s="128" t="s">
        <v>116</v>
      </c>
      <c r="C21" s="177" t="n">
        <v>46239</v>
      </c>
      <c r="D21" s="207" t="n">
        <v>414</v>
      </c>
      <c r="E21" s="208"/>
      <c r="F21" s="128"/>
      <c r="G21" s="128"/>
      <c r="H21" s="207" t="n">
        <f aca="false">PT_SPY_0805</f>
        <v>769.79</v>
      </c>
      <c r="I21" s="128" t="s">
        <v>569</v>
      </c>
      <c r="J21" s="177"/>
      <c r="K21" s="207"/>
      <c r="L21" s="128"/>
      <c r="M21" s="207" t="n">
        <f aca="false">IFERROR(INDEX('Market Data'!$C$3:$C$300,MATCH($A21,'Market Data'!$A$3:$A$300,0)),"")</f>
        <v>472.78</v>
      </c>
      <c r="N21" s="207" t="n">
        <f aca="false">PT_SPY_Now</f>
        <v>769.64</v>
      </c>
      <c r="O21" s="209" t="n">
        <f aca="false">IF(OR(D21="",M21=""),"",M21/D21-1)</f>
        <v>0.141980676328502</v>
      </c>
      <c r="P21" s="209" t="n">
        <f aca="false">IF(OR(H21="",N21=""),"",N21/H21-1)</f>
        <v>-0.000194858337988268</v>
      </c>
      <c r="Q21" s="209" t="n">
        <f aca="false">IF(OR(O21="",P21=""),"",O21-P21)</f>
        <v>0.142175534666491</v>
      </c>
      <c r="R21" s="207" t="s">
        <v>570</v>
      </c>
      <c r="S21" s="207" t="s">
        <v>575</v>
      </c>
      <c r="T21" s="210" t="n">
        <v>25</v>
      </c>
      <c r="U21" s="211" t="n">
        <f aca="false">IF($A21="","",IF(OR($S21="System",$I21="Exited"),$T21,SUMIFS(CurrentPositionsTable[Quantity],CurrentPositionsTable[Ticker],$A21)-SUMIFS($T$3:$T$44,$A$3:$A$44,$A21,$S$3:$S$44,"System",$I$3:$I$44,"Held")))</f>
        <v>25</v>
      </c>
      <c r="V21" s="212" t="n">
        <f aca="false">IF(OR($U21="",$D21=""),"",$U21*$D21)</f>
        <v>10350</v>
      </c>
      <c r="W21" s="212" t="n">
        <f aca="false">IF(OR($U21="",$M21=""),"",$U21*$M21)</f>
        <v>11819.5</v>
      </c>
      <c r="X21" s="213" t="n">
        <f aca="false">IF(OR($V21="",$W21=""),"",$W21-$V21)</f>
        <v>1469.5</v>
      </c>
      <c r="Y21" s="207" t="n">
        <v>303.89</v>
      </c>
      <c r="Z21" s="212" t="n">
        <f aca="false">IF(OR($U21="",$Y21=""),"",$U21*$Y21)</f>
        <v>7597.25</v>
      </c>
      <c r="AA21" s="213" t="n">
        <f aca="false">IF(OR($Z21="",$W21=""),"",$W21-$Z21)</f>
        <v>4222.25</v>
      </c>
      <c r="AB21" s="209" t="n">
        <f aca="false">IF(OR($Z21="",$W21=""),"",IF($Z21=0,"",$W21/$Z21-1))</f>
        <v>0.555760308006186</v>
      </c>
      <c r="AC21" s="213" t="n">
        <f aca="false">IF(OR($V21="",$P21=""),"",$V21*$P21)</f>
        <v>-2.01678379817858</v>
      </c>
    </row>
    <row r="22" customFormat="false" ht="15" hidden="false" customHeight="true" outlineLevel="0" collapsed="false">
      <c r="A22" s="205" t="s">
        <v>117</v>
      </c>
      <c r="B22" s="128" t="s">
        <v>118</v>
      </c>
      <c r="C22" s="177" t="n">
        <v>46239</v>
      </c>
      <c r="D22" s="207" t="n">
        <v>277.94</v>
      </c>
      <c r="E22" s="208"/>
      <c r="F22" s="128"/>
      <c r="G22" s="128"/>
      <c r="H22" s="207" t="n">
        <f aca="false">PT_SPY_0805</f>
        <v>769.79</v>
      </c>
      <c r="I22" s="128" t="s">
        <v>569</v>
      </c>
      <c r="J22" s="177"/>
      <c r="K22" s="207"/>
      <c r="L22" s="128"/>
      <c r="M22" s="207" t="n">
        <f aca="false">IFERROR(INDEX('Market Data'!$C$3:$C$300,MATCH($A22,'Market Data'!$A$3:$A$300,0)),"")</f>
        <v>252.18</v>
      </c>
      <c r="N22" s="207" t="n">
        <f aca="false">PT_SPY_Now</f>
        <v>769.64</v>
      </c>
      <c r="O22" s="209" t="n">
        <f aca="false">IF(OR(D22="",M22=""),"",M22/D22-1)</f>
        <v>-0.0926818737857091</v>
      </c>
      <c r="P22" s="209" t="n">
        <f aca="false">IF(OR(H22="",N22=""),"",N22/H22-1)</f>
        <v>-0.000194858337988268</v>
      </c>
      <c r="Q22" s="209" t="n">
        <f aca="false">IF(OR(O22="",P22=""),"",O22-P22)</f>
        <v>-0.0924870154477209</v>
      </c>
      <c r="R22" s="207" t="s">
        <v>570</v>
      </c>
      <c r="S22" s="207" t="s">
        <v>575</v>
      </c>
      <c r="T22" s="210" t="n">
        <v>30</v>
      </c>
      <c r="U22" s="211" t="n">
        <f aca="false">IF($A22="","",IF(OR($S22="System",$I22="Exited"),$T22,SUMIFS(CurrentPositionsTable[Quantity],CurrentPositionsTable[Ticker],$A22)-SUMIFS($T$3:$T$44,$A$3:$A$44,$A22,$S$3:$S$44,"System",$I$3:$I$44,"Held")))</f>
        <v>30</v>
      </c>
      <c r="V22" s="212" t="n">
        <f aca="false">IF(OR($U22="",$D22=""),"",$U22*$D22)</f>
        <v>8338.2</v>
      </c>
      <c r="W22" s="212" t="n">
        <f aca="false">IF(OR($U22="",$M22=""),"",$U22*$M22)</f>
        <v>7565.4</v>
      </c>
      <c r="X22" s="213" t="n">
        <f aca="false">IF(OR($V22="",$W22=""),"",$W22-$V22)</f>
        <v>-772.8</v>
      </c>
      <c r="Y22" s="207" t="n">
        <v>162.01</v>
      </c>
      <c r="Z22" s="212" t="n">
        <f aca="false">IF(OR($U22="",$Y22=""),"",$U22*$Y22)</f>
        <v>4860.3</v>
      </c>
      <c r="AA22" s="213" t="n">
        <f aca="false">IF(OR($Z22="",$W22=""),"",$W22-$Z22)</f>
        <v>2705.1</v>
      </c>
      <c r="AB22" s="209" t="n">
        <f aca="false">IF(OR($Z22="",$W22=""),"",IF($Z22=0,"",$W22/$Z22-1))</f>
        <v>0.556570582062836</v>
      </c>
      <c r="AC22" s="213" t="n">
        <f aca="false">IF(OR($V22="",$P22=""),"",$V22*$P22)</f>
        <v>-1.62476779381378</v>
      </c>
    </row>
    <row r="23" customFormat="false" ht="15" hidden="false" customHeight="true" outlineLevel="0" collapsed="false">
      <c r="A23" s="214" t="s">
        <v>163</v>
      </c>
      <c r="B23" s="128" t="s">
        <v>578</v>
      </c>
      <c r="C23" s="177" t="n">
        <v>46239</v>
      </c>
      <c r="D23" s="207" t="n">
        <v>127.24</v>
      </c>
      <c r="E23" s="208"/>
      <c r="F23" s="128"/>
      <c r="G23" s="128"/>
      <c r="H23" s="207" t="n">
        <f aca="false">PT_SPY_0805</f>
        <v>769.79</v>
      </c>
      <c r="I23" s="128" t="s">
        <v>569</v>
      </c>
      <c r="J23" s="177"/>
      <c r="K23" s="207"/>
      <c r="L23" s="128"/>
      <c r="M23" s="207" t="n">
        <f aca="false">IFERROR(INDEX('Market Data'!$C$3:$C$300,MATCH($A23,'Market Data'!$A$3:$A$300,0)),"")</f>
        <v>120.03</v>
      </c>
      <c r="N23" s="207" t="n">
        <f aca="false">PT_SPY_Now</f>
        <v>769.64</v>
      </c>
      <c r="O23" s="209" t="n">
        <f aca="false">IF(OR(D23="",M23=""),"",M23/D23-1)</f>
        <v>-0.0566645708896573</v>
      </c>
      <c r="P23" s="209" t="n">
        <f aca="false">IF(OR(H23="",N23=""),"",N23/H23-1)</f>
        <v>-0.000194858337988268</v>
      </c>
      <c r="Q23" s="209" t="n">
        <f aca="false">IF(OR(O23="",P23=""),"",O23-P23)</f>
        <v>-0.056469712551669</v>
      </c>
      <c r="R23" s="207" t="s">
        <v>579</v>
      </c>
      <c r="S23" s="207" t="s">
        <v>575</v>
      </c>
      <c r="T23" s="210" t="n">
        <v>400.00001</v>
      </c>
      <c r="U23" s="211" t="n">
        <f aca="false">IF($A23="","",IF(OR($S23="System",$I23="Exited"),$T23,SUMIFS(CurrentPositionsTable[Quantity],CurrentPositionsTable[Ticker],$A23)-SUMIFS($T$3:$T$44,$A$3:$A$44,$A23,$S$3:$S$44,"System",$I$3:$I$44,"Held")))</f>
        <v>400.00001</v>
      </c>
      <c r="V23" s="212" t="n">
        <f aca="false">IF(OR($U23="",$D23=""),"",$U23*$D23)</f>
        <v>50896.0012724</v>
      </c>
      <c r="W23" s="212" t="n">
        <f aca="false">IF(OR($U23="",$M23=""),"",$U23*$M23)</f>
        <v>48012.0012003</v>
      </c>
      <c r="X23" s="213" t="n">
        <f aca="false">IF(OR($V23="",$W23=""),"",$W23-$V23)</f>
        <v>-2884.0000721</v>
      </c>
      <c r="Y23" s="207" t="n">
        <v>101.98</v>
      </c>
      <c r="Z23" s="212" t="n">
        <f aca="false">IF(OR($U23="",$Y23=""),"",$U23*$Y23)</f>
        <v>40792.0010198</v>
      </c>
      <c r="AA23" s="213" t="n">
        <f aca="false">IF(OR($Z23="",$W23=""),"",$W23-$Z23)</f>
        <v>7220.00018049999</v>
      </c>
      <c r="AB23" s="209" t="n">
        <f aca="false">IF(OR($Z23="",$W23=""),"",IF($Z23=0,"",$W23/$Z23-1))</f>
        <v>0.176995489311629</v>
      </c>
      <c r="AC23" s="213" t="n">
        <f aca="false">IF(OR($V23="",$P23=""),"",$V23*$P23)</f>
        <v>-9.91751021818866</v>
      </c>
    </row>
    <row r="24" customFormat="false" ht="15" hidden="false" customHeight="true" outlineLevel="0" collapsed="false">
      <c r="A24" s="214" t="s">
        <v>128</v>
      </c>
      <c r="B24" s="128" t="s">
        <v>580</v>
      </c>
      <c r="C24" s="177" t="n">
        <v>46239</v>
      </c>
      <c r="D24" s="207" t="n">
        <v>161.67</v>
      </c>
      <c r="E24" s="208"/>
      <c r="F24" s="128"/>
      <c r="G24" s="128"/>
      <c r="H24" s="207" t="n">
        <f aca="false">PT_SPY_0805</f>
        <v>769.79</v>
      </c>
      <c r="I24" s="128" t="s">
        <v>569</v>
      </c>
      <c r="J24" s="177"/>
      <c r="K24" s="207"/>
      <c r="L24" s="128"/>
      <c r="M24" s="207" t="n">
        <f aca="false">IFERROR(INDEX('Market Data'!$C$3:$C$300,MATCH($A24,'Market Data'!$A$3:$A$300,0)),"")</f>
        <v>153.05</v>
      </c>
      <c r="N24" s="207" t="n">
        <f aca="false">PT_SPY_Now</f>
        <v>769.64</v>
      </c>
      <c r="O24" s="209" t="n">
        <f aca="false">IF(OR(D24="",M24=""),"",M24/D24-1)</f>
        <v>-0.0533184882785921</v>
      </c>
      <c r="P24" s="209" t="n">
        <f aca="false">IF(OR(H24="",N24=""),"",N24/H24-1)</f>
        <v>-0.000194858337988268</v>
      </c>
      <c r="Q24" s="209" t="n">
        <f aca="false">IF(OR(O24="",P24=""),"",O24-P24)</f>
        <v>-0.0531236299406038</v>
      </c>
      <c r="R24" s="207" t="s">
        <v>579</v>
      </c>
      <c r="S24" s="207" t="s">
        <v>575</v>
      </c>
      <c r="T24" s="210" t="n">
        <v>150</v>
      </c>
      <c r="U24" s="211" t="n">
        <f aca="false">IF($A24="","",IF(OR($S24="System",$I24="Exited"),$T24,SUMIFS(CurrentPositionsTable[Quantity],CurrentPositionsTable[Ticker],$A24)-SUMIFS($T$3:$T$44,$A$3:$A$44,$A24,$S$3:$S$44,"System",$I$3:$I$44,"Held")))</f>
        <v>150</v>
      </c>
      <c r="V24" s="212" t="n">
        <f aca="false">IF(OR($U24="",$D24=""),"",$U24*$D24)</f>
        <v>24250.5</v>
      </c>
      <c r="W24" s="212" t="n">
        <f aca="false">IF(OR($U24="",$M24=""),"",$U24*$M24)</f>
        <v>22957.5</v>
      </c>
      <c r="X24" s="213" t="n">
        <f aca="false">IF(OR($V24="",$W24=""),"",$W24-$V24)</f>
        <v>-1293</v>
      </c>
      <c r="Y24" s="207" t="n">
        <v>141.14</v>
      </c>
      <c r="Z24" s="212" t="n">
        <f aca="false">IF(OR($U24="",$Y24=""),"",$U24*$Y24)</f>
        <v>21171</v>
      </c>
      <c r="AA24" s="213" t="n">
        <f aca="false">IF(OR($Z24="",$W24=""),"",$W24-$Z24)</f>
        <v>1786.5</v>
      </c>
      <c r="AB24" s="209" t="n">
        <f aca="false">IF(OR($Z24="",$W24=""),"",IF($Z24=0,"",$W24/$Z24-1))</f>
        <v>0.0843842992773134</v>
      </c>
      <c r="AC24" s="213" t="n">
        <f aca="false">IF(OR($V24="",$P24=""),"",$V24*$P24)</f>
        <v>-4.7254121253845</v>
      </c>
    </row>
    <row r="25" customFormat="false" ht="15" hidden="false" customHeight="true" outlineLevel="0" collapsed="false">
      <c r="A25" s="214" t="s">
        <v>169</v>
      </c>
      <c r="B25" s="128" t="s">
        <v>581</v>
      </c>
      <c r="C25" s="177" t="n">
        <v>46239</v>
      </c>
      <c r="D25" s="207" t="n">
        <v>69.61</v>
      </c>
      <c r="E25" s="208"/>
      <c r="F25" s="128"/>
      <c r="G25" s="128"/>
      <c r="H25" s="207" t="n">
        <f aca="false">PT_SPY_0805</f>
        <v>769.79</v>
      </c>
      <c r="I25" s="128" t="s">
        <v>569</v>
      </c>
      <c r="J25" s="177"/>
      <c r="K25" s="207"/>
      <c r="L25" s="128"/>
      <c r="M25" s="207" t="n">
        <f aca="false">IFERROR(INDEX('Market Data'!$C$3:$C$300,MATCH($A25,'Market Data'!$A$3:$A$300,0)),"")</f>
        <v>69.42</v>
      </c>
      <c r="N25" s="207" t="n">
        <f aca="false">PT_SPY_Now</f>
        <v>769.64</v>
      </c>
      <c r="O25" s="209" t="n">
        <f aca="false">IF(OR(D25="",M25=""),"",M25/D25-1)</f>
        <v>-0.00272949288895274</v>
      </c>
      <c r="P25" s="209" t="n">
        <f aca="false">IF(OR(H25="",N25=""),"",N25/H25-1)</f>
        <v>-0.000194858337988268</v>
      </c>
      <c r="Q25" s="209" t="n">
        <f aca="false">IF(OR(O25="",P25=""),"",O25-P25)</f>
        <v>-0.00253463455096448</v>
      </c>
      <c r="R25" s="207" t="s">
        <v>579</v>
      </c>
      <c r="S25" s="207" t="s">
        <v>575</v>
      </c>
      <c r="T25" s="210" t="n">
        <v>500</v>
      </c>
      <c r="U25" s="211" t="n">
        <f aca="false">IF($A25="","",IF(OR($S25="System",$I25="Exited"),$T25,SUMIFS(CurrentPositionsTable[Quantity],CurrentPositionsTable[Ticker],$A25)-SUMIFS($T$3:$T$44,$A$3:$A$44,$A25,$S$3:$S$44,"System",$I$3:$I$44,"Held")))</f>
        <v>500</v>
      </c>
      <c r="V25" s="212" t="n">
        <f aca="false">IF(OR($U25="",$D25=""),"",$U25*$D25)</f>
        <v>34805</v>
      </c>
      <c r="W25" s="212" t="n">
        <f aca="false">IF(OR($U25="",$M25=""),"",$U25*$M25)</f>
        <v>34710</v>
      </c>
      <c r="X25" s="213" t="n">
        <f aca="false">IF(OR($V25="",$W25=""),"",$W25-$V25)</f>
        <v>-95</v>
      </c>
      <c r="Y25" s="207" t="n">
        <v>66.43</v>
      </c>
      <c r="Z25" s="212" t="n">
        <f aca="false">IF(OR($U25="",$Y25=""),"",$U25*$Y25)</f>
        <v>33215</v>
      </c>
      <c r="AA25" s="213" t="n">
        <f aca="false">IF(OR($Z25="",$W25=""),"",$W25-$Z25)</f>
        <v>1495</v>
      </c>
      <c r="AB25" s="209" t="n">
        <f aca="false">IF(OR($Z25="",$W25=""),"",IF($Z25=0,"",$W25/$Z25-1))</f>
        <v>0.0450097847358122</v>
      </c>
      <c r="AC25" s="213" t="n">
        <f aca="false">IF(OR($V25="",$P25=""),"",$V25*$P25)</f>
        <v>-6.78204445368168</v>
      </c>
    </row>
    <row r="26" customFormat="false" ht="15" hidden="false" customHeight="true" outlineLevel="0" collapsed="false">
      <c r="A26" s="214" t="s">
        <v>195</v>
      </c>
      <c r="B26" s="128" t="s">
        <v>582</v>
      </c>
      <c r="C26" s="177" t="n">
        <v>46239</v>
      </c>
      <c r="D26" s="207" t="n">
        <v>57.51</v>
      </c>
      <c r="E26" s="208"/>
      <c r="F26" s="128"/>
      <c r="G26" s="128"/>
      <c r="H26" s="207" t="n">
        <f aca="false">PT_SPY_0805</f>
        <v>769.79</v>
      </c>
      <c r="I26" s="128" t="s">
        <v>569</v>
      </c>
      <c r="J26" s="177"/>
      <c r="K26" s="207"/>
      <c r="L26" s="128"/>
      <c r="M26" s="207" t="n">
        <f aca="false">IFERROR(INDEX('Market Data'!$C$3:$C$300,MATCH($A26,'Market Data'!$A$3:$A$300,0)),"")</f>
        <v>56.1</v>
      </c>
      <c r="N26" s="207" t="n">
        <f aca="false">PT_SPY_Now</f>
        <v>769.64</v>
      </c>
      <c r="O26" s="209" t="n">
        <f aca="false">IF(OR(D26="",M26=""),"",M26/D26-1)</f>
        <v>-0.0245174752217006</v>
      </c>
      <c r="P26" s="209" t="n">
        <f aca="false">IF(OR(H26="",N26=""),"",N26/H26-1)</f>
        <v>-0.000194858337988268</v>
      </c>
      <c r="Q26" s="209" t="n">
        <f aca="false">IF(OR(O26="",P26=""),"",O26-P26)</f>
        <v>-0.0243226168837123</v>
      </c>
      <c r="R26" s="207" t="s">
        <v>579</v>
      </c>
      <c r="S26" s="207" t="s">
        <v>575</v>
      </c>
      <c r="T26" s="210" t="n">
        <v>180</v>
      </c>
      <c r="U26" s="211" t="n">
        <f aca="false">IF($A26="","",IF(OR($S26="System",$I26="Exited"),$T26,SUMIFS(CurrentPositionsTable[Quantity],CurrentPositionsTable[Ticker],$A26)-SUMIFS($T$3:$T$44,$A$3:$A$44,$A26,$S$3:$S$44,"System",$I$3:$I$44,"Held")))</f>
        <v>180</v>
      </c>
      <c r="V26" s="212" t="n">
        <f aca="false">IF(OR($U26="",$D26=""),"",$U26*$D26)</f>
        <v>10351.8</v>
      </c>
      <c r="W26" s="212" t="n">
        <f aca="false">IF(OR($U26="",$M26=""),"",$U26*$M26)</f>
        <v>10098</v>
      </c>
      <c r="X26" s="213" t="n">
        <f aca="false">IF(OR($V26="",$W26=""),"",$W26-$V26)</f>
        <v>-253.799999999999</v>
      </c>
      <c r="Y26" s="207" t="n">
        <v>57.24</v>
      </c>
      <c r="Z26" s="212" t="n">
        <f aca="false">IF(OR($U26="",$Y26=""),"",$U26*$Y26)</f>
        <v>10303.2</v>
      </c>
      <c r="AA26" s="213" t="n">
        <f aca="false">IF(OR($Z26="",$W26=""),"",$W26-$Z26)</f>
        <v>-205.200000000001</v>
      </c>
      <c r="AB26" s="209" t="n">
        <f aca="false">IF(OR($Z26="",$W26=""),"",IF($Z26=0,"",$W26/$Z26-1))</f>
        <v>-0.0199161425576521</v>
      </c>
      <c r="AC26" s="213" t="n">
        <f aca="false">IF(OR($V26="",$P26=""),"",$V26*$P26)</f>
        <v>-2.01713454318696</v>
      </c>
    </row>
    <row r="27" customFormat="false" ht="15" hidden="false" customHeight="true" outlineLevel="0" collapsed="false">
      <c r="A27" s="214" t="s">
        <v>159</v>
      </c>
      <c r="B27" s="128" t="s">
        <v>583</v>
      </c>
      <c r="C27" s="177" t="n">
        <v>46239</v>
      </c>
      <c r="D27" s="207" t="n">
        <v>59.38</v>
      </c>
      <c r="E27" s="208"/>
      <c r="F27" s="128"/>
      <c r="G27" s="128"/>
      <c r="H27" s="207" t="n">
        <f aca="false">PT_SPY_0805</f>
        <v>769.79</v>
      </c>
      <c r="I27" s="128" t="s">
        <v>569</v>
      </c>
      <c r="J27" s="177"/>
      <c r="K27" s="207"/>
      <c r="L27" s="128"/>
      <c r="M27" s="207" t="n">
        <f aca="false">IFERROR(INDEX('Market Data'!$C$3:$C$300,MATCH($A27,'Market Data'!$A$3:$A$300,0)),"")</f>
        <v>61.04</v>
      </c>
      <c r="N27" s="207" t="n">
        <f aca="false">PT_SPY_Now</f>
        <v>769.64</v>
      </c>
      <c r="O27" s="209" t="n">
        <f aca="false">IF(OR(D27="",M27=""),"",M27/D27-1)</f>
        <v>0.0279555405860559</v>
      </c>
      <c r="P27" s="209" t="n">
        <f aca="false">IF(OR(H27="",N27=""),"",N27/H27-1)</f>
        <v>-0.000194858337988268</v>
      </c>
      <c r="Q27" s="209" t="n">
        <f aca="false">IF(OR(O27="",P27=""),"",O27-P27)</f>
        <v>0.0281503989240441</v>
      </c>
      <c r="R27" s="207" t="s">
        <v>579</v>
      </c>
      <c r="S27" s="207" t="s">
        <v>575</v>
      </c>
      <c r="T27" s="210" t="n">
        <v>850.35693</v>
      </c>
      <c r="U27" s="211" t="n">
        <f aca="false">IF($A27="","",IF(OR($S27="System",$I27="Exited"),$T27,SUMIFS(CurrentPositionsTable[Quantity],CurrentPositionsTable[Ticker],$A27)-SUMIFS($T$3:$T$44,$A$3:$A$44,$A27,$S$3:$S$44,"System",$I$3:$I$44,"Held")))</f>
        <v>850.35693</v>
      </c>
      <c r="V27" s="212" t="n">
        <f aca="false">IF(OR($U27="",$D27=""),"",$U27*$D27)</f>
        <v>50494.1945034</v>
      </c>
      <c r="W27" s="212" t="n">
        <f aca="false">IF(OR($U27="",$M27=""),"",$U27*$M27)</f>
        <v>51905.7870072</v>
      </c>
      <c r="X27" s="213" t="n">
        <f aca="false">IF(OR($V27="",$W27=""),"",$W27-$V27)</f>
        <v>1411.5925038</v>
      </c>
      <c r="Y27" s="207" t="n">
        <v>58.12</v>
      </c>
      <c r="Z27" s="212" t="n">
        <f aca="false">IF(OR($U27="",$Y27=""),"",$U27*$Y27)</f>
        <v>49422.7447716</v>
      </c>
      <c r="AA27" s="213" t="n">
        <f aca="false">IF(OR($Z27="",$W27=""),"",$W27-$Z27)</f>
        <v>2483.0422356</v>
      </c>
      <c r="AB27" s="209" t="n">
        <f aca="false">IF(OR($Z27="",$W27=""),"",IF($Z27=0,"",$W27/$Z27-1))</f>
        <v>0.0502408809359944</v>
      </c>
      <c r="AC27" s="213" t="n">
        <f aca="false">IF(OR($V27="",$P27=""),"",$V27*$P27)</f>
        <v>-9.83921481898889</v>
      </c>
    </row>
    <row r="28" customFormat="false" ht="15" hidden="false" customHeight="true" outlineLevel="0" collapsed="false">
      <c r="A28" s="214" t="s">
        <v>138</v>
      </c>
      <c r="B28" s="128" t="s">
        <v>584</v>
      </c>
      <c r="C28" s="177" t="n">
        <v>46239</v>
      </c>
      <c r="D28" s="207" t="n">
        <v>52.9</v>
      </c>
      <c r="E28" s="208"/>
      <c r="F28" s="128"/>
      <c r="G28" s="128"/>
      <c r="H28" s="207" t="n">
        <f aca="false">PT_SPY_0805</f>
        <v>769.79</v>
      </c>
      <c r="I28" s="128" t="s">
        <v>569</v>
      </c>
      <c r="J28" s="177"/>
      <c r="K28" s="207"/>
      <c r="L28" s="128"/>
      <c r="M28" s="207" t="n">
        <f aca="false">IFERROR(INDEX('Market Data'!$C$3:$C$300,MATCH($A28,'Market Data'!$A$3:$A$300,0)),"")</f>
        <v>51.17</v>
      </c>
      <c r="N28" s="207" t="n">
        <f aca="false">PT_SPY_Now</f>
        <v>769.64</v>
      </c>
      <c r="O28" s="209" t="n">
        <f aca="false">IF(OR(D28="",M28=""),"",M28/D28-1)</f>
        <v>-0.0327032136105859</v>
      </c>
      <c r="P28" s="209" t="n">
        <f aca="false">IF(OR(H28="",N28=""),"",N28/H28-1)</f>
        <v>-0.000194858337988268</v>
      </c>
      <c r="Q28" s="209" t="n">
        <f aca="false">IF(OR(O28="",P28=""),"",O28-P28)</f>
        <v>-0.0325083552725977</v>
      </c>
      <c r="R28" s="207" t="s">
        <v>579</v>
      </c>
      <c r="S28" s="207" t="s">
        <v>575</v>
      </c>
      <c r="T28" s="210" t="n">
        <v>1000</v>
      </c>
      <c r="U28" s="211" t="n">
        <f aca="false">IF($A28="","",IF(OR($S28="System",$I28="Exited"),$T28,SUMIFS(CurrentPositionsTable[Quantity],CurrentPositionsTable[Ticker],$A28)-SUMIFS($T$3:$T$44,$A$3:$A$44,$A28,$S$3:$S$44,"System",$I$3:$I$44,"Held")))</f>
        <v>1000</v>
      </c>
      <c r="V28" s="212" t="n">
        <f aca="false">IF(OR($U28="",$D28=""),"",$U28*$D28)</f>
        <v>52900</v>
      </c>
      <c r="W28" s="212" t="n">
        <f aca="false">IF(OR($U28="",$M28=""),"",$U28*$M28)</f>
        <v>51170</v>
      </c>
      <c r="X28" s="213" t="n">
        <f aca="false">IF(OR($V28="",$W28=""),"",$W28-$V28)</f>
        <v>-1730</v>
      </c>
      <c r="Y28" s="207" t="n">
        <v>50.11</v>
      </c>
      <c r="Z28" s="212" t="n">
        <f aca="false">IF(OR($U28="",$Y28=""),"",$U28*$Y28)</f>
        <v>50110</v>
      </c>
      <c r="AA28" s="213" t="n">
        <f aca="false">IF(OR($Z28="",$W28=""),"",$W28-$Z28)</f>
        <v>1060</v>
      </c>
      <c r="AB28" s="209" t="n">
        <f aca="false">IF(OR($Z28="",$W28=""),"",IF($Z28=0,"",$W28/$Z28-1))</f>
        <v>0.0211534623827578</v>
      </c>
      <c r="AC28" s="213" t="n">
        <f aca="false">IF(OR($V28="",$P28=""),"",$V28*$P28)</f>
        <v>-10.3080060795794</v>
      </c>
    </row>
    <row r="29" customFormat="false" ht="15" hidden="false" customHeight="true" outlineLevel="0" collapsed="false">
      <c r="A29" s="214" t="s">
        <v>134</v>
      </c>
      <c r="B29" s="128" t="s">
        <v>585</v>
      </c>
      <c r="C29" s="177" t="n">
        <v>46239</v>
      </c>
      <c r="D29" s="207" t="n">
        <v>33.64</v>
      </c>
      <c r="E29" s="208"/>
      <c r="F29" s="128"/>
      <c r="G29" s="128"/>
      <c r="H29" s="207" t="n">
        <f aca="false">PT_SPY_0805</f>
        <v>769.79</v>
      </c>
      <c r="I29" s="128" t="s">
        <v>569</v>
      </c>
      <c r="J29" s="177"/>
      <c r="K29" s="207"/>
      <c r="L29" s="128"/>
      <c r="M29" s="207" t="n">
        <f aca="false">IFERROR(INDEX('Market Data'!$C$3:$C$300,MATCH($A29,'Market Data'!$A$3:$A$300,0)),"")</f>
        <v>32.72</v>
      </c>
      <c r="N29" s="207" t="n">
        <f aca="false">PT_SPY_Now</f>
        <v>769.64</v>
      </c>
      <c r="O29" s="209" t="n">
        <f aca="false">IF(OR(D29="",M29=""),"",M29/D29-1)</f>
        <v>-0.0273483947681332</v>
      </c>
      <c r="P29" s="209" t="n">
        <f aca="false">IF(OR(H29="",N29=""),"",N29/H29-1)</f>
        <v>-0.000194858337988268</v>
      </c>
      <c r="Q29" s="209" t="n">
        <f aca="false">IF(OR(O29="",P29=""),"",O29-P29)</f>
        <v>-0.027153536430145</v>
      </c>
      <c r="R29" s="207" t="s">
        <v>579</v>
      </c>
      <c r="S29" s="207" t="s">
        <v>575</v>
      </c>
      <c r="T29" s="210" t="n">
        <v>700</v>
      </c>
      <c r="U29" s="211" t="n">
        <f aca="false">IF($A29="","",IF(OR($S29="System",$I29="Exited"),$T29,SUMIFS(CurrentPositionsTable[Quantity],CurrentPositionsTable[Ticker],$A29)-SUMIFS($T$3:$T$44,$A$3:$A$44,$A29,$S$3:$S$44,"System",$I$3:$I$44,"Held")))</f>
        <v>700</v>
      </c>
      <c r="V29" s="212" t="n">
        <f aca="false">IF(OR($U29="",$D29=""),"",$U29*$D29)</f>
        <v>23548</v>
      </c>
      <c r="W29" s="212" t="n">
        <f aca="false">IF(OR($U29="",$M29=""),"",$U29*$M29)</f>
        <v>22904</v>
      </c>
      <c r="X29" s="213" t="n">
        <f aca="false">IF(OR($V29="",$W29=""),"",$W29-$V29)</f>
        <v>-644</v>
      </c>
      <c r="Y29" s="207" t="n">
        <v>27.43</v>
      </c>
      <c r="Z29" s="212" t="n">
        <f aca="false">IF(OR($U29="",$Y29=""),"",$U29*$Y29)</f>
        <v>19201</v>
      </c>
      <c r="AA29" s="213" t="n">
        <f aca="false">IF(OR($Z29="",$W29=""),"",$W29-$Z29)</f>
        <v>3703</v>
      </c>
      <c r="AB29" s="209" t="n">
        <f aca="false">IF(OR($Z29="",$W29=""),"",IF($Z29=0,"",$W29/$Z29-1))</f>
        <v>0.192854538826103</v>
      </c>
      <c r="AC29" s="213" t="n">
        <f aca="false">IF(OR($V29="",$P29=""),"",$V29*$P29)</f>
        <v>-4.58852414294775</v>
      </c>
    </row>
    <row r="30" customFormat="false" ht="15" hidden="false" customHeight="true" outlineLevel="0" collapsed="false">
      <c r="A30" s="214" t="s">
        <v>140</v>
      </c>
      <c r="B30" s="128" t="s">
        <v>586</v>
      </c>
      <c r="C30" s="177" t="n">
        <v>46239</v>
      </c>
      <c r="D30" s="207" t="n">
        <v>150.27</v>
      </c>
      <c r="E30" s="208"/>
      <c r="F30" s="128"/>
      <c r="G30" s="128"/>
      <c r="H30" s="207" t="n">
        <f aca="false">PT_SPY_0805</f>
        <v>769.79</v>
      </c>
      <c r="I30" s="128" t="s">
        <v>569</v>
      </c>
      <c r="J30" s="177"/>
      <c r="K30" s="207"/>
      <c r="L30" s="128"/>
      <c r="M30" s="207" t="n">
        <f aca="false">IFERROR(INDEX('Market Data'!$C$3:$C$300,MATCH($A30,'Market Data'!$A$3:$A$300,0)),"")</f>
        <v>153.23</v>
      </c>
      <c r="N30" s="207" t="n">
        <f aca="false">PT_SPY_Now</f>
        <v>769.64</v>
      </c>
      <c r="O30" s="209" t="n">
        <f aca="false">IF(OR(D30="",M30=""),"",M30/D30-1)</f>
        <v>0.0196978771544551</v>
      </c>
      <c r="P30" s="209" t="n">
        <f aca="false">IF(OR(H30="",N30=""),"",N30/H30-1)</f>
        <v>-0.000194858337988268</v>
      </c>
      <c r="Q30" s="209" t="n">
        <f aca="false">IF(OR(O30="",P30=""),"",O30-P30)</f>
        <v>0.0198927354924434</v>
      </c>
      <c r="R30" s="207" t="s">
        <v>579</v>
      </c>
      <c r="S30" s="207" t="s">
        <v>575</v>
      </c>
      <c r="T30" s="210" t="n">
        <v>146.93745</v>
      </c>
      <c r="U30" s="211" t="n">
        <f aca="false">IF($A30="","",IF(OR($S30="System",$I30="Exited"),$T30,SUMIFS(CurrentPositionsTable[Quantity],CurrentPositionsTable[Ticker],$A30)-SUMIFS($T$3:$T$44,$A$3:$A$44,$A30,$S$3:$S$44,"System",$I$3:$I$44,"Held")))</f>
        <v>146.93745</v>
      </c>
      <c r="V30" s="212" t="n">
        <f aca="false">IF(OR($U30="",$D30=""),"",$U30*$D30)</f>
        <v>22080.2906115</v>
      </c>
      <c r="W30" s="212" t="n">
        <f aca="false">IF(OR($U30="",$M30=""),"",$U30*$M30)</f>
        <v>22515.2254635</v>
      </c>
      <c r="X30" s="213" t="n">
        <f aca="false">IF(OR($V30="",$W30=""),"",$W30-$V30)</f>
        <v>434.934851999995</v>
      </c>
      <c r="Y30" s="207" t="n">
        <v>119.32</v>
      </c>
      <c r="Z30" s="212" t="n">
        <f aca="false">IF(OR($U30="",$Y30=""),"",$U30*$Y30)</f>
        <v>17532.576534</v>
      </c>
      <c r="AA30" s="213" t="n">
        <f aca="false">IF(OR($Z30="",$W30=""),"",$W30-$Z30)</f>
        <v>4982.6489295</v>
      </c>
      <c r="AB30" s="209" t="n">
        <f aca="false">IF(OR($Z30="",$W30=""),"",IF($Z30=0,"",$W30/$Z30-1))</f>
        <v>0.284193764666443</v>
      </c>
      <c r="AC30" s="213" t="n">
        <f aca="false">IF(OR($V30="",$P30=""),"",$V30*$P30)</f>
        <v>-4.30252873085486</v>
      </c>
    </row>
    <row r="31" customFormat="false" ht="15" hidden="false" customHeight="true" outlineLevel="0" collapsed="false">
      <c r="A31" s="214" t="s">
        <v>131</v>
      </c>
      <c r="B31" s="128" t="s">
        <v>587</v>
      </c>
      <c r="C31" s="177" t="n">
        <v>46239</v>
      </c>
      <c r="D31" s="207" t="n">
        <v>50.42</v>
      </c>
      <c r="E31" s="208"/>
      <c r="F31" s="128"/>
      <c r="G31" s="128"/>
      <c r="H31" s="207" t="n">
        <f aca="false">PT_SPY_0805</f>
        <v>769.79</v>
      </c>
      <c r="I31" s="128" t="s">
        <v>569</v>
      </c>
      <c r="J31" s="177"/>
      <c r="K31" s="207"/>
      <c r="L31" s="128"/>
      <c r="M31" s="207" t="n">
        <f aca="false">IFERROR(INDEX('Market Data'!$C$3:$C$300,MATCH($A31,'Market Data'!$A$3:$A$300,0)),"")</f>
        <v>51.82</v>
      </c>
      <c r="N31" s="207" t="n">
        <f aca="false">PT_SPY_Now</f>
        <v>769.64</v>
      </c>
      <c r="O31" s="209" t="n">
        <f aca="false">IF(OR(D31="",M31=""),"",M31/D31-1)</f>
        <v>0.0277667592225308</v>
      </c>
      <c r="P31" s="209" t="n">
        <f aca="false">IF(OR(H31="",N31=""),"",N31/H31-1)</f>
        <v>-0.000194858337988268</v>
      </c>
      <c r="Q31" s="209" t="n">
        <f aca="false">IF(OR(O31="",P31=""),"",O31-P31)</f>
        <v>0.0279616175605191</v>
      </c>
      <c r="R31" s="207" t="s">
        <v>579</v>
      </c>
      <c r="S31" s="207" t="s">
        <v>575</v>
      </c>
      <c r="T31" s="210" t="n">
        <v>651.304</v>
      </c>
      <c r="U31" s="211" t="n">
        <f aca="false">IF($A31="","",IF(OR($S31="System",$I31="Exited"),$T31,SUMIFS(CurrentPositionsTable[Quantity],CurrentPositionsTable[Ticker],$A31)-SUMIFS($T$3:$T$44,$A$3:$A$44,$A31,$S$3:$S$44,"System",$I$3:$I$44,"Held")))</f>
        <v>651.304</v>
      </c>
      <c r="V31" s="212" t="n">
        <f aca="false">IF(OR($U31="",$D31=""),"",$U31*$D31)</f>
        <v>32838.74768</v>
      </c>
      <c r="W31" s="212" t="n">
        <f aca="false">IF(OR($U31="",$M31=""),"",$U31*$M31)</f>
        <v>33750.57328</v>
      </c>
      <c r="X31" s="213" t="n">
        <f aca="false">IF(OR($V31="",$W31=""),"",$W31-$V31)</f>
        <v>911.825599999997</v>
      </c>
      <c r="Y31" s="207" t="n">
        <v>39.38</v>
      </c>
      <c r="Z31" s="212" t="n">
        <f aca="false">IF(OR($U31="",$Y31=""),"",$U31*$Y31)</f>
        <v>25648.35152</v>
      </c>
      <c r="AA31" s="213" t="n">
        <f aca="false">IF(OR($Z31="",$W31=""),"",$W31-$Z31)</f>
        <v>8102.22176</v>
      </c>
      <c r="AB31" s="209" t="n">
        <f aca="false">IF(OR($Z31="",$W31=""),"",IF($Z31=0,"",$W31/$Z31-1))</f>
        <v>0.315896394108685</v>
      </c>
      <c r="AC31" s="213" t="n">
        <f aca="false">IF(OR($V31="",$P31=""),"",$V31*$P31)</f>
        <v>-6.39890379454091</v>
      </c>
    </row>
    <row r="32" customFormat="false" ht="15" hidden="false" customHeight="true" outlineLevel="0" collapsed="false">
      <c r="A32" s="214" t="s">
        <v>136</v>
      </c>
      <c r="B32" s="128" t="s">
        <v>588</v>
      </c>
      <c r="C32" s="177" t="n">
        <v>46239</v>
      </c>
      <c r="D32" s="207" t="n">
        <v>165.13</v>
      </c>
      <c r="E32" s="208"/>
      <c r="F32" s="128"/>
      <c r="G32" s="128"/>
      <c r="H32" s="207" t="n">
        <f aca="false">PT_SPY_0805</f>
        <v>769.79</v>
      </c>
      <c r="I32" s="128" t="s">
        <v>569</v>
      </c>
      <c r="J32" s="177"/>
      <c r="K32" s="207"/>
      <c r="L32" s="128"/>
      <c r="M32" s="207" t="n">
        <f aca="false">IFERROR(INDEX('Market Data'!$C$3:$C$300,MATCH($A32,'Market Data'!$A$3:$A$300,0)),"")</f>
        <v>156.46</v>
      </c>
      <c r="N32" s="207" t="n">
        <f aca="false">PT_SPY_Now</f>
        <v>769.64</v>
      </c>
      <c r="O32" s="209" t="n">
        <f aca="false">IF(OR(D32="",M32=""),"",M32/D32-1)</f>
        <v>-0.0525040876884878</v>
      </c>
      <c r="P32" s="209" t="n">
        <f aca="false">IF(OR(H32="",N32=""),"",N32/H32-1)</f>
        <v>-0.000194858337988268</v>
      </c>
      <c r="Q32" s="209" t="n">
        <f aca="false">IF(OR(O32="",P32=""),"",O32-P32)</f>
        <v>-0.0523092293504995</v>
      </c>
      <c r="R32" s="207" t="s">
        <v>579</v>
      </c>
      <c r="S32" s="207" t="s">
        <v>575</v>
      </c>
      <c r="T32" s="210" t="n">
        <v>150</v>
      </c>
      <c r="U32" s="211" t="n">
        <f aca="false">IF($A32="","",IF(OR($S32="System",$I32="Exited"),$T32,SUMIFS(CurrentPositionsTable[Quantity],CurrentPositionsTable[Ticker],$A32)-SUMIFS($T$3:$T$44,$A$3:$A$44,$A32,$S$3:$S$44,"System",$I$3:$I$44,"Held")))</f>
        <v>150</v>
      </c>
      <c r="V32" s="212" t="n">
        <f aca="false">IF(OR($U32="",$D32=""),"",$U32*$D32)</f>
        <v>24769.5</v>
      </c>
      <c r="W32" s="212" t="n">
        <f aca="false">IF(OR($U32="",$M32=""),"",$U32*$M32)</f>
        <v>23469</v>
      </c>
      <c r="X32" s="213" t="n">
        <f aca="false">IF(OR($V32="",$W32=""),"",$W32-$V32)</f>
        <v>-1300.5</v>
      </c>
      <c r="Y32" s="207" t="n">
        <v>143.52</v>
      </c>
      <c r="Z32" s="212" t="n">
        <f aca="false">IF(OR($U32="",$Y32=""),"",$U32*$Y32)</f>
        <v>21528</v>
      </c>
      <c r="AA32" s="213" t="n">
        <f aca="false">IF(OR($Z32="",$W32=""),"",$W32-$Z32)</f>
        <v>1941</v>
      </c>
      <c r="AB32" s="209" t="n">
        <f aca="false">IF(OR($Z32="",$W32=""),"",IF($Z32=0,"",$W32/$Z32-1))</f>
        <v>0.0901616499442586</v>
      </c>
      <c r="AC32" s="213" t="n">
        <f aca="false">IF(OR($V32="",$P32=""),"",$V32*$P32)</f>
        <v>-4.82654360280042</v>
      </c>
    </row>
    <row r="33" customFormat="false" ht="15" hidden="false" customHeight="true" outlineLevel="0" collapsed="false">
      <c r="A33" s="214" t="s">
        <v>122</v>
      </c>
      <c r="B33" s="128" t="s">
        <v>589</v>
      </c>
      <c r="C33" s="177" t="n">
        <v>46239</v>
      </c>
      <c r="D33" s="207" t="n">
        <v>1</v>
      </c>
      <c r="E33" s="208"/>
      <c r="F33" s="128"/>
      <c r="G33" s="128"/>
      <c r="H33" s="207" t="n">
        <f aca="false">PT_SPY_0805</f>
        <v>769.79</v>
      </c>
      <c r="I33" s="128" t="s">
        <v>569</v>
      </c>
      <c r="J33" s="177"/>
      <c r="K33" s="207"/>
      <c r="L33" s="128"/>
      <c r="M33" s="207" t="n">
        <v>1</v>
      </c>
      <c r="N33" s="207" t="n">
        <f aca="false">PT_SPY_Now</f>
        <v>769.64</v>
      </c>
      <c r="O33" s="209" t="n">
        <f aca="false">IF(OR(D33="",M33=""),"",M33/D33-1)</f>
        <v>0</v>
      </c>
      <c r="P33" s="209" t="n">
        <f aca="false">IF(OR(H33="",N33=""),"",N33/H33-1)</f>
        <v>-0.000194858337988268</v>
      </c>
      <c r="Q33" s="209" t="n">
        <f aca="false">IF(OR(O33="",P33=""),"",O33-P33)</f>
        <v>0.000194858337988268</v>
      </c>
      <c r="R33" s="207" t="s">
        <v>124</v>
      </c>
      <c r="S33" s="207" t="s">
        <v>575</v>
      </c>
      <c r="T33" s="210"/>
      <c r="U33" s="211" t="n">
        <f aca="false">IF($A33="","",IF(OR($S33="System",$I33="Exited"),$T33,SUMIFS(CurrentPositionsTable[Quantity],CurrentPositionsTable[Ticker],$A33)-SUMIFS($T$3:$T$44,$A$3:$A$44,$A33,$S$3:$S$44,"System",$I$3:$I$44,"Held")))</f>
        <v>648.04</v>
      </c>
      <c r="V33" s="212" t="n">
        <f aca="false">IF(OR($U33="",$D33=""),"",$U33*$D33)</f>
        <v>648.04</v>
      </c>
      <c r="W33" s="212" t="n">
        <f aca="false">IF(OR($U33="",$M33=""),"",$U33*$M33)</f>
        <v>648.04</v>
      </c>
      <c r="X33" s="213" t="n">
        <f aca="false">IF(OR($V33="",$W33=""),"",$W33-$V33)</f>
        <v>0</v>
      </c>
      <c r="Y33" s="207" t="n">
        <v>1</v>
      </c>
      <c r="Z33" s="212" t="n">
        <f aca="false">IF(OR($U33="",$Y33=""),"",$U33*$Y33)</f>
        <v>648.04</v>
      </c>
      <c r="AA33" s="213" t="n">
        <f aca="false">IF(OR($Z33="",$W33=""),"",$W33-$Z33)</f>
        <v>0</v>
      </c>
      <c r="AB33" s="209" t="n">
        <f aca="false">IF(OR($Z33="",$W33=""),"",IF($Z33=0,"",$W33/$Z33-1))</f>
        <v>0</v>
      </c>
      <c r="AC33" s="213" t="n">
        <f aca="false">IF(OR($V33="",$P33=""),"",$V33*$P33)</f>
        <v>-0.126275997349917</v>
      </c>
    </row>
    <row r="34" customFormat="false" ht="15" hidden="false" customHeight="true" outlineLevel="0" collapsed="false">
      <c r="A34" s="205" t="s">
        <v>126</v>
      </c>
      <c r="B34" s="128" t="s">
        <v>590</v>
      </c>
      <c r="C34" s="177" t="n">
        <v>46239</v>
      </c>
      <c r="D34" s="207" t="n">
        <v>1</v>
      </c>
      <c r="E34" s="208"/>
      <c r="F34" s="128"/>
      <c r="G34" s="128"/>
      <c r="H34" s="207" t="n">
        <f aca="false">PT_SPY_0805</f>
        <v>769.79</v>
      </c>
      <c r="I34" s="128" t="s">
        <v>591</v>
      </c>
      <c r="J34" s="177" t="n">
        <v>46296</v>
      </c>
      <c r="K34" s="207" t="n">
        <v>1</v>
      </c>
      <c r="L34" s="128" t="s">
        <v>592</v>
      </c>
      <c r="M34" s="207" t="n">
        <v>1</v>
      </c>
      <c r="N34" s="207" t="n">
        <v>763.99</v>
      </c>
      <c r="O34" s="209" t="n">
        <f aca="false">IF(OR(D34="",M34=""),"",M34/D34-1)</f>
        <v>0</v>
      </c>
      <c r="P34" s="209" t="n">
        <f aca="false">IF(OR(H34="",N34=""),"",N34/H34-1)</f>
        <v>-0.00753452240221353</v>
      </c>
      <c r="Q34" s="209" t="n">
        <f aca="false">IF(OR(O34="",P34=""),"",O34-P34)</f>
        <v>0.00753452240221353</v>
      </c>
      <c r="R34" s="207" t="s">
        <v>124</v>
      </c>
      <c r="S34" s="207" t="s">
        <v>575</v>
      </c>
      <c r="T34" s="210" t="n">
        <v>1174.01</v>
      </c>
      <c r="U34" s="211" t="n">
        <f aca="false">IF($A34="","",IF(OR($S34="System",$I34="Exited"),$T34,SUMIFS(CurrentPositionsTable[Quantity],CurrentPositionsTable[Ticker],$A34)-SUMIFS($T$3:$T$44,$A$3:$A$44,$A34,$S$3:$S$44,"System",$I$3:$I$44,"Held")))</f>
        <v>1174.01</v>
      </c>
      <c r="V34" s="212" t="n">
        <f aca="false">IF(OR($U34="",$D34=""),"",$U34*$D34)</f>
        <v>1174.01</v>
      </c>
      <c r="W34" s="212" t="n">
        <f aca="false">IF(OR($U34="",$M34=""),"",$U34*$M34)</f>
        <v>1174.01</v>
      </c>
      <c r="X34" s="213" t="n">
        <f aca="false">IF(OR($V34="",$W34=""),"",$W34-$V34)</f>
        <v>0</v>
      </c>
      <c r="Y34" s="207" t="n">
        <v>1</v>
      </c>
      <c r="Z34" s="212" t="n">
        <f aca="false">IF(OR($U34="",$Y34=""),"",$U34*$Y34)</f>
        <v>1174.01</v>
      </c>
      <c r="AA34" s="213" t="n">
        <f aca="false">IF(OR($Z34="",$W34=""),"",$W34-$Z34)</f>
        <v>0</v>
      </c>
      <c r="AB34" s="209" t="n">
        <f aca="false">IF(OR($Z34="",$W34=""),"",IF($Z34=0,"",$W34/$Z34-1))</f>
        <v>0</v>
      </c>
      <c r="AC34" s="213" t="n">
        <f aca="false">IF(OR($V34="",$P34=""),"",$V34*$P34)</f>
        <v>-8.8456046454227</v>
      </c>
    </row>
    <row r="35" customFormat="false" ht="15" hidden="false" customHeight="true" outlineLevel="0" collapsed="false">
      <c r="A35" s="214" t="s">
        <v>189</v>
      </c>
      <c r="B35" s="128" t="s">
        <v>593</v>
      </c>
      <c r="C35" s="177" t="n">
        <v>46239</v>
      </c>
      <c r="D35" s="207" t="n">
        <v>1</v>
      </c>
      <c r="E35" s="208"/>
      <c r="F35" s="128"/>
      <c r="G35" s="128"/>
      <c r="H35" s="207" t="n">
        <f aca="false">PT_SPY_0805</f>
        <v>769.79</v>
      </c>
      <c r="I35" s="128" t="s">
        <v>569</v>
      </c>
      <c r="J35" s="177"/>
      <c r="K35" s="207"/>
      <c r="L35" s="128"/>
      <c r="M35" s="207" t="n">
        <v>1</v>
      </c>
      <c r="N35" s="207" t="n">
        <f aca="false">PT_SPY_Now</f>
        <v>769.64</v>
      </c>
      <c r="O35" s="209" t="n">
        <f aca="false">IF(OR(D35="",M35=""),"",M35/D35-1)</f>
        <v>0</v>
      </c>
      <c r="P35" s="209" t="n">
        <f aca="false">IF(OR(H35="",N35=""),"",N35/H35-1)</f>
        <v>-0.000194858337988268</v>
      </c>
      <c r="Q35" s="209" t="n">
        <f aca="false">IF(OR(O35="",P35=""),"",O35-P35)</f>
        <v>0.000194858337988268</v>
      </c>
      <c r="R35" s="207" t="s">
        <v>124</v>
      </c>
      <c r="S35" s="207" t="s">
        <v>575</v>
      </c>
      <c r="T35" s="210"/>
      <c r="U35" s="211" t="n">
        <f aca="false">IF($A35="","",IF(OR($S35="System",$I35="Exited"),$T35,SUMIFS(CurrentPositionsTable[Quantity],CurrentPositionsTable[Ticker],$A35)-SUMIFS($T$3:$T$44,$A$3:$A$44,$A35,$S$3:$S$44,"System",$I$3:$I$44,"Held")))</f>
        <v>20408.02</v>
      </c>
      <c r="V35" s="212" t="n">
        <f aca="false">IF(OR($U35="",$D35=""),"",$U35*$D35)</f>
        <v>20408.02</v>
      </c>
      <c r="W35" s="212" t="n">
        <f aca="false">IF(OR($U35="",$M35=""),"",$U35*$M35)</f>
        <v>20408.02</v>
      </c>
      <c r="X35" s="213" t="n">
        <f aca="false">IF(OR($V35="",$W35=""),"",$W35-$V35)</f>
        <v>0</v>
      </c>
      <c r="Y35" s="207" t="n">
        <v>1</v>
      </c>
      <c r="Z35" s="212" t="n">
        <f aca="false">IF(OR($U35="",$Y35=""),"",$U35*$Y35)</f>
        <v>20408.02</v>
      </c>
      <c r="AA35" s="213" t="n">
        <f aca="false">IF(OR($Z35="",$W35=""),"",$W35-$Z35)</f>
        <v>0</v>
      </c>
      <c r="AB35" s="209" t="n">
        <f aca="false">IF(OR($Z35="",$W35=""),"",IF($Z35=0,"",$W35/$Z35-1))</f>
        <v>0</v>
      </c>
      <c r="AC35" s="213" t="n">
        <f aca="false">IF(OR($V35="",$P35=""),"",$V35*$P35)</f>
        <v>-3.97667285883134</v>
      </c>
    </row>
    <row r="36" customFormat="false" ht="15" hidden="false" customHeight="true" outlineLevel="0" collapsed="false">
      <c r="A36" s="214" t="s">
        <v>156</v>
      </c>
      <c r="B36" s="128" t="s">
        <v>594</v>
      </c>
      <c r="C36" s="177" t="n">
        <v>46239</v>
      </c>
      <c r="D36" s="207" t="n">
        <v>1</v>
      </c>
      <c r="E36" s="208"/>
      <c r="F36" s="128"/>
      <c r="G36" s="128"/>
      <c r="H36" s="207" t="n">
        <f aca="false">PT_SPY_0805</f>
        <v>769.79</v>
      </c>
      <c r="I36" s="128" t="s">
        <v>569</v>
      </c>
      <c r="J36" s="177"/>
      <c r="K36" s="207"/>
      <c r="L36" s="128"/>
      <c r="M36" s="207" t="n">
        <v>1</v>
      </c>
      <c r="N36" s="207" t="n">
        <f aca="false">PT_SPY_Now</f>
        <v>769.64</v>
      </c>
      <c r="O36" s="209" t="n">
        <f aca="false">IF(OR(D36="",M36=""),"",M36/D36-1)</f>
        <v>0</v>
      </c>
      <c r="P36" s="209" t="n">
        <f aca="false">IF(OR(H36="",N36=""),"",N36/H36-1)</f>
        <v>-0.000194858337988268</v>
      </c>
      <c r="Q36" s="209" t="n">
        <f aca="false">IF(OR(O36="",P36=""),"",O36-P36)</f>
        <v>0.000194858337988268</v>
      </c>
      <c r="R36" s="207" t="s">
        <v>124</v>
      </c>
      <c r="S36" s="207" t="s">
        <v>575</v>
      </c>
      <c r="T36" s="210"/>
      <c r="U36" s="211" t="n">
        <f aca="false">IF($A36="","",IF(OR($S36="System",$I36="Exited"),$T36,SUMIFS(CurrentPositionsTable[Quantity],CurrentPositionsTable[Ticker],$A36)-SUMIFS($T$3:$T$44,$A$3:$A$44,$A36,$S$3:$S$44,"System",$I$3:$I$44,"Held")))</f>
        <v>27966.4</v>
      </c>
      <c r="V36" s="212" t="n">
        <f aca="false">IF(OR($U36="",$D36=""),"",$U36*$D36)</f>
        <v>27966.4</v>
      </c>
      <c r="W36" s="212" t="n">
        <f aca="false">IF(OR($U36="",$M36=""),"",$U36*$M36)</f>
        <v>27966.4</v>
      </c>
      <c r="X36" s="213" t="n">
        <f aca="false">IF(OR($V36="",$W36=""),"",$W36-$V36)</f>
        <v>0</v>
      </c>
      <c r="Y36" s="207" t="n">
        <v>1</v>
      </c>
      <c r="Z36" s="212" t="n">
        <f aca="false">IF(OR($U36="",$Y36=""),"",$U36*$Y36)</f>
        <v>27966.4</v>
      </c>
      <c r="AA36" s="213" t="n">
        <f aca="false">IF(OR($Z36="",$W36=""),"",$W36-$Z36)</f>
        <v>0</v>
      </c>
      <c r="AB36" s="209" t="n">
        <f aca="false">IF(OR($Z36="",$W36=""),"",IF($Z36=0,"",$W36/$Z36-1))</f>
        <v>0</v>
      </c>
      <c r="AC36" s="213" t="n">
        <f aca="false">IF(OR($V36="",$P36=""),"",$V36*$P36)</f>
        <v>-5.44948622351511</v>
      </c>
    </row>
    <row r="37" customFormat="false" ht="15" hidden="false" customHeight="true" outlineLevel="0" collapsed="false">
      <c r="A37" s="205" t="s">
        <v>166</v>
      </c>
      <c r="B37" s="128" t="s">
        <v>595</v>
      </c>
      <c r="C37" s="177" t="n">
        <v>46239</v>
      </c>
      <c r="D37" s="207" t="n">
        <v>55.61</v>
      </c>
      <c r="E37" s="208"/>
      <c r="F37" s="128"/>
      <c r="G37" s="128"/>
      <c r="H37" s="207" t="n">
        <f aca="false">PT_SPY_0805</f>
        <v>769.79</v>
      </c>
      <c r="I37" s="128" t="s">
        <v>591</v>
      </c>
      <c r="J37" s="177" t="n">
        <v>46241</v>
      </c>
      <c r="K37" s="207" t="n">
        <v>56.1995</v>
      </c>
      <c r="L37" s="128" t="s">
        <v>596</v>
      </c>
      <c r="M37" s="207" t="n">
        <v>56.1995</v>
      </c>
      <c r="N37" s="207" t="n">
        <v>773.26</v>
      </c>
      <c r="O37" s="209" t="n">
        <f aca="false">IF(OR(D37="",M37=""),"",M37/D37-1)</f>
        <v>0.0106006114008272</v>
      </c>
      <c r="P37" s="209" t="n">
        <f aca="false">IF(OR(H37="",N37=""),"",N37/H37-1)</f>
        <v>0.0045077228854622</v>
      </c>
      <c r="Q37" s="209" t="n">
        <f aca="false">IF(OR(O37="",P37=""),"",O37-P37)</f>
        <v>0.00609288851536505</v>
      </c>
      <c r="R37" s="207" t="s">
        <v>579</v>
      </c>
      <c r="S37" s="207" t="s">
        <v>575</v>
      </c>
      <c r="T37" s="210" t="n">
        <v>409.55</v>
      </c>
      <c r="U37" s="211" t="n">
        <f aca="false">IF($A37="","",IF(OR($S37="System",$I37="Exited"),$T37,SUMIFS(CurrentPositionsTable[Quantity],CurrentPositionsTable[Ticker],$A37)-SUMIFS($T$3:$T$44,$A$3:$A$44,$A37,$S$3:$S$44,"System",$I$3:$I$44,"Held")))</f>
        <v>409.55</v>
      </c>
      <c r="V37" s="212" t="n">
        <f aca="false">IF(OR($U37="",$D37=""),"",$U37*$D37)</f>
        <v>22775.0755</v>
      </c>
      <c r="W37" s="212" t="n">
        <f aca="false">IF(OR($U37="",$M37=""),"",$U37*$M37)</f>
        <v>23016.505225</v>
      </c>
      <c r="X37" s="213" t="n">
        <f aca="false">IF(OR($V37="",$W37=""),"",$W37-$V37)</f>
        <v>241.429725000002</v>
      </c>
      <c r="Y37" s="207" t="n">
        <v>44.37</v>
      </c>
      <c r="Z37" s="212" t="n">
        <f aca="false">IF(OR($U37="",$Y37=""),"",$U37*$Y37)</f>
        <v>18171.7335</v>
      </c>
      <c r="AA37" s="213" t="n">
        <f aca="false">IF(OR($Z37="",$W37=""),"",$W37-$Z37)</f>
        <v>4844.771725</v>
      </c>
      <c r="AB37" s="209" t="n">
        <f aca="false">IF(OR($Z37="",$W37=""),"",IF($Z37=0,"",$W37/$Z37-1))</f>
        <v>0.266610322289836</v>
      </c>
      <c r="AC37" s="213" t="n">
        <f aca="false">IF(OR($V37="",$P37=""),"",$V37*$P37)</f>
        <v>102.663729049479</v>
      </c>
    </row>
    <row r="38" customFormat="false" ht="15" hidden="false" customHeight="true" outlineLevel="0" collapsed="false">
      <c r="A38" s="205" t="s">
        <v>192</v>
      </c>
      <c r="B38" s="128" t="s">
        <v>193</v>
      </c>
      <c r="C38" s="177" t="n">
        <v>46239</v>
      </c>
      <c r="D38" s="207" t="n">
        <v>38.19</v>
      </c>
      <c r="E38" s="208"/>
      <c r="F38" s="128"/>
      <c r="G38" s="128"/>
      <c r="H38" s="207" t="n">
        <f aca="false">PT_SPY_0805</f>
        <v>769.79</v>
      </c>
      <c r="I38" s="128" t="s">
        <v>591</v>
      </c>
      <c r="J38" s="177" t="n">
        <v>46241</v>
      </c>
      <c r="K38" s="207" t="n">
        <v>37.6492</v>
      </c>
      <c r="L38" s="128" t="s">
        <v>597</v>
      </c>
      <c r="M38" s="207" t="n">
        <v>37.6492</v>
      </c>
      <c r="N38" s="207" t="n">
        <v>773.26</v>
      </c>
      <c r="O38" s="209" t="n">
        <f aca="false">IF(OR(D38="",M38=""),"",M38/D38-1)</f>
        <v>-0.0141607750720083</v>
      </c>
      <c r="P38" s="209" t="n">
        <f aca="false">IF(OR(H38="",N38=""),"",N38/H38-1)</f>
        <v>0.0045077228854622</v>
      </c>
      <c r="Q38" s="209" t="n">
        <f aca="false">IF(OR(O38="",P38=""),"",O38-P38)</f>
        <v>-0.0186684979574705</v>
      </c>
      <c r="R38" s="207" t="s">
        <v>570</v>
      </c>
      <c r="S38" s="207" t="s">
        <v>575</v>
      </c>
      <c r="T38" s="210" t="n">
        <v>100</v>
      </c>
      <c r="U38" s="211" t="n">
        <f aca="false">IF($A38="","",IF(OR($S38="System",$I38="Exited"),$T38,SUMIFS(CurrentPositionsTable[Quantity],CurrentPositionsTable[Ticker],$A38)-SUMIFS($T$3:$T$44,$A$3:$A$44,$A38,$S$3:$S$44,"System",$I$3:$I$44,"Held")))</f>
        <v>100</v>
      </c>
      <c r="V38" s="212" t="n">
        <f aca="false">IF(OR($U38="",$D38=""),"",$U38*$D38)</f>
        <v>3819</v>
      </c>
      <c r="W38" s="212" t="n">
        <f aca="false">IF(OR($U38="",$M38=""),"",$U38*$M38)</f>
        <v>3764.92</v>
      </c>
      <c r="X38" s="213" t="n">
        <f aca="false">IF(OR($V38="",$W38=""),"",$W38-$V38)</f>
        <v>-54.0799999999999</v>
      </c>
      <c r="Y38" s="207" t="n">
        <v>46.48</v>
      </c>
      <c r="Z38" s="212" t="n">
        <f aca="false">IF(OR($U38="",$Y38=""),"",$U38*$Y38)</f>
        <v>4648</v>
      </c>
      <c r="AA38" s="213" t="n">
        <f aca="false">IF(OR($Z38="",$W38=""),"",$W38-$Z38)</f>
        <v>-883.08</v>
      </c>
      <c r="AB38" s="209" t="n">
        <f aca="false">IF(OR($Z38="",$W38=""),"",IF($Z38=0,"",$W38/$Z38-1))</f>
        <v>-0.189991394148021</v>
      </c>
      <c r="AC38" s="213" t="n">
        <f aca="false">IF(OR($V38="",$P38=""),"",$V38*$P38)</f>
        <v>17.2149936995801</v>
      </c>
    </row>
    <row r="39" customFormat="false" ht="15" hidden="false" customHeight="true" outlineLevel="0" collapsed="false">
      <c r="A39" s="205" t="s">
        <v>180</v>
      </c>
      <c r="B39" s="128" t="s">
        <v>181</v>
      </c>
      <c r="C39" s="177" t="n">
        <v>46239</v>
      </c>
      <c r="D39" s="207" t="n">
        <v>85.12</v>
      </c>
      <c r="E39" s="208"/>
      <c r="F39" s="128"/>
      <c r="G39" s="128"/>
      <c r="H39" s="207" t="n">
        <f aca="false">PT_SPY_0805</f>
        <v>769.79</v>
      </c>
      <c r="I39" s="128" t="s">
        <v>591</v>
      </c>
      <c r="J39" s="177" t="n">
        <v>46241</v>
      </c>
      <c r="K39" s="207" t="n">
        <v>86.1782</v>
      </c>
      <c r="L39" s="128" t="s">
        <v>597</v>
      </c>
      <c r="M39" s="207" t="n">
        <v>86.1782</v>
      </c>
      <c r="N39" s="207" t="n">
        <v>773.26</v>
      </c>
      <c r="O39" s="209" t="n">
        <f aca="false">IF(OR(D39="",M39=""),"",M39/D39-1)</f>
        <v>0.0124318609022556</v>
      </c>
      <c r="P39" s="209" t="n">
        <f aca="false">IF(OR(H39="",N39=""),"",N39/H39-1)</f>
        <v>0.0045077228854622</v>
      </c>
      <c r="Q39" s="209" t="n">
        <f aca="false">IF(OR(O39="",P39=""),"",O39-P39)</f>
        <v>0.00792413801679337</v>
      </c>
      <c r="R39" s="207" t="s">
        <v>570</v>
      </c>
      <c r="S39" s="207" t="s">
        <v>575</v>
      </c>
      <c r="T39" s="210" t="n">
        <v>65</v>
      </c>
      <c r="U39" s="211" t="n">
        <f aca="false">IF($A39="","",IF(OR($S39="System",$I39="Exited"),$T39,SUMIFS(CurrentPositionsTable[Quantity],CurrentPositionsTable[Ticker],$A39)-SUMIFS($T$3:$T$44,$A$3:$A$44,$A39,$S$3:$S$44,"System",$I$3:$I$44,"Held")))</f>
        <v>65</v>
      </c>
      <c r="V39" s="212" t="n">
        <f aca="false">IF(OR($U39="",$D39=""),"",$U39*$D39)</f>
        <v>5532.8</v>
      </c>
      <c r="W39" s="212" t="n">
        <f aca="false">IF(OR($U39="",$M39=""),"",$U39*$M39)</f>
        <v>5601.583</v>
      </c>
      <c r="X39" s="213" t="n">
        <f aca="false">IF(OR($V39="",$W39=""),"",$W39-$V39)</f>
        <v>68.7830000000004</v>
      </c>
      <c r="Y39" s="207" t="n">
        <v>79.67</v>
      </c>
      <c r="Z39" s="212" t="n">
        <f aca="false">IF(OR($U39="",$Y39=""),"",$U39*$Y39)</f>
        <v>5178.55</v>
      </c>
      <c r="AA39" s="213" t="n">
        <f aca="false">IF(OR($Z39="",$W39=""),"",$W39-$Z39)</f>
        <v>423.033</v>
      </c>
      <c r="AB39" s="209" t="n">
        <f aca="false">IF(OR($Z39="",$W39=""),"",IF($Z39=0,"",$W39/$Z39-1))</f>
        <v>0.081689469059872</v>
      </c>
      <c r="AC39" s="213" t="n">
        <f aca="false">IF(OR($V39="",$P39=""),"",$V39*$P39)</f>
        <v>24.9403291806852</v>
      </c>
    </row>
    <row r="40" customFormat="false" ht="15" hidden="false" customHeight="true" outlineLevel="0" collapsed="false">
      <c r="A40" s="205" t="s">
        <v>183</v>
      </c>
      <c r="B40" s="128" t="s">
        <v>184</v>
      </c>
      <c r="C40" s="177" t="n">
        <v>46239</v>
      </c>
      <c r="D40" s="207" t="n">
        <v>321.55</v>
      </c>
      <c r="E40" s="208"/>
      <c r="F40" s="128"/>
      <c r="G40" s="128"/>
      <c r="H40" s="207" t="n">
        <f aca="false">PT_SPY_0805</f>
        <v>769.79</v>
      </c>
      <c r="I40" s="128" t="s">
        <v>591</v>
      </c>
      <c r="J40" s="177" t="n">
        <v>46241</v>
      </c>
      <c r="K40" s="207" t="n">
        <v>318.8833</v>
      </c>
      <c r="L40" s="128" t="s">
        <v>598</v>
      </c>
      <c r="M40" s="207" t="n">
        <v>318.8833</v>
      </c>
      <c r="N40" s="207" t="n">
        <v>773.26</v>
      </c>
      <c r="O40" s="209" t="n">
        <f aca="false">IF(OR(D40="",M40=""),"",M40/D40-1)</f>
        <v>-0.00829326698802668</v>
      </c>
      <c r="P40" s="209" t="n">
        <f aca="false">IF(OR(H40="",N40=""),"",N40/H40-1)</f>
        <v>0.0045077228854622</v>
      </c>
      <c r="Q40" s="209" t="n">
        <f aca="false">IF(OR(O40="",P40=""),"",O40-P40)</f>
        <v>-0.0128009898734889</v>
      </c>
      <c r="R40" s="207" t="s">
        <v>570</v>
      </c>
      <c r="S40" s="207" t="s">
        <v>575</v>
      </c>
      <c r="T40" s="210" t="n">
        <v>15</v>
      </c>
      <c r="U40" s="211" t="n">
        <f aca="false">IF($A40="","",IF(OR($S40="System",$I40="Exited"),$T40,SUMIFS(CurrentPositionsTable[Quantity],CurrentPositionsTable[Ticker],$A40)-SUMIFS($T$3:$T$44,$A$3:$A$44,$A40,$S$3:$S$44,"System",$I$3:$I$44,"Held")))</f>
        <v>15</v>
      </c>
      <c r="V40" s="212" t="n">
        <f aca="false">IF(OR($U40="",$D40=""),"",$U40*$D40)</f>
        <v>4823.25</v>
      </c>
      <c r="W40" s="212" t="n">
        <f aca="false">IF(OR($U40="",$M40=""),"",$U40*$M40)</f>
        <v>4783.2495</v>
      </c>
      <c r="X40" s="213" t="n">
        <f aca="false">IF(OR($V40="",$W40=""),"",$W40-$V40)</f>
        <v>-40.0005000000001</v>
      </c>
      <c r="Y40" s="207" t="n">
        <v>449.72</v>
      </c>
      <c r="Z40" s="212" t="n">
        <f aca="false">IF(OR($U40="",$Y40=""),"",$U40*$Y40)</f>
        <v>6745.8</v>
      </c>
      <c r="AA40" s="213" t="n">
        <f aca="false">IF(OR($Z40="",$W40=""),"",$W40-$Z40)</f>
        <v>-1962.5505</v>
      </c>
      <c r="AB40" s="209" t="n">
        <f aca="false">IF(OR($Z40="",$W40=""),"",IF($Z40=0,"",$W40/$Z40-1))</f>
        <v>-0.290929244863471</v>
      </c>
      <c r="AC40" s="213" t="n">
        <f aca="false">IF(OR($V40="",$P40=""),"",$V40*$P40)</f>
        <v>21.7418744073055</v>
      </c>
    </row>
    <row r="41" customFormat="false" ht="15" hidden="false" customHeight="true" outlineLevel="0" collapsed="false">
      <c r="A41" s="205" t="s">
        <v>186</v>
      </c>
      <c r="B41" s="128" t="s">
        <v>599</v>
      </c>
      <c r="C41" s="177" t="n">
        <v>46239</v>
      </c>
      <c r="D41" s="207" t="n">
        <v>119.72</v>
      </c>
      <c r="E41" s="208"/>
      <c r="F41" s="128"/>
      <c r="G41" s="128"/>
      <c r="H41" s="207" t="n">
        <f aca="false">PT_SPY_0805</f>
        <v>769.79</v>
      </c>
      <c r="I41" s="128" t="s">
        <v>591</v>
      </c>
      <c r="J41" s="177" t="n">
        <v>46241</v>
      </c>
      <c r="K41" s="207" t="n">
        <v>120.7437</v>
      </c>
      <c r="L41" s="128" t="s">
        <v>600</v>
      </c>
      <c r="M41" s="207" t="n">
        <v>120.7437</v>
      </c>
      <c r="N41" s="207" t="n">
        <v>773.26</v>
      </c>
      <c r="O41" s="209" t="n">
        <f aca="false">IF(OR(D41="",M41=""),"",M41/D41-1)</f>
        <v>0.00855078516538588</v>
      </c>
      <c r="P41" s="209" t="n">
        <f aca="false">IF(OR(H41="",N41=""),"",N41/H41-1)</f>
        <v>0.0045077228854622</v>
      </c>
      <c r="Q41" s="209" t="n">
        <f aca="false">IF(OR(O41="",P41=""),"",O41-P41)</f>
        <v>0.00404306227992368</v>
      </c>
      <c r="R41" s="207" t="s">
        <v>579</v>
      </c>
      <c r="S41" s="207" t="s">
        <v>575</v>
      </c>
      <c r="T41" s="210" t="n">
        <v>40.18</v>
      </c>
      <c r="U41" s="211" t="n">
        <f aca="false">IF($A41="","",IF(OR($S41="System",$I41="Exited"),$T41,SUMIFS(CurrentPositionsTable[Quantity],CurrentPositionsTable[Ticker],$A41)-SUMIFS($T$3:$T$44,$A$3:$A$44,$A41,$S$3:$S$44,"System",$I$3:$I$44,"Held")))</f>
        <v>40.18</v>
      </c>
      <c r="V41" s="212" t="n">
        <f aca="false">IF(OR($U41="",$D41=""),"",$U41*$D41)</f>
        <v>4810.3496</v>
      </c>
      <c r="W41" s="212" t="n">
        <f aca="false">IF(OR($U41="",$M41=""),"",$U41*$M41)</f>
        <v>4851.481866</v>
      </c>
      <c r="X41" s="213" t="n">
        <f aca="false">IF(OR($V41="",$W41=""),"",$W41-$V41)</f>
        <v>41.1322660000005</v>
      </c>
      <c r="Y41" s="207" t="n">
        <v>94.2225</v>
      </c>
      <c r="Z41" s="212" t="n">
        <f aca="false">IF(OR($U41="",$Y41=""),"",$U41*$Y41)</f>
        <v>3785.86005</v>
      </c>
      <c r="AA41" s="213" t="n">
        <f aca="false">IF(OR($Z41="",$W41=""),"",$W41-$Z41)</f>
        <v>1065.621816</v>
      </c>
      <c r="AB41" s="209" t="n">
        <f aca="false">IF(OR($Z41="",$W41=""),"",IF($Z41=0,"",$W41/$Z41-1))</f>
        <v>0.281474170182281</v>
      </c>
      <c r="AC41" s="213" t="n">
        <f aca="false">IF(OR($V41="",$P41=""),"",$V41*$P41)</f>
        <v>21.6837229789939</v>
      </c>
    </row>
    <row r="42" customFormat="false" ht="15" hidden="false" customHeight="true" outlineLevel="0" collapsed="false">
      <c r="A42" s="205" t="s">
        <v>140</v>
      </c>
      <c r="B42" s="128" t="s">
        <v>586</v>
      </c>
      <c r="C42" s="177" t="n">
        <v>46239</v>
      </c>
      <c r="D42" s="207" t="n">
        <v>150.27</v>
      </c>
      <c r="E42" s="208"/>
      <c r="F42" s="128"/>
      <c r="G42" s="128"/>
      <c r="H42" s="207" t="n">
        <f aca="false">PT_SPY_0805</f>
        <v>769.79</v>
      </c>
      <c r="I42" s="128" t="s">
        <v>591</v>
      </c>
      <c r="J42" s="177" t="n">
        <v>46301</v>
      </c>
      <c r="K42" s="207" t="n">
        <v>153.54</v>
      </c>
      <c r="L42" s="128" t="s">
        <v>601</v>
      </c>
      <c r="M42" s="207" t="n">
        <v>153.54</v>
      </c>
      <c r="N42" s="207" t="n">
        <v>779.09</v>
      </c>
      <c r="O42" s="209" t="n">
        <f aca="false">IF(OR(D42="",M42=""),"",M42/D42-1)</f>
        <v>0.0217608305050907</v>
      </c>
      <c r="P42" s="209" t="n">
        <f aca="false">IF(OR(H42="",N42=""),"",N42/H42-1)</f>
        <v>0.0120812169552735</v>
      </c>
      <c r="Q42" s="209" t="n">
        <f aca="false">IF(OR(O42="",P42=""),"",O42-P42)</f>
        <v>0.00967961354981717</v>
      </c>
      <c r="R42" s="207" t="s">
        <v>579</v>
      </c>
      <c r="S42" s="207" t="s">
        <v>575</v>
      </c>
      <c r="T42" s="210" t="n">
        <v>30</v>
      </c>
      <c r="U42" s="211" t="n">
        <f aca="false">IF($A42="","",IF(OR($S42="System",$I42="Exited"),$T42,SUMIFS(CurrentPositionsTable[Quantity],CurrentPositionsTable[Ticker],$A42)-SUMIFS($T$3:$T$44,$A$3:$A$44,$A42,$S$3:$S$44,"System",$I$3:$I$44,"Held")))</f>
        <v>30</v>
      </c>
      <c r="V42" s="212" t="n">
        <f aca="false">IF(OR($U42="",$D42=""),"",$U42*$D42)</f>
        <v>4508.1</v>
      </c>
      <c r="W42" s="212" t="n">
        <f aca="false">IF(OR($U42="",$M42=""),"",$U42*$M42)</f>
        <v>4606.2</v>
      </c>
      <c r="X42" s="213" t="n">
        <f aca="false">IF(OR($V42="",$W42=""),"",$W42-$V42)</f>
        <v>98.0999999999995</v>
      </c>
      <c r="Y42" s="207" t="n">
        <v>119.32</v>
      </c>
      <c r="Z42" s="212" t="n">
        <f aca="false">IF(OR($U42="",$Y42=""),"",$U42*$Y42)</f>
        <v>3579.6</v>
      </c>
      <c r="AA42" s="213" t="n">
        <f aca="false">IF(OR($Z42="",$W42=""),"",$W42-$Z42)</f>
        <v>1026.6</v>
      </c>
      <c r="AB42" s="209" t="n">
        <f aca="false">IF(OR($Z42="",$W42=""),"",IF($Z42=0,"",$W42/$Z42-1))</f>
        <v>0.286791820315119</v>
      </c>
      <c r="AC42" s="213" t="n">
        <f aca="false">IF(OR($V42="",$P42=""),"",$V42*$P42)</f>
        <v>54.4633341560686</v>
      </c>
    </row>
    <row r="43" customFormat="false" ht="15" hidden="false" customHeight="true" outlineLevel="0" collapsed="false">
      <c r="A43" s="205" t="s">
        <v>149</v>
      </c>
      <c r="B43" s="128" t="s">
        <v>423</v>
      </c>
      <c r="C43" s="177" t="n">
        <v>46302</v>
      </c>
      <c r="D43" s="207" t="n">
        <v>283.25</v>
      </c>
      <c r="E43" s="208" t="n">
        <v>81.6</v>
      </c>
      <c r="F43" s="128" t="s">
        <v>349</v>
      </c>
      <c r="G43" s="128" t="s">
        <v>568</v>
      </c>
      <c r="H43" s="207" t="n">
        <v>777.22</v>
      </c>
      <c r="I43" s="128" t="s">
        <v>569</v>
      </c>
      <c r="J43" s="177"/>
      <c r="K43" s="207"/>
      <c r="L43" s="128"/>
      <c r="M43" s="207" t="n">
        <f aca="false">IFERROR(INDEX('Market Data'!$C$3:$C$300,MATCH($A43,'Market Data'!$A$3:$A$300,0)),"")</f>
        <v>273.33</v>
      </c>
      <c r="N43" s="207" t="n">
        <f aca="false">PT_SPY_Now</f>
        <v>769.64</v>
      </c>
      <c r="O43" s="209" t="n">
        <f aca="false">IF(OR(D43="",M43=""),"",M43/D43-1)</f>
        <v>-0.0350220653133275</v>
      </c>
      <c r="P43" s="209" t="n">
        <f aca="false">IF(OR(H43="",N43=""),"",N43/H43-1)</f>
        <v>-0.00975270837086029</v>
      </c>
      <c r="Q43" s="209" t="n">
        <f aca="false">IF(OR(O43="",P43=""),"",O43-P43)</f>
        <v>-0.0252693569424672</v>
      </c>
      <c r="R43" s="207" t="s">
        <v>570</v>
      </c>
      <c r="S43" s="207" t="s">
        <v>571</v>
      </c>
      <c r="T43" s="210" t="n">
        <v>100</v>
      </c>
      <c r="U43" s="211" t="n">
        <f aca="false">IF($A43="","",IF(OR($S43="System",$I43="Exited"),$T43,SUMIFS(CurrentPositionsTable[Quantity],CurrentPositionsTable[Ticker],$A43)-SUMIFS($T$3:$T$44,$A$3:$A$44,$A43,$S$3:$S$44,"System",$I$3:$I$44,"Held")))</f>
        <v>100</v>
      </c>
      <c r="V43" s="212" t="n">
        <f aca="false">IF(OR($U43="",$D43=""),"",$U43*$D43)</f>
        <v>28325</v>
      </c>
      <c r="W43" s="212" t="n">
        <f aca="false">IF(OR($U43="",$M43=""),"",$U43*$M43)</f>
        <v>27333</v>
      </c>
      <c r="X43" s="213" t="n">
        <f aca="false">IF(OR($V43="",$W43=""),"",$W43-$V43)</f>
        <v>-992</v>
      </c>
      <c r="Y43" s="207" t="n">
        <f aca="false">$D43</f>
        <v>283.25</v>
      </c>
      <c r="Z43" s="212" t="n">
        <f aca="false">IF(OR($U43="",$Y43=""),"",$U43*$Y43)</f>
        <v>28325</v>
      </c>
      <c r="AA43" s="213" t="n">
        <f aca="false">IF(OR($Z43="",$W43=""),"",$W43-$Z43)</f>
        <v>-992</v>
      </c>
      <c r="AB43" s="209" t="n">
        <f aca="false">IF(OR($Z43="",$W43=""),"",IF($Z43=0,"",$W43/$Z43-1))</f>
        <v>-0.0350220653133274</v>
      </c>
      <c r="AC43" s="213" t="n">
        <f aca="false">IF(OR($V43="",$P43=""),"",$V43*$P43)</f>
        <v>-276.245464604618</v>
      </c>
    </row>
    <row r="44" customFormat="false" ht="15" hidden="false" customHeight="true" outlineLevel="0" collapsed="false">
      <c r="A44" s="205"/>
      <c r="B44" s="128"/>
      <c r="C44" s="177"/>
      <c r="D44" s="207"/>
      <c r="E44" s="208"/>
      <c r="F44" s="128"/>
      <c r="G44" s="128"/>
      <c r="H44" s="207"/>
      <c r="I44" s="128"/>
      <c r="J44" s="177"/>
      <c r="K44" s="207"/>
      <c r="L44" s="128"/>
      <c r="M44" s="207"/>
      <c r="N44" s="207"/>
      <c r="O44" s="209" t="str">
        <f aca="false">IF(OR(D44="",M44=""),"",M44/D44-1)</f>
        <v/>
      </c>
      <c r="P44" s="209" t="str">
        <f aca="false">IF(OR(H44="",N44=""),"",N44/H44-1)</f>
        <v/>
      </c>
      <c r="Q44" s="209" t="str">
        <f aca="false">IF(OR(O44="",P44=""),"",O44-P44)</f>
        <v/>
      </c>
      <c r="R44" s="207"/>
      <c r="S44" s="207"/>
      <c r="T44" s="210"/>
      <c r="U44" s="211" t="str">
        <f aca="false">IF($A44="","",IF(OR($S44="System",$I44="Exited"),$T44,SUMIFS(CurrentPositionsTable[Quantity],CurrentPositionsTable[Ticker],$A44)-SUMIFS($T$3:$T$44,$A$3:$A$44,$A44,$S$3:$S$44,"System",$I$3:$I$44,"Held")))</f>
        <v/>
      </c>
      <c r="V44" s="212" t="str">
        <f aca="false">IF(OR($U44="",$D44=""),"",$U44*$D44)</f>
        <v/>
      </c>
      <c r="W44" s="212" t="str">
        <f aca="false">IF(OR($U44="",$M44=""),"",$U44*$M44)</f>
        <v/>
      </c>
      <c r="X44" s="213" t="str">
        <f aca="false">IF(OR($V44="",$W44=""),"",$W44-$V44)</f>
        <v/>
      </c>
      <c r="Y44" s="207"/>
      <c r="Z44" s="212" t="str">
        <f aca="false">IF(OR($U44="",$Y44=""),"",$U44*$Y44)</f>
        <v/>
      </c>
      <c r="AA44" s="213" t="str">
        <f aca="false">IF(OR($Z44="",$W44=""),"",$W44-$Z44)</f>
        <v/>
      </c>
      <c r="AB44" s="209" t="str">
        <f aca="false">IF(OR($Z44="",$W44=""),"",IF($Z44=0,"",$W44/$Z44-1))</f>
        <v/>
      </c>
      <c r="AC44" s="213" t="str">
        <f aca="false">IF(OR($V44="",$P44=""),"",$V44*$P44)</f>
        <v/>
      </c>
    </row>
    <row r="46" customFormat="false" ht="18" hidden="false" customHeight="true" outlineLevel="0" collapsed="false">
      <c r="A46" s="215" t="s">
        <v>602</v>
      </c>
      <c r="B46" s="216"/>
      <c r="C46" s="216"/>
      <c r="D46" s="216" t="s">
        <v>603</v>
      </c>
      <c r="E46" s="216" t="s">
        <v>604</v>
      </c>
      <c r="F46" s="216" t="s">
        <v>605</v>
      </c>
      <c r="G46" s="216" t="s">
        <v>606</v>
      </c>
      <c r="H46" s="216" t="s">
        <v>607</v>
      </c>
      <c r="I46" s="216" t="s">
        <v>608</v>
      </c>
      <c r="J46" s="215" t="s">
        <v>609</v>
      </c>
      <c r="K46" s="216"/>
      <c r="L46" s="216"/>
      <c r="M46" s="216"/>
      <c r="N46" s="216"/>
      <c r="O46" s="216"/>
      <c r="P46" s="216"/>
      <c r="Q46" s="216"/>
      <c r="R46" s="217"/>
      <c r="S46" s="217"/>
      <c r="T46" s="217"/>
      <c r="U46" s="217"/>
      <c r="V46" s="217"/>
      <c r="W46" s="217"/>
      <c r="X46" s="217"/>
      <c r="Y46" s="217"/>
      <c r="Z46" s="217"/>
      <c r="AA46" s="217"/>
      <c r="AB46" s="217"/>
      <c r="AC46" s="217"/>
    </row>
    <row r="47" customFormat="false" ht="15" hidden="false" customHeight="true" outlineLevel="0" collapsed="false">
      <c r="A47" s="218" t="s">
        <v>610</v>
      </c>
      <c r="B47" s="218"/>
      <c r="C47" s="218"/>
      <c r="D47" s="219" t="n">
        <f aca="false">SUMIFS($V$3:$V$44,$R$3:$R$44,"Stock",$I$3:$I$44,"Held")</f>
        <v>331500.1339984</v>
      </c>
      <c r="E47" s="219" t="n">
        <f aca="false">SUMIFS($W$3:$W$44,$R$3:$R$44,"Stock",$I$3:$I$44,"Held")</f>
        <v>341149.3126745</v>
      </c>
      <c r="F47" s="219" t="n">
        <f aca="false">E47-D47</f>
        <v>9649.17867609998</v>
      </c>
      <c r="G47" s="220" t="n">
        <f aca="false">IF(D47=0,"",F47/D47)</f>
        <v>0.029107616216368</v>
      </c>
      <c r="H47" s="220" t="n">
        <f aca="false">IF(D47=0,"",SUMIFS($AC$3:$AC$44,$R$3:$R$44,"Stock",$I$3:$I$44,"Held")/D47)</f>
        <v>-0.000522527671477635</v>
      </c>
      <c r="I47" s="220" t="n">
        <f aca="false">IF(OR(G47="",H47=""),"",G47-H47)</f>
        <v>0.0296301438878456</v>
      </c>
      <c r="J47" s="221" t="s">
        <v>611</v>
      </c>
      <c r="K47" s="217"/>
      <c r="L47" s="217"/>
      <c r="M47" s="217"/>
      <c r="N47" s="217"/>
      <c r="O47" s="217"/>
      <c r="P47" s="217"/>
      <c r="Q47" s="217"/>
      <c r="R47" s="217"/>
      <c r="S47" s="217"/>
      <c r="T47" s="217"/>
      <c r="U47" s="217"/>
      <c r="V47" s="217"/>
      <c r="W47" s="217"/>
      <c r="X47" s="217"/>
      <c r="Y47" s="217"/>
      <c r="Z47" s="217"/>
      <c r="AA47" s="217"/>
      <c r="AB47" s="217"/>
      <c r="AC47" s="217"/>
    </row>
    <row r="48" customFormat="false" ht="15" hidden="false" customHeight="true" outlineLevel="0" collapsed="false">
      <c r="A48" s="222" t="s">
        <v>612</v>
      </c>
      <c r="B48" s="222"/>
      <c r="C48" s="222"/>
      <c r="D48" s="223" t="n">
        <f aca="false">SUMIFS($V$3:$V$44,$I$3:$I$44,"Held")</f>
        <v>707456.6280657</v>
      </c>
      <c r="E48" s="223" t="n">
        <f aca="false">SUMIFS($W$3:$W$44,$I$3:$I$44,"Held")</f>
        <v>711663.8596255</v>
      </c>
      <c r="F48" s="223" t="n">
        <f aca="false">E48-D48</f>
        <v>4207.23155979998</v>
      </c>
      <c r="G48" s="224" t="n">
        <f aca="false">IF(D48=0,"",F48/D48)</f>
        <v>0.00594698161398704</v>
      </c>
      <c r="H48" s="224" t="n">
        <f aca="false">IF(D48=0,"",SUMIFS($AC$3:$AC$44,$I$3:$I$44,"Held")/D48)</f>
        <v>-0.000348397683935005</v>
      </c>
      <c r="I48" s="224" t="n">
        <f aca="false">IF(OR(G48="",H48=""),"",G48-H48)</f>
        <v>0.00629537929792204</v>
      </c>
      <c r="J48" s="221" t="s">
        <v>613</v>
      </c>
      <c r="K48" s="217"/>
      <c r="L48" s="217"/>
      <c r="M48" s="217"/>
      <c r="N48" s="217"/>
      <c r="O48" s="217"/>
      <c r="P48" s="217"/>
      <c r="Q48" s="217"/>
      <c r="R48" s="217"/>
      <c r="S48" s="217"/>
      <c r="T48" s="217"/>
      <c r="U48" s="217"/>
      <c r="V48" s="217"/>
      <c r="W48" s="217"/>
      <c r="X48" s="217"/>
      <c r="Y48" s="217"/>
      <c r="Z48" s="217"/>
      <c r="AA48" s="217"/>
      <c r="AB48" s="217"/>
      <c r="AC48" s="217"/>
    </row>
    <row r="49" customFormat="false" ht="15" hidden="false" customHeight="true" outlineLevel="0" collapsed="false">
      <c r="A49" s="218" t="s">
        <v>614</v>
      </c>
      <c r="B49" s="218"/>
      <c r="C49" s="218"/>
      <c r="D49" s="219" t="n">
        <f aca="false">SUMIFS($Z$3:$Z$44,$R$3:$R$44,"Stock")</f>
        <v>305061.7581412</v>
      </c>
      <c r="E49" s="219" t="n">
        <f aca="false">SUMIFS($W$3:$W$44,$R$3:$R$44,"Stock")</f>
        <v>355299.0651745</v>
      </c>
      <c r="F49" s="219" t="n">
        <f aca="false">E49-D49</f>
        <v>50237.3070333</v>
      </c>
      <c r="G49" s="220" t="n">
        <f aca="false">IF(D49=0,"",F49/D49)</f>
        <v>0.164679136904624</v>
      </c>
      <c r="H49" s="220" t="n">
        <f aca="false">PT_SPY_Now/PT_SPY_1231-1</f>
        <v>0.128636790239324</v>
      </c>
      <c r="I49" s="220" t="n">
        <f aca="false">IF(OR(G49="",H49=""),"",G49-H49)</f>
        <v>0.0360423466652997</v>
      </c>
      <c r="J49" s="221" t="s">
        <v>615</v>
      </c>
      <c r="K49" s="217"/>
      <c r="L49" s="217"/>
      <c r="M49" s="217"/>
      <c r="N49" s="217"/>
      <c r="O49" s="217"/>
      <c r="P49" s="217"/>
      <c r="Q49" s="217"/>
      <c r="R49" s="217"/>
      <c r="S49" s="217"/>
      <c r="T49" s="217"/>
      <c r="U49" s="217"/>
      <c r="V49" s="217"/>
      <c r="W49" s="217"/>
      <c r="X49" s="217"/>
      <c r="Y49" s="217"/>
      <c r="Z49" s="217"/>
      <c r="AA49" s="217"/>
      <c r="AB49" s="217"/>
      <c r="AC49" s="217"/>
    </row>
    <row r="50" customFormat="false" ht="15" hidden="false" customHeight="true" outlineLevel="0" collapsed="false">
      <c r="A50" s="222" t="s">
        <v>616</v>
      </c>
      <c r="B50" s="222"/>
      <c r="C50" s="222"/>
      <c r="D50" s="223" t="n">
        <f aca="false">SUM($Z$3:$Z$44)</f>
        <v>669719.2955366</v>
      </c>
      <c r="E50" s="223" t="n">
        <f aca="false">SUM($W$3:$W$44)</f>
        <v>759461.8092165</v>
      </c>
      <c r="F50" s="223" t="n">
        <f aca="false">E50-D50</f>
        <v>89742.5136799</v>
      </c>
      <c r="G50" s="224" t="n">
        <f aca="false">IF(D50=0,"",F50/D50)</f>
        <v>0.13400019124131</v>
      </c>
      <c r="H50" s="224" t="n">
        <f aca="false">PT_SPY_Now/PT_SPY_1231-1</f>
        <v>0.128636790239324</v>
      </c>
      <c r="I50" s="224" t="n">
        <f aca="false">IF(OR(G50="",H50=""),"",G50-H50)</f>
        <v>0.00536340100198585</v>
      </c>
      <c r="J50" s="221" t="s">
        <v>617</v>
      </c>
      <c r="K50" s="217"/>
      <c r="L50" s="217"/>
      <c r="M50" s="217"/>
      <c r="N50" s="217"/>
      <c r="O50" s="217"/>
      <c r="P50" s="217"/>
      <c r="Q50" s="217"/>
      <c r="R50" s="217"/>
      <c r="S50" s="217"/>
      <c r="T50" s="217"/>
      <c r="U50" s="217"/>
      <c r="V50" s="217"/>
      <c r="W50" s="217"/>
      <c r="X50" s="217"/>
      <c r="Y50" s="217"/>
      <c r="Z50" s="217"/>
      <c r="AA50" s="217"/>
      <c r="AB50" s="217"/>
      <c r="AC50" s="217"/>
    </row>
    <row r="51" customFormat="false" ht="15" hidden="false" customHeight="true" outlineLevel="0" collapsed="false">
      <c r="A51" s="218" t="s">
        <v>618</v>
      </c>
      <c r="B51" s="218"/>
      <c r="C51" s="218"/>
      <c r="D51" s="219" t="n">
        <f aca="false">SUMIFS($V$3:$V$44,$R$3:$R$44,"Stock")</f>
        <v>345675.1839984</v>
      </c>
      <c r="E51" s="219" t="n">
        <f aca="false">SUMIFS($W$3:$W$44,$R$3:$R$44,"Stock")</f>
        <v>355299.0651745</v>
      </c>
      <c r="F51" s="219" t="n">
        <f aca="false">E51-D51</f>
        <v>9623.8811761</v>
      </c>
      <c r="G51" s="220" t="n">
        <f aca="false">IF(D51=0,"",F51/D51)</f>
        <v>0.0278408217355416</v>
      </c>
      <c r="H51" s="220" t="n">
        <f aca="false">PT_SPY_Now/PT_SPY_0805-1</f>
        <v>-0.000194858337988268</v>
      </c>
      <c r="I51" s="220" t="n">
        <f aca="false">IF(OR(G51="",H51=""),"",G51-H51)</f>
        <v>0.0280356800735299</v>
      </c>
      <c r="J51" s="221" t="s">
        <v>619</v>
      </c>
      <c r="K51" s="217"/>
      <c r="L51" s="217"/>
      <c r="M51" s="217"/>
      <c r="N51" s="217"/>
      <c r="O51" s="217"/>
      <c r="P51" s="217"/>
      <c r="Q51" s="217"/>
      <c r="R51" s="217"/>
      <c r="S51" s="217"/>
      <c r="T51" s="217"/>
      <c r="U51" s="217"/>
      <c r="V51" s="217"/>
      <c r="W51" s="217"/>
      <c r="X51" s="217"/>
      <c r="Y51" s="217"/>
      <c r="Z51" s="217"/>
      <c r="AA51" s="217"/>
      <c r="AB51" s="217"/>
      <c r="AC51" s="217"/>
    </row>
    <row r="52" customFormat="false" ht="15" hidden="false" customHeight="true" outlineLevel="0" collapsed="false">
      <c r="A52" s="222" t="s">
        <v>620</v>
      </c>
      <c r="B52" s="222"/>
      <c r="C52" s="222"/>
      <c r="D52" s="223" t="n">
        <f aca="false">SUM($V$3:$V$44)</f>
        <v>754899.2131657</v>
      </c>
      <c r="E52" s="223" t="n">
        <f aca="false">SUM($W$3:$W$44)</f>
        <v>759461.8092165</v>
      </c>
      <c r="F52" s="223" t="n">
        <f aca="false">E52-D52</f>
        <v>4562.59605080006</v>
      </c>
      <c r="G52" s="224" t="n">
        <f aca="false">IF(D52=0,"",F52/D52)</f>
        <v>0.00604398040324698</v>
      </c>
      <c r="H52" s="224" t="n">
        <f aca="false">PT_SPY_Now/PT_SPY_0805-1</f>
        <v>-0.000194858337988268</v>
      </c>
      <c r="I52" s="224" t="n">
        <f aca="false">IF(OR(G52="",H52=""),"",G52-H52)</f>
        <v>0.00623883874123525</v>
      </c>
      <c r="J52" s="221" t="s">
        <v>621</v>
      </c>
      <c r="K52" s="217"/>
      <c r="L52" s="217"/>
      <c r="M52" s="217"/>
      <c r="N52" s="217"/>
      <c r="O52" s="217"/>
      <c r="P52" s="217"/>
      <c r="Q52" s="217"/>
      <c r="R52" s="217"/>
      <c r="S52" s="217"/>
      <c r="T52" s="217"/>
      <c r="U52" s="217"/>
      <c r="V52" s="217"/>
      <c r="W52" s="217"/>
      <c r="X52" s="217"/>
      <c r="Y52" s="217"/>
      <c r="Z52" s="217"/>
      <c r="AA52" s="217"/>
      <c r="AB52" s="217"/>
      <c r="AC52" s="217"/>
    </row>
    <row r="53" customFormat="false" ht="15" hidden="false" customHeight="true" outlineLevel="0" collapsed="false">
      <c r="A53" s="222" t="s">
        <v>622</v>
      </c>
      <c r="B53" s="222"/>
      <c r="C53" s="222"/>
      <c r="D53" s="223"/>
      <c r="E53" s="223"/>
      <c r="F53" s="223" t="n">
        <f aca="false">IF((PT_AsOf-PT_Inception)/365&gt;0,F52/((PT_AsOf-PT_Inception)/365),"")</f>
        <v>28712.8889403797</v>
      </c>
      <c r="G53" s="224" t="n">
        <f aca="false">IF((PT_AsOf-PT_Inception)/365&gt;0,G52/((PT_AsOf-PT_Inception)/365),"")</f>
        <v>0.0380353939169853</v>
      </c>
      <c r="H53" s="224" t="n">
        <f aca="false">IF((PT_AsOf-PT_Inception)/365&gt;0,H52/((PT_AsOf-PT_Inception)/365),"")</f>
        <v>-0.00122626367871928</v>
      </c>
      <c r="I53" s="224" t="n">
        <f aca="false">IF(OR(G53="",H53=""),"",G53-H53)</f>
        <v>0.0392616575957046</v>
      </c>
      <c r="J53" s="221" t="s">
        <v>623</v>
      </c>
      <c r="K53" s="217"/>
      <c r="L53" s="217"/>
      <c r="M53" s="217"/>
      <c r="N53" s="217"/>
      <c r="O53" s="217"/>
      <c r="P53" s="217"/>
      <c r="Q53" s="217"/>
      <c r="R53" s="217"/>
      <c r="S53" s="217"/>
      <c r="T53" s="217"/>
      <c r="U53" s="217"/>
      <c r="V53" s="217"/>
      <c r="W53" s="217"/>
      <c r="X53" s="217"/>
      <c r="Y53" s="217"/>
      <c r="Z53" s="217"/>
      <c r="AA53" s="217"/>
      <c r="AB53" s="217"/>
      <c r="AC53" s="217"/>
    </row>
    <row r="54" customFormat="false" ht="15" hidden="false" customHeight="true" outlineLevel="0" collapsed="false">
      <c r="A54" s="217"/>
      <c r="B54" s="217"/>
      <c r="C54" s="217"/>
      <c r="D54" s="217"/>
      <c r="E54" s="217"/>
      <c r="F54" s="217"/>
      <c r="G54" s="217"/>
      <c r="H54" s="217"/>
      <c r="I54" s="217"/>
      <c r="J54" s="217"/>
      <c r="K54" s="217"/>
      <c r="L54" s="217"/>
      <c r="M54" s="217"/>
      <c r="N54" s="217"/>
      <c r="O54" s="217"/>
      <c r="P54" s="217"/>
      <c r="Q54" s="217"/>
      <c r="R54" s="217"/>
      <c r="S54" s="217"/>
      <c r="T54" s="217"/>
      <c r="U54" s="217"/>
      <c r="V54" s="217"/>
      <c r="W54" s="217"/>
      <c r="X54" s="217"/>
      <c r="Y54" s="217"/>
      <c r="Z54" s="217"/>
      <c r="AA54" s="217"/>
      <c r="AB54" s="217"/>
      <c r="AC54" s="217"/>
    </row>
    <row r="55" customFormat="false" ht="18" hidden="false" customHeight="true" outlineLevel="0" collapsed="false">
      <c r="A55" s="215" t="s">
        <v>624</v>
      </c>
      <c r="B55" s="216"/>
      <c r="C55" s="216"/>
      <c r="D55" s="216" t="s">
        <v>603</v>
      </c>
      <c r="E55" s="216" t="s">
        <v>604</v>
      </c>
      <c r="F55" s="216" t="s">
        <v>605</v>
      </c>
      <c r="G55" s="216" t="s">
        <v>606</v>
      </c>
      <c r="H55" s="216" t="s">
        <v>607</v>
      </c>
      <c r="I55" s="216" t="s">
        <v>608</v>
      </c>
      <c r="J55" s="215" t="s">
        <v>609</v>
      </c>
      <c r="K55" s="216"/>
      <c r="L55" s="216"/>
      <c r="M55" s="216"/>
      <c r="N55" s="216"/>
      <c r="O55" s="216"/>
      <c r="P55" s="216"/>
      <c r="Q55" s="216"/>
      <c r="R55" s="217"/>
      <c r="S55" s="217"/>
      <c r="T55" s="217"/>
      <c r="U55" s="217"/>
      <c r="V55" s="217"/>
      <c r="W55" s="217"/>
      <c r="X55" s="217"/>
      <c r="Y55" s="217"/>
      <c r="Z55" s="217"/>
      <c r="AA55" s="217"/>
      <c r="AB55" s="217"/>
      <c r="AC55" s="217"/>
    </row>
    <row r="56" customFormat="false" ht="15" hidden="false" customHeight="true" outlineLevel="0" collapsed="false">
      <c r="A56" s="218" t="s">
        <v>625</v>
      </c>
      <c r="B56" s="218"/>
      <c r="C56" s="218"/>
      <c r="D56" s="219" t="n">
        <f aca="false">SUMIFS($V$3:$V$44,$S$3:$S$44,"System")</f>
        <v>125729.03</v>
      </c>
      <c r="E56" s="219" t="n">
        <f aca="false">SUMIFS($W$3:$W$44,$S$3:$S$44,"System")</f>
        <v>121894.24</v>
      </c>
      <c r="F56" s="219" t="n">
        <f aca="false">E56-D56</f>
        <v>-3834.78999999999</v>
      </c>
      <c r="G56" s="220" t="n">
        <f aca="false">IF(D56=0,"",F56/D56)</f>
        <v>-0.0305004341479449</v>
      </c>
      <c r="H56" s="220" t="n">
        <f aca="false">IF(D56=0,"",SUMIFS($AC$3:$AC$44,$S$3:$S$44,"System")/D56)</f>
        <v>-0.00105879905206911</v>
      </c>
      <c r="I56" s="220" t="n">
        <f aca="false">IF(OR(G56="",H56=""),"",G56-H56)</f>
        <v>-0.0294416350958758</v>
      </c>
      <c r="J56" s="221" t="s">
        <v>626</v>
      </c>
      <c r="K56" s="217"/>
      <c r="L56" s="217"/>
      <c r="M56" s="217"/>
      <c r="N56" s="217"/>
      <c r="O56" s="217"/>
      <c r="P56" s="217"/>
      <c r="Q56" s="217"/>
      <c r="R56" s="217"/>
      <c r="S56" s="217"/>
      <c r="T56" s="217"/>
      <c r="U56" s="217"/>
      <c r="V56" s="217"/>
      <c r="W56" s="217"/>
      <c r="X56" s="217"/>
      <c r="Y56" s="217"/>
      <c r="Z56" s="217"/>
      <c r="AA56" s="217"/>
      <c r="AB56" s="217"/>
      <c r="AC56" s="217"/>
    </row>
    <row r="57" customFormat="false" ht="15" hidden="false" customHeight="true" outlineLevel="0" collapsed="false">
      <c r="A57" s="218" t="s">
        <v>627</v>
      </c>
      <c r="B57" s="218"/>
      <c r="C57" s="218"/>
      <c r="D57" s="219" t="n">
        <f aca="false">SUMIFS($V$3:$V$44,$S$3:$S$44,"Baseline",$R$3:$R$44,"Stock")</f>
        <v>219946.1539984</v>
      </c>
      <c r="E57" s="219" t="n">
        <f aca="false">SUMIFS($W$3:$W$44,$S$3:$S$44,"Baseline",$R$3:$R$44,"Stock")</f>
        <v>233404.8251745</v>
      </c>
      <c r="F57" s="219" t="n">
        <f aca="false">E57-D57</f>
        <v>13458.6711761</v>
      </c>
      <c r="G57" s="220" t="n">
        <f aca="false">IF(D57=0,"",F57/D57)</f>
        <v>0.0611907547890013</v>
      </c>
      <c r="H57" s="220" t="n">
        <f aca="false">IF(D57=0,"",SUMIFS($AC$3:$AC$44,$S$3:$S$44,"Baseline",$R$3:$R$44,"Stock")/D57)</f>
        <v>0.000108212767187576</v>
      </c>
      <c r="I57" s="220" t="n">
        <f aca="false">IF(OR(G57="",H57=""),"",G57-H57)</f>
        <v>0.0610825420218137</v>
      </c>
      <c r="J57" s="221" t="s">
        <v>628</v>
      </c>
      <c r="K57" s="217"/>
      <c r="L57" s="217"/>
      <c r="M57" s="217"/>
      <c r="N57" s="217"/>
      <c r="O57" s="217"/>
      <c r="P57" s="217"/>
      <c r="Q57" s="217"/>
      <c r="R57" s="217"/>
      <c r="S57" s="217"/>
      <c r="T57" s="217"/>
      <c r="U57" s="217"/>
      <c r="V57" s="217"/>
      <c r="W57" s="217"/>
      <c r="X57" s="217"/>
      <c r="Y57" s="217"/>
      <c r="Z57" s="217"/>
      <c r="AA57" s="217"/>
      <c r="AB57" s="217"/>
      <c r="AC57" s="217"/>
    </row>
    <row r="58" customFormat="false" ht="15" hidden="false" customHeight="true" outlineLevel="0" collapsed="false">
      <c r="A58" s="218" t="s">
        <v>629</v>
      </c>
      <c r="B58" s="218"/>
      <c r="C58" s="218"/>
      <c r="D58" s="219" t="n">
        <f aca="false">SUMIFS($V$3:$V$44,$S$3:$S$44,"Baseline",$R$3:$R$44,"ETF")</f>
        <v>359027.5591673</v>
      </c>
      <c r="E58" s="219" t="n">
        <f aca="false">SUMIFS($W$3:$W$44,$S$3:$S$44,"Baseline",$R$3:$R$44,"ETF")</f>
        <v>353966.274042</v>
      </c>
      <c r="F58" s="219" t="n">
        <f aca="false">E58-D58</f>
        <v>-5061.2851253</v>
      </c>
      <c r="G58" s="220" t="n">
        <f aca="false">IF(D58=0,"",F58/D58)</f>
        <v>-0.014097205064254</v>
      </c>
      <c r="H58" s="220" t="n">
        <f aca="false">IF(D58=0,"",SUMIFS($AC$3:$AC$44,$S$3:$S$44,"Baseline",$R$3:$R$44,"ETF")/D58)</f>
        <v>0.00032060202827146</v>
      </c>
      <c r="I58" s="220" t="n">
        <f aca="false">IF(OR(G58="",H58=""),"",G58-H58)</f>
        <v>-0.0144178070925254</v>
      </c>
      <c r="J58" s="221" t="s">
        <v>630</v>
      </c>
      <c r="K58" s="217"/>
      <c r="L58" s="217"/>
      <c r="M58" s="217"/>
      <c r="N58" s="217"/>
      <c r="O58" s="217"/>
      <c r="P58" s="217"/>
      <c r="Q58" s="217"/>
      <c r="R58" s="217"/>
      <c r="S58" s="217"/>
      <c r="T58" s="217"/>
      <c r="U58" s="217"/>
      <c r="V58" s="217"/>
      <c r="W58" s="217"/>
      <c r="X58" s="217"/>
      <c r="Y58" s="217"/>
      <c r="Z58" s="217"/>
      <c r="AA58" s="217"/>
      <c r="AB58" s="217"/>
      <c r="AC58" s="217"/>
    </row>
    <row r="59" customFormat="false" ht="15" hidden="false" customHeight="true" outlineLevel="0" collapsed="false">
      <c r="A59" s="218" t="s">
        <v>631</v>
      </c>
      <c r="B59" s="218"/>
      <c r="C59" s="218"/>
      <c r="D59" s="219" t="n">
        <f aca="false">SUMIFS($V$3:$V$44,$S$3:$S$44,"Baseline",$R$3:$R$44,"Cash")</f>
        <v>50196.47</v>
      </c>
      <c r="E59" s="219" t="n">
        <f aca="false">SUMIFS($W$3:$W$44,$S$3:$S$44,"Baseline",$R$3:$R$44,"Cash")</f>
        <v>50196.47</v>
      </c>
      <c r="F59" s="219" t="n">
        <f aca="false">E59-D59</f>
        <v>0</v>
      </c>
      <c r="G59" s="220" t="n">
        <f aca="false">IF(D59=0,"",F59/D59)</f>
        <v>0</v>
      </c>
      <c r="H59" s="220" t="n">
        <f aca="false">IF(D59=0,"",SUMIFS($AC$3:$AC$44,$S$3:$S$44,"Baseline",$R$3:$R$44,"Cash")/D59)</f>
        <v>-0.000366520588501922</v>
      </c>
      <c r="I59" s="220" t="n">
        <f aca="false">IF(OR(G59="",H59=""),"",G59-H59)</f>
        <v>0.000366520588501922</v>
      </c>
      <c r="J59" s="221" t="s">
        <v>632</v>
      </c>
      <c r="K59" s="217"/>
      <c r="L59" s="217"/>
      <c r="M59" s="217"/>
      <c r="N59" s="217"/>
      <c r="O59" s="217"/>
      <c r="P59" s="217"/>
      <c r="Q59" s="217"/>
      <c r="R59" s="217"/>
      <c r="S59" s="217"/>
      <c r="T59" s="217"/>
      <c r="U59" s="217"/>
      <c r="V59" s="217"/>
      <c r="W59" s="217"/>
      <c r="X59" s="217"/>
      <c r="Y59" s="217"/>
      <c r="Z59" s="217"/>
      <c r="AA59" s="217"/>
      <c r="AB59" s="217"/>
      <c r="AC59" s="217"/>
    </row>
    <row r="60" customFormat="false" ht="15" hidden="false" customHeight="true" outlineLevel="0" collapsed="false">
      <c r="A60" s="222" t="s">
        <v>633</v>
      </c>
      <c r="B60" s="222"/>
      <c r="C60" s="222"/>
      <c r="D60" s="223" t="n">
        <f aca="false">D56+D57+D58+D59</f>
        <v>754899.2131657</v>
      </c>
      <c r="E60" s="223" t="n">
        <f aca="false">E56+E57+E58+E59</f>
        <v>759461.8092165</v>
      </c>
      <c r="F60" s="223" t="n">
        <f aca="false">E60-D60</f>
        <v>4562.59605080006</v>
      </c>
      <c r="G60" s="224" t="n">
        <f aca="false">IF(D60=0,"",F60/D60)</f>
        <v>0.00604398040324698</v>
      </c>
      <c r="H60" s="224" t="n">
        <f aca="false">IF(D60=0,"",(SUMIFS($AC$3:$AC$44,$S$3:$S$44,"System")+SUMIFS($AC$3:$AC$44,$S$3:$S$44,"Baseline",$R$3:$R$44,"Stock")+SUMIFS($AC$3:$AC$44,$S$3:$S$44,"Baseline",$R$3:$R$44,"ETF")+SUMIFS($AC$3:$AC$44,$S$3:$S$44,"Baseline",$R$3:$R$44,"Cash"))/D60)</f>
        <v>-1.6709345639627E-005</v>
      </c>
      <c r="I60" s="224" t="n">
        <f aca="false">IF(OR(G60="",H60=""),"",G60-H60)</f>
        <v>0.00606068974888661</v>
      </c>
      <c r="J60" s="221" t="str">
        <f aca="false">IF(AND(ABS(D60-D52)&lt;0.5,ABS(E60-E52)&lt;0.5),"adds up to the Cumulative TOTAL line above (SPY here is each lot's own period, so it can differ a little from that line's 8/5 -&gt; now)","DOES NOT add up to the Cumulative TOTAL -- a lot has no Basis or no Type")</f>
        <v>adds up to the Cumulative TOTAL line above (SPY here is each lot's own period, so it can differ a little from that line's 8/5 -&gt; now)</v>
      </c>
      <c r="K60" s="217"/>
      <c r="L60" s="217"/>
      <c r="M60" s="217"/>
      <c r="N60" s="217"/>
      <c r="O60" s="217"/>
      <c r="P60" s="217"/>
      <c r="Q60" s="217"/>
      <c r="R60" s="217"/>
      <c r="S60" s="217"/>
      <c r="T60" s="217"/>
      <c r="U60" s="217"/>
      <c r="V60" s="217"/>
      <c r="W60" s="217"/>
      <c r="X60" s="217"/>
      <c r="Y60" s="217"/>
      <c r="Z60" s="217"/>
      <c r="AA60" s="217"/>
      <c r="AB60" s="217"/>
      <c r="AC60" s="217"/>
    </row>
    <row r="61" customFormat="false" ht="15" hidden="false" customHeight="true" outlineLevel="0" collapsed="false">
      <c r="A61" s="217"/>
      <c r="B61" s="217"/>
      <c r="C61" s="217"/>
      <c r="D61" s="217"/>
      <c r="E61" s="217"/>
      <c r="F61" s="217"/>
      <c r="G61" s="217"/>
      <c r="H61" s="217"/>
      <c r="I61" s="217"/>
      <c r="J61" s="217"/>
      <c r="K61" s="217"/>
      <c r="L61" s="217"/>
      <c r="M61" s="217"/>
      <c r="N61" s="217"/>
      <c r="O61" s="217"/>
      <c r="P61" s="217"/>
      <c r="Q61" s="217"/>
      <c r="R61" s="217"/>
      <c r="S61" s="217"/>
      <c r="T61" s="217"/>
      <c r="U61" s="217"/>
      <c r="V61" s="217"/>
      <c r="W61" s="217"/>
      <c r="X61" s="217"/>
      <c r="Y61" s="217"/>
      <c r="Z61" s="217"/>
      <c r="AA61" s="217"/>
      <c r="AB61" s="217"/>
      <c r="AC61" s="217"/>
    </row>
    <row r="62" customFormat="false" ht="18" hidden="false" customHeight="true" outlineLevel="0" collapsed="false">
      <c r="A62" s="215" t="s">
        <v>634</v>
      </c>
      <c r="B62" s="215"/>
      <c r="C62" s="215"/>
      <c r="D62" s="215"/>
      <c r="E62" s="215"/>
      <c r="F62" s="215"/>
      <c r="G62" s="215"/>
      <c r="H62" s="215"/>
      <c r="I62" s="215"/>
      <c r="J62" s="215"/>
      <c r="K62" s="215"/>
      <c r="L62" s="215"/>
      <c r="M62" s="215"/>
      <c r="N62" s="215"/>
      <c r="O62" s="215"/>
      <c r="P62" s="215"/>
      <c r="Q62" s="215"/>
      <c r="R62" s="217"/>
      <c r="S62" s="217"/>
      <c r="T62" s="217"/>
      <c r="U62" s="217"/>
      <c r="V62" s="217"/>
      <c r="W62" s="217"/>
      <c r="X62" s="217"/>
      <c r="Y62" s="217"/>
      <c r="Z62" s="217"/>
      <c r="AA62" s="217"/>
      <c r="AB62" s="217"/>
      <c r="AC62" s="217"/>
    </row>
    <row r="63" customFormat="false" ht="15" hidden="false" customHeight="true" outlineLevel="0" collapsed="false">
      <c r="A63" s="225" t="s">
        <v>635</v>
      </c>
      <c r="B63" s="225"/>
      <c r="C63" s="225"/>
      <c r="D63" s="226" t="n">
        <v>46297</v>
      </c>
      <c r="E63" s="221" t="s">
        <v>636</v>
      </c>
      <c r="F63" s="217"/>
      <c r="G63" s="217"/>
      <c r="H63" s="217"/>
      <c r="I63" s="217"/>
      <c r="J63" s="217"/>
      <c r="K63" s="217"/>
      <c r="L63" s="217"/>
      <c r="M63" s="217"/>
      <c r="N63" s="217"/>
      <c r="O63" s="217"/>
      <c r="P63" s="217"/>
      <c r="Q63" s="217"/>
      <c r="R63" s="217"/>
      <c r="S63" s="217"/>
      <c r="T63" s="217"/>
      <c r="U63" s="217"/>
      <c r="V63" s="217"/>
      <c r="W63" s="217"/>
      <c r="X63" s="217"/>
      <c r="Y63" s="217"/>
      <c r="Z63" s="217"/>
      <c r="AA63" s="217"/>
      <c r="AB63" s="217"/>
      <c r="AC63" s="217"/>
    </row>
    <row r="64" customFormat="false" ht="15" hidden="false" customHeight="true" outlineLevel="0" collapsed="false">
      <c r="A64" s="225" t="s">
        <v>637</v>
      </c>
      <c r="B64" s="225"/>
      <c r="C64" s="225"/>
      <c r="D64" s="227" t="n">
        <v>769.64</v>
      </c>
      <c r="E64" s="221" t="s">
        <v>638</v>
      </c>
      <c r="F64" s="217"/>
      <c r="G64" s="217"/>
      <c r="H64" s="217"/>
      <c r="I64" s="217"/>
      <c r="J64" s="217"/>
      <c r="K64" s="217"/>
      <c r="L64" s="217"/>
      <c r="M64" s="217"/>
      <c r="N64" s="217"/>
      <c r="O64" s="217"/>
      <c r="P64" s="217"/>
      <c r="Q64" s="217"/>
      <c r="R64" s="217"/>
      <c r="S64" s="217"/>
      <c r="T64" s="217"/>
      <c r="U64" s="217"/>
      <c r="V64" s="217"/>
      <c r="W64" s="217"/>
      <c r="X64" s="217"/>
      <c r="Y64" s="217"/>
      <c r="Z64" s="217"/>
      <c r="AA64" s="217"/>
      <c r="AB64" s="217"/>
      <c r="AC64" s="217"/>
    </row>
    <row r="65" customFormat="false" ht="15" hidden="false" customHeight="true" outlineLevel="0" collapsed="false">
      <c r="A65" s="225" t="s">
        <v>639</v>
      </c>
      <c r="B65" s="225"/>
      <c r="C65" s="225"/>
      <c r="D65" s="227" t="n">
        <v>769.79</v>
      </c>
      <c r="E65" s="221" t="s">
        <v>640</v>
      </c>
      <c r="F65" s="217"/>
      <c r="G65" s="217"/>
      <c r="H65" s="217"/>
      <c r="I65" s="217"/>
      <c r="J65" s="217"/>
      <c r="K65" s="217"/>
      <c r="L65" s="217"/>
      <c r="M65" s="217"/>
      <c r="N65" s="217"/>
      <c r="O65" s="217"/>
      <c r="P65" s="217"/>
      <c r="Q65" s="217"/>
      <c r="R65" s="217"/>
      <c r="S65" s="217"/>
      <c r="T65" s="217"/>
      <c r="U65" s="217"/>
      <c r="V65" s="217"/>
      <c r="W65" s="217"/>
      <c r="X65" s="217"/>
      <c r="Y65" s="217"/>
      <c r="Z65" s="217"/>
      <c r="AA65" s="217"/>
      <c r="AB65" s="217"/>
      <c r="AC65" s="217"/>
    </row>
    <row r="66" customFormat="false" ht="15" hidden="false" customHeight="true" outlineLevel="0" collapsed="false">
      <c r="A66" s="225" t="s">
        <v>641</v>
      </c>
      <c r="B66" s="225"/>
      <c r="C66" s="225"/>
      <c r="D66" s="227" t="n">
        <v>681.92</v>
      </c>
      <c r="E66" s="221" t="s">
        <v>642</v>
      </c>
      <c r="F66" s="217"/>
      <c r="G66" s="217"/>
      <c r="H66" s="217"/>
      <c r="I66" s="217"/>
      <c r="J66" s="217"/>
      <c r="K66" s="217"/>
      <c r="L66" s="217"/>
      <c r="M66" s="217"/>
      <c r="N66" s="217"/>
      <c r="O66" s="217"/>
      <c r="P66" s="217"/>
      <c r="Q66" s="217"/>
      <c r="R66" s="217"/>
      <c r="S66" s="217"/>
      <c r="T66" s="217"/>
      <c r="U66" s="217"/>
      <c r="V66" s="217"/>
      <c r="W66" s="217"/>
      <c r="X66" s="217"/>
      <c r="Y66" s="217"/>
      <c r="Z66" s="217"/>
      <c r="AA66" s="217"/>
      <c r="AB66" s="217"/>
      <c r="AC66" s="217"/>
    </row>
    <row r="67" customFormat="false" ht="15" hidden="false" customHeight="true" outlineLevel="0" collapsed="false">
      <c r="A67" s="225" t="s">
        <v>643</v>
      </c>
      <c r="B67" s="225"/>
      <c r="C67" s="225"/>
      <c r="D67" s="226" t="n">
        <v>46239</v>
      </c>
      <c r="E67" s="221" t="s">
        <v>644</v>
      </c>
      <c r="F67" s="217"/>
      <c r="G67" s="217"/>
      <c r="H67" s="217"/>
      <c r="I67" s="217"/>
      <c r="J67" s="217"/>
      <c r="K67" s="217"/>
      <c r="L67" s="217"/>
      <c r="M67" s="217"/>
      <c r="N67" s="217"/>
      <c r="O67" s="217"/>
      <c r="P67" s="217"/>
      <c r="Q67" s="217"/>
      <c r="R67" s="217"/>
      <c r="S67" s="217"/>
      <c r="T67" s="217"/>
      <c r="U67" s="217"/>
      <c r="V67" s="217"/>
      <c r="W67" s="217"/>
      <c r="X67" s="217"/>
      <c r="Y67" s="217"/>
      <c r="Z67" s="217"/>
      <c r="AA67" s="217"/>
      <c r="AB67" s="217"/>
      <c r="AC67" s="217"/>
    </row>
    <row r="68" customFormat="false" ht="15" hidden="false" customHeight="true" outlineLevel="0" collapsed="false">
      <c r="A68" s="217"/>
      <c r="B68" s="217"/>
      <c r="C68" s="217"/>
      <c r="D68" s="217"/>
      <c r="E68" s="217"/>
      <c r="F68" s="217"/>
      <c r="G68" s="217"/>
      <c r="H68" s="217"/>
      <c r="I68" s="217"/>
      <c r="J68" s="217"/>
      <c r="K68" s="217"/>
      <c r="L68" s="217"/>
      <c r="M68" s="217"/>
      <c r="N68" s="217"/>
      <c r="O68" s="217"/>
      <c r="P68" s="217"/>
      <c r="Q68" s="217"/>
      <c r="R68" s="217"/>
      <c r="S68" s="217"/>
      <c r="T68" s="217"/>
      <c r="U68" s="217"/>
      <c r="V68" s="217"/>
      <c r="W68" s="217"/>
      <c r="X68" s="217"/>
      <c r="Y68" s="217"/>
      <c r="Z68" s="217"/>
      <c r="AA68" s="217"/>
      <c r="AB68" s="217"/>
      <c r="AC68" s="217"/>
    </row>
    <row r="69" customFormat="false" ht="72" hidden="false" customHeight="true" outlineLevel="0" collapsed="false">
      <c r="A69" s="228" t="s">
        <v>645</v>
      </c>
      <c r="B69" s="228"/>
      <c r="C69" s="228"/>
      <c r="D69" s="228"/>
      <c r="E69" s="228"/>
      <c r="F69" s="228"/>
      <c r="G69" s="228"/>
      <c r="H69" s="228"/>
      <c r="I69" s="228"/>
      <c r="J69" s="228"/>
      <c r="K69" s="228"/>
      <c r="L69" s="228"/>
      <c r="M69" s="228"/>
      <c r="N69" s="228"/>
      <c r="O69" s="228"/>
      <c r="P69" s="228"/>
      <c r="Q69" s="228"/>
      <c r="R69" s="217"/>
      <c r="S69" s="217"/>
      <c r="T69" s="217"/>
      <c r="U69" s="217"/>
      <c r="V69" s="217"/>
      <c r="W69" s="217"/>
      <c r="X69" s="217"/>
      <c r="Y69" s="217"/>
      <c r="Z69" s="217"/>
      <c r="AA69" s="217"/>
      <c r="AB69" s="217"/>
      <c r="AC69" s="217"/>
    </row>
  </sheetData>
  <mergeCells count="19">
    <mergeCell ref="A1:P1"/>
    <mergeCell ref="A47:C47"/>
    <mergeCell ref="A48:C48"/>
    <mergeCell ref="A49:C49"/>
    <mergeCell ref="A50:C50"/>
    <mergeCell ref="A51:C51"/>
    <mergeCell ref="A52:C52"/>
    <mergeCell ref="A53:C53"/>
    <mergeCell ref="A56:C56"/>
    <mergeCell ref="A57:C57"/>
    <mergeCell ref="A58:C58"/>
    <mergeCell ref="A59:C59"/>
    <mergeCell ref="A60:C60"/>
    <mergeCell ref="A63:C63"/>
    <mergeCell ref="A64:C64"/>
    <mergeCell ref="A65:C65"/>
    <mergeCell ref="A66:C66"/>
    <mergeCell ref="A67:C67"/>
    <mergeCell ref="A69:Q69"/>
  </mergeCells>
  <conditionalFormatting sqref="O3:O44">
    <cfRule type="cellIs" priority="2" operator="greaterThan" aboveAverage="0" equalAverage="0" bottom="0" percent="0" rank="0" text="" dxfId="21">
      <formula>0</formula>
    </cfRule>
    <cfRule type="cellIs" priority="3" operator="lessThan" aboveAverage="0" equalAverage="0" bottom="0" percent="0" rank="0" text="" dxfId="28">
      <formula>0</formula>
    </cfRule>
  </conditionalFormatting>
  <conditionalFormatting sqref="P3:P44">
    <cfRule type="cellIs" priority="4" operator="greaterThan" aboveAverage="0" equalAverage="0" bottom="0" percent="0" rank="0" text="" dxfId="21">
      <formula>0</formula>
    </cfRule>
    <cfRule type="cellIs" priority="5" operator="lessThan" aboveAverage="0" equalAverage="0" bottom="0" percent="0" rank="0" text="" dxfId="28">
      <formula>0</formula>
    </cfRule>
  </conditionalFormatting>
  <conditionalFormatting sqref="Q3:Q44">
    <cfRule type="cellIs" priority="6" operator="greaterThan" aboveAverage="0" equalAverage="0" bottom="0" percent="0" rank="0" text="" dxfId="21">
      <formula>0</formula>
    </cfRule>
    <cfRule type="cellIs" priority="7" operator="lessThan" aboveAverage="0" equalAverage="0" bottom="0" percent="0" rank="0" text="" dxfId="28">
      <formula>0</formula>
    </cfRule>
  </conditionalFormatting>
  <conditionalFormatting sqref="X3:X44">
    <cfRule type="cellIs" priority="8" operator="greaterThan" aboveAverage="0" equalAverage="0" bottom="0" percent="0" rank="0" text="" dxfId="21">
      <formula>0</formula>
    </cfRule>
    <cfRule type="cellIs" priority="9" operator="lessThan" aboveAverage="0" equalAverage="0" bottom="0" percent="0" rank="0" text="" dxfId="28">
      <formula>0</formula>
    </cfRule>
  </conditionalFormatting>
  <conditionalFormatting sqref="AA3:AA44">
    <cfRule type="cellIs" priority="10" operator="greaterThan" aboveAverage="0" equalAverage="0" bottom="0" percent="0" rank="0" text="" dxfId="21">
      <formula>0</formula>
    </cfRule>
    <cfRule type="cellIs" priority="11" operator="lessThan" aboveAverage="0" equalAverage="0" bottom="0" percent="0" rank="0" text="" dxfId="28">
      <formula>0</formula>
    </cfRule>
  </conditionalFormatting>
  <conditionalFormatting sqref="AB3:AB44">
    <cfRule type="cellIs" priority="12" operator="greaterThan" aboveAverage="0" equalAverage="0" bottom="0" percent="0" rank="0" text="" dxfId="21">
      <formula>0</formula>
    </cfRule>
    <cfRule type="cellIs" priority="13" operator="lessThan" aboveAverage="0" equalAverage="0" bottom="0" percent="0" rank="0" text="" dxfId="28">
      <formula>0</formula>
    </cfRule>
  </conditionalFormatting>
  <conditionalFormatting sqref="AC3:AC44">
    <cfRule type="cellIs" priority="14" operator="greaterThan" aboveAverage="0" equalAverage="0" bottom="0" percent="0" rank="0" text="" dxfId="21">
      <formula>0</formula>
    </cfRule>
    <cfRule type="cellIs" priority="15" operator="lessThan" aboveAverage="0" equalAverage="0" bottom="0" percent="0" rank="0" text="" dxfId="28">
      <formula>0</formula>
    </cfRule>
  </conditionalFormatting>
  <conditionalFormatting sqref="F47:I47">
    <cfRule type="cellIs" priority="16" operator="greaterThan" aboveAverage="0" equalAverage="0" bottom="0" percent="0" rank="0" text="" dxfId="21">
      <formula>0</formula>
    </cfRule>
    <cfRule type="cellIs" priority="17" operator="lessThan" aboveAverage="0" equalAverage="0" bottom="0" percent="0" rank="0" text="" dxfId="28">
      <formula>0</formula>
    </cfRule>
  </conditionalFormatting>
  <conditionalFormatting sqref="F48:I48">
    <cfRule type="cellIs" priority="18" operator="greaterThan" aboveAverage="0" equalAverage="0" bottom="0" percent="0" rank="0" text="" dxfId="21">
      <formula>0</formula>
    </cfRule>
    <cfRule type="cellIs" priority="19" operator="lessThan" aboveAverage="0" equalAverage="0" bottom="0" percent="0" rank="0" text="" dxfId="28">
      <formula>0</formula>
    </cfRule>
  </conditionalFormatting>
  <conditionalFormatting sqref="F49:I49">
    <cfRule type="cellIs" priority="20" operator="greaterThan" aboveAverage="0" equalAverage="0" bottom="0" percent="0" rank="0" text="" dxfId="21">
      <formula>0</formula>
    </cfRule>
    <cfRule type="cellIs" priority="21" operator="lessThan" aboveAverage="0" equalAverage="0" bottom="0" percent="0" rank="0" text="" dxfId="28">
      <formula>0</formula>
    </cfRule>
  </conditionalFormatting>
  <conditionalFormatting sqref="F50:I50">
    <cfRule type="cellIs" priority="22" operator="greaterThan" aboveAverage="0" equalAverage="0" bottom="0" percent="0" rank="0" text="" dxfId="21">
      <formula>0</formula>
    </cfRule>
    <cfRule type="cellIs" priority="23" operator="lessThan" aboveAverage="0" equalAverage="0" bottom="0" percent="0" rank="0" text="" dxfId="28">
      <formula>0</formula>
    </cfRule>
  </conditionalFormatting>
  <conditionalFormatting sqref="F51:I51">
    <cfRule type="cellIs" priority="24" operator="greaterThan" aboveAverage="0" equalAverage="0" bottom="0" percent="0" rank="0" text="" dxfId="21">
      <formula>0</formula>
    </cfRule>
    <cfRule type="cellIs" priority="25" operator="lessThan" aboveAverage="0" equalAverage="0" bottom="0" percent="0" rank="0" text="" dxfId="28">
      <formula>0</formula>
    </cfRule>
  </conditionalFormatting>
  <conditionalFormatting sqref="F52:I52">
    <cfRule type="cellIs" priority="26" operator="greaterThan" aboveAverage="0" equalAverage="0" bottom="0" percent="0" rank="0" text="" dxfId="21">
      <formula>0</formula>
    </cfRule>
    <cfRule type="cellIs" priority="27" operator="lessThan" aboveAverage="0" equalAverage="0" bottom="0" percent="0" rank="0" text="" dxfId="28">
      <formula>0</formula>
    </cfRule>
  </conditionalFormatting>
  <conditionalFormatting sqref="F53:I53">
    <cfRule type="cellIs" priority="28" operator="greaterThan" aboveAverage="0" equalAverage="0" bottom="0" percent="0" rank="0" text="" dxfId="21">
      <formula>0</formula>
    </cfRule>
    <cfRule type="cellIs" priority="29" operator="lessThan" aboveAverage="0" equalAverage="0" bottom="0" percent="0" rank="0" text="" dxfId="28">
      <formula>0</formula>
    </cfRule>
  </conditionalFormatting>
  <conditionalFormatting sqref="F56:I56">
    <cfRule type="cellIs" priority="30" operator="greaterThan" aboveAverage="0" equalAverage="0" bottom="0" percent="0" rank="0" text="" dxfId="21">
      <formula>0</formula>
    </cfRule>
    <cfRule type="cellIs" priority="31" operator="lessThan" aboveAverage="0" equalAverage="0" bottom="0" percent="0" rank="0" text="" dxfId="28">
      <formula>0</formula>
    </cfRule>
  </conditionalFormatting>
  <conditionalFormatting sqref="F57:I57">
    <cfRule type="cellIs" priority="32" operator="greaterThan" aboveAverage="0" equalAverage="0" bottom="0" percent="0" rank="0" text="" dxfId="21">
      <formula>0</formula>
    </cfRule>
    <cfRule type="cellIs" priority="33" operator="lessThan" aboveAverage="0" equalAverage="0" bottom="0" percent="0" rank="0" text="" dxfId="28">
      <formula>0</formula>
    </cfRule>
  </conditionalFormatting>
  <conditionalFormatting sqref="F58:I58">
    <cfRule type="cellIs" priority="34" operator="greaterThan" aboveAverage="0" equalAverage="0" bottom="0" percent="0" rank="0" text="" dxfId="21">
      <formula>0</formula>
    </cfRule>
    <cfRule type="cellIs" priority="35" operator="lessThan" aboveAverage="0" equalAverage="0" bottom="0" percent="0" rank="0" text="" dxfId="28">
      <formula>0</formula>
    </cfRule>
  </conditionalFormatting>
  <conditionalFormatting sqref="F59:I59">
    <cfRule type="cellIs" priority="36" operator="greaterThan" aboveAverage="0" equalAverage="0" bottom="0" percent="0" rank="0" text="" dxfId="21">
      <formula>0</formula>
    </cfRule>
    <cfRule type="cellIs" priority="37" operator="lessThan" aboveAverage="0" equalAverage="0" bottom="0" percent="0" rank="0" text="" dxfId="28">
      <formula>0</formula>
    </cfRule>
  </conditionalFormatting>
  <conditionalFormatting sqref="F60:I60">
    <cfRule type="cellIs" priority="38" operator="greaterThan" aboveAverage="0" equalAverage="0" bottom="0" percent="0" rank="0" text="" dxfId="21">
      <formula>0</formula>
    </cfRule>
    <cfRule type="cellIs" priority="39" operator="lessThan" aboveAverage="0" equalAverage="0" bottom="0" percent="0" rank="0" text="" dxfId="28">
      <formula>0</formula>
    </cfRule>
  </conditionalFormatting>
  <dataValidations count="4">
    <dataValidation allowBlank="true" errorStyle="stop" operator="between" showDropDown="false" showErrorMessage="false" showInputMessage="false" sqref="I3:I44" type="list">
      <formula1>"Held,Exited"</formula1>
      <formula2>0</formula2>
    </dataValidation>
    <dataValidation allowBlank="true" errorStyle="stop" operator="between" showDropDown="false" showErrorMessage="false" showInputMessage="false" sqref="G3:G44" type="list">
      <formula1>"Strong Buy,Buy"</formula1>
      <formula2>0</formula2>
    </dataValidation>
    <dataValidation allowBlank="true" errorStyle="stop" operator="between" showDropDown="false" showErrorMessage="false" showInputMessage="false" sqref="R3:R44" type="list">
      <formula1>"Stock,ETF,Cash"</formula1>
      <formula2>0</formula2>
    </dataValidation>
    <dataValidation allowBlank="true" errorStyle="stop" operator="between" showDropDown="false" showErrorMessage="false" showInputMessage="false" sqref="S3:S44" type="list">
      <formula1>"System,Baseline"</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858" activePane="bottomLeft" state="frozen"/>
      <selection pane="topLeft" activeCell="A1" activeCellId="0" sqref="A1"/>
      <selection pane="bottomLeft" activeCell="C53" activeCellId="0" sqref="C53"/>
    </sheetView>
  </sheetViews>
  <sheetFormatPr defaultColWidth="8.66796875" defaultRowHeight="15" customHeight="false" zeroHeight="false" outlineLevelRow="0" outlineLevelCol="0"/>
  <cols>
    <col collapsed="false" customWidth="true" hidden="false" outlineLevel="0" max="1" min="1" style="229" width="8.83"/>
    <col collapsed="false" customWidth="true" hidden="false" outlineLevel="0" max="2" min="2" style="229" width="15.33"/>
    <col collapsed="false" customWidth="true" hidden="false" outlineLevel="0" max="3" min="3" style="1" width="98.5"/>
  </cols>
  <sheetData>
    <row r="1" customFormat="false" ht="27.75" hidden="false" customHeight="true" outlineLevel="0" collapsed="false">
      <c r="A1" s="230" t="s">
        <v>646</v>
      </c>
      <c r="B1" s="230"/>
      <c r="C1" s="230"/>
    </row>
    <row r="2" customFormat="false" ht="18" hidden="false" customHeight="true" outlineLevel="0" collapsed="false">
      <c r="A2" s="152" t="s">
        <v>476</v>
      </c>
      <c r="B2" s="152" t="s">
        <v>82</v>
      </c>
      <c r="C2" s="152" t="s">
        <v>219</v>
      </c>
    </row>
    <row r="3" customFormat="false" ht="27.75" hidden="false" customHeight="true" outlineLevel="0" collapsed="false">
      <c r="A3" s="231" t="n">
        <v>46241</v>
      </c>
      <c r="B3" s="232" t="s">
        <v>180</v>
      </c>
      <c r="C3" s="233" t="s">
        <v>647</v>
      </c>
    </row>
    <row r="4" customFormat="false" ht="27.75" hidden="false" customHeight="true" outlineLevel="0" collapsed="false">
      <c r="A4" s="231" t="n">
        <v>46241</v>
      </c>
      <c r="B4" s="232" t="s">
        <v>183</v>
      </c>
      <c r="C4" s="233" t="s">
        <v>648</v>
      </c>
    </row>
    <row r="5" customFormat="false" ht="15" hidden="false" customHeight="true" outlineLevel="0" collapsed="false">
      <c r="A5" s="231" t="n">
        <v>46241</v>
      </c>
      <c r="B5" s="232" t="s">
        <v>192</v>
      </c>
      <c r="C5" s="233" t="s">
        <v>649</v>
      </c>
    </row>
    <row r="6" customFormat="false" ht="40.5" hidden="false" customHeight="true" outlineLevel="0" collapsed="false">
      <c r="A6" s="231" t="n">
        <v>46241</v>
      </c>
      <c r="B6" s="232" t="s">
        <v>174</v>
      </c>
      <c r="C6" s="233" t="s">
        <v>650</v>
      </c>
    </row>
    <row r="7" customFormat="false" ht="27.75" hidden="false" customHeight="true" outlineLevel="0" collapsed="false">
      <c r="A7" s="231" t="n">
        <v>46241</v>
      </c>
      <c r="B7" s="232" t="s">
        <v>651</v>
      </c>
      <c r="C7" s="233" t="s">
        <v>652</v>
      </c>
    </row>
    <row r="8" customFormat="false" ht="27.75" hidden="false" customHeight="true" outlineLevel="0" collapsed="false">
      <c r="A8" s="231" t="n">
        <v>46241</v>
      </c>
      <c r="B8" s="232" t="s">
        <v>651</v>
      </c>
      <c r="C8" s="233" t="s">
        <v>653</v>
      </c>
    </row>
    <row r="9" customFormat="false" ht="27.75" hidden="false" customHeight="true" outlineLevel="0" collapsed="false">
      <c r="A9" s="231" t="n">
        <v>46241</v>
      </c>
      <c r="B9" s="232" t="s">
        <v>654</v>
      </c>
      <c r="C9" s="233" t="s">
        <v>655</v>
      </c>
    </row>
    <row r="10" customFormat="false" ht="27.75" hidden="false" customHeight="true" outlineLevel="0" collapsed="false">
      <c r="A10" s="231" t="n">
        <v>46241</v>
      </c>
      <c r="B10" s="232" t="s">
        <v>656</v>
      </c>
      <c r="C10" s="233" t="s">
        <v>657</v>
      </c>
    </row>
    <row r="11" customFormat="false" ht="27.75" hidden="false" customHeight="true" outlineLevel="0" collapsed="false">
      <c r="A11" s="231" t="n">
        <v>46241</v>
      </c>
      <c r="B11" s="232" t="s">
        <v>131</v>
      </c>
      <c r="C11" s="233" t="s">
        <v>658</v>
      </c>
    </row>
    <row r="12" customFormat="false" ht="78.75" hidden="false" customHeight="true" outlineLevel="0" collapsed="false">
      <c r="A12" s="231" t="n">
        <v>46273</v>
      </c>
      <c r="B12" s="232" t="s">
        <v>659</v>
      </c>
      <c r="C12" s="233" t="s">
        <v>660</v>
      </c>
    </row>
    <row r="13" customFormat="false" ht="53.25" hidden="false" customHeight="true" outlineLevel="0" collapsed="false">
      <c r="A13" s="231" t="n">
        <v>46295</v>
      </c>
      <c r="B13" s="232" t="s">
        <v>661</v>
      </c>
      <c r="C13" s="233" t="s">
        <v>662</v>
      </c>
    </row>
    <row r="14" customFormat="false" ht="66" hidden="false" customHeight="true" outlineLevel="0" collapsed="false">
      <c r="A14" s="231" t="n">
        <v>46302</v>
      </c>
      <c r="B14" s="232" t="s">
        <v>663</v>
      </c>
      <c r="C14" s="233" t="s">
        <v>664</v>
      </c>
    </row>
    <row r="15" customFormat="false" ht="91.5" hidden="false" customHeight="true" outlineLevel="0" collapsed="false">
      <c r="A15" s="231" t="n">
        <v>46320</v>
      </c>
      <c r="B15" s="232" t="s">
        <v>665</v>
      </c>
      <c r="C15" s="233" t="s">
        <v>666</v>
      </c>
    </row>
    <row r="16" customFormat="false" ht="53.25" hidden="false" customHeight="true" outlineLevel="0" collapsed="false">
      <c r="A16" s="231" t="n">
        <v>46335</v>
      </c>
      <c r="B16" s="232" t="s">
        <v>667</v>
      </c>
      <c r="C16" s="233" t="s">
        <v>668</v>
      </c>
    </row>
    <row r="17" customFormat="false" ht="27.75" hidden="false" customHeight="true" outlineLevel="0" collapsed="false">
      <c r="A17" s="231" t="n">
        <v>46387</v>
      </c>
      <c r="B17" s="232" t="s">
        <v>669</v>
      </c>
      <c r="C17" s="233" t="s">
        <v>670</v>
      </c>
    </row>
    <row r="18" customFormat="false" ht="66" hidden="false" customHeight="true" outlineLevel="0" collapsed="false">
      <c r="A18" s="231" t="n">
        <v>46412</v>
      </c>
      <c r="B18" s="232" t="s">
        <v>671</v>
      </c>
      <c r="C18" s="233" t="s">
        <v>672</v>
      </c>
    </row>
    <row r="19" customFormat="false" ht="91.5" hidden="false" customHeight="true" outlineLevel="0" collapsed="false">
      <c r="A19" s="231" t="n">
        <v>46252</v>
      </c>
      <c r="B19" s="232" t="s">
        <v>673</v>
      </c>
      <c r="C19" s="233" t="s">
        <v>674</v>
      </c>
    </row>
    <row r="20" customFormat="false" ht="66" hidden="false" customHeight="true" outlineLevel="0" collapsed="false">
      <c r="A20" s="231" t="n">
        <v>46258</v>
      </c>
      <c r="B20" s="232" t="s">
        <v>675</v>
      </c>
      <c r="C20" s="233" t="s">
        <v>676</v>
      </c>
    </row>
    <row r="21" customFormat="false" ht="104.25" hidden="false" customHeight="true" outlineLevel="0" collapsed="false">
      <c r="A21" s="231" t="n">
        <v>46260</v>
      </c>
      <c r="B21" s="232" t="s">
        <v>677</v>
      </c>
      <c r="C21" s="233" t="s">
        <v>678</v>
      </c>
    </row>
    <row r="22" customFormat="false" ht="155.25" hidden="false" customHeight="true" outlineLevel="0" collapsed="false">
      <c r="A22" s="231" t="n">
        <v>46272</v>
      </c>
      <c r="B22" s="232" t="s">
        <v>679</v>
      </c>
      <c r="C22" s="233" t="s">
        <v>680</v>
      </c>
    </row>
    <row r="23" customFormat="false" ht="53.25" hidden="false" customHeight="true" outlineLevel="0" collapsed="false">
      <c r="A23" s="231" t="n">
        <v>46302</v>
      </c>
      <c r="B23" s="232" t="s">
        <v>681</v>
      </c>
      <c r="C23" s="233" t="s">
        <v>682</v>
      </c>
    </row>
    <row r="24" customFormat="false" ht="53.25" hidden="false" customHeight="true" outlineLevel="0" collapsed="false">
      <c r="A24" s="231" t="n">
        <v>46310</v>
      </c>
      <c r="B24" s="232" t="s">
        <v>683</v>
      </c>
      <c r="C24" s="233" t="s">
        <v>682</v>
      </c>
    </row>
    <row r="25" customFormat="false" ht="53.25" hidden="false" customHeight="true" outlineLevel="0" collapsed="false">
      <c r="A25" s="231" t="n">
        <v>46335</v>
      </c>
      <c r="B25" s="232" t="s">
        <v>684</v>
      </c>
      <c r="C25" s="233" t="s">
        <v>682</v>
      </c>
    </row>
    <row r="26" customFormat="false" ht="53.25" hidden="false" customHeight="true" outlineLevel="0" collapsed="false">
      <c r="A26" s="231" t="n">
        <v>46342</v>
      </c>
      <c r="B26" s="232" t="s">
        <v>685</v>
      </c>
      <c r="C26" s="233" t="s">
        <v>682</v>
      </c>
    </row>
    <row r="27" customFormat="false" ht="53.25" hidden="false" customHeight="true" outlineLevel="0" collapsed="false">
      <c r="A27" s="231" t="n">
        <v>46363</v>
      </c>
      <c r="B27" s="232" t="s">
        <v>686</v>
      </c>
      <c r="C27" s="233" t="s">
        <v>682</v>
      </c>
    </row>
    <row r="28" customFormat="false" ht="53.25" hidden="false" customHeight="true" outlineLevel="0" collapsed="false">
      <c r="A28" s="231" t="n">
        <v>46371</v>
      </c>
      <c r="B28" s="232" t="s">
        <v>687</v>
      </c>
      <c r="C28" s="233" t="s">
        <v>682</v>
      </c>
    </row>
    <row r="29" customFormat="false" ht="53.25" hidden="false" customHeight="true" outlineLevel="0" collapsed="false">
      <c r="A29" s="231" t="n">
        <v>46394</v>
      </c>
      <c r="B29" s="232" t="s">
        <v>688</v>
      </c>
      <c r="C29" s="233" t="s">
        <v>682</v>
      </c>
    </row>
    <row r="30" customFormat="false" ht="53.25" hidden="false" customHeight="true" outlineLevel="0" collapsed="false">
      <c r="A30" s="231" t="n">
        <v>46402</v>
      </c>
      <c r="B30" s="232" t="s">
        <v>689</v>
      </c>
      <c r="C30" s="233" t="s">
        <v>682</v>
      </c>
    </row>
    <row r="31" customFormat="false" ht="53.25" hidden="false" customHeight="true" outlineLevel="0" collapsed="false">
      <c r="A31" s="231" t="n">
        <v>46426</v>
      </c>
      <c r="B31" s="232" t="s">
        <v>690</v>
      </c>
      <c r="C31" s="233" t="s">
        <v>682</v>
      </c>
    </row>
    <row r="32" customFormat="false" ht="53.25" hidden="false" customHeight="true" outlineLevel="0" collapsed="false">
      <c r="A32" s="231" t="n">
        <v>46434</v>
      </c>
      <c r="B32" s="232" t="s">
        <v>691</v>
      </c>
      <c r="C32" s="233" t="s">
        <v>682</v>
      </c>
    </row>
    <row r="33" customFormat="false" ht="53.25" hidden="false" customHeight="true" outlineLevel="0" collapsed="false">
      <c r="A33" s="231" t="n">
        <v>46454</v>
      </c>
      <c r="B33" s="232" t="s">
        <v>692</v>
      </c>
      <c r="C33" s="233" t="s">
        <v>682</v>
      </c>
    </row>
    <row r="34" customFormat="false" ht="53.25" hidden="false" customHeight="true" outlineLevel="0" collapsed="false">
      <c r="A34" s="231" t="n">
        <v>46461</v>
      </c>
      <c r="B34" s="232" t="s">
        <v>693</v>
      </c>
      <c r="C34" s="233" t="s">
        <v>694</v>
      </c>
    </row>
    <row r="35" customFormat="false" ht="117" hidden="false" customHeight="true" outlineLevel="0" collapsed="false">
      <c r="A35" s="231" t="n">
        <v>46273</v>
      </c>
      <c r="B35" s="232" t="s">
        <v>695</v>
      </c>
      <c r="C35" s="233" t="s">
        <v>696</v>
      </c>
    </row>
    <row r="36" customFormat="false" ht="155.25" hidden="false" customHeight="true" outlineLevel="0" collapsed="false">
      <c r="A36" s="231" t="n">
        <v>46276</v>
      </c>
      <c r="B36" s="232" t="s">
        <v>697</v>
      </c>
      <c r="C36" s="233" t="s">
        <v>698</v>
      </c>
    </row>
    <row r="37" customFormat="false" ht="91.5" hidden="false" customHeight="true" outlineLevel="0" collapsed="false">
      <c r="A37" s="231" t="n">
        <v>46276</v>
      </c>
      <c r="B37" s="232" t="s">
        <v>699</v>
      </c>
      <c r="C37" s="233" t="s">
        <v>700</v>
      </c>
    </row>
    <row r="38" customFormat="false" ht="78.75" hidden="false" customHeight="true" outlineLevel="0" collapsed="false">
      <c r="A38" s="231" t="n">
        <v>46276</v>
      </c>
      <c r="B38" s="232" t="s">
        <v>701</v>
      </c>
      <c r="C38" s="233" t="s">
        <v>702</v>
      </c>
    </row>
    <row r="39" customFormat="false" ht="168" hidden="false" customHeight="true" outlineLevel="0" collapsed="false">
      <c r="A39" s="231" t="n">
        <v>46276</v>
      </c>
      <c r="B39" s="232" t="s">
        <v>703</v>
      </c>
      <c r="C39" s="233" t="s">
        <v>704</v>
      </c>
    </row>
    <row r="40" customFormat="false" ht="129.75" hidden="false" customHeight="true" outlineLevel="0" collapsed="false">
      <c r="A40" s="231" t="n">
        <v>46276</v>
      </c>
      <c r="B40" s="232" t="s">
        <v>703</v>
      </c>
      <c r="C40" s="233" t="s">
        <v>705</v>
      </c>
    </row>
    <row r="41" customFormat="false" ht="129.75" hidden="false" customHeight="true" outlineLevel="0" collapsed="false">
      <c r="A41" s="231" t="n">
        <v>46276</v>
      </c>
      <c r="B41" s="232" t="s">
        <v>174</v>
      </c>
      <c r="C41" s="233" t="s">
        <v>706</v>
      </c>
    </row>
    <row r="42" customFormat="false" ht="155.25" hidden="false" customHeight="true" outlineLevel="0" collapsed="false">
      <c r="A42" s="231" t="n">
        <v>46276</v>
      </c>
      <c r="B42" s="232" t="s">
        <v>703</v>
      </c>
      <c r="C42" s="233" t="s">
        <v>707</v>
      </c>
    </row>
    <row r="43" customFormat="false" ht="168" hidden="false" customHeight="true" outlineLevel="0" collapsed="false">
      <c r="A43" s="231" t="n">
        <v>46276</v>
      </c>
      <c r="B43" s="232" t="s">
        <v>708</v>
      </c>
      <c r="C43" s="233" t="s">
        <v>709</v>
      </c>
    </row>
    <row r="44" customFormat="false" ht="155.25" hidden="false" customHeight="true" outlineLevel="0" collapsed="false">
      <c r="A44" s="231" t="n">
        <v>46276</v>
      </c>
      <c r="B44" s="232" t="s">
        <v>710</v>
      </c>
      <c r="C44" s="233" t="s">
        <v>711</v>
      </c>
    </row>
    <row r="45" customFormat="false" ht="27.75" hidden="false" customHeight="true" outlineLevel="0" collapsed="false">
      <c r="A45" s="231" t="n">
        <v>46295</v>
      </c>
      <c r="B45" s="232" t="s">
        <v>712</v>
      </c>
      <c r="C45" s="233" t="s">
        <v>713</v>
      </c>
    </row>
    <row r="46" customFormat="false" ht="40.5" hidden="false" customHeight="true" outlineLevel="0" collapsed="false">
      <c r="A46" s="231" t="n">
        <v>46302</v>
      </c>
      <c r="B46" s="232" t="s">
        <v>714</v>
      </c>
      <c r="C46" s="233" t="s">
        <v>715</v>
      </c>
    </row>
    <row r="47" customFormat="false" ht="15" hidden="false" customHeight="true" outlineLevel="0" collapsed="false">
      <c r="A47" s="231" t="n">
        <v>46317</v>
      </c>
      <c r="B47" s="232" t="s">
        <v>716</v>
      </c>
      <c r="C47" s="233" t="s">
        <v>717</v>
      </c>
    </row>
    <row r="48" customFormat="false" ht="27.75" hidden="false" customHeight="true" outlineLevel="0" collapsed="false">
      <c r="A48" s="231" t="n">
        <v>46335</v>
      </c>
      <c r="B48" s="232" t="s">
        <v>718</v>
      </c>
      <c r="C48" s="233" t="s">
        <v>719</v>
      </c>
    </row>
    <row r="49" customFormat="false" ht="27.75" hidden="false" customHeight="true" outlineLevel="0" collapsed="false">
      <c r="A49" s="231" t="n">
        <v>46349</v>
      </c>
      <c r="B49" s="232" t="s">
        <v>720</v>
      </c>
      <c r="C49" s="233" t="s">
        <v>721</v>
      </c>
    </row>
    <row r="50" customFormat="false" ht="15" hidden="false" customHeight="true" outlineLevel="0" collapsed="false">
      <c r="A50" s="231" t="n">
        <v>46363</v>
      </c>
      <c r="B50" s="232" t="s">
        <v>722</v>
      </c>
      <c r="C50" s="233" t="s">
        <v>717</v>
      </c>
    </row>
    <row r="51" customFormat="false" ht="15" hidden="false" customHeight="true" outlineLevel="0" collapsed="false">
      <c r="A51" s="231" t="n">
        <v>46378</v>
      </c>
      <c r="B51" s="232" t="s">
        <v>723</v>
      </c>
      <c r="C51" s="233" t="s">
        <v>717</v>
      </c>
    </row>
    <row r="52" customFormat="false" ht="27.75" hidden="false" customHeight="true" outlineLevel="0" collapsed="false">
      <c r="A52" s="231" t="n">
        <v>46394</v>
      </c>
      <c r="B52" s="232" t="s">
        <v>724</v>
      </c>
      <c r="C52" s="233" t="s">
        <v>725</v>
      </c>
    </row>
    <row r="53" customFormat="false" ht="295.5" hidden="false" customHeight="true" outlineLevel="0" collapsed="false">
      <c r="A53" s="231" t="n">
        <v>46276</v>
      </c>
      <c r="B53" s="232" t="s">
        <v>726</v>
      </c>
      <c r="C53" s="233" t="s">
        <v>727</v>
      </c>
    </row>
    <row r="54" customFormat="false" ht="359.25" hidden="false" customHeight="true" outlineLevel="0" collapsed="false">
      <c r="A54" s="231" t="n">
        <v>46278</v>
      </c>
      <c r="B54" s="232" t="s">
        <v>728</v>
      </c>
      <c r="C54" s="233" t="s">
        <v>729</v>
      </c>
    </row>
    <row r="55" customFormat="false" ht="270" hidden="false" customHeight="true" outlineLevel="0" collapsed="false">
      <c r="A55" s="231" t="n">
        <v>46278</v>
      </c>
      <c r="B55" s="232" t="s">
        <v>730</v>
      </c>
      <c r="C55" s="233" t="s">
        <v>731</v>
      </c>
    </row>
    <row r="56" customFormat="false" ht="409.5" hidden="false" customHeight="true" outlineLevel="0" collapsed="false">
      <c r="A56" s="231" t="n">
        <v>46278</v>
      </c>
      <c r="B56" s="232" t="s">
        <v>732</v>
      </c>
      <c r="C56" s="233" t="s">
        <v>733</v>
      </c>
    </row>
    <row r="57" customFormat="false" ht="193.5" hidden="false" customHeight="true" outlineLevel="0" collapsed="false">
      <c r="A57" s="231" t="n">
        <v>46278</v>
      </c>
      <c r="B57" s="232" t="s">
        <v>734</v>
      </c>
      <c r="C57" s="233" t="s">
        <v>735</v>
      </c>
    </row>
    <row r="58" customFormat="false" ht="384.75" hidden="false" customHeight="true" outlineLevel="0" collapsed="false">
      <c r="A58" s="231" t="n">
        <v>46278</v>
      </c>
      <c r="B58" s="232" t="s">
        <v>736</v>
      </c>
      <c r="C58" s="233" t="s">
        <v>737</v>
      </c>
    </row>
    <row r="59" customFormat="false" ht="409.5" hidden="false" customHeight="true" outlineLevel="0" collapsed="false">
      <c r="A59" s="231" t="n">
        <v>46278</v>
      </c>
      <c r="B59" s="232" t="s">
        <v>738</v>
      </c>
      <c r="C59" s="233" t="s">
        <v>739</v>
      </c>
    </row>
    <row r="60" customFormat="false" ht="397.5" hidden="false" customHeight="true" outlineLevel="0" collapsed="false">
      <c r="A60" s="231" t="n">
        <v>46278</v>
      </c>
      <c r="B60" s="232" t="s">
        <v>740</v>
      </c>
      <c r="C60" s="233" t="s">
        <v>741</v>
      </c>
    </row>
    <row r="61" customFormat="false" ht="409.5" hidden="false" customHeight="true" outlineLevel="0" collapsed="false">
      <c r="A61" s="231" t="n">
        <v>46278</v>
      </c>
      <c r="B61" s="232" t="s">
        <v>742</v>
      </c>
      <c r="C61" s="233" t="s">
        <v>743</v>
      </c>
    </row>
    <row r="62" customFormat="false" ht="409.5" hidden="false" customHeight="true" outlineLevel="0" collapsed="false">
      <c r="A62" s="231" t="n">
        <v>46294</v>
      </c>
      <c r="B62" s="232" t="s">
        <v>744</v>
      </c>
      <c r="C62" s="233" t="s">
        <v>745</v>
      </c>
    </row>
    <row r="63" customFormat="false" ht="129.75" hidden="false" customHeight="true" outlineLevel="0" collapsed="false">
      <c r="A63" s="231" t="n">
        <v>46294</v>
      </c>
      <c r="B63" s="232" t="s">
        <v>746</v>
      </c>
      <c r="C63" s="233" t="s">
        <v>747</v>
      </c>
    </row>
    <row r="64" customFormat="false" ht="155.25" hidden="false" customHeight="true" outlineLevel="0" collapsed="false">
      <c r="A64" s="231" t="n">
        <v>46295</v>
      </c>
      <c r="B64" s="232" t="s">
        <v>712</v>
      </c>
      <c r="C64" s="233" t="s">
        <v>748</v>
      </c>
    </row>
    <row r="65" customFormat="false" ht="104.25" hidden="false" customHeight="true" outlineLevel="0" collapsed="false">
      <c r="A65" s="231" t="n">
        <v>46295</v>
      </c>
      <c r="B65" s="232" t="s">
        <v>749</v>
      </c>
      <c r="C65" s="233" t="s">
        <v>750</v>
      </c>
    </row>
    <row r="66" customFormat="false" ht="282.75" hidden="false" customHeight="true" outlineLevel="0" collapsed="false">
      <c r="A66" s="231" t="n">
        <v>46295</v>
      </c>
      <c r="B66" s="232" t="s">
        <v>96</v>
      </c>
      <c r="C66" s="233" t="s">
        <v>751</v>
      </c>
    </row>
    <row r="67" customFormat="false" ht="155.25" hidden="false" customHeight="true" outlineLevel="0" collapsed="false">
      <c r="A67" s="231" t="n">
        <v>46295</v>
      </c>
      <c r="B67" s="232"/>
      <c r="C67" s="233" t="s">
        <v>752</v>
      </c>
    </row>
    <row r="68" customFormat="false" ht="155.25" hidden="false" customHeight="true" outlineLevel="0" collapsed="false">
      <c r="A68" s="231" t="n">
        <v>46295</v>
      </c>
      <c r="B68" s="232"/>
      <c r="C68" s="233" t="s">
        <v>753</v>
      </c>
    </row>
    <row r="69" customFormat="false" ht="219" hidden="false" customHeight="true" outlineLevel="0" collapsed="false">
      <c r="A69" s="231" t="n">
        <v>46295</v>
      </c>
      <c r="B69" s="232" t="s">
        <v>754</v>
      </c>
      <c r="C69" s="233" t="s">
        <v>755</v>
      </c>
    </row>
    <row r="70" customFormat="false" ht="206.25" hidden="false" customHeight="true" outlineLevel="0" collapsed="false">
      <c r="A70" s="231" t="n">
        <v>46295</v>
      </c>
      <c r="B70" s="232" t="s">
        <v>756</v>
      </c>
      <c r="C70" s="233" t="s">
        <v>757</v>
      </c>
    </row>
    <row r="71" customFormat="false" ht="409.5" hidden="false" customHeight="true" outlineLevel="0" collapsed="false">
      <c r="A71" s="231" t="n">
        <v>46296</v>
      </c>
      <c r="B71" s="232" t="s">
        <v>146</v>
      </c>
      <c r="C71" s="233" t="s">
        <v>758</v>
      </c>
    </row>
    <row r="72" customFormat="false" ht="295.5" hidden="false" customHeight="true" outlineLevel="0" collapsed="false">
      <c r="A72" s="231" t="n">
        <v>46296</v>
      </c>
      <c r="B72" s="232"/>
      <c r="C72" s="233" t="s">
        <v>759</v>
      </c>
    </row>
    <row r="73" customFormat="false" ht="282.75" hidden="false" customHeight="true" outlineLevel="0" collapsed="false">
      <c r="A73" s="231" t="n">
        <v>46296</v>
      </c>
      <c r="B73" s="232" t="s">
        <v>760</v>
      </c>
      <c r="C73" s="233" t="s">
        <v>761</v>
      </c>
    </row>
    <row r="74" customFormat="false" ht="142.5" hidden="false" customHeight="true" outlineLevel="0" collapsed="false">
      <c r="A74" s="231" t="n">
        <v>46296</v>
      </c>
      <c r="B74" s="232" t="s">
        <v>762</v>
      </c>
      <c r="C74" s="233" t="s">
        <v>763</v>
      </c>
    </row>
    <row r="75" customFormat="false" ht="117" hidden="false" customHeight="true" outlineLevel="0" collapsed="false">
      <c r="A75" s="231" t="n">
        <v>46297</v>
      </c>
      <c r="B75" s="232" t="s">
        <v>764</v>
      </c>
      <c r="C75" s="233" t="s">
        <v>765</v>
      </c>
    </row>
    <row r="76" customFormat="false" ht="53.25" hidden="false" customHeight="true" outlineLevel="0" collapsed="false">
      <c r="A76" s="231" t="n">
        <v>46297</v>
      </c>
      <c r="B76" s="232" t="s">
        <v>146</v>
      </c>
      <c r="C76" s="233" t="s">
        <v>766</v>
      </c>
    </row>
    <row r="77" customFormat="false" ht="155.25" hidden="false" customHeight="true" outlineLevel="0" collapsed="false">
      <c r="A77" s="231" t="n">
        <v>46297</v>
      </c>
      <c r="B77" s="232" t="s">
        <v>767</v>
      </c>
      <c r="C77" s="233" t="s">
        <v>768</v>
      </c>
    </row>
    <row r="78" customFormat="false" ht="295.5" hidden="false" customHeight="true" outlineLevel="0" collapsed="false">
      <c r="A78" s="231" t="n">
        <v>46297</v>
      </c>
      <c r="B78" s="232" t="s">
        <v>769</v>
      </c>
      <c r="C78" s="233" t="s">
        <v>770</v>
      </c>
    </row>
    <row r="79" customFormat="false" ht="282.75" hidden="false" customHeight="true" outlineLevel="0" collapsed="false">
      <c r="A79" s="231" t="n">
        <v>46297</v>
      </c>
      <c r="B79" s="232" t="s">
        <v>771</v>
      </c>
      <c r="C79" s="233" t="s">
        <v>772</v>
      </c>
    </row>
    <row r="80" customFormat="false" ht="257.25" hidden="false" customHeight="true" outlineLevel="0" collapsed="false">
      <c r="A80" s="231" t="n">
        <v>46297</v>
      </c>
      <c r="B80" s="232" t="s">
        <v>149</v>
      </c>
      <c r="C80" s="233" t="s">
        <v>773</v>
      </c>
    </row>
    <row r="81" customFormat="false" ht="282.75" hidden="false" customHeight="true" outlineLevel="0" collapsed="false">
      <c r="A81" s="231" t="n">
        <v>46299</v>
      </c>
      <c r="B81" s="232" t="s">
        <v>774</v>
      </c>
      <c r="C81" s="233" t="s">
        <v>775</v>
      </c>
    </row>
    <row r="82" customFormat="false" ht="321" hidden="false" customHeight="true" outlineLevel="0" collapsed="false">
      <c r="A82" s="231" t="n">
        <v>46299</v>
      </c>
      <c r="B82" s="232" t="s">
        <v>776</v>
      </c>
      <c r="C82" s="233" t="s">
        <v>777</v>
      </c>
    </row>
    <row r="83" customFormat="false" ht="129.75" hidden="false" customHeight="true" outlineLevel="0" collapsed="false">
      <c r="A83" s="231" t="n">
        <v>46299</v>
      </c>
      <c r="B83" s="232" t="s">
        <v>776</v>
      </c>
      <c r="C83" s="233" t="s">
        <v>778</v>
      </c>
    </row>
    <row r="84" customFormat="false" ht="346.5" hidden="false" customHeight="true" outlineLevel="0" collapsed="false">
      <c r="A84" s="231" t="n">
        <v>46299</v>
      </c>
      <c r="B84" s="232" t="s">
        <v>779</v>
      </c>
      <c r="C84" s="233" t="s">
        <v>780</v>
      </c>
    </row>
    <row r="85" customFormat="false" ht="168" hidden="false" customHeight="true" outlineLevel="0" collapsed="false">
      <c r="A85" s="231" t="n">
        <v>46299</v>
      </c>
      <c r="B85" s="232" t="s">
        <v>781</v>
      </c>
      <c r="C85" s="233" t="s">
        <v>782</v>
      </c>
    </row>
    <row r="86" customFormat="false" ht="257.25" hidden="false" customHeight="true" outlineLevel="0" collapsed="false">
      <c r="A86" s="231" t="n">
        <v>46299</v>
      </c>
      <c r="B86" s="232" t="s">
        <v>783</v>
      </c>
      <c r="C86" s="233" t="s">
        <v>784</v>
      </c>
    </row>
    <row r="87" customFormat="false" ht="155.25" hidden="false" customHeight="true" outlineLevel="0" collapsed="false">
      <c r="A87" s="231" t="n">
        <v>46299</v>
      </c>
      <c r="B87" s="232" t="s">
        <v>785</v>
      </c>
      <c r="C87" s="233" t="s">
        <v>786</v>
      </c>
    </row>
    <row r="88" customFormat="false" ht="206.25" hidden="false" customHeight="true" outlineLevel="0" collapsed="false">
      <c r="A88" s="231" t="n">
        <v>46299</v>
      </c>
      <c r="B88" s="232" t="s">
        <v>787</v>
      </c>
      <c r="C88" s="233" t="s">
        <v>788</v>
      </c>
    </row>
    <row r="89" customFormat="false" ht="270" hidden="false" customHeight="true" outlineLevel="0" collapsed="false">
      <c r="A89" s="231" t="n">
        <v>46299</v>
      </c>
      <c r="B89" s="232" t="s">
        <v>789</v>
      </c>
      <c r="C89" s="233" t="s">
        <v>790</v>
      </c>
    </row>
    <row r="90" customFormat="false" ht="219" hidden="false" customHeight="true" outlineLevel="0" collapsed="false">
      <c r="A90" s="231" t="n">
        <v>46300</v>
      </c>
      <c r="B90" s="232" t="s">
        <v>791</v>
      </c>
      <c r="C90" s="233" t="s">
        <v>792</v>
      </c>
    </row>
    <row r="91" customFormat="false" ht="244.5" hidden="false" customHeight="true" outlineLevel="0" collapsed="false">
      <c r="A91" s="231" t="n">
        <v>46300</v>
      </c>
      <c r="B91" s="232" t="s">
        <v>793</v>
      </c>
      <c r="C91" s="233" t="s">
        <v>794</v>
      </c>
    </row>
    <row r="92" customFormat="false" ht="308.25" hidden="false" customHeight="true" outlineLevel="0" collapsed="false">
      <c r="A92" s="231" t="n">
        <v>46300</v>
      </c>
      <c r="B92" s="232" t="s">
        <v>795</v>
      </c>
      <c r="C92" s="233" t="s">
        <v>796</v>
      </c>
    </row>
    <row r="93" customFormat="false" ht="244.5" hidden="false" customHeight="true" outlineLevel="0" collapsed="false">
      <c r="A93" s="231" t="n">
        <v>46300</v>
      </c>
      <c r="B93" s="232" t="s">
        <v>797</v>
      </c>
      <c r="C93" s="233" t="s">
        <v>798</v>
      </c>
    </row>
    <row r="94" customFormat="false" ht="270" hidden="false" customHeight="true" outlineLevel="0" collapsed="false">
      <c r="A94" s="231" t="n">
        <v>46300</v>
      </c>
      <c r="B94" s="232" t="s">
        <v>799</v>
      </c>
      <c r="C94" s="233" t="s">
        <v>800</v>
      </c>
    </row>
    <row r="95" customFormat="false" ht="359.25" hidden="false" customHeight="true" outlineLevel="0" collapsed="false">
      <c r="A95" s="231" t="n">
        <v>46300</v>
      </c>
      <c r="B95" s="232" t="s">
        <v>801</v>
      </c>
      <c r="C95" s="233" t="s">
        <v>802</v>
      </c>
    </row>
    <row r="96" customFormat="false" ht="384.75" hidden="false" customHeight="true" outlineLevel="0" collapsed="false">
      <c r="A96" s="231" t="n">
        <v>46300</v>
      </c>
      <c r="B96" s="232" t="s">
        <v>803</v>
      </c>
      <c r="C96" s="233" t="s">
        <v>804</v>
      </c>
    </row>
    <row r="97" customFormat="false" ht="142.5" hidden="false" customHeight="true" outlineLevel="0" collapsed="false">
      <c r="A97" s="231" t="n">
        <v>46300</v>
      </c>
      <c r="B97" s="232" t="s">
        <v>805</v>
      </c>
      <c r="C97" s="233" t="s">
        <v>806</v>
      </c>
    </row>
    <row r="98" customFormat="false" ht="308.25" hidden="false" customHeight="true" outlineLevel="0" collapsed="false">
      <c r="A98" s="231" t="n">
        <v>46300</v>
      </c>
      <c r="B98" s="232" t="s">
        <v>807</v>
      </c>
      <c r="C98" s="233" t="s">
        <v>808</v>
      </c>
    </row>
    <row r="99" customFormat="false" ht="384.75" hidden="false" customHeight="true" outlineLevel="0" collapsed="false">
      <c r="A99" s="231" t="n">
        <v>46300</v>
      </c>
      <c r="B99" s="232" t="s">
        <v>809</v>
      </c>
      <c r="C99" s="233" t="s">
        <v>810</v>
      </c>
    </row>
    <row r="100" customFormat="false" ht="333.75" hidden="false" customHeight="true" outlineLevel="0" collapsed="false">
      <c r="A100" s="231" t="n">
        <v>46301</v>
      </c>
      <c r="B100" s="232" t="s">
        <v>811</v>
      </c>
      <c r="C100" s="233" t="s">
        <v>812</v>
      </c>
    </row>
    <row r="101" customFormat="false" ht="282.75" hidden="false" customHeight="true" outlineLevel="0" collapsed="false">
      <c r="A101" s="231" t="n">
        <v>46301</v>
      </c>
      <c r="B101" s="232" t="s">
        <v>813</v>
      </c>
      <c r="C101" s="233" t="s">
        <v>814</v>
      </c>
    </row>
    <row r="102" customFormat="false" ht="295.5" hidden="false" customHeight="true" outlineLevel="0" collapsed="false">
      <c r="A102" s="231" t="n">
        <v>46301</v>
      </c>
      <c r="B102" s="232" t="s">
        <v>815</v>
      </c>
      <c r="C102" s="233" t="s">
        <v>816</v>
      </c>
    </row>
    <row r="103" customFormat="false" ht="104.25" hidden="false" customHeight="true" outlineLevel="0" collapsed="false">
      <c r="A103" s="231" t="n">
        <v>46301</v>
      </c>
      <c r="B103" s="232" t="s">
        <v>817</v>
      </c>
      <c r="C103" s="233" t="s">
        <v>818</v>
      </c>
    </row>
    <row r="104" customFormat="false" ht="257.25" hidden="false" customHeight="true" outlineLevel="0" collapsed="false">
      <c r="A104" s="231" t="n">
        <v>46302</v>
      </c>
      <c r="B104" s="232" t="s">
        <v>819</v>
      </c>
      <c r="C104" s="233" t="s">
        <v>820</v>
      </c>
    </row>
    <row r="105" customFormat="false" ht="155.25" hidden="false" customHeight="true" outlineLevel="0" collapsed="false">
      <c r="A105" s="231" t="n">
        <v>46302</v>
      </c>
      <c r="B105" s="232" t="s">
        <v>821</v>
      </c>
      <c r="C105" s="233" t="s">
        <v>822</v>
      </c>
    </row>
    <row r="106" customFormat="false" ht="206.25" hidden="false" customHeight="true" outlineLevel="0" collapsed="false">
      <c r="A106" s="231" t="n">
        <v>46302</v>
      </c>
      <c r="B106" s="232" t="s">
        <v>823</v>
      </c>
      <c r="C106" s="233" t="s">
        <v>824</v>
      </c>
    </row>
    <row r="107" customFormat="false" ht="282.75" hidden="false" customHeight="true" outlineLevel="0" collapsed="false">
      <c r="A107" s="231" t="n">
        <v>46302</v>
      </c>
      <c r="B107" s="232" t="s">
        <v>825</v>
      </c>
      <c r="C107" s="233" t="s">
        <v>826</v>
      </c>
    </row>
    <row r="108" customFormat="false" ht="308.25" hidden="false" customHeight="true" outlineLevel="0" collapsed="false">
      <c r="A108" s="231" t="n">
        <v>46302</v>
      </c>
      <c r="B108" s="232" t="s">
        <v>827</v>
      </c>
      <c r="C108" s="233" t="s">
        <v>828</v>
      </c>
    </row>
    <row r="109" customFormat="false" ht="206.25" hidden="false" customHeight="true" outlineLevel="0" collapsed="false">
      <c r="A109" s="231" t="n">
        <v>46303</v>
      </c>
      <c r="B109" s="232" t="s">
        <v>829</v>
      </c>
      <c r="C109" s="233" t="s">
        <v>830</v>
      </c>
    </row>
    <row r="110" customFormat="false" ht="244.5" hidden="false" customHeight="true" outlineLevel="0" collapsed="false">
      <c r="A110" s="231" t="n">
        <v>46303</v>
      </c>
      <c r="B110" s="232" t="s">
        <v>831</v>
      </c>
      <c r="C110" s="233" t="s">
        <v>832</v>
      </c>
    </row>
    <row r="111" customFormat="false" ht="142.5" hidden="false" customHeight="true" outlineLevel="0" collapsed="false">
      <c r="A111" s="231" t="n">
        <v>46303</v>
      </c>
      <c r="B111" s="232" t="s">
        <v>833</v>
      </c>
      <c r="C111" s="233" t="s">
        <v>834</v>
      </c>
    </row>
    <row r="112" customFormat="false" ht="206.25" hidden="false" customHeight="true" outlineLevel="0" collapsed="false">
      <c r="A112" s="231" t="n">
        <v>46303</v>
      </c>
      <c r="B112" s="232" t="s">
        <v>835</v>
      </c>
      <c r="C112" s="233" t="s">
        <v>836</v>
      </c>
    </row>
    <row r="113" customFormat="false" ht="206.25" hidden="false" customHeight="true" outlineLevel="0" collapsed="false">
      <c r="A113" s="231" t="n">
        <v>46303</v>
      </c>
      <c r="B113" s="232" t="s">
        <v>837</v>
      </c>
      <c r="C113" s="233" t="s">
        <v>838</v>
      </c>
    </row>
    <row r="114" customFormat="false" ht="295.5" hidden="false" customHeight="true" outlineLevel="0" collapsed="false">
      <c r="A114" s="231" t="n">
        <v>46303</v>
      </c>
      <c r="B114" s="232" t="s">
        <v>839</v>
      </c>
      <c r="C114" s="233" t="s">
        <v>840</v>
      </c>
    </row>
    <row r="115" customFormat="false" ht="168" hidden="false" customHeight="true" outlineLevel="0" collapsed="false">
      <c r="A115" s="231" t="n">
        <v>46303</v>
      </c>
      <c r="B115" s="232" t="s">
        <v>841</v>
      </c>
      <c r="C115" s="233" t="s">
        <v>842</v>
      </c>
    </row>
    <row r="116" customFormat="false" ht="295.5" hidden="false" customHeight="true" outlineLevel="0" collapsed="false">
      <c r="A116" s="231" t="n">
        <v>46303</v>
      </c>
      <c r="B116" s="232" t="s">
        <v>843</v>
      </c>
      <c r="C116" s="233" t="s">
        <v>844</v>
      </c>
    </row>
    <row r="117" customFormat="false" ht="231.75" hidden="false" customHeight="true" outlineLevel="0" collapsed="false">
      <c r="A117" s="231" t="n">
        <v>46303</v>
      </c>
      <c r="B117" s="232" t="s">
        <v>845</v>
      </c>
      <c r="C117" s="233" t="s">
        <v>846</v>
      </c>
    </row>
    <row r="118" customFormat="false" ht="206.25" hidden="false" customHeight="true" outlineLevel="0" collapsed="false">
      <c r="A118" s="231" t="n">
        <v>46303</v>
      </c>
      <c r="B118" s="232" t="s">
        <v>847</v>
      </c>
      <c r="C118" s="233" t="s">
        <v>848</v>
      </c>
    </row>
    <row r="119" customFormat="false" ht="308.25" hidden="false" customHeight="true" outlineLevel="0" collapsed="false">
      <c r="A119" s="231" t="n">
        <v>46303</v>
      </c>
      <c r="B119" s="232" t="s">
        <v>849</v>
      </c>
      <c r="C119" s="233" t="s">
        <v>850</v>
      </c>
    </row>
    <row r="120" customFormat="false" ht="155.25" hidden="false" customHeight="true" outlineLevel="0" collapsed="false">
      <c r="A120" s="231" t="n">
        <v>46303</v>
      </c>
      <c r="B120" s="232" t="s">
        <v>851</v>
      </c>
      <c r="C120" s="233" t="s">
        <v>852</v>
      </c>
    </row>
    <row r="121" customFormat="false" ht="206.25" hidden="false" customHeight="true" outlineLevel="0" collapsed="false">
      <c r="A121" s="231" t="n">
        <v>46303</v>
      </c>
      <c r="B121" s="232" t="s">
        <v>853</v>
      </c>
      <c r="C121" s="233" t="s">
        <v>854</v>
      </c>
    </row>
    <row r="122" customFormat="false" ht="219" hidden="false" customHeight="true" outlineLevel="0" collapsed="false">
      <c r="A122" s="231" t="n">
        <v>46303</v>
      </c>
      <c r="B122" s="232" t="s">
        <v>855</v>
      </c>
      <c r="C122" s="233" t="s">
        <v>856</v>
      </c>
    </row>
    <row r="123" customFormat="false" ht="219" hidden="false" customHeight="true" outlineLevel="0" collapsed="false">
      <c r="A123" s="231" t="n">
        <v>46303</v>
      </c>
      <c r="B123" s="232" t="s">
        <v>857</v>
      </c>
      <c r="C123" s="233" t="s">
        <v>858</v>
      </c>
    </row>
    <row r="124" customFormat="false" ht="231.75" hidden="false" customHeight="true" outlineLevel="0" collapsed="false">
      <c r="A124" s="231" t="n">
        <v>46303</v>
      </c>
      <c r="B124" s="232" t="s">
        <v>859</v>
      </c>
      <c r="C124" s="233" t="s">
        <v>860</v>
      </c>
    </row>
    <row r="125" customFormat="false" ht="129.75" hidden="false" customHeight="true" outlineLevel="0" collapsed="false">
      <c r="A125" s="231" t="n">
        <v>46303</v>
      </c>
      <c r="B125" s="232" t="s">
        <v>861</v>
      </c>
      <c r="C125" s="233" t="s">
        <v>862</v>
      </c>
    </row>
    <row r="126" customFormat="false" ht="270" hidden="false" customHeight="true" outlineLevel="0" collapsed="false">
      <c r="A126" s="231" t="n">
        <v>46303</v>
      </c>
      <c r="B126" s="232" t="s">
        <v>863</v>
      </c>
      <c r="C126" s="233" t="s">
        <v>864</v>
      </c>
    </row>
    <row r="127" customFormat="false" ht="14.25" hidden="false" customHeight="true" outlineLevel="0" collapsed="false">
      <c r="A127" s="231"/>
      <c r="B127" s="232"/>
      <c r="C127" s="233"/>
    </row>
    <row r="128" customFormat="false" ht="14.25" hidden="false" customHeight="true" outlineLevel="0" collapsed="false">
      <c r="A128" s="231"/>
      <c r="B128" s="232"/>
      <c r="C128" s="233"/>
    </row>
    <row r="129" customFormat="false" ht="14.25" hidden="false" customHeight="true" outlineLevel="0" collapsed="false">
      <c r="A129" s="231"/>
      <c r="B129" s="232"/>
      <c r="C129" s="233"/>
    </row>
    <row r="130" customFormat="false" ht="14.25" hidden="false" customHeight="true" outlineLevel="0" collapsed="false">
      <c r="A130" s="231"/>
      <c r="B130" s="232"/>
      <c r="C130" s="233"/>
    </row>
    <row r="131" customFormat="false" ht="14.25" hidden="false" customHeight="true" outlineLevel="0" collapsed="false">
      <c r="A131" s="231"/>
      <c r="B131" s="232"/>
      <c r="C131" s="233"/>
    </row>
    <row r="132" customFormat="false" ht="14.25" hidden="false" customHeight="true" outlineLevel="0" collapsed="false">
      <c r="A132" s="231"/>
      <c r="B132" s="232"/>
      <c r="C132" s="233"/>
    </row>
    <row r="133" customFormat="false" ht="14.25" hidden="false" customHeight="true" outlineLevel="0" collapsed="false">
      <c r="A133" s="231"/>
      <c r="B133" s="232"/>
      <c r="C133" s="233"/>
    </row>
    <row r="134" customFormat="false" ht="14.25" hidden="false" customHeight="true" outlineLevel="0" collapsed="false">
      <c r="A134" s="231"/>
      <c r="B134" s="232"/>
      <c r="C134" s="233"/>
    </row>
    <row r="135" customFormat="false" ht="14.25" hidden="false" customHeight="true" outlineLevel="0" collapsed="false">
      <c r="A135" s="231"/>
      <c r="B135" s="232"/>
      <c r="C135" s="233"/>
    </row>
    <row r="136" customFormat="false" ht="14.25" hidden="false" customHeight="true" outlineLevel="0" collapsed="false">
      <c r="A136" s="231"/>
      <c r="B136" s="232"/>
      <c r="C136" s="233"/>
    </row>
    <row r="137" customFormat="false" ht="14.25" hidden="false" customHeight="true" outlineLevel="0" collapsed="false">
      <c r="A137" s="231"/>
      <c r="B137" s="232"/>
      <c r="C137" s="233"/>
    </row>
    <row r="138" customFormat="false" ht="14.25" hidden="false" customHeight="true" outlineLevel="0" collapsed="false">
      <c r="A138" s="231"/>
      <c r="B138" s="232"/>
      <c r="C138" s="233"/>
    </row>
    <row r="139" customFormat="false" ht="14.25" hidden="false" customHeight="true" outlineLevel="0" collapsed="false">
      <c r="A139" s="231"/>
      <c r="B139" s="232"/>
      <c r="C139" s="233"/>
    </row>
    <row r="140" customFormat="false" ht="14.25" hidden="false" customHeight="true" outlineLevel="0" collapsed="false">
      <c r="A140" s="231"/>
      <c r="B140" s="232"/>
      <c r="C140" s="233"/>
    </row>
    <row r="141" customFormat="false" ht="14.25" hidden="false" customHeight="true" outlineLevel="0" collapsed="false">
      <c r="A141" s="231"/>
      <c r="B141" s="232"/>
      <c r="C141" s="233"/>
    </row>
    <row r="142" customFormat="false" ht="14.25" hidden="false" customHeight="true" outlineLevel="0" collapsed="false">
      <c r="A142" s="231"/>
      <c r="B142" s="232"/>
      <c r="C142" s="233"/>
    </row>
    <row r="143" customFormat="false" ht="14.25" hidden="false" customHeight="true" outlineLevel="0" collapsed="false">
      <c r="A143" s="231"/>
      <c r="B143" s="232"/>
      <c r="C143" s="233"/>
    </row>
    <row r="144" customFormat="false" ht="14.25" hidden="false" customHeight="true" outlineLevel="0" collapsed="false">
      <c r="A144" s="231"/>
      <c r="B144" s="232"/>
      <c r="C144" s="233"/>
    </row>
    <row r="145" customFormat="false" ht="14.25" hidden="false" customHeight="true" outlineLevel="0" collapsed="false">
      <c r="A145" s="231"/>
      <c r="B145" s="232"/>
      <c r="C145" s="233"/>
    </row>
    <row r="146" customFormat="false" ht="14.25" hidden="false" customHeight="true" outlineLevel="0" collapsed="false">
      <c r="A146" s="231"/>
      <c r="B146" s="232"/>
      <c r="C146" s="233"/>
    </row>
    <row r="147" customFormat="false" ht="14.25" hidden="false" customHeight="true" outlineLevel="0" collapsed="false">
      <c r="A147" s="231"/>
      <c r="B147" s="232"/>
      <c r="C147" s="233"/>
    </row>
    <row r="148" customFormat="false" ht="14.25" hidden="false" customHeight="true" outlineLevel="0" collapsed="false">
      <c r="A148" s="231"/>
      <c r="B148" s="232"/>
      <c r="C148" s="233"/>
    </row>
    <row r="149" customFormat="false" ht="14.25" hidden="false" customHeight="true" outlineLevel="0" collapsed="false">
      <c r="A149" s="231"/>
      <c r="B149" s="232"/>
      <c r="C149" s="233"/>
    </row>
    <row r="150" customFormat="false" ht="14.25" hidden="false" customHeight="true" outlineLevel="0" collapsed="false">
      <c r="A150" s="231"/>
      <c r="B150" s="232"/>
      <c r="C150" s="233"/>
    </row>
    <row r="151" customFormat="false" ht="14.25" hidden="false" customHeight="true" outlineLevel="0" collapsed="false">
      <c r="A151" s="231"/>
      <c r="B151" s="232"/>
      <c r="C151" s="233"/>
    </row>
    <row r="152" customFormat="false" ht="14.25" hidden="false" customHeight="true" outlineLevel="0" collapsed="false">
      <c r="A152" s="231"/>
      <c r="B152" s="232"/>
      <c r="C152" s="233"/>
    </row>
    <row r="153" customFormat="false" ht="14.25" hidden="false" customHeight="true" outlineLevel="0" collapsed="false">
      <c r="A153" s="231"/>
      <c r="B153" s="232"/>
      <c r="C153" s="233"/>
    </row>
    <row r="154" customFormat="false" ht="14.25" hidden="false" customHeight="true" outlineLevel="0" collapsed="false">
      <c r="A154" s="231"/>
      <c r="B154" s="232"/>
      <c r="C154" s="233"/>
    </row>
    <row r="155" customFormat="false" ht="14.25" hidden="false" customHeight="true" outlineLevel="0" collapsed="false">
      <c r="A155" s="231"/>
      <c r="B155" s="232"/>
      <c r="C155" s="233"/>
    </row>
    <row r="156" customFormat="false" ht="14.25" hidden="false" customHeight="true" outlineLevel="0" collapsed="false">
      <c r="A156" s="231"/>
      <c r="B156" s="232"/>
      <c r="C156" s="233"/>
    </row>
    <row r="157" customFormat="false" ht="14.25" hidden="false" customHeight="true" outlineLevel="0" collapsed="false">
      <c r="A157" s="231"/>
      <c r="B157" s="232"/>
      <c r="C157" s="233"/>
    </row>
    <row r="158" customFormat="false" ht="14.25" hidden="false" customHeight="true" outlineLevel="0" collapsed="false">
      <c r="A158" s="231"/>
      <c r="B158" s="232"/>
      <c r="C158" s="233"/>
    </row>
    <row r="159" customFormat="false" ht="14.25" hidden="false" customHeight="true" outlineLevel="0" collapsed="false">
      <c r="A159" s="231"/>
      <c r="B159" s="232"/>
      <c r="C159" s="233"/>
    </row>
    <row r="160" customFormat="false" ht="14.25" hidden="false" customHeight="true" outlineLevel="0" collapsed="false">
      <c r="A160" s="231"/>
      <c r="B160" s="232"/>
      <c r="C160" s="233"/>
    </row>
    <row r="161" customFormat="false" ht="14.25" hidden="false" customHeight="true" outlineLevel="0" collapsed="false">
      <c r="A161" s="231"/>
      <c r="B161" s="232"/>
      <c r="C161" s="233"/>
    </row>
    <row r="162" customFormat="false" ht="14.25" hidden="false" customHeight="true" outlineLevel="0" collapsed="false">
      <c r="A162" s="231"/>
      <c r="B162" s="232"/>
      <c r="C162" s="233"/>
    </row>
    <row r="163" customFormat="false" ht="14.25" hidden="false" customHeight="true" outlineLevel="0" collapsed="false">
      <c r="A163" s="231"/>
      <c r="B163" s="232"/>
      <c r="C163" s="233"/>
    </row>
    <row r="164" customFormat="false" ht="14.25" hidden="false" customHeight="true" outlineLevel="0" collapsed="false">
      <c r="A164" s="231"/>
      <c r="B164" s="232"/>
      <c r="C164" s="233"/>
    </row>
    <row r="165" customFormat="false" ht="14.25" hidden="false" customHeight="true" outlineLevel="0" collapsed="false">
      <c r="A165" s="231"/>
      <c r="B165" s="232"/>
      <c r="C165" s="233"/>
    </row>
    <row r="166" customFormat="false" ht="14.25" hidden="false" customHeight="true" outlineLevel="0" collapsed="false">
      <c r="A166" s="231"/>
      <c r="B166" s="232"/>
      <c r="C166" s="233"/>
    </row>
    <row r="167" customFormat="false" ht="14.25" hidden="false" customHeight="true" outlineLevel="0" collapsed="false">
      <c r="A167" s="231"/>
      <c r="B167" s="232"/>
      <c r="C167" s="233"/>
    </row>
    <row r="168" customFormat="false" ht="14.25" hidden="false" customHeight="true" outlineLevel="0" collapsed="false">
      <c r="A168" s="231"/>
      <c r="B168" s="232"/>
      <c r="C168" s="233"/>
    </row>
    <row r="169" customFormat="false" ht="14.25" hidden="false" customHeight="true" outlineLevel="0" collapsed="false">
      <c r="A169" s="231"/>
      <c r="B169" s="232"/>
      <c r="C169" s="233"/>
    </row>
    <row r="170" customFormat="false" ht="14.25" hidden="false" customHeight="true" outlineLevel="0" collapsed="false">
      <c r="A170" s="231"/>
      <c r="B170" s="232"/>
      <c r="C170" s="233"/>
    </row>
    <row r="171" customFormat="false" ht="14.25" hidden="false" customHeight="true" outlineLevel="0" collapsed="false">
      <c r="A171" s="231"/>
      <c r="B171" s="232"/>
      <c r="C171" s="233"/>
    </row>
    <row r="172" customFormat="false" ht="14.25" hidden="false" customHeight="true" outlineLevel="0" collapsed="false">
      <c r="A172" s="231"/>
      <c r="B172" s="232"/>
      <c r="C172" s="233"/>
    </row>
    <row r="173" customFormat="false" ht="14.25" hidden="false" customHeight="true" outlineLevel="0" collapsed="false">
      <c r="A173" s="231"/>
      <c r="B173" s="232"/>
      <c r="C173" s="233"/>
    </row>
    <row r="174" customFormat="false" ht="14.25" hidden="false" customHeight="true" outlineLevel="0" collapsed="false">
      <c r="A174" s="231"/>
      <c r="B174" s="232"/>
      <c r="C174" s="233"/>
    </row>
    <row r="175" customFormat="false" ht="14.25" hidden="false" customHeight="true" outlineLevel="0" collapsed="false">
      <c r="A175" s="231"/>
      <c r="B175" s="232"/>
      <c r="C175" s="233"/>
    </row>
    <row r="176" customFormat="false" ht="14.25" hidden="false" customHeight="true" outlineLevel="0" collapsed="false">
      <c r="A176" s="231"/>
      <c r="B176" s="232"/>
      <c r="C176" s="233"/>
    </row>
    <row r="177" customFormat="false" ht="14.25" hidden="false" customHeight="true" outlineLevel="0" collapsed="false">
      <c r="A177" s="231"/>
      <c r="B177" s="232"/>
      <c r="C177" s="233"/>
    </row>
    <row r="178" customFormat="false" ht="14.25" hidden="false" customHeight="true" outlineLevel="0" collapsed="false">
      <c r="A178" s="231"/>
      <c r="B178" s="232"/>
      <c r="C178" s="233"/>
    </row>
    <row r="179" customFormat="false" ht="14.25" hidden="false" customHeight="true" outlineLevel="0" collapsed="false">
      <c r="A179" s="231"/>
      <c r="B179" s="232"/>
      <c r="C179" s="233"/>
    </row>
    <row r="180" customFormat="false" ht="14.25" hidden="false" customHeight="true" outlineLevel="0" collapsed="false">
      <c r="A180" s="231"/>
      <c r="B180" s="232"/>
      <c r="C180" s="233"/>
    </row>
    <row r="181" customFormat="false" ht="14.25" hidden="false" customHeight="true" outlineLevel="0" collapsed="false">
      <c r="A181" s="231"/>
      <c r="B181" s="232"/>
      <c r="C181" s="233"/>
    </row>
    <row r="182" customFormat="false" ht="14.25" hidden="false" customHeight="true" outlineLevel="0" collapsed="false">
      <c r="A182" s="231"/>
      <c r="B182" s="232"/>
      <c r="C182" s="233"/>
    </row>
    <row r="183" customFormat="false" ht="14.25" hidden="false" customHeight="true" outlineLevel="0" collapsed="false">
      <c r="A183" s="231"/>
      <c r="B183" s="232"/>
      <c r="C183" s="233"/>
    </row>
    <row r="184" customFormat="false" ht="14.25" hidden="false" customHeight="true" outlineLevel="0" collapsed="false">
      <c r="A184" s="231"/>
      <c r="B184" s="232"/>
      <c r="C184" s="233"/>
    </row>
    <row r="185" customFormat="false" ht="14.25" hidden="false" customHeight="true" outlineLevel="0" collapsed="false">
      <c r="A185" s="231"/>
      <c r="B185" s="232"/>
      <c r="C185" s="233"/>
    </row>
    <row r="186" customFormat="false" ht="14.25" hidden="false" customHeight="true" outlineLevel="0" collapsed="false">
      <c r="A186" s="231"/>
      <c r="B186" s="232"/>
      <c r="C186" s="233"/>
    </row>
    <row r="187" customFormat="false" ht="14.25" hidden="false" customHeight="true" outlineLevel="0" collapsed="false">
      <c r="A187" s="231"/>
      <c r="B187" s="232"/>
      <c r="C187" s="233"/>
    </row>
    <row r="188" customFormat="false" ht="14.25" hidden="false" customHeight="true" outlineLevel="0" collapsed="false">
      <c r="A188" s="231"/>
      <c r="B188" s="232"/>
      <c r="C188" s="233"/>
    </row>
    <row r="189" customFormat="false" ht="14.25" hidden="false" customHeight="true" outlineLevel="0" collapsed="false">
      <c r="A189" s="231"/>
      <c r="B189" s="232"/>
      <c r="C189" s="233"/>
    </row>
    <row r="190" customFormat="false" ht="14.25" hidden="false" customHeight="true" outlineLevel="0" collapsed="false">
      <c r="A190" s="231"/>
      <c r="B190" s="232"/>
      <c r="C190" s="233"/>
    </row>
    <row r="191" customFormat="false" ht="14.25" hidden="false" customHeight="true" outlineLevel="0" collapsed="false">
      <c r="A191" s="231"/>
      <c r="B191" s="232"/>
      <c r="C191" s="233"/>
    </row>
    <row r="192" customFormat="false" ht="14.25" hidden="false" customHeight="true" outlineLevel="0" collapsed="false">
      <c r="A192" s="231"/>
      <c r="B192" s="232"/>
      <c r="C192" s="233"/>
    </row>
    <row r="193" customFormat="false" ht="14.25" hidden="false" customHeight="true" outlineLevel="0" collapsed="false">
      <c r="A193" s="231"/>
      <c r="B193" s="232"/>
      <c r="C193" s="233"/>
    </row>
    <row r="194" customFormat="false" ht="14.25" hidden="false" customHeight="true" outlineLevel="0" collapsed="false">
      <c r="A194" s="231"/>
      <c r="B194" s="232"/>
      <c r="C194" s="233"/>
    </row>
    <row r="195" customFormat="false" ht="14.25" hidden="false" customHeight="true" outlineLevel="0" collapsed="false">
      <c r="A195" s="231"/>
      <c r="B195" s="232"/>
      <c r="C195" s="233"/>
    </row>
    <row r="196" customFormat="false" ht="14.25" hidden="false" customHeight="true" outlineLevel="0" collapsed="false">
      <c r="A196" s="231"/>
      <c r="B196" s="232"/>
      <c r="C196" s="233"/>
    </row>
    <row r="197" customFormat="false" ht="14.25" hidden="false" customHeight="true" outlineLevel="0" collapsed="false">
      <c r="A197" s="231"/>
      <c r="B197" s="232"/>
      <c r="C197" s="233"/>
    </row>
    <row r="198" customFormat="false" ht="14.25" hidden="false" customHeight="true" outlineLevel="0" collapsed="false">
      <c r="A198" s="231"/>
      <c r="B198" s="232"/>
      <c r="C198" s="233"/>
    </row>
    <row r="199" customFormat="false" ht="14.25" hidden="false" customHeight="true" outlineLevel="0" collapsed="false">
      <c r="A199" s="231"/>
      <c r="B199" s="232"/>
      <c r="C199" s="233"/>
    </row>
    <row r="200" customFormat="false" ht="14.25" hidden="false" customHeight="true" outlineLevel="0" collapsed="false">
      <c r="A200" s="231"/>
      <c r="B200" s="232"/>
      <c r="C200" s="233"/>
    </row>
    <row r="201" customFormat="false" ht="14.25" hidden="false" customHeight="true" outlineLevel="0" collapsed="false">
      <c r="A201" s="231"/>
      <c r="B201" s="232"/>
      <c r="C201" s="233"/>
    </row>
    <row r="202" customFormat="false" ht="14.25" hidden="false" customHeight="true" outlineLevel="0" collapsed="false">
      <c r="A202" s="231"/>
      <c r="B202" s="232"/>
      <c r="C202" s="233"/>
    </row>
    <row r="203" customFormat="false" ht="14.25" hidden="false" customHeight="true" outlineLevel="0" collapsed="false">
      <c r="A203" s="231"/>
      <c r="B203" s="232"/>
      <c r="C203" s="233"/>
    </row>
    <row r="204" customFormat="false" ht="14.25" hidden="false" customHeight="true" outlineLevel="0" collapsed="false">
      <c r="A204" s="231"/>
      <c r="B204" s="232"/>
      <c r="C204" s="233"/>
    </row>
    <row r="205" customFormat="false" ht="14.25" hidden="false" customHeight="true" outlineLevel="0" collapsed="false">
      <c r="A205" s="231"/>
      <c r="B205" s="232"/>
      <c r="C205" s="233"/>
    </row>
    <row r="206" customFormat="false" ht="14.25" hidden="false" customHeight="true" outlineLevel="0" collapsed="false">
      <c r="A206" s="231"/>
      <c r="B206" s="232"/>
      <c r="C206" s="233"/>
    </row>
    <row r="207" customFormat="false" ht="14.25" hidden="false" customHeight="true" outlineLevel="0" collapsed="false">
      <c r="A207" s="231"/>
      <c r="B207" s="232"/>
      <c r="C207" s="233"/>
    </row>
    <row r="208" customFormat="false" ht="14.25" hidden="false" customHeight="true" outlineLevel="0" collapsed="false">
      <c r="A208" s="231"/>
      <c r="B208" s="232"/>
      <c r="C208" s="233"/>
    </row>
    <row r="209" customFormat="false" ht="14.25" hidden="false" customHeight="true" outlineLevel="0" collapsed="false">
      <c r="A209" s="231"/>
      <c r="B209" s="232"/>
      <c r="C209" s="233"/>
    </row>
    <row r="210" customFormat="false" ht="14.25" hidden="false" customHeight="true" outlineLevel="0" collapsed="false">
      <c r="A210" s="231"/>
      <c r="B210" s="232"/>
      <c r="C210" s="233"/>
    </row>
    <row r="211" customFormat="false" ht="14.25" hidden="false" customHeight="true" outlineLevel="0" collapsed="false">
      <c r="A211" s="231"/>
      <c r="B211" s="232"/>
      <c r="C211" s="233"/>
    </row>
    <row r="212" customFormat="false" ht="14.25" hidden="false" customHeight="true" outlineLevel="0" collapsed="false">
      <c r="A212" s="231"/>
      <c r="B212" s="232"/>
      <c r="C212" s="233"/>
    </row>
    <row r="213" customFormat="false" ht="14.25" hidden="false" customHeight="true" outlineLevel="0" collapsed="false">
      <c r="A213" s="231"/>
      <c r="B213" s="232"/>
      <c r="C213" s="233"/>
    </row>
    <row r="214" customFormat="false" ht="14.25" hidden="false" customHeight="true" outlineLevel="0" collapsed="false">
      <c r="A214" s="231"/>
      <c r="B214" s="232"/>
      <c r="C214" s="233"/>
    </row>
    <row r="215" customFormat="false" ht="14.25" hidden="false" customHeight="true" outlineLevel="0" collapsed="false">
      <c r="A215" s="231"/>
      <c r="B215" s="232"/>
      <c r="C215" s="233"/>
    </row>
    <row r="216" customFormat="false" ht="14.25" hidden="false" customHeight="true" outlineLevel="0" collapsed="false">
      <c r="A216" s="231"/>
      <c r="B216" s="232"/>
      <c r="C216" s="233"/>
    </row>
    <row r="217" customFormat="false" ht="14.25" hidden="false" customHeight="true" outlineLevel="0" collapsed="false">
      <c r="A217" s="231"/>
      <c r="B217" s="232"/>
      <c r="C217" s="233"/>
    </row>
    <row r="218" customFormat="false" ht="14.25" hidden="false" customHeight="true" outlineLevel="0" collapsed="false">
      <c r="A218" s="231"/>
      <c r="B218" s="232"/>
      <c r="C218" s="233"/>
    </row>
    <row r="219" customFormat="false" ht="14.25" hidden="false" customHeight="true" outlineLevel="0" collapsed="false">
      <c r="A219" s="231"/>
      <c r="B219" s="232"/>
      <c r="C219" s="233"/>
    </row>
    <row r="220" customFormat="false" ht="14.25" hidden="false" customHeight="true" outlineLevel="0" collapsed="false">
      <c r="A220" s="231"/>
      <c r="B220" s="232"/>
      <c r="C220" s="233"/>
    </row>
    <row r="221" customFormat="false" ht="14.25" hidden="false" customHeight="true" outlineLevel="0" collapsed="false">
      <c r="A221" s="231"/>
      <c r="B221" s="232"/>
      <c r="C221" s="233"/>
    </row>
    <row r="222" customFormat="false" ht="14.25" hidden="false" customHeight="true" outlineLevel="0" collapsed="false">
      <c r="A222" s="231"/>
      <c r="B222" s="232"/>
      <c r="C222" s="233"/>
    </row>
    <row r="223" customFormat="false" ht="14.25" hidden="false" customHeight="true" outlineLevel="0" collapsed="false">
      <c r="A223" s="231"/>
      <c r="B223" s="232"/>
      <c r="C223" s="233"/>
    </row>
    <row r="224" customFormat="false" ht="14.25" hidden="false" customHeight="true" outlineLevel="0" collapsed="false">
      <c r="A224" s="231"/>
      <c r="B224" s="232"/>
      <c r="C224" s="233"/>
    </row>
    <row r="225" customFormat="false" ht="14.25" hidden="false" customHeight="true" outlineLevel="0" collapsed="false">
      <c r="A225" s="231"/>
      <c r="B225" s="232"/>
      <c r="C225" s="233"/>
    </row>
    <row r="226" customFormat="false" ht="14.25" hidden="false" customHeight="true" outlineLevel="0" collapsed="false">
      <c r="A226" s="231"/>
      <c r="B226" s="232"/>
      <c r="C226" s="233"/>
    </row>
    <row r="227" customFormat="false" ht="14.25" hidden="false" customHeight="true" outlineLevel="0" collapsed="false">
      <c r="A227" s="231"/>
      <c r="B227" s="232"/>
      <c r="C227" s="233"/>
    </row>
    <row r="228" customFormat="false" ht="14.25" hidden="false" customHeight="true" outlineLevel="0" collapsed="false">
      <c r="A228" s="231"/>
      <c r="B228" s="232"/>
      <c r="C228" s="233"/>
    </row>
    <row r="229" customFormat="false" ht="14.25" hidden="false" customHeight="true" outlineLevel="0" collapsed="false">
      <c r="A229" s="231"/>
      <c r="B229" s="232"/>
      <c r="C229" s="233"/>
    </row>
    <row r="230" customFormat="false" ht="14.25" hidden="false" customHeight="true" outlineLevel="0" collapsed="false">
      <c r="A230" s="231"/>
      <c r="B230" s="232"/>
      <c r="C230" s="233"/>
    </row>
    <row r="231" customFormat="false" ht="14.25" hidden="false" customHeight="true" outlineLevel="0" collapsed="false">
      <c r="A231" s="231"/>
      <c r="B231" s="232"/>
      <c r="C231" s="233"/>
    </row>
    <row r="232" customFormat="false" ht="14.25" hidden="false" customHeight="true" outlineLevel="0" collapsed="false">
      <c r="A232" s="231"/>
      <c r="B232" s="232"/>
      <c r="C232" s="233"/>
    </row>
    <row r="233" customFormat="false" ht="14.25" hidden="false" customHeight="true" outlineLevel="0" collapsed="false">
      <c r="A233" s="231"/>
      <c r="B233" s="232"/>
      <c r="C233" s="233"/>
    </row>
    <row r="234" customFormat="false" ht="14.25" hidden="false" customHeight="true" outlineLevel="0" collapsed="false">
      <c r="A234" s="231"/>
      <c r="B234" s="232"/>
      <c r="C234" s="233"/>
    </row>
    <row r="235" customFormat="false" ht="14.25" hidden="false" customHeight="true" outlineLevel="0" collapsed="false">
      <c r="A235" s="231"/>
      <c r="B235" s="232"/>
      <c r="C235" s="233"/>
    </row>
    <row r="236" customFormat="false" ht="14.25" hidden="false" customHeight="true" outlineLevel="0" collapsed="false">
      <c r="A236" s="231"/>
      <c r="B236" s="232"/>
      <c r="C236" s="233"/>
    </row>
    <row r="237" customFormat="false" ht="14.25" hidden="false" customHeight="true" outlineLevel="0" collapsed="false">
      <c r="A237" s="231"/>
      <c r="B237" s="232"/>
      <c r="C237" s="233"/>
    </row>
    <row r="238" customFormat="false" ht="14.25" hidden="false" customHeight="true" outlineLevel="0" collapsed="false">
      <c r="A238" s="231"/>
      <c r="B238" s="232"/>
      <c r="C238" s="233"/>
    </row>
    <row r="239" customFormat="false" ht="14.25" hidden="false" customHeight="true" outlineLevel="0" collapsed="false">
      <c r="A239" s="231"/>
      <c r="B239" s="232"/>
      <c r="C239" s="233"/>
    </row>
    <row r="240" customFormat="false" ht="14.25" hidden="false" customHeight="true" outlineLevel="0" collapsed="false">
      <c r="A240" s="231"/>
      <c r="B240" s="232"/>
      <c r="C240" s="233"/>
    </row>
    <row r="241" customFormat="false" ht="14.25" hidden="false" customHeight="true" outlineLevel="0" collapsed="false">
      <c r="A241" s="231"/>
      <c r="B241" s="232"/>
      <c r="C241" s="233"/>
    </row>
    <row r="242" customFormat="false" ht="14.25" hidden="false" customHeight="true" outlineLevel="0" collapsed="false">
      <c r="A242" s="231"/>
      <c r="B242" s="232"/>
      <c r="C242" s="233"/>
    </row>
    <row r="243" customFormat="false" ht="14.25" hidden="false" customHeight="true" outlineLevel="0" collapsed="false">
      <c r="A243" s="231"/>
      <c r="B243" s="232"/>
      <c r="C243" s="233"/>
    </row>
    <row r="244" customFormat="false" ht="14.25" hidden="false" customHeight="true" outlineLevel="0" collapsed="false">
      <c r="A244" s="231"/>
      <c r="B244" s="232"/>
      <c r="C244" s="233"/>
    </row>
    <row r="245" customFormat="false" ht="14.25" hidden="false" customHeight="true" outlineLevel="0" collapsed="false">
      <c r="A245" s="231"/>
      <c r="B245" s="232"/>
      <c r="C245" s="233"/>
    </row>
    <row r="246" customFormat="false" ht="14.25" hidden="false" customHeight="true" outlineLevel="0" collapsed="false">
      <c r="A246" s="231"/>
      <c r="B246" s="232"/>
      <c r="C246" s="233"/>
    </row>
    <row r="247" customFormat="false" ht="14.25" hidden="false" customHeight="true" outlineLevel="0" collapsed="false">
      <c r="A247" s="231"/>
      <c r="B247" s="232"/>
      <c r="C247" s="233"/>
    </row>
    <row r="248" customFormat="false" ht="14.25" hidden="false" customHeight="true" outlineLevel="0" collapsed="false">
      <c r="A248" s="231"/>
      <c r="B248" s="232"/>
      <c r="C248" s="233"/>
    </row>
    <row r="249" customFormat="false" ht="14.25" hidden="false" customHeight="true" outlineLevel="0" collapsed="false">
      <c r="A249" s="231"/>
      <c r="B249" s="232"/>
      <c r="C249" s="233"/>
    </row>
    <row r="250" customFormat="false" ht="14.25" hidden="false" customHeight="true" outlineLevel="0" collapsed="false">
      <c r="A250" s="231"/>
      <c r="B250" s="232"/>
      <c r="C250" s="233"/>
    </row>
    <row r="251" customFormat="false" ht="14.25" hidden="false" customHeight="true" outlineLevel="0" collapsed="false">
      <c r="A251" s="231"/>
      <c r="B251" s="232"/>
      <c r="C251" s="233"/>
    </row>
    <row r="252" customFormat="false" ht="14.25" hidden="false" customHeight="true" outlineLevel="0" collapsed="false">
      <c r="A252" s="231"/>
      <c r="B252" s="232"/>
      <c r="C252" s="233"/>
    </row>
    <row r="253" customFormat="false" ht="14.25" hidden="false" customHeight="true" outlineLevel="0" collapsed="false">
      <c r="A253" s="231"/>
      <c r="B253" s="232"/>
      <c r="C253" s="233"/>
    </row>
    <row r="254" customFormat="false" ht="14.25" hidden="false" customHeight="true" outlineLevel="0" collapsed="false">
      <c r="A254" s="231"/>
      <c r="B254" s="232"/>
      <c r="C254" s="233"/>
    </row>
    <row r="255" customFormat="false" ht="14.25" hidden="false" customHeight="true" outlineLevel="0" collapsed="false">
      <c r="A255" s="231"/>
      <c r="B255" s="232"/>
      <c r="C255" s="233"/>
    </row>
    <row r="256" customFormat="false" ht="14.25" hidden="false" customHeight="true" outlineLevel="0" collapsed="false">
      <c r="A256" s="231"/>
      <c r="B256" s="232"/>
      <c r="C256" s="233"/>
    </row>
    <row r="257" customFormat="false" ht="14.25" hidden="false" customHeight="true" outlineLevel="0" collapsed="false">
      <c r="A257" s="231"/>
      <c r="B257" s="232"/>
      <c r="C257" s="233"/>
    </row>
    <row r="258" customFormat="false" ht="14.25" hidden="false" customHeight="true" outlineLevel="0" collapsed="false">
      <c r="A258" s="231"/>
      <c r="B258" s="232"/>
      <c r="C258" s="233"/>
    </row>
    <row r="259" customFormat="false" ht="14.25" hidden="false" customHeight="true" outlineLevel="0" collapsed="false">
      <c r="A259" s="231"/>
      <c r="B259" s="232"/>
      <c r="C259" s="233"/>
    </row>
    <row r="260" customFormat="false" ht="14.25" hidden="false" customHeight="true" outlineLevel="0" collapsed="false">
      <c r="A260" s="231"/>
      <c r="B260" s="232"/>
      <c r="C260" s="233"/>
    </row>
    <row r="261" customFormat="false" ht="14.25" hidden="false" customHeight="true" outlineLevel="0" collapsed="false">
      <c r="A261" s="231"/>
      <c r="B261" s="232"/>
      <c r="C261" s="233"/>
    </row>
    <row r="262" customFormat="false" ht="14.25" hidden="false" customHeight="true" outlineLevel="0" collapsed="false">
      <c r="A262" s="231"/>
      <c r="B262" s="232"/>
      <c r="C262" s="233"/>
    </row>
    <row r="263" customFormat="false" ht="14.25" hidden="false" customHeight="true" outlineLevel="0" collapsed="false">
      <c r="A263" s="231"/>
      <c r="B263" s="232"/>
      <c r="C263" s="233"/>
    </row>
    <row r="264" customFormat="false" ht="14.25" hidden="false" customHeight="true" outlineLevel="0" collapsed="false">
      <c r="A264" s="231"/>
      <c r="B264" s="232"/>
      <c r="C264" s="233"/>
    </row>
    <row r="265" customFormat="false" ht="14.25" hidden="false" customHeight="true" outlineLevel="0" collapsed="false">
      <c r="A265" s="231"/>
      <c r="B265" s="232"/>
      <c r="C265" s="233"/>
    </row>
    <row r="266" customFormat="false" ht="14.25" hidden="false" customHeight="true" outlineLevel="0" collapsed="false">
      <c r="A266" s="231"/>
      <c r="B266" s="232"/>
      <c r="C266" s="233"/>
    </row>
    <row r="267" customFormat="false" ht="14.25" hidden="false" customHeight="true" outlineLevel="0" collapsed="false">
      <c r="A267" s="231"/>
      <c r="B267" s="232"/>
      <c r="C267" s="233"/>
    </row>
    <row r="268" customFormat="false" ht="14.25" hidden="false" customHeight="true" outlineLevel="0" collapsed="false">
      <c r="A268" s="231"/>
      <c r="B268" s="232"/>
      <c r="C268" s="233"/>
    </row>
    <row r="269" customFormat="false" ht="14.25" hidden="false" customHeight="true" outlineLevel="0" collapsed="false">
      <c r="A269" s="231"/>
      <c r="B269" s="232"/>
      <c r="C269" s="233"/>
    </row>
    <row r="270" customFormat="false" ht="14.25" hidden="false" customHeight="true" outlineLevel="0" collapsed="false">
      <c r="A270" s="231"/>
      <c r="B270" s="232"/>
      <c r="C270" s="233"/>
    </row>
    <row r="271" customFormat="false" ht="14.25" hidden="false" customHeight="true" outlineLevel="0" collapsed="false">
      <c r="A271" s="231"/>
      <c r="B271" s="232"/>
      <c r="C271" s="233"/>
    </row>
    <row r="272" customFormat="false" ht="14.25" hidden="false" customHeight="true" outlineLevel="0" collapsed="false">
      <c r="A272" s="231"/>
      <c r="B272" s="232"/>
      <c r="C272" s="233"/>
    </row>
    <row r="273" customFormat="false" ht="14.25" hidden="false" customHeight="true" outlineLevel="0" collapsed="false">
      <c r="A273" s="231"/>
      <c r="B273" s="232"/>
      <c r="C273" s="233"/>
    </row>
    <row r="274" customFormat="false" ht="14.25" hidden="false" customHeight="true" outlineLevel="0" collapsed="false">
      <c r="A274" s="231"/>
      <c r="B274" s="232"/>
      <c r="C274" s="233"/>
    </row>
    <row r="275" customFormat="false" ht="14.25" hidden="false" customHeight="true" outlineLevel="0" collapsed="false">
      <c r="A275" s="231"/>
      <c r="B275" s="232"/>
      <c r="C275" s="233"/>
    </row>
    <row r="276" customFormat="false" ht="14.25" hidden="false" customHeight="true" outlineLevel="0" collapsed="false">
      <c r="A276" s="231"/>
      <c r="B276" s="232"/>
      <c r="C276" s="233"/>
    </row>
    <row r="277" customFormat="false" ht="14.25" hidden="false" customHeight="true" outlineLevel="0" collapsed="false">
      <c r="A277" s="231"/>
      <c r="B277" s="232"/>
      <c r="C277" s="233"/>
    </row>
    <row r="278" customFormat="false" ht="14.25" hidden="false" customHeight="true" outlineLevel="0" collapsed="false">
      <c r="A278" s="231"/>
      <c r="B278" s="232"/>
      <c r="C278" s="233"/>
    </row>
    <row r="279" customFormat="false" ht="14.25" hidden="false" customHeight="true" outlineLevel="0" collapsed="false">
      <c r="A279" s="231"/>
      <c r="B279" s="232"/>
      <c r="C279" s="233"/>
    </row>
    <row r="280" customFormat="false" ht="14.25" hidden="false" customHeight="true" outlineLevel="0" collapsed="false">
      <c r="A280" s="231"/>
      <c r="B280" s="232"/>
      <c r="C280" s="233"/>
    </row>
    <row r="281" customFormat="false" ht="14.25" hidden="false" customHeight="true" outlineLevel="0" collapsed="false">
      <c r="A281" s="231"/>
      <c r="B281" s="232"/>
      <c r="C281" s="233"/>
    </row>
    <row r="282" customFormat="false" ht="14.25" hidden="false" customHeight="true" outlineLevel="0" collapsed="false">
      <c r="A282" s="231"/>
      <c r="B282" s="232"/>
      <c r="C282" s="233"/>
    </row>
    <row r="283" customFormat="false" ht="14.25" hidden="false" customHeight="true" outlineLevel="0" collapsed="false">
      <c r="A283" s="231"/>
      <c r="B283" s="232"/>
      <c r="C283" s="233"/>
    </row>
    <row r="284" customFormat="false" ht="14.25" hidden="false" customHeight="true" outlineLevel="0" collapsed="false">
      <c r="A284" s="231"/>
      <c r="B284" s="232"/>
      <c r="C284" s="233"/>
    </row>
    <row r="285" customFormat="false" ht="14.25" hidden="false" customHeight="true" outlineLevel="0" collapsed="false">
      <c r="A285" s="231"/>
      <c r="B285" s="232"/>
      <c r="C285" s="233"/>
    </row>
    <row r="286" customFormat="false" ht="14.25" hidden="false" customHeight="true" outlineLevel="0" collapsed="false">
      <c r="A286" s="231"/>
      <c r="B286" s="232"/>
      <c r="C286" s="233"/>
    </row>
    <row r="287" customFormat="false" ht="14.25" hidden="false" customHeight="true" outlineLevel="0" collapsed="false">
      <c r="A287" s="231"/>
      <c r="B287" s="232"/>
      <c r="C287" s="233"/>
    </row>
    <row r="288" customFormat="false" ht="14.25" hidden="false" customHeight="true" outlineLevel="0" collapsed="false">
      <c r="A288" s="231"/>
      <c r="B288" s="232"/>
      <c r="C288" s="233"/>
    </row>
    <row r="289" customFormat="false" ht="14.25" hidden="false" customHeight="true" outlineLevel="0" collapsed="false">
      <c r="A289" s="231"/>
      <c r="B289" s="232"/>
      <c r="C289" s="233"/>
    </row>
    <row r="290" customFormat="false" ht="14.25" hidden="false" customHeight="true" outlineLevel="0" collapsed="false">
      <c r="A290" s="231"/>
      <c r="B290" s="232"/>
      <c r="C290" s="233"/>
    </row>
    <row r="291" customFormat="false" ht="14.25" hidden="false" customHeight="true" outlineLevel="0" collapsed="false">
      <c r="A291" s="231"/>
      <c r="B291" s="232"/>
      <c r="C291" s="233"/>
    </row>
    <row r="292" customFormat="false" ht="14.25" hidden="false" customHeight="true" outlineLevel="0" collapsed="false">
      <c r="A292" s="231"/>
      <c r="B292" s="232"/>
      <c r="C292" s="233"/>
    </row>
    <row r="293" customFormat="false" ht="14.25" hidden="false" customHeight="true" outlineLevel="0" collapsed="false">
      <c r="A293" s="231"/>
      <c r="B293" s="232"/>
      <c r="C293" s="233"/>
    </row>
    <row r="294" customFormat="false" ht="14.25" hidden="false" customHeight="true" outlineLevel="0" collapsed="false">
      <c r="A294" s="231"/>
      <c r="B294" s="232"/>
      <c r="C294" s="233"/>
    </row>
    <row r="295" customFormat="false" ht="14.25" hidden="false" customHeight="true" outlineLevel="0" collapsed="false">
      <c r="A295" s="231"/>
      <c r="B295" s="232"/>
      <c r="C295" s="233"/>
    </row>
    <row r="296" customFormat="false" ht="14.25" hidden="false" customHeight="true" outlineLevel="0" collapsed="false">
      <c r="A296" s="231"/>
      <c r="B296" s="232"/>
      <c r="C296" s="233"/>
    </row>
    <row r="297" customFormat="false" ht="14.25" hidden="false" customHeight="true" outlineLevel="0" collapsed="false">
      <c r="A297" s="231"/>
      <c r="B297" s="232"/>
      <c r="C297" s="233"/>
    </row>
    <row r="298" customFormat="false" ht="14.25" hidden="false" customHeight="true" outlineLevel="0" collapsed="false">
      <c r="A298" s="231"/>
      <c r="B298" s="232"/>
      <c r="C298" s="233"/>
    </row>
    <row r="299" customFormat="false" ht="14.25" hidden="false" customHeight="true" outlineLevel="0" collapsed="false">
      <c r="A299" s="231"/>
      <c r="B299" s="232"/>
      <c r="C299" s="233"/>
    </row>
    <row r="300" customFormat="false" ht="14.25" hidden="false" customHeight="true" outlineLevel="0" collapsed="false">
      <c r="A300" s="231"/>
      <c r="B300" s="232"/>
      <c r="C300" s="233"/>
    </row>
    <row r="301" customFormat="false" ht="14.25" hidden="false" customHeight="true" outlineLevel="0" collapsed="false">
      <c r="A301" s="231"/>
      <c r="B301" s="232"/>
      <c r="C301" s="233"/>
    </row>
    <row r="302" customFormat="false" ht="14.25" hidden="false" customHeight="true" outlineLevel="0" collapsed="false">
      <c r="A302" s="231"/>
      <c r="B302" s="232"/>
      <c r="C302" s="233"/>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101" activeCellId="0" sqref="C101"/>
    </sheetView>
  </sheetViews>
  <sheetFormatPr defaultColWidth="8.6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5.51"/>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234" t="s">
        <v>865</v>
      </c>
      <c r="B1" s="234"/>
      <c r="C1" s="234"/>
      <c r="D1" s="234"/>
      <c r="E1" s="234"/>
      <c r="F1" s="234"/>
    </row>
    <row r="2" customFormat="false" ht="15" hidden="false" customHeight="true" outlineLevel="0" collapsed="false">
      <c r="A2" s="159" t="s">
        <v>866</v>
      </c>
      <c r="C2" s="235" t="n">
        <f aca="false">COUNTIF(F5:F500,"OVERDUE")</f>
        <v>7</v>
      </c>
    </row>
    <row r="4" customFormat="false" ht="27.75" hidden="false" customHeight="true" outlineLevel="0" collapsed="false">
      <c r="A4" s="161" t="s">
        <v>867</v>
      </c>
      <c r="B4" s="161" t="s">
        <v>868</v>
      </c>
      <c r="C4" s="161" t="s">
        <v>869</v>
      </c>
      <c r="D4" s="161" t="s">
        <v>870</v>
      </c>
      <c r="E4" s="161" t="s">
        <v>871</v>
      </c>
      <c r="F4" s="161" t="s">
        <v>480</v>
      </c>
    </row>
    <row r="5" customFormat="false" ht="15" hidden="false" customHeight="true" outlineLevel="0" collapsed="false">
      <c r="A5" s="165" t="s">
        <v>661</v>
      </c>
      <c r="B5" s="236" t="s">
        <v>872</v>
      </c>
      <c r="C5" s="165" t="s">
        <v>222</v>
      </c>
      <c r="D5" s="237" t="n">
        <v>46299</v>
      </c>
      <c r="E5" s="238" t="n">
        <f aca="false">IFERROR(INDEX(Journal!$A:$A,MATCH($A5,Journal!$B:$B,0)),"")</f>
        <v>46295</v>
      </c>
      <c r="F5" s="165" t="str">
        <f aca="true">IF(C5="Y","Done",IF(AND(E5&lt;&gt;"",TODAY()&gt;E5),"OVERDUE","Pending"))</f>
        <v>Done</v>
      </c>
    </row>
    <row r="6" customFormat="false" ht="15" hidden="false" customHeight="true" outlineLevel="0" collapsed="false">
      <c r="A6" s="165" t="s">
        <v>661</v>
      </c>
      <c r="B6" s="236" t="s">
        <v>873</v>
      </c>
      <c r="C6" s="165"/>
      <c r="D6" s="165"/>
      <c r="E6" s="238" t="n">
        <f aca="false">IFERROR(INDEX(Journal!$A:$A,MATCH($A6,Journal!$B:$B,0)),"")</f>
        <v>46295</v>
      </c>
      <c r="F6" s="165" t="str">
        <f aca="true">IF(C6="Y","Done",IF(AND(E6&lt;&gt;"",TODAY()&gt;E6),"OVERDUE","Pending"))</f>
        <v>OVERDUE</v>
      </c>
    </row>
    <row r="7" customFormat="false" ht="15" hidden="false" customHeight="true" outlineLevel="0" collapsed="false">
      <c r="A7" s="165" t="s">
        <v>661</v>
      </c>
      <c r="B7" s="236" t="s">
        <v>874</v>
      </c>
      <c r="C7" s="165"/>
      <c r="D7" s="165"/>
      <c r="E7" s="238" t="n">
        <f aca="false">IFERROR(INDEX(Journal!$A:$A,MATCH($A7,Journal!$B:$B,0)),"")</f>
        <v>46295</v>
      </c>
      <c r="F7" s="165" t="str">
        <f aca="true">IF(C7="Y","Done",IF(AND(E7&lt;&gt;"",TODAY()&gt;E7),"OVERDUE","Pending"))</f>
        <v>OVERDUE</v>
      </c>
    </row>
    <row r="8" customFormat="false" ht="34.5" hidden="false" customHeight="true" outlineLevel="0" collapsed="false">
      <c r="A8" s="165" t="s">
        <v>661</v>
      </c>
      <c r="B8" s="236" t="s">
        <v>875</v>
      </c>
      <c r="C8" s="165"/>
      <c r="D8" s="165"/>
      <c r="E8" s="238" t="n">
        <f aca="false">IFERROR(INDEX(Journal!$A:$A,MATCH($A8,Journal!$B:$B,0)),"")</f>
        <v>46295</v>
      </c>
      <c r="F8" s="165" t="str">
        <f aca="true">IF(C8="Y","Done",IF(AND(E8&lt;&gt;"",TODAY()&gt;E8),"OVERDUE","Pending"))</f>
        <v>OVERDUE</v>
      </c>
    </row>
    <row r="9" customFormat="false" ht="45.75" hidden="false" customHeight="true" outlineLevel="0" collapsed="false">
      <c r="A9" s="165" t="s">
        <v>661</v>
      </c>
      <c r="B9" s="236" t="s">
        <v>876</v>
      </c>
      <c r="C9" s="165"/>
      <c r="D9" s="165"/>
      <c r="E9" s="238" t="n">
        <f aca="false">IFERROR(INDEX(Journal!$A:$A,MATCH($A9,Journal!$B:$B,0)),"")</f>
        <v>46295</v>
      </c>
      <c r="F9" s="165" t="str">
        <f aca="true">IF(C9="Y","Done",IF(AND(E9&lt;&gt;"",TODAY()&gt;E9),"OVERDUE","Pending"))</f>
        <v>OVERDUE</v>
      </c>
    </row>
    <row r="10" customFormat="false" ht="15" hidden="false" customHeight="true" outlineLevel="0" collapsed="false">
      <c r="A10" s="165" t="s">
        <v>661</v>
      </c>
      <c r="B10" s="236" t="s">
        <v>877</v>
      </c>
      <c r="C10" s="165"/>
      <c r="D10" s="165"/>
      <c r="E10" s="238" t="n">
        <f aca="false">IFERROR(INDEX(Journal!$A:$A,MATCH($A10,Journal!$B:$B,0)),"")</f>
        <v>46295</v>
      </c>
      <c r="F10" s="165" t="str">
        <f aca="true">IF(C10="Y","Done",IF(AND(E10&lt;&gt;"",TODAY()&gt;E10),"OVERDUE","Pending"))</f>
        <v>OVERDUE</v>
      </c>
    </row>
    <row r="11" customFormat="false" ht="15" hidden="false" customHeight="true" outlineLevel="0" collapsed="false">
      <c r="A11" s="165" t="s">
        <v>661</v>
      </c>
      <c r="B11" s="236" t="s">
        <v>878</v>
      </c>
      <c r="C11" s="165"/>
      <c r="D11" s="165"/>
      <c r="E11" s="238" t="n">
        <f aca="false">IFERROR(INDEX(Journal!$A:$A,MATCH($A11,Journal!$B:$B,0)),"")</f>
        <v>46295</v>
      </c>
      <c r="F11" s="165" t="str">
        <f aca="true">IF(C11="Y","Done",IF(AND(E11&lt;&gt;"",TODAY()&gt;E11),"OVERDUE","Pending"))</f>
        <v>OVERDUE</v>
      </c>
    </row>
    <row r="12" customFormat="false" ht="15" hidden="false" customHeight="true" outlineLevel="0" collapsed="false">
      <c r="A12" s="165" t="s">
        <v>661</v>
      </c>
      <c r="B12" s="236" t="s">
        <v>879</v>
      </c>
      <c r="C12" s="165"/>
      <c r="D12" s="165"/>
      <c r="E12" s="238" t="n">
        <f aca="false">IFERROR(INDEX(Journal!$A:$A,MATCH($A12,Journal!$B:$B,0)),"")</f>
        <v>46295</v>
      </c>
      <c r="F12" s="165" t="str">
        <f aca="true">IF(C12="Y","Done",IF(AND(E12&lt;&gt;"",TODAY()&gt;E12),"OVERDUE","Pending"))</f>
        <v>OVERDUE</v>
      </c>
    </row>
    <row r="13" customFormat="false" ht="23.25" hidden="false" customHeight="true" outlineLevel="0" collapsed="false">
      <c r="A13" s="165" t="s">
        <v>665</v>
      </c>
      <c r="B13" s="236" t="s">
        <v>880</v>
      </c>
      <c r="C13" s="165"/>
      <c r="D13" s="165"/>
      <c r="E13" s="238" t="n">
        <f aca="false">IFERROR(INDEX(Journal!$A:$A,MATCH($A13,Journal!$B:$B,0)),"")</f>
        <v>46320</v>
      </c>
      <c r="F13" s="165" t="str">
        <f aca="true">IF(C13="Y","Done",IF(AND(E13&lt;&gt;"",TODAY()&gt;E13),"OVERDUE","Pending"))</f>
        <v>Pending</v>
      </c>
    </row>
    <row r="14" customFormat="false" ht="15" hidden="false" customHeight="true" outlineLevel="0" collapsed="false">
      <c r="A14" s="165" t="s">
        <v>665</v>
      </c>
      <c r="B14" s="236" t="s">
        <v>881</v>
      </c>
      <c r="C14" s="165"/>
      <c r="D14" s="165"/>
      <c r="E14" s="238" t="n">
        <f aca="false">IFERROR(INDEX(Journal!$A:$A,MATCH($A14,Journal!$B:$B,0)),"")</f>
        <v>46320</v>
      </c>
      <c r="F14" s="165" t="str">
        <f aca="true">IF(C14="Y","Done",IF(AND(E14&lt;&gt;"",TODAY()&gt;E14),"OVERDUE","Pending"))</f>
        <v>Pending</v>
      </c>
    </row>
    <row r="15" customFormat="false" ht="23.25" hidden="false" customHeight="true" outlineLevel="0" collapsed="false">
      <c r="A15" s="165" t="s">
        <v>665</v>
      </c>
      <c r="B15" s="236" t="s">
        <v>882</v>
      </c>
      <c r="C15" s="165"/>
      <c r="D15" s="165"/>
      <c r="E15" s="238" t="n">
        <f aca="false">IFERROR(INDEX(Journal!$A:$A,MATCH($A15,Journal!$B:$B,0)),"")</f>
        <v>46320</v>
      </c>
      <c r="F15" s="165" t="str">
        <f aca="true">IF(C15="Y","Done",IF(AND(E15&lt;&gt;"",TODAY()&gt;E15),"OVERDUE","Pending"))</f>
        <v>Pending</v>
      </c>
    </row>
    <row r="16" customFormat="false" ht="34.5" hidden="false" customHeight="true" outlineLevel="0" collapsed="false">
      <c r="A16" s="165" t="s">
        <v>665</v>
      </c>
      <c r="B16" s="236" t="s">
        <v>875</v>
      </c>
      <c r="C16" s="165"/>
      <c r="D16" s="165"/>
      <c r="E16" s="238" t="n">
        <f aca="false">IFERROR(INDEX(Journal!$A:$A,MATCH($A16,Journal!$B:$B,0)),"")</f>
        <v>46320</v>
      </c>
      <c r="F16" s="165" t="str">
        <f aca="true">IF(C16="Y","Done",IF(AND(E16&lt;&gt;"",TODAY()&gt;E16),"OVERDUE","Pending"))</f>
        <v>Pending</v>
      </c>
    </row>
    <row r="17" customFormat="false" ht="45.75" hidden="false" customHeight="true" outlineLevel="0" collapsed="false">
      <c r="A17" s="165" t="s">
        <v>665</v>
      </c>
      <c r="B17" s="236" t="s">
        <v>883</v>
      </c>
      <c r="C17" s="165"/>
      <c r="D17" s="165"/>
      <c r="E17" s="238" t="n">
        <f aca="false">IFERROR(INDEX(Journal!$A:$A,MATCH($A17,Journal!$B:$B,0)),"")</f>
        <v>46320</v>
      </c>
      <c r="F17" s="165" t="str">
        <f aca="true">IF(C17="Y","Done",IF(AND(E17&lt;&gt;"",TODAY()&gt;E17),"OVERDUE","Pending"))</f>
        <v>Pending</v>
      </c>
    </row>
    <row r="18" customFormat="false" ht="15" hidden="false" customHeight="true" outlineLevel="0" collapsed="false">
      <c r="A18" s="165" t="s">
        <v>665</v>
      </c>
      <c r="B18" s="236" t="s">
        <v>877</v>
      </c>
      <c r="C18" s="165"/>
      <c r="D18" s="165"/>
      <c r="E18" s="238" t="n">
        <f aca="false">IFERROR(INDEX(Journal!$A:$A,MATCH($A18,Journal!$B:$B,0)),"")</f>
        <v>46320</v>
      </c>
      <c r="F18" s="165" t="str">
        <f aca="true">IF(C18="Y","Done",IF(AND(E18&lt;&gt;"",TODAY()&gt;E18),"OVERDUE","Pending"))</f>
        <v>Pending</v>
      </c>
    </row>
    <row r="19" customFormat="false" ht="15" hidden="false" customHeight="true" outlineLevel="0" collapsed="false">
      <c r="A19" s="165" t="s">
        <v>665</v>
      </c>
      <c r="B19" s="236" t="s">
        <v>878</v>
      </c>
      <c r="C19" s="165"/>
      <c r="D19" s="165"/>
      <c r="E19" s="238" t="n">
        <f aca="false">IFERROR(INDEX(Journal!$A:$A,MATCH($A19,Journal!$B:$B,0)),"")</f>
        <v>46320</v>
      </c>
      <c r="F19" s="165" t="str">
        <f aca="true">IF(C19="Y","Done",IF(AND(E19&lt;&gt;"",TODAY()&gt;E19),"OVERDUE","Pending"))</f>
        <v>Pending</v>
      </c>
    </row>
    <row r="20" customFormat="false" ht="15" hidden="false" customHeight="true" outlineLevel="0" collapsed="false">
      <c r="A20" s="165" t="s">
        <v>665</v>
      </c>
      <c r="B20" s="236" t="s">
        <v>879</v>
      </c>
      <c r="C20" s="165"/>
      <c r="D20" s="165"/>
      <c r="E20" s="238" t="n">
        <f aca="false">IFERROR(INDEX(Journal!$A:$A,MATCH($A20,Journal!$B:$B,0)),"")</f>
        <v>46320</v>
      </c>
      <c r="F20" s="165" t="str">
        <f aca="true">IF(C20="Y","Done",IF(AND(E20&lt;&gt;"",TODAY()&gt;E20),"OVERDUE","Pending"))</f>
        <v>Pending</v>
      </c>
    </row>
    <row r="21" customFormat="false" ht="15" hidden="false" customHeight="true" outlineLevel="0" collapsed="false">
      <c r="A21" s="165" t="s">
        <v>669</v>
      </c>
      <c r="B21" s="236" t="s">
        <v>872</v>
      </c>
      <c r="C21" s="165"/>
      <c r="D21" s="165"/>
      <c r="E21" s="238" t="n">
        <f aca="false">IFERROR(INDEX(Journal!$A:$A,MATCH($A21,Journal!$B:$B,0)),"")</f>
        <v>46387</v>
      </c>
      <c r="F21" s="165" t="str">
        <f aca="true">IF(C21="Y","Done",IF(AND(E21&lt;&gt;"",TODAY()&gt;E21),"OVERDUE","Pending"))</f>
        <v>Pending</v>
      </c>
    </row>
    <row r="22" customFormat="false" ht="15" hidden="false" customHeight="true" outlineLevel="0" collapsed="false">
      <c r="A22" s="165" t="s">
        <v>669</v>
      </c>
      <c r="B22" s="236" t="s">
        <v>873</v>
      </c>
      <c r="C22" s="165"/>
      <c r="D22" s="165"/>
      <c r="E22" s="238" t="n">
        <f aca="false">IFERROR(INDEX(Journal!$A:$A,MATCH($A22,Journal!$B:$B,0)),"")</f>
        <v>46387</v>
      </c>
      <c r="F22" s="165" t="str">
        <f aca="true">IF(C22="Y","Done",IF(AND(E22&lt;&gt;"",TODAY()&gt;E22),"OVERDUE","Pending"))</f>
        <v>Pending</v>
      </c>
    </row>
    <row r="23" customFormat="false" ht="15" hidden="false" customHeight="true" outlineLevel="0" collapsed="false">
      <c r="A23" s="165" t="s">
        <v>669</v>
      </c>
      <c r="B23" s="236" t="s">
        <v>874</v>
      </c>
      <c r="C23" s="165"/>
      <c r="D23" s="165"/>
      <c r="E23" s="238" t="n">
        <f aca="false">IFERROR(INDEX(Journal!$A:$A,MATCH($A23,Journal!$B:$B,0)),"")</f>
        <v>46387</v>
      </c>
      <c r="F23" s="165" t="str">
        <f aca="true">IF(C23="Y","Done",IF(AND(E23&lt;&gt;"",TODAY()&gt;E23),"OVERDUE","Pending"))</f>
        <v>Pending</v>
      </c>
    </row>
    <row r="24" customFormat="false" ht="34.5" hidden="false" customHeight="true" outlineLevel="0" collapsed="false">
      <c r="A24" s="165" t="s">
        <v>669</v>
      </c>
      <c r="B24" s="236" t="s">
        <v>875</v>
      </c>
      <c r="C24" s="165"/>
      <c r="D24" s="165"/>
      <c r="E24" s="238" t="n">
        <f aca="false">IFERROR(INDEX(Journal!$A:$A,MATCH($A24,Journal!$B:$B,0)),"")</f>
        <v>46387</v>
      </c>
      <c r="F24" s="165" t="str">
        <f aca="true">IF(C24="Y","Done",IF(AND(E24&lt;&gt;"",TODAY()&gt;E24),"OVERDUE","Pending"))</f>
        <v>Pending</v>
      </c>
    </row>
    <row r="25" customFormat="false" ht="45.75" hidden="false" customHeight="true" outlineLevel="0" collapsed="false">
      <c r="A25" s="165" t="s">
        <v>669</v>
      </c>
      <c r="B25" s="236" t="s">
        <v>876</v>
      </c>
      <c r="C25" s="165"/>
      <c r="D25" s="165"/>
      <c r="E25" s="238" t="n">
        <f aca="false">IFERROR(INDEX(Journal!$A:$A,MATCH($A25,Journal!$B:$B,0)),"")</f>
        <v>46387</v>
      </c>
      <c r="F25" s="165" t="str">
        <f aca="true">IF(C25="Y","Done",IF(AND(E25&lt;&gt;"",TODAY()&gt;E25),"OVERDUE","Pending"))</f>
        <v>Pending</v>
      </c>
    </row>
    <row r="26" customFormat="false" ht="15" hidden="false" customHeight="true" outlineLevel="0" collapsed="false">
      <c r="A26" s="165" t="s">
        <v>669</v>
      </c>
      <c r="B26" s="236" t="s">
        <v>877</v>
      </c>
      <c r="C26" s="165"/>
      <c r="D26" s="165"/>
      <c r="E26" s="238" t="n">
        <f aca="false">IFERROR(INDEX(Journal!$A:$A,MATCH($A26,Journal!$B:$B,0)),"")</f>
        <v>46387</v>
      </c>
      <c r="F26" s="165" t="str">
        <f aca="true">IF(C26="Y","Done",IF(AND(E26&lt;&gt;"",TODAY()&gt;E26),"OVERDUE","Pending"))</f>
        <v>Pending</v>
      </c>
    </row>
    <row r="27" customFormat="false" ht="15" hidden="false" customHeight="true" outlineLevel="0" collapsed="false">
      <c r="A27" s="165" t="s">
        <v>669</v>
      </c>
      <c r="B27" s="236" t="s">
        <v>878</v>
      </c>
      <c r="C27" s="165"/>
      <c r="D27" s="165"/>
      <c r="E27" s="238" t="n">
        <f aca="false">IFERROR(INDEX(Journal!$A:$A,MATCH($A27,Journal!$B:$B,0)),"")</f>
        <v>46387</v>
      </c>
      <c r="F27" s="165" t="str">
        <f aca="true">IF(C27="Y","Done",IF(AND(E27&lt;&gt;"",TODAY()&gt;E27),"OVERDUE","Pending"))</f>
        <v>Pending</v>
      </c>
    </row>
    <row r="28" customFormat="false" ht="15" hidden="false" customHeight="true" outlineLevel="0" collapsed="false">
      <c r="A28" s="165" t="s">
        <v>669</v>
      </c>
      <c r="B28" s="236" t="s">
        <v>879</v>
      </c>
      <c r="C28" s="165"/>
      <c r="D28" s="165"/>
      <c r="E28" s="238" t="n">
        <f aca="false">IFERROR(INDEX(Journal!$A:$A,MATCH($A28,Journal!$B:$B,0)),"")</f>
        <v>46387</v>
      </c>
      <c r="F28" s="165" t="str">
        <f aca="true">IF(C28="Y","Done",IF(AND(E28&lt;&gt;"",TODAY()&gt;E28),"OVERDUE","Pending"))</f>
        <v>Pending</v>
      </c>
    </row>
    <row r="29" customFormat="false" ht="15" hidden="false" customHeight="true" outlineLevel="0" collapsed="false">
      <c r="A29" s="165" t="s">
        <v>671</v>
      </c>
      <c r="B29" s="236" t="s">
        <v>884</v>
      </c>
      <c r="C29" s="165"/>
      <c r="D29" s="165"/>
      <c r="E29" s="238" t="n">
        <f aca="false">IFERROR(INDEX(Journal!$A:$A,MATCH($A29,Journal!$B:$B,0)),"")</f>
        <v>46412</v>
      </c>
      <c r="F29" s="165" t="str">
        <f aca="true">IF(C29="Y","Done",IF(AND(E29&lt;&gt;"",TODAY()&gt;E29),"OVERDUE","Pending"))</f>
        <v>Pending</v>
      </c>
    </row>
    <row r="30" customFormat="false" ht="23.25" hidden="false" customHeight="true" outlineLevel="0" collapsed="false">
      <c r="A30" s="165" t="s">
        <v>671</v>
      </c>
      <c r="B30" s="236" t="s">
        <v>885</v>
      </c>
      <c r="C30" s="165"/>
      <c r="D30" s="165"/>
      <c r="E30" s="238" t="n">
        <f aca="false">IFERROR(INDEX(Journal!$A:$A,MATCH($A30,Journal!$B:$B,0)),"")</f>
        <v>46412</v>
      </c>
      <c r="F30" s="165" t="str">
        <f aca="true">IF(C30="Y","Done",IF(AND(E30&lt;&gt;"",TODAY()&gt;E30),"OVERDUE","Pending"))</f>
        <v>Pending</v>
      </c>
    </row>
    <row r="31" customFormat="false" ht="34.5" hidden="false" customHeight="true" outlineLevel="0" collapsed="false">
      <c r="A31" s="165" t="s">
        <v>671</v>
      </c>
      <c r="B31" s="236" t="s">
        <v>875</v>
      </c>
      <c r="C31" s="165"/>
      <c r="D31" s="165"/>
      <c r="E31" s="238" t="n">
        <f aca="false">IFERROR(INDEX(Journal!$A:$A,MATCH($A31,Journal!$B:$B,0)),"")</f>
        <v>46412</v>
      </c>
      <c r="F31" s="165" t="str">
        <f aca="true">IF(C31="Y","Done",IF(AND(E31&lt;&gt;"",TODAY()&gt;E31),"OVERDUE","Pending"))</f>
        <v>Pending</v>
      </c>
    </row>
    <row r="32" customFormat="false" ht="45.75" hidden="false" customHeight="true" outlineLevel="0" collapsed="false">
      <c r="A32" s="165" t="s">
        <v>671</v>
      </c>
      <c r="B32" s="236" t="s">
        <v>883</v>
      </c>
      <c r="C32" s="165"/>
      <c r="D32" s="237"/>
      <c r="E32" s="238" t="n">
        <f aca="false">IFERROR(INDEX(Journal!$A:$A,MATCH($A32,Journal!$B:$B,0)),"")</f>
        <v>46412</v>
      </c>
      <c r="F32" s="165" t="str">
        <f aca="true">IF(C32="Y","Done",IF(AND(E32&lt;&gt;"",TODAY()&gt;E32),"OVERDUE","Pending"))</f>
        <v>Pending</v>
      </c>
    </row>
    <row r="33" customFormat="false" ht="15" hidden="false" customHeight="true" outlineLevel="0" collapsed="false">
      <c r="A33" s="165" t="s">
        <v>671</v>
      </c>
      <c r="B33" s="236" t="s">
        <v>877</v>
      </c>
      <c r="C33" s="165"/>
      <c r="D33" s="237"/>
      <c r="E33" s="238" t="n">
        <f aca="false">IFERROR(INDEX(Journal!$A:$A,MATCH($A33,Journal!$B:$B,0)),"")</f>
        <v>46412</v>
      </c>
      <c r="F33" s="165" t="str">
        <f aca="true">IF(C33="Y","Done",IF(AND(E33&lt;&gt;"",TODAY()&gt;E33),"OVERDUE","Pending"))</f>
        <v>Pending</v>
      </c>
    </row>
    <row r="34" customFormat="false" ht="15" hidden="false" customHeight="true" outlineLevel="0" collapsed="false">
      <c r="A34" s="165" t="s">
        <v>671</v>
      </c>
      <c r="B34" s="236" t="s">
        <v>878</v>
      </c>
      <c r="C34" s="165"/>
      <c r="D34" s="237"/>
      <c r="E34" s="238" t="n">
        <f aca="false">IFERROR(INDEX(Journal!$A:$A,MATCH($A34,Journal!$B:$B,0)),"")</f>
        <v>46412</v>
      </c>
      <c r="F34" s="165" t="str">
        <f aca="true">IF(C34="Y","Done",IF(AND(E34&lt;&gt;"",TODAY()&gt;E34),"OVERDUE","Pending"))</f>
        <v>Pending</v>
      </c>
    </row>
    <row r="35" customFormat="false" ht="15" hidden="false" customHeight="true" outlineLevel="0" collapsed="false">
      <c r="A35" s="165" t="s">
        <v>671</v>
      </c>
      <c r="B35" s="236" t="s">
        <v>879</v>
      </c>
      <c r="C35" s="165"/>
      <c r="D35" s="237"/>
      <c r="E35" s="238" t="n">
        <f aca="false">IFERROR(INDEX(Journal!$A:$A,MATCH($A35,Journal!$B:$B,0)),"")</f>
        <v>46412</v>
      </c>
      <c r="F35" s="165" t="str">
        <f aca="true">IF(C35="Y","Done",IF(AND(E35&lt;&gt;"",TODAY()&gt;E35),"OVERDUE","Pending"))</f>
        <v>Pending</v>
      </c>
    </row>
    <row r="36" customFormat="false" ht="15" hidden="false" customHeight="true" outlineLevel="0" collapsed="false">
      <c r="A36" s="165" t="s">
        <v>712</v>
      </c>
      <c r="B36" s="236" t="s">
        <v>886</v>
      </c>
      <c r="C36" s="165" t="s">
        <v>222</v>
      </c>
      <c r="D36" s="237" t="n">
        <v>46295</v>
      </c>
      <c r="E36" s="238" t="n">
        <f aca="false">IFERROR(INDEX(Journal!$A:$A,MATCH($A36,Journal!$B:$B,0)),"")</f>
        <v>46295</v>
      </c>
      <c r="F36" s="165" t="str">
        <f aca="true">IF(C36="Y","Done",IF(AND(E36&lt;&gt;"",TODAY()&gt;E36),"OVERDUE","Pending"))</f>
        <v>Done</v>
      </c>
    </row>
    <row r="37" customFormat="false" ht="15" hidden="false" customHeight="true" outlineLevel="0" collapsed="false">
      <c r="A37" s="165" t="s">
        <v>712</v>
      </c>
      <c r="B37" s="236" t="s">
        <v>887</v>
      </c>
      <c r="C37" s="165" t="s">
        <v>222</v>
      </c>
      <c r="D37" s="237" t="n">
        <v>46295</v>
      </c>
      <c r="E37" s="238" t="n">
        <f aca="false">IFERROR(INDEX(Journal!$A:$A,MATCH($A37,Journal!$B:$B,0)),"")</f>
        <v>46295</v>
      </c>
      <c r="F37" s="165" t="str">
        <f aca="true">IF(C37="Y","Done",IF(AND(E37&lt;&gt;"",TODAY()&gt;E37),"OVERDUE","Pending"))</f>
        <v>Done</v>
      </c>
    </row>
    <row r="38" customFormat="false" ht="45.75" hidden="false" customHeight="true" outlineLevel="0" collapsed="false">
      <c r="A38" s="165" t="s">
        <v>712</v>
      </c>
      <c r="B38" s="236" t="s">
        <v>888</v>
      </c>
      <c r="C38" s="165" t="s">
        <v>222</v>
      </c>
      <c r="D38" s="237" t="n">
        <v>46295</v>
      </c>
      <c r="E38" s="238" t="n">
        <f aca="false">IFERROR(INDEX(Journal!$A:$A,MATCH($A38,Journal!$B:$B,0)),"")</f>
        <v>46295</v>
      </c>
      <c r="F38" s="165" t="str">
        <f aca="true">IF(C38="Y","Done",IF(AND(E38&lt;&gt;"",TODAY()&gt;E38),"OVERDUE","Pending"))</f>
        <v>Done</v>
      </c>
    </row>
    <row r="39" customFormat="false" ht="15" hidden="false" customHeight="true" outlineLevel="0" collapsed="false">
      <c r="A39" s="165" t="s">
        <v>712</v>
      </c>
      <c r="B39" s="236" t="s">
        <v>889</v>
      </c>
      <c r="C39" s="165" t="s">
        <v>222</v>
      </c>
      <c r="D39" s="237" t="n">
        <v>46295</v>
      </c>
      <c r="E39" s="238" t="n">
        <f aca="false">IFERROR(INDEX(Journal!$A:$A,MATCH($A39,Journal!$B:$B,0)),"")</f>
        <v>46295</v>
      </c>
      <c r="F39" s="165" t="str">
        <f aca="true">IF(C39="Y","Done",IF(AND(E39&lt;&gt;"",TODAY()&gt;E39),"OVERDUE","Pending"))</f>
        <v>Done</v>
      </c>
    </row>
    <row r="40" customFormat="false" ht="34.5" hidden="false" customHeight="true" outlineLevel="0" collapsed="false">
      <c r="A40" s="165" t="s">
        <v>712</v>
      </c>
      <c r="B40" s="236" t="s">
        <v>890</v>
      </c>
      <c r="C40" s="165" t="s">
        <v>222</v>
      </c>
      <c r="D40" s="237" t="n">
        <v>46295</v>
      </c>
      <c r="E40" s="238" t="n">
        <f aca="false">IFERROR(INDEX(Journal!$A:$A,MATCH($A40,Journal!$B:$B,0)),"")</f>
        <v>46295</v>
      </c>
      <c r="F40" s="165" t="str">
        <f aca="true">IF(C40="Y","Done",IF(AND(E40&lt;&gt;"",TODAY()&gt;E40),"OVERDUE","Pending"))</f>
        <v>Done</v>
      </c>
    </row>
    <row r="41" customFormat="false" ht="15" hidden="false" customHeight="true" outlineLevel="0" collapsed="false">
      <c r="A41" s="165" t="s">
        <v>712</v>
      </c>
      <c r="B41" s="236" t="s">
        <v>891</v>
      </c>
      <c r="C41" s="165" t="s">
        <v>222</v>
      </c>
      <c r="D41" s="237" t="n">
        <v>46295</v>
      </c>
      <c r="E41" s="238" t="n">
        <f aca="false">IFERROR(INDEX(Journal!$A:$A,MATCH($A41,Journal!$B:$B,0)),"")</f>
        <v>46295</v>
      </c>
      <c r="F41" s="165" t="str">
        <f aca="true">IF(C41="Y","Done",IF(AND(E41&lt;&gt;"",TODAY()&gt;E41),"OVERDUE","Pending"))</f>
        <v>Done</v>
      </c>
    </row>
    <row r="42" customFormat="false" ht="15" hidden="false" customHeight="true" outlineLevel="0" collapsed="false">
      <c r="A42" s="165" t="s">
        <v>712</v>
      </c>
      <c r="B42" s="236" t="s">
        <v>877</v>
      </c>
      <c r="C42" s="165" t="s">
        <v>222</v>
      </c>
      <c r="D42" s="237" t="n">
        <v>46295</v>
      </c>
      <c r="E42" s="238" t="n">
        <f aca="false">IFERROR(INDEX(Journal!$A:$A,MATCH($A42,Journal!$B:$B,0)),"")</f>
        <v>46295</v>
      </c>
      <c r="F42" s="165" t="str">
        <f aca="true">IF(C42="Y","Done",IF(AND(E42&lt;&gt;"",TODAY()&gt;E42),"OVERDUE","Pending"))</f>
        <v>Done</v>
      </c>
    </row>
    <row r="43" customFormat="false" ht="15" hidden="false" customHeight="true" outlineLevel="0" collapsed="false">
      <c r="A43" s="165" t="s">
        <v>712</v>
      </c>
      <c r="B43" s="236" t="s">
        <v>878</v>
      </c>
      <c r="C43" s="165" t="s">
        <v>222</v>
      </c>
      <c r="D43" s="237" t="n">
        <v>46295</v>
      </c>
      <c r="E43" s="238" t="n">
        <f aca="false">IFERROR(INDEX(Journal!$A:$A,MATCH($A43,Journal!$B:$B,0)),"")</f>
        <v>46295</v>
      </c>
      <c r="F43" s="165" t="str">
        <f aca="true">IF(C43="Y","Done",IF(AND(E43&lt;&gt;"",TODAY()&gt;E43),"OVERDUE","Pending"))</f>
        <v>Done</v>
      </c>
    </row>
    <row r="44" customFormat="false" ht="15" hidden="false" customHeight="true" outlineLevel="0" collapsed="false">
      <c r="A44" s="165" t="s">
        <v>712</v>
      </c>
      <c r="B44" s="236" t="s">
        <v>879</v>
      </c>
      <c r="C44" s="165" t="s">
        <v>222</v>
      </c>
      <c r="D44" s="237" t="n">
        <v>46295</v>
      </c>
      <c r="E44" s="238" t="n">
        <f aca="false">IFERROR(INDEX(Journal!$A:$A,MATCH($A44,Journal!$B:$B,0)),"")</f>
        <v>46295</v>
      </c>
      <c r="F44" s="165" t="str">
        <f aca="true">IF(C44="Y","Done",IF(AND(E44&lt;&gt;"",TODAY()&gt;E44),"OVERDUE","Pending"))</f>
        <v>Done</v>
      </c>
    </row>
    <row r="45" customFormat="false" ht="15" hidden="false" customHeight="true" outlineLevel="0" collapsed="false">
      <c r="A45" s="165" t="s">
        <v>714</v>
      </c>
      <c r="B45" s="236" t="s">
        <v>886</v>
      </c>
      <c r="C45" s="165" t="s">
        <v>222</v>
      </c>
      <c r="D45" s="237" t="n">
        <v>46302</v>
      </c>
      <c r="E45" s="238" t="n">
        <f aca="false">IFERROR(INDEX(Journal!$A:$A,MATCH($A45,Journal!$B:$B,0)),"")</f>
        <v>46302</v>
      </c>
      <c r="F45" s="165" t="str">
        <f aca="true">IF(C45="Y","Done",IF(AND(E45&lt;&gt;"",TODAY()&gt;E45),"OVERDUE","Pending"))</f>
        <v>Done</v>
      </c>
    </row>
    <row r="46" customFormat="false" ht="15" hidden="false" customHeight="true" outlineLevel="0" collapsed="false">
      <c r="A46" s="165" t="s">
        <v>714</v>
      </c>
      <c r="B46" s="236" t="s">
        <v>887</v>
      </c>
      <c r="C46" s="165" t="s">
        <v>222</v>
      </c>
      <c r="D46" s="237" t="n">
        <v>46302</v>
      </c>
      <c r="E46" s="238" t="n">
        <f aca="false">IFERROR(INDEX(Journal!$A:$A,MATCH($A46,Journal!$B:$B,0)),"")</f>
        <v>46302</v>
      </c>
      <c r="F46" s="165" t="str">
        <f aca="true">IF(C46="Y","Done",IF(AND(E46&lt;&gt;"",TODAY()&gt;E46),"OVERDUE","Pending"))</f>
        <v>Done</v>
      </c>
    </row>
    <row r="47" customFormat="false" ht="45.75" hidden="false" customHeight="true" outlineLevel="0" collapsed="false">
      <c r="A47" s="165" t="s">
        <v>714</v>
      </c>
      <c r="B47" s="236" t="s">
        <v>888</v>
      </c>
      <c r="C47" s="165" t="s">
        <v>222</v>
      </c>
      <c r="D47" s="237" t="n">
        <v>46302</v>
      </c>
      <c r="E47" s="238" t="n">
        <f aca="false">IFERROR(INDEX(Journal!$A:$A,MATCH($A47,Journal!$B:$B,0)),"")</f>
        <v>46302</v>
      </c>
      <c r="F47" s="165" t="str">
        <f aca="true">IF(C47="Y","Done",IF(AND(E47&lt;&gt;"",TODAY()&gt;E47),"OVERDUE","Pending"))</f>
        <v>Done</v>
      </c>
    </row>
    <row r="48" customFormat="false" ht="15" hidden="false" customHeight="true" outlineLevel="0" collapsed="false">
      <c r="A48" s="165" t="s">
        <v>714</v>
      </c>
      <c r="B48" s="236" t="s">
        <v>889</v>
      </c>
      <c r="C48" s="165" t="s">
        <v>222</v>
      </c>
      <c r="D48" s="237" t="n">
        <v>46302</v>
      </c>
      <c r="E48" s="238" t="n">
        <f aca="false">IFERROR(INDEX(Journal!$A:$A,MATCH($A48,Journal!$B:$B,0)),"")</f>
        <v>46302</v>
      </c>
      <c r="F48" s="165" t="str">
        <f aca="true">IF(C48="Y","Done",IF(AND(E48&lt;&gt;"",TODAY()&gt;E48),"OVERDUE","Pending"))</f>
        <v>Done</v>
      </c>
    </row>
    <row r="49" customFormat="false" ht="34.5" hidden="false" customHeight="true" outlineLevel="0" collapsed="false">
      <c r="A49" s="165" t="s">
        <v>714</v>
      </c>
      <c r="B49" s="236" t="s">
        <v>890</v>
      </c>
      <c r="C49" s="165" t="s">
        <v>222</v>
      </c>
      <c r="D49" s="237" t="n">
        <v>46302</v>
      </c>
      <c r="E49" s="238" t="n">
        <f aca="false">IFERROR(INDEX(Journal!$A:$A,MATCH($A49,Journal!$B:$B,0)),"")</f>
        <v>46302</v>
      </c>
      <c r="F49" s="165" t="str">
        <f aca="true">IF(C49="Y","Done",IF(AND(E49&lt;&gt;"",TODAY()&gt;E49),"OVERDUE","Pending"))</f>
        <v>Done</v>
      </c>
    </row>
    <row r="50" customFormat="false" ht="34.5" hidden="false" customHeight="true" outlineLevel="0" collapsed="false">
      <c r="A50" s="165" t="s">
        <v>714</v>
      </c>
      <c r="B50" s="236" t="s">
        <v>892</v>
      </c>
      <c r="C50" s="165" t="s">
        <v>222</v>
      </c>
      <c r="D50" s="237" t="n">
        <v>46302</v>
      </c>
      <c r="E50" s="238" t="n">
        <f aca="false">IFERROR(INDEX(Journal!$A:$A,MATCH($A50,Journal!$B:$B,0)),"")</f>
        <v>46302</v>
      </c>
      <c r="F50" s="165" t="str">
        <f aca="true">IF(C50="Y","Done",IF(AND(E50&lt;&gt;"",TODAY()&gt;E50),"OVERDUE","Pending"))</f>
        <v>Done</v>
      </c>
    </row>
    <row r="51" customFormat="false" ht="34.5" hidden="false" customHeight="true" outlineLevel="0" collapsed="false">
      <c r="A51" s="165" t="s">
        <v>714</v>
      </c>
      <c r="B51" s="236" t="s">
        <v>893</v>
      </c>
      <c r="C51" s="165" t="s">
        <v>222</v>
      </c>
      <c r="D51" s="237" t="n">
        <v>46302</v>
      </c>
      <c r="E51" s="238" t="n">
        <f aca="false">IFERROR(INDEX(Journal!$A:$A,MATCH($A51,Journal!$B:$B,0)),"")</f>
        <v>46302</v>
      </c>
      <c r="F51" s="165" t="str">
        <f aca="true">IF(C51="Y","Done",IF(AND(E51&lt;&gt;"",TODAY()&gt;E51),"OVERDUE","Pending"))</f>
        <v>Done</v>
      </c>
    </row>
    <row r="52" customFormat="false" ht="15" hidden="false" customHeight="true" outlineLevel="0" collapsed="false">
      <c r="A52" s="165" t="s">
        <v>714</v>
      </c>
      <c r="B52" s="236" t="s">
        <v>891</v>
      </c>
      <c r="C52" s="165" t="s">
        <v>222</v>
      </c>
      <c r="D52" s="237" t="n">
        <v>46302</v>
      </c>
      <c r="E52" s="238" t="n">
        <f aca="false">IFERROR(INDEX(Journal!$A:$A,MATCH($A52,Journal!$B:$B,0)),"")</f>
        <v>46302</v>
      </c>
      <c r="F52" s="165" t="str">
        <f aca="true">IF(C52="Y","Done",IF(AND(E52&lt;&gt;"",TODAY()&gt;E52),"OVERDUE","Pending"))</f>
        <v>Done</v>
      </c>
    </row>
    <row r="53" customFormat="false" ht="15" hidden="false" customHeight="true" outlineLevel="0" collapsed="false">
      <c r="A53" s="165" t="s">
        <v>714</v>
      </c>
      <c r="B53" s="236" t="s">
        <v>877</v>
      </c>
      <c r="C53" s="165" t="s">
        <v>222</v>
      </c>
      <c r="D53" s="237" t="n">
        <v>46302</v>
      </c>
      <c r="E53" s="238" t="n">
        <f aca="false">IFERROR(INDEX(Journal!$A:$A,MATCH($A53,Journal!$B:$B,0)),"")</f>
        <v>46302</v>
      </c>
      <c r="F53" s="165" t="str">
        <f aca="true">IF(C53="Y","Done",IF(AND(E53&lt;&gt;"",TODAY()&gt;E53),"OVERDUE","Pending"))</f>
        <v>Done</v>
      </c>
    </row>
    <row r="54" customFormat="false" ht="15" hidden="false" customHeight="true" outlineLevel="0" collapsed="false">
      <c r="A54" s="165" t="s">
        <v>714</v>
      </c>
      <c r="B54" s="236" t="s">
        <v>878</v>
      </c>
      <c r="C54" s="165" t="s">
        <v>222</v>
      </c>
      <c r="D54" s="237" t="n">
        <v>46302</v>
      </c>
      <c r="E54" s="238" t="n">
        <f aca="false">IFERROR(INDEX(Journal!$A:$A,MATCH($A54,Journal!$B:$B,0)),"")</f>
        <v>46302</v>
      </c>
      <c r="F54" s="165" t="str">
        <f aca="true">IF(C54="Y","Done",IF(AND(E54&lt;&gt;"",TODAY()&gt;E54),"OVERDUE","Pending"))</f>
        <v>Done</v>
      </c>
    </row>
    <row r="55" customFormat="false" ht="15" hidden="false" customHeight="true" outlineLevel="0" collapsed="false">
      <c r="A55" s="165" t="s">
        <v>714</v>
      </c>
      <c r="B55" s="236" t="s">
        <v>879</v>
      </c>
      <c r="C55" s="165" t="s">
        <v>222</v>
      </c>
      <c r="D55" s="237" t="n">
        <v>46302</v>
      </c>
      <c r="E55" s="238" t="n">
        <f aca="false">IFERROR(INDEX(Journal!$A:$A,MATCH($A55,Journal!$B:$B,0)),"")</f>
        <v>46302</v>
      </c>
      <c r="F55" s="165" t="str">
        <f aca="true">IF(C55="Y","Done",IF(AND(E55&lt;&gt;"",TODAY()&gt;E55),"OVERDUE","Pending"))</f>
        <v>Done</v>
      </c>
    </row>
    <row r="56" customFormat="false" ht="15" hidden="false" customHeight="true" outlineLevel="0" collapsed="false">
      <c r="A56" s="165" t="s">
        <v>716</v>
      </c>
      <c r="B56" s="236" t="s">
        <v>886</v>
      </c>
      <c r="C56" s="165"/>
      <c r="D56" s="165"/>
      <c r="E56" s="238" t="n">
        <f aca="false">IFERROR(INDEX(Journal!$A:$A,MATCH($A56,Journal!$B:$B,0)),"")</f>
        <v>46317</v>
      </c>
      <c r="F56" s="165" t="str">
        <f aca="true">IF(C56="Y","Done",IF(AND(E56&lt;&gt;"",TODAY()&gt;E56),"OVERDUE","Pending"))</f>
        <v>Pending</v>
      </c>
    </row>
    <row r="57" customFormat="false" ht="15" hidden="false" customHeight="true" outlineLevel="0" collapsed="false">
      <c r="A57" s="165" t="s">
        <v>716</v>
      </c>
      <c r="B57" s="236" t="s">
        <v>887</v>
      </c>
      <c r="C57" s="165"/>
      <c r="D57" s="165"/>
      <c r="E57" s="238" t="n">
        <f aca="false">IFERROR(INDEX(Journal!$A:$A,MATCH($A57,Journal!$B:$B,0)),"")</f>
        <v>46317</v>
      </c>
      <c r="F57" s="165" t="str">
        <f aca="true">IF(C57="Y","Done",IF(AND(E57&lt;&gt;"",TODAY()&gt;E57),"OVERDUE","Pending"))</f>
        <v>Pending</v>
      </c>
    </row>
    <row r="58" customFormat="false" ht="45.75" hidden="false" customHeight="true" outlineLevel="0" collapsed="false">
      <c r="A58" s="165" t="s">
        <v>716</v>
      </c>
      <c r="B58" s="236" t="s">
        <v>888</v>
      </c>
      <c r="C58" s="165"/>
      <c r="D58" s="165"/>
      <c r="E58" s="238" t="n">
        <f aca="false">IFERROR(INDEX(Journal!$A:$A,MATCH($A58,Journal!$B:$B,0)),"")</f>
        <v>46317</v>
      </c>
      <c r="F58" s="165" t="str">
        <f aca="true">IF(C58="Y","Done",IF(AND(E58&lt;&gt;"",TODAY()&gt;E58),"OVERDUE","Pending"))</f>
        <v>Pending</v>
      </c>
    </row>
    <row r="59" customFormat="false" ht="15" hidden="false" customHeight="true" outlineLevel="0" collapsed="false">
      <c r="A59" s="165" t="s">
        <v>716</v>
      </c>
      <c r="B59" s="236" t="s">
        <v>889</v>
      </c>
      <c r="C59" s="165"/>
      <c r="D59" s="165"/>
      <c r="E59" s="238" t="n">
        <f aca="false">IFERROR(INDEX(Journal!$A:$A,MATCH($A59,Journal!$B:$B,0)),"")</f>
        <v>46317</v>
      </c>
      <c r="F59" s="165" t="str">
        <f aca="true">IF(C59="Y","Done",IF(AND(E59&lt;&gt;"",TODAY()&gt;E59),"OVERDUE","Pending"))</f>
        <v>Pending</v>
      </c>
    </row>
    <row r="60" customFormat="false" ht="34.5" hidden="false" customHeight="true" outlineLevel="0" collapsed="false">
      <c r="A60" s="165" t="s">
        <v>716</v>
      </c>
      <c r="B60" s="236" t="s">
        <v>890</v>
      </c>
      <c r="C60" s="165"/>
      <c r="D60" s="165"/>
      <c r="E60" s="238" t="n">
        <f aca="false">IFERROR(INDEX(Journal!$A:$A,MATCH($A60,Journal!$B:$B,0)),"")</f>
        <v>46317</v>
      </c>
      <c r="F60" s="165" t="str">
        <f aca="true">IF(C60="Y","Done",IF(AND(E60&lt;&gt;"",TODAY()&gt;E60),"OVERDUE","Pending"))</f>
        <v>Pending</v>
      </c>
    </row>
    <row r="61" customFormat="false" ht="34.5" hidden="false" customHeight="true" outlineLevel="0" collapsed="false">
      <c r="A61" s="165" t="s">
        <v>716</v>
      </c>
      <c r="B61" s="236" t="s">
        <v>892</v>
      </c>
      <c r="C61" s="165"/>
      <c r="D61" s="165"/>
      <c r="E61" s="238" t="n">
        <f aca="false">IFERROR(INDEX(Journal!$A:$A,MATCH($A61,Journal!$B:$B,0)),"")</f>
        <v>46317</v>
      </c>
      <c r="F61" s="165" t="str">
        <f aca="true">IF(C61="Y","Done",IF(AND(E61&lt;&gt;"",TODAY()&gt;E61),"OVERDUE","Pending"))</f>
        <v>Pending</v>
      </c>
    </row>
    <row r="62" customFormat="false" ht="34.5" hidden="false" customHeight="true" outlineLevel="0" collapsed="false">
      <c r="A62" s="165" t="s">
        <v>716</v>
      </c>
      <c r="B62" s="236" t="s">
        <v>893</v>
      </c>
      <c r="C62" s="165"/>
      <c r="D62" s="165"/>
      <c r="E62" s="238" t="n">
        <f aca="false">IFERROR(INDEX(Journal!$A:$A,MATCH($A62,Journal!$B:$B,0)),"")</f>
        <v>46317</v>
      </c>
      <c r="F62" s="165" t="str">
        <f aca="true">IF(C62="Y","Done",IF(AND(E62&lt;&gt;"",TODAY()&gt;E62),"OVERDUE","Pending"))</f>
        <v>Pending</v>
      </c>
    </row>
    <row r="63" customFormat="false" ht="15" hidden="false" customHeight="true" outlineLevel="0" collapsed="false">
      <c r="A63" s="165" t="s">
        <v>716</v>
      </c>
      <c r="B63" s="236" t="s">
        <v>891</v>
      </c>
      <c r="C63" s="165"/>
      <c r="D63" s="165"/>
      <c r="E63" s="238" t="n">
        <f aca="false">IFERROR(INDEX(Journal!$A:$A,MATCH($A63,Journal!$B:$B,0)),"")</f>
        <v>46317</v>
      </c>
      <c r="F63" s="165" t="str">
        <f aca="true">IF(C63="Y","Done",IF(AND(E63&lt;&gt;"",TODAY()&gt;E63),"OVERDUE","Pending"))</f>
        <v>Pending</v>
      </c>
    </row>
    <row r="64" customFormat="false" ht="15" hidden="false" customHeight="true" outlineLevel="0" collapsed="false">
      <c r="A64" s="165" t="s">
        <v>716</v>
      </c>
      <c r="B64" s="236" t="s">
        <v>877</v>
      </c>
      <c r="C64" s="165"/>
      <c r="D64" s="165"/>
      <c r="E64" s="238" t="n">
        <f aca="false">IFERROR(INDEX(Journal!$A:$A,MATCH($A64,Journal!$B:$B,0)),"")</f>
        <v>46317</v>
      </c>
      <c r="F64" s="165" t="str">
        <f aca="true">IF(C64="Y","Done",IF(AND(E64&lt;&gt;"",TODAY()&gt;E64),"OVERDUE","Pending"))</f>
        <v>Pending</v>
      </c>
    </row>
    <row r="65" customFormat="false" ht="15" hidden="false" customHeight="true" outlineLevel="0" collapsed="false">
      <c r="A65" s="165" t="s">
        <v>716</v>
      </c>
      <c r="B65" s="236" t="s">
        <v>878</v>
      </c>
      <c r="C65" s="165"/>
      <c r="D65" s="165"/>
      <c r="E65" s="238" t="n">
        <f aca="false">IFERROR(INDEX(Journal!$A:$A,MATCH($A65,Journal!$B:$B,0)),"")</f>
        <v>46317</v>
      </c>
      <c r="F65" s="165" t="str">
        <f aca="true">IF(C65="Y","Done",IF(AND(E65&lt;&gt;"",TODAY()&gt;E65),"OVERDUE","Pending"))</f>
        <v>Pending</v>
      </c>
    </row>
    <row r="66" customFormat="false" ht="15" hidden="false" customHeight="true" outlineLevel="0" collapsed="false">
      <c r="A66" s="165" t="s">
        <v>716</v>
      </c>
      <c r="B66" s="236" t="s">
        <v>879</v>
      </c>
      <c r="C66" s="165"/>
      <c r="D66" s="165"/>
      <c r="E66" s="238" t="n">
        <f aca="false">IFERROR(INDEX(Journal!$A:$A,MATCH($A66,Journal!$B:$B,0)),"")</f>
        <v>46317</v>
      </c>
      <c r="F66" s="165" t="str">
        <f aca="true">IF(C66="Y","Done",IF(AND(E66&lt;&gt;"",TODAY()&gt;E66),"OVERDUE","Pending"))</f>
        <v>Pending</v>
      </c>
    </row>
    <row r="67" customFormat="false" ht="15" hidden="false" customHeight="true" outlineLevel="0" collapsed="false">
      <c r="A67" s="165" t="s">
        <v>718</v>
      </c>
      <c r="B67" s="236" t="s">
        <v>886</v>
      </c>
      <c r="C67" s="165"/>
      <c r="D67" s="165"/>
      <c r="E67" s="238" t="n">
        <f aca="false">IFERROR(INDEX(Journal!$A:$A,MATCH($A67,Journal!$B:$B,0)),"")</f>
        <v>46335</v>
      </c>
      <c r="F67" s="165" t="str">
        <f aca="true">IF(C67="Y","Done",IF(AND(E67&lt;&gt;"",TODAY()&gt;E67),"OVERDUE","Pending"))</f>
        <v>Pending</v>
      </c>
    </row>
    <row r="68" customFormat="false" ht="15" hidden="false" customHeight="true" outlineLevel="0" collapsed="false">
      <c r="A68" s="165" t="s">
        <v>718</v>
      </c>
      <c r="B68" s="236" t="s">
        <v>887</v>
      </c>
      <c r="C68" s="165"/>
      <c r="D68" s="165"/>
      <c r="E68" s="238" t="n">
        <f aca="false">IFERROR(INDEX(Journal!$A:$A,MATCH($A68,Journal!$B:$B,0)),"")</f>
        <v>46335</v>
      </c>
      <c r="F68" s="165" t="str">
        <f aca="true">IF(C68="Y","Done",IF(AND(E68&lt;&gt;"",TODAY()&gt;E68),"OVERDUE","Pending"))</f>
        <v>Pending</v>
      </c>
    </row>
    <row r="69" customFormat="false" ht="45.75" hidden="false" customHeight="true" outlineLevel="0" collapsed="false">
      <c r="A69" s="165" t="s">
        <v>718</v>
      </c>
      <c r="B69" s="236" t="s">
        <v>888</v>
      </c>
      <c r="C69" s="165"/>
      <c r="D69" s="165"/>
      <c r="E69" s="238" t="n">
        <f aca="false">IFERROR(INDEX(Journal!$A:$A,MATCH($A69,Journal!$B:$B,0)),"")</f>
        <v>46335</v>
      </c>
      <c r="F69" s="165" t="str">
        <f aca="true">IF(C69="Y","Done",IF(AND(E69&lt;&gt;"",TODAY()&gt;E69),"OVERDUE","Pending"))</f>
        <v>Pending</v>
      </c>
    </row>
    <row r="70" customFormat="false" ht="15" hidden="false" customHeight="true" outlineLevel="0" collapsed="false">
      <c r="A70" s="165" t="s">
        <v>718</v>
      </c>
      <c r="B70" s="236" t="s">
        <v>889</v>
      </c>
      <c r="C70" s="165"/>
      <c r="D70" s="165"/>
      <c r="E70" s="238" t="n">
        <f aca="false">IFERROR(INDEX(Journal!$A:$A,MATCH($A70,Journal!$B:$B,0)),"")</f>
        <v>46335</v>
      </c>
      <c r="F70" s="165" t="str">
        <f aca="true">IF(C70="Y","Done",IF(AND(E70&lt;&gt;"",TODAY()&gt;E70),"OVERDUE","Pending"))</f>
        <v>Pending</v>
      </c>
    </row>
    <row r="71" customFormat="false" ht="34.5" hidden="false" customHeight="true" outlineLevel="0" collapsed="false">
      <c r="A71" s="165" t="s">
        <v>718</v>
      </c>
      <c r="B71" s="236" t="s">
        <v>890</v>
      </c>
      <c r="C71" s="165"/>
      <c r="D71" s="165"/>
      <c r="E71" s="238" t="n">
        <f aca="false">IFERROR(INDEX(Journal!$A:$A,MATCH($A71,Journal!$B:$B,0)),"")</f>
        <v>46335</v>
      </c>
      <c r="F71" s="165" t="str">
        <f aca="true">IF(C71="Y","Done",IF(AND(E71&lt;&gt;"",TODAY()&gt;E71),"OVERDUE","Pending"))</f>
        <v>Pending</v>
      </c>
    </row>
    <row r="72" customFormat="false" ht="34.5" hidden="false" customHeight="true" outlineLevel="0" collapsed="false">
      <c r="A72" s="165" t="s">
        <v>718</v>
      </c>
      <c r="B72" s="236" t="s">
        <v>892</v>
      </c>
      <c r="C72" s="165"/>
      <c r="D72" s="165"/>
      <c r="E72" s="238" t="n">
        <f aca="false">IFERROR(INDEX(Journal!$A:$A,MATCH($A72,Journal!$B:$B,0)),"")</f>
        <v>46335</v>
      </c>
      <c r="F72" s="165" t="str">
        <f aca="true">IF(C72="Y","Done",IF(AND(E72&lt;&gt;"",TODAY()&gt;E72),"OVERDUE","Pending"))</f>
        <v>Pending</v>
      </c>
    </row>
    <row r="73" customFormat="false" ht="34.5" hidden="false" customHeight="true" outlineLevel="0" collapsed="false">
      <c r="A73" s="165" t="s">
        <v>718</v>
      </c>
      <c r="B73" s="236" t="s">
        <v>893</v>
      </c>
      <c r="C73" s="165"/>
      <c r="D73" s="165"/>
      <c r="E73" s="238" t="n">
        <f aca="false">IFERROR(INDEX(Journal!$A:$A,MATCH($A73,Journal!$B:$B,0)),"")</f>
        <v>46335</v>
      </c>
      <c r="F73" s="165" t="str">
        <f aca="true">IF(C73="Y","Done",IF(AND(E73&lt;&gt;"",TODAY()&gt;E73),"OVERDUE","Pending"))</f>
        <v>Pending</v>
      </c>
    </row>
    <row r="74" customFormat="false" ht="15" hidden="false" customHeight="true" outlineLevel="0" collapsed="false">
      <c r="A74" s="165" t="s">
        <v>718</v>
      </c>
      <c r="B74" s="236" t="s">
        <v>891</v>
      </c>
      <c r="C74" s="165"/>
      <c r="D74" s="165"/>
      <c r="E74" s="238" t="n">
        <f aca="false">IFERROR(INDEX(Journal!$A:$A,MATCH($A74,Journal!$B:$B,0)),"")</f>
        <v>46335</v>
      </c>
      <c r="F74" s="165" t="str">
        <f aca="true">IF(C74="Y","Done",IF(AND(E74&lt;&gt;"",TODAY()&gt;E74),"OVERDUE","Pending"))</f>
        <v>Pending</v>
      </c>
    </row>
    <row r="75" customFormat="false" ht="15" hidden="false" customHeight="true" outlineLevel="0" collapsed="false">
      <c r="A75" s="165" t="s">
        <v>718</v>
      </c>
      <c r="B75" s="236" t="s">
        <v>877</v>
      </c>
      <c r="C75" s="165"/>
      <c r="D75" s="165"/>
      <c r="E75" s="238" t="n">
        <f aca="false">IFERROR(INDEX(Journal!$A:$A,MATCH($A75,Journal!$B:$B,0)),"")</f>
        <v>46335</v>
      </c>
      <c r="F75" s="165" t="str">
        <f aca="true">IF(C75="Y","Done",IF(AND(E75&lt;&gt;"",TODAY()&gt;E75),"OVERDUE","Pending"))</f>
        <v>Pending</v>
      </c>
    </row>
    <row r="76" customFormat="false" ht="15" hidden="false" customHeight="true" outlineLevel="0" collapsed="false">
      <c r="A76" s="165" t="s">
        <v>718</v>
      </c>
      <c r="B76" s="236" t="s">
        <v>878</v>
      </c>
      <c r="C76" s="165"/>
      <c r="D76" s="165"/>
      <c r="E76" s="238" t="n">
        <f aca="false">IFERROR(INDEX(Journal!$A:$A,MATCH($A76,Journal!$B:$B,0)),"")</f>
        <v>46335</v>
      </c>
      <c r="F76" s="165" t="str">
        <f aca="true">IF(C76="Y","Done",IF(AND(E76&lt;&gt;"",TODAY()&gt;E76),"OVERDUE","Pending"))</f>
        <v>Pending</v>
      </c>
    </row>
    <row r="77" customFormat="false" ht="15" hidden="false" customHeight="true" outlineLevel="0" collapsed="false">
      <c r="A77" s="165" t="s">
        <v>718</v>
      </c>
      <c r="B77" s="236" t="s">
        <v>879</v>
      </c>
      <c r="C77" s="165"/>
      <c r="D77" s="165"/>
      <c r="E77" s="238" t="n">
        <f aca="false">IFERROR(INDEX(Journal!$A:$A,MATCH($A77,Journal!$B:$B,0)),"")</f>
        <v>46335</v>
      </c>
      <c r="F77" s="165" t="str">
        <f aca="true">IF(C77="Y","Done",IF(AND(E77&lt;&gt;"",TODAY()&gt;E77),"OVERDUE","Pending"))</f>
        <v>Pending</v>
      </c>
    </row>
    <row r="78" customFormat="false" ht="15" hidden="false" customHeight="true" outlineLevel="0" collapsed="false">
      <c r="A78" s="165" t="s">
        <v>720</v>
      </c>
      <c r="B78" s="236" t="s">
        <v>886</v>
      </c>
      <c r="C78" s="165"/>
      <c r="D78" s="165"/>
      <c r="E78" s="238" t="n">
        <f aca="false">IFERROR(INDEX(Journal!$A:$A,MATCH($A78,Journal!$B:$B,0)),"")</f>
        <v>46349</v>
      </c>
      <c r="F78" s="165" t="str">
        <f aca="true">IF(C78="Y","Done",IF(AND(E78&lt;&gt;"",TODAY()&gt;E78),"OVERDUE","Pending"))</f>
        <v>Pending</v>
      </c>
    </row>
    <row r="79" customFormat="false" ht="15" hidden="false" customHeight="true" outlineLevel="0" collapsed="false">
      <c r="A79" s="165" t="s">
        <v>720</v>
      </c>
      <c r="B79" s="236" t="s">
        <v>887</v>
      </c>
      <c r="C79" s="165"/>
      <c r="D79" s="165"/>
      <c r="E79" s="238" t="n">
        <f aca="false">IFERROR(INDEX(Journal!$A:$A,MATCH($A79,Journal!$B:$B,0)),"")</f>
        <v>46349</v>
      </c>
      <c r="F79" s="165" t="str">
        <f aca="true">IF(C79="Y","Done",IF(AND(E79&lt;&gt;"",TODAY()&gt;E79),"OVERDUE","Pending"))</f>
        <v>Pending</v>
      </c>
    </row>
    <row r="80" customFormat="false" ht="45.75" hidden="false" customHeight="true" outlineLevel="0" collapsed="false">
      <c r="A80" s="165" t="s">
        <v>720</v>
      </c>
      <c r="B80" s="236" t="s">
        <v>888</v>
      </c>
      <c r="C80" s="165"/>
      <c r="D80" s="165"/>
      <c r="E80" s="238" t="n">
        <f aca="false">IFERROR(INDEX(Journal!$A:$A,MATCH($A80,Journal!$B:$B,0)),"")</f>
        <v>46349</v>
      </c>
      <c r="F80" s="165" t="str">
        <f aca="true">IF(C80="Y","Done",IF(AND(E80&lt;&gt;"",TODAY()&gt;E80),"OVERDUE","Pending"))</f>
        <v>Pending</v>
      </c>
    </row>
    <row r="81" customFormat="false" ht="15" hidden="false" customHeight="true" outlineLevel="0" collapsed="false">
      <c r="A81" s="165" t="s">
        <v>720</v>
      </c>
      <c r="B81" s="236" t="s">
        <v>889</v>
      </c>
      <c r="C81" s="165"/>
      <c r="D81" s="165"/>
      <c r="E81" s="238" t="n">
        <f aca="false">IFERROR(INDEX(Journal!$A:$A,MATCH($A81,Journal!$B:$B,0)),"")</f>
        <v>46349</v>
      </c>
      <c r="F81" s="165" t="str">
        <f aca="true">IF(C81="Y","Done",IF(AND(E81&lt;&gt;"",TODAY()&gt;E81),"OVERDUE","Pending"))</f>
        <v>Pending</v>
      </c>
    </row>
    <row r="82" customFormat="false" ht="34.5" hidden="false" customHeight="true" outlineLevel="0" collapsed="false">
      <c r="A82" s="165" t="s">
        <v>720</v>
      </c>
      <c r="B82" s="236" t="s">
        <v>890</v>
      </c>
      <c r="C82" s="165"/>
      <c r="D82" s="165"/>
      <c r="E82" s="238" t="n">
        <f aca="false">IFERROR(INDEX(Journal!$A:$A,MATCH($A82,Journal!$B:$B,0)),"")</f>
        <v>46349</v>
      </c>
      <c r="F82" s="165" t="str">
        <f aca="true">IF(C82="Y","Done",IF(AND(E82&lt;&gt;"",TODAY()&gt;E82),"OVERDUE","Pending"))</f>
        <v>Pending</v>
      </c>
    </row>
    <row r="83" customFormat="false" ht="34.5" hidden="false" customHeight="true" outlineLevel="0" collapsed="false">
      <c r="A83" s="165" t="s">
        <v>720</v>
      </c>
      <c r="B83" s="236" t="s">
        <v>892</v>
      </c>
      <c r="C83" s="165"/>
      <c r="D83" s="165"/>
      <c r="E83" s="238" t="n">
        <f aca="false">IFERROR(INDEX(Journal!$A:$A,MATCH($A83,Journal!$B:$B,0)),"")</f>
        <v>46349</v>
      </c>
      <c r="F83" s="165" t="str">
        <f aca="true">IF(C83="Y","Done",IF(AND(E83&lt;&gt;"",TODAY()&gt;E83),"OVERDUE","Pending"))</f>
        <v>Pending</v>
      </c>
    </row>
    <row r="84" customFormat="false" ht="34.5" hidden="false" customHeight="true" outlineLevel="0" collapsed="false">
      <c r="A84" s="165" t="s">
        <v>720</v>
      </c>
      <c r="B84" s="236" t="s">
        <v>893</v>
      </c>
      <c r="C84" s="165"/>
      <c r="D84" s="165"/>
      <c r="E84" s="238" t="n">
        <f aca="false">IFERROR(INDEX(Journal!$A:$A,MATCH($A84,Journal!$B:$B,0)),"")</f>
        <v>46349</v>
      </c>
      <c r="F84" s="165" t="str">
        <f aca="true">IF(C84="Y","Done",IF(AND(E84&lt;&gt;"",TODAY()&gt;E84),"OVERDUE","Pending"))</f>
        <v>Pending</v>
      </c>
    </row>
    <row r="85" customFormat="false" ht="15" hidden="false" customHeight="true" outlineLevel="0" collapsed="false">
      <c r="A85" s="165" t="s">
        <v>720</v>
      </c>
      <c r="B85" s="236" t="s">
        <v>891</v>
      </c>
      <c r="C85" s="165"/>
      <c r="D85" s="165"/>
      <c r="E85" s="238" t="n">
        <f aca="false">IFERROR(INDEX(Journal!$A:$A,MATCH($A85,Journal!$B:$B,0)),"")</f>
        <v>46349</v>
      </c>
      <c r="F85" s="165" t="str">
        <f aca="true">IF(C85="Y","Done",IF(AND(E85&lt;&gt;"",TODAY()&gt;E85),"OVERDUE","Pending"))</f>
        <v>Pending</v>
      </c>
    </row>
    <row r="86" customFormat="false" ht="15" hidden="false" customHeight="true" outlineLevel="0" collapsed="false">
      <c r="A86" s="165" t="s">
        <v>720</v>
      </c>
      <c r="B86" s="236" t="s">
        <v>877</v>
      </c>
      <c r="C86" s="165"/>
      <c r="D86" s="165"/>
      <c r="E86" s="238" t="n">
        <f aca="false">IFERROR(INDEX(Journal!$A:$A,MATCH($A86,Journal!$B:$B,0)),"")</f>
        <v>46349</v>
      </c>
      <c r="F86" s="165" t="str">
        <f aca="true">IF(C86="Y","Done",IF(AND(E86&lt;&gt;"",TODAY()&gt;E86),"OVERDUE","Pending"))</f>
        <v>Pending</v>
      </c>
    </row>
    <row r="87" customFormat="false" ht="15" hidden="false" customHeight="true" outlineLevel="0" collapsed="false">
      <c r="A87" s="165" t="s">
        <v>720</v>
      </c>
      <c r="B87" s="236" t="s">
        <v>878</v>
      </c>
      <c r="C87" s="165"/>
      <c r="D87" s="165"/>
      <c r="E87" s="238" t="n">
        <f aca="false">IFERROR(INDEX(Journal!$A:$A,MATCH($A87,Journal!$B:$B,0)),"")</f>
        <v>46349</v>
      </c>
      <c r="F87" s="165" t="str">
        <f aca="true">IF(C87="Y","Done",IF(AND(E87&lt;&gt;"",TODAY()&gt;E87),"OVERDUE","Pending"))</f>
        <v>Pending</v>
      </c>
    </row>
    <row r="88" customFormat="false" ht="15" hidden="false" customHeight="true" outlineLevel="0" collapsed="false">
      <c r="A88" s="165" t="s">
        <v>720</v>
      </c>
      <c r="B88" s="236" t="s">
        <v>879</v>
      </c>
      <c r="C88" s="165"/>
      <c r="D88" s="165"/>
      <c r="E88" s="238" t="n">
        <f aca="false">IFERROR(INDEX(Journal!$A:$A,MATCH($A88,Journal!$B:$B,0)),"")</f>
        <v>46349</v>
      </c>
      <c r="F88" s="165" t="str">
        <f aca="true">IF(C88="Y","Done",IF(AND(E88&lt;&gt;"",TODAY()&gt;E88),"OVERDUE","Pending"))</f>
        <v>Pending</v>
      </c>
    </row>
    <row r="89" customFormat="false" ht="15" hidden="false" customHeight="true" outlineLevel="0" collapsed="false">
      <c r="A89" s="165" t="s">
        <v>722</v>
      </c>
      <c r="B89" s="236" t="s">
        <v>886</v>
      </c>
      <c r="C89" s="165"/>
      <c r="D89" s="165"/>
      <c r="E89" s="238" t="n">
        <f aca="false">IFERROR(INDEX(Journal!$A:$A,MATCH($A89,Journal!$B:$B,0)),"")</f>
        <v>46363</v>
      </c>
      <c r="F89" s="165" t="str">
        <f aca="true">IF(C89="Y","Done",IF(AND(E89&lt;&gt;"",TODAY()&gt;E89),"OVERDUE","Pending"))</f>
        <v>Pending</v>
      </c>
    </row>
    <row r="90" customFormat="false" ht="15" hidden="false" customHeight="true" outlineLevel="0" collapsed="false">
      <c r="A90" s="165" t="s">
        <v>722</v>
      </c>
      <c r="B90" s="236" t="s">
        <v>887</v>
      </c>
      <c r="C90" s="165"/>
      <c r="D90" s="165"/>
      <c r="E90" s="238" t="n">
        <f aca="false">IFERROR(INDEX(Journal!$A:$A,MATCH($A90,Journal!$B:$B,0)),"")</f>
        <v>46363</v>
      </c>
      <c r="F90" s="165" t="str">
        <f aca="true">IF(C90="Y","Done",IF(AND(E90&lt;&gt;"",TODAY()&gt;E90),"OVERDUE","Pending"))</f>
        <v>Pending</v>
      </c>
    </row>
    <row r="91" customFormat="false" ht="45.75" hidden="false" customHeight="true" outlineLevel="0" collapsed="false">
      <c r="A91" s="165" t="s">
        <v>722</v>
      </c>
      <c r="B91" s="236" t="s">
        <v>888</v>
      </c>
      <c r="C91" s="165"/>
      <c r="D91" s="165"/>
      <c r="E91" s="238" t="n">
        <f aca="false">IFERROR(INDEX(Journal!$A:$A,MATCH($A91,Journal!$B:$B,0)),"")</f>
        <v>46363</v>
      </c>
      <c r="F91" s="165" t="str">
        <f aca="true">IF(C91="Y","Done",IF(AND(E91&lt;&gt;"",TODAY()&gt;E91),"OVERDUE","Pending"))</f>
        <v>Pending</v>
      </c>
    </row>
    <row r="92" customFormat="false" ht="15" hidden="false" customHeight="true" outlineLevel="0" collapsed="false">
      <c r="A92" s="165" t="s">
        <v>722</v>
      </c>
      <c r="B92" s="236" t="s">
        <v>889</v>
      </c>
      <c r="C92" s="165"/>
      <c r="D92" s="165"/>
      <c r="E92" s="238" t="n">
        <f aca="false">IFERROR(INDEX(Journal!$A:$A,MATCH($A92,Journal!$B:$B,0)),"")</f>
        <v>46363</v>
      </c>
      <c r="F92" s="165" t="str">
        <f aca="true">IF(C92="Y","Done",IF(AND(E92&lt;&gt;"",TODAY()&gt;E92),"OVERDUE","Pending"))</f>
        <v>Pending</v>
      </c>
    </row>
    <row r="93" customFormat="false" ht="34.5" hidden="false" customHeight="true" outlineLevel="0" collapsed="false">
      <c r="A93" s="165" t="s">
        <v>722</v>
      </c>
      <c r="B93" s="236" t="s">
        <v>890</v>
      </c>
      <c r="C93" s="165"/>
      <c r="D93" s="165"/>
      <c r="E93" s="238" t="n">
        <f aca="false">IFERROR(INDEX(Journal!$A:$A,MATCH($A93,Journal!$B:$B,0)),"")</f>
        <v>46363</v>
      </c>
      <c r="F93" s="165" t="str">
        <f aca="true">IF(C93="Y","Done",IF(AND(E93&lt;&gt;"",TODAY()&gt;E93),"OVERDUE","Pending"))</f>
        <v>Pending</v>
      </c>
    </row>
    <row r="94" customFormat="false" ht="34.5" hidden="false" customHeight="true" outlineLevel="0" collapsed="false">
      <c r="A94" s="165" t="s">
        <v>722</v>
      </c>
      <c r="B94" s="236" t="s">
        <v>892</v>
      </c>
      <c r="C94" s="165"/>
      <c r="D94" s="165"/>
      <c r="E94" s="238" t="n">
        <f aca="false">IFERROR(INDEX(Journal!$A:$A,MATCH($A94,Journal!$B:$B,0)),"")</f>
        <v>46363</v>
      </c>
      <c r="F94" s="165" t="str">
        <f aca="true">IF(C94="Y","Done",IF(AND(E94&lt;&gt;"",TODAY()&gt;E94),"OVERDUE","Pending"))</f>
        <v>Pending</v>
      </c>
    </row>
    <row r="95" customFormat="false" ht="34.5" hidden="false" customHeight="true" outlineLevel="0" collapsed="false">
      <c r="A95" s="165" t="s">
        <v>722</v>
      </c>
      <c r="B95" s="236" t="s">
        <v>893</v>
      </c>
      <c r="C95" s="165"/>
      <c r="D95" s="165"/>
      <c r="E95" s="238" t="n">
        <f aca="false">IFERROR(INDEX(Journal!$A:$A,MATCH($A95,Journal!$B:$B,0)),"")</f>
        <v>46363</v>
      </c>
      <c r="F95" s="165" t="str">
        <f aca="true">IF(C95="Y","Done",IF(AND(E95&lt;&gt;"",TODAY()&gt;E95),"OVERDUE","Pending"))</f>
        <v>Pending</v>
      </c>
    </row>
    <row r="96" customFormat="false" ht="15" hidden="false" customHeight="true" outlineLevel="0" collapsed="false">
      <c r="A96" s="165" t="s">
        <v>722</v>
      </c>
      <c r="B96" s="236" t="s">
        <v>891</v>
      </c>
      <c r="C96" s="165"/>
      <c r="D96" s="165"/>
      <c r="E96" s="238" t="n">
        <f aca="false">IFERROR(INDEX(Journal!$A:$A,MATCH($A96,Journal!$B:$B,0)),"")</f>
        <v>46363</v>
      </c>
      <c r="F96" s="165" t="str">
        <f aca="true">IF(C96="Y","Done",IF(AND(E96&lt;&gt;"",TODAY()&gt;E96),"OVERDUE","Pending"))</f>
        <v>Pending</v>
      </c>
    </row>
    <row r="97" customFormat="false" ht="15" hidden="false" customHeight="true" outlineLevel="0" collapsed="false">
      <c r="A97" s="165" t="s">
        <v>722</v>
      </c>
      <c r="B97" s="236" t="s">
        <v>877</v>
      </c>
      <c r="C97" s="165"/>
      <c r="D97" s="165"/>
      <c r="E97" s="238" t="n">
        <f aca="false">IFERROR(INDEX(Journal!$A:$A,MATCH($A97,Journal!$B:$B,0)),"")</f>
        <v>46363</v>
      </c>
      <c r="F97" s="165" t="str">
        <f aca="true">IF(C97="Y","Done",IF(AND(E97&lt;&gt;"",TODAY()&gt;E97),"OVERDUE","Pending"))</f>
        <v>Pending</v>
      </c>
    </row>
    <row r="98" customFormat="false" ht="15" hidden="false" customHeight="true" outlineLevel="0" collapsed="false">
      <c r="A98" s="165" t="s">
        <v>722</v>
      </c>
      <c r="B98" s="236" t="s">
        <v>878</v>
      </c>
      <c r="C98" s="165"/>
      <c r="D98" s="165"/>
      <c r="E98" s="238" t="n">
        <f aca="false">IFERROR(INDEX(Journal!$A:$A,MATCH($A98,Journal!$B:$B,0)),"")</f>
        <v>46363</v>
      </c>
      <c r="F98" s="165" t="str">
        <f aca="true">IF(C98="Y","Done",IF(AND(E98&lt;&gt;"",TODAY()&gt;E98),"OVERDUE","Pending"))</f>
        <v>Pending</v>
      </c>
    </row>
    <row r="99" customFormat="false" ht="15" hidden="false" customHeight="true" outlineLevel="0" collapsed="false">
      <c r="A99" s="165" t="s">
        <v>722</v>
      </c>
      <c r="B99" s="236" t="s">
        <v>879</v>
      </c>
      <c r="C99" s="165"/>
      <c r="D99" s="165"/>
      <c r="E99" s="238" t="n">
        <f aca="false">IFERROR(INDEX(Journal!$A:$A,MATCH($A99,Journal!$B:$B,0)),"")</f>
        <v>46363</v>
      </c>
      <c r="F99" s="165" t="str">
        <f aca="true">IF(C99="Y","Done",IF(AND(E99&lt;&gt;"",TODAY()&gt;E99),"OVERDUE","Pending"))</f>
        <v>Pending</v>
      </c>
    </row>
    <row r="100" customFormat="false" ht="15" hidden="false" customHeight="true" outlineLevel="0" collapsed="false">
      <c r="A100" s="165" t="s">
        <v>723</v>
      </c>
      <c r="B100" s="236" t="s">
        <v>886</v>
      </c>
      <c r="C100" s="165"/>
      <c r="D100" s="165"/>
      <c r="E100" s="238" t="n">
        <f aca="false">IFERROR(INDEX(Journal!$A:$A,MATCH($A100,Journal!$B:$B,0)),"")</f>
        <v>46378</v>
      </c>
      <c r="F100" s="165" t="str">
        <f aca="true">IF(C100="Y","Done",IF(AND(E100&lt;&gt;"",TODAY()&gt;E100),"OVERDUE","Pending"))</f>
        <v>Pending</v>
      </c>
    </row>
    <row r="101" customFormat="false" ht="15" hidden="false" customHeight="true" outlineLevel="0" collapsed="false">
      <c r="A101" s="165" t="s">
        <v>723</v>
      </c>
      <c r="B101" s="236" t="s">
        <v>887</v>
      </c>
      <c r="C101" s="165"/>
      <c r="D101" s="165"/>
      <c r="E101" s="238" t="n">
        <f aca="false">IFERROR(INDEX(Journal!$A:$A,MATCH($A101,Journal!$B:$B,0)),"")</f>
        <v>46378</v>
      </c>
      <c r="F101" s="165" t="str">
        <f aca="true">IF(C101="Y","Done",IF(AND(E101&lt;&gt;"",TODAY()&gt;E101),"OVERDUE","Pending"))</f>
        <v>Pending</v>
      </c>
    </row>
    <row r="102" customFormat="false" ht="45.75" hidden="false" customHeight="true" outlineLevel="0" collapsed="false">
      <c r="A102" s="165" t="s">
        <v>723</v>
      </c>
      <c r="B102" s="236" t="s">
        <v>888</v>
      </c>
      <c r="C102" s="165"/>
      <c r="D102" s="165"/>
      <c r="E102" s="238" t="n">
        <f aca="false">IFERROR(INDEX(Journal!$A:$A,MATCH($A102,Journal!$B:$B,0)),"")</f>
        <v>46378</v>
      </c>
      <c r="F102" s="165" t="str">
        <f aca="true">IF(C102="Y","Done",IF(AND(E102&lt;&gt;"",TODAY()&gt;E102),"OVERDUE","Pending"))</f>
        <v>Pending</v>
      </c>
    </row>
    <row r="103" customFormat="false" ht="15" hidden="false" customHeight="true" outlineLevel="0" collapsed="false">
      <c r="A103" s="165" t="s">
        <v>723</v>
      </c>
      <c r="B103" s="236" t="s">
        <v>889</v>
      </c>
      <c r="C103" s="165"/>
      <c r="D103" s="165"/>
      <c r="E103" s="238" t="n">
        <f aca="false">IFERROR(INDEX(Journal!$A:$A,MATCH($A103,Journal!$B:$B,0)),"")</f>
        <v>46378</v>
      </c>
      <c r="F103" s="165" t="str">
        <f aca="true">IF(C103="Y","Done",IF(AND(E103&lt;&gt;"",TODAY()&gt;E103),"OVERDUE","Pending"))</f>
        <v>Pending</v>
      </c>
    </row>
    <row r="104" customFormat="false" ht="34.5" hidden="false" customHeight="true" outlineLevel="0" collapsed="false">
      <c r="A104" s="165" t="s">
        <v>723</v>
      </c>
      <c r="B104" s="236" t="s">
        <v>890</v>
      </c>
      <c r="C104" s="165"/>
      <c r="D104" s="165"/>
      <c r="E104" s="238" t="n">
        <f aca="false">IFERROR(INDEX(Journal!$A:$A,MATCH($A104,Journal!$B:$B,0)),"")</f>
        <v>46378</v>
      </c>
      <c r="F104" s="165" t="str">
        <f aca="true">IF(C104="Y","Done",IF(AND(E104&lt;&gt;"",TODAY()&gt;E104),"OVERDUE","Pending"))</f>
        <v>Pending</v>
      </c>
    </row>
    <row r="105" customFormat="false" ht="34.5" hidden="false" customHeight="true" outlineLevel="0" collapsed="false">
      <c r="A105" s="165" t="s">
        <v>723</v>
      </c>
      <c r="B105" s="236" t="s">
        <v>892</v>
      </c>
      <c r="C105" s="165"/>
      <c r="D105" s="165"/>
      <c r="E105" s="238" t="n">
        <f aca="false">IFERROR(INDEX(Journal!$A:$A,MATCH($A105,Journal!$B:$B,0)),"")</f>
        <v>46378</v>
      </c>
      <c r="F105" s="165" t="str">
        <f aca="true">IF(C105="Y","Done",IF(AND(E105&lt;&gt;"",TODAY()&gt;E105),"OVERDUE","Pending"))</f>
        <v>Pending</v>
      </c>
    </row>
    <row r="106" customFormat="false" ht="34.5" hidden="false" customHeight="true" outlineLevel="0" collapsed="false">
      <c r="A106" s="165" t="s">
        <v>723</v>
      </c>
      <c r="B106" s="236" t="s">
        <v>893</v>
      </c>
      <c r="C106" s="165"/>
      <c r="D106" s="165"/>
      <c r="E106" s="238" t="n">
        <f aca="false">IFERROR(INDEX(Journal!$A:$A,MATCH($A106,Journal!$B:$B,0)),"")</f>
        <v>46378</v>
      </c>
      <c r="F106" s="165" t="str">
        <f aca="true">IF(C106="Y","Done",IF(AND(E106&lt;&gt;"",TODAY()&gt;E106),"OVERDUE","Pending"))</f>
        <v>Pending</v>
      </c>
    </row>
    <row r="107" customFormat="false" ht="15" hidden="false" customHeight="true" outlineLevel="0" collapsed="false">
      <c r="A107" s="165" t="s">
        <v>723</v>
      </c>
      <c r="B107" s="236" t="s">
        <v>891</v>
      </c>
      <c r="C107" s="165"/>
      <c r="D107" s="165"/>
      <c r="E107" s="238" t="n">
        <f aca="false">IFERROR(INDEX(Journal!$A:$A,MATCH($A107,Journal!$B:$B,0)),"")</f>
        <v>46378</v>
      </c>
      <c r="F107" s="165" t="str">
        <f aca="true">IF(C107="Y","Done",IF(AND(E107&lt;&gt;"",TODAY()&gt;E107),"OVERDUE","Pending"))</f>
        <v>Pending</v>
      </c>
    </row>
    <row r="108" customFormat="false" ht="15" hidden="false" customHeight="true" outlineLevel="0" collapsed="false">
      <c r="A108" s="165" t="s">
        <v>723</v>
      </c>
      <c r="B108" s="236" t="s">
        <v>877</v>
      </c>
      <c r="C108" s="165"/>
      <c r="D108" s="165"/>
      <c r="E108" s="238" t="n">
        <f aca="false">IFERROR(INDEX(Journal!$A:$A,MATCH($A108,Journal!$B:$B,0)),"")</f>
        <v>46378</v>
      </c>
      <c r="F108" s="165" t="str">
        <f aca="true">IF(C108="Y","Done",IF(AND(E108&lt;&gt;"",TODAY()&gt;E108),"OVERDUE","Pending"))</f>
        <v>Pending</v>
      </c>
    </row>
    <row r="109" customFormat="false" ht="15" hidden="false" customHeight="true" outlineLevel="0" collapsed="false">
      <c r="A109" s="165" t="s">
        <v>723</v>
      </c>
      <c r="B109" s="236" t="s">
        <v>878</v>
      </c>
      <c r="C109" s="165"/>
      <c r="D109" s="165"/>
      <c r="E109" s="238" t="n">
        <f aca="false">IFERROR(INDEX(Journal!$A:$A,MATCH($A109,Journal!$B:$B,0)),"")</f>
        <v>46378</v>
      </c>
      <c r="F109" s="165" t="str">
        <f aca="true">IF(C109="Y","Done",IF(AND(E109&lt;&gt;"",TODAY()&gt;E109),"OVERDUE","Pending"))</f>
        <v>Pending</v>
      </c>
    </row>
    <row r="110" customFormat="false" ht="15" hidden="false" customHeight="true" outlineLevel="0" collapsed="false">
      <c r="A110" s="165" t="s">
        <v>723</v>
      </c>
      <c r="B110" s="236" t="s">
        <v>879</v>
      </c>
      <c r="C110" s="165"/>
      <c r="D110" s="165"/>
      <c r="E110" s="238" t="n">
        <f aca="false">IFERROR(INDEX(Journal!$A:$A,MATCH($A110,Journal!$B:$B,0)),"")</f>
        <v>46378</v>
      </c>
      <c r="F110" s="165" t="str">
        <f aca="true">IF(C110="Y","Done",IF(AND(E110&lt;&gt;"",TODAY()&gt;E110),"OVERDUE","Pending"))</f>
        <v>Pending</v>
      </c>
    </row>
    <row r="111" customFormat="false" ht="15" hidden="false" customHeight="true" outlineLevel="0" collapsed="false">
      <c r="A111" s="165" t="s">
        <v>724</v>
      </c>
      <c r="B111" s="236" t="s">
        <v>886</v>
      </c>
      <c r="C111" s="165"/>
      <c r="D111" s="165"/>
      <c r="E111" s="238" t="n">
        <f aca="false">IFERROR(INDEX(Journal!$A:$A,MATCH($A111,Journal!$B:$B,0)),"")</f>
        <v>46394</v>
      </c>
      <c r="F111" s="165" t="str">
        <f aca="true">IF(C111="Y","Done",IF(AND(E111&lt;&gt;"",TODAY()&gt;E111),"OVERDUE","Pending"))</f>
        <v>Pending</v>
      </c>
    </row>
    <row r="112" customFormat="false" ht="15" hidden="false" customHeight="true" outlineLevel="0" collapsed="false">
      <c r="A112" s="165" t="s">
        <v>724</v>
      </c>
      <c r="B112" s="236" t="s">
        <v>887</v>
      </c>
      <c r="C112" s="165"/>
      <c r="D112" s="165"/>
      <c r="E112" s="238" t="n">
        <f aca="false">IFERROR(INDEX(Journal!$A:$A,MATCH($A112,Journal!$B:$B,0)),"")</f>
        <v>46394</v>
      </c>
      <c r="F112" s="165" t="str">
        <f aca="true">IF(C112="Y","Done",IF(AND(E112&lt;&gt;"",TODAY()&gt;E112),"OVERDUE","Pending"))</f>
        <v>Pending</v>
      </c>
    </row>
    <row r="113" customFormat="false" ht="45.75" hidden="false" customHeight="true" outlineLevel="0" collapsed="false">
      <c r="A113" s="165" t="s">
        <v>724</v>
      </c>
      <c r="B113" s="236" t="s">
        <v>888</v>
      </c>
      <c r="C113" s="165"/>
      <c r="D113" s="165"/>
      <c r="E113" s="238" t="n">
        <f aca="false">IFERROR(INDEX(Journal!$A:$A,MATCH($A113,Journal!$B:$B,0)),"")</f>
        <v>46394</v>
      </c>
      <c r="F113" s="165" t="str">
        <f aca="true">IF(C113="Y","Done",IF(AND(E113&lt;&gt;"",TODAY()&gt;E113),"OVERDUE","Pending"))</f>
        <v>Pending</v>
      </c>
    </row>
    <row r="114" customFormat="false" ht="15" hidden="false" customHeight="true" outlineLevel="0" collapsed="false">
      <c r="A114" s="165" t="s">
        <v>724</v>
      </c>
      <c r="B114" s="236" t="s">
        <v>889</v>
      </c>
      <c r="C114" s="165"/>
      <c r="D114" s="165"/>
      <c r="E114" s="238" t="n">
        <f aca="false">IFERROR(INDEX(Journal!$A:$A,MATCH($A114,Journal!$B:$B,0)),"")</f>
        <v>46394</v>
      </c>
      <c r="F114" s="165" t="str">
        <f aca="true">IF(C114="Y","Done",IF(AND(E114&lt;&gt;"",TODAY()&gt;E114),"OVERDUE","Pending"))</f>
        <v>Pending</v>
      </c>
    </row>
    <row r="115" customFormat="false" ht="34.5" hidden="false" customHeight="true" outlineLevel="0" collapsed="false">
      <c r="A115" s="165" t="s">
        <v>724</v>
      </c>
      <c r="B115" s="236" t="s">
        <v>890</v>
      </c>
      <c r="C115" s="165"/>
      <c r="D115" s="165"/>
      <c r="E115" s="238" t="n">
        <f aca="false">IFERROR(INDEX(Journal!$A:$A,MATCH($A115,Journal!$B:$B,0)),"")</f>
        <v>46394</v>
      </c>
      <c r="F115" s="165" t="str">
        <f aca="true">IF(C115="Y","Done",IF(AND(E115&lt;&gt;"",TODAY()&gt;E115),"OVERDUE","Pending"))</f>
        <v>Pending</v>
      </c>
    </row>
    <row r="116" customFormat="false" ht="34.5" hidden="false" customHeight="true" outlineLevel="0" collapsed="false">
      <c r="A116" s="165" t="s">
        <v>724</v>
      </c>
      <c r="B116" s="236" t="s">
        <v>892</v>
      </c>
      <c r="C116" s="165"/>
      <c r="D116" s="165"/>
      <c r="E116" s="238" t="n">
        <f aca="false">IFERROR(INDEX(Journal!$A:$A,MATCH($A116,Journal!$B:$B,0)),"")</f>
        <v>46394</v>
      </c>
      <c r="F116" s="165" t="str">
        <f aca="true">IF(C116="Y","Done",IF(AND(E116&lt;&gt;"",TODAY()&gt;E116),"OVERDUE","Pending"))</f>
        <v>Pending</v>
      </c>
    </row>
    <row r="117" customFormat="false" ht="34.5" hidden="false" customHeight="true" outlineLevel="0" collapsed="false">
      <c r="A117" s="165" t="s">
        <v>724</v>
      </c>
      <c r="B117" s="236" t="s">
        <v>893</v>
      </c>
      <c r="C117" s="165"/>
      <c r="D117" s="165"/>
      <c r="E117" s="238" t="n">
        <f aca="false">IFERROR(INDEX(Journal!$A:$A,MATCH($A117,Journal!$B:$B,0)),"")</f>
        <v>46394</v>
      </c>
      <c r="F117" s="165" t="str">
        <f aca="true">IF(C117="Y","Done",IF(AND(E117&lt;&gt;"",TODAY()&gt;E117),"OVERDUE","Pending"))</f>
        <v>Pending</v>
      </c>
    </row>
    <row r="118" customFormat="false" ht="15" hidden="false" customHeight="true" outlineLevel="0" collapsed="false">
      <c r="A118" s="165" t="s">
        <v>724</v>
      </c>
      <c r="B118" s="236" t="s">
        <v>891</v>
      </c>
      <c r="C118" s="165"/>
      <c r="D118" s="165"/>
      <c r="E118" s="238" t="n">
        <f aca="false">IFERROR(INDEX(Journal!$A:$A,MATCH($A118,Journal!$B:$B,0)),"")</f>
        <v>46394</v>
      </c>
      <c r="F118" s="165" t="str">
        <f aca="true">IF(C118="Y","Done",IF(AND(E118&lt;&gt;"",TODAY()&gt;E118),"OVERDUE","Pending"))</f>
        <v>Pending</v>
      </c>
    </row>
    <row r="119" customFormat="false" ht="15" hidden="false" customHeight="true" outlineLevel="0" collapsed="false">
      <c r="A119" s="165" t="s">
        <v>724</v>
      </c>
      <c r="B119" s="236" t="s">
        <v>877</v>
      </c>
      <c r="C119" s="165"/>
      <c r="D119" s="165"/>
      <c r="E119" s="238" t="n">
        <f aca="false">IFERROR(INDEX(Journal!$A:$A,MATCH($A119,Journal!$B:$B,0)),"")</f>
        <v>46394</v>
      </c>
      <c r="F119" s="165" t="str">
        <f aca="true">IF(C119="Y","Done",IF(AND(E119&lt;&gt;"",TODAY()&gt;E119),"OVERDUE","Pending"))</f>
        <v>Pending</v>
      </c>
    </row>
    <row r="120" customFormat="false" ht="15" hidden="false" customHeight="true" outlineLevel="0" collapsed="false">
      <c r="A120" s="165" t="s">
        <v>724</v>
      </c>
      <c r="B120" s="236" t="s">
        <v>878</v>
      </c>
      <c r="C120" s="165"/>
      <c r="D120" s="165"/>
      <c r="E120" s="238" t="n">
        <f aca="false">IFERROR(INDEX(Journal!$A:$A,MATCH($A120,Journal!$B:$B,0)),"")</f>
        <v>46394</v>
      </c>
      <c r="F120" s="165" t="str">
        <f aca="true">IF(C120="Y","Done",IF(AND(E120&lt;&gt;"",TODAY()&gt;E120),"OVERDUE","Pending"))</f>
        <v>Pending</v>
      </c>
    </row>
    <row r="121" customFormat="false" ht="15" hidden="false" customHeight="true" outlineLevel="0" collapsed="false">
      <c r="A121" s="165" t="s">
        <v>724</v>
      </c>
      <c r="B121" s="236" t="s">
        <v>879</v>
      </c>
      <c r="C121" s="165"/>
      <c r="D121" s="165"/>
      <c r="E121" s="238" t="n">
        <f aca="false">IFERROR(INDEX(Journal!$A:$A,MATCH($A121,Journal!$B:$B,0)),"")</f>
        <v>46394</v>
      </c>
      <c r="F121" s="165" t="str">
        <f aca="true">IF(C121="Y","Done",IF(AND(E121&lt;&gt;"",TODAY()&gt;E121),"OVERDUE","Pending"))</f>
        <v>Pending</v>
      </c>
    </row>
  </sheetData>
  <mergeCells count="1">
    <mergeCell ref="A1:F1"/>
  </mergeCells>
  <conditionalFormatting sqref="F5:F121">
    <cfRule type="cellIs" priority="2" operator="equal" aboveAverage="0" equalAverage="0" bottom="0" percent="0" rank="0" text="" dxfId="28">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8">
      <formula>0</formula>
    </cfRule>
  </conditionalFormatting>
  <printOptions headings="false" gridLines="false" gridLinesSet="true" horizontalCentered="false" verticalCentered="false"/>
  <pageMargins left="0.25" right="0.25" top="0.3" bottom="0.4" header="0.511811023622047" footer="0.170138888888889"/>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E2" activeCellId="0" sqref="E2"/>
    </sheetView>
  </sheetViews>
  <sheetFormatPr defaultColWidth="8.66796875" defaultRowHeight="13.5" customHeight="false" zeroHeight="false" outlineLevelRow="0" outlineLevelCol="0"/>
  <cols>
    <col collapsed="false" customWidth="true" hidden="false" outlineLevel="0" max="1" min="1" style="239" width="5"/>
    <col collapsed="false" customWidth="true" hidden="false" outlineLevel="0" max="2" min="2" style="24" width="80"/>
    <col collapsed="false" customWidth="true" hidden="false" outlineLevel="0" max="3" min="3" style="24" width="9"/>
    <col collapsed="false" customWidth="true" hidden="false" outlineLevel="0" max="4" min="4" style="24" width="12"/>
    <col collapsed="false" customWidth="true" hidden="false" outlineLevel="0" max="5" min="5" style="239" width="16.83"/>
    <col collapsed="false" customWidth="true" hidden="false" outlineLevel="0" max="6" min="6" style="240" width="75.83"/>
    <col collapsed="false" customWidth="false" hidden="false" outlineLevel="0" max="16384" min="7" style="24" width="8.67"/>
  </cols>
  <sheetData>
    <row r="1" customFormat="false" ht="23.25" hidden="false" customHeight="true" outlineLevel="0" collapsed="false">
      <c r="A1" s="241" t="s">
        <v>894</v>
      </c>
      <c r="B1" s="241"/>
      <c r="C1" s="241"/>
      <c r="D1" s="241"/>
      <c r="E1" s="241"/>
      <c r="F1" s="241"/>
    </row>
    <row r="2" customFormat="false" ht="13.5" hidden="false" customHeight="true" outlineLevel="0" collapsed="false">
      <c r="A2" s="242" t="s">
        <v>895</v>
      </c>
      <c r="B2" s="243"/>
      <c r="C2" s="244" t="n">
        <f aca="false">SUMPRODUCT(($A$5:$A$200&lt;&gt;"")*($C$5:$C$200&lt;&gt;"Y"))</f>
        <v>32</v>
      </c>
      <c r="D2" s="243"/>
      <c r="F2" s="245"/>
    </row>
    <row r="3" customFormat="false" ht="13.5" hidden="false" customHeight="true" outlineLevel="0" collapsed="false">
      <c r="A3" s="243"/>
      <c r="B3" s="243"/>
      <c r="C3" s="243"/>
      <c r="D3" s="243"/>
      <c r="F3" s="245"/>
    </row>
    <row r="4" customFormat="false" ht="33.75" hidden="false" customHeight="true" outlineLevel="0" collapsed="false">
      <c r="A4" s="161" t="s">
        <v>896</v>
      </c>
      <c r="B4" s="161" t="s">
        <v>897</v>
      </c>
      <c r="C4" s="161" t="s">
        <v>869</v>
      </c>
      <c r="D4" s="161" t="s">
        <v>898</v>
      </c>
      <c r="E4" s="161" t="s">
        <v>899</v>
      </c>
      <c r="F4" s="161" t="s">
        <v>219</v>
      </c>
    </row>
    <row r="5" customFormat="false" ht="27.75" hidden="false" customHeight="true" outlineLevel="0" collapsed="false">
      <c r="A5" s="246" t="n">
        <v>1</v>
      </c>
      <c r="B5" s="247" t="s">
        <v>900</v>
      </c>
      <c r="C5" s="246" t="s">
        <v>222</v>
      </c>
      <c r="D5" s="248" t="n">
        <v>46276</v>
      </c>
      <c r="E5" s="248" t="n">
        <v>46276</v>
      </c>
      <c r="F5" s="247" t="s">
        <v>901</v>
      </c>
    </row>
    <row r="6" customFormat="false" ht="27.75" hidden="false" customHeight="true" outlineLevel="0" collapsed="false">
      <c r="A6" s="246" t="n">
        <v>2</v>
      </c>
      <c r="B6" s="247" t="s">
        <v>902</v>
      </c>
      <c r="C6" s="246" t="s">
        <v>222</v>
      </c>
      <c r="D6" s="248" t="n">
        <v>46276</v>
      </c>
      <c r="E6" s="248" t="n">
        <v>46276</v>
      </c>
      <c r="F6" s="247" t="s">
        <v>903</v>
      </c>
    </row>
    <row r="7" customFormat="false" ht="27.75" hidden="false" customHeight="true" outlineLevel="0" collapsed="false">
      <c r="A7" s="246" t="n">
        <v>3</v>
      </c>
      <c r="B7" s="247" t="s">
        <v>904</v>
      </c>
      <c r="C7" s="246" t="s">
        <v>222</v>
      </c>
      <c r="D7" s="248" t="n">
        <v>46260</v>
      </c>
      <c r="E7" s="248" t="n">
        <v>46278</v>
      </c>
      <c r="F7" s="247" t="s">
        <v>905</v>
      </c>
    </row>
    <row r="8" customFormat="false" ht="27.75" hidden="false" customHeight="true" outlineLevel="0" collapsed="false">
      <c r="A8" s="246" t="n">
        <v>4</v>
      </c>
      <c r="B8" s="247" t="s">
        <v>906</v>
      </c>
      <c r="C8" s="246"/>
      <c r="D8" s="248" t="n">
        <v>46273</v>
      </c>
      <c r="E8" s="248"/>
      <c r="F8" s="247"/>
    </row>
    <row r="9" customFormat="false" ht="27.75" hidden="false" customHeight="true" outlineLevel="0" collapsed="false">
      <c r="A9" s="246" t="n">
        <v>5</v>
      </c>
      <c r="B9" s="247" t="s">
        <v>907</v>
      </c>
      <c r="C9" s="246"/>
      <c r="D9" s="248" t="n">
        <v>46273</v>
      </c>
      <c r="E9" s="248"/>
      <c r="F9" s="247"/>
    </row>
    <row r="10" customFormat="false" ht="27.75" hidden="false" customHeight="true" outlineLevel="0" collapsed="false">
      <c r="A10" s="246" t="n">
        <v>6</v>
      </c>
      <c r="B10" s="247" t="s">
        <v>908</v>
      </c>
      <c r="C10" s="246"/>
      <c r="D10" s="248" t="n">
        <v>46273</v>
      </c>
      <c r="E10" s="248"/>
      <c r="F10" s="247"/>
    </row>
    <row r="11" customFormat="false" ht="340.5" hidden="false" customHeight="true" outlineLevel="0" collapsed="false">
      <c r="A11" s="246" t="n">
        <v>7</v>
      </c>
      <c r="B11" s="247" t="s">
        <v>909</v>
      </c>
      <c r="C11" s="246"/>
      <c r="D11" s="248" t="n">
        <v>46258</v>
      </c>
      <c r="E11" s="248"/>
      <c r="F11" s="247" t="s">
        <v>910</v>
      </c>
    </row>
    <row r="12" customFormat="false" ht="27.75" hidden="false" customHeight="true" outlineLevel="0" collapsed="false">
      <c r="A12" s="246" t="n">
        <v>8</v>
      </c>
      <c r="B12" s="247" t="s">
        <v>911</v>
      </c>
      <c r="C12" s="246"/>
      <c r="D12" s="248" t="n">
        <v>46252</v>
      </c>
      <c r="E12" s="248"/>
      <c r="F12" s="247"/>
    </row>
    <row r="13" customFormat="false" ht="42" hidden="false" customHeight="true" outlineLevel="0" collapsed="false">
      <c r="A13" s="246" t="n">
        <v>9</v>
      </c>
      <c r="B13" s="247" t="s">
        <v>912</v>
      </c>
      <c r="C13" s="246"/>
      <c r="D13" s="248" t="n">
        <v>46276</v>
      </c>
      <c r="E13" s="248"/>
      <c r="F13" s="247" t="s">
        <v>913</v>
      </c>
    </row>
    <row r="14" customFormat="false" ht="27.75" hidden="false" customHeight="true" outlineLevel="0" collapsed="false">
      <c r="A14" s="246" t="n">
        <v>10</v>
      </c>
      <c r="B14" s="247" t="s">
        <v>914</v>
      </c>
      <c r="C14" s="246"/>
      <c r="D14" s="248" t="n">
        <v>46260</v>
      </c>
      <c r="E14" s="248"/>
      <c r="F14" s="247"/>
    </row>
    <row r="15" customFormat="false" ht="70.5" hidden="false" customHeight="true" outlineLevel="0" collapsed="false">
      <c r="A15" s="246" t="n">
        <v>11</v>
      </c>
      <c r="B15" s="247" t="s">
        <v>915</v>
      </c>
      <c r="C15" s="246" t="s">
        <v>222</v>
      </c>
      <c r="D15" s="248" t="n">
        <v>46276</v>
      </c>
      <c r="E15" s="249" t="n">
        <v>46278</v>
      </c>
      <c r="F15" s="247" t="s">
        <v>916</v>
      </c>
    </row>
    <row r="16" customFormat="false" ht="45" hidden="false" customHeight="true" outlineLevel="0" collapsed="false">
      <c r="A16" s="246" t="n">
        <v>12</v>
      </c>
      <c r="B16" s="247" t="s">
        <v>917</v>
      </c>
      <c r="C16" s="250" t="s">
        <v>222</v>
      </c>
      <c r="D16" s="251" t="n">
        <v>46278</v>
      </c>
      <c r="E16" s="252" t="n">
        <v>46278</v>
      </c>
      <c r="F16" s="253" t="s">
        <v>918</v>
      </c>
    </row>
    <row r="17" customFormat="false" ht="55.5" hidden="false" customHeight="true" outlineLevel="0" collapsed="false">
      <c r="A17" s="246" t="n">
        <v>13</v>
      </c>
      <c r="B17" s="247" t="s">
        <v>919</v>
      </c>
      <c r="C17" s="250"/>
      <c r="D17" s="251" t="n">
        <v>46294</v>
      </c>
      <c r="E17" s="254"/>
      <c r="F17" s="253"/>
    </row>
    <row r="18" customFormat="false" ht="178.5" hidden="false" customHeight="true" outlineLevel="0" collapsed="false">
      <c r="A18" s="246" t="n">
        <v>14</v>
      </c>
      <c r="B18" s="247" t="s">
        <v>920</v>
      </c>
      <c r="C18" s="250"/>
      <c r="D18" s="251" t="n">
        <v>46295</v>
      </c>
      <c r="E18" s="254"/>
      <c r="F18" s="253" t="s">
        <v>921</v>
      </c>
    </row>
    <row r="19" customFormat="false" ht="42" hidden="false" customHeight="true" outlineLevel="0" collapsed="false">
      <c r="A19" s="246" t="n">
        <v>15</v>
      </c>
      <c r="B19" s="247" t="s">
        <v>922</v>
      </c>
      <c r="C19" s="250"/>
      <c r="D19" s="251" t="n">
        <v>46295</v>
      </c>
      <c r="E19" s="254"/>
      <c r="F19" s="253" t="s">
        <v>923</v>
      </c>
    </row>
    <row r="20" customFormat="false" ht="27.75" hidden="false" customHeight="true" outlineLevel="0" collapsed="false">
      <c r="A20" s="246" t="n">
        <v>16</v>
      </c>
      <c r="B20" s="247" t="s">
        <v>924</v>
      </c>
      <c r="C20" s="250"/>
      <c r="D20" s="251" t="n">
        <v>46295</v>
      </c>
      <c r="E20" s="254"/>
      <c r="F20" s="253" t="s">
        <v>925</v>
      </c>
    </row>
    <row r="21" customFormat="false" ht="55.5" hidden="false" customHeight="true" outlineLevel="0" collapsed="false">
      <c r="A21" s="246" t="n">
        <v>17</v>
      </c>
      <c r="B21" s="247" t="s">
        <v>926</v>
      </c>
      <c r="C21" s="250"/>
      <c r="D21" s="251" t="n">
        <v>46296</v>
      </c>
      <c r="E21" s="254"/>
      <c r="F21" s="253" t="s">
        <v>927</v>
      </c>
    </row>
    <row r="22" customFormat="false" ht="69.75" hidden="false" customHeight="true" outlineLevel="0" collapsed="false">
      <c r="A22" s="246" t="n">
        <v>18</v>
      </c>
      <c r="B22" s="247" t="s">
        <v>928</v>
      </c>
      <c r="C22" s="250"/>
      <c r="D22" s="251" t="n">
        <v>46296</v>
      </c>
      <c r="E22" s="254"/>
      <c r="F22" s="253" t="s">
        <v>929</v>
      </c>
    </row>
    <row r="23" customFormat="false" ht="151.5" hidden="false" customHeight="true" outlineLevel="0" collapsed="false">
      <c r="A23" s="246" t="n">
        <v>19</v>
      </c>
      <c r="B23" s="247" t="s">
        <v>930</v>
      </c>
      <c r="C23" s="250"/>
      <c r="D23" s="251" t="n">
        <v>46297</v>
      </c>
      <c r="E23" s="254"/>
      <c r="F23" s="253" t="s">
        <v>931</v>
      </c>
    </row>
    <row r="24" customFormat="false" ht="325.5" hidden="false" customHeight="true" outlineLevel="0" collapsed="false">
      <c r="A24" s="246" t="n">
        <v>20</v>
      </c>
      <c r="B24" s="247" t="s">
        <v>932</v>
      </c>
      <c r="C24" s="250"/>
      <c r="D24" s="251" t="n">
        <v>46297</v>
      </c>
      <c r="E24" s="254"/>
      <c r="F24" s="253" t="s">
        <v>933</v>
      </c>
    </row>
    <row r="25" customFormat="false" ht="60" hidden="false" customHeight="true" outlineLevel="0" collapsed="false">
      <c r="A25" s="246" t="n">
        <v>21</v>
      </c>
      <c r="B25" s="247" t="s">
        <v>934</v>
      </c>
      <c r="C25" s="250"/>
      <c r="D25" s="251" t="n">
        <v>46297</v>
      </c>
      <c r="E25" s="254"/>
      <c r="F25" s="253" t="s">
        <v>935</v>
      </c>
    </row>
    <row r="26" customFormat="false" ht="55.5" hidden="false" customHeight="true" outlineLevel="0" collapsed="false">
      <c r="A26" s="246" t="n">
        <v>22</v>
      </c>
      <c r="B26" s="247" t="s">
        <v>936</v>
      </c>
      <c r="C26" s="250"/>
      <c r="D26" s="251" t="n">
        <v>46297</v>
      </c>
      <c r="E26" s="254"/>
      <c r="F26" s="253" t="s">
        <v>937</v>
      </c>
    </row>
    <row r="27" customFormat="false" ht="42" hidden="false" customHeight="true" outlineLevel="0" collapsed="false">
      <c r="A27" s="246" t="n">
        <v>23</v>
      </c>
      <c r="B27" s="247" t="s">
        <v>938</v>
      </c>
      <c r="C27" s="250"/>
      <c r="D27" s="251" t="n">
        <v>46297</v>
      </c>
      <c r="E27" s="254"/>
      <c r="F27" s="253" t="s">
        <v>939</v>
      </c>
    </row>
    <row r="28" customFormat="false" ht="124.5" hidden="false" customHeight="true" outlineLevel="0" collapsed="false">
      <c r="A28" s="246" t="n">
        <v>24</v>
      </c>
      <c r="B28" s="247" t="s">
        <v>940</v>
      </c>
      <c r="C28" s="250" t="s">
        <v>222</v>
      </c>
      <c r="D28" s="251" t="n">
        <v>46297</v>
      </c>
      <c r="E28" s="252" t="n">
        <v>46301</v>
      </c>
      <c r="F28" s="253" t="s">
        <v>941</v>
      </c>
    </row>
    <row r="29" customFormat="false" ht="55.5" hidden="false" customHeight="true" outlineLevel="0" collapsed="false">
      <c r="A29" s="246" t="n">
        <v>25</v>
      </c>
      <c r="B29" s="247" t="s">
        <v>942</v>
      </c>
      <c r="C29" s="250"/>
      <c r="D29" s="251" t="n">
        <v>46299</v>
      </c>
      <c r="E29" s="254"/>
      <c r="F29" s="253" t="s">
        <v>943</v>
      </c>
    </row>
    <row r="30" customFormat="false" ht="30" hidden="false" customHeight="true" outlineLevel="0" collapsed="false">
      <c r="A30" s="246" t="n">
        <v>26</v>
      </c>
      <c r="B30" s="247" t="s">
        <v>944</v>
      </c>
      <c r="C30" s="250"/>
      <c r="D30" s="251" t="n">
        <v>46299</v>
      </c>
      <c r="E30" s="254"/>
      <c r="F30" s="253" t="s">
        <v>945</v>
      </c>
    </row>
    <row r="31" customFormat="false" ht="42" hidden="false" customHeight="true" outlineLevel="0" collapsed="false">
      <c r="A31" s="246" t="n">
        <v>27</v>
      </c>
      <c r="B31" s="247" t="s">
        <v>946</v>
      </c>
      <c r="C31" s="250"/>
      <c r="D31" s="251" t="n">
        <v>46299</v>
      </c>
      <c r="E31" s="254"/>
      <c r="F31" s="253" t="s">
        <v>947</v>
      </c>
    </row>
    <row r="32" customFormat="false" ht="69.75" hidden="false" customHeight="true" outlineLevel="0" collapsed="false">
      <c r="A32" s="246" t="n">
        <v>28</v>
      </c>
      <c r="B32" s="247" t="s">
        <v>948</v>
      </c>
      <c r="C32" s="250" t="s">
        <v>222</v>
      </c>
      <c r="D32" s="251" t="n">
        <v>46299</v>
      </c>
      <c r="E32" s="248" t="n">
        <v>46299</v>
      </c>
      <c r="F32" s="253" t="s">
        <v>949</v>
      </c>
    </row>
    <row r="33" customFormat="false" ht="181.5" hidden="false" customHeight="true" outlineLevel="0" collapsed="false">
      <c r="A33" s="246" t="n">
        <v>29</v>
      </c>
      <c r="B33" s="247" t="s">
        <v>950</v>
      </c>
      <c r="C33" s="250" t="s">
        <v>222</v>
      </c>
      <c r="D33" s="251" t="n">
        <v>46299</v>
      </c>
      <c r="E33" s="248" t="n">
        <v>46299</v>
      </c>
      <c r="F33" s="253" t="s">
        <v>951</v>
      </c>
    </row>
    <row r="34" customFormat="false" ht="64.5" hidden="false" customHeight="true" outlineLevel="0" collapsed="false">
      <c r="A34" s="246" t="n">
        <v>30</v>
      </c>
      <c r="B34" s="247" t="s">
        <v>952</v>
      </c>
      <c r="C34" s="250"/>
      <c r="D34" s="251" t="n">
        <v>46299</v>
      </c>
      <c r="E34" s="248"/>
      <c r="F34" s="253" t="s">
        <v>953</v>
      </c>
    </row>
    <row r="35" customFormat="false" ht="150" hidden="false" customHeight="true" outlineLevel="0" collapsed="false">
      <c r="A35" s="246" t="n">
        <v>31</v>
      </c>
      <c r="B35" s="247" t="s">
        <v>954</v>
      </c>
      <c r="C35" s="250" t="s">
        <v>222</v>
      </c>
      <c r="D35" s="251" t="n">
        <v>46300</v>
      </c>
      <c r="E35" s="248" t="n">
        <v>46300</v>
      </c>
      <c r="F35" s="253" t="s">
        <v>955</v>
      </c>
    </row>
    <row r="36" customFormat="false" ht="94.5" hidden="false" customHeight="true" outlineLevel="0" collapsed="false">
      <c r="A36" s="246" t="n">
        <v>32</v>
      </c>
      <c r="B36" s="247" t="s">
        <v>956</v>
      </c>
      <c r="C36" s="250"/>
      <c r="D36" s="251" t="n">
        <v>46300</v>
      </c>
      <c r="E36" s="248"/>
      <c r="F36" s="253" t="s">
        <v>957</v>
      </c>
    </row>
    <row r="37" customFormat="false" ht="138" hidden="false" customHeight="true" outlineLevel="0" collapsed="false">
      <c r="A37" s="246" t="n">
        <v>33</v>
      </c>
      <c r="B37" s="247" t="s">
        <v>958</v>
      </c>
      <c r="C37" s="250"/>
      <c r="D37" s="251" t="n">
        <v>46301</v>
      </c>
      <c r="E37" s="248"/>
      <c r="F37" s="253" t="s">
        <v>959</v>
      </c>
    </row>
    <row r="38" customFormat="false" ht="111" hidden="false" customHeight="true" outlineLevel="0" collapsed="false">
      <c r="A38" s="246" t="n">
        <v>34</v>
      </c>
      <c r="B38" s="247" t="s">
        <v>960</v>
      </c>
      <c r="C38" s="250"/>
      <c r="D38" s="251" t="n">
        <v>46301</v>
      </c>
      <c r="E38" s="248"/>
      <c r="F38" s="253" t="s">
        <v>961</v>
      </c>
    </row>
    <row r="39" customFormat="false" ht="111" hidden="false" customHeight="true" outlineLevel="0" collapsed="false">
      <c r="A39" s="246" t="n">
        <v>35</v>
      </c>
      <c r="B39" s="247" t="s">
        <v>962</v>
      </c>
      <c r="C39" s="250"/>
      <c r="D39" s="251" t="n">
        <v>46301</v>
      </c>
      <c r="E39" s="248"/>
      <c r="F39" s="253" t="s">
        <v>963</v>
      </c>
    </row>
    <row r="40" customFormat="false" ht="178.5" hidden="false" customHeight="true" outlineLevel="0" collapsed="false">
      <c r="A40" s="246" t="n">
        <v>36</v>
      </c>
      <c r="B40" s="247" t="s">
        <v>964</v>
      </c>
      <c r="C40" s="250"/>
      <c r="D40" s="251" t="n">
        <v>46302</v>
      </c>
      <c r="E40" s="248"/>
      <c r="F40" s="253" t="s">
        <v>965</v>
      </c>
    </row>
    <row r="41" customFormat="false" ht="399.75" hidden="false" customHeight="true" outlineLevel="0" collapsed="false">
      <c r="A41" s="246" t="n">
        <v>37</v>
      </c>
      <c r="B41" s="247" t="s">
        <v>966</v>
      </c>
      <c r="C41" s="250"/>
      <c r="D41" s="251" t="n">
        <v>46302</v>
      </c>
      <c r="E41" s="248"/>
      <c r="F41" s="253" t="s">
        <v>967</v>
      </c>
    </row>
    <row r="42" customFormat="false" ht="57" hidden="false" customHeight="true" outlineLevel="0" collapsed="false">
      <c r="A42" s="246" t="n">
        <v>38</v>
      </c>
      <c r="B42" s="247" t="s">
        <v>968</v>
      </c>
      <c r="C42" s="250"/>
      <c r="D42" s="251" t="n">
        <v>46302</v>
      </c>
      <c r="E42" s="248"/>
      <c r="F42" s="253" t="s">
        <v>969</v>
      </c>
    </row>
    <row r="43" customFormat="false" ht="138" hidden="false" customHeight="true" outlineLevel="0" collapsed="false">
      <c r="A43" s="246" t="n">
        <v>39</v>
      </c>
      <c r="B43" s="247" t="s">
        <v>970</v>
      </c>
      <c r="C43" s="250" t="s">
        <v>222</v>
      </c>
      <c r="D43" s="251" t="n">
        <v>46302</v>
      </c>
      <c r="E43" s="248" t="n">
        <v>46303</v>
      </c>
      <c r="F43" s="253" t="s">
        <v>971</v>
      </c>
    </row>
    <row r="44" customFormat="false" ht="246" hidden="false" customHeight="true" outlineLevel="0" collapsed="false">
      <c r="A44" s="246" t="n">
        <v>40</v>
      </c>
      <c r="B44" s="247" t="s">
        <v>972</v>
      </c>
      <c r="C44" s="250" t="s">
        <v>222</v>
      </c>
      <c r="D44" s="251" t="n">
        <v>46302</v>
      </c>
      <c r="E44" s="248" t="n">
        <v>46303</v>
      </c>
      <c r="F44" s="253" t="s">
        <v>973</v>
      </c>
    </row>
    <row r="45" customFormat="false" ht="246" hidden="false" customHeight="true" outlineLevel="0" collapsed="false">
      <c r="A45" s="246" t="n">
        <v>41</v>
      </c>
      <c r="B45" s="247" t="s">
        <v>974</v>
      </c>
      <c r="C45" s="250" t="s">
        <v>222</v>
      </c>
      <c r="D45" s="251" t="n">
        <v>46303</v>
      </c>
      <c r="E45" s="248" t="n">
        <v>46303</v>
      </c>
      <c r="F45" s="253" t="s">
        <v>975</v>
      </c>
    </row>
    <row r="46" customFormat="false" ht="178.5" hidden="false" customHeight="true" outlineLevel="0" collapsed="false">
      <c r="A46" s="246" t="n">
        <v>42</v>
      </c>
      <c r="B46" s="247" t="s">
        <v>976</v>
      </c>
      <c r="C46" s="250"/>
      <c r="D46" s="251" t="n">
        <v>46303</v>
      </c>
      <c r="E46" s="248"/>
      <c r="F46" s="253" t="s">
        <v>977</v>
      </c>
    </row>
    <row r="47" customFormat="false" ht="367.5" hidden="false" customHeight="true" outlineLevel="0" collapsed="false">
      <c r="A47" s="246" t="n">
        <v>43</v>
      </c>
      <c r="B47" s="247" t="s">
        <v>978</v>
      </c>
      <c r="C47" s="250"/>
      <c r="D47" s="251" t="n">
        <v>46303</v>
      </c>
      <c r="E47" s="248"/>
      <c r="F47" s="253" t="s">
        <v>979</v>
      </c>
    </row>
    <row r="48" customFormat="false" ht="151.5" hidden="false" customHeight="true" outlineLevel="0" collapsed="false">
      <c r="A48" s="246" t="n">
        <v>44</v>
      </c>
      <c r="B48" s="247" t="s">
        <v>980</v>
      </c>
      <c r="C48" s="250"/>
      <c r="D48" s="251" t="n">
        <v>46303</v>
      </c>
      <c r="E48" s="248"/>
      <c r="F48" s="253" t="s">
        <v>981</v>
      </c>
    </row>
    <row r="49" customFormat="false" ht="219" hidden="false" customHeight="true" outlineLevel="0" collapsed="false">
      <c r="A49" s="246" t="n">
        <v>45</v>
      </c>
      <c r="B49" s="247" t="s">
        <v>982</v>
      </c>
      <c r="C49" s="250" t="s">
        <v>222</v>
      </c>
      <c r="D49" s="251" t="n">
        <v>46303</v>
      </c>
      <c r="E49" s="248" t="n">
        <v>46303</v>
      </c>
      <c r="F49" s="253" t="s">
        <v>983</v>
      </c>
    </row>
    <row r="50" customFormat="false" ht="13.5" hidden="false" customHeight="true" outlineLevel="0" collapsed="false">
      <c r="A50" s="254"/>
      <c r="B50" s="250"/>
      <c r="C50" s="250"/>
      <c r="D50" s="250"/>
      <c r="E50" s="254"/>
      <c r="F50" s="253"/>
    </row>
    <row r="51" customFormat="false" ht="13.5" hidden="false" customHeight="true" outlineLevel="0" collapsed="false">
      <c r="A51" s="254"/>
      <c r="B51" s="250"/>
      <c r="C51" s="250"/>
      <c r="D51" s="250"/>
      <c r="E51" s="254"/>
      <c r="F51" s="253"/>
    </row>
    <row r="52" customFormat="false" ht="13.5" hidden="false" customHeight="true" outlineLevel="0" collapsed="false">
      <c r="A52" s="254"/>
      <c r="B52" s="250"/>
      <c r="C52" s="250"/>
      <c r="D52" s="250"/>
      <c r="E52" s="254"/>
      <c r="F52" s="253"/>
    </row>
    <row r="53" customFormat="false" ht="13.5" hidden="false" customHeight="true" outlineLevel="0" collapsed="false">
      <c r="A53" s="254"/>
      <c r="B53" s="250"/>
      <c r="C53" s="250"/>
      <c r="D53" s="250"/>
      <c r="E53" s="254"/>
      <c r="F53" s="253"/>
    </row>
    <row r="54" customFormat="false" ht="13.5" hidden="false" customHeight="true" outlineLevel="0" collapsed="false">
      <c r="A54" s="254"/>
      <c r="B54" s="250"/>
      <c r="C54" s="250"/>
      <c r="D54" s="250"/>
      <c r="E54" s="254"/>
      <c r="F54" s="253"/>
    </row>
    <row r="55" customFormat="false" ht="13.5" hidden="false" customHeight="true" outlineLevel="0" collapsed="false">
      <c r="A55" s="254"/>
      <c r="B55" s="250"/>
      <c r="C55" s="250"/>
      <c r="D55" s="250"/>
      <c r="E55" s="254"/>
      <c r="F55" s="253"/>
    </row>
    <row r="56" customFormat="false" ht="13.5" hidden="false" customHeight="true" outlineLevel="0" collapsed="false">
      <c r="A56" s="254"/>
      <c r="B56" s="250"/>
      <c r="C56" s="250"/>
      <c r="D56" s="250"/>
      <c r="E56" s="254"/>
      <c r="F56" s="253"/>
    </row>
    <row r="57" customFormat="false" ht="13.5" hidden="false" customHeight="true" outlineLevel="0" collapsed="false">
      <c r="A57" s="254"/>
      <c r="B57" s="250"/>
      <c r="C57" s="250"/>
      <c r="D57" s="250"/>
      <c r="E57" s="254"/>
      <c r="F57" s="253"/>
    </row>
    <row r="58" customFormat="false" ht="13.5" hidden="false" customHeight="true" outlineLevel="0" collapsed="false">
      <c r="A58" s="254"/>
      <c r="B58" s="250"/>
      <c r="C58" s="250"/>
      <c r="D58" s="250"/>
      <c r="E58" s="254"/>
      <c r="F58" s="253"/>
    </row>
    <row r="59" customFormat="false" ht="13.5" hidden="false" customHeight="true" outlineLevel="0" collapsed="false">
      <c r="A59" s="254"/>
      <c r="B59" s="250"/>
      <c r="C59" s="250"/>
      <c r="D59" s="250"/>
      <c r="E59" s="254"/>
      <c r="F59" s="253"/>
    </row>
    <row r="60" customFormat="false" ht="13.5" hidden="false" customHeight="true" outlineLevel="0" collapsed="false">
      <c r="A60" s="254"/>
      <c r="B60" s="250"/>
      <c r="C60" s="250"/>
      <c r="D60" s="250"/>
      <c r="E60" s="254"/>
      <c r="F60" s="253"/>
    </row>
    <row r="61" customFormat="false" ht="13.5" hidden="false" customHeight="true" outlineLevel="0" collapsed="false">
      <c r="A61" s="254"/>
      <c r="B61" s="250"/>
      <c r="C61" s="250"/>
      <c r="D61" s="250"/>
      <c r="E61" s="254"/>
      <c r="F61" s="253"/>
    </row>
    <row r="62" customFormat="false" ht="13.5" hidden="false" customHeight="true" outlineLevel="0" collapsed="false">
      <c r="A62" s="254"/>
      <c r="B62" s="250"/>
      <c r="C62" s="250"/>
      <c r="D62" s="250"/>
      <c r="E62" s="254"/>
      <c r="F62" s="253"/>
    </row>
    <row r="63" customFormat="false" ht="13.5" hidden="false" customHeight="true" outlineLevel="0" collapsed="false">
      <c r="A63" s="254"/>
      <c r="B63" s="250"/>
      <c r="C63" s="250"/>
      <c r="D63" s="250"/>
      <c r="E63" s="254"/>
      <c r="F63" s="253"/>
    </row>
    <row r="64" customFormat="false" ht="13.5" hidden="false" customHeight="true" outlineLevel="0" collapsed="false">
      <c r="A64" s="254"/>
      <c r="B64" s="250"/>
      <c r="C64" s="250"/>
      <c r="D64" s="250"/>
      <c r="E64" s="254"/>
      <c r="F64" s="253"/>
    </row>
    <row r="65" customFormat="false" ht="13.5" hidden="false" customHeight="true" outlineLevel="0" collapsed="false">
      <c r="A65" s="254"/>
      <c r="B65" s="250"/>
      <c r="C65" s="250"/>
      <c r="D65" s="250"/>
      <c r="E65" s="254"/>
      <c r="F65" s="253"/>
    </row>
    <row r="66" customFormat="false" ht="13.5" hidden="false" customHeight="true" outlineLevel="0" collapsed="false">
      <c r="A66" s="254"/>
      <c r="B66" s="250"/>
      <c r="C66" s="250"/>
      <c r="D66" s="250"/>
      <c r="E66" s="254"/>
      <c r="F66" s="253"/>
    </row>
    <row r="67" customFormat="false" ht="13.5" hidden="false" customHeight="true" outlineLevel="0" collapsed="false">
      <c r="A67" s="254"/>
      <c r="B67" s="250"/>
      <c r="C67" s="250"/>
      <c r="D67" s="250"/>
      <c r="E67" s="254"/>
      <c r="F67" s="253"/>
    </row>
    <row r="68" customFormat="false" ht="13.5" hidden="false" customHeight="true" outlineLevel="0" collapsed="false">
      <c r="A68" s="254"/>
      <c r="B68" s="250"/>
      <c r="C68" s="250"/>
      <c r="D68" s="250"/>
      <c r="E68" s="254"/>
      <c r="F68" s="253"/>
    </row>
    <row r="69" customFormat="false" ht="13.5" hidden="false" customHeight="true" outlineLevel="0" collapsed="false">
      <c r="A69" s="254"/>
      <c r="B69" s="250"/>
      <c r="C69" s="250"/>
      <c r="D69" s="250"/>
      <c r="E69" s="254"/>
      <c r="F69" s="253"/>
    </row>
    <row r="70" customFormat="false" ht="13.5" hidden="false" customHeight="true" outlineLevel="0" collapsed="false">
      <c r="A70" s="254"/>
      <c r="B70" s="250"/>
      <c r="C70" s="250"/>
      <c r="D70" s="250"/>
      <c r="E70" s="254"/>
      <c r="F70" s="253"/>
    </row>
    <row r="71" customFormat="false" ht="13.5" hidden="false" customHeight="true" outlineLevel="0" collapsed="false">
      <c r="A71" s="254"/>
      <c r="B71" s="250"/>
      <c r="C71" s="250"/>
      <c r="D71" s="250"/>
      <c r="E71" s="254"/>
      <c r="F71" s="253"/>
    </row>
    <row r="72" customFormat="false" ht="13.5" hidden="false" customHeight="true" outlineLevel="0" collapsed="false">
      <c r="A72" s="254"/>
      <c r="B72" s="250"/>
      <c r="C72" s="250"/>
      <c r="D72" s="250"/>
      <c r="E72" s="254"/>
      <c r="F72" s="253"/>
    </row>
    <row r="73" customFormat="false" ht="13.5" hidden="false" customHeight="true" outlineLevel="0" collapsed="false">
      <c r="A73" s="254"/>
      <c r="B73" s="250"/>
      <c r="C73" s="250"/>
      <c r="D73" s="250"/>
      <c r="E73" s="254"/>
      <c r="F73" s="253"/>
    </row>
    <row r="74" customFormat="false" ht="13.5" hidden="false" customHeight="true" outlineLevel="0" collapsed="false">
      <c r="A74" s="254"/>
      <c r="B74" s="250"/>
      <c r="C74" s="250"/>
      <c r="D74" s="250"/>
      <c r="E74" s="254"/>
      <c r="F74" s="253"/>
    </row>
    <row r="75" customFormat="false" ht="13.5" hidden="false" customHeight="true" outlineLevel="0" collapsed="false">
      <c r="A75" s="254"/>
      <c r="B75" s="250"/>
      <c r="C75" s="250"/>
      <c r="D75" s="250"/>
      <c r="E75" s="254"/>
      <c r="F75" s="253"/>
    </row>
    <row r="76" customFormat="false" ht="13.5" hidden="false" customHeight="true" outlineLevel="0" collapsed="false">
      <c r="A76" s="254"/>
      <c r="B76" s="250"/>
      <c r="C76" s="250"/>
      <c r="D76" s="250"/>
      <c r="E76" s="254"/>
      <c r="F76" s="253"/>
    </row>
    <row r="77" customFormat="false" ht="13.5" hidden="false" customHeight="true" outlineLevel="0" collapsed="false">
      <c r="A77" s="254"/>
      <c r="B77" s="250"/>
      <c r="C77" s="250"/>
      <c r="D77" s="250"/>
      <c r="E77" s="254"/>
      <c r="F77" s="253"/>
    </row>
    <row r="78" customFormat="false" ht="13.5" hidden="false" customHeight="true" outlineLevel="0" collapsed="false">
      <c r="A78" s="254"/>
      <c r="B78" s="250"/>
      <c r="C78" s="250"/>
      <c r="D78" s="250"/>
      <c r="E78" s="254"/>
      <c r="F78" s="253"/>
    </row>
    <row r="79" customFormat="false" ht="13.5" hidden="false" customHeight="true" outlineLevel="0" collapsed="false">
      <c r="A79" s="254"/>
      <c r="B79" s="250"/>
      <c r="C79" s="250"/>
      <c r="D79" s="250"/>
      <c r="E79" s="254"/>
      <c r="F79" s="253"/>
    </row>
    <row r="80" customFormat="false" ht="13.5" hidden="false" customHeight="true" outlineLevel="0" collapsed="false">
      <c r="A80" s="254"/>
      <c r="B80" s="250"/>
      <c r="C80" s="250"/>
      <c r="D80" s="250"/>
      <c r="E80" s="254"/>
      <c r="F80" s="253"/>
    </row>
    <row r="81" customFormat="false" ht="13.5" hidden="false" customHeight="true" outlineLevel="0" collapsed="false">
      <c r="A81" s="254"/>
      <c r="B81" s="250"/>
      <c r="C81" s="250"/>
      <c r="D81" s="250"/>
      <c r="E81" s="254"/>
      <c r="F81" s="253"/>
    </row>
    <row r="82" customFormat="false" ht="13.5" hidden="false" customHeight="true" outlineLevel="0" collapsed="false">
      <c r="A82" s="254"/>
      <c r="B82" s="250"/>
      <c r="C82" s="250"/>
      <c r="D82" s="250"/>
      <c r="E82" s="254"/>
      <c r="F82" s="253"/>
    </row>
    <row r="83" customFormat="false" ht="13.5" hidden="false" customHeight="true" outlineLevel="0" collapsed="false">
      <c r="A83" s="254"/>
      <c r="B83" s="250"/>
      <c r="C83" s="250"/>
      <c r="D83" s="250"/>
      <c r="E83" s="254"/>
      <c r="F83" s="253"/>
    </row>
    <row r="84" customFormat="false" ht="13.5" hidden="false" customHeight="true" outlineLevel="0" collapsed="false">
      <c r="A84" s="254"/>
      <c r="B84" s="250"/>
      <c r="C84" s="250"/>
      <c r="D84" s="250"/>
      <c r="E84" s="254"/>
      <c r="F84" s="253"/>
    </row>
    <row r="85" customFormat="false" ht="13.5" hidden="false" customHeight="true" outlineLevel="0" collapsed="false">
      <c r="A85" s="254"/>
      <c r="B85" s="250"/>
      <c r="C85" s="250"/>
      <c r="D85" s="250"/>
      <c r="E85" s="254"/>
      <c r="F85" s="253"/>
    </row>
    <row r="86" customFormat="false" ht="13.5" hidden="false" customHeight="true" outlineLevel="0" collapsed="false">
      <c r="A86" s="254"/>
      <c r="B86" s="250"/>
      <c r="C86" s="250"/>
      <c r="D86" s="250"/>
      <c r="E86" s="254"/>
      <c r="F86" s="253"/>
    </row>
    <row r="87" customFormat="false" ht="13.5" hidden="false" customHeight="true" outlineLevel="0" collapsed="false">
      <c r="A87" s="254"/>
      <c r="B87" s="250"/>
      <c r="C87" s="250"/>
      <c r="D87" s="250"/>
      <c r="E87" s="254"/>
      <c r="F87" s="253"/>
    </row>
    <row r="88" customFormat="false" ht="13.5" hidden="false" customHeight="true" outlineLevel="0" collapsed="false">
      <c r="A88" s="254"/>
      <c r="B88" s="250"/>
      <c r="C88" s="250"/>
      <c r="D88" s="250"/>
      <c r="E88" s="254"/>
      <c r="F88" s="253"/>
    </row>
    <row r="89" customFormat="false" ht="13.5" hidden="false" customHeight="true" outlineLevel="0" collapsed="false">
      <c r="A89" s="254"/>
      <c r="B89" s="250"/>
      <c r="C89" s="250"/>
      <c r="D89" s="250"/>
      <c r="E89" s="254"/>
      <c r="F89" s="253"/>
    </row>
    <row r="90" customFormat="false" ht="13.5" hidden="false" customHeight="true" outlineLevel="0" collapsed="false">
      <c r="A90" s="254"/>
      <c r="B90" s="250"/>
      <c r="C90" s="250"/>
      <c r="D90" s="250"/>
      <c r="E90" s="254"/>
      <c r="F90" s="253"/>
    </row>
    <row r="91" customFormat="false" ht="13.5" hidden="false" customHeight="true" outlineLevel="0" collapsed="false">
      <c r="A91" s="254"/>
      <c r="B91" s="250"/>
      <c r="C91" s="250"/>
      <c r="D91" s="250"/>
      <c r="E91" s="254"/>
      <c r="F91" s="253"/>
    </row>
    <row r="92" customFormat="false" ht="13.5" hidden="false" customHeight="true" outlineLevel="0" collapsed="false">
      <c r="A92" s="254"/>
      <c r="B92" s="250"/>
      <c r="C92" s="250"/>
      <c r="D92" s="250"/>
      <c r="E92" s="254"/>
      <c r="F92" s="253"/>
    </row>
    <row r="93" customFormat="false" ht="13.5" hidden="false" customHeight="true" outlineLevel="0" collapsed="false">
      <c r="A93" s="254"/>
      <c r="B93" s="250"/>
      <c r="C93" s="250"/>
      <c r="D93" s="250"/>
      <c r="E93" s="254"/>
      <c r="F93" s="253"/>
    </row>
    <row r="94" customFormat="false" ht="13.5" hidden="false" customHeight="true" outlineLevel="0" collapsed="false">
      <c r="A94" s="254"/>
      <c r="B94" s="250"/>
      <c r="C94" s="250"/>
      <c r="D94" s="250"/>
      <c r="E94" s="254"/>
      <c r="F94" s="253"/>
    </row>
    <row r="95" customFormat="false" ht="13.5" hidden="false" customHeight="true" outlineLevel="0" collapsed="false">
      <c r="A95" s="254"/>
      <c r="B95" s="250"/>
      <c r="C95" s="250"/>
      <c r="D95" s="250"/>
      <c r="E95" s="254"/>
      <c r="F95" s="253"/>
    </row>
    <row r="96" customFormat="false" ht="13.5" hidden="false" customHeight="true" outlineLevel="0" collapsed="false">
      <c r="A96" s="254"/>
      <c r="B96" s="250"/>
      <c r="C96" s="250"/>
      <c r="D96" s="250"/>
      <c r="E96" s="254"/>
      <c r="F96" s="253"/>
    </row>
    <row r="97" customFormat="false" ht="13.5" hidden="false" customHeight="true" outlineLevel="0" collapsed="false">
      <c r="A97" s="254"/>
      <c r="B97" s="250"/>
      <c r="C97" s="250"/>
      <c r="D97" s="250"/>
      <c r="E97" s="254"/>
      <c r="F97" s="253"/>
    </row>
    <row r="98" customFormat="false" ht="13.5" hidden="false" customHeight="true" outlineLevel="0" collapsed="false">
      <c r="A98" s="254"/>
      <c r="B98" s="250"/>
      <c r="C98" s="250"/>
      <c r="D98" s="250"/>
      <c r="E98" s="254"/>
      <c r="F98" s="253"/>
    </row>
    <row r="99" customFormat="false" ht="13.5" hidden="false" customHeight="true" outlineLevel="0" collapsed="false">
      <c r="A99" s="254"/>
      <c r="B99" s="250"/>
      <c r="C99" s="250"/>
      <c r="D99" s="250"/>
      <c r="E99" s="254"/>
      <c r="F99" s="253"/>
    </row>
    <row r="100" customFormat="false" ht="13.5" hidden="false" customHeight="true" outlineLevel="0" collapsed="false">
      <c r="A100" s="254"/>
      <c r="B100" s="250"/>
      <c r="C100" s="250"/>
      <c r="D100" s="250"/>
      <c r="E100" s="254"/>
      <c r="F100" s="253"/>
    </row>
    <row r="101" customFormat="false" ht="13.5" hidden="false" customHeight="true" outlineLevel="0" collapsed="false">
      <c r="A101" s="254"/>
      <c r="B101" s="250"/>
      <c r="C101" s="250"/>
      <c r="D101" s="250"/>
      <c r="E101" s="254"/>
      <c r="F101" s="253"/>
    </row>
    <row r="102" customFormat="false" ht="13.5" hidden="false" customHeight="true" outlineLevel="0" collapsed="false">
      <c r="A102" s="254"/>
      <c r="B102" s="250"/>
      <c r="C102" s="250"/>
      <c r="D102" s="250"/>
      <c r="E102" s="254"/>
      <c r="F102" s="253"/>
    </row>
    <row r="103" customFormat="false" ht="13.5" hidden="false" customHeight="true" outlineLevel="0" collapsed="false">
      <c r="A103" s="254"/>
      <c r="B103" s="250"/>
      <c r="C103" s="250"/>
      <c r="D103" s="250"/>
      <c r="E103" s="254"/>
      <c r="F103" s="253"/>
    </row>
    <row r="104" customFormat="false" ht="13.5" hidden="false" customHeight="true" outlineLevel="0" collapsed="false">
      <c r="A104" s="254"/>
      <c r="B104" s="250"/>
      <c r="C104" s="250"/>
      <c r="D104" s="250"/>
      <c r="E104" s="254"/>
      <c r="F104" s="253"/>
    </row>
    <row r="105" customFormat="false" ht="13.5" hidden="false" customHeight="true" outlineLevel="0" collapsed="false">
      <c r="A105" s="254"/>
      <c r="B105" s="250"/>
      <c r="C105" s="250"/>
      <c r="D105" s="250"/>
      <c r="E105" s="254"/>
      <c r="F105" s="253"/>
    </row>
    <row r="106" customFormat="false" ht="13.5" hidden="false" customHeight="true" outlineLevel="0" collapsed="false">
      <c r="A106" s="254"/>
      <c r="B106" s="250"/>
      <c r="C106" s="250"/>
      <c r="D106" s="250"/>
      <c r="E106" s="254"/>
      <c r="F106" s="253"/>
    </row>
    <row r="107" customFormat="false" ht="13.5" hidden="false" customHeight="true" outlineLevel="0" collapsed="false">
      <c r="A107" s="254"/>
      <c r="B107" s="250"/>
      <c r="C107" s="250"/>
      <c r="D107" s="250"/>
      <c r="E107" s="254"/>
      <c r="F107" s="253"/>
    </row>
    <row r="108" customFormat="false" ht="13.5" hidden="false" customHeight="true" outlineLevel="0" collapsed="false">
      <c r="A108" s="254"/>
      <c r="B108" s="250"/>
      <c r="C108" s="250"/>
      <c r="D108" s="250"/>
      <c r="E108" s="254"/>
      <c r="F108" s="253"/>
    </row>
    <row r="109" customFormat="false" ht="13.5" hidden="false" customHeight="true" outlineLevel="0" collapsed="false">
      <c r="A109" s="254"/>
      <c r="B109" s="250"/>
      <c r="C109" s="250"/>
      <c r="D109" s="250"/>
      <c r="E109" s="254"/>
      <c r="F109" s="253"/>
    </row>
    <row r="110" customFormat="false" ht="13.5" hidden="false" customHeight="true" outlineLevel="0" collapsed="false">
      <c r="A110" s="254"/>
      <c r="B110" s="250"/>
      <c r="C110" s="250"/>
      <c r="D110" s="250"/>
      <c r="E110" s="254"/>
      <c r="F110" s="253"/>
    </row>
    <row r="111" customFormat="false" ht="13.5" hidden="false" customHeight="true" outlineLevel="0" collapsed="false">
      <c r="A111" s="254"/>
      <c r="B111" s="250"/>
      <c r="C111" s="250"/>
      <c r="D111" s="250"/>
      <c r="E111" s="254"/>
      <c r="F111" s="253"/>
    </row>
    <row r="112" customFormat="false" ht="13.5" hidden="false" customHeight="true" outlineLevel="0" collapsed="false">
      <c r="A112" s="254"/>
      <c r="B112" s="250"/>
      <c r="C112" s="250"/>
      <c r="D112" s="250"/>
      <c r="E112" s="254"/>
      <c r="F112" s="253"/>
    </row>
    <row r="113" customFormat="false" ht="13.5" hidden="false" customHeight="true" outlineLevel="0" collapsed="false">
      <c r="A113" s="254"/>
      <c r="B113" s="250"/>
      <c r="C113" s="250"/>
      <c r="D113" s="250"/>
      <c r="E113" s="254"/>
      <c r="F113" s="253"/>
    </row>
    <row r="114" customFormat="false" ht="13.5" hidden="false" customHeight="true" outlineLevel="0" collapsed="false">
      <c r="A114" s="254"/>
      <c r="B114" s="250"/>
      <c r="C114" s="250"/>
      <c r="D114" s="250"/>
      <c r="E114" s="254"/>
      <c r="F114" s="253"/>
    </row>
    <row r="115" customFormat="false" ht="13.5" hidden="false" customHeight="true" outlineLevel="0" collapsed="false">
      <c r="A115" s="254"/>
      <c r="B115" s="250"/>
      <c r="C115" s="250"/>
      <c r="D115" s="250"/>
      <c r="E115" s="254"/>
      <c r="F115" s="253"/>
    </row>
    <row r="116" customFormat="false" ht="13.5" hidden="false" customHeight="true" outlineLevel="0" collapsed="false">
      <c r="A116" s="254"/>
      <c r="B116" s="250"/>
      <c r="C116" s="250"/>
      <c r="D116" s="250"/>
      <c r="E116" s="254"/>
      <c r="F116" s="253"/>
    </row>
    <row r="117" customFormat="false" ht="13.5" hidden="false" customHeight="true" outlineLevel="0" collapsed="false">
      <c r="A117" s="254"/>
      <c r="B117" s="250"/>
      <c r="C117" s="250"/>
      <c r="D117" s="250"/>
      <c r="E117" s="254"/>
      <c r="F117" s="253"/>
    </row>
    <row r="118" customFormat="false" ht="13.5" hidden="false" customHeight="true" outlineLevel="0" collapsed="false">
      <c r="A118" s="254"/>
      <c r="B118" s="250"/>
      <c r="C118" s="250"/>
      <c r="D118" s="250"/>
      <c r="E118" s="254"/>
      <c r="F118" s="253"/>
    </row>
    <row r="119" customFormat="false" ht="13.5" hidden="false" customHeight="true" outlineLevel="0" collapsed="false">
      <c r="A119" s="254"/>
      <c r="B119" s="250"/>
      <c r="C119" s="250"/>
      <c r="D119" s="250"/>
      <c r="E119" s="254"/>
      <c r="F119" s="253"/>
    </row>
    <row r="120" customFormat="false" ht="13.5" hidden="false" customHeight="true" outlineLevel="0" collapsed="false">
      <c r="A120" s="254"/>
      <c r="B120" s="250"/>
      <c r="C120" s="250"/>
      <c r="D120" s="250"/>
      <c r="E120" s="254"/>
      <c r="F120" s="253"/>
    </row>
    <row r="121" customFormat="false" ht="13.5" hidden="false" customHeight="true" outlineLevel="0" collapsed="false">
      <c r="A121" s="254"/>
      <c r="B121" s="250"/>
      <c r="C121" s="250"/>
      <c r="D121" s="250"/>
      <c r="E121" s="254"/>
      <c r="F121" s="253"/>
    </row>
    <row r="122" customFormat="false" ht="13.5" hidden="false" customHeight="true" outlineLevel="0" collapsed="false">
      <c r="A122" s="254"/>
      <c r="B122" s="250"/>
      <c r="C122" s="250"/>
      <c r="D122" s="250"/>
      <c r="E122" s="254"/>
      <c r="F122" s="253"/>
    </row>
    <row r="123" customFormat="false" ht="13.5" hidden="false" customHeight="true" outlineLevel="0" collapsed="false">
      <c r="A123" s="254"/>
      <c r="B123" s="250"/>
      <c r="C123" s="250"/>
      <c r="D123" s="250"/>
      <c r="E123" s="254"/>
      <c r="F123" s="253"/>
    </row>
    <row r="124" customFormat="false" ht="13.5" hidden="false" customHeight="true" outlineLevel="0" collapsed="false">
      <c r="A124" s="254"/>
      <c r="B124" s="250"/>
      <c r="C124" s="250"/>
      <c r="D124" s="250"/>
      <c r="E124" s="254"/>
      <c r="F124" s="253"/>
    </row>
    <row r="125" customFormat="false" ht="13.5" hidden="false" customHeight="true" outlineLevel="0" collapsed="false">
      <c r="A125" s="254"/>
      <c r="B125" s="250"/>
      <c r="C125" s="250"/>
      <c r="D125" s="250"/>
      <c r="E125" s="254"/>
      <c r="F125" s="253"/>
    </row>
    <row r="126" customFormat="false" ht="13.5" hidden="false" customHeight="true" outlineLevel="0" collapsed="false">
      <c r="A126" s="254"/>
      <c r="B126" s="250"/>
      <c r="C126" s="250"/>
      <c r="D126" s="250"/>
      <c r="E126" s="254"/>
      <c r="F126" s="253"/>
    </row>
    <row r="127" customFormat="false" ht="13.5" hidden="false" customHeight="true" outlineLevel="0" collapsed="false">
      <c r="A127" s="254"/>
      <c r="B127" s="250"/>
      <c r="C127" s="250"/>
      <c r="D127" s="250"/>
      <c r="E127" s="254"/>
      <c r="F127" s="253"/>
    </row>
    <row r="128" customFormat="false" ht="13.5" hidden="false" customHeight="true" outlineLevel="0" collapsed="false">
      <c r="A128" s="254"/>
      <c r="B128" s="250"/>
      <c r="C128" s="250"/>
      <c r="D128" s="250"/>
      <c r="E128" s="254"/>
      <c r="F128" s="253"/>
    </row>
    <row r="129" customFormat="false" ht="13.5" hidden="false" customHeight="true" outlineLevel="0" collapsed="false">
      <c r="A129" s="254"/>
      <c r="B129" s="250"/>
      <c r="C129" s="250"/>
      <c r="D129" s="250"/>
      <c r="E129" s="254"/>
      <c r="F129" s="253"/>
    </row>
    <row r="130" customFormat="false" ht="13.5" hidden="false" customHeight="true" outlineLevel="0" collapsed="false">
      <c r="A130" s="254"/>
      <c r="B130" s="250"/>
      <c r="C130" s="250"/>
      <c r="D130" s="250"/>
      <c r="E130" s="254"/>
      <c r="F130" s="253"/>
    </row>
    <row r="131" customFormat="false" ht="13.5" hidden="false" customHeight="true" outlineLevel="0" collapsed="false">
      <c r="A131" s="254"/>
      <c r="B131" s="250"/>
      <c r="C131" s="250"/>
      <c r="D131" s="250"/>
      <c r="E131" s="254"/>
      <c r="F131" s="253"/>
    </row>
    <row r="132" customFormat="false" ht="13.5" hidden="false" customHeight="true" outlineLevel="0" collapsed="false">
      <c r="A132" s="254"/>
      <c r="B132" s="250"/>
      <c r="C132" s="250"/>
      <c r="D132" s="250"/>
      <c r="E132" s="254"/>
      <c r="F132" s="253"/>
    </row>
    <row r="133" customFormat="false" ht="13.5" hidden="false" customHeight="true" outlineLevel="0" collapsed="false">
      <c r="A133" s="254"/>
      <c r="B133" s="250"/>
      <c r="C133" s="250"/>
      <c r="D133" s="250"/>
      <c r="E133" s="254"/>
      <c r="F133" s="253"/>
    </row>
    <row r="134" customFormat="false" ht="13.5" hidden="false" customHeight="true" outlineLevel="0" collapsed="false">
      <c r="A134" s="254"/>
      <c r="B134" s="250"/>
      <c r="C134" s="250"/>
      <c r="D134" s="250"/>
      <c r="E134" s="254"/>
      <c r="F134" s="253"/>
    </row>
    <row r="135" customFormat="false" ht="13.5" hidden="false" customHeight="true" outlineLevel="0" collapsed="false">
      <c r="A135" s="254"/>
      <c r="B135" s="250"/>
      <c r="C135" s="250"/>
      <c r="D135" s="250"/>
      <c r="E135" s="254"/>
      <c r="F135" s="253"/>
    </row>
    <row r="136" customFormat="false" ht="13.5" hidden="false" customHeight="true" outlineLevel="0" collapsed="false">
      <c r="A136" s="254"/>
      <c r="B136" s="250"/>
      <c r="C136" s="250"/>
      <c r="D136" s="250"/>
      <c r="E136" s="254"/>
      <c r="F136" s="253"/>
    </row>
    <row r="137" customFormat="false" ht="13.5" hidden="false" customHeight="true" outlineLevel="0" collapsed="false">
      <c r="A137" s="254"/>
      <c r="B137" s="250"/>
      <c r="C137" s="250"/>
      <c r="D137" s="250"/>
      <c r="E137" s="254"/>
      <c r="F137" s="253"/>
    </row>
    <row r="138" customFormat="false" ht="13.5" hidden="false" customHeight="true" outlineLevel="0" collapsed="false">
      <c r="A138" s="254"/>
      <c r="B138" s="250"/>
      <c r="C138" s="250"/>
      <c r="D138" s="250"/>
      <c r="E138" s="254"/>
      <c r="F138" s="253"/>
    </row>
    <row r="139" customFormat="false" ht="13.5" hidden="false" customHeight="true" outlineLevel="0" collapsed="false">
      <c r="A139" s="254"/>
      <c r="B139" s="250"/>
      <c r="C139" s="250"/>
      <c r="D139" s="250"/>
      <c r="E139" s="254"/>
      <c r="F139" s="253"/>
    </row>
    <row r="140" customFormat="false" ht="13.5" hidden="false" customHeight="true" outlineLevel="0" collapsed="false">
      <c r="A140" s="254"/>
      <c r="B140" s="250"/>
      <c r="C140" s="250"/>
      <c r="D140" s="250"/>
      <c r="E140" s="254"/>
      <c r="F140" s="253"/>
    </row>
    <row r="141" customFormat="false" ht="13.5" hidden="false" customHeight="true" outlineLevel="0" collapsed="false">
      <c r="A141" s="254"/>
      <c r="B141" s="250"/>
      <c r="C141" s="250"/>
      <c r="D141" s="250"/>
      <c r="E141" s="254"/>
      <c r="F141" s="253"/>
    </row>
    <row r="142" customFormat="false" ht="13.5" hidden="false" customHeight="true" outlineLevel="0" collapsed="false">
      <c r="A142" s="254"/>
      <c r="B142" s="250"/>
      <c r="C142" s="250"/>
      <c r="D142" s="250"/>
      <c r="E142" s="254"/>
      <c r="F142" s="253"/>
    </row>
    <row r="143" customFormat="false" ht="13.5" hidden="false" customHeight="true" outlineLevel="0" collapsed="false">
      <c r="A143" s="254"/>
      <c r="B143" s="250"/>
      <c r="C143" s="250"/>
      <c r="D143" s="250"/>
      <c r="E143" s="254"/>
      <c r="F143" s="253"/>
    </row>
    <row r="144" customFormat="false" ht="13.5" hidden="false" customHeight="true" outlineLevel="0" collapsed="false">
      <c r="A144" s="254"/>
      <c r="B144" s="250"/>
      <c r="C144" s="250"/>
      <c r="D144" s="250"/>
      <c r="E144" s="254"/>
      <c r="F144" s="253"/>
    </row>
    <row r="145" customFormat="false" ht="13.5" hidden="false" customHeight="true" outlineLevel="0" collapsed="false">
      <c r="A145" s="254"/>
      <c r="B145" s="250"/>
      <c r="C145" s="250"/>
      <c r="D145" s="250"/>
      <c r="E145" s="254"/>
      <c r="F145" s="253"/>
    </row>
    <row r="146" customFormat="false" ht="13.5" hidden="false" customHeight="true" outlineLevel="0" collapsed="false">
      <c r="A146" s="254"/>
      <c r="B146" s="250"/>
      <c r="C146" s="250"/>
      <c r="D146" s="250"/>
      <c r="E146" s="254"/>
      <c r="F146" s="253"/>
    </row>
    <row r="147" customFormat="false" ht="13.5" hidden="false" customHeight="true" outlineLevel="0" collapsed="false">
      <c r="A147" s="254"/>
      <c r="B147" s="250"/>
      <c r="C147" s="250"/>
      <c r="D147" s="250"/>
      <c r="E147" s="254"/>
      <c r="F147" s="253"/>
    </row>
    <row r="148" customFormat="false" ht="13.5" hidden="false" customHeight="true" outlineLevel="0" collapsed="false">
      <c r="A148" s="254"/>
      <c r="B148" s="250"/>
      <c r="C148" s="250"/>
      <c r="D148" s="250"/>
      <c r="E148" s="254"/>
      <c r="F148" s="253"/>
    </row>
    <row r="149" customFormat="false" ht="13.5" hidden="false" customHeight="true" outlineLevel="0" collapsed="false">
      <c r="A149" s="254"/>
      <c r="B149" s="250"/>
      <c r="C149" s="250"/>
      <c r="D149" s="250"/>
      <c r="E149" s="254"/>
      <c r="F149" s="253"/>
    </row>
    <row r="150" customFormat="false" ht="13.5" hidden="false" customHeight="true" outlineLevel="0" collapsed="false">
      <c r="A150" s="254"/>
      <c r="B150" s="250"/>
      <c r="C150" s="250"/>
      <c r="D150" s="250"/>
      <c r="E150" s="254"/>
      <c r="F150" s="253"/>
    </row>
    <row r="151" customFormat="false" ht="13.5" hidden="false" customHeight="true" outlineLevel="0" collapsed="false">
      <c r="A151" s="254"/>
      <c r="B151" s="250"/>
      <c r="C151" s="250"/>
      <c r="D151" s="250"/>
      <c r="E151" s="254"/>
      <c r="F151" s="253"/>
    </row>
    <row r="152" customFormat="false" ht="13.5" hidden="false" customHeight="true" outlineLevel="0" collapsed="false">
      <c r="A152" s="254"/>
      <c r="B152" s="250"/>
      <c r="C152" s="250"/>
      <c r="D152" s="250"/>
      <c r="E152" s="254"/>
      <c r="F152" s="253"/>
    </row>
    <row r="153" customFormat="false" ht="13.5" hidden="false" customHeight="true" outlineLevel="0" collapsed="false">
      <c r="A153" s="254"/>
      <c r="B153" s="250"/>
      <c r="C153" s="250"/>
      <c r="D153" s="250"/>
      <c r="E153" s="254"/>
      <c r="F153" s="253"/>
    </row>
    <row r="154" customFormat="false" ht="13.5" hidden="false" customHeight="true" outlineLevel="0" collapsed="false">
      <c r="A154" s="254"/>
      <c r="B154" s="250"/>
      <c r="C154" s="250"/>
      <c r="D154" s="250"/>
      <c r="E154" s="254"/>
      <c r="F154" s="253"/>
    </row>
    <row r="155" customFormat="false" ht="13.5" hidden="false" customHeight="true" outlineLevel="0" collapsed="false">
      <c r="A155" s="254"/>
      <c r="B155" s="250"/>
      <c r="C155" s="250"/>
      <c r="D155" s="250"/>
      <c r="E155" s="254"/>
      <c r="F155" s="253"/>
    </row>
    <row r="156" customFormat="false" ht="13.5" hidden="false" customHeight="true" outlineLevel="0" collapsed="false">
      <c r="A156" s="254"/>
      <c r="B156" s="250"/>
      <c r="C156" s="250"/>
      <c r="D156" s="250"/>
      <c r="E156" s="254"/>
      <c r="F156" s="253"/>
    </row>
    <row r="157" customFormat="false" ht="13.5" hidden="false" customHeight="true" outlineLevel="0" collapsed="false">
      <c r="A157" s="254"/>
      <c r="B157" s="250"/>
      <c r="C157" s="250"/>
      <c r="D157" s="250"/>
      <c r="E157" s="254"/>
      <c r="F157" s="253"/>
    </row>
    <row r="158" customFormat="false" ht="13.5" hidden="false" customHeight="true" outlineLevel="0" collapsed="false">
      <c r="A158" s="254"/>
      <c r="B158" s="250"/>
      <c r="C158" s="250"/>
      <c r="D158" s="250"/>
      <c r="E158" s="254"/>
      <c r="F158" s="253"/>
    </row>
    <row r="159" customFormat="false" ht="13.5" hidden="false" customHeight="true" outlineLevel="0" collapsed="false">
      <c r="A159" s="254"/>
      <c r="B159" s="250"/>
      <c r="C159" s="250"/>
      <c r="D159" s="250"/>
      <c r="E159" s="254"/>
      <c r="F159" s="253"/>
    </row>
    <row r="160" customFormat="false" ht="13.5" hidden="false" customHeight="true" outlineLevel="0" collapsed="false">
      <c r="A160" s="254"/>
      <c r="B160" s="250"/>
      <c r="C160" s="250"/>
      <c r="D160" s="250"/>
      <c r="E160" s="254"/>
      <c r="F160" s="253"/>
    </row>
    <row r="161" customFormat="false" ht="13.5" hidden="false" customHeight="true" outlineLevel="0" collapsed="false">
      <c r="A161" s="254"/>
      <c r="B161" s="250"/>
      <c r="C161" s="250"/>
      <c r="D161" s="250"/>
      <c r="E161" s="254"/>
      <c r="F161" s="253"/>
    </row>
    <row r="162" customFormat="false" ht="13.5" hidden="false" customHeight="true" outlineLevel="0" collapsed="false">
      <c r="A162" s="254"/>
      <c r="B162" s="250"/>
      <c r="C162" s="250"/>
      <c r="D162" s="250"/>
      <c r="E162" s="254"/>
      <c r="F162" s="253"/>
    </row>
    <row r="163" customFormat="false" ht="13.5" hidden="false" customHeight="true" outlineLevel="0" collapsed="false">
      <c r="A163" s="254"/>
      <c r="B163" s="250"/>
      <c r="C163" s="250"/>
      <c r="D163" s="250"/>
      <c r="E163" s="254"/>
      <c r="F163" s="253"/>
    </row>
    <row r="164" customFormat="false" ht="13.5" hidden="false" customHeight="true" outlineLevel="0" collapsed="false">
      <c r="A164" s="254"/>
      <c r="B164" s="250"/>
      <c r="C164" s="250"/>
      <c r="D164" s="250"/>
      <c r="E164" s="254"/>
      <c r="F164" s="253"/>
    </row>
    <row r="165" customFormat="false" ht="13.5" hidden="false" customHeight="true" outlineLevel="0" collapsed="false">
      <c r="A165" s="254"/>
      <c r="B165" s="250"/>
      <c r="C165" s="250"/>
      <c r="D165" s="250"/>
      <c r="E165" s="254"/>
      <c r="F165" s="253"/>
    </row>
    <row r="166" customFormat="false" ht="13.5" hidden="false" customHeight="true" outlineLevel="0" collapsed="false">
      <c r="A166" s="254"/>
      <c r="B166" s="250"/>
      <c r="C166" s="250"/>
      <c r="D166" s="250"/>
      <c r="E166" s="254"/>
      <c r="F166" s="253"/>
    </row>
    <row r="167" customFormat="false" ht="13.5" hidden="false" customHeight="true" outlineLevel="0" collapsed="false">
      <c r="A167" s="254"/>
      <c r="B167" s="250"/>
      <c r="C167" s="250"/>
      <c r="D167" s="250"/>
      <c r="E167" s="254"/>
      <c r="F167" s="253"/>
    </row>
    <row r="168" customFormat="false" ht="13.5" hidden="false" customHeight="true" outlineLevel="0" collapsed="false">
      <c r="A168" s="254"/>
      <c r="B168" s="250"/>
      <c r="C168" s="250"/>
      <c r="D168" s="250"/>
      <c r="E168" s="254"/>
      <c r="F168" s="253"/>
    </row>
    <row r="169" customFormat="false" ht="13.5" hidden="false" customHeight="true" outlineLevel="0" collapsed="false">
      <c r="A169" s="254"/>
      <c r="B169" s="250"/>
      <c r="C169" s="250"/>
      <c r="D169" s="250"/>
      <c r="E169" s="254"/>
      <c r="F169" s="253"/>
    </row>
    <row r="170" customFormat="false" ht="13.5" hidden="false" customHeight="true" outlineLevel="0" collapsed="false">
      <c r="A170" s="254"/>
      <c r="B170" s="250"/>
      <c r="C170" s="250"/>
      <c r="D170" s="250"/>
      <c r="E170" s="254"/>
      <c r="F170" s="253"/>
    </row>
    <row r="171" customFormat="false" ht="13.5" hidden="false" customHeight="true" outlineLevel="0" collapsed="false">
      <c r="A171" s="254"/>
      <c r="B171" s="250"/>
      <c r="C171" s="250"/>
      <c r="D171" s="250"/>
      <c r="E171" s="254"/>
      <c r="F171" s="253"/>
    </row>
    <row r="172" customFormat="false" ht="13.5" hidden="false" customHeight="true" outlineLevel="0" collapsed="false">
      <c r="A172" s="254"/>
      <c r="B172" s="250"/>
      <c r="C172" s="250"/>
      <c r="D172" s="250"/>
      <c r="E172" s="254"/>
      <c r="F172" s="253"/>
    </row>
    <row r="173" customFormat="false" ht="13.5" hidden="false" customHeight="true" outlineLevel="0" collapsed="false">
      <c r="A173" s="254"/>
      <c r="B173" s="250"/>
      <c r="C173" s="250"/>
      <c r="D173" s="250"/>
      <c r="E173" s="254"/>
      <c r="F173" s="253"/>
    </row>
    <row r="174" customFormat="false" ht="13.5" hidden="false" customHeight="true" outlineLevel="0" collapsed="false">
      <c r="A174" s="254"/>
      <c r="B174" s="250"/>
      <c r="C174" s="250"/>
      <c r="D174" s="250"/>
      <c r="E174" s="254"/>
      <c r="F174" s="253"/>
    </row>
    <row r="175" customFormat="false" ht="13.5" hidden="false" customHeight="true" outlineLevel="0" collapsed="false">
      <c r="A175" s="254"/>
      <c r="B175" s="250"/>
      <c r="C175" s="250"/>
      <c r="D175" s="250"/>
      <c r="E175" s="254"/>
      <c r="F175" s="253"/>
    </row>
    <row r="176" customFormat="false" ht="13.5" hidden="false" customHeight="true" outlineLevel="0" collapsed="false">
      <c r="A176" s="254"/>
      <c r="B176" s="250"/>
      <c r="C176" s="250"/>
      <c r="D176" s="250"/>
      <c r="E176" s="254"/>
      <c r="F176" s="253"/>
    </row>
    <row r="177" customFormat="false" ht="13.5" hidden="false" customHeight="true" outlineLevel="0" collapsed="false">
      <c r="A177" s="254"/>
      <c r="B177" s="250"/>
      <c r="C177" s="250"/>
      <c r="D177" s="250"/>
      <c r="E177" s="254"/>
      <c r="F177" s="253"/>
    </row>
    <row r="178" customFormat="false" ht="13.5" hidden="false" customHeight="true" outlineLevel="0" collapsed="false">
      <c r="A178" s="254"/>
      <c r="B178" s="250"/>
      <c r="C178" s="250"/>
      <c r="D178" s="250"/>
      <c r="E178" s="254"/>
      <c r="F178" s="253"/>
    </row>
    <row r="179" customFormat="false" ht="13.5" hidden="false" customHeight="true" outlineLevel="0" collapsed="false">
      <c r="A179" s="254"/>
      <c r="B179" s="250"/>
      <c r="C179" s="250"/>
      <c r="D179" s="250"/>
      <c r="E179" s="254"/>
      <c r="F179" s="253"/>
    </row>
    <row r="180" customFormat="false" ht="13.5" hidden="false" customHeight="true" outlineLevel="0" collapsed="false">
      <c r="A180" s="254"/>
      <c r="B180" s="250"/>
      <c r="C180" s="250"/>
      <c r="D180" s="250"/>
      <c r="E180" s="254"/>
      <c r="F180" s="253"/>
    </row>
    <row r="181" customFormat="false" ht="13.5" hidden="false" customHeight="true" outlineLevel="0" collapsed="false">
      <c r="A181" s="254"/>
      <c r="B181" s="250"/>
      <c r="C181" s="250"/>
      <c r="D181" s="250"/>
      <c r="E181" s="254"/>
      <c r="F181" s="253"/>
    </row>
    <row r="182" customFormat="false" ht="13.5" hidden="false" customHeight="true" outlineLevel="0" collapsed="false">
      <c r="A182" s="254"/>
      <c r="B182" s="250"/>
      <c r="C182" s="250"/>
      <c r="D182" s="250"/>
      <c r="E182" s="254"/>
      <c r="F182" s="253"/>
    </row>
    <row r="183" customFormat="false" ht="13.5" hidden="false" customHeight="true" outlineLevel="0" collapsed="false">
      <c r="A183" s="254"/>
      <c r="B183" s="250"/>
      <c r="C183" s="250"/>
      <c r="D183" s="250"/>
      <c r="E183" s="254"/>
      <c r="F183" s="253"/>
    </row>
    <row r="184" customFormat="false" ht="13.5" hidden="false" customHeight="true" outlineLevel="0" collapsed="false">
      <c r="A184" s="254"/>
      <c r="B184" s="250"/>
      <c r="C184" s="250"/>
      <c r="D184" s="250"/>
      <c r="E184" s="254"/>
      <c r="F184" s="253"/>
    </row>
    <row r="185" customFormat="false" ht="13.5" hidden="false" customHeight="true" outlineLevel="0" collapsed="false">
      <c r="A185" s="254"/>
      <c r="B185" s="250"/>
      <c r="C185" s="250"/>
      <c r="D185" s="250"/>
      <c r="E185" s="254"/>
      <c r="F185" s="253"/>
    </row>
    <row r="186" customFormat="false" ht="13.5" hidden="false" customHeight="true" outlineLevel="0" collapsed="false">
      <c r="A186" s="254"/>
      <c r="B186" s="250"/>
      <c r="C186" s="250"/>
      <c r="D186" s="250"/>
      <c r="E186" s="254"/>
      <c r="F186" s="253"/>
    </row>
    <row r="187" customFormat="false" ht="13.5" hidden="false" customHeight="true" outlineLevel="0" collapsed="false">
      <c r="A187" s="254"/>
      <c r="B187" s="250"/>
      <c r="C187" s="250"/>
      <c r="D187" s="250"/>
      <c r="E187" s="254"/>
      <c r="F187" s="253"/>
    </row>
    <row r="188" customFormat="false" ht="13.5" hidden="false" customHeight="true" outlineLevel="0" collapsed="false">
      <c r="A188" s="254"/>
      <c r="B188" s="250"/>
      <c r="C188" s="250"/>
      <c r="D188" s="250"/>
      <c r="E188" s="254"/>
      <c r="F188" s="253"/>
    </row>
    <row r="189" customFormat="false" ht="13.5" hidden="false" customHeight="true" outlineLevel="0" collapsed="false">
      <c r="A189" s="254"/>
      <c r="B189" s="250"/>
      <c r="C189" s="250"/>
      <c r="D189" s="250"/>
      <c r="E189" s="254"/>
      <c r="F189" s="253"/>
    </row>
    <row r="190" customFormat="false" ht="13.5" hidden="false" customHeight="true" outlineLevel="0" collapsed="false">
      <c r="A190" s="254"/>
      <c r="B190" s="250"/>
      <c r="C190" s="250"/>
      <c r="D190" s="250"/>
      <c r="E190" s="254"/>
      <c r="F190" s="253"/>
    </row>
    <row r="191" customFormat="false" ht="13.5" hidden="false" customHeight="true" outlineLevel="0" collapsed="false">
      <c r="A191" s="254"/>
      <c r="B191" s="250"/>
      <c r="C191" s="250"/>
      <c r="D191" s="250"/>
      <c r="E191" s="254"/>
      <c r="F191" s="253"/>
    </row>
    <row r="192" customFormat="false" ht="13.5" hidden="false" customHeight="true" outlineLevel="0" collapsed="false">
      <c r="A192" s="254"/>
      <c r="B192" s="250"/>
      <c r="C192" s="250"/>
      <c r="D192" s="250"/>
      <c r="E192" s="254"/>
      <c r="F192" s="253"/>
    </row>
    <row r="193" customFormat="false" ht="13.5" hidden="false" customHeight="true" outlineLevel="0" collapsed="false">
      <c r="A193" s="254"/>
      <c r="B193" s="250"/>
      <c r="C193" s="250"/>
      <c r="D193" s="250"/>
      <c r="E193" s="254"/>
      <c r="F193" s="253"/>
    </row>
    <row r="194" customFormat="false" ht="13.5" hidden="false" customHeight="true" outlineLevel="0" collapsed="false">
      <c r="A194" s="254"/>
      <c r="B194" s="250"/>
      <c r="C194" s="250"/>
      <c r="D194" s="250"/>
      <c r="E194" s="254"/>
      <c r="F194" s="253"/>
    </row>
    <row r="195" customFormat="false" ht="13.5" hidden="false" customHeight="true" outlineLevel="0" collapsed="false">
      <c r="A195" s="254"/>
      <c r="B195" s="250"/>
      <c r="C195" s="250"/>
      <c r="D195" s="250"/>
      <c r="E195" s="254"/>
      <c r="F195" s="253"/>
    </row>
    <row r="196" customFormat="false" ht="13.5" hidden="false" customHeight="true" outlineLevel="0" collapsed="false">
      <c r="A196" s="254"/>
      <c r="B196" s="250"/>
      <c r="C196" s="250"/>
      <c r="D196" s="250"/>
      <c r="E196" s="254"/>
      <c r="F196" s="253"/>
    </row>
    <row r="197" customFormat="false" ht="13.5" hidden="false" customHeight="true" outlineLevel="0" collapsed="false">
      <c r="A197" s="254"/>
      <c r="B197" s="250"/>
      <c r="C197" s="250"/>
      <c r="D197" s="250"/>
      <c r="E197" s="254"/>
      <c r="F197" s="253"/>
    </row>
    <row r="198" customFormat="false" ht="13.5" hidden="false" customHeight="true" outlineLevel="0" collapsed="false">
      <c r="A198" s="254"/>
      <c r="B198" s="250"/>
      <c r="C198" s="250"/>
      <c r="D198" s="250"/>
      <c r="E198" s="254"/>
      <c r="F198" s="253"/>
    </row>
    <row r="199" customFormat="false" ht="13.5" hidden="false" customHeight="true" outlineLevel="0" collapsed="false">
      <c r="A199" s="254"/>
      <c r="B199" s="250"/>
      <c r="C199" s="250"/>
      <c r="D199" s="250"/>
      <c r="E199" s="254"/>
      <c r="F199" s="253"/>
    </row>
    <row r="200" customFormat="false" ht="13.5" hidden="false" customHeight="true" outlineLevel="0" collapsed="false">
      <c r="A200" s="254"/>
      <c r="B200" s="250"/>
      <c r="C200" s="250"/>
      <c r="D200" s="250"/>
      <c r="E200" s="254"/>
      <c r="F200" s="253"/>
    </row>
    <row r="201" customFormat="false" ht="13.5" hidden="false" customHeight="true" outlineLevel="0" collapsed="false">
      <c r="A201" s="254"/>
      <c r="B201" s="250"/>
      <c r="C201" s="250"/>
      <c r="D201" s="250"/>
      <c r="E201" s="254"/>
      <c r="F201" s="253"/>
    </row>
    <row r="202" customFormat="false" ht="13.5" hidden="false" customHeight="true" outlineLevel="0" collapsed="false">
      <c r="A202" s="254"/>
      <c r="B202" s="250"/>
      <c r="C202" s="250"/>
      <c r="D202" s="250"/>
      <c r="E202" s="254"/>
      <c r="F202" s="253"/>
    </row>
    <row r="203" customFormat="false" ht="13.5" hidden="false" customHeight="true" outlineLevel="0" collapsed="false">
      <c r="A203" s="254"/>
      <c r="B203" s="250"/>
      <c r="C203" s="250"/>
      <c r="D203" s="250"/>
      <c r="E203" s="254"/>
      <c r="F203" s="253"/>
    </row>
    <row r="204" customFormat="false" ht="13.5" hidden="false" customHeight="true" outlineLevel="0" collapsed="false">
      <c r="A204" s="254"/>
      <c r="B204" s="250"/>
      <c r="C204" s="250"/>
      <c r="D204" s="250"/>
      <c r="E204" s="254"/>
      <c r="F204" s="253"/>
    </row>
    <row r="205" customFormat="false" ht="13.5" hidden="false" customHeight="true" outlineLevel="0" collapsed="false">
      <c r="A205" s="254"/>
      <c r="B205" s="250"/>
      <c r="C205" s="250"/>
      <c r="D205" s="250"/>
      <c r="E205" s="254"/>
      <c r="F205" s="253"/>
    </row>
    <row r="206" customFormat="false" ht="13.5" hidden="false" customHeight="true" outlineLevel="0" collapsed="false">
      <c r="A206" s="254"/>
      <c r="B206" s="250"/>
      <c r="C206" s="250"/>
      <c r="D206" s="250"/>
      <c r="E206" s="254"/>
      <c r="F206" s="253"/>
    </row>
    <row r="207" customFormat="false" ht="13.5" hidden="false" customHeight="true" outlineLevel="0" collapsed="false">
      <c r="A207" s="254"/>
      <c r="B207" s="250"/>
      <c r="C207" s="250"/>
      <c r="D207" s="250"/>
      <c r="E207" s="254"/>
      <c r="F207" s="253"/>
    </row>
    <row r="208" customFormat="false" ht="13.5" hidden="false" customHeight="true" outlineLevel="0" collapsed="false">
      <c r="A208" s="254"/>
      <c r="B208" s="250"/>
      <c r="C208" s="250"/>
      <c r="D208" s="250"/>
      <c r="E208" s="254"/>
      <c r="F208" s="253"/>
    </row>
    <row r="209" customFormat="false" ht="13.5" hidden="false" customHeight="true" outlineLevel="0" collapsed="false">
      <c r="A209" s="254"/>
      <c r="B209" s="250"/>
      <c r="C209" s="250"/>
      <c r="D209" s="250"/>
      <c r="E209" s="254"/>
      <c r="F209" s="253"/>
    </row>
    <row r="210" customFormat="false" ht="13.5" hidden="false" customHeight="true" outlineLevel="0" collapsed="false">
      <c r="A210" s="254"/>
      <c r="B210" s="250"/>
      <c r="C210" s="250"/>
      <c r="D210" s="250"/>
      <c r="E210" s="254"/>
      <c r="F210" s="253"/>
    </row>
    <row r="211" customFormat="false" ht="13.5" hidden="false" customHeight="true" outlineLevel="0" collapsed="false">
      <c r="A211" s="254"/>
      <c r="B211" s="250"/>
      <c r="C211" s="250"/>
      <c r="D211" s="250"/>
      <c r="E211" s="254"/>
      <c r="F211" s="253"/>
    </row>
    <row r="212" customFormat="false" ht="13.5" hidden="false" customHeight="true" outlineLevel="0" collapsed="false">
      <c r="A212" s="254"/>
      <c r="B212" s="250"/>
      <c r="C212" s="250"/>
      <c r="D212" s="250"/>
      <c r="E212" s="254"/>
      <c r="F212" s="253"/>
    </row>
    <row r="213" customFormat="false" ht="13.5" hidden="false" customHeight="true" outlineLevel="0" collapsed="false">
      <c r="A213" s="254"/>
      <c r="B213" s="250"/>
      <c r="C213" s="250"/>
      <c r="D213" s="250"/>
      <c r="E213" s="254"/>
      <c r="F213" s="253"/>
    </row>
    <row r="214" customFormat="false" ht="13.5" hidden="false" customHeight="true" outlineLevel="0" collapsed="false">
      <c r="A214" s="254"/>
      <c r="B214" s="250"/>
      <c r="C214" s="250"/>
      <c r="D214" s="250"/>
      <c r="E214" s="254"/>
      <c r="F214" s="253"/>
    </row>
    <row r="215" customFormat="false" ht="13.5" hidden="false" customHeight="true" outlineLevel="0" collapsed="false">
      <c r="A215" s="254"/>
      <c r="B215" s="250"/>
      <c r="C215" s="250"/>
      <c r="D215" s="250"/>
      <c r="E215" s="254"/>
      <c r="F215" s="253"/>
    </row>
    <row r="216" customFormat="false" ht="13.5" hidden="false" customHeight="true" outlineLevel="0" collapsed="false">
      <c r="A216" s="254"/>
      <c r="B216" s="250"/>
      <c r="C216" s="250"/>
      <c r="D216" s="250"/>
      <c r="E216" s="254"/>
      <c r="F216" s="253"/>
    </row>
    <row r="217" customFormat="false" ht="13.5" hidden="false" customHeight="true" outlineLevel="0" collapsed="false">
      <c r="A217" s="254"/>
      <c r="B217" s="250"/>
      <c r="C217" s="250"/>
      <c r="D217" s="250"/>
      <c r="E217" s="254"/>
      <c r="F217" s="253"/>
    </row>
    <row r="218" customFormat="false" ht="13.5" hidden="false" customHeight="true" outlineLevel="0" collapsed="false">
      <c r="A218" s="254"/>
      <c r="B218" s="250"/>
      <c r="C218" s="250"/>
      <c r="D218" s="250"/>
      <c r="E218" s="254"/>
      <c r="F218" s="253"/>
    </row>
    <row r="219" customFormat="false" ht="13.5" hidden="false" customHeight="true" outlineLevel="0" collapsed="false">
      <c r="A219" s="254"/>
      <c r="B219" s="250"/>
      <c r="C219" s="250"/>
      <c r="D219" s="250"/>
      <c r="E219" s="254"/>
      <c r="F219" s="253"/>
    </row>
    <row r="220" customFormat="false" ht="13.5" hidden="false" customHeight="true" outlineLevel="0" collapsed="false">
      <c r="A220" s="254"/>
      <c r="B220" s="250"/>
      <c r="C220" s="250"/>
      <c r="D220" s="250"/>
      <c r="E220" s="254"/>
      <c r="F220" s="253"/>
    </row>
    <row r="221" customFormat="false" ht="13.5" hidden="false" customHeight="true" outlineLevel="0" collapsed="false">
      <c r="A221" s="254"/>
      <c r="B221" s="250"/>
      <c r="C221" s="250"/>
      <c r="D221" s="250"/>
      <c r="E221" s="254"/>
      <c r="F221" s="253"/>
    </row>
    <row r="222" customFormat="false" ht="13.5" hidden="false" customHeight="true" outlineLevel="0" collapsed="false">
      <c r="A222" s="254"/>
      <c r="B222" s="250"/>
      <c r="C222" s="250"/>
      <c r="D222" s="250"/>
      <c r="E222" s="254"/>
      <c r="F222" s="253"/>
    </row>
    <row r="223" customFormat="false" ht="13.5" hidden="false" customHeight="true" outlineLevel="0" collapsed="false">
      <c r="A223" s="254"/>
      <c r="B223" s="250"/>
      <c r="C223" s="250"/>
      <c r="D223" s="250"/>
      <c r="E223" s="254"/>
      <c r="F223" s="253"/>
    </row>
    <row r="224" customFormat="false" ht="13.5" hidden="false" customHeight="true" outlineLevel="0" collapsed="false">
      <c r="A224" s="254"/>
      <c r="B224" s="250"/>
      <c r="C224" s="250"/>
      <c r="D224" s="250"/>
      <c r="E224" s="254"/>
      <c r="F224" s="253"/>
    </row>
    <row r="225" customFormat="false" ht="13.5" hidden="false" customHeight="true" outlineLevel="0" collapsed="false">
      <c r="A225" s="254"/>
      <c r="B225" s="250"/>
      <c r="C225" s="250"/>
      <c r="D225" s="250"/>
      <c r="E225" s="254"/>
      <c r="F225" s="253"/>
    </row>
    <row r="226" customFormat="false" ht="13.5" hidden="false" customHeight="true" outlineLevel="0" collapsed="false">
      <c r="A226" s="254"/>
      <c r="B226" s="250"/>
      <c r="C226" s="250"/>
      <c r="D226" s="250"/>
      <c r="E226" s="254"/>
      <c r="F226" s="253"/>
    </row>
    <row r="227" customFormat="false" ht="13.5" hidden="false" customHeight="true" outlineLevel="0" collapsed="false">
      <c r="A227" s="254"/>
      <c r="B227" s="250"/>
      <c r="C227" s="250"/>
      <c r="D227" s="250"/>
      <c r="E227" s="254"/>
      <c r="F227" s="253"/>
    </row>
    <row r="228" customFormat="false" ht="13.5" hidden="false" customHeight="true" outlineLevel="0" collapsed="false">
      <c r="A228" s="254"/>
      <c r="B228" s="250"/>
      <c r="C228" s="250"/>
      <c r="D228" s="250"/>
      <c r="E228" s="254"/>
      <c r="F228" s="253"/>
    </row>
    <row r="229" customFormat="false" ht="13.5" hidden="false" customHeight="true" outlineLevel="0" collapsed="false">
      <c r="A229" s="254"/>
      <c r="B229" s="250"/>
      <c r="C229" s="250"/>
      <c r="D229" s="250"/>
      <c r="E229" s="254"/>
      <c r="F229" s="253"/>
    </row>
    <row r="230" customFormat="false" ht="13.5" hidden="false" customHeight="true" outlineLevel="0" collapsed="false">
      <c r="A230" s="254"/>
      <c r="B230" s="250"/>
      <c r="C230" s="250"/>
      <c r="D230" s="250"/>
      <c r="E230" s="254"/>
      <c r="F230" s="253"/>
    </row>
    <row r="231" customFormat="false" ht="13.5" hidden="false" customHeight="true" outlineLevel="0" collapsed="false">
      <c r="A231" s="254"/>
      <c r="B231" s="250"/>
      <c r="C231" s="250"/>
      <c r="D231" s="250"/>
      <c r="E231" s="254"/>
      <c r="F231" s="253"/>
    </row>
    <row r="232" customFormat="false" ht="13.5" hidden="false" customHeight="true" outlineLevel="0" collapsed="false">
      <c r="A232" s="254"/>
      <c r="B232" s="250"/>
      <c r="C232" s="250"/>
      <c r="D232" s="250"/>
      <c r="E232" s="254"/>
      <c r="F232" s="253"/>
    </row>
    <row r="233" customFormat="false" ht="13.5" hidden="false" customHeight="true" outlineLevel="0" collapsed="false">
      <c r="A233" s="254"/>
      <c r="B233" s="250"/>
      <c r="C233" s="250"/>
      <c r="D233" s="250"/>
      <c r="E233" s="254"/>
      <c r="F233" s="253"/>
    </row>
    <row r="234" customFormat="false" ht="13.5" hidden="false" customHeight="true" outlineLevel="0" collapsed="false">
      <c r="A234" s="254"/>
      <c r="B234" s="250"/>
      <c r="C234" s="250"/>
      <c r="D234" s="250"/>
      <c r="E234" s="254"/>
      <c r="F234" s="253"/>
    </row>
    <row r="235" customFormat="false" ht="13.5" hidden="false" customHeight="true" outlineLevel="0" collapsed="false">
      <c r="A235" s="254"/>
      <c r="B235" s="250"/>
      <c r="C235" s="250"/>
      <c r="D235" s="250"/>
      <c r="E235" s="254"/>
      <c r="F235" s="253"/>
    </row>
    <row r="236" customFormat="false" ht="13.5" hidden="false" customHeight="true" outlineLevel="0" collapsed="false">
      <c r="A236" s="254"/>
      <c r="B236" s="250"/>
      <c r="C236" s="250"/>
      <c r="D236" s="250"/>
      <c r="E236" s="254"/>
      <c r="F236" s="253"/>
    </row>
    <row r="237" customFormat="false" ht="13.5" hidden="false" customHeight="true" outlineLevel="0" collapsed="false">
      <c r="A237" s="254"/>
      <c r="B237" s="250"/>
      <c r="C237" s="250"/>
      <c r="D237" s="250"/>
      <c r="E237" s="254"/>
      <c r="F237" s="253"/>
    </row>
    <row r="238" customFormat="false" ht="13.5" hidden="false" customHeight="true" outlineLevel="0" collapsed="false">
      <c r="A238" s="254"/>
      <c r="B238" s="250"/>
      <c r="C238" s="250"/>
      <c r="D238" s="250"/>
      <c r="E238" s="254"/>
      <c r="F238" s="253"/>
    </row>
    <row r="239" customFormat="false" ht="13.5" hidden="false" customHeight="true" outlineLevel="0" collapsed="false">
      <c r="A239" s="254"/>
      <c r="B239" s="250"/>
      <c r="C239" s="250"/>
      <c r="D239" s="250"/>
      <c r="E239" s="254"/>
      <c r="F239" s="253"/>
    </row>
    <row r="240" customFormat="false" ht="13.5" hidden="false" customHeight="true" outlineLevel="0" collapsed="false">
      <c r="A240" s="254"/>
      <c r="B240" s="250"/>
      <c r="C240" s="250"/>
      <c r="D240" s="250"/>
      <c r="E240" s="254"/>
      <c r="F240" s="253"/>
    </row>
    <row r="241" customFormat="false" ht="13.5" hidden="false" customHeight="true" outlineLevel="0" collapsed="false">
      <c r="A241" s="254"/>
      <c r="B241" s="250"/>
      <c r="C241" s="250"/>
      <c r="D241" s="250"/>
      <c r="E241" s="254"/>
      <c r="F241" s="253"/>
    </row>
    <row r="242" customFormat="false" ht="13.5" hidden="false" customHeight="true" outlineLevel="0" collapsed="false">
      <c r="A242" s="254"/>
      <c r="B242" s="250"/>
      <c r="C242" s="250"/>
      <c r="D242" s="250"/>
      <c r="E242" s="254"/>
      <c r="F242" s="253"/>
    </row>
    <row r="243" customFormat="false" ht="13.5" hidden="false" customHeight="true" outlineLevel="0" collapsed="false">
      <c r="A243" s="254"/>
      <c r="B243" s="250"/>
      <c r="C243" s="250"/>
      <c r="D243" s="250"/>
      <c r="E243" s="254"/>
      <c r="F243" s="253"/>
    </row>
    <row r="244" customFormat="false" ht="13.5" hidden="false" customHeight="true" outlineLevel="0" collapsed="false">
      <c r="A244" s="254"/>
      <c r="B244" s="250"/>
      <c r="C244" s="250"/>
      <c r="D244" s="250"/>
      <c r="E244" s="254"/>
      <c r="F244" s="253"/>
    </row>
    <row r="245" customFormat="false" ht="13.5" hidden="false" customHeight="true" outlineLevel="0" collapsed="false">
      <c r="A245" s="254"/>
      <c r="B245" s="250"/>
      <c r="C245" s="250"/>
      <c r="D245" s="250"/>
      <c r="E245" s="254"/>
      <c r="F245" s="253"/>
    </row>
    <row r="246" customFormat="false" ht="13.5" hidden="false" customHeight="true" outlineLevel="0" collapsed="false">
      <c r="A246" s="254"/>
      <c r="B246" s="250"/>
      <c r="C246" s="250"/>
      <c r="D246" s="250"/>
      <c r="E246" s="254"/>
      <c r="F246" s="253"/>
    </row>
    <row r="247" customFormat="false" ht="13.5" hidden="false" customHeight="true" outlineLevel="0" collapsed="false">
      <c r="A247" s="254"/>
      <c r="B247" s="250"/>
      <c r="C247" s="250"/>
      <c r="D247" s="250"/>
      <c r="E247" s="254"/>
      <c r="F247" s="253"/>
    </row>
    <row r="248" customFormat="false" ht="13.5" hidden="false" customHeight="true" outlineLevel="0" collapsed="false">
      <c r="A248" s="254"/>
      <c r="B248" s="250"/>
      <c r="C248" s="250"/>
      <c r="D248" s="250"/>
      <c r="E248" s="254"/>
      <c r="F248" s="253"/>
    </row>
    <row r="249" customFormat="false" ht="13.5" hidden="false" customHeight="true" outlineLevel="0" collapsed="false">
      <c r="A249" s="254"/>
      <c r="B249" s="250"/>
      <c r="C249" s="250"/>
      <c r="D249" s="250"/>
      <c r="E249" s="254"/>
      <c r="F249" s="253"/>
    </row>
    <row r="250" customFormat="false" ht="13.5" hidden="false" customHeight="true" outlineLevel="0" collapsed="false">
      <c r="A250" s="254"/>
      <c r="B250" s="250"/>
      <c r="C250" s="250"/>
      <c r="D250" s="250"/>
      <c r="E250" s="254"/>
      <c r="F250" s="253"/>
    </row>
    <row r="251" customFormat="false" ht="13.5" hidden="false" customHeight="true" outlineLevel="0" collapsed="false">
      <c r="A251" s="254"/>
      <c r="B251" s="250"/>
      <c r="C251" s="250"/>
      <c r="D251" s="250"/>
      <c r="E251" s="254"/>
      <c r="F251" s="253"/>
    </row>
    <row r="252" customFormat="false" ht="13.5" hidden="false" customHeight="true" outlineLevel="0" collapsed="false">
      <c r="A252" s="254"/>
      <c r="B252" s="250"/>
      <c r="C252" s="250"/>
      <c r="D252" s="250"/>
      <c r="E252" s="254"/>
      <c r="F252" s="253"/>
    </row>
    <row r="253" customFormat="false" ht="13.5" hidden="false" customHeight="true" outlineLevel="0" collapsed="false">
      <c r="A253" s="254"/>
      <c r="B253" s="250"/>
      <c r="C253" s="250"/>
      <c r="D253" s="250"/>
      <c r="E253" s="254"/>
      <c r="F253" s="253"/>
    </row>
    <row r="254" customFormat="false" ht="13.5" hidden="false" customHeight="true" outlineLevel="0" collapsed="false">
      <c r="A254" s="254"/>
      <c r="B254" s="250"/>
      <c r="C254" s="250"/>
      <c r="D254" s="250"/>
      <c r="E254" s="254"/>
      <c r="F254" s="253"/>
    </row>
    <row r="255" customFormat="false" ht="13.5" hidden="false" customHeight="true" outlineLevel="0" collapsed="false">
      <c r="A255" s="254"/>
      <c r="B255" s="250"/>
      <c r="C255" s="250"/>
      <c r="D255" s="250"/>
      <c r="E255" s="254"/>
      <c r="F255" s="253"/>
    </row>
    <row r="256" customFormat="false" ht="13.5" hidden="false" customHeight="true" outlineLevel="0" collapsed="false">
      <c r="A256" s="254"/>
      <c r="B256" s="250"/>
      <c r="C256" s="250"/>
      <c r="D256" s="250"/>
      <c r="E256" s="254"/>
      <c r="F256" s="253"/>
    </row>
    <row r="257" customFormat="false" ht="13.5" hidden="false" customHeight="true" outlineLevel="0" collapsed="false">
      <c r="A257" s="254"/>
      <c r="B257" s="250"/>
      <c r="C257" s="250"/>
      <c r="D257" s="250"/>
      <c r="E257" s="254"/>
      <c r="F257" s="253"/>
    </row>
    <row r="258" customFormat="false" ht="13.5" hidden="false" customHeight="true" outlineLevel="0" collapsed="false">
      <c r="A258" s="254"/>
      <c r="B258" s="250"/>
      <c r="C258" s="250"/>
      <c r="D258" s="250"/>
      <c r="E258" s="254"/>
      <c r="F258" s="253"/>
    </row>
    <row r="259" customFormat="false" ht="13.5" hidden="false" customHeight="true" outlineLevel="0" collapsed="false">
      <c r="A259" s="254"/>
      <c r="B259" s="250"/>
      <c r="C259" s="250"/>
      <c r="D259" s="250"/>
      <c r="E259" s="254"/>
      <c r="F259" s="253"/>
    </row>
    <row r="260" customFormat="false" ht="13.5" hidden="false" customHeight="true" outlineLevel="0" collapsed="false">
      <c r="A260" s="254"/>
      <c r="B260" s="250"/>
      <c r="C260" s="250"/>
      <c r="D260" s="250"/>
      <c r="E260" s="254"/>
      <c r="F260" s="253"/>
    </row>
    <row r="261" customFormat="false" ht="13.5" hidden="false" customHeight="true" outlineLevel="0" collapsed="false">
      <c r="A261" s="254"/>
      <c r="B261" s="250"/>
      <c r="C261" s="250"/>
      <c r="D261" s="250"/>
      <c r="E261" s="254"/>
      <c r="F261" s="253"/>
    </row>
    <row r="262" customFormat="false" ht="13.5" hidden="false" customHeight="true" outlineLevel="0" collapsed="false">
      <c r="A262" s="254"/>
      <c r="B262" s="250"/>
      <c r="C262" s="250"/>
      <c r="D262" s="250"/>
      <c r="E262" s="254"/>
      <c r="F262" s="253"/>
    </row>
    <row r="263" customFormat="false" ht="13.5" hidden="false" customHeight="true" outlineLevel="0" collapsed="false">
      <c r="A263" s="254"/>
      <c r="B263" s="250"/>
      <c r="C263" s="250"/>
      <c r="D263" s="250"/>
      <c r="E263" s="254"/>
      <c r="F263" s="253"/>
    </row>
    <row r="264" customFormat="false" ht="13.5" hidden="false" customHeight="true" outlineLevel="0" collapsed="false">
      <c r="A264" s="254"/>
      <c r="B264" s="250"/>
      <c r="C264" s="250"/>
      <c r="D264" s="250"/>
      <c r="E264" s="254"/>
      <c r="F264" s="253"/>
    </row>
    <row r="265" customFormat="false" ht="13.5" hidden="false" customHeight="true" outlineLevel="0" collapsed="false">
      <c r="A265" s="254"/>
      <c r="B265" s="250"/>
      <c r="C265" s="250"/>
      <c r="D265" s="250"/>
      <c r="E265" s="254"/>
      <c r="F265" s="253"/>
    </row>
    <row r="266" customFormat="false" ht="13.5" hidden="false" customHeight="true" outlineLevel="0" collapsed="false">
      <c r="A266" s="254"/>
      <c r="B266" s="250"/>
      <c r="C266" s="250"/>
      <c r="D266" s="250"/>
      <c r="E266" s="254"/>
      <c r="F266" s="253"/>
    </row>
    <row r="267" customFormat="false" ht="13.5" hidden="false" customHeight="true" outlineLevel="0" collapsed="false">
      <c r="A267" s="254"/>
      <c r="B267" s="250"/>
      <c r="C267" s="250"/>
      <c r="D267" s="250"/>
      <c r="E267" s="254"/>
      <c r="F267" s="253"/>
    </row>
    <row r="268" customFormat="false" ht="13.5" hidden="false" customHeight="true" outlineLevel="0" collapsed="false">
      <c r="A268" s="254"/>
      <c r="B268" s="250"/>
      <c r="C268" s="250"/>
      <c r="D268" s="250"/>
      <c r="E268" s="254"/>
      <c r="F268" s="253"/>
    </row>
    <row r="269" customFormat="false" ht="13.5" hidden="false" customHeight="true" outlineLevel="0" collapsed="false">
      <c r="A269" s="254"/>
      <c r="B269" s="250"/>
      <c r="C269" s="250"/>
      <c r="D269" s="250"/>
      <c r="E269" s="254"/>
      <c r="F269" s="253"/>
    </row>
    <row r="270" customFormat="false" ht="13.5" hidden="false" customHeight="true" outlineLevel="0" collapsed="false">
      <c r="A270" s="254"/>
      <c r="B270" s="250"/>
      <c r="C270" s="250"/>
      <c r="D270" s="250"/>
      <c r="E270" s="254"/>
      <c r="F270" s="253"/>
    </row>
    <row r="271" customFormat="false" ht="13.5" hidden="false" customHeight="true" outlineLevel="0" collapsed="false">
      <c r="A271" s="254"/>
      <c r="B271" s="250"/>
      <c r="C271" s="250"/>
      <c r="D271" s="250"/>
      <c r="E271" s="254"/>
      <c r="F271" s="253"/>
    </row>
    <row r="272" customFormat="false" ht="13.5" hidden="false" customHeight="true" outlineLevel="0" collapsed="false">
      <c r="A272" s="254"/>
      <c r="B272" s="250"/>
      <c r="C272" s="250"/>
      <c r="D272" s="250"/>
      <c r="E272" s="254"/>
      <c r="F272" s="253"/>
    </row>
    <row r="273" customFormat="false" ht="13.5" hidden="false" customHeight="true" outlineLevel="0" collapsed="false">
      <c r="A273" s="254"/>
      <c r="B273" s="250"/>
      <c r="C273" s="250"/>
      <c r="D273" s="250"/>
      <c r="E273" s="254"/>
      <c r="F273" s="253"/>
    </row>
    <row r="274" customFormat="false" ht="13.5" hidden="false" customHeight="true" outlineLevel="0" collapsed="false">
      <c r="A274" s="254"/>
      <c r="B274" s="250"/>
      <c r="C274" s="250"/>
      <c r="D274" s="250"/>
      <c r="E274" s="254"/>
      <c r="F274" s="253"/>
    </row>
    <row r="275" customFormat="false" ht="13.5" hidden="false" customHeight="true" outlineLevel="0" collapsed="false">
      <c r="A275" s="254"/>
      <c r="B275" s="250"/>
      <c r="C275" s="250"/>
      <c r="D275" s="250"/>
      <c r="E275" s="254"/>
      <c r="F275" s="253"/>
    </row>
    <row r="276" customFormat="false" ht="13.5" hidden="false" customHeight="true" outlineLevel="0" collapsed="false">
      <c r="A276" s="254"/>
      <c r="B276" s="250"/>
      <c r="C276" s="250"/>
      <c r="D276" s="250"/>
      <c r="E276" s="254"/>
      <c r="F276" s="253"/>
    </row>
    <row r="277" customFormat="false" ht="13.5" hidden="false" customHeight="true" outlineLevel="0" collapsed="false">
      <c r="A277" s="254"/>
      <c r="B277" s="250"/>
      <c r="C277" s="250"/>
      <c r="D277" s="250"/>
      <c r="E277" s="254"/>
      <c r="F277" s="253"/>
    </row>
    <row r="278" customFormat="false" ht="13.5" hidden="false" customHeight="true" outlineLevel="0" collapsed="false">
      <c r="A278" s="254"/>
      <c r="B278" s="250"/>
      <c r="C278" s="250"/>
      <c r="D278" s="250"/>
      <c r="E278" s="254"/>
      <c r="F278" s="253"/>
    </row>
    <row r="279" customFormat="false" ht="13.5" hidden="false" customHeight="true" outlineLevel="0" collapsed="false">
      <c r="A279" s="254"/>
      <c r="B279" s="250"/>
      <c r="C279" s="250"/>
      <c r="D279" s="250"/>
      <c r="E279" s="254"/>
      <c r="F279" s="253"/>
    </row>
    <row r="280" customFormat="false" ht="13.5" hidden="false" customHeight="true" outlineLevel="0" collapsed="false">
      <c r="A280" s="254"/>
      <c r="B280" s="250"/>
      <c r="C280" s="250"/>
      <c r="D280" s="250"/>
      <c r="E280" s="254"/>
      <c r="F280" s="253"/>
    </row>
    <row r="281" customFormat="false" ht="13.5" hidden="false" customHeight="true" outlineLevel="0" collapsed="false">
      <c r="A281" s="254"/>
      <c r="B281" s="250"/>
      <c r="C281" s="250"/>
      <c r="D281" s="250"/>
      <c r="E281" s="254"/>
      <c r="F281" s="253"/>
    </row>
    <row r="282" customFormat="false" ht="13.5" hidden="false" customHeight="true" outlineLevel="0" collapsed="false">
      <c r="A282" s="254"/>
      <c r="B282" s="250"/>
      <c r="C282" s="250"/>
      <c r="D282" s="250"/>
      <c r="E282" s="254"/>
      <c r="F282" s="253"/>
    </row>
    <row r="283" customFormat="false" ht="13.5" hidden="false" customHeight="true" outlineLevel="0" collapsed="false">
      <c r="A283" s="254"/>
      <c r="B283" s="250"/>
      <c r="C283" s="250"/>
      <c r="D283" s="250"/>
      <c r="E283" s="254"/>
      <c r="F283" s="253"/>
    </row>
    <row r="284" customFormat="false" ht="13.5" hidden="false" customHeight="true" outlineLevel="0" collapsed="false">
      <c r="A284" s="254"/>
      <c r="B284" s="250"/>
      <c r="C284" s="250"/>
      <c r="D284" s="250"/>
      <c r="E284" s="254"/>
      <c r="F284" s="253"/>
    </row>
    <row r="285" customFormat="false" ht="13.5" hidden="false" customHeight="true" outlineLevel="0" collapsed="false">
      <c r="A285" s="254"/>
      <c r="B285" s="250"/>
      <c r="C285" s="250"/>
      <c r="D285" s="250"/>
      <c r="E285" s="254"/>
      <c r="F285" s="253"/>
    </row>
    <row r="286" customFormat="false" ht="13.5" hidden="false" customHeight="true" outlineLevel="0" collapsed="false">
      <c r="A286" s="254"/>
      <c r="B286" s="250"/>
      <c r="C286" s="250"/>
      <c r="D286" s="250"/>
      <c r="E286" s="254"/>
      <c r="F286" s="253"/>
    </row>
    <row r="287" customFormat="false" ht="13.5" hidden="false" customHeight="true" outlineLevel="0" collapsed="false">
      <c r="A287" s="254"/>
      <c r="B287" s="250"/>
      <c r="C287" s="250"/>
      <c r="D287" s="250"/>
      <c r="E287" s="254"/>
      <c r="F287" s="253"/>
    </row>
    <row r="288" customFormat="false" ht="13.5" hidden="false" customHeight="true" outlineLevel="0" collapsed="false">
      <c r="A288" s="254"/>
      <c r="B288" s="250"/>
      <c r="C288" s="250"/>
      <c r="D288" s="250"/>
      <c r="E288" s="254"/>
      <c r="F288" s="253"/>
    </row>
    <row r="289" customFormat="false" ht="13.5" hidden="false" customHeight="true" outlineLevel="0" collapsed="false">
      <c r="A289" s="254"/>
      <c r="B289" s="250"/>
      <c r="C289" s="250"/>
      <c r="D289" s="250"/>
      <c r="E289" s="254"/>
      <c r="F289" s="253"/>
    </row>
    <row r="290" customFormat="false" ht="13.5" hidden="false" customHeight="true" outlineLevel="0" collapsed="false">
      <c r="A290" s="254"/>
      <c r="B290" s="250"/>
      <c r="C290" s="250"/>
      <c r="D290" s="250"/>
      <c r="E290" s="254"/>
      <c r="F290" s="253"/>
    </row>
    <row r="291" customFormat="false" ht="13.5" hidden="false" customHeight="true" outlineLevel="0" collapsed="false">
      <c r="A291" s="254"/>
      <c r="B291" s="250"/>
      <c r="C291" s="250"/>
      <c r="D291" s="250"/>
      <c r="E291" s="254"/>
      <c r="F291" s="253"/>
    </row>
    <row r="292" customFormat="false" ht="13.5" hidden="false" customHeight="true" outlineLevel="0" collapsed="false">
      <c r="A292" s="254"/>
      <c r="B292" s="250"/>
      <c r="C292" s="250"/>
      <c r="D292" s="250"/>
      <c r="E292" s="254"/>
      <c r="F292" s="253"/>
    </row>
    <row r="293" customFormat="false" ht="13.5" hidden="false" customHeight="true" outlineLevel="0" collapsed="false">
      <c r="A293" s="254"/>
      <c r="B293" s="250"/>
      <c r="C293" s="250"/>
      <c r="D293" s="250"/>
      <c r="E293" s="254"/>
      <c r="F293" s="253"/>
    </row>
    <row r="294" customFormat="false" ht="13.5" hidden="false" customHeight="true" outlineLevel="0" collapsed="false">
      <c r="A294" s="254"/>
      <c r="B294" s="250"/>
      <c r="C294" s="250"/>
      <c r="D294" s="250"/>
      <c r="E294" s="254"/>
      <c r="F294" s="253"/>
    </row>
    <row r="295" customFormat="false" ht="13.5" hidden="false" customHeight="true" outlineLevel="0" collapsed="false">
      <c r="A295" s="254"/>
      <c r="B295" s="250"/>
      <c r="C295" s="250"/>
      <c r="D295" s="250"/>
      <c r="E295" s="254"/>
      <c r="F295" s="253"/>
    </row>
    <row r="296" customFormat="false" ht="13.5" hidden="false" customHeight="true" outlineLevel="0" collapsed="false">
      <c r="A296" s="254"/>
      <c r="B296" s="250"/>
      <c r="C296" s="250"/>
      <c r="D296" s="250"/>
      <c r="E296" s="254"/>
      <c r="F296" s="253"/>
    </row>
    <row r="297" customFormat="false" ht="13.5" hidden="false" customHeight="true" outlineLevel="0" collapsed="false">
      <c r="A297" s="254"/>
      <c r="B297" s="250"/>
      <c r="C297" s="250"/>
      <c r="D297" s="250"/>
      <c r="E297" s="254"/>
      <c r="F297" s="253"/>
    </row>
    <row r="298" customFormat="false" ht="13.5" hidden="false" customHeight="true" outlineLevel="0" collapsed="false">
      <c r="A298" s="254"/>
      <c r="B298" s="250"/>
      <c r="C298" s="250"/>
      <c r="D298" s="250"/>
      <c r="E298" s="254"/>
      <c r="F298" s="253"/>
    </row>
    <row r="299" customFormat="false" ht="13.5" hidden="false" customHeight="true" outlineLevel="0" collapsed="false">
      <c r="A299" s="254"/>
      <c r="B299" s="250"/>
      <c r="C299" s="250"/>
      <c r="D299" s="250"/>
      <c r="E299" s="254"/>
      <c r="F299" s="253"/>
    </row>
    <row r="300" customFormat="false" ht="13.5" hidden="false" customHeight="true" outlineLevel="0" collapsed="false">
      <c r="A300" s="254"/>
      <c r="B300" s="250"/>
      <c r="C300" s="250"/>
      <c r="D300" s="250"/>
      <c r="E300" s="254"/>
      <c r="F300" s="253"/>
    </row>
    <row r="301" customFormat="false" ht="13.5" hidden="false" customHeight="true" outlineLevel="0" collapsed="false">
      <c r="A301" s="254"/>
      <c r="B301" s="250"/>
      <c r="C301" s="250"/>
      <c r="D301" s="250"/>
      <c r="E301" s="254"/>
      <c r="F301" s="253"/>
    </row>
    <row r="302" customFormat="false" ht="13.5" hidden="false" customHeight="true" outlineLevel="0" collapsed="false">
      <c r="A302" s="254"/>
      <c r="B302" s="250"/>
      <c r="C302" s="250"/>
      <c r="D302" s="250"/>
      <c r="E302" s="254"/>
      <c r="F302" s="253"/>
    </row>
    <row r="303" customFormat="false" ht="13.5" hidden="false" customHeight="true" outlineLevel="0" collapsed="false">
      <c r="A303" s="254"/>
      <c r="B303" s="250"/>
      <c r="C303" s="250"/>
      <c r="D303" s="250"/>
      <c r="E303" s="254"/>
      <c r="F303" s="253"/>
    </row>
    <row r="304" customFormat="false" ht="13.5" hidden="false" customHeight="true" outlineLevel="0" collapsed="false">
      <c r="A304" s="254"/>
      <c r="B304" s="250"/>
      <c r="C304" s="250"/>
      <c r="D304" s="250"/>
      <c r="E304" s="254"/>
      <c r="F304" s="253"/>
    </row>
    <row r="305" customFormat="false" ht="13.5" hidden="false" customHeight="true" outlineLevel="0" collapsed="false">
      <c r="A305" s="254"/>
      <c r="B305" s="250"/>
      <c r="C305" s="250"/>
      <c r="D305" s="250"/>
      <c r="E305" s="254"/>
      <c r="F305" s="253"/>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64" activeCellId="0" sqref="A164"/>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59.83"/>
    <col collapsed="false" customWidth="true" hidden="false" outlineLevel="0" max="4" min="4" style="1" width="55"/>
    <col collapsed="false" customWidth="true" hidden="false" outlineLevel="0" max="5" min="5" style="1" width="1"/>
  </cols>
  <sheetData>
    <row r="1" customFormat="false" ht="15.75" hidden="false" customHeight="true" outlineLevel="0" collapsed="false">
      <c r="A1" s="255" t="s">
        <v>984</v>
      </c>
      <c r="B1" s="255"/>
      <c r="C1" s="255"/>
      <c r="D1" s="255"/>
      <c r="E1" s="255"/>
      <c r="F1" s="255"/>
    </row>
    <row r="2" customFormat="false" ht="15" hidden="false" customHeight="true" outlineLevel="0" collapsed="false">
      <c r="A2" s="256" t="s">
        <v>985</v>
      </c>
      <c r="B2" s="256"/>
      <c r="C2" s="256"/>
      <c r="D2" s="256"/>
      <c r="E2" s="256"/>
      <c r="F2" s="256"/>
    </row>
    <row r="4" customFormat="false" ht="15" hidden="false" customHeight="true" outlineLevel="0" collapsed="false">
      <c r="A4" s="257" t="s">
        <v>986</v>
      </c>
      <c r="B4" s="257"/>
      <c r="C4" s="257"/>
      <c r="D4" s="257"/>
      <c r="E4" s="257"/>
      <c r="F4" s="257"/>
    </row>
    <row r="5" customFormat="false" ht="15" hidden="false" customHeight="true" outlineLevel="0" collapsed="false">
      <c r="A5" s="258" t="s">
        <v>987</v>
      </c>
      <c r="B5" s="258" t="s">
        <v>988</v>
      </c>
      <c r="C5" s="258" t="s">
        <v>989</v>
      </c>
      <c r="D5" s="258" t="s">
        <v>990</v>
      </c>
    </row>
    <row r="6" customFormat="false" ht="15" hidden="false" customHeight="true" outlineLevel="0" collapsed="false">
      <c r="A6" s="259" t="s">
        <v>991</v>
      </c>
      <c r="B6" s="259" t="s">
        <v>992</v>
      </c>
      <c r="C6" s="259" t="s">
        <v>992</v>
      </c>
      <c r="D6" s="260" t="s">
        <v>993</v>
      </c>
      <c r="E6" s="260"/>
      <c r="F6" s="260"/>
    </row>
    <row r="8" customFormat="false" ht="15" hidden="false" customHeight="true" outlineLevel="0" collapsed="false">
      <c r="A8" s="257" t="s">
        <v>994</v>
      </c>
      <c r="B8" s="257"/>
      <c r="C8" s="257"/>
      <c r="D8" s="257"/>
      <c r="E8" s="257"/>
      <c r="F8" s="257"/>
    </row>
    <row r="9" customFormat="false" ht="15" hidden="false" customHeight="true" outlineLevel="0" collapsed="false">
      <c r="A9" s="258" t="s">
        <v>987</v>
      </c>
      <c r="B9" s="258" t="s">
        <v>988</v>
      </c>
      <c r="C9" s="258" t="s">
        <v>989</v>
      </c>
      <c r="D9" s="258" t="s">
        <v>990</v>
      </c>
    </row>
    <row r="10" customFormat="false" ht="15" hidden="false" customHeight="true" outlineLevel="0" collapsed="false">
      <c r="A10" s="259" t="s">
        <v>995</v>
      </c>
      <c r="B10" s="259" t="s">
        <v>992</v>
      </c>
      <c r="C10" s="259" t="s">
        <v>996</v>
      </c>
      <c r="D10" s="260" t="s">
        <v>997</v>
      </c>
      <c r="E10" s="260"/>
      <c r="F10" s="260"/>
    </row>
    <row r="12" customFormat="false" ht="15" hidden="false" customHeight="true" outlineLevel="0" collapsed="false">
      <c r="A12" s="257" t="s">
        <v>998</v>
      </c>
      <c r="B12" s="257"/>
      <c r="C12" s="257"/>
      <c r="D12" s="257"/>
      <c r="E12" s="257"/>
      <c r="F12" s="257"/>
    </row>
    <row r="13" customFormat="false" ht="15" hidden="false" customHeight="true" outlineLevel="0" collapsed="false">
      <c r="A13" s="258" t="s">
        <v>987</v>
      </c>
      <c r="B13" s="258" t="s">
        <v>988</v>
      </c>
      <c r="C13" s="258" t="s">
        <v>989</v>
      </c>
      <c r="D13" s="258" t="s">
        <v>990</v>
      </c>
    </row>
    <row r="14" customFormat="false" ht="84" hidden="false" customHeight="true" outlineLevel="0" collapsed="false">
      <c r="A14" s="259" t="s">
        <v>999</v>
      </c>
      <c r="B14" s="259" t="s">
        <v>1000</v>
      </c>
      <c r="C14" s="259" t="s">
        <v>1001</v>
      </c>
      <c r="D14" s="260" t="s">
        <v>1002</v>
      </c>
      <c r="E14" s="260"/>
      <c r="F14" s="260"/>
    </row>
    <row r="16" customFormat="false" ht="15" hidden="false" customHeight="true" outlineLevel="0" collapsed="false">
      <c r="A16" s="257" t="s">
        <v>1003</v>
      </c>
      <c r="B16" s="257"/>
      <c r="C16" s="257"/>
      <c r="D16" s="257"/>
      <c r="E16" s="257"/>
      <c r="F16" s="257"/>
    </row>
    <row r="17" customFormat="false" ht="15" hidden="false" customHeight="true" outlineLevel="0" collapsed="false">
      <c r="A17" s="258" t="s">
        <v>987</v>
      </c>
      <c r="B17" s="258" t="s">
        <v>988</v>
      </c>
      <c r="C17" s="258" t="s">
        <v>989</v>
      </c>
      <c r="D17" s="258" t="s">
        <v>990</v>
      </c>
    </row>
    <row r="18" customFormat="false" ht="79.5" hidden="false" customHeight="true" outlineLevel="0" collapsed="false">
      <c r="A18" s="259" t="s">
        <v>999</v>
      </c>
      <c r="B18" s="259" t="s">
        <v>1004</v>
      </c>
      <c r="C18" s="259" t="s">
        <v>1005</v>
      </c>
      <c r="D18" s="260" t="s">
        <v>1006</v>
      </c>
      <c r="E18" s="260"/>
      <c r="F18" s="260"/>
    </row>
    <row r="20" customFormat="false" ht="15" hidden="false" customHeight="true" outlineLevel="0" collapsed="false">
      <c r="A20" s="257" t="s">
        <v>1007</v>
      </c>
      <c r="B20" s="257"/>
      <c r="C20" s="257"/>
      <c r="D20" s="257"/>
      <c r="E20" s="257"/>
      <c r="F20" s="257"/>
    </row>
    <row r="21" customFormat="false" ht="15" hidden="false" customHeight="true" outlineLevel="0" collapsed="false">
      <c r="A21" s="258" t="s">
        <v>987</v>
      </c>
      <c r="B21" s="258" t="s">
        <v>988</v>
      </c>
      <c r="C21" s="258" t="s">
        <v>989</v>
      </c>
      <c r="D21" s="258" t="s">
        <v>990</v>
      </c>
    </row>
    <row r="22" customFormat="false" ht="96" hidden="false" customHeight="true" outlineLevel="0" collapsed="false">
      <c r="A22" s="259" t="s">
        <v>1008</v>
      </c>
      <c r="B22" s="259" t="s">
        <v>992</v>
      </c>
      <c r="C22" s="259" t="s">
        <v>1009</v>
      </c>
      <c r="D22" s="260" t="s">
        <v>1010</v>
      </c>
      <c r="E22" s="260"/>
      <c r="F22" s="260"/>
    </row>
    <row r="24" customFormat="false" ht="15" hidden="false" customHeight="true" outlineLevel="0" collapsed="false">
      <c r="A24" s="257" t="s">
        <v>1011</v>
      </c>
      <c r="B24" s="257"/>
      <c r="C24" s="257"/>
      <c r="D24" s="257"/>
      <c r="E24" s="257"/>
      <c r="F24" s="257"/>
    </row>
    <row r="25" customFormat="false" ht="15" hidden="false" customHeight="true" outlineLevel="0" collapsed="false">
      <c r="A25" s="258" t="s">
        <v>987</v>
      </c>
      <c r="B25" s="258" t="s">
        <v>988</v>
      </c>
      <c r="C25" s="258" t="s">
        <v>989</v>
      </c>
      <c r="D25" s="258" t="s">
        <v>990</v>
      </c>
    </row>
    <row r="26" customFormat="false" ht="45.75" hidden="false" customHeight="true" outlineLevel="0" collapsed="false">
      <c r="A26" s="259" t="s">
        <v>999</v>
      </c>
      <c r="B26" s="259" t="s">
        <v>1012</v>
      </c>
      <c r="C26" s="259" t="s">
        <v>1013</v>
      </c>
      <c r="D26" s="260" t="s">
        <v>1014</v>
      </c>
      <c r="E26" s="260"/>
      <c r="F26" s="260"/>
    </row>
    <row r="28" customFormat="false" ht="15" hidden="false" customHeight="true" outlineLevel="0" collapsed="false">
      <c r="A28" s="257" t="s">
        <v>1015</v>
      </c>
      <c r="B28" s="257"/>
      <c r="C28" s="257"/>
      <c r="D28" s="257"/>
      <c r="E28" s="257"/>
      <c r="F28" s="257"/>
    </row>
    <row r="29" customFormat="false" ht="15" hidden="false" customHeight="true" outlineLevel="0" collapsed="false">
      <c r="A29" s="258" t="s">
        <v>987</v>
      </c>
      <c r="B29" s="258" t="s">
        <v>988</v>
      </c>
      <c r="C29" s="258" t="s">
        <v>989</v>
      </c>
      <c r="D29" s="258" t="s">
        <v>990</v>
      </c>
    </row>
    <row r="30" customFormat="false" ht="24" hidden="false" customHeight="true" outlineLevel="0" collapsed="false">
      <c r="A30" s="259" t="s">
        <v>1016</v>
      </c>
      <c r="B30" s="259" t="s">
        <v>1017</v>
      </c>
      <c r="C30" s="259" t="s">
        <v>1018</v>
      </c>
      <c r="D30" s="260" t="s">
        <v>1019</v>
      </c>
      <c r="E30" s="260"/>
      <c r="F30" s="260"/>
    </row>
    <row r="32" customFormat="false" ht="15" hidden="false" customHeight="true" outlineLevel="0" collapsed="false">
      <c r="A32" s="257" t="s">
        <v>1020</v>
      </c>
      <c r="B32" s="257"/>
      <c r="C32" s="257"/>
      <c r="D32" s="257"/>
      <c r="E32" s="257"/>
      <c r="F32" s="257"/>
    </row>
    <row r="33" customFormat="false" ht="15" hidden="false" customHeight="true" outlineLevel="0" collapsed="false">
      <c r="A33" s="258" t="s">
        <v>987</v>
      </c>
      <c r="B33" s="258" t="s">
        <v>988</v>
      </c>
      <c r="C33" s="258" t="s">
        <v>989</v>
      </c>
      <c r="D33" s="258" t="s">
        <v>990</v>
      </c>
    </row>
    <row r="34" customFormat="false" ht="99.75" hidden="false" customHeight="true" outlineLevel="0" collapsed="false">
      <c r="A34" s="259" t="s">
        <v>999</v>
      </c>
      <c r="B34" s="259" t="s">
        <v>1021</v>
      </c>
      <c r="C34" s="259" t="s">
        <v>1022</v>
      </c>
      <c r="D34" s="260" t="s">
        <v>1023</v>
      </c>
      <c r="E34" s="260"/>
      <c r="F34" s="260"/>
    </row>
    <row r="36" customFormat="false" ht="15" hidden="false" customHeight="true" outlineLevel="0" collapsed="false">
      <c r="A36" s="257" t="s">
        <v>1024</v>
      </c>
      <c r="B36" s="257"/>
      <c r="C36" s="257"/>
      <c r="D36" s="257"/>
      <c r="E36" s="257"/>
      <c r="F36" s="257"/>
    </row>
    <row r="37" customFormat="false" ht="15" hidden="false" customHeight="true" outlineLevel="0" collapsed="false">
      <c r="A37" s="258" t="s">
        <v>987</v>
      </c>
      <c r="B37" s="258" t="s">
        <v>988</v>
      </c>
      <c r="C37" s="258" t="s">
        <v>989</v>
      </c>
      <c r="D37" s="258" t="s">
        <v>990</v>
      </c>
    </row>
    <row r="38" customFormat="false" ht="36" hidden="false" customHeight="true" outlineLevel="0" collapsed="false">
      <c r="A38" s="259" t="s">
        <v>1008</v>
      </c>
      <c r="B38" s="259" t="s">
        <v>992</v>
      </c>
      <c r="C38" s="259" t="s">
        <v>1025</v>
      </c>
      <c r="D38" s="260" t="s">
        <v>1026</v>
      </c>
      <c r="E38" s="260"/>
      <c r="F38" s="260"/>
    </row>
    <row r="40" customFormat="false" ht="15" hidden="false" customHeight="true" outlineLevel="0" collapsed="false">
      <c r="A40" s="257" t="s">
        <v>1027</v>
      </c>
      <c r="B40" s="257"/>
      <c r="C40" s="257"/>
      <c r="D40" s="257"/>
      <c r="E40" s="257"/>
      <c r="F40" s="257"/>
    </row>
    <row r="41" customFormat="false" ht="15" hidden="false" customHeight="true" outlineLevel="0" collapsed="false">
      <c r="A41" s="258" t="s">
        <v>987</v>
      </c>
      <c r="B41" s="258" t="s">
        <v>988</v>
      </c>
      <c r="C41" s="258" t="s">
        <v>989</v>
      </c>
      <c r="D41" s="258" t="s">
        <v>990</v>
      </c>
    </row>
    <row r="42" customFormat="false" ht="180" hidden="false" customHeight="true" outlineLevel="0" collapsed="false">
      <c r="A42" s="259" t="s">
        <v>1028</v>
      </c>
      <c r="B42" s="259" t="s">
        <v>992</v>
      </c>
      <c r="C42" s="259" t="s">
        <v>1029</v>
      </c>
      <c r="D42" s="260" t="s">
        <v>1030</v>
      </c>
      <c r="E42" s="260"/>
      <c r="F42" s="260"/>
    </row>
    <row r="44" customFormat="false" ht="15" hidden="false" customHeight="true" outlineLevel="0" collapsed="false">
      <c r="A44" s="257" t="s">
        <v>1031</v>
      </c>
      <c r="B44" s="257"/>
      <c r="C44" s="257"/>
      <c r="D44" s="257"/>
      <c r="E44" s="257"/>
      <c r="F44" s="257"/>
    </row>
    <row r="45" customFormat="false" ht="15" hidden="false" customHeight="true" outlineLevel="0" collapsed="false">
      <c r="A45" s="258" t="s">
        <v>987</v>
      </c>
      <c r="B45" s="258" t="s">
        <v>988</v>
      </c>
      <c r="C45" s="258" t="s">
        <v>989</v>
      </c>
      <c r="D45" s="258" t="s">
        <v>990</v>
      </c>
    </row>
    <row r="46" customFormat="false" ht="90.75" hidden="false" customHeight="true" outlineLevel="0" collapsed="false">
      <c r="A46" s="259" t="s">
        <v>1032</v>
      </c>
      <c r="B46" s="259" t="s">
        <v>992</v>
      </c>
      <c r="C46" s="259" t="s">
        <v>1033</v>
      </c>
      <c r="D46" s="260" t="s">
        <v>1034</v>
      </c>
      <c r="E46" s="260"/>
      <c r="F46" s="260"/>
    </row>
    <row r="48" customFormat="false" ht="15" hidden="false" customHeight="true" outlineLevel="0" collapsed="false">
      <c r="A48" s="257" t="s">
        <v>1035</v>
      </c>
      <c r="B48" s="257"/>
      <c r="C48" s="257"/>
      <c r="D48" s="257"/>
      <c r="E48" s="257"/>
      <c r="F48" s="257"/>
    </row>
    <row r="49" customFormat="false" ht="15" hidden="false" customHeight="true" outlineLevel="0" collapsed="false">
      <c r="A49" s="258" t="s">
        <v>987</v>
      </c>
      <c r="B49" s="258" t="s">
        <v>988</v>
      </c>
      <c r="C49" s="258" t="s">
        <v>989</v>
      </c>
      <c r="D49" s="258" t="s">
        <v>990</v>
      </c>
    </row>
    <row r="50" customFormat="false" ht="27.75" hidden="false" customHeight="true" outlineLevel="0" collapsed="false">
      <c r="A50" s="259" t="s">
        <v>999</v>
      </c>
      <c r="B50" s="259" t="s">
        <v>1036</v>
      </c>
      <c r="C50" s="259" t="s">
        <v>1037</v>
      </c>
      <c r="D50" s="260" t="s">
        <v>1038</v>
      </c>
      <c r="E50" s="260"/>
      <c r="F50" s="260"/>
    </row>
    <row r="52" customFormat="false" ht="15" hidden="false" customHeight="true" outlineLevel="0" collapsed="false">
      <c r="A52" s="257" t="s">
        <v>1039</v>
      </c>
      <c r="B52" s="257"/>
      <c r="C52" s="257"/>
      <c r="D52" s="257"/>
      <c r="E52" s="257"/>
      <c r="F52" s="257"/>
    </row>
    <row r="53" customFormat="false" ht="15" hidden="false" customHeight="true" outlineLevel="0" collapsed="false">
      <c r="A53" s="258" t="s">
        <v>987</v>
      </c>
      <c r="B53" s="258" t="s">
        <v>988</v>
      </c>
      <c r="C53" s="258" t="s">
        <v>989</v>
      </c>
      <c r="D53" s="258" t="s">
        <v>990</v>
      </c>
    </row>
    <row r="54" customFormat="false" ht="27.75" hidden="false" customHeight="true" outlineLevel="0" collapsed="false">
      <c r="A54" s="259" t="s">
        <v>999</v>
      </c>
      <c r="B54" s="259" t="s">
        <v>1040</v>
      </c>
      <c r="C54" s="259" t="s">
        <v>1041</v>
      </c>
      <c r="D54" s="260" t="s">
        <v>1042</v>
      </c>
      <c r="E54" s="260"/>
      <c r="F54" s="260"/>
    </row>
    <row r="56" customFormat="false" ht="15" hidden="false" customHeight="true" outlineLevel="0" collapsed="false">
      <c r="A56" s="257" t="s">
        <v>1043</v>
      </c>
      <c r="B56" s="257"/>
      <c r="C56" s="257"/>
      <c r="D56" s="257"/>
      <c r="E56" s="257"/>
      <c r="F56" s="257"/>
    </row>
    <row r="57" customFormat="false" ht="15" hidden="false" customHeight="true" outlineLevel="0" collapsed="false">
      <c r="A57" s="258" t="s">
        <v>987</v>
      </c>
      <c r="B57" s="258" t="s">
        <v>988</v>
      </c>
      <c r="C57" s="258" t="s">
        <v>989</v>
      </c>
      <c r="D57" s="258" t="s">
        <v>990</v>
      </c>
    </row>
    <row r="58" customFormat="false" ht="60" hidden="false" customHeight="true" outlineLevel="0" collapsed="false">
      <c r="A58" s="259" t="s">
        <v>1016</v>
      </c>
      <c r="B58" s="259" t="s">
        <v>1044</v>
      </c>
      <c r="C58" s="259" t="s">
        <v>1045</v>
      </c>
      <c r="D58" s="260" t="s">
        <v>1046</v>
      </c>
      <c r="E58" s="260"/>
      <c r="F58" s="260"/>
    </row>
    <row r="60" customFormat="false" ht="15" hidden="false" customHeight="true" outlineLevel="0" collapsed="false">
      <c r="A60" s="257" t="s">
        <v>1047</v>
      </c>
      <c r="B60" s="257"/>
      <c r="C60" s="257"/>
      <c r="D60" s="257"/>
      <c r="E60" s="257"/>
      <c r="F60" s="257"/>
    </row>
    <row r="61" customFormat="false" ht="15" hidden="false" customHeight="true" outlineLevel="0" collapsed="false">
      <c r="A61" s="258" t="s">
        <v>987</v>
      </c>
      <c r="B61" s="258" t="s">
        <v>988</v>
      </c>
      <c r="C61" s="258" t="s">
        <v>989</v>
      </c>
      <c r="D61" s="258" t="s">
        <v>990</v>
      </c>
    </row>
    <row r="62" customFormat="false" ht="96" hidden="false" customHeight="true" outlineLevel="0" collapsed="false">
      <c r="A62" s="259" t="s">
        <v>1016</v>
      </c>
      <c r="B62" s="259" t="s">
        <v>1048</v>
      </c>
      <c r="C62" s="259" t="s">
        <v>1049</v>
      </c>
      <c r="D62" s="260" t="s">
        <v>1050</v>
      </c>
      <c r="E62" s="260"/>
      <c r="F62" s="260"/>
    </row>
    <row r="64" customFormat="false" ht="15" hidden="false" customHeight="true" outlineLevel="0" collapsed="false">
      <c r="A64" s="257" t="s">
        <v>1051</v>
      </c>
      <c r="B64" s="257"/>
      <c r="C64" s="257"/>
      <c r="D64" s="257"/>
      <c r="E64" s="257"/>
      <c r="F64" s="257"/>
    </row>
    <row r="65" customFormat="false" ht="15" hidden="false" customHeight="true" outlineLevel="0" collapsed="false">
      <c r="A65" s="258" t="s">
        <v>987</v>
      </c>
      <c r="B65" s="258" t="s">
        <v>988</v>
      </c>
      <c r="C65" s="258" t="s">
        <v>989</v>
      </c>
      <c r="D65" s="258" t="s">
        <v>990</v>
      </c>
    </row>
    <row r="66" customFormat="false" ht="177" hidden="false" customHeight="true" outlineLevel="0" collapsed="false">
      <c r="A66" s="259" t="s">
        <v>999</v>
      </c>
      <c r="B66" s="259" t="s">
        <v>1052</v>
      </c>
      <c r="C66" s="259" t="s">
        <v>1053</v>
      </c>
      <c r="D66" s="260" t="s">
        <v>1054</v>
      </c>
      <c r="E66" s="260"/>
      <c r="F66" s="260"/>
    </row>
    <row r="68" customFormat="false" ht="15" hidden="false" customHeight="true" outlineLevel="0" collapsed="false">
      <c r="A68" s="257" t="s">
        <v>1055</v>
      </c>
      <c r="B68" s="257"/>
      <c r="C68" s="257"/>
      <c r="D68" s="257"/>
      <c r="E68" s="257"/>
      <c r="F68" s="257"/>
    </row>
    <row r="69" customFormat="false" ht="15" hidden="false" customHeight="true" outlineLevel="0" collapsed="false">
      <c r="A69" s="258" t="s">
        <v>987</v>
      </c>
      <c r="B69" s="258" t="s">
        <v>988</v>
      </c>
      <c r="C69" s="258" t="s">
        <v>989</v>
      </c>
      <c r="D69" s="258" t="s">
        <v>990</v>
      </c>
    </row>
    <row r="70" customFormat="false" ht="15" hidden="false" customHeight="true" outlineLevel="0" collapsed="false">
      <c r="A70" s="259" t="s">
        <v>999</v>
      </c>
      <c r="B70" s="259" t="s">
        <v>1056</v>
      </c>
      <c r="C70" s="259" t="s">
        <v>1057</v>
      </c>
      <c r="D70" s="260" t="s">
        <v>1058</v>
      </c>
      <c r="E70" s="260"/>
      <c r="F70" s="260"/>
    </row>
    <row r="72" customFormat="false" ht="15" hidden="false" customHeight="true" outlineLevel="0" collapsed="false">
      <c r="A72" s="257" t="s">
        <v>1059</v>
      </c>
      <c r="B72" s="257"/>
      <c r="C72" s="257"/>
      <c r="D72" s="257"/>
      <c r="E72" s="257"/>
      <c r="F72" s="257"/>
    </row>
    <row r="73" customFormat="false" ht="15" hidden="false" customHeight="true" outlineLevel="0" collapsed="false">
      <c r="A73" s="258" t="s">
        <v>987</v>
      </c>
      <c r="B73" s="258" t="s">
        <v>988</v>
      </c>
      <c r="C73" s="258" t="s">
        <v>989</v>
      </c>
      <c r="D73" s="258" t="s">
        <v>990</v>
      </c>
    </row>
    <row r="74" customFormat="false" ht="60" hidden="false" customHeight="true" outlineLevel="0" collapsed="false">
      <c r="A74" s="259" t="s">
        <v>999</v>
      </c>
      <c r="B74" s="259" t="s">
        <v>1060</v>
      </c>
      <c r="C74" s="259" t="s">
        <v>1061</v>
      </c>
      <c r="D74" s="260" t="s">
        <v>1062</v>
      </c>
      <c r="E74" s="260"/>
      <c r="F74" s="260"/>
    </row>
    <row r="76" customFormat="false" ht="15" hidden="false" customHeight="true" outlineLevel="0" collapsed="false">
      <c r="A76" s="257" t="s">
        <v>1063</v>
      </c>
      <c r="B76" s="257"/>
      <c r="C76" s="257"/>
      <c r="D76" s="257"/>
      <c r="E76" s="257"/>
      <c r="F76" s="257"/>
    </row>
    <row r="77" customFormat="false" ht="15" hidden="false" customHeight="true" outlineLevel="0" collapsed="false">
      <c r="A77" s="258" t="s">
        <v>987</v>
      </c>
      <c r="B77" s="258" t="s">
        <v>988</v>
      </c>
      <c r="C77" s="258" t="s">
        <v>989</v>
      </c>
      <c r="D77" s="258" t="s">
        <v>990</v>
      </c>
    </row>
    <row r="78" customFormat="false" ht="24" hidden="false" customHeight="true" outlineLevel="0" collapsed="false">
      <c r="A78" s="259" t="s">
        <v>999</v>
      </c>
      <c r="B78" s="259" t="s">
        <v>1064</v>
      </c>
      <c r="C78" s="259" t="s">
        <v>1065</v>
      </c>
      <c r="D78" s="260" t="s">
        <v>1066</v>
      </c>
      <c r="E78" s="260"/>
      <c r="F78" s="260"/>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2026-10-08T17:38:49Z</dcterms:modified>
  <cp:revision>360</cp:revision>
  <dc:subject/>
  <dc:title/>
</cp:coreProperties>
</file>

<file path=docProps/custom.xml><?xml version="1.0" encoding="utf-8"?>
<Properties xmlns="http://schemas.openxmlformats.org/officeDocument/2006/custom-properties" xmlns:vt="http://schemas.openxmlformats.org/officeDocument/2006/docPropsVTypes"/>
</file>